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7FF43EA6-457D-4A8C-B855-65686CE4BBFD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1-8" sheetId="4" r:id="rId1"/>
    <sheet name="3-8" sheetId="5" r:id="rId2"/>
    <sheet name="4-8" sheetId="6" r:id="rId3"/>
    <sheet name="5-8" sheetId="7" r:id="rId4"/>
    <sheet name="6-8" sheetId="8" r:id="rId5"/>
    <sheet name="7-8" sheetId="9" r:id="rId6"/>
    <sheet name="8-8" sheetId="10" r:id="rId7"/>
    <sheet name="10-8" sheetId="11" r:id="rId8"/>
    <sheet name="11-8" sheetId="12" r:id="rId9"/>
    <sheet name="12-8" sheetId="13" r:id="rId10"/>
    <sheet name="13-8" sheetId="14" r:id="rId11"/>
    <sheet name="14-8" sheetId="15" r:id="rId12"/>
  </sheets>
  <definedNames>
    <definedName name="_xlnm._FilterDatabase" localSheetId="7" hidden="1">'10-8'!$A$2:$P$57</definedName>
    <definedName name="_xlnm._FilterDatabase" localSheetId="8" hidden="1">'11-8'!$A$2:$P$18</definedName>
    <definedName name="_xlnm._FilterDatabase" localSheetId="9" hidden="1">'12-8'!$A$2:$P$37</definedName>
    <definedName name="_xlnm._FilterDatabase" localSheetId="10" hidden="1">'13-8'!$A$2:$P$39</definedName>
    <definedName name="_xlnm._FilterDatabase" localSheetId="11" hidden="1">'14-8'!$A$2:$P$40</definedName>
    <definedName name="_xlnm._FilterDatabase" localSheetId="0" hidden="1">'1-8'!$A$2:$P$40</definedName>
    <definedName name="_xlnm._FilterDatabase" localSheetId="1" hidden="1">'3-8'!$A$2:$P$46</definedName>
    <definedName name="_xlnm._FilterDatabase" localSheetId="2" hidden="1">'4-8'!$A$2:$P$25</definedName>
    <definedName name="_xlnm._FilterDatabase" localSheetId="3" hidden="1">'5-8'!$A$2:$P$25</definedName>
    <definedName name="_xlnm._FilterDatabase" localSheetId="4" hidden="1">'6-8'!$A$2:$P$35</definedName>
    <definedName name="_xlnm._FilterDatabase" localSheetId="5" hidden="1">'7-8'!$A$2:$P$22</definedName>
    <definedName name="_xlnm._FilterDatabase" localSheetId="6" hidden="1">'8-8'!$A$2:$P$21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5" l="1"/>
  <c r="H58" i="15"/>
  <c r="H57" i="15"/>
  <c r="R38" i="15"/>
  <c r="R26" i="15"/>
  <c r="R19" i="15"/>
  <c r="R40" i="15"/>
  <c r="I40" i="15"/>
  <c r="I39" i="15"/>
  <c r="I38" i="15"/>
  <c r="I37" i="15"/>
  <c r="I36" i="15"/>
  <c r="I35" i="15"/>
  <c r="I34" i="15"/>
  <c r="I33" i="15"/>
  <c r="I32" i="15"/>
  <c r="I31" i="15"/>
  <c r="R30" i="15"/>
  <c r="I30" i="15"/>
  <c r="R29" i="15"/>
  <c r="I29" i="15"/>
  <c r="R28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R16" i="15"/>
  <c r="I16" i="15"/>
  <c r="R15" i="15"/>
  <c r="I15" i="15"/>
  <c r="R14" i="15"/>
  <c r="I14" i="15"/>
  <c r="R13" i="15"/>
  <c r="I13" i="15"/>
  <c r="I12" i="15"/>
  <c r="I11" i="15"/>
  <c r="I10" i="15"/>
  <c r="I9" i="15"/>
  <c r="I8" i="15"/>
  <c r="I7" i="15"/>
  <c r="I6" i="15"/>
  <c r="I5" i="15"/>
  <c r="I4" i="15"/>
  <c r="R3" i="15"/>
  <c r="I3" i="15"/>
  <c r="I51" i="15"/>
  <c r="I50" i="15"/>
  <c r="I49" i="15"/>
  <c r="Q42" i="15"/>
  <c r="J47" i="15" s="1"/>
  <c r="J54" i="15" s="1"/>
  <c r="P42" i="15"/>
  <c r="O42" i="15"/>
  <c r="N42" i="15"/>
  <c r="M42" i="15"/>
  <c r="L42" i="15"/>
  <c r="K42" i="15"/>
  <c r="J42" i="15"/>
  <c r="H42" i="15"/>
  <c r="G42" i="15"/>
  <c r="I39" i="14"/>
  <c r="I38" i="14"/>
  <c r="I37" i="14"/>
  <c r="I36" i="14"/>
  <c r="I35" i="14"/>
  <c r="I34" i="14"/>
  <c r="I33" i="14"/>
  <c r="I32" i="14"/>
  <c r="I31" i="14"/>
  <c r="R30" i="14"/>
  <c r="I30" i="14"/>
  <c r="R29" i="14"/>
  <c r="I29" i="14"/>
  <c r="I28" i="14"/>
  <c r="R27" i="14"/>
  <c r="I27" i="14"/>
  <c r="I26" i="14"/>
  <c r="I25" i="14"/>
  <c r="I24" i="14"/>
  <c r="I23" i="14"/>
  <c r="I22" i="14"/>
  <c r="R21" i="14"/>
  <c r="I21" i="14"/>
  <c r="R20" i="14"/>
  <c r="I20" i="14"/>
  <c r="I19" i="14"/>
  <c r="R18" i="14"/>
  <c r="I18" i="14"/>
  <c r="I17" i="14"/>
  <c r="R16" i="14"/>
  <c r="I16" i="14"/>
  <c r="I15" i="14"/>
  <c r="I14" i="14"/>
  <c r="I13" i="14"/>
  <c r="I12" i="14"/>
  <c r="I11" i="14"/>
  <c r="I10" i="14"/>
  <c r="I9" i="14"/>
  <c r="R8" i="14"/>
  <c r="I8" i="14"/>
  <c r="I7" i="14"/>
  <c r="I6" i="14"/>
  <c r="I5" i="14"/>
  <c r="I4" i="14"/>
  <c r="I3" i="14"/>
  <c r="I50" i="14"/>
  <c r="I49" i="14"/>
  <c r="I48" i="14"/>
  <c r="Q41" i="14"/>
  <c r="J46" i="14" s="1"/>
  <c r="J53" i="14" s="1"/>
  <c r="P41" i="14"/>
  <c r="O41" i="14"/>
  <c r="N41" i="14"/>
  <c r="M41" i="14"/>
  <c r="L41" i="14"/>
  <c r="K41" i="14"/>
  <c r="J41" i="14"/>
  <c r="H41" i="14"/>
  <c r="G41" i="14"/>
  <c r="I41" i="14"/>
  <c r="I46" i="14" s="1"/>
  <c r="H54" i="13"/>
  <c r="R42" i="15" l="1"/>
  <c r="I48" i="15" s="1"/>
  <c r="I42" i="15"/>
  <c r="I47" i="15" s="1"/>
  <c r="I54" i="15" s="1"/>
  <c r="R41" i="14"/>
  <c r="I47" i="14" s="1"/>
  <c r="I53" i="14" s="1"/>
  <c r="I37" i="13"/>
  <c r="I36" i="13"/>
  <c r="R35" i="13"/>
  <c r="I35" i="13"/>
  <c r="I34" i="13"/>
  <c r="R33" i="13"/>
  <c r="I33" i="13"/>
  <c r="I32" i="13"/>
  <c r="I31" i="13"/>
  <c r="I30" i="13"/>
  <c r="I29" i="13"/>
  <c r="I28" i="13"/>
  <c r="R27" i="13"/>
  <c r="I27" i="13"/>
  <c r="I26" i="13"/>
  <c r="R25" i="13"/>
  <c r="I25" i="13"/>
  <c r="I24" i="13"/>
  <c r="I23" i="13"/>
  <c r="I22" i="13"/>
  <c r="I21" i="13"/>
  <c r="I20" i="13"/>
  <c r="I19" i="13"/>
  <c r="R18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R3" i="13"/>
  <c r="I3" i="13"/>
  <c r="I48" i="13" l="1"/>
  <c r="I47" i="13"/>
  <c r="I46" i="13"/>
  <c r="Q39" i="13"/>
  <c r="J44" i="13" s="1"/>
  <c r="J51" i="13" s="1"/>
  <c r="P39" i="13"/>
  <c r="O39" i="13"/>
  <c r="N39" i="13"/>
  <c r="M39" i="13"/>
  <c r="L39" i="13"/>
  <c r="K39" i="13"/>
  <c r="J39" i="13"/>
  <c r="H39" i="13"/>
  <c r="G39" i="13"/>
  <c r="R39" i="13"/>
  <c r="I45" i="13" s="1"/>
  <c r="I39" i="13"/>
  <c r="I44" i="13" s="1"/>
  <c r="R18" i="12"/>
  <c r="I18" i="12"/>
  <c r="I17" i="12"/>
  <c r="R16" i="12"/>
  <c r="I16" i="12"/>
  <c r="I15" i="12"/>
  <c r="I14" i="12"/>
  <c r="I13" i="12"/>
  <c r="I12" i="12"/>
  <c r="I11" i="12"/>
  <c r="I10" i="12"/>
  <c r="I9" i="12"/>
  <c r="I8" i="12"/>
  <c r="R7" i="12"/>
  <c r="I7" i="12"/>
  <c r="I6" i="12"/>
  <c r="I5" i="12"/>
  <c r="I4" i="12"/>
  <c r="I3" i="12"/>
  <c r="I29" i="12"/>
  <c r="I28" i="12"/>
  <c r="I27" i="12"/>
  <c r="Q20" i="12"/>
  <c r="J25" i="12" s="1"/>
  <c r="J32" i="12" s="1"/>
  <c r="P20" i="12"/>
  <c r="O20" i="12"/>
  <c r="N20" i="12"/>
  <c r="M20" i="12"/>
  <c r="L20" i="12"/>
  <c r="K20" i="12"/>
  <c r="J20" i="12"/>
  <c r="H20" i="12"/>
  <c r="G20" i="12"/>
  <c r="R20" i="12"/>
  <c r="I26" i="12" s="1"/>
  <c r="H74" i="11"/>
  <c r="I57" i="11"/>
  <c r="I56" i="11"/>
  <c r="R55" i="11"/>
  <c r="I55" i="11"/>
  <c r="I54" i="11"/>
  <c r="I53" i="11"/>
  <c r="I52" i="11"/>
  <c r="I51" i="11"/>
  <c r="I50" i="11"/>
  <c r="I49" i="11"/>
  <c r="I48" i="11"/>
  <c r="I47" i="11"/>
  <c r="I46" i="11"/>
  <c r="R45" i="11"/>
  <c r="I45" i="11"/>
  <c r="R44" i="11"/>
  <c r="I44" i="11"/>
  <c r="I43" i="11"/>
  <c r="I42" i="11"/>
  <c r="R41" i="11"/>
  <c r="I41" i="11"/>
  <c r="I40" i="11"/>
  <c r="R39" i="11"/>
  <c r="I39" i="11"/>
  <c r="R38" i="11"/>
  <c r="I38" i="11"/>
  <c r="I37" i="11"/>
  <c r="I36" i="11"/>
  <c r="I35" i="11"/>
  <c r="R34" i="11"/>
  <c r="I34" i="11"/>
  <c r="R33" i="11"/>
  <c r="I33" i="11"/>
  <c r="I32" i="11"/>
  <c r="R31" i="11"/>
  <c r="I31" i="11"/>
  <c r="R30" i="11"/>
  <c r="I30" i="11"/>
  <c r="I29" i="11"/>
  <c r="I28" i="11"/>
  <c r="I27" i="11"/>
  <c r="I26" i="11"/>
  <c r="R25" i="11"/>
  <c r="I25" i="11"/>
  <c r="I24" i="11"/>
  <c r="R23" i="11"/>
  <c r="I23" i="11"/>
  <c r="I22" i="11"/>
  <c r="I21" i="11"/>
  <c r="I20" i="11"/>
  <c r="I19" i="11"/>
  <c r="I18" i="11"/>
  <c r="R17" i="11"/>
  <c r="I17" i="11"/>
  <c r="I16" i="11"/>
  <c r="I15" i="11"/>
  <c r="I14" i="11"/>
  <c r="I13" i="11"/>
  <c r="I12" i="11"/>
  <c r="I11" i="11"/>
  <c r="I10" i="11"/>
  <c r="R9" i="11"/>
  <c r="I9" i="11"/>
  <c r="R8" i="11"/>
  <c r="I8" i="11"/>
  <c r="I7" i="11"/>
  <c r="I6" i="11"/>
  <c r="I5" i="11"/>
  <c r="I4" i="11"/>
  <c r="I59" i="11" s="1"/>
  <c r="I64" i="11" s="1"/>
  <c r="I3" i="11"/>
  <c r="I68" i="11"/>
  <c r="I67" i="11"/>
  <c r="I66" i="11"/>
  <c r="Q59" i="11"/>
  <c r="J64" i="11" s="1"/>
  <c r="J71" i="11" s="1"/>
  <c r="P59" i="11"/>
  <c r="O59" i="11"/>
  <c r="N59" i="11"/>
  <c r="M59" i="11"/>
  <c r="L59" i="11"/>
  <c r="K59" i="11"/>
  <c r="J59" i="11"/>
  <c r="H59" i="11"/>
  <c r="G59" i="11"/>
  <c r="R21" i="10"/>
  <c r="I21" i="10"/>
  <c r="R20" i="10"/>
  <c r="I20" i="10"/>
  <c r="I19" i="10"/>
  <c r="R18" i="10"/>
  <c r="I18" i="10"/>
  <c r="I17" i="10"/>
  <c r="I16" i="10"/>
  <c r="I15" i="10"/>
  <c r="R14" i="10"/>
  <c r="I14" i="10"/>
  <c r="R13" i="10"/>
  <c r="I13" i="10"/>
  <c r="I12" i="10"/>
  <c r="I11" i="10"/>
  <c r="R10" i="10"/>
  <c r="I10" i="10"/>
  <c r="I9" i="10"/>
  <c r="I8" i="10"/>
  <c r="I7" i="10"/>
  <c r="I6" i="10"/>
  <c r="I5" i="10"/>
  <c r="I4" i="10"/>
  <c r="I3" i="10"/>
  <c r="I32" i="10"/>
  <c r="I31" i="10"/>
  <c r="I30" i="10"/>
  <c r="Q23" i="10"/>
  <c r="J28" i="10" s="1"/>
  <c r="J35" i="10" s="1"/>
  <c r="P23" i="10"/>
  <c r="O23" i="10"/>
  <c r="N23" i="10"/>
  <c r="M23" i="10"/>
  <c r="L23" i="10"/>
  <c r="K23" i="10"/>
  <c r="J23" i="10"/>
  <c r="H23" i="10"/>
  <c r="G23" i="10"/>
  <c r="H40" i="9"/>
  <c r="H39" i="9"/>
  <c r="I51" i="13" l="1"/>
  <c r="I20" i="12"/>
  <c r="I25" i="12" s="1"/>
  <c r="I32" i="12" s="1"/>
  <c r="R59" i="11"/>
  <c r="I65" i="11" s="1"/>
  <c r="I71" i="11" s="1"/>
  <c r="I23" i="10"/>
  <c r="I28" i="10" s="1"/>
  <c r="R23" i="10"/>
  <c r="I29" i="10" s="1"/>
  <c r="I22" i="9"/>
  <c r="I21" i="9"/>
  <c r="I20" i="9"/>
  <c r="R19" i="9"/>
  <c r="I19" i="9"/>
  <c r="I18" i="9"/>
  <c r="I17" i="9"/>
  <c r="R16" i="9"/>
  <c r="I16" i="9"/>
  <c r="I15" i="9"/>
  <c r="I14" i="9"/>
  <c r="R13" i="9"/>
  <c r="I13" i="9"/>
  <c r="I12" i="9"/>
  <c r="R11" i="9"/>
  <c r="I11" i="9"/>
  <c r="I10" i="9"/>
  <c r="I9" i="9"/>
  <c r="I8" i="9"/>
  <c r="R7" i="9"/>
  <c r="I7" i="9"/>
  <c r="R6" i="9"/>
  <c r="I6" i="9"/>
  <c r="I5" i="9"/>
  <c r="I4" i="9"/>
  <c r="I24" i="9" s="1"/>
  <c r="I29" i="9" s="1"/>
  <c r="R3" i="9"/>
  <c r="I3" i="9"/>
  <c r="I33" i="9"/>
  <c r="I32" i="9"/>
  <c r="I31" i="9"/>
  <c r="Q24" i="9"/>
  <c r="J29" i="9" s="1"/>
  <c r="J36" i="9" s="1"/>
  <c r="P24" i="9"/>
  <c r="O24" i="9"/>
  <c r="N24" i="9"/>
  <c r="M24" i="9"/>
  <c r="L24" i="9"/>
  <c r="K24" i="9"/>
  <c r="J24" i="9"/>
  <c r="H24" i="9"/>
  <c r="G24" i="9"/>
  <c r="I35" i="8"/>
  <c r="R34" i="8"/>
  <c r="I34" i="8"/>
  <c r="I33" i="8"/>
  <c r="I32" i="8"/>
  <c r="I31" i="8"/>
  <c r="I30" i="8"/>
  <c r="R29" i="8"/>
  <c r="I29" i="8"/>
  <c r="I28" i="8"/>
  <c r="I27" i="8"/>
  <c r="R26" i="8"/>
  <c r="I26" i="8"/>
  <c r="I25" i="8"/>
  <c r="I24" i="8"/>
  <c r="I23" i="8"/>
  <c r="I22" i="8"/>
  <c r="I21" i="8"/>
  <c r="I20" i="8"/>
  <c r="R19" i="8"/>
  <c r="I19" i="8"/>
  <c r="I18" i="8"/>
  <c r="I17" i="8"/>
  <c r="I16" i="8"/>
  <c r="I15" i="8"/>
  <c r="I14" i="8"/>
  <c r="I13" i="8"/>
  <c r="I12" i="8"/>
  <c r="R11" i="8"/>
  <c r="I11" i="8"/>
  <c r="I10" i="8"/>
  <c r="I9" i="8"/>
  <c r="I8" i="8"/>
  <c r="I7" i="8"/>
  <c r="R6" i="8"/>
  <c r="I6" i="8"/>
  <c r="I5" i="8"/>
  <c r="R4" i="8"/>
  <c r="I4" i="8"/>
  <c r="R3" i="8"/>
  <c r="I3" i="8"/>
  <c r="I46" i="8"/>
  <c r="I45" i="8"/>
  <c r="I44" i="8"/>
  <c r="Q37" i="8"/>
  <c r="J42" i="8" s="1"/>
  <c r="J49" i="8" s="1"/>
  <c r="P37" i="8"/>
  <c r="O37" i="8"/>
  <c r="N37" i="8"/>
  <c r="M37" i="8"/>
  <c r="L37" i="8"/>
  <c r="K37" i="8"/>
  <c r="J37" i="8"/>
  <c r="H37" i="8"/>
  <c r="G37" i="8"/>
  <c r="R20" i="7"/>
  <c r="R24" i="7"/>
  <c r="R23" i="7"/>
  <c r="R21" i="7"/>
  <c r="R19" i="7"/>
  <c r="R18" i="7"/>
  <c r="R10" i="7"/>
  <c r="R9" i="7"/>
  <c r="R8" i="7"/>
  <c r="R5" i="7"/>
  <c r="R27" i="7" s="1"/>
  <c r="I33" i="7" s="1"/>
  <c r="R3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6" i="7"/>
  <c r="I35" i="7"/>
  <c r="I34" i="7"/>
  <c r="Q27" i="7"/>
  <c r="J32" i="7" s="1"/>
  <c r="J39" i="7" s="1"/>
  <c r="P27" i="7"/>
  <c r="O27" i="7"/>
  <c r="N27" i="7"/>
  <c r="M27" i="7"/>
  <c r="L27" i="7"/>
  <c r="K27" i="7"/>
  <c r="J27" i="7"/>
  <c r="H27" i="7"/>
  <c r="G27" i="7"/>
  <c r="I25" i="6"/>
  <c r="I24" i="6"/>
  <c r="I23" i="6"/>
  <c r="R22" i="6"/>
  <c r="I22" i="6"/>
  <c r="R21" i="6"/>
  <c r="I21" i="6"/>
  <c r="I20" i="6"/>
  <c r="I19" i="6"/>
  <c r="I18" i="6"/>
  <c r="I17" i="6"/>
  <c r="I16" i="6"/>
  <c r="I15" i="6"/>
  <c r="R14" i="6"/>
  <c r="I14" i="6"/>
  <c r="I13" i="6"/>
  <c r="R12" i="6"/>
  <c r="I12" i="6"/>
  <c r="I11" i="6"/>
  <c r="I10" i="6"/>
  <c r="I9" i="6"/>
  <c r="I8" i="6"/>
  <c r="I7" i="6"/>
  <c r="R6" i="6"/>
  <c r="I6" i="6"/>
  <c r="R5" i="6"/>
  <c r="I5" i="6"/>
  <c r="R4" i="6"/>
  <c r="I4" i="6"/>
  <c r="I3" i="6"/>
  <c r="I36" i="6"/>
  <c r="I35" i="6"/>
  <c r="I34" i="6"/>
  <c r="Q27" i="6"/>
  <c r="J32" i="6" s="1"/>
  <c r="J39" i="6" s="1"/>
  <c r="P27" i="6"/>
  <c r="O27" i="6"/>
  <c r="N27" i="6"/>
  <c r="M27" i="6"/>
  <c r="L27" i="6"/>
  <c r="K27" i="6"/>
  <c r="J27" i="6"/>
  <c r="H27" i="6"/>
  <c r="G27" i="6"/>
  <c r="I46" i="5"/>
  <c r="I45" i="5"/>
  <c r="R44" i="5"/>
  <c r="I44" i="5"/>
  <c r="R43" i="5"/>
  <c r="I43" i="5"/>
  <c r="I42" i="5"/>
  <c r="I41" i="5"/>
  <c r="I40" i="5"/>
  <c r="I39" i="5"/>
  <c r="I38" i="5"/>
  <c r="R37" i="5"/>
  <c r="I37" i="5"/>
  <c r="I36" i="5"/>
  <c r="R35" i="5"/>
  <c r="I35" i="5"/>
  <c r="I34" i="5"/>
  <c r="R33" i="5"/>
  <c r="I33" i="5"/>
  <c r="I32" i="5"/>
  <c r="R31" i="5"/>
  <c r="I31" i="5"/>
  <c r="I30" i="5"/>
  <c r="R29" i="5"/>
  <c r="I29" i="5"/>
  <c r="I28" i="5"/>
  <c r="I27" i="5"/>
  <c r="I26" i="5"/>
  <c r="R25" i="5"/>
  <c r="I25" i="5"/>
  <c r="I24" i="5"/>
  <c r="R23" i="5"/>
  <c r="I23" i="5"/>
  <c r="R22" i="5"/>
  <c r="I22" i="5"/>
  <c r="R21" i="5"/>
  <c r="I21" i="5"/>
  <c r="I20" i="5"/>
  <c r="I19" i="5"/>
  <c r="I18" i="5"/>
  <c r="I17" i="5"/>
  <c r="I16" i="5"/>
  <c r="I15" i="5"/>
  <c r="I14" i="5"/>
  <c r="R13" i="5"/>
  <c r="I13" i="5"/>
  <c r="I12" i="5"/>
  <c r="I11" i="5"/>
  <c r="I10" i="5"/>
  <c r="I9" i="5"/>
  <c r="I8" i="5"/>
  <c r="R7" i="5"/>
  <c r="I7" i="5"/>
  <c r="I6" i="5"/>
  <c r="R5" i="5"/>
  <c r="I5" i="5"/>
  <c r="I4" i="5"/>
  <c r="I3" i="5"/>
  <c r="I57" i="5"/>
  <c r="I56" i="5"/>
  <c r="I55" i="5"/>
  <c r="Q48" i="5"/>
  <c r="J53" i="5" s="1"/>
  <c r="J60" i="5" s="1"/>
  <c r="P48" i="5"/>
  <c r="O48" i="5"/>
  <c r="N48" i="5"/>
  <c r="M48" i="5"/>
  <c r="L48" i="5"/>
  <c r="K48" i="5"/>
  <c r="J48" i="5"/>
  <c r="H48" i="5"/>
  <c r="G48" i="5"/>
  <c r="R40" i="4"/>
  <c r="I40" i="4"/>
  <c r="I39" i="4"/>
  <c r="I38" i="4"/>
  <c r="I37" i="4"/>
  <c r="I36" i="4"/>
  <c r="I35" i="4"/>
  <c r="I34" i="4"/>
  <c r="I33" i="4"/>
  <c r="I32" i="4"/>
  <c r="R31" i="4"/>
  <c r="I31" i="4"/>
  <c r="I30" i="4"/>
  <c r="I29" i="4"/>
  <c r="I28" i="4"/>
  <c r="I27" i="4"/>
  <c r="I26" i="4"/>
  <c r="I25" i="4"/>
  <c r="I24" i="4"/>
  <c r="I23" i="4"/>
  <c r="I22" i="4"/>
  <c r="R21" i="4"/>
  <c r="I21" i="4"/>
  <c r="I20" i="4"/>
  <c r="I19" i="4"/>
  <c r="R18" i="4"/>
  <c r="I18" i="4"/>
  <c r="I17" i="4"/>
  <c r="R16" i="4"/>
  <c r="I16" i="4"/>
  <c r="I15" i="4"/>
  <c r="I14" i="4"/>
  <c r="I13" i="4"/>
  <c r="I12" i="4"/>
  <c r="R11" i="4"/>
  <c r="I11" i="4"/>
  <c r="I10" i="4"/>
  <c r="I9" i="4"/>
  <c r="I8" i="4"/>
  <c r="I7" i="4"/>
  <c r="R6" i="4"/>
  <c r="R42" i="4" s="1"/>
  <c r="I48" i="4" s="1"/>
  <c r="I6" i="4"/>
  <c r="I5" i="4"/>
  <c r="I4" i="4"/>
  <c r="I3" i="4"/>
  <c r="I51" i="4"/>
  <c r="I50" i="4"/>
  <c r="I49" i="4"/>
  <c r="Q42" i="4"/>
  <c r="J47" i="4" s="1"/>
  <c r="J54" i="4" s="1"/>
  <c r="P42" i="4"/>
  <c r="O42" i="4"/>
  <c r="N42" i="4"/>
  <c r="M42" i="4"/>
  <c r="L42" i="4"/>
  <c r="K42" i="4"/>
  <c r="J42" i="4"/>
  <c r="H42" i="4"/>
  <c r="G42" i="4"/>
  <c r="I35" i="10" l="1"/>
  <c r="R24" i="9"/>
  <c r="I30" i="9" s="1"/>
  <c r="I36" i="9" s="1"/>
  <c r="R37" i="8"/>
  <c r="I43" i="8" s="1"/>
  <c r="I37" i="8"/>
  <c r="I42" i="8" s="1"/>
  <c r="I49" i="8" s="1"/>
  <c r="I27" i="7"/>
  <c r="I32" i="7" s="1"/>
  <c r="I39" i="7" s="1"/>
  <c r="R27" i="6"/>
  <c r="I33" i="6" s="1"/>
  <c r="I27" i="6"/>
  <c r="I32" i="6" s="1"/>
  <c r="I39" i="6" s="1"/>
  <c r="R48" i="5"/>
  <c r="I54" i="5" s="1"/>
  <c r="I48" i="5"/>
  <c r="I53" i="5" s="1"/>
  <c r="I42" i="4"/>
  <c r="I47" i="4" s="1"/>
  <c r="I54" i="4" s="1"/>
  <c r="I60" i="5" l="1"/>
</calcChain>
</file>

<file path=xl/sharedStrings.xml><?xml version="1.0" encoding="utf-8"?>
<sst xmlns="http://schemas.openxmlformats.org/spreadsheetml/2006/main" count="3302" uniqueCount="1082">
  <si>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</si>
  <si>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</si>
  <si>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</si>
  <si>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</si>
  <si>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</si>
  <si>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</si>
  <si>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</si>
  <si>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</si>
  <si>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</si>
  <si>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</si>
  <si>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</si>
  <si>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</si>
  <si>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</si>
  <si>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</si>
  <si>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</si>
  <si>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</si>
  <si>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</si>
  <si>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</si>
  <si>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</si>
  <si>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</si>
  <si>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</si>
  <si>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</si>
  <si>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</si>
  <si>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</si>
  <si>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</si>
  <si>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</si>
  <si>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7</t>
  </si>
  <si>
    <t>NGAY 1-8</t>
  </si>
  <si>
    <t>T7.1.8.2026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</si>
  <si>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</si>
  <si>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</si>
  <si>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</si>
  <si>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</si>
  <si>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</si>
  <si>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</si>
  <si>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</si>
  <si>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</si>
  <si>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</si>
  <si>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</si>
  <si>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</si>
  <si>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Thu Hằng</t>
  </si>
  <si>
    <t>HD040632</t>
  </si>
  <si>
    <t>38A đường 3158A phạm thế hiển P7. Đối diện cổng trường THPT nguyễn văn linh</t>
  </si>
  <si>
    <t>Suc Vày</t>
  </si>
  <si>
    <t>HD040552</t>
  </si>
  <si>
    <t>338/24 âu cơ p10</t>
  </si>
  <si>
    <t>tan binh</t>
  </si>
  <si>
    <t>chị hường</t>
  </si>
  <si>
    <t>HD040596</t>
  </si>
  <si>
    <t>chung cư privia khang điền, 321 an dương vương an lạc</t>
  </si>
  <si>
    <t>binh tan</t>
  </si>
  <si>
    <t>Đỗ Diễm</t>
  </si>
  <si>
    <t>HD040828</t>
  </si>
  <si>
    <t>14 Lãnh Binh Thăng, P Phú Thọ</t>
  </si>
  <si>
    <t>Châu Châu</t>
  </si>
  <si>
    <t>HD040851</t>
  </si>
  <si>
    <t>E3/8 ấp 56 xã vĩnh lộc</t>
  </si>
  <si>
    <t>binh chanh</t>
  </si>
  <si>
    <t>Hà Kim Ánh</t>
  </si>
  <si>
    <t>HD040770</t>
  </si>
  <si>
    <t>80/120 đường hoàng ngân, p16</t>
  </si>
  <si>
    <t>hàng sỉ</t>
  </si>
  <si>
    <t>Nguyễn Minh Hải (Bow)</t>
  </si>
  <si>
    <t>17 Đường Số 13 Bình Hưng Hoà</t>
  </si>
  <si>
    <t>Nguyễn thị mỹ dung</t>
  </si>
  <si>
    <t>HD040826</t>
  </si>
  <si>
    <t>Chung cư the estella block 4B1801 bình trưng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</si>
  <si>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</si>
  <si>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</si>
  <si>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</si>
  <si>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</si>
  <si>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</si>
  <si>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</si>
  <si>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</si>
  <si>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Jemial Vo</t>
  </si>
  <si>
    <t>HD040583</t>
  </si>
  <si>
    <t>438 phan văn trị, p.hạnh thông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</si>
  <si>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</si>
  <si>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</si>
  <si>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</si>
  <si>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</si>
  <si>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</si>
  <si>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</si>
  <si>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</si>
  <si>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</si>
  <si>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</si>
  <si>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</si>
  <si>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</si>
  <si>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</si>
  <si>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</si>
  <si>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Kem Kem</t>
  </si>
  <si>
    <t>HD040843</t>
  </si>
  <si>
    <t>632/5 lê văn thọ p13</t>
  </si>
  <si>
    <t>Người Nhận BN2705</t>
  </si>
  <si>
    <t>HD040780</t>
  </si>
  <si>
    <t>163 Trương Thị Hoa, phường Tân Thới Hiệp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</si>
  <si>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</si>
  <si>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</si>
  <si>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</si>
  <si>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</si>
  <si>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</si>
  <si>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</si>
  <si>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</si>
  <si>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Phuc Vo</t>
  </si>
  <si>
    <t>HD040829</t>
  </si>
  <si>
    <t>151/44 tam châu tam bình</t>
  </si>
  <si>
    <t>thu duc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</si>
  <si>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</si>
  <si>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</si>
  <si>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</si>
  <si>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</si>
  <si>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</si>
  <si>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</si>
  <si>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</si>
  <si>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</si>
  <si>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</si>
  <si>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</si>
  <si>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</si>
  <si>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</si>
  <si>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</si>
  <si>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</si>
  <si>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</si>
  <si>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</si>
  <si>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</si>
  <si>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</si>
  <si>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Em Hương</t>
  </si>
  <si>
    <t>HD040609</t>
  </si>
  <si>
    <t>13/174 trần văn hoàng p tân Hoa</t>
  </si>
  <si>
    <t>Diễm Thúy</t>
  </si>
  <si>
    <t>HD040833</t>
  </si>
  <si>
    <t>237/22 hoàng sa, P. Tân Sơn Nhất</t>
  </si>
  <si>
    <t>Tuyết Nhi</t>
  </si>
  <si>
    <t>HD040808</t>
  </si>
  <si>
    <t>Block d2, chung cư sài gòn riverside (số 4 đào trí, phù thuận)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</si>
  <si>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</si>
  <si>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</si>
  <si>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</si>
  <si>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</si>
  <si>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</si>
  <si>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</si>
  <si>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Bảo Ngọc</t>
  </si>
  <si>
    <t>HD040602</t>
  </si>
  <si>
    <t>12/65 nguyễn khoái</t>
  </si>
  <si>
    <t>Đỗ Thị Hoa</t>
  </si>
  <si>
    <t>HD040603</t>
  </si>
  <si>
    <t>355 ngô gia tự p vườn lài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</si>
  <si>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</si>
  <si>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</si>
  <si>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</si>
  <si>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</si>
  <si>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</si>
  <si>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</si>
  <si>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đơn trả 3.8</t>
  </si>
  <si>
    <t>T2.3.8.2026</t>
  </si>
  <si>
    <t>THU 2</t>
  </si>
  <si>
    <t>NGAY 3-8</t>
  </si>
  <si>
    <t>Huỳnh Huỳnh Như</t>
  </si>
  <si>
    <t>HD040952</t>
  </si>
  <si>
    <t>Đường số 15, Phường Tân Phú The Peak Midtown M8 Phú Mỹ Hưng</t>
  </si>
  <si>
    <t>AT 03-08</t>
  </si>
  <si>
    <t>03-08-2026</t>
  </si>
  <si>
    <t>Trâm Nguyễn</t>
  </si>
  <si>
    <t>HD041152</t>
  </si>
  <si>
    <t>72G/4/10 nguyễn văn yến,p.tân thới hoà</t>
  </si>
  <si>
    <t>MC NitaSmile</t>
  </si>
  <si>
    <t>HD041120</t>
  </si>
  <si>
    <t>(MV01709) phường Bình Hưng Hòa</t>
  </si>
  <si>
    <t>Hạnh Trần</t>
  </si>
  <si>
    <t>HD040971</t>
  </si>
  <si>
    <t>Số 2 đường 75, khu phố 2, tân phong</t>
  </si>
  <si>
    <t>Minh</t>
  </si>
  <si>
    <t>HD041137</t>
  </si>
  <si>
    <t>Sunrise city central tháp W3 25 nguyễn hữu thọ tân hưng</t>
  </si>
  <si>
    <t>Linh Linh</t>
  </si>
  <si>
    <t>HD040987</t>
  </si>
  <si>
    <t>36/4 kinh dương vương phường 13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</si>
  <si>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</si>
  <si>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</si>
  <si>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</si>
  <si>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</si>
  <si>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</si>
  <si>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</si>
  <si>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</si>
  <si>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Ngoc Linh</t>
  </si>
  <si>
    <t>HD041253</t>
  </si>
  <si>
    <t>số 27, bình trường, ấp 2</t>
  </si>
  <si>
    <t>BELLA TRẦN</t>
  </si>
  <si>
    <t>66đường 17 p10</t>
  </si>
  <si>
    <t>MIE</t>
  </si>
  <si>
    <t>275/14B1 Đặng Nguyên Cẩn, Phường Phú Lâm</t>
  </si>
  <si>
    <t>Yến Như</t>
  </si>
  <si>
    <t>HD041183</t>
  </si>
  <si>
    <t>213 Bưng Ông Thoàn, Tăng Nhơn Phú B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</si>
  <si>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</si>
  <si>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</si>
  <si>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</si>
  <si>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</si>
  <si>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</si>
  <si>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</si>
  <si>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</si>
  <si>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</si>
  <si>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</si>
  <si>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</si>
  <si>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</si>
  <si>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</si>
  <si>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</si>
  <si>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</si>
  <si>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</si>
  <si>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</si>
  <si>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</si>
  <si>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</si>
  <si>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</si>
  <si>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</si>
  <si>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</si>
  <si>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</si>
  <si>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</si>
  <si>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Destiny Huynh</t>
  </si>
  <si>
    <t>HD040564</t>
  </si>
  <si>
    <t>366 Nguyễn thị kiểu Phường Tân Thới Hiệp</t>
  </si>
  <si>
    <t>Hoa Hoa</t>
  </si>
  <si>
    <t>HD040904</t>
  </si>
  <si>
    <t>20 đường 37, phường Hiệp Bình Phước Vạn Phúc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</si>
  <si>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</si>
  <si>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</si>
  <si>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</si>
  <si>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</si>
  <si>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</si>
  <si>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</si>
  <si>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Nguyễn Hương Lan</t>
  </si>
  <si>
    <t>HD041158</t>
  </si>
  <si>
    <t>629 phạm văn đồng hiệp bình chánh</t>
  </si>
  <si>
    <t>Quỳnh Như</t>
  </si>
  <si>
    <t>HD041208</t>
  </si>
  <si>
    <t>66/68, Phổ Quang, Phường 2</t>
  </si>
  <si>
    <t>Lê Thão</t>
  </si>
  <si>
    <t>HD041204</t>
  </si>
  <si>
    <t>3 Đặng Dung, P Tân Định</t>
  </si>
  <si>
    <t>Kim Hân</t>
  </si>
  <si>
    <t>HD041099</t>
  </si>
  <si>
    <t>302 nguyễn chi thanh p5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</si>
  <si>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</si>
  <si>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</si>
  <si>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</si>
  <si>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</si>
  <si>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</si>
  <si>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</si>
  <si>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</si>
  <si>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</si>
  <si>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</si>
  <si>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</si>
  <si>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</si>
  <si>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</si>
  <si>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</si>
  <si>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</si>
  <si>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</si>
  <si>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Lan Khuê (zalo)</t>
  </si>
  <si>
    <t>HD040499</t>
  </si>
  <si>
    <t>1036/133/9 cách mạng tháng 8 p4 giờ là phường tân sơn nhất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</si>
  <si>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</si>
  <si>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</si>
  <si>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</si>
  <si>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</si>
  <si>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</si>
  <si>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</si>
  <si>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</si>
  <si>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</si>
  <si>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</si>
  <si>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</si>
  <si>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</si>
  <si>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</si>
  <si>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</si>
  <si>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</si>
  <si>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</si>
  <si>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</si>
  <si>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</si>
  <si>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</si>
  <si>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</si>
  <si>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</si>
  <si>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</si>
  <si>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đơn trả 4.8</t>
  </si>
  <si>
    <t>THU 3</t>
  </si>
  <si>
    <t>NGAY 4-8</t>
  </si>
  <si>
    <t>T3.4.8.2026</t>
  </si>
  <si>
    <t>Ji Ah</t>
  </si>
  <si>
    <t>HD041397</t>
  </si>
  <si>
    <t>89 lê thị chợ phú thuận Chung cư skyline</t>
  </si>
  <si>
    <t>AT 04-08</t>
  </si>
  <si>
    <t>04-08-2026</t>
  </si>
  <si>
    <t>MC Chheth Srey Sing (MV03028)</t>
  </si>
  <si>
    <t>HD041350</t>
  </si>
  <si>
    <t>315/18/6 Nguyễn Thị Tú phường Bình Tân (mới)</t>
  </si>
  <si>
    <t>Meow Service + [MS0419]</t>
  </si>
  <si>
    <t>HD041327</t>
  </si>
  <si>
    <t>Ngõ 72 đường 18B, phường Bình Hưng Hoà A</t>
  </si>
  <si>
    <t>Jess Huang (Đài Loan 0908523033)</t>
  </si>
  <si>
    <t>HD034688</t>
  </si>
  <si>
    <t>H78 Đường A3-Phường Tân Thới Nhất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</si>
  <si>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</si>
  <si>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</si>
  <si>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</si>
  <si>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</si>
  <si>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</si>
  <si>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</si>
  <si>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Nguyễn Thị Phương Quyên</t>
  </si>
  <si>
    <t>HD041400</t>
  </si>
  <si>
    <t>Số 38 đường số 1, kdc cityland, p. tân phú</t>
  </si>
  <si>
    <t>Block d2, chung cư sài gòn riverside (số 4 đào trí, phú thuận)</t>
  </si>
  <si>
    <t>NGUYỄN MINH DUY</t>
  </si>
  <si>
    <t>90/35 Trần Văn Ơn, Phường Tân Sơn Nhì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</si>
  <si>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</si>
  <si>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</si>
  <si>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</si>
  <si>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</si>
  <si>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</si>
  <si>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</si>
  <si>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</si>
  <si>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</si>
  <si>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</si>
  <si>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</si>
  <si>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</si>
  <si>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Jenny Bích Vũ</t>
  </si>
  <si>
    <t>HD041334</t>
  </si>
  <si>
    <t>537/30 Nguyễn Oanh phường 17</t>
  </si>
  <si>
    <t>Hoàng Thu Trang</t>
  </si>
  <si>
    <t>HD041498</t>
  </si>
  <si>
    <t>Toà Daisy lumier vinhomes</t>
  </si>
  <si>
    <t>Trương Hoàng Diễm</t>
  </si>
  <si>
    <t>HD041486</t>
  </si>
  <si>
    <t>280a39 lương định của . an khánh</t>
  </si>
  <si>
    <t>Selena Pham</t>
  </si>
  <si>
    <t>HD041495</t>
  </si>
  <si>
    <t>616/61/118 Lê Đức Thọ, Phường 15 (P. An Hội Đông)</t>
  </si>
  <si>
    <t>SU ANH</t>
  </si>
  <si>
    <t>72/5 Giải Phóng, Tân Sơn Nhất</t>
  </si>
  <si>
    <t>Sokhavy</t>
  </si>
  <si>
    <t>HD041362</t>
  </si>
  <si>
    <t>A25 luxury hotel 277B Le Thanh Ton, Ben Thanh ward</t>
  </si>
  <si>
    <t>Kim Thanh</t>
  </si>
  <si>
    <t>HD041337</t>
  </si>
  <si>
    <t>108/69a trần quang diệu</t>
  </si>
  <si>
    <t>Hoang Thuy Quynh</t>
  </si>
  <si>
    <t>HD041441</t>
  </si>
  <si>
    <t>156/1/23 cộng hoà, phường 12</t>
  </si>
  <si>
    <t>Yen Nhi</t>
  </si>
  <si>
    <t>HD041474</t>
  </si>
  <si>
    <t>51/3 lê van huan p13</t>
  </si>
  <si>
    <t>T4.5.8.2026</t>
  </si>
  <si>
    <t>THU 4</t>
  </si>
  <si>
    <t>NGAY 5-8</t>
  </si>
  <si>
    <t>mya_nh54</t>
  </si>
  <si>
    <t>HD041697</t>
  </si>
  <si>
    <t>30 tùng thiện vương phú định</t>
  </si>
  <si>
    <t>AT 05-08</t>
  </si>
  <si>
    <t>05-08-2026</t>
  </si>
  <si>
    <t>Amber Amber</t>
  </si>
  <si>
    <t>HD041755</t>
  </si>
  <si>
    <t>231/71/35 đường bình tiên p8</t>
  </si>
  <si>
    <t>HD041540</t>
  </si>
  <si>
    <t>Uyên</t>
  </si>
  <si>
    <t>HD041726</t>
  </si>
  <si>
    <t>Chung cu topaz elite phoenix 1B P4</t>
  </si>
  <si>
    <t>Như phạm</t>
  </si>
  <si>
    <t>HD041766</t>
  </si>
  <si>
    <t>116/62 huỳnh tấn phát tân thuận tây</t>
  </si>
  <si>
    <t>Thảo Trinh fb Mai Trinh</t>
  </si>
  <si>
    <t>HD041761</t>
  </si>
  <si>
    <t>432A/40/2G Dương Bá Trạc, Phường 1</t>
  </si>
  <si>
    <t>Ivy Dao</t>
  </si>
  <si>
    <t>HD041779</t>
  </si>
  <si>
    <t>238/3 trường chinh, đông hưng thuận</t>
  </si>
  <si>
    <t>Quỳnh Giao</t>
  </si>
  <si>
    <t>HD041553</t>
  </si>
  <si>
    <t>2783/11A Quốc lộ 1A, Đông Hưng Thuận. Cũ là phường Tân Thới Nhất</t>
  </si>
  <si>
    <t>Khánh Linh</t>
  </si>
  <si>
    <t>HD041778</t>
  </si>
  <si>
    <t>33/58 lâm thị hổ - tân chánh hiệp</t>
  </si>
  <si>
    <t>bùi thị bích tuyến - fb Ngọc Ngọc</t>
  </si>
  <si>
    <t>HD041742</t>
  </si>
  <si>
    <t>334/55 chu văn an p12</t>
  </si>
  <si>
    <t>Người nhận: An fb</t>
  </si>
  <si>
    <t>HD041762</t>
  </si>
  <si>
    <t>Tháp T4 chung cư Masteri Thảo Điền, phường An Khánh</t>
  </si>
  <si>
    <t>Queen Huynh</t>
  </si>
  <si>
    <t>HD041736</t>
  </si>
  <si>
    <t>c16- 17 lô c1, đường DD5, phường Đông Hưng Thuận (sau lưng chợ An Sương)</t>
  </si>
  <si>
    <t>Didi Chen</t>
  </si>
  <si>
    <t>HD041714</t>
  </si>
  <si>
    <t>47/30/5 đường số 19 p8</t>
  </si>
  <si>
    <t>Muội Muội</t>
  </si>
  <si>
    <t>HD041595</t>
  </si>
  <si>
    <t>Cty tnhh Nam Tiến Express, 74/4 Trần Thái Tông, Tân Sơn</t>
  </si>
  <si>
    <t>W24130 Miki (Chou)</t>
  </si>
  <si>
    <t>HD041699</t>
  </si>
  <si>
    <t>624 Lê thị riêng,thới an</t>
  </si>
  <si>
    <t>Nguyễn Mỹ Duyên (Thiên Trang)</t>
  </si>
  <si>
    <t>HD036517</t>
  </si>
  <si>
    <t>64/20 Võ Oanh P25</t>
  </si>
  <si>
    <t>chanz trang</t>
  </si>
  <si>
    <t>HD041682</t>
  </si>
  <si>
    <t>19 Yên Thế, Phường 2</t>
  </si>
  <si>
    <t>Mi Nhol</t>
  </si>
  <si>
    <t>HD041765</t>
  </si>
  <si>
    <t>2/11 đường thiên phước, phường Tân Hòa</t>
  </si>
  <si>
    <t>Anh Thu Nguyen</t>
  </si>
  <si>
    <t>HD041774</t>
  </si>
  <si>
    <t>230 cao thắng, p12</t>
  </si>
  <si>
    <t>An di</t>
  </si>
  <si>
    <t>HD041649</t>
  </si>
  <si>
    <t>352/30 Nguyễn Tất Thành, phường Xóm Chiếu</t>
  </si>
  <si>
    <t>sherinegracella</t>
  </si>
  <si>
    <t>HD041781</t>
  </si>
  <si>
    <t>1b4 nguyễn đình chiểu 1 Đường Nguyễn Đình ChiểuSài Gòn</t>
  </si>
  <si>
    <t>MengLay - Minh</t>
  </si>
  <si>
    <t>HD041725</t>
  </si>
  <si>
    <t>45/6/2 Đường 3/2 Phường 11</t>
  </si>
  <si>
    <t>đơn trả 6.8</t>
  </si>
  <si>
    <t>T5.6.8.2026</t>
  </si>
  <si>
    <t>NGAY 6-8</t>
  </si>
  <si>
    <t>THU 5</t>
  </si>
  <si>
    <t>Phạm thị thu hà</t>
  </si>
  <si>
    <t>HD041991</t>
  </si>
  <si>
    <t>45/4p ấp Mỹ Hoà 1 xã trung chánh</t>
  </si>
  <si>
    <t>hoc mon</t>
  </si>
  <si>
    <t>AT 06-08</t>
  </si>
  <si>
    <t>06-08-2026</t>
  </si>
  <si>
    <t>Kelly Nguyen</t>
  </si>
  <si>
    <t>HD041783</t>
  </si>
  <si>
    <t>111/15/6 lê đình cần, tân tạo</t>
  </si>
  <si>
    <t>Em Huy</t>
  </si>
  <si>
    <t>HD041994</t>
  </si>
  <si>
    <t>06 vườn lài phường phú thọ hòa</t>
  </si>
  <si>
    <t>ZL nguyễn Phương Huỳnh</t>
  </si>
  <si>
    <t>HD041965</t>
  </si>
  <si>
    <t>Số 78 Đường Số 7 P. Bình Hưng Hòa</t>
  </si>
  <si>
    <t>Bella Nguyen</t>
  </si>
  <si>
    <t>HD041879</t>
  </si>
  <si>
    <t>59 đường số 2 phường 16</t>
  </si>
  <si>
    <t>Thi Thi</t>
  </si>
  <si>
    <t>HD041886</t>
  </si>
  <si>
    <t>15 lỗ c cư xá phú lâm D phường 10</t>
  </si>
  <si>
    <t>Vy Nguyen</t>
  </si>
  <si>
    <t>HD041990</t>
  </si>
  <si>
    <t>24 đường 902 tạ quang bửu p5</t>
  </si>
  <si>
    <t>Nguyễn Minh Trang</t>
  </si>
  <si>
    <t>HD041986</t>
  </si>
  <si>
    <t>Khu căn hộ cao tầng Sacomreal 584, Đ/c: 785/1 Lũy Bán Bích, p. phú thọ hoà</t>
  </si>
  <si>
    <t>HD041992</t>
  </si>
  <si>
    <t>HD041875</t>
  </si>
  <si>
    <t>Phan Anh</t>
  </si>
  <si>
    <t>HD041884</t>
  </si>
  <si>
    <t>68/10 đường số 1 Phường An Khánh</t>
  </si>
  <si>
    <t>Linh</t>
  </si>
  <si>
    <t>36/7, đường tân chánh hiệp 34, phường tân chánh hiệp</t>
  </si>
  <si>
    <t>Thảo Ng</t>
  </si>
  <si>
    <t>HD041909</t>
  </si>
  <si>
    <t>463/15/6 kha vạn cân, Linh Đông</t>
  </si>
  <si>
    <t>HD041995</t>
  </si>
  <si>
    <t>C note chú Cường 133/55 quang trung, 1.10. Đó là DiLASpa</t>
  </si>
  <si>
    <t>Diệu Quyên</t>
  </si>
  <si>
    <t>HD041915</t>
  </si>
  <si>
    <t>242/20 phạm văn bạch p15</t>
  </si>
  <si>
    <t>Trâm - fb Thê Hy</t>
  </si>
  <si>
    <t>HD041818</t>
  </si>
  <si>
    <t>Cty Thế Long Express 27/5 Quách Văn Tuấn, F12</t>
  </si>
  <si>
    <t>Nguyễn Trương Phương Oanh</t>
  </si>
  <si>
    <t>HD041998</t>
  </si>
  <si>
    <t>125/42/2 Bùi Đình Tuý, phường 14</t>
  </si>
  <si>
    <t>Ngọc Hảo</t>
  </si>
  <si>
    <t>HD041903</t>
  </si>
  <si>
    <t>535/11/9 quốc lộ 13 phường hiệp bình phước</t>
  </si>
  <si>
    <t>Kendy Tran</t>
  </si>
  <si>
    <t>HD041966</t>
  </si>
  <si>
    <t>Happy One Premier, Đ. TL 08, Khu Nam Long, An Phú Đông</t>
  </si>
  <si>
    <t>Kim Hoang O</t>
  </si>
  <si>
    <t>282/56 bùi hữu nghĩa p2</t>
  </si>
  <si>
    <t>225 Thống Nhất, An Hội Đông</t>
  </si>
  <si>
    <t>Phương Lê</t>
  </si>
  <si>
    <t>HD041885</t>
  </si>
  <si>
    <t>232/24 Cao Thắng, P12</t>
  </si>
  <si>
    <t>See Seusah (gửi Lễ Tân)</t>
  </si>
  <si>
    <t>HD040760</t>
  </si>
  <si>
    <t>50 Bùi Thị Xuân</t>
  </si>
  <si>
    <t>Tuyet Pham</t>
  </si>
  <si>
    <t>HD041993</t>
  </si>
  <si>
    <t>B58/25 Nguyễn Thần Hiến p xóm chiếu</t>
  </si>
  <si>
    <t>Ngan Kha</t>
  </si>
  <si>
    <t>HD041881</t>
  </si>
  <si>
    <t>132 bến vân đồn, phường 6</t>
  </si>
  <si>
    <t>Vatana</t>
  </si>
  <si>
    <t>HD042000</t>
  </si>
  <si>
    <t>350/2 lê văn sỹ, phòng 102</t>
  </si>
  <si>
    <t>HD041740</t>
  </si>
  <si>
    <t>Kim Nhân</t>
  </si>
  <si>
    <t>HD042008</t>
  </si>
  <si>
    <t>25 nguyen khắc như, phuong cau ong lanh</t>
  </si>
  <si>
    <t>Kami - fb Đan Khanh</t>
  </si>
  <si>
    <t>HD041867</t>
  </si>
  <si>
    <t>Chung cư DELASOL, căn A2.09.04, số 1 Tôn Thất Thuyết, P1</t>
  </si>
  <si>
    <t>Winnie Minh Thư</t>
  </si>
  <si>
    <t>HD041985</t>
  </si>
  <si>
    <t>604 võ văn kiệt p cầu ông lãnh</t>
  </si>
  <si>
    <t>Cheate</t>
  </si>
  <si>
    <t>CHÀNH XE KHAINAM</t>
  </si>
  <si>
    <t>Lương Ái Vi</t>
  </si>
  <si>
    <t>HD041901</t>
  </si>
  <si>
    <t xml:space="preserve">8 hoàng minh giám, p9 </t>
  </si>
  <si>
    <t>T6.7.8.2026</t>
  </si>
  <si>
    <t>THU 6</t>
  </si>
  <si>
    <t>NGAY 7-8</t>
  </si>
  <si>
    <t>Lindatran fb Ly Huynh</t>
  </si>
  <si>
    <t>HD042211</t>
  </si>
  <si>
    <t>66 đường số 17, p10</t>
  </si>
  <si>
    <t>AT 07-08</t>
  </si>
  <si>
    <t>07-08-2026</t>
  </si>
  <si>
    <t>kh ck shop 1055k</t>
  </si>
  <si>
    <t>quỳnh mai</t>
  </si>
  <si>
    <t>HD042221</t>
  </si>
  <si>
    <t>24 đường 15 tan kiểng cũ ( mới là tân hưng )</t>
  </si>
  <si>
    <t>Hương Nè</t>
  </si>
  <si>
    <t>HD042015</t>
  </si>
  <si>
    <t>Chung cư M one Nam Sài Gòn, tháp T2, tân hưng</t>
  </si>
  <si>
    <t>HD042146</t>
  </si>
  <si>
    <t>BN182 miki</t>
  </si>
  <si>
    <t>HD042222</t>
  </si>
  <si>
    <t>My Tú</t>
  </si>
  <si>
    <t>HD042096</t>
  </si>
  <si>
    <t>130/4 gò dưa tam bình</t>
  </si>
  <si>
    <t>Lê Phượng</t>
  </si>
  <si>
    <t>HD042078</t>
  </si>
  <si>
    <t>720A Điện Biên Phủ p22, landmark81 sảnh cư dân Toà làndmark81</t>
  </si>
  <si>
    <t>Mén HM</t>
  </si>
  <si>
    <t>HD042223</t>
  </si>
  <si>
    <t>Toà landmark 2</t>
  </si>
  <si>
    <t>Như Quỳnh</t>
  </si>
  <si>
    <t>HD042116</t>
  </si>
  <si>
    <t>Chung cư bộ công an, đường số 3, lock A, sảnh A2, P. An Khánh</t>
  </si>
  <si>
    <t>kh ck shop 930k</t>
  </si>
  <si>
    <t>Bao Tram</t>
  </si>
  <si>
    <t>HD042198</t>
  </si>
  <si>
    <t>Toà BE3, khu beverly vinhomes grand park</t>
  </si>
  <si>
    <t>W3135dd65</t>
  </si>
  <si>
    <t>HD042009</t>
  </si>
  <si>
    <t>Kiều Thuận</t>
  </si>
  <si>
    <t>HD042225</t>
  </si>
  <si>
    <t>tòa s10.02 origami cầu vòng 3 long bình</t>
  </si>
  <si>
    <t>Vicky Tran</t>
  </si>
  <si>
    <t>127/17 bình lợi p13</t>
  </si>
  <si>
    <t>Vin Vyn-Daravin</t>
  </si>
  <si>
    <t>HD042208</t>
  </si>
  <si>
    <t>301 Phạm Ngũ Lão, Phường Phạm Ngũ Lão</t>
  </si>
  <si>
    <t>Hằng</t>
  </si>
  <si>
    <t>HD042113</t>
  </si>
  <si>
    <t>108 Hồng hà p2</t>
  </si>
  <si>
    <t>HD042169</t>
  </si>
  <si>
    <t>gracancer</t>
  </si>
  <si>
    <t>HD041900</t>
  </si>
  <si>
    <t>NHÀ XE KHẢI NAM</t>
  </si>
  <si>
    <t>HD042220</t>
  </si>
  <si>
    <t>My Dung</t>
  </si>
  <si>
    <t>HD042099</t>
  </si>
  <si>
    <t>86 võ văn tần</t>
  </si>
  <si>
    <t>HD042165</t>
  </si>
  <si>
    <t>luu tra</t>
  </si>
  <si>
    <t>đơn trả</t>
  </si>
  <si>
    <t>x</t>
  </si>
  <si>
    <t>xx</t>
  </si>
  <si>
    <t>đơn trả 8.8</t>
  </si>
  <si>
    <t>đơn ck</t>
  </si>
  <si>
    <t>T7.8.8.2026</t>
  </si>
  <si>
    <t>NGAY 8-8</t>
  </si>
  <si>
    <t>Ngoc Phan</t>
  </si>
  <si>
    <t>HD042166</t>
  </si>
  <si>
    <t>Số 8, đường DC9, phường Sơn Kỳ</t>
  </si>
  <si>
    <t>AT 08-08</t>
  </si>
  <si>
    <t>08-08-2026</t>
  </si>
  <si>
    <t>Bông Bông</t>
  </si>
  <si>
    <t>HD042398</t>
  </si>
  <si>
    <t>Saigon riverside complex (block C1) Số 4 đào trí phú thuận</t>
  </si>
  <si>
    <t>Huỳnh Như</t>
  </si>
  <si>
    <t>HD042383</t>
  </si>
  <si>
    <t>Chung cư him lam chợ lớn đường hậu giang f11</t>
  </si>
  <si>
    <t>Nhận hộ fb Nguyễn Hà</t>
  </si>
  <si>
    <t>HD042315</t>
  </si>
  <si>
    <t>433/11/2 Lê Đức Thọ, Phường 17</t>
  </si>
  <si>
    <t>trần phương</t>
  </si>
  <si>
    <t>HD042263</t>
  </si>
  <si>
    <t>19a 19b đường 25 hiệp bình</t>
  </si>
  <si>
    <t>My Tra</t>
  </si>
  <si>
    <t>HD042397</t>
  </si>
  <si>
    <t>523b kha vạn cần p linh đông</t>
  </si>
  <si>
    <t>HD042142</t>
  </si>
  <si>
    <t>331/68 vườn lài, phường an phú đông</t>
  </si>
  <si>
    <t>Darin</t>
  </si>
  <si>
    <t>624 Lê thị riêng thới an</t>
  </si>
  <si>
    <t>Phuong truong</t>
  </si>
  <si>
    <t>41/8 Mai Lão Bạng, Phường 13</t>
  </si>
  <si>
    <t>Mr Thế</t>
  </si>
  <si>
    <t>27/5 Quách Văn Tuấn, F12</t>
  </si>
  <si>
    <t>Daisy Le</t>
  </si>
  <si>
    <t>HD042284</t>
  </si>
  <si>
    <t>418/4 Trường Sa, p2</t>
  </si>
  <si>
    <t>Huyền Trang</t>
  </si>
  <si>
    <t>HD042290</t>
  </si>
  <si>
    <t>406 Trần Hưng Đạo, P2</t>
  </si>
  <si>
    <t>Demy Lữ</t>
  </si>
  <si>
    <t>HD042286</t>
  </si>
  <si>
    <t>39 bến văn đồn p13 chung cư The Tresor toà ap2</t>
  </si>
  <si>
    <t>Nitaya Nhi Nguyễn</t>
  </si>
  <si>
    <t>HD042321</t>
  </si>
  <si>
    <t>92/22/8c tôn thất thuyết, khu phố 14, phường xóm chiếu</t>
  </si>
  <si>
    <t>Mini Dang fb Bao Ngoc</t>
  </si>
  <si>
    <t>HD042394</t>
  </si>
  <si>
    <t>toà nhà Vietstay Apartment (cạnh tmv Mailisa) 84 Huỳnh Văn Bánh, p15</t>
  </si>
  <si>
    <t>Triệu Như Huyền</t>
  </si>
  <si>
    <t>HD042365</t>
  </si>
  <si>
    <t>39 bến vân đồn</t>
  </si>
  <si>
    <t>Trúc</t>
  </si>
  <si>
    <t>HD042322</t>
  </si>
  <si>
    <t>666/64/22 đường 3/2 phường Diên Hồng (phường 14 cũ)</t>
  </si>
  <si>
    <t>Daravin</t>
  </si>
  <si>
    <t>T2.10.8.2026</t>
  </si>
  <si>
    <t>NGAY 10-8</t>
  </si>
  <si>
    <t>kim xuyến</t>
  </si>
  <si>
    <t>HD042626</t>
  </si>
  <si>
    <t>1002 tạ quang bửu p6</t>
  </si>
  <si>
    <t>AT 10-08</t>
  </si>
  <si>
    <t>10-08-2026</t>
  </si>
  <si>
    <t>HD042511</t>
  </si>
  <si>
    <t>5M1/1 An Hạ, Tân Vĩnh Lộc (hẻm đối diện Lẩu dê Ba Hùng )</t>
  </si>
  <si>
    <t>Dung Vo</t>
  </si>
  <si>
    <t>HD042738</t>
  </si>
  <si>
    <t>50 đường 18 khu dân cư phong Phú 4 xã phong phú</t>
  </si>
  <si>
    <t>Người nhận: Meo meo</t>
  </si>
  <si>
    <t>HD042531</t>
  </si>
  <si>
    <t>2 nguyễn văn tưởng tân mỹ Chung cư infinnity, Tower 10 căn 20.02</t>
  </si>
  <si>
    <t>HD042791</t>
  </si>
  <si>
    <t>Mây</t>
  </si>
  <si>
    <t>HD042526</t>
  </si>
  <si>
    <t>Topaz Elite Phoenix 1 Block A, đường Tạ Quang Bửu, P4</t>
  </si>
  <si>
    <t>Jessika Piraya - (Jess-9244)</t>
  </si>
  <si>
    <t>HD042763</t>
  </si>
  <si>
    <t>Minh Hải (zalo: Nhi Ly Ly)</t>
  </si>
  <si>
    <t>HD042690</t>
  </si>
  <si>
    <t>Nguyễn Lý Kim Ngân</t>
  </si>
  <si>
    <t>HD042440</t>
  </si>
  <si>
    <t>137/31/14 phan anh, phường bình trị đông</t>
  </si>
  <si>
    <t>Nguyễn Thị Ngọc Tuyền</t>
  </si>
  <si>
    <t>HD042529</t>
  </si>
  <si>
    <t>287/62/3 âu dương lân phường 2</t>
  </si>
  <si>
    <t>Thùy Võ</t>
  </si>
  <si>
    <t>HD042774</t>
  </si>
  <si>
    <t>49 Lê Văn Việt, Tăng Nhơn Phú</t>
  </si>
  <si>
    <t>Vân Ang</t>
  </si>
  <si>
    <t>HD042768</t>
  </si>
  <si>
    <t>Toà S902A Vinhome grand park</t>
  </si>
  <si>
    <t>Giáng Hương</t>
  </si>
  <si>
    <t>HD042805</t>
  </si>
  <si>
    <t>111 đường số 10 phường 13</t>
  </si>
  <si>
    <t>Trần Thanh Hoàii</t>
  </si>
  <si>
    <t>HD042835</t>
  </si>
  <si>
    <t>Cc Babylon - Lock A - 683A Âu Cơ, phường Tân Thành</t>
  </si>
  <si>
    <t>Sominea Chuon (EV34968)</t>
  </si>
  <si>
    <t>HD042728</t>
  </si>
  <si>
    <t>C10/2B Quốc Lộ 1A, Xã Tân Nhựt</t>
  </si>
  <si>
    <t>HD042417</t>
  </si>
  <si>
    <t>nhà 20 đường 2B, phường Tân Mỹ</t>
  </si>
  <si>
    <t>Lê Thủy Tiên</t>
  </si>
  <si>
    <t>HD042632</t>
  </si>
  <si>
    <t>Chung cư Safira Khang điền 454 võ chí công</t>
  </si>
  <si>
    <t>Anh Bui (Website)</t>
  </si>
  <si>
    <t>HD042634</t>
  </si>
  <si>
    <t>36/18 khiếu năng tỉnh, phường an lạc a</t>
  </si>
  <si>
    <t>Nhớ Nhớ</t>
  </si>
  <si>
    <t>HD042703</t>
  </si>
  <si>
    <t>Sài gòn Mia block A đường 9a khu trung sơn bình hưng</t>
  </si>
  <si>
    <t>HD042546</t>
  </si>
  <si>
    <t>Saigon Riverside, Complex (Block C1), số 4 Đào Trí, Phú Thuận</t>
  </si>
  <si>
    <t>Mie</t>
  </si>
  <si>
    <t>66 đường 17 p10</t>
  </si>
  <si>
    <t>Giao cho: Bảy fb Nhung Nguyen</t>
  </si>
  <si>
    <t>HD042815</t>
  </si>
  <si>
    <t>Số 97, đường Bùi Quang Là, phường An Hội Tây</t>
  </si>
  <si>
    <t>Phạm Dung</t>
  </si>
  <si>
    <t>HD042826</t>
  </si>
  <si>
    <t>208 nguyễn hữu cảnh phường 22 chung cư vinhome toà lanmark 5</t>
  </si>
  <si>
    <t>Thảo - fb YuMi Dễ Thương</t>
  </si>
  <si>
    <t>HD042638</t>
  </si>
  <si>
    <t>Số nhà 95 Gò Dưa, Tam Bình</t>
  </si>
  <si>
    <t>Thanh Thảo</t>
  </si>
  <si>
    <t>HD042736</t>
  </si>
  <si>
    <t>47/3 lê trực, phường gia định</t>
  </si>
  <si>
    <t>Jenny Mai</t>
  </si>
  <si>
    <t>HD042762</t>
  </si>
  <si>
    <t>641 Quang Trung, Thông Tây Hội</t>
  </si>
  <si>
    <t>Liên Đặng</t>
  </si>
  <si>
    <t>HD042817</t>
  </si>
  <si>
    <t>42 đường 28, phường Cát Lái</t>
  </si>
  <si>
    <t>Yến Nhi</t>
  </si>
  <si>
    <t>HD042520</t>
  </si>
  <si>
    <t>17/9 đường 59, phường thảo điền</t>
  </si>
  <si>
    <t>Trinh Trinh</t>
  </si>
  <si>
    <t>HD042700</t>
  </si>
  <si>
    <t>18/10/5 đường 53 p14</t>
  </si>
  <si>
    <t>Miu baby</t>
  </si>
  <si>
    <t>HD042713</t>
  </si>
  <si>
    <t>1082 lê đức thọ, p. an hội đông</t>
  </si>
  <si>
    <t>Trâm Tú Trinh (Malaysia)</t>
  </si>
  <si>
    <t>HD042680</t>
  </si>
  <si>
    <t>My Yến</t>
  </si>
  <si>
    <t>HD042765</t>
  </si>
  <si>
    <t>334/33/1C Chu văn an, phường 12</t>
  </si>
  <si>
    <t>HD042467</t>
  </si>
  <si>
    <t>Thuý Nhi Nguyễn</t>
  </si>
  <si>
    <t>HD042771</t>
  </si>
  <si>
    <t>42 đường 13 kdc vạn phú hiệp bình phước</t>
  </si>
  <si>
    <t>HD042595</t>
  </si>
  <si>
    <t>HD042621</t>
  </si>
  <si>
    <t>225 Thống Nhất, An Hội Đông (Trà sữa Tam Hảo)</t>
  </si>
  <si>
    <t>Jun</t>
  </si>
  <si>
    <t>HD042790</t>
  </si>
  <si>
    <t>385H Nguyễn Trãi, p.Nguyễn Cư Trinh</t>
  </si>
  <si>
    <t>Hoàng Ngọc</t>
  </si>
  <si>
    <t>HD042730</t>
  </si>
  <si>
    <t>62/73/5 lý chính thắng, phường võ thị sáu</t>
  </si>
  <si>
    <t>Ánh Hồng</t>
  </si>
  <si>
    <t>HD042733</t>
  </si>
  <si>
    <t>31 gò cấm điệm</t>
  </si>
  <si>
    <t>Minh Châu Tô</t>
  </si>
  <si>
    <t>HD042625</t>
  </si>
  <si>
    <t>684/37 trần hưng đạo</t>
  </si>
  <si>
    <t>Tường Vi</t>
  </si>
  <si>
    <t>HD042462</t>
  </si>
  <si>
    <t>132 bến vân đồn p6</t>
  </si>
  <si>
    <t>Nga Trần fb Kim Nguyen</t>
  </si>
  <si>
    <t>HD042795</t>
  </si>
  <si>
    <t>305 nguyên trại p7</t>
  </si>
  <si>
    <t>Yến</t>
  </si>
  <si>
    <t>HD042727</t>
  </si>
  <si>
    <t>148/1 bàu cát 1 p12</t>
  </si>
  <si>
    <t>Lam Kim Phung</t>
  </si>
  <si>
    <t>HD042630</t>
  </si>
  <si>
    <t>109/14 nguyễn thiện thuật bàn cờ</t>
  </si>
  <si>
    <t>Moka</t>
  </si>
  <si>
    <t>HD042382</t>
  </si>
  <si>
    <t>19 Yên Thế, phường Tân Sơn Hòa</t>
  </si>
  <si>
    <t>HIẾU (fb Huyen Nguyen)</t>
  </si>
  <si>
    <t>HD042631</t>
  </si>
  <si>
    <t>623/43 CMT8 p15</t>
  </si>
  <si>
    <t>HD042799</t>
  </si>
  <si>
    <t>Khải - fb Ny Dương</t>
  </si>
  <si>
    <t>HD042691</t>
  </si>
  <si>
    <t>2/11 đường thiên, phường Tân Hòa</t>
  </si>
  <si>
    <t>kh ck shop 875k</t>
  </si>
  <si>
    <t>Trang Nguyen - Thảo</t>
  </si>
  <si>
    <t>HD042507</t>
  </si>
  <si>
    <t>Giao về Tòa nhà văn phòng Sky Gate, số 36-38 Nguyễn Văn Trỗi, phường 15</t>
  </si>
  <si>
    <t>Yen Thi Kim Le</t>
  </si>
  <si>
    <t>HD042629</t>
  </si>
  <si>
    <t>549 Điện Biên Phủ bàn cờ</t>
  </si>
  <si>
    <t>đơn trùng 4.8 - HD040808</t>
  </si>
  <si>
    <t>T3.11.8.2026</t>
  </si>
  <si>
    <t>NGAY 11-8</t>
  </si>
  <si>
    <t>c duyên - fb Hà Túi</t>
  </si>
  <si>
    <t>HD042984</t>
  </si>
  <si>
    <t>15a duong nguyễn hữu thọ Toa t1</t>
  </si>
  <si>
    <t>AT 11-08</t>
  </si>
  <si>
    <t>11-08-2026</t>
  </si>
  <si>
    <t>Trần Nhung</t>
  </si>
  <si>
    <t>HD042987</t>
  </si>
  <si>
    <t>Chung cư the Privia lock A 321 an dương vương an lạc</t>
  </si>
  <si>
    <t>HD042899</t>
  </si>
  <si>
    <t>Trần Ngọc Phi Yến</t>
  </si>
  <si>
    <t>HD042992</t>
  </si>
  <si>
    <t>58 Đường 109, Phước Long B</t>
  </si>
  <si>
    <t>HD042860</t>
  </si>
  <si>
    <t>Ngân - fb Mỹ Mỹ</t>
  </si>
  <si>
    <t>HD042985</t>
  </si>
  <si>
    <t>32 Thích Mật Thể, p Cát Lái</t>
  </si>
  <si>
    <t>My Nguyễn</t>
  </si>
  <si>
    <t>HD042946</t>
  </si>
  <si>
    <t>15b/62 Lê Thánh Tôn,P.Bến Nghé</t>
  </si>
  <si>
    <t>Quỳnh Hương</t>
  </si>
  <si>
    <t>HD043014</t>
  </si>
  <si>
    <t>33 lê lai phường bảy hiền</t>
  </si>
  <si>
    <t>Thi Vo</t>
  </si>
  <si>
    <t>HD042943</t>
  </si>
  <si>
    <t>3, NGÔ THỊ THU MINH, F2</t>
  </si>
  <si>
    <t>HD043026</t>
  </si>
  <si>
    <t>An Di</t>
  </si>
  <si>
    <t>HD042858</t>
  </si>
  <si>
    <t>Diệu</t>
  </si>
  <si>
    <t>159/43/5 Đường Bạch Đằng, phường Tân Sơn Hòa</t>
  </si>
  <si>
    <t>Minh Tuệ</t>
  </si>
  <si>
    <t>11 nguyễn Trọng lội - phường Tân Sơn Nhất (phường 4 cũ)</t>
  </si>
  <si>
    <t>T4.12.8.2026</t>
  </si>
  <si>
    <t>NGAY 12-8</t>
  </si>
  <si>
    <t>Tuyết Hoa</t>
  </si>
  <si>
    <t>HD043297</t>
  </si>
  <si>
    <t>308/8 tân hương, phường phú thọ hòa</t>
  </si>
  <si>
    <t>AT 12-08</t>
  </si>
  <si>
    <t>12-08-2026</t>
  </si>
  <si>
    <t>HD043140</t>
  </si>
  <si>
    <t>Minh Hoa Le</t>
  </si>
  <si>
    <t>HD043283</t>
  </si>
  <si>
    <t>1a/256 ấp 1 xã phạm văn hai</t>
  </si>
  <si>
    <t>Hiếu Phan</t>
  </si>
  <si>
    <t>HD043299</t>
  </si>
  <si>
    <t xml:space="preserve">BS10A vinhomes grand park, phường long bình </t>
  </si>
  <si>
    <t>Trần Thị Kim Phương</t>
  </si>
  <si>
    <t>HD043198</t>
  </si>
  <si>
    <t>1870\1\98\14a tỉnh lộ 10 tân tạo</t>
  </si>
  <si>
    <t>Kim Loan</t>
  </si>
  <si>
    <t>HD043288</t>
  </si>
  <si>
    <t>Sảnh Dragon 2A chung cư Topaz Elite, 549 Tạ Quang Bửu, phường Chánh Hưng</t>
  </si>
  <si>
    <t>Tuyến fb Cỏ Đuôi Gà</t>
  </si>
  <si>
    <t>HD043095</t>
  </si>
  <si>
    <t>7/88, Ik 5-6, Bình Hưng hoà B</t>
  </si>
  <si>
    <t>Hàn Bảo Xuyên</t>
  </si>
  <si>
    <t>HD043168</t>
  </si>
  <si>
    <t>2a đường 79, phường tân quy</t>
  </si>
  <si>
    <t>Lam Thanh Ha</t>
  </si>
  <si>
    <t>HD043149</t>
  </si>
  <si>
    <t>132 Đinh Đức Thiện</t>
  </si>
  <si>
    <t>Nguyễn Thùy</t>
  </si>
  <si>
    <t>HD043256</t>
  </si>
  <si>
    <t>71/46 gò xoài p bình hưng hoà a</t>
  </si>
  <si>
    <t>Thaoyumi</t>
  </si>
  <si>
    <t>HD043115</t>
  </si>
  <si>
    <t>Số 17, Đường Số 13, Phường Bình Hưng Hòa</t>
  </si>
  <si>
    <t>Nghi Pretty</t>
  </si>
  <si>
    <t>HD043275</t>
  </si>
  <si>
    <t>1806/127/62 huỳnh tấn phát</t>
  </si>
  <si>
    <t>Linh Khánh</t>
  </si>
  <si>
    <t>HD043285</t>
  </si>
  <si>
    <t>25A đường số 10, phường an khánh</t>
  </si>
  <si>
    <t>HD043294</t>
  </si>
  <si>
    <t>42 đường 13 kdc vạn phúc hiệp bình phước</t>
  </si>
  <si>
    <t>W3496 -Sasikarn</t>
  </si>
  <si>
    <t>HD043041</t>
  </si>
  <si>
    <t>624 Lê Thị Riêng, Thới An , Bãi Xe Thiên Quân</t>
  </si>
  <si>
    <t>Mai Mai</t>
  </si>
  <si>
    <t>HD043281</t>
  </si>
  <si>
    <t>Mai Mai 22 đường 25 Hiệp Bình</t>
  </si>
  <si>
    <t>Nuong Huynh</t>
  </si>
  <si>
    <t>HD043176</t>
  </si>
  <si>
    <t>67 mai chí thọ, phường an phú, Cc lexington block B</t>
  </si>
  <si>
    <t>Dư Minh Châu</t>
  </si>
  <si>
    <t>HD043274</t>
  </si>
  <si>
    <t>107 nguyễn cơ thạch, an khánh</t>
  </si>
  <si>
    <t>HD043181</t>
  </si>
  <si>
    <t>Lotus Tram</t>
  </si>
  <si>
    <t>HD043110</t>
  </si>
  <si>
    <t>Số 3, đường 37,khu dân cư vạn phúc?phường hiệp bình phước</t>
  </si>
  <si>
    <t>HD043215</t>
  </si>
  <si>
    <t>HD043257</t>
  </si>
  <si>
    <t>Linh Anh</t>
  </si>
  <si>
    <t>HD043292</t>
  </si>
  <si>
    <t>208 nguyễn hữu cảnh phường 22, Sảnh cư dân tòa LM81</t>
  </si>
  <si>
    <t>28 Trần Thị Cờ, Phường Thới An</t>
  </si>
  <si>
    <t>Emily Luu</t>
  </si>
  <si>
    <t>HD043287</t>
  </si>
  <si>
    <t>826 nguyễn chí thanh p4</t>
  </si>
  <si>
    <t>Lê Thuỳ Linh</t>
  </si>
  <si>
    <t>HD043100</t>
  </si>
  <si>
    <t>474/6 trần hưng đạo chợ quán</t>
  </si>
  <si>
    <t>Phan Thuỳ Dương</t>
  </si>
  <si>
    <t>HD043226</t>
  </si>
  <si>
    <t>15 Nguyễn Giản Thanh, P. Hòa Hưng</t>
  </si>
  <si>
    <t>Jolly Ngô</t>
  </si>
  <si>
    <t>HD043289</t>
  </si>
  <si>
    <t>214/90 hàn hải nguyên, f9</t>
  </si>
  <si>
    <t>kh ck shop 885k</t>
  </si>
  <si>
    <t>Winnie Wn</t>
  </si>
  <si>
    <t>HD043291</t>
  </si>
  <si>
    <t>79/27 Trần Văn Đang, phường Nhiêu Lộc</t>
  </si>
  <si>
    <t>Pham Ngoc Nhat Vy</t>
  </si>
  <si>
    <t>HD043276</t>
  </si>
  <si>
    <t>C8 cu xa Phu Tho Hoa p10</t>
  </si>
  <si>
    <t>Nhung Nguyen</t>
  </si>
  <si>
    <t>HD043279</t>
  </si>
  <si>
    <t>314/2p điện biên phủ</t>
  </si>
  <si>
    <t>tuyền</t>
  </si>
  <si>
    <t>HD043258</t>
  </si>
  <si>
    <t>1/12A calmette, phường nguyễn thái bình</t>
  </si>
  <si>
    <t>T5.13.8.2026</t>
  </si>
  <si>
    <t>NGAY 13-8</t>
  </si>
  <si>
    <t>HD043572</t>
  </si>
  <si>
    <t>AT 13-08</t>
  </si>
  <si>
    <t>13-08-2026</t>
  </si>
  <si>
    <t>Lucy Nguyễn</t>
  </si>
  <si>
    <t>HD043574</t>
  </si>
  <si>
    <t>r5 cư xá phú lâm a,p12</t>
  </si>
  <si>
    <t>Lê Thị Kim Chi</t>
  </si>
  <si>
    <t>HD043573</t>
  </si>
  <si>
    <t>20/45 đường số 1, bình Hưng hòa a</t>
  </si>
  <si>
    <t>Trần Khả Nhi</t>
  </si>
  <si>
    <t>HD043613</t>
  </si>
  <si>
    <t>287/22 âu dương lân phường chánh hưng</t>
  </si>
  <si>
    <t>Xuyen Le</t>
  </si>
  <si>
    <t>HD043407</t>
  </si>
  <si>
    <t>107 nguyễn văn linh (A18.08) phường tân thuận</t>
  </si>
  <si>
    <t>Minh Hải ( quỳnh vũ )</t>
  </si>
  <si>
    <t>HD043409</t>
  </si>
  <si>
    <t>số 17 đường số 13 phường bình hưng hòa</t>
  </si>
  <si>
    <t>Huỳnh Bảo Trân</t>
  </si>
  <si>
    <t>HD043369</t>
  </si>
  <si>
    <t>12a3 đường c4 phạm hùng bình hưng</t>
  </si>
  <si>
    <t>Phạm Yến</t>
  </si>
  <si>
    <t>HD043612</t>
  </si>
  <si>
    <t>64b đường số 32, đường bình trị đông b</t>
  </si>
  <si>
    <t>NGÂN KIM</t>
  </si>
  <si>
    <t>T8-20 mahattan vinhomes Grand park, phường long bình</t>
  </si>
  <si>
    <t>Hoà Lê</t>
  </si>
  <si>
    <t>số 42/43 Nguyễn Minh Hoàng, phường 12</t>
  </si>
  <si>
    <t>HD043563</t>
  </si>
  <si>
    <t>Truc Le</t>
  </si>
  <si>
    <t>HD043575</t>
  </si>
  <si>
    <t>69 đường số 2 khu phố 1 phường tam bình</t>
  </si>
  <si>
    <t>MQTC0175/NGUYỄN NGUYỆT PHÁT</t>
  </si>
  <si>
    <t>HD043567</t>
  </si>
  <si>
    <t>144C Trần Thị Trọng, Phường 15 (Cổng lò cũ)</t>
  </si>
  <si>
    <t>Linh Nguyễn</t>
  </si>
  <si>
    <t>HD043626</t>
  </si>
  <si>
    <t>39 đường số 3, lakeview city, phường bình trưng</t>
  </si>
  <si>
    <t>Hoàng Trâm Anh</t>
  </si>
  <si>
    <t>HD043629</t>
  </si>
  <si>
    <t>11 Nguyễn Bá Huân phường thảo điền</t>
  </si>
  <si>
    <t>HD043458</t>
  </si>
  <si>
    <t>ELLY NGUYỄN - THẮM NGUYỄN</t>
  </si>
  <si>
    <t>HD043549</t>
  </si>
  <si>
    <t>120/3/11 Đặng Thùy Trâm, P13 ( CTY GIA HUY EXPRESS )</t>
  </si>
  <si>
    <t>HD043624</t>
  </si>
  <si>
    <t>364 Phạm Văn chiêu p9</t>
  </si>
  <si>
    <t>c bình fb Hứa Hân</t>
  </si>
  <si>
    <t>HD043609</t>
  </si>
  <si>
    <t>146 nguyễn văn hưởng, an khánh ( nhà số f3 )</t>
  </si>
  <si>
    <t>Thúy Nhi Nguyễn</t>
  </si>
  <si>
    <t>HD043598</t>
  </si>
  <si>
    <t>42 đường 13 kdc vạn phủ hiệp bình phước</t>
  </si>
  <si>
    <t>Thảo Ly Nguyễn</t>
  </si>
  <si>
    <t>HD043566</t>
  </si>
  <si>
    <t>35/4 đường Nguyễn thị búp, phường hiệp thành</t>
  </si>
  <si>
    <t>Binh Minh</t>
  </si>
  <si>
    <t>HD043595</t>
  </si>
  <si>
    <t>tòa Be5,vinhome grand park,long bình</t>
  </si>
  <si>
    <t>Nguyễn Thị Mỹ Phúc</t>
  </si>
  <si>
    <t>HD043619</t>
  </si>
  <si>
    <t>nhaThe Sun Avenue (tòa S5) 28 Mai Chí Thọ, An Phú</t>
  </si>
  <si>
    <t>Ny phạm</t>
  </si>
  <si>
    <t>HD043578</t>
  </si>
  <si>
    <t>1072/11 Trường Sa, phường nhiêu lộc</t>
  </si>
  <si>
    <t>_____det_____ Insta</t>
  </si>
  <si>
    <t>HD043329</t>
  </si>
  <si>
    <t>Phnom Penh NHÀ XE KHAI NAM, 363 Hùng Vương, p9</t>
  </si>
  <si>
    <t>SREYGNEGN NOEUN (Insta dalissd) - VIP</t>
  </si>
  <si>
    <t>HD043403</t>
  </si>
  <si>
    <t>363-365-367, 363 Đ. Hùng Vương - Khải Nam transport</t>
  </si>
  <si>
    <t>HD043614</t>
  </si>
  <si>
    <t>Vân Vân</t>
  </si>
  <si>
    <t>HD043361</t>
  </si>
  <si>
    <t>25/39 cửu long p2</t>
  </si>
  <si>
    <t>HD043419</t>
  </si>
  <si>
    <t>A75/6B/2 Bạch Đằng, Phường Tân Sơn Hòa</t>
  </si>
  <si>
    <t>chị Thanh Vy</t>
  </si>
  <si>
    <t>HD043398</t>
  </si>
  <si>
    <t>78/10/2c khánh hội phường 4</t>
  </si>
  <si>
    <t>Tường Vy</t>
  </si>
  <si>
    <t>HD043616</t>
  </si>
  <si>
    <t>61/14 an bình p6</t>
  </si>
  <si>
    <t>Bác Sĩ Mỹ</t>
  </si>
  <si>
    <t>HD043569</t>
  </si>
  <si>
    <t>296 phan đình phùng, P cầu kiệu</t>
  </si>
  <si>
    <t>Ellery Nguyễn</t>
  </si>
  <si>
    <t>HD043600</t>
  </si>
  <si>
    <t>595/35/22C cmt8 Phường Hòa Hưng (p15 cũ)</t>
  </si>
  <si>
    <t>Trúc Ly</t>
  </si>
  <si>
    <t>HD043592</t>
  </si>
  <si>
    <t>130 châu văn liêm phường 11</t>
  </si>
  <si>
    <t>Mỹ Linh</t>
  </si>
  <si>
    <t>HD043333</t>
  </si>
  <si>
    <t>Đường D2, chung cư Phúc Đạt, phường Phú Lợi</t>
  </si>
  <si>
    <t>tinh</t>
  </si>
  <si>
    <t>hàng tỉnh</t>
  </si>
  <si>
    <t>đơn trả 14.8</t>
  </si>
  <si>
    <t>T6.14.8.2026</t>
  </si>
  <si>
    <t>NGAY 14-8</t>
  </si>
  <si>
    <t>HD043665</t>
  </si>
  <si>
    <t>213/20/3 lê đình cẩn, phường tân tạo</t>
  </si>
  <si>
    <t>AT 14-08</t>
  </si>
  <si>
    <t>14-08-2026</t>
  </si>
  <si>
    <t>Trâm Đoàn</t>
  </si>
  <si>
    <t>HD043733</t>
  </si>
  <si>
    <t>37 cao lo p chánh hưng</t>
  </si>
  <si>
    <t>Kim Quyên</t>
  </si>
  <si>
    <t>HD043869</t>
  </si>
  <si>
    <t>336/20 nguyen van luong</t>
  </si>
  <si>
    <t>Nguyễn Thị Kim Thoa</t>
  </si>
  <si>
    <t>HD043840</t>
  </si>
  <si>
    <t>số 25a đường 22 bình hưng hòa a</t>
  </si>
  <si>
    <t>HD043778</t>
  </si>
  <si>
    <t>Quyn Nguyễn</t>
  </si>
  <si>
    <t>HD043782</t>
  </si>
  <si>
    <t>chung cư emerald block C khu celadon</t>
  </si>
  <si>
    <t>Chị Phương</t>
  </si>
  <si>
    <t>HD043749</t>
  </si>
  <si>
    <t>984/62 hà huy giáp</t>
  </si>
  <si>
    <t>Trà My</t>
  </si>
  <si>
    <t>HD043829</t>
  </si>
  <si>
    <t>2225 phạm the hien p6</t>
  </si>
  <si>
    <t>Vân HuGô</t>
  </si>
  <si>
    <t>HD043690</t>
  </si>
  <si>
    <t>76/7 XTT 2-2, ấp 1, xã bà điểm</t>
  </si>
  <si>
    <t>Minh Hải (Fb: gia hân)</t>
  </si>
  <si>
    <t>HD043777</t>
  </si>
  <si>
    <t>Gia Hân</t>
  </si>
  <si>
    <t>HD043901</t>
  </si>
  <si>
    <t>638 phạm thế hiển p4</t>
  </si>
  <si>
    <t>Yuri</t>
  </si>
  <si>
    <t>66 đường 17, phường bình phú</t>
  </si>
  <si>
    <t>NGỌC TRẦN</t>
  </si>
  <si>
    <t>940/4B Lò Gốm P8</t>
  </si>
  <si>
    <t xml:space="preserve">Linh kêu lấy hàng về </t>
  </si>
  <si>
    <t>Liên Hoa</t>
  </si>
  <si>
    <t>HD043886</t>
  </si>
  <si>
    <t>Quỳnh</t>
  </si>
  <si>
    <t>HD043884</t>
  </si>
  <si>
    <t>82 đường số 10 . Phường 10, kdc cityland</t>
  </si>
  <si>
    <t>Công Thanh - Bảo Trân</t>
  </si>
  <si>
    <t>HD043880</t>
  </si>
  <si>
    <t>40/12 Trần Não, An Khánh, Hẻm FPT quẹo vào cuối hẻm ngay văn phòng EHome</t>
  </si>
  <si>
    <t>Linh Sam</t>
  </si>
  <si>
    <t>HD043885</t>
  </si>
  <si>
    <t>Chung cư Empire City toà tilia - đường N17, phường An Khánh</t>
  </si>
  <si>
    <t>Khả Trân</t>
  </si>
  <si>
    <t>HD043879</t>
  </si>
  <si>
    <t>223 nguyễn xí</t>
  </si>
  <si>
    <t>Minh Thư</t>
  </si>
  <si>
    <t>HD043774</t>
  </si>
  <si>
    <t>6/24 tân chánh hiệp 36, p trung mỹ tây</t>
  </si>
  <si>
    <t>Trần Nguyễn Quỳnh My</t>
  </si>
  <si>
    <t>HD043838</t>
  </si>
  <si>
    <t>Palm Residence - đường Song Hành, Cao Tốc HCM, ĐCT HCM Long Thành Dầu Giây, Nam Rạch Chiếc, Phường An Phú</t>
  </si>
  <si>
    <t>Ngô Trinh</t>
  </si>
  <si>
    <t>HD043687</t>
  </si>
  <si>
    <t>số 7 đường 36a phường bình trưng (phường an phú cũ)</t>
  </si>
  <si>
    <t>Mai Huỳnh</t>
  </si>
  <si>
    <t>HD043766</t>
  </si>
  <si>
    <t>837 Kha vạn cân phường linh xuân</t>
  </si>
  <si>
    <t>Lê Huy - fb Hà Oanh</t>
  </si>
  <si>
    <t>HD043607</t>
  </si>
  <si>
    <t>19e Nguyễn Hữu Cảnh p.thạnh mỹ tây</t>
  </si>
  <si>
    <t>trang trần 2</t>
  </si>
  <si>
    <t>384/22 phạm văn bạch, Tân Sơn</t>
  </si>
  <si>
    <t>W2459</t>
  </si>
  <si>
    <t>NHUNG HM</t>
  </si>
  <si>
    <t>8/1 nguyễn ảnh thủ, trung Chánh</t>
  </si>
  <si>
    <t>Bùi Ngọc Châu</t>
  </si>
  <si>
    <t>HD043726</t>
  </si>
  <si>
    <t>35/15a trần đình xu</t>
  </si>
  <si>
    <t>Ngọc Ngân</t>
  </si>
  <si>
    <t>HD043878</t>
  </si>
  <si>
    <t>87 duong so 79, tan quy</t>
  </si>
  <si>
    <t>HD043673</t>
  </si>
  <si>
    <t>Minơ - Angela Ngọc Nữ</t>
  </si>
  <si>
    <t>HD043839</t>
  </si>
  <si>
    <t>chung cư Sài Gòn Mia - lock A ) 200 đường số 9A- xã binh hưng</t>
  </si>
  <si>
    <t>HD043666</t>
  </si>
  <si>
    <t>cc luxcity số 528 huỳnh tấn phát p tân thuận (mới)</t>
  </si>
  <si>
    <t>Phạm Nguyễn Ân Giao</t>
  </si>
  <si>
    <t>HD043671</t>
  </si>
  <si>
    <t>58 B Nguyễn Thị Thập, chung cư Golden Star</t>
  </si>
  <si>
    <t>Nguyên Yến</t>
  </si>
  <si>
    <t>HD043761</t>
  </si>
  <si>
    <t>67/36 bui van ba tan thuan dong</t>
  </si>
  <si>
    <t>HD043846</t>
  </si>
  <si>
    <t>595/35/22C cmt8, Phường Hòa Hưng (p15 cũ)</t>
  </si>
  <si>
    <t>VVI EVA</t>
  </si>
  <si>
    <t>141 hùng vương phường 4</t>
  </si>
  <si>
    <t>kh ck shop 910k</t>
  </si>
  <si>
    <t>kh ck shop 1390k</t>
  </si>
  <si>
    <t>đổi hàng, kh ck shop 25k</t>
  </si>
  <si>
    <t>kh ck shop 25k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</si>
</sst>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8" fillId="2" borderId="1" xfId="0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8" fillId="0" borderId="0" xfId="0" applyFont="1"/>
    <xf numFmtId="0" fontId="9" fillId="0" borderId="1" xfId="0" applyFont="1" applyBorder="1"/>
    <xf numFmtId="3" fontId="9" fillId="0" borderId="1" xfId="0" applyNumberFormat="1" applyFont="1" applyBorder="1"/>
    <xf numFmtId="0" fontId="9" fillId="2" borderId="1" xfId="0" applyFont="1" applyFill="1" applyBorder="1"/>
    <xf numFmtId="0" fontId="9" fillId="9" borderId="1" xfId="0" applyFont="1" applyFill="1" applyBorder="1"/>
    <xf numFmtId="3" fontId="9" fillId="9" borderId="1" xfId="0" applyNumberFormat="1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54"/>
  <sheetViews>
    <sheetView topLeftCell="A34" zoomScale="82" zoomScaleNormal="80" workbookViewId="0">
      <selection activeCell="D34" sqref="D3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30</v>
      </c>
      <c r="D3" s="17" t="s">
        <v>31</v>
      </c>
      <c r="E3" s="17" t="s">
        <v>32</v>
      </c>
      <c r="F3" s="17" t="s">
        <v>33</v>
      </c>
      <c r="G3" s="18">
        <v>715</v>
      </c>
      <c r="H3" s="18">
        <v>25</v>
      </c>
      <c r="I3" s="18">
        <f t="shared" ref="I3:I40" si="0">G3-H3</f>
        <v>690</v>
      </c>
      <c r="J3" s="17" t="s">
        <v>34</v>
      </c>
      <c r="K3" s="17" t="s">
        <v>35</v>
      </c>
      <c r="L3" s="17" t="s">
        <v>36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37</v>
      </c>
      <c r="D4" s="17" t="s">
        <v>38</v>
      </c>
      <c r="E4" s="17" t="s">
        <v>39</v>
      </c>
      <c r="F4" s="18">
        <v>8</v>
      </c>
      <c r="G4" s="18">
        <v>920</v>
      </c>
      <c r="H4" s="18">
        <v>30</v>
      </c>
      <c r="I4" s="18">
        <f t="shared" si="0"/>
        <v>890</v>
      </c>
      <c r="J4" s="17" t="s">
        <v>34</v>
      </c>
      <c r="K4" s="17" t="s">
        <v>35</v>
      </c>
      <c r="L4" s="17" t="s">
        <v>36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40</v>
      </c>
      <c r="D5" s="17" t="s">
        <v>41</v>
      </c>
      <c r="E5" s="17" t="s">
        <v>42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34</v>
      </c>
      <c r="K5" s="17" t="s">
        <v>35</v>
      </c>
      <c r="L5" s="17" t="s">
        <v>36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43</v>
      </c>
      <c r="D6" s="17" t="s">
        <v>44</v>
      </c>
      <c r="E6" s="17" t="s">
        <v>45</v>
      </c>
      <c r="F6" s="17" t="s">
        <v>46</v>
      </c>
      <c r="G6" s="18">
        <v>0</v>
      </c>
      <c r="H6" s="18">
        <v>25</v>
      </c>
      <c r="I6" s="18">
        <f t="shared" si="0"/>
        <v>-25</v>
      </c>
      <c r="J6" s="17" t="s">
        <v>34</v>
      </c>
      <c r="K6" s="17" t="s">
        <v>35</v>
      </c>
      <c r="L6" s="17" t="s">
        <v>36</v>
      </c>
      <c r="M6" s="17"/>
      <c r="N6" s="17"/>
      <c r="O6" s="17"/>
      <c r="P6" s="17"/>
      <c r="Q6" s="17">
        <v>1</v>
      </c>
      <c r="R6" s="19">
        <f>H6</f>
        <v>25</v>
      </c>
    </row>
    <row r="7" spans="1:18" customFormat="1" x14ac:dyDescent="0.25">
      <c r="A7" s="17"/>
      <c r="B7" s="17" t="s">
        <v>29</v>
      </c>
      <c r="C7" s="17" t="s">
        <v>47</v>
      </c>
      <c r="D7" s="17" t="s">
        <v>48</v>
      </c>
      <c r="E7" s="17" t="s">
        <v>49</v>
      </c>
      <c r="F7" s="17" t="s">
        <v>50</v>
      </c>
      <c r="G7" s="18">
        <v>940</v>
      </c>
      <c r="H7" s="18">
        <v>30</v>
      </c>
      <c r="I7" s="18">
        <f t="shared" si="0"/>
        <v>910</v>
      </c>
      <c r="J7" s="17" t="s">
        <v>34</v>
      </c>
      <c r="K7" s="17" t="s">
        <v>35</v>
      </c>
      <c r="L7" s="17" t="s">
        <v>36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51</v>
      </c>
      <c r="D8" s="17" t="s">
        <v>52</v>
      </c>
      <c r="E8" s="17" t="s">
        <v>53</v>
      </c>
      <c r="F8" s="18">
        <v>11</v>
      </c>
      <c r="G8" s="18">
        <v>715</v>
      </c>
      <c r="H8" s="18">
        <v>25</v>
      </c>
      <c r="I8" s="18">
        <f t="shared" si="0"/>
        <v>690</v>
      </c>
      <c r="J8" s="17" t="s">
        <v>34</v>
      </c>
      <c r="K8" s="17" t="s">
        <v>35</v>
      </c>
      <c r="L8" s="17" t="s">
        <v>36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54</v>
      </c>
      <c r="D9" s="17" t="s">
        <v>55</v>
      </c>
      <c r="E9" s="17" t="s">
        <v>56</v>
      </c>
      <c r="F9" s="17" t="s">
        <v>57</v>
      </c>
      <c r="G9" s="18">
        <v>925</v>
      </c>
      <c r="H9" s="18">
        <v>35</v>
      </c>
      <c r="I9" s="18">
        <f t="shared" si="0"/>
        <v>890</v>
      </c>
      <c r="J9" s="17" t="s">
        <v>34</v>
      </c>
      <c r="K9" s="17" t="s">
        <v>35</v>
      </c>
      <c r="L9" s="17" t="s">
        <v>36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58</v>
      </c>
      <c r="D10" s="17" t="s">
        <v>59</v>
      </c>
      <c r="E10" s="17" t="s">
        <v>60</v>
      </c>
      <c r="F10" s="18">
        <v>8</v>
      </c>
      <c r="G10" s="18">
        <v>710</v>
      </c>
      <c r="H10" s="18">
        <v>30</v>
      </c>
      <c r="I10" s="18">
        <f t="shared" si="0"/>
        <v>680</v>
      </c>
      <c r="J10" s="17" t="s">
        <v>34</v>
      </c>
      <c r="K10" s="17" t="s">
        <v>35</v>
      </c>
      <c r="L10" s="17" t="s">
        <v>36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62</v>
      </c>
      <c r="D11" s="17"/>
      <c r="E11" s="17" t="s">
        <v>63</v>
      </c>
      <c r="F11" s="17" t="s">
        <v>50</v>
      </c>
      <c r="G11" s="18">
        <v>0</v>
      </c>
      <c r="H11" s="18">
        <v>35</v>
      </c>
      <c r="I11" s="18">
        <f t="shared" si="0"/>
        <v>-35</v>
      </c>
      <c r="J11" s="17" t="s">
        <v>34</v>
      </c>
      <c r="K11" s="17" t="s">
        <v>35</v>
      </c>
      <c r="L11" s="17" t="s">
        <v>36</v>
      </c>
      <c r="M11" s="17"/>
      <c r="N11" s="17"/>
      <c r="O11" s="17"/>
      <c r="P11" s="17"/>
      <c r="Q11" s="17">
        <v>1</v>
      </c>
      <c r="R11" s="19">
        <f>H11</f>
        <v>35</v>
      </c>
    </row>
    <row r="12" spans="1:18" customFormat="1" x14ac:dyDescent="0.25">
      <c r="A12" s="17"/>
      <c r="B12" s="17" t="s">
        <v>29</v>
      </c>
      <c r="C12" s="17" t="s">
        <v>64</v>
      </c>
      <c r="D12" s="17" t="s">
        <v>65</v>
      </c>
      <c r="E12" s="17" t="s">
        <v>66</v>
      </c>
      <c r="F12" s="18">
        <v>2</v>
      </c>
      <c r="G12" s="18">
        <v>940</v>
      </c>
      <c r="H12" s="18">
        <v>30</v>
      </c>
      <c r="I12" s="18">
        <f t="shared" si="0"/>
        <v>910</v>
      </c>
      <c r="J12" s="17" t="s">
        <v>35</v>
      </c>
      <c r="K12" s="17" t="s">
        <v>35</v>
      </c>
      <c r="L12" s="17" t="s">
        <v>36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67</v>
      </c>
      <c r="D13" s="17" t="s">
        <v>68</v>
      </c>
      <c r="E13" s="17" t="s">
        <v>69</v>
      </c>
      <c r="F13" s="17" t="s">
        <v>70</v>
      </c>
      <c r="G13" s="18">
        <v>915</v>
      </c>
      <c r="H13" s="18">
        <v>25</v>
      </c>
      <c r="I13" s="18">
        <f t="shared" si="0"/>
        <v>890</v>
      </c>
      <c r="J13" s="17" t="s">
        <v>35</v>
      </c>
      <c r="K13" s="17" t="s">
        <v>35</v>
      </c>
      <c r="L13" s="17" t="s">
        <v>36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71</v>
      </c>
      <c r="D14" s="17" t="s">
        <v>72</v>
      </c>
      <c r="E14" s="17" t="s">
        <v>73</v>
      </c>
      <c r="F14" s="18">
        <v>9</v>
      </c>
      <c r="G14" s="18">
        <v>1080</v>
      </c>
      <c r="H14" s="18">
        <v>30</v>
      </c>
      <c r="I14" s="18">
        <f t="shared" si="0"/>
        <v>1050</v>
      </c>
      <c r="J14" s="17" t="s">
        <v>35</v>
      </c>
      <c r="K14" s="17" t="s">
        <v>35</v>
      </c>
      <c r="L14" s="17" t="s">
        <v>36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74</v>
      </c>
      <c r="D15" s="17" t="s">
        <v>75</v>
      </c>
      <c r="E15" s="17" t="s">
        <v>76</v>
      </c>
      <c r="F15" s="17" t="s">
        <v>70</v>
      </c>
      <c r="G15" s="18">
        <v>1005</v>
      </c>
      <c r="H15" s="18">
        <v>25</v>
      </c>
      <c r="I15" s="18">
        <f t="shared" si="0"/>
        <v>980</v>
      </c>
      <c r="J15" s="17" t="s">
        <v>35</v>
      </c>
      <c r="K15" s="17" t="s">
        <v>35</v>
      </c>
      <c r="L15" s="17" t="s">
        <v>36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77</v>
      </c>
      <c r="D16" s="17" t="s">
        <v>78</v>
      </c>
      <c r="E16" s="17" t="s">
        <v>79</v>
      </c>
      <c r="F16" s="17" t="s">
        <v>80</v>
      </c>
      <c r="G16" s="18">
        <v>0</v>
      </c>
      <c r="H16" s="18">
        <v>20</v>
      </c>
      <c r="I16" s="18">
        <f t="shared" si="0"/>
        <v>-20</v>
      </c>
      <c r="J16" s="17" t="s">
        <v>35</v>
      </c>
      <c r="K16" s="17" t="s">
        <v>35</v>
      </c>
      <c r="L16" s="17" t="s">
        <v>36</v>
      </c>
      <c r="M16" s="17"/>
      <c r="N16" s="17"/>
      <c r="O16" s="17"/>
      <c r="P16" s="17"/>
      <c r="Q16" s="17">
        <v>1</v>
      </c>
      <c r="R16" s="19">
        <f>H16</f>
        <v>20</v>
      </c>
    </row>
    <row r="17" spans="1:18" customFormat="1" x14ac:dyDescent="0.25">
      <c r="A17" s="17"/>
      <c r="B17" s="17" t="s">
        <v>29</v>
      </c>
      <c r="C17" s="17" t="s">
        <v>81</v>
      </c>
      <c r="D17" s="17" t="s">
        <v>82</v>
      </c>
      <c r="E17" s="17" t="s">
        <v>83</v>
      </c>
      <c r="F17" s="17" t="s">
        <v>70</v>
      </c>
      <c r="G17" s="18">
        <v>515</v>
      </c>
      <c r="H17" s="18">
        <v>25</v>
      </c>
      <c r="I17" s="18">
        <f t="shared" si="0"/>
        <v>490</v>
      </c>
      <c r="J17" s="17" t="s">
        <v>35</v>
      </c>
      <c r="K17" s="17" t="s">
        <v>35</v>
      </c>
      <c r="L17" s="17" t="s">
        <v>36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84</v>
      </c>
      <c r="D18" s="17" t="s">
        <v>85</v>
      </c>
      <c r="E18" s="17" t="s">
        <v>86</v>
      </c>
      <c r="F18" s="17" t="s">
        <v>70</v>
      </c>
      <c r="G18" s="18">
        <v>0</v>
      </c>
      <c r="H18" s="18">
        <v>25</v>
      </c>
      <c r="I18" s="18">
        <f t="shared" si="0"/>
        <v>-25</v>
      </c>
      <c r="J18" s="17" t="s">
        <v>35</v>
      </c>
      <c r="K18" s="17" t="s">
        <v>35</v>
      </c>
      <c r="L18" s="17" t="s">
        <v>36</v>
      </c>
      <c r="M18" s="17"/>
      <c r="N18" s="17"/>
      <c r="O18" s="17"/>
      <c r="P18" s="17"/>
      <c r="Q18" s="17">
        <v>1</v>
      </c>
      <c r="R18" s="19">
        <f>H18</f>
        <v>25</v>
      </c>
    </row>
    <row r="19" spans="1:18" customFormat="1" x14ac:dyDescent="0.25">
      <c r="A19" s="17"/>
      <c r="B19" s="17" t="s">
        <v>29</v>
      </c>
      <c r="C19" s="17" t="s">
        <v>87</v>
      </c>
      <c r="D19" s="17" t="s">
        <v>88</v>
      </c>
      <c r="E19" s="17" t="s">
        <v>89</v>
      </c>
      <c r="F19" s="18">
        <v>9</v>
      </c>
      <c r="G19" s="18">
        <v>890</v>
      </c>
      <c r="H19" s="18">
        <v>30</v>
      </c>
      <c r="I19" s="18">
        <f t="shared" si="0"/>
        <v>860</v>
      </c>
      <c r="J19" s="17" t="s">
        <v>35</v>
      </c>
      <c r="K19" s="17" t="s">
        <v>35</v>
      </c>
      <c r="L19" s="17" t="s">
        <v>36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90</v>
      </c>
      <c r="D20" s="17" t="s">
        <v>91</v>
      </c>
      <c r="E20" s="17" t="s">
        <v>92</v>
      </c>
      <c r="F20" s="17" t="s">
        <v>70</v>
      </c>
      <c r="G20" s="18">
        <v>915</v>
      </c>
      <c r="H20" s="18">
        <v>25</v>
      </c>
      <c r="I20" s="18">
        <f t="shared" si="0"/>
        <v>890</v>
      </c>
      <c r="J20" s="17" t="s">
        <v>35</v>
      </c>
      <c r="K20" s="17" t="s">
        <v>35</v>
      </c>
      <c r="L20" s="17" t="s">
        <v>36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93</v>
      </c>
      <c r="D21" s="17" t="s">
        <v>94</v>
      </c>
      <c r="E21" s="17" t="s">
        <v>95</v>
      </c>
      <c r="F21" s="18">
        <v>12</v>
      </c>
      <c r="G21" s="18">
        <v>0</v>
      </c>
      <c r="H21" s="18">
        <v>30</v>
      </c>
      <c r="I21" s="18">
        <f t="shared" si="0"/>
        <v>-30</v>
      </c>
      <c r="J21" s="17" t="s">
        <v>35</v>
      </c>
      <c r="K21" s="17" t="s">
        <v>35</v>
      </c>
      <c r="L21" s="17" t="s">
        <v>36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29</v>
      </c>
      <c r="C22" s="17" t="s">
        <v>96</v>
      </c>
      <c r="D22" s="17" t="s">
        <v>97</v>
      </c>
      <c r="E22" s="17" t="s">
        <v>98</v>
      </c>
      <c r="F22" s="17" t="s">
        <v>80</v>
      </c>
      <c r="G22" s="18">
        <v>510</v>
      </c>
      <c r="H22" s="18">
        <v>20</v>
      </c>
      <c r="I22" s="18">
        <f t="shared" si="0"/>
        <v>490</v>
      </c>
      <c r="J22" s="17" t="s">
        <v>35</v>
      </c>
      <c r="K22" s="17" t="s">
        <v>35</v>
      </c>
      <c r="L22" s="17" t="s">
        <v>36</v>
      </c>
      <c r="M22" s="17"/>
      <c r="N22" s="17"/>
      <c r="O22" s="17"/>
      <c r="P22" s="17"/>
      <c r="Q22" s="17">
        <v>1</v>
      </c>
    </row>
    <row r="23" spans="1:18" s="22" customFormat="1" x14ac:dyDescent="0.25">
      <c r="A23" s="20"/>
      <c r="B23" s="20" t="s">
        <v>29</v>
      </c>
      <c r="C23" s="20" t="s">
        <v>99</v>
      </c>
      <c r="D23" s="20" t="s">
        <v>100</v>
      </c>
      <c r="E23" s="20" t="s">
        <v>101</v>
      </c>
      <c r="F23" s="21">
        <v>2</v>
      </c>
      <c r="G23" s="21">
        <v>30</v>
      </c>
      <c r="H23" s="21">
        <v>30</v>
      </c>
      <c r="I23" s="21">
        <f t="shared" si="0"/>
        <v>0</v>
      </c>
      <c r="J23" s="20" t="s">
        <v>35</v>
      </c>
      <c r="K23" s="20" t="s">
        <v>35</v>
      </c>
      <c r="L23" s="20" t="s">
        <v>36</v>
      </c>
      <c r="M23" s="20" t="s">
        <v>102</v>
      </c>
      <c r="N23" s="20"/>
      <c r="O23" s="20"/>
      <c r="P23" s="20"/>
      <c r="Q23" s="20">
        <v>1</v>
      </c>
    </row>
    <row r="24" spans="1:18" customFormat="1" x14ac:dyDescent="0.25">
      <c r="A24" s="17"/>
      <c r="B24" s="17" t="s">
        <v>29</v>
      </c>
      <c r="C24" s="17" t="s">
        <v>103</v>
      </c>
      <c r="D24" s="17" t="s">
        <v>104</v>
      </c>
      <c r="E24" s="17" t="s">
        <v>105</v>
      </c>
      <c r="F24" s="17" t="s">
        <v>106</v>
      </c>
      <c r="G24" s="18">
        <v>920</v>
      </c>
      <c r="H24" s="18">
        <v>30</v>
      </c>
      <c r="I24" s="18">
        <f t="shared" si="0"/>
        <v>890</v>
      </c>
      <c r="J24" s="17" t="s">
        <v>35</v>
      </c>
      <c r="K24" s="17" t="s">
        <v>35</v>
      </c>
      <c r="L24" s="17" t="s">
        <v>36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61</v>
      </c>
      <c r="B25" s="17" t="s">
        <v>29</v>
      </c>
      <c r="C25" s="17" t="s">
        <v>107</v>
      </c>
      <c r="D25" s="17"/>
      <c r="E25" s="17" t="s">
        <v>108</v>
      </c>
      <c r="F25" s="17" t="s">
        <v>70</v>
      </c>
      <c r="G25" s="18">
        <v>2485</v>
      </c>
      <c r="H25" s="18">
        <v>35</v>
      </c>
      <c r="I25" s="18">
        <f t="shared" si="0"/>
        <v>2450</v>
      </c>
      <c r="J25" s="17" t="s">
        <v>35</v>
      </c>
      <c r="K25" s="17" t="s">
        <v>35</v>
      </c>
      <c r="L25" s="17" t="s">
        <v>36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61</v>
      </c>
      <c r="B26" s="17" t="s">
        <v>29</v>
      </c>
      <c r="C26" s="17" t="s">
        <v>109</v>
      </c>
      <c r="D26" s="17"/>
      <c r="E26" s="17" t="s">
        <v>110</v>
      </c>
      <c r="F26" s="17" t="s">
        <v>70</v>
      </c>
      <c r="G26" s="18">
        <v>3155</v>
      </c>
      <c r="H26" s="18">
        <v>35</v>
      </c>
      <c r="I26" s="18">
        <f t="shared" si="0"/>
        <v>3120</v>
      </c>
      <c r="J26" s="17" t="s">
        <v>35</v>
      </c>
      <c r="K26" s="17" t="s">
        <v>35</v>
      </c>
      <c r="L26" s="17" t="s">
        <v>36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111</v>
      </c>
      <c r="D27" s="17"/>
      <c r="E27" s="17" t="s">
        <v>112</v>
      </c>
      <c r="F27" s="17" t="s">
        <v>70</v>
      </c>
      <c r="G27" s="18">
        <v>35</v>
      </c>
      <c r="H27" s="18">
        <v>35</v>
      </c>
      <c r="I27" s="18">
        <f t="shared" si="0"/>
        <v>0</v>
      </c>
      <c r="J27" s="17" t="s">
        <v>35</v>
      </c>
      <c r="K27" s="17" t="s">
        <v>35</v>
      </c>
      <c r="L27" s="17" t="s">
        <v>36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113</v>
      </c>
      <c r="D28" s="17"/>
      <c r="E28" s="17" t="s">
        <v>114</v>
      </c>
      <c r="F28" s="17" t="s">
        <v>80</v>
      </c>
      <c r="G28" s="18">
        <v>30</v>
      </c>
      <c r="H28" s="18">
        <v>30</v>
      </c>
      <c r="I28" s="18">
        <f t="shared" si="0"/>
        <v>0</v>
      </c>
      <c r="J28" s="17" t="s">
        <v>35</v>
      </c>
      <c r="K28" s="17" t="s">
        <v>35</v>
      </c>
      <c r="L28" s="17" t="s">
        <v>36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115</v>
      </c>
      <c r="D29" s="17"/>
      <c r="E29" s="17" t="s">
        <v>116</v>
      </c>
      <c r="F29" s="17" t="s">
        <v>70</v>
      </c>
      <c r="G29" s="18">
        <v>30</v>
      </c>
      <c r="H29" s="18">
        <v>30</v>
      </c>
      <c r="I29" s="18">
        <f t="shared" si="0"/>
        <v>0</v>
      </c>
      <c r="J29" s="17" t="s">
        <v>35</v>
      </c>
      <c r="K29" s="17" t="s">
        <v>35</v>
      </c>
      <c r="L29" s="17" t="s">
        <v>36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117</v>
      </c>
      <c r="D30" s="17" t="s">
        <v>118</v>
      </c>
      <c r="E30" s="17" t="s">
        <v>119</v>
      </c>
      <c r="F30" s="17" t="s">
        <v>120</v>
      </c>
      <c r="G30" s="18">
        <v>1735</v>
      </c>
      <c r="H30" s="18">
        <v>25</v>
      </c>
      <c r="I30" s="18">
        <f t="shared" si="0"/>
        <v>1710</v>
      </c>
      <c r="J30" s="17" t="s">
        <v>121</v>
      </c>
      <c r="K30" s="17" t="s">
        <v>35</v>
      </c>
      <c r="L30" s="17" t="s">
        <v>36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122</v>
      </c>
      <c r="D31" s="17" t="s">
        <v>123</v>
      </c>
      <c r="E31" s="17" t="s">
        <v>124</v>
      </c>
      <c r="F31" s="18">
        <v>5</v>
      </c>
      <c r="G31" s="18">
        <v>0</v>
      </c>
      <c r="H31" s="18">
        <v>25</v>
      </c>
      <c r="I31" s="18">
        <f t="shared" si="0"/>
        <v>-25</v>
      </c>
      <c r="J31" s="17" t="s">
        <v>121</v>
      </c>
      <c r="K31" s="17" t="s">
        <v>35</v>
      </c>
      <c r="L31" s="17" t="s">
        <v>36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125</v>
      </c>
      <c r="D32" s="17" t="s">
        <v>126</v>
      </c>
      <c r="E32" s="17" t="s">
        <v>127</v>
      </c>
      <c r="F32" s="17" t="s">
        <v>46</v>
      </c>
      <c r="G32" s="18">
        <v>1835</v>
      </c>
      <c r="H32" s="18">
        <v>25</v>
      </c>
      <c r="I32" s="18">
        <f t="shared" si="0"/>
        <v>1810</v>
      </c>
      <c r="J32" s="17" t="s">
        <v>121</v>
      </c>
      <c r="K32" s="17" t="s">
        <v>35</v>
      </c>
      <c r="L32" s="17" t="s">
        <v>36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128</v>
      </c>
      <c r="D33" s="17" t="s">
        <v>129</v>
      </c>
      <c r="E33" s="17" t="s">
        <v>130</v>
      </c>
      <c r="F33" s="18">
        <v>1</v>
      </c>
      <c r="G33" s="18">
        <v>495</v>
      </c>
      <c r="H33" s="18">
        <v>25</v>
      </c>
      <c r="I33" s="18">
        <f t="shared" si="0"/>
        <v>470</v>
      </c>
      <c r="J33" s="17" t="s">
        <v>121</v>
      </c>
      <c r="K33" s="17" t="s">
        <v>35</v>
      </c>
      <c r="L33" s="17" t="s">
        <v>36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131</v>
      </c>
      <c r="D34" s="17" t="s">
        <v>132</v>
      </c>
      <c r="E34" s="17" t="s">
        <v>133</v>
      </c>
      <c r="F34" s="18">
        <v>7</v>
      </c>
      <c r="G34" s="18">
        <v>720</v>
      </c>
      <c r="H34" s="18">
        <v>30</v>
      </c>
      <c r="I34" s="18">
        <f t="shared" si="0"/>
        <v>690</v>
      </c>
      <c r="J34" s="17" t="s">
        <v>121</v>
      </c>
      <c r="K34" s="17" t="s">
        <v>35</v>
      </c>
      <c r="L34" s="17" t="s">
        <v>36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134</v>
      </c>
      <c r="D35" s="17" t="s">
        <v>135</v>
      </c>
      <c r="E35" s="17" t="s">
        <v>136</v>
      </c>
      <c r="F35" s="18">
        <v>8</v>
      </c>
      <c r="G35" s="18">
        <v>940</v>
      </c>
      <c r="H35" s="18">
        <v>30</v>
      </c>
      <c r="I35" s="18">
        <f t="shared" si="0"/>
        <v>910</v>
      </c>
      <c r="J35" s="17" t="s">
        <v>121</v>
      </c>
      <c r="K35" s="17" t="s">
        <v>35</v>
      </c>
      <c r="L35" s="17" t="s">
        <v>36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137</v>
      </c>
      <c r="D36" s="17" t="s">
        <v>138</v>
      </c>
      <c r="E36" s="17" t="s">
        <v>139</v>
      </c>
      <c r="F36" s="18">
        <v>10</v>
      </c>
      <c r="G36" s="18">
        <v>715</v>
      </c>
      <c r="H36" s="18">
        <v>25</v>
      </c>
      <c r="I36" s="18">
        <f t="shared" si="0"/>
        <v>690</v>
      </c>
      <c r="J36" s="17" t="s">
        <v>121</v>
      </c>
      <c r="K36" s="17" t="s">
        <v>35</v>
      </c>
      <c r="L36" s="17" t="s">
        <v>36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140</v>
      </c>
      <c r="D37" s="17" t="s">
        <v>141</v>
      </c>
      <c r="E37" s="17" t="s">
        <v>142</v>
      </c>
      <c r="F37" s="18">
        <v>4</v>
      </c>
      <c r="G37" s="18">
        <v>1825</v>
      </c>
      <c r="H37" s="18">
        <v>25</v>
      </c>
      <c r="I37" s="18">
        <f t="shared" si="0"/>
        <v>1800</v>
      </c>
      <c r="J37" s="17" t="s">
        <v>121</v>
      </c>
      <c r="K37" s="17" t="s">
        <v>35</v>
      </c>
      <c r="L37" s="17" t="s">
        <v>36</v>
      </c>
      <c r="M37" s="17"/>
      <c r="N37" s="17"/>
      <c r="O37" s="17"/>
      <c r="P37" s="17"/>
      <c r="Q37" s="17">
        <v>1</v>
      </c>
    </row>
    <row r="38" spans="1:18" s="22" customFormat="1" x14ac:dyDescent="0.25">
      <c r="A38" s="20"/>
      <c r="B38" s="20" t="s">
        <v>29</v>
      </c>
      <c r="C38" s="20" t="s">
        <v>143</v>
      </c>
      <c r="D38" s="20" t="s">
        <v>144</v>
      </c>
      <c r="E38" s="20" t="s">
        <v>145</v>
      </c>
      <c r="F38" s="21">
        <v>10</v>
      </c>
      <c r="G38" s="21">
        <v>25</v>
      </c>
      <c r="H38" s="21">
        <v>25</v>
      </c>
      <c r="I38" s="21">
        <f t="shared" si="0"/>
        <v>0</v>
      </c>
      <c r="J38" s="20" t="s">
        <v>121</v>
      </c>
      <c r="K38" s="20" t="s">
        <v>35</v>
      </c>
      <c r="L38" s="20" t="s">
        <v>36</v>
      </c>
      <c r="M38" s="20" t="s">
        <v>102</v>
      </c>
      <c r="N38" s="20"/>
      <c r="O38" s="20"/>
      <c r="P38" s="20"/>
      <c r="Q38" s="20">
        <v>1</v>
      </c>
    </row>
    <row r="39" spans="1:18" customFormat="1" x14ac:dyDescent="0.25">
      <c r="A39" s="17"/>
      <c r="B39" s="17" t="s">
        <v>29</v>
      </c>
      <c r="C39" s="17" t="s">
        <v>146</v>
      </c>
      <c r="D39" s="17" t="s">
        <v>147</v>
      </c>
      <c r="E39" s="17" t="s">
        <v>148</v>
      </c>
      <c r="F39" s="18">
        <v>10</v>
      </c>
      <c r="G39" s="18">
        <v>795</v>
      </c>
      <c r="H39" s="18">
        <v>25</v>
      </c>
      <c r="I39" s="18">
        <f t="shared" si="0"/>
        <v>770</v>
      </c>
      <c r="J39" s="17" t="s">
        <v>121</v>
      </c>
      <c r="K39" s="17" t="s">
        <v>35</v>
      </c>
      <c r="L39" s="17" t="s">
        <v>36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149</v>
      </c>
      <c r="D40" s="17" t="s">
        <v>150</v>
      </c>
      <c r="E40" s="17" t="s">
        <v>151</v>
      </c>
      <c r="F40" s="17" t="s">
        <v>46</v>
      </c>
      <c r="G40" s="18">
        <v>0</v>
      </c>
      <c r="H40" s="18">
        <v>25</v>
      </c>
      <c r="I40" s="18">
        <f t="shared" si="0"/>
        <v>-25</v>
      </c>
      <c r="J40" s="17" t="s">
        <v>121</v>
      </c>
      <c r="K40" s="17" t="s">
        <v>35</v>
      </c>
      <c r="L40" s="17" t="s">
        <v>36</v>
      </c>
      <c r="M40" s="17"/>
      <c r="N40" s="17"/>
      <c r="O40" s="17"/>
      <c r="P40" s="17"/>
      <c r="Q40" s="17">
        <v>1</v>
      </c>
      <c r="R40" s="19">
        <f>H40</f>
        <v>25</v>
      </c>
    </row>
    <row r="42" spans="1:18" x14ac:dyDescent="0.25">
      <c r="G42" s="1">
        <f t="shared" ref="G42:R42" si="1">SUBTOTAL(9,G3:G41)</f>
        <v>28385</v>
      </c>
      <c r="H42" s="1">
        <f t="shared" si="1"/>
        <v>1060</v>
      </c>
      <c r="I42" s="1">
        <f t="shared" si="1"/>
        <v>27325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  <c r="R42" s="1">
        <f t="shared" si="1"/>
        <v>185</v>
      </c>
    </row>
    <row r="43" spans="1:18" x14ac:dyDescent="0.25">
      <c r="I43" s="1">
        <v>-910</v>
      </c>
      <c r="J43" s="1" t="s">
        <v>152</v>
      </c>
    </row>
    <row r="46" spans="1:18" ht="20.25" customHeight="1" x14ac:dyDescent="0.3">
      <c r="H46" s="4" t="s">
        <v>28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26415</v>
      </c>
      <c r="J47" s="8">
        <f>Q42</f>
        <v>38</v>
      </c>
    </row>
    <row r="48" spans="1:18" x14ac:dyDescent="0.25">
      <c r="H48" s="9" t="s">
        <v>18</v>
      </c>
      <c r="I48" s="10">
        <f>R42</f>
        <v>185</v>
      </c>
      <c r="J48" s="11"/>
    </row>
    <row r="49" spans="8:10" x14ac:dyDescent="0.25">
      <c r="H49" s="9" t="s">
        <v>19</v>
      </c>
      <c r="I49" s="10">
        <f>S41</f>
        <v>0</v>
      </c>
      <c r="J49" s="11"/>
    </row>
    <row r="50" spans="8:10" x14ac:dyDescent="0.25">
      <c r="H50" s="9" t="s">
        <v>20</v>
      </c>
      <c r="I50" s="10">
        <f>T41</f>
        <v>0</v>
      </c>
      <c r="J50" s="11"/>
    </row>
    <row r="51" spans="8:10" x14ac:dyDescent="0.25">
      <c r="H51" s="9" t="s">
        <v>21</v>
      </c>
      <c r="I51" s="10">
        <f>U41</f>
        <v>0</v>
      </c>
      <c r="J51" s="11"/>
    </row>
    <row r="52" spans="8:10" ht="15.75" customHeight="1" x14ac:dyDescent="0.25">
      <c r="H52" s="12" t="s">
        <v>22</v>
      </c>
      <c r="I52" s="13"/>
      <c r="J52" s="13"/>
    </row>
    <row r="53" spans="8:10" ht="15.75" customHeight="1" x14ac:dyDescent="0.25">
      <c r="H53" s="14" t="s">
        <v>23</v>
      </c>
      <c r="I53" s="13"/>
      <c r="J53" s="13"/>
    </row>
    <row r="54" spans="8:10" ht="21" customHeight="1" x14ac:dyDescent="0.35">
      <c r="H54" s="15" t="s">
        <v>24</v>
      </c>
      <c r="I54" s="16">
        <f>SUM(I47:I53)</f>
        <v>26600</v>
      </c>
      <c r="J54" s="16">
        <f>SUM(J47:J51)</f>
        <v>38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4F7-D120-4713-A78F-7558EAC47D04}">
  <dimension ref="A1:R60"/>
  <sheetViews>
    <sheetView topLeftCell="A25" zoomScale="82" zoomScaleNormal="80" workbookViewId="0">
      <selection activeCell="M50" sqref="M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154</v>
      </c>
      <c r="C1" s="1" t="s">
        <v>155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156</v>
      </c>
      <c r="D3" s="17" t="s">
        <v>157</v>
      </c>
      <c r="E3" s="17" t="s">
        <v>158</v>
      </c>
      <c r="F3" s="18">
        <v>7</v>
      </c>
      <c r="G3" s="18">
        <v>850</v>
      </c>
      <c r="H3" s="18">
        <v>30</v>
      </c>
      <c r="I3" s="18">
        <f t="shared" ref="I3:I46" si="0">G3-H3</f>
        <v>820</v>
      </c>
      <c r="J3" s="17" t="s">
        <v>159</v>
      </c>
      <c r="K3" s="17" t="s">
        <v>35</v>
      </c>
      <c r="L3" s="17" t="s">
        <v>160</v>
      </c>
      <c r="M3" s="17"/>
      <c r="N3" s="17"/>
      <c r="O3" s="17"/>
      <c r="P3" s="17"/>
      <c r="Q3" s="17">
        <v>1</v>
      </c>
    </row>
    <row r="4" spans="1:18" s="22" customFormat="1" x14ac:dyDescent="0.25">
      <c r="A4" s="20"/>
      <c r="B4" s="20" t="s">
        <v>29</v>
      </c>
      <c r="C4" s="20" t="s">
        <v>161</v>
      </c>
      <c r="D4" s="20" t="s">
        <v>162</v>
      </c>
      <c r="E4" s="20" t="s">
        <v>163</v>
      </c>
      <c r="F4" s="20" t="s">
        <v>33</v>
      </c>
      <c r="G4" s="21">
        <v>105</v>
      </c>
      <c r="H4" s="21">
        <v>25</v>
      </c>
      <c r="I4" s="21">
        <f t="shared" si="0"/>
        <v>80</v>
      </c>
      <c r="J4" s="20" t="s">
        <v>159</v>
      </c>
      <c r="K4" s="20" t="s">
        <v>35</v>
      </c>
      <c r="L4" s="20" t="s">
        <v>160</v>
      </c>
      <c r="M4" s="20" t="s">
        <v>102</v>
      </c>
      <c r="N4" s="20"/>
      <c r="O4" s="20"/>
      <c r="P4" s="20"/>
      <c r="Q4" s="20">
        <v>1</v>
      </c>
    </row>
    <row r="5" spans="1:18" customFormat="1" x14ac:dyDescent="0.25">
      <c r="A5" s="17"/>
      <c r="B5" s="17" t="s">
        <v>29</v>
      </c>
      <c r="C5" s="17" t="s">
        <v>164</v>
      </c>
      <c r="D5" s="17" t="s">
        <v>165</v>
      </c>
      <c r="E5" s="17" t="s">
        <v>166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159</v>
      </c>
      <c r="K5" s="17" t="s">
        <v>35</v>
      </c>
      <c r="L5" s="17" t="s">
        <v>160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29</v>
      </c>
      <c r="C6" s="17" t="s">
        <v>167</v>
      </c>
      <c r="D6" s="17" t="s">
        <v>168</v>
      </c>
      <c r="E6" s="17" t="s">
        <v>169</v>
      </c>
      <c r="F6" s="18">
        <v>7</v>
      </c>
      <c r="G6" s="18">
        <v>1830</v>
      </c>
      <c r="H6" s="18">
        <v>30</v>
      </c>
      <c r="I6" s="18">
        <f t="shared" si="0"/>
        <v>1800</v>
      </c>
      <c r="J6" s="17" t="s">
        <v>159</v>
      </c>
      <c r="K6" s="17" t="s">
        <v>35</v>
      </c>
      <c r="L6" s="17" t="s">
        <v>160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170</v>
      </c>
      <c r="D7" s="17" t="s">
        <v>171</v>
      </c>
      <c r="E7" s="17" t="s">
        <v>172</v>
      </c>
      <c r="F7" s="18">
        <v>7</v>
      </c>
      <c r="G7" s="18">
        <v>0</v>
      </c>
      <c r="H7" s="18">
        <v>30</v>
      </c>
      <c r="I7" s="18">
        <f t="shared" si="0"/>
        <v>-30</v>
      </c>
      <c r="J7" s="17" t="s">
        <v>159</v>
      </c>
      <c r="K7" s="17" t="s">
        <v>35</v>
      </c>
      <c r="L7" s="17" t="s">
        <v>160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173</v>
      </c>
      <c r="D8" s="17" t="s">
        <v>174</v>
      </c>
      <c r="E8" s="17" t="s">
        <v>175</v>
      </c>
      <c r="F8" s="18">
        <v>6</v>
      </c>
      <c r="G8" s="18">
        <v>715</v>
      </c>
      <c r="H8" s="18">
        <v>25</v>
      </c>
      <c r="I8" s="18">
        <f t="shared" si="0"/>
        <v>690</v>
      </c>
      <c r="J8" s="17" t="s">
        <v>159</v>
      </c>
      <c r="K8" s="17" t="s">
        <v>35</v>
      </c>
      <c r="L8" s="17" t="s">
        <v>160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176</v>
      </c>
      <c r="D9" s="17" t="s">
        <v>177</v>
      </c>
      <c r="E9" s="17" t="s">
        <v>178</v>
      </c>
      <c r="F9" s="17" t="s">
        <v>179</v>
      </c>
      <c r="G9" s="18">
        <v>945</v>
      </c>
      <c r="H9" s="18">
        <v>35</v>
      </c>
      <c r="I9" s="18">
        <f t="shared" si="0"/>
        <v>910</v>
      </c>
      <c r="J9" s="17" t="s">
        <v>159</v>
      </c>
      <c r="K9" s="17" t="s">
        <v>35</v>
      </c>
      <c r="L9" s="17" t="s">
        <v>160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180</v>
      </c>
      <c r="D10" s="17" t="s">
        <v>181</v>
      </c>
      <c r="E10" s="17" t="s">
        <v>182</v>
      </c>
      <c r="F10" s="18">
        <v>7</v>
      </c>
      <c r="G10" s="18">
        <v>940</v>
      </c>
      <c r="H10" s="18">
        <v>30</v>
      </c>
      <c r="I10" s="18">
        <f t="shared" si="0"/>
        <v>910</v>
      </c>
      <c r="J10" s="17" t="s">
        <v>159</v>
      </c>
      <c r="K10" s="17" t="s">
        <v>35</v>
      </c>
      <c r="L10" s="17" t="s">
        <v>160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183</v>
      </c>
      <c r="D11" s="17" t="s">
        <v>184</v>
      </c>
      <c r="E11" s="17" t="s">
        <v>185</v>
      </c>
      <c r="F11" s="17" t="s">
        <v>57</v>
      </c>
      <c r="G11" s="18">
        <v>815</v>
      </c>
      <c r="H11" s="18">
        <v>35</v>
      </c>
      <c r="I11" s="18">
        <f t="shared" si="0"/>
        <v>780</v>
      </c>
      <c r="J11" s="17" t="s">
        <v>159</v>
      </c>
      <c r="K11" s="17" t="s">
        <v>35</v>
      </c>
      <c r="L11" s="17" t="s">
        <v>160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186</v>
      </c>
      <c r="D12" s="17"/>
      <c r="E12" s="17" t="s">
        <v>187</v>
      </c>
      <c r="F12" s="18">
        <v>6</v>
      </c>
      <c r="G12" s="18">
        <v>35</v>
      </c>
      <c r="H12" s="18">
        <v>35</v>
      </c>
      <c r="I12" s="18">
        <f t="shared" si="0"/>
        <v>0</v>
      </c>
      <c r="J12" s="17" t="s">
        <v>159</v>
      </c>
      <c r="K12" s="17" t="s">
        <v>35</v>
      </c>
      <c r="L12" s="17" t="s">
        <v>160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188</v>
      </c>
      <c r="D13" s="17"/>
      <c r="E13" s="17" t="s">
        <v>189</v>
      </c>
      <c r="F13" s="18">
        <v>6</v>
      </c>
      <c r="G13" s="18">
        <v>0</v>
      </c>
      <c r="H13" s="18">
        <v>30</v>
      </c>
      <c r="I13" s="18">
        <f t="shared" si="0"/>
        <v>-30</v>
      </c>
      <c r="J13" s="17" t="s">
        <v>159</v>
      </c>
      <c r="K13" s="17" t="s">
        <v>35</v>
      </c>
      <c r="L13" s="17" t="s">
        <v>160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190</v>
      </c>
      <c r="D14" s="17" t="s">
        <v>191</v>
      </c>
      <c r="E14" s="17" t="s">
        <v>192</v>
      </c>
      <c r="F14" s="18">
        <v>9</v>
      </c>
      <c r="G14" s="18">
        <v>950</v>
      </c>
      <c r="H14" s="18">
        <v>30</v>
      </c>
      <c r="I14" s="18">
        <f t="shared" si="0"/>
        <v>920</v>
      </c>
      <c r="J14" s="17" t="s">
        <v>35</v>
      </c>
      <c r="K14" s="17" t="s">
        <v>35</v>
      </c>
      <c r="L14" s="17" t="s">
        <v>160</v>
      </c>
      <c r="M14" s="17"/>
      <c r="N14" s="17"/>
      <c r="O14" s="17"/>
      <c r="P14" s="17"/>
      <c r="Q14" s="17">
        <v>1</v>
      </c>
    </row>
    <row r="15" spans="1:18" s="22" customFormat="1" x14ac:dyDescent="0.25">
      <c r="A15" s="20"/>
      <c r="B15" s="20" t="s">
        <v>29</v>
      </c>
      <c r="C15" s="20" t="s">
        <v>87</v>
      </c>
      <c r="D15" s="20" t="s">
        <v>193</v>
      </c>
      <c r="E15" s="20" t="s">
        <v>194</v>
      </c>
      <c r="F15" s="21">
        <v>9</v>
      </c>
      <c r="G15" s="21">
        <v>30</v>
      </c>
      <c r="H15" s="21">
        <v>30</v>
      </c>
      <c r="I15" s="21">
        <f t="shared" si="0"/>
        <v>0</v>
      </c>
      <c r="J15" s="20" t="s">
        <v>35</v>
      </c>
      <c r="K15" s="20" t="s">
        <v>35</v>
      </c>
      <c r="L15" s="20" t="s">
        <v>160</v>
      </c>
      <c r="M15" s="20" t="s">
        <v>102</v>
      </c>
      <c r="N15" s="20"/>
      <c r="O15" s="20"/>
      <c r="P15" s="20"/>
      <c r="Q15" s="20">
        <v>1</v>
      </c>
    </row>
    <row r="16" spans="1:18" customFormat="1" x14ac:dyDescent="0.25">
      <c r="A16" s="17"/>
      <c r="B16" s="17" t="s">
        <v>29</v>
      </c>
      <c r="C16" s="17" t="s">
        <v>195</v>
      </c>
      <c r="D16" s="17" t="s">
        <v>196</v>
      </c>
      <c r="E16" s="17" t="s">
        <v>197</v>
      </c>
      <c r="F16" s="17" t="s">
        <v>106</v>
      </c>
      <c r="G16" s="18">
        <v>880</v>
      </c>
      <c r="H16" s="18">
        <v>30</v>
      </c>
      <c r="I16" s="18">
        <f t="shared" si="0"/>
        <v>850</v>
      </c>
      <c r="J16" s="17" t="s">
        <v>35</v>
      </c>
      <c r="K16" s="17" t="s">
        <v>35</v>
      </c>
      <c r="L16" s="17" t="s">
        <v>160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198</v>
      </c>
      <c r="D17" s="17" t="s">
        <v>199</v>
      </c>
      <c r="E17" s="17" t="s">
        <v>200</v>
      </c>
      <c r="F17" s="17" t="s">
        <v>106</v>
      </c>
      <c r="G17" s="18">
        <v>940</v>
      </c>
      <c r="H17" s="18">
        <v>30</v>
      </c>
      <c r="I17" s="18">
        <f t="shared" si="0"/>
        <v>910</v>
      </c>
      <c r="J17" s="17" t="s">
        <v>35</v>
      </c>
      <c r="K17" s="17" t="s">
        <v>35</v>
      </c>
      <c r="L17" s="17" t="s">
        <v>160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201</v>
      </c>
      <c r="D18" s="17" t="s">
        <v>202</v>
      </c>
      <c r="E18" s="17" t="s">
        <v>203</v>
      </c>
      <c r="F18" s="18">
        <v>9</v>
      </c>
      <c r="G18" s="18">
        <v>850</v>
      </c>
      <c r="H18" s="18">
        <v>30</v>
      </c>
      <c r="I18" s="18">
        <f t="shared" si="0"/>
        <v>820</v>
      </c>
      <c r="J18" s="17" t="s">
        <v>35</v>
      </c>
      <c r="K18" s="17" t="s">
        <v>35</v>
      </c>
      <c r="L18" s="17" t="s">
        <v>160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204</v>
      </c>
      <c r="D19" s="17" t="s">
        <v>205</v>
      </c>
      <c r="E19" s="17" t="s">
        <v>206</v>
      </c>
      <c r="F19" s="17" t="s">
        <v>70</v>
      </c>
      <c r="G19" s="18">
        <v>1865</v>
      </c>
      <c r="H19" s="18">
        <v>25</v>
      </c>
      <c r="I19" s="18">
        <f t="shared" si="0"/>
        <v>1840</v>
      </c>
      <c r="J19" s="17" t="s">
        <v>35</v>
      </c>
      <c r="K19" s="17" t="s">
        <v>35</v>
      </c>
      <c r="L19" s="17" t="s">
        <v>160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207</v>
      </c>
      <c r="D20" s="17" t="s">
        <v>208</v>
      </c>
      <c r="E20" s="17" t="s">
        <v>209</v>
      </c>
      <c r="F20" s="18">
        <v>9</v>
      </c>
      <c r="G20" s="18">
        <v>940</v>
      </c>
      <c r="H20" s="18">
        <v>30</v>
      </c>
      <c r="I20" s="18">
        <f t="shared" si="0"/>
        <v>910</v>
      </c>
      <c r="J20" s="17" t="s">
        <v>35</v>
      </c>
      <c r="K20" s="17" t="s">
        <v>35</v>
      </c>
      <c r="L20" s="17" t="s">
        <v>160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210</v>
      </c>
      <c r="D21" s="17" t="s">
        <v>211</v>
      </c>
      <c r="E21" s="17" t="s">
        <v>212</v>
      </c>
      <c r="F21" s="18">
        <v>12</v>
      </c>
      <c r="G21" s="18">
        <v>0</v>
      </c>
      <c r="H21" s="18">
        <v>30</v>
      </c>
      <c r="I21" s="18">
        <f t="shared" si="0"/>
        <v>-30</v>
      </c>
      <c r="J21" s="17" t="s">
        <v>35</v>
      </c>
      <c r="K21" s="17" t="s">
        <v>35</v>
      </c>
      <c r="L21" s="17" t="s">
        <v>160</v>
      </c>
      <c r="M21" s="17"/>
      <c r="N21" s="17"/>
      <c r="O21" s="17"/>
      <c r="P21" s="17"/>
      <c r="Q21" s="17">
        <v>1</v>
      </c>
      <c r="R21" s="19">
        <f t="shared" ref="R21:R22" si="1">H21</f>
        <v>30</v>
      </c>
    </row>
    <row r="22" spans="1:18" customFormat="1" x14ac:dyDescent="0.25">
      <c r="A22" s="17"/>
      <c r="B22" s="17" t="s">
        <v>29</v>
      </c>
      <c r="C22" s="17" t="s">
        <v>213</v>
      </c>
      <c r="D22" s="17" t="s">
        <v>214</v>
      </c>
      <c r="E22" s="17" t="s">
        <v>215</v>
      </c>
      <c r="F22" s="17" t="s">
        <v>80</v>
      </c>
      <c r="G22" s="18">
        <v>0</v>
      </c>
      <c r="H22" s="18">
        <v>20</v>
      </c>
      <c r="I22" s="18">
        <f t="shared" si="0"/>
        <v>-20</v>
      </c>
      <c r="J22" s="17" t="s">
        <v>35</v>
      </c>
      <c r="K22" s="17" t="s">
        <v>35</v>
      </c>
      <c r="L22" s="17" t="s">
        <v>160</v>
      </c>
      <c r="M22" s="17"/>
      <c r="N22" s="17"/>
      <c r="O22" s="17"/>
      <c r="P22" s="17"/>
      <c r="Q22" s="17">
        <v>1</v>
      </c>
      <c r="R22" s="19">
        <f t="shared" si="1"/>
        <v>20</v>
      </c>
    </row>
    <row r="23" spans="1:18" s="22" customFormat="1" x14ac:dyDescent="0.25">
      <c r="A23" s="20"/>
      <c r="B23" s="20" t="s">
        <v>29</v>
      </c>
      <c r="C23" s="20" t="s">
        <v>216</v>
      </c>
      <c r="D23" s="20" t="s">
        <v>217</v>
      </c>
      <c r="E23" s="20" t="s">
        <v>218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35</v>
      </c>
      <c r="K23" s="20" t="s">
        <v>35</v>
      </c>
      <c r="L23" s="20" t="s">
        <v>160</v>
      </c>
      <c r="M23" s="20" t="s">
        <v>102</v>
      </c>
      <c r="N23" s="20"/>
      <c r="O23" s="20"/>
      <c r="P23" s="20"/>
      <c r="Q23" s="20">
        <v>1</v>
      </c>
      <c r="R23" s="23">
        <f>H23</f>
        <v>30</v>
      </c>
    </row>
    <row r="24" spans="1:18" customFormat="1" x14ac:dyDescent="0.25">
      <c r="A24" s="17"/>
      <c r="B24" s="17" t="s">
        <v>29</v>
      </c>
      <c r="C24" s="17" t="s">
        <v>219</v>
      </c>
      <c r="D24" s="17" t="s">
        <v>220</v>
      </c>
      <c r="E24" s="17" t="s">
        <v>221</v>
      </c>
      <c r="F24" s="17" t="s">
        <v>106</v>
      </c>
      <c r="G24" s="18">
        <v>720</v>
      </c>
      <c r="H24" s="18">
        <v>30</v>
      </c>
      <c r="I24" s="18">
        <f t="shared" si="0"/>
        <v>690</v>
      </c>
      <c r="J24" s="17" t="s">
        <v>35</v>
      </c>
      <c r="K24" s="17" t="s">
        <v>35</v>
      </c>
      <c r="L24" s="17" t="s">
        <v>160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222</v>
      </c>
      <c r="D25" s="17" t="s">
        <v>223</v>
      </c>
      <c r="E25" s="17" t="s">
        <v>224</v>
      </c>
      <c r="F25" s="17" t="s">
        <v>80</v>
      </c>
      <c r="G25" s="18">
        <v>0</v>
      </c>
      <c r="H25" s="18">
        <v>20</v>
      </c>
      <c r="I25" s="18">
        <f t="shared" si="0"/>
        <v>-20</v>
      </c>
      <c r="J25" s="17" t="s">
        <v>35</v>
      </c>
      <c r="K25" s="17" t="s">
        <v>35</v>
      </c>
      <c r="L25" s="17" t="s">
        <v>160</v>
      </c>
      <c r="M25" s="17"/>
      <c r="N25" s="17"/>
      <c r="O25" s="17"/>
      <c r="P25" s="17"/>
      <c r="Q25" s="17">
        <v>1</v>
      </c>
      <c r="R25" s="19">
        <f>H25</f>
        <v>20</v>
      </c>
    </row>
    <row r="26" spans="1:18" customFormat="1" x14ac:dyDescent="0.25">
      <c r="A26" s="17"/>
      <c r="B26" s="17" t="s">
        <v>29</v>
      </c>
      <c r="C26" s="17" t="s">
        <v>225</v>
      </c>
      <c r="D26" s="17" t="s">
        <v>226</v>
      </c>
      <c r="E26" s="17" t="s">
        <v>227</v>
      </c>
      <c r="F26" s="18">
        <v>12</v>
      </c>
      <c r="G26" s="18">
        <v>520</v>
      </c>
      <c r="H26" s="18">
        <v>30</v>
      </c>
      <c r="I26" s="18">
        <f t="shared" si="0"/>
        <v>490</v>
      </c>
      <c r="J26" s="17" t="s">
        <v>35</v>
      </c>
      <c r="K26" s="17" t="s">
        <v>35</v>
      </c>
      <c r="L26" s="17" t="s">
        <v>160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228</v>
      </c>
      <c r="D27" s="17" t="s">
        <v>229</v>
      </c>
      <c r="E27" s="17" t="s">
        <v>230</v>
      </c>
      <c r="F27" s="17" t="s">
        <v>106</v>
      </c>
      <c r="G27" s="18">
        <v>520</v>
      </c>
      <c r="H27" s="18">
        <v>30</v>
      </c>
      <c r="I27" s="18">
        <f t="shared" si="0"/>
        <v>490</v>
      </c>
      <c r="J27" s="17" t="s">
        <v>35</v>
      </c>
      <c r="K27" s="17" t="s">
        <v>35</v>
      </c>
      <c r="L27" s="17" t="s">
        <v>160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107</v>
      </c>
      <c r="D28" s="17"/>
      <c r="E28" s="17" t="s">
        <v>108</v>
      </c>
      <c r="F28" s="17" t="s">
        <v>70</v>
      </c>
      <c r="G28" s="18">
        <v>30</v>
      </c>
      <c r="H28" s="18">
        <v>30</v>
      </c>
      <c r="I28" s="18">
        <f t="shared" si="0"/>
        <v>0</v>
      </c>
      <c r="J28" s="17" t="s">
        <v>35</v>
      </c>
      <c r="K28" s="17" t="s">
        <v>35</v>
      </c>
      <c r="L28" s="17" t="s">
        <v>160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115</v>
      </c>
      <c r="D29" s="17"/>
      <c r="E29" s="17" t="s">
        <v>116</v>
      </c>
      <c r="F29" s="17" t="s">
        <v>70</v>
      </c>
      <c r="G29" s="18">
        <v>0</v>
      </c>
      <c r="H29" s="18">
        <v>30</v>
      </c>
      <c r="I29" s="18">
        <f t="shared" si="0"/>
        <v>-30</v>
      </c>
      <c r="J29" s="17" t="s">
        <v>35</v>
      </c>
      <c r="K29" s="17" t="s">
        <v>35</v>
      </c>
      <c r="L29" s="17" t="s">
        <v>160</v>
      </c>
      <c r="M29" s="17"/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29</v>
      </c>
      <c r="C30" s="17" t="s">
        <v>231</v>
      </c>
      <c r="D30" s="17" t="s">
        <v>232</v>
      </c>
      <c r="E30" s="17" t="s">
        <v>233</v>
      </c>
      <c r="F30" s="17" t="s">
        <v>46</v>
      </c>
      <c r="G30" s="18">
        <v>935</v>
      </c>
      <c r="H30" s="18">
        <v>25</v>
      </c>
      <c r="I30" s="18">
        <f t="shared" si="0"/>
        <v>910</v>
      </c>
      <c r="J30" s="17" t="s">
        <v>121</v>
      </c>
      <c r="K30" s="17" t="s">
        <v>35</v>
      </c>
      <c r="L30" s="17" t="s">
        <v>160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234</v>
      </c>
      <c r="D31" s="17" t="s">
        <v>235</v>
      </c>
      <c r="E31" s="17" t="s">
        <v>236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121</v>
      </c>
      <c r="K31" s="17" t="s">
        <v>35</v>
      </c>
      <c r="L31" s="17" t="s">
        <v>160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237</v>
      </c>
      <c r="D32" s="17" t="s">
        <v>238</v>
      </c>
      <c r="E32" s="17" t="s">
        <v>239</v>
      </c>
      <c r="F32" s="18">
        <v>10</v>
      </c>
      <c r="G32" s="18">
        <v>755</v>
      </c>
      <c r="H32" s="18">
        <v>25</v>
      </c>
      <c r="I32" s="18">
        <f t="shared" si="0"/>
        <v>730</v>
      </c>
      <c r="J32" s="17" t="s">
        <v>121</v>
      </c>
      <c r="K32" s="17" t="s">
        <v>35</v>
      </c>
      <c r="L32" s="17" t="s">
        <v>160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240</v>
      </c>
      <c r="D33" s="17" t="s">
        <v>241</v>
      </c>
      <c r="E33" s="17" t="s">
        <v>242</v>
      </c>
      <c r="F33" s="18">
        <v>1</v>
      </c>
      <c r="G33" s="18">
        <v>0</v>
      </c>
      <c r="H33" s="18">
        <v>25</v>
      </c>
      <c r="I33" s="18">
        <f t="shared" si="0"/>
        <v>-25</v>
      </c>
      <c r="J33" s="17" t="s">
        <v>121</v>
      </c>
      <c r="K33" s="17" t="s">
        <v>35</v>
      </c>
      <c r="L33" s="17" t="s">
        <v>160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29</v>
      </c>
      <c r="C34" s="17" t="s">
        <v>243</v>
      </c>
      <c r="D34" s="17" t="s">
        <v>244</v>
      </c>
      <c r="E34" s="17" t="s">
        <v>245</v>
      </c>
      <c r="F34" s="17" t="s">
        <v>46</v>
      </c>
      <c r="G34" s="18">
        <v>915</v>
      </c>
      <c r="H34" s="18">
        <v>25</v>
      </c>
      <c r="I34" s="18">
        <f t="shared" si="0"/>
        <v>890</v>
      </c>
      <c r="J34" s="17" t="s">
        <v>121</v>
      </c>
      <c r="K34" s="17" t="s">
        <v>35</v>
      </c>
      <c r="L34" s="17" t="s">
        <v>160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246</v>
      </c>
      <c r="D35" s="17" t="s">
        <v>247</v>
      </c>
      <c r="E35" s="17" t="s">
        <v>248</v>
      </c>
      <c r="F35" s="17" t="s">
        <v>50</v>
      </c>
      <c r="G35" s="18">
        <v>0</v>
      </c>
      <c r="H35" s="18">
        <v>30</v>
      </c>
      <c r="I35" s="18">
        <f t="shared" si="0"/>
        <v>-30</v>
      </c>
      <c r="J35" s="17" t="s">
        <v>121</v>
      </c>
      <c r="K35" s="17" t="s">
        <v>35</v>
      </c>
      <c r="L35" s="17" t="s">
        <v>160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249</v>
      </c>
      <c r="D36" s="17" t="s">
        <v>250</v>
      </c>
      <c r="E36" s="17" t="s">
        <v>251</v>
      </c>
      <c r="F36" s="17" t="s">
        <v>46</v>
      </c>
      <c r="G36" s="18">
        <v>855</v>
      </c>
      <c r="H36" s="18">
        <v>25</v>
      </c>
      <c r="I36" s="18">
        <f t="shared" si="0"/>
        <v>830</v>
      </c>
      <c r="J36" s="17" t="s">
        <v>121</v>
      </c>
      <c r="K36" s="17" t="s">
        <v>35</v>
      </c>
      <c r="L36" s="17" t="s">
        <v>160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252</v>
      </c>
      <c r="D37" s="17" t="s">
        <v>253</v>
      </c>
      <c r="E37" s="17" t="s">
        <v>254</v>
      </c>
      <c r="F37" s="18">
        <v>5</v>
      </c>
      <c r="G37" s="18">
        <v>0</v>
      </c>
      <c r="H37" s="18">
        <v>25</v>
      </c>
      <c r="I37" s="18">
        <f t="shared" si="0"/>
        <v>-25</v>
      </c>
      <c r="J37" s="17" t="s">
        <v>121</v>
      </c>
      <c r="K37" s="17" t="s">
        <v>35</v>
      </c>
      <c r="L37" s="17" t="s">
        <v>160</v>
      </c>
      <c r="M37" s="17"/>
      <c r="N37" s="17"/>
      <c r="O37" s="17"/>
      <c r="P37" s="17"/>
      <c r="Q37" s="17">
        <v>1</v>
      </c>
      <c r="R37" s="19">
        <f>H37</f>
        <v>25</v>
      </c>
    </row>
    <row r="38" spans="1:18" customFormat="1" x14ac:dyDescent="0.25">
      <c r="A38" s="17"/>
      <c r="B38" s="17" t="s">
        <v>29</v>
      </c>
      <c r="C38" s="17" t="s">
        <v>255</v>
      </c>
      <c r="D38" s="17" t="s">
        <v>256</v>
      </c>
      <c r="E38" s="17" t="s">
        <v>257</v>
      </c>
      <c r="F38" s="17" t="s">
        <v>46</v>
      </c>
      <c r="G38" s="18">
        <v>995</v>
      </c>
      <c r="H38" s="18">
        <v>25</v>
      </c>
      <c r="I38" s="18">
        <f t="shared" si="0"/>
        <v>970</v>
      </c>
      <c r="J38" s="17" t="s">
        <v>121</v>
      </c>
      <c r="K38" s="17" t="s">
        <v>35</v>
      </c>
      <c r="L38" s="17" t="s">
        <v>160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258</v>
      </c>
      <c r="D39" s="17" t="s">
        <v>259</v>
      </c>
      <c r="E39" s="17" t="s">
        <v>260</v>
      </c>
      <c r="F39" s="18">
        <v>4</v>
      </c>
      <c r="G39" s="18">
        <v>945</v>
      </c>
      <c r="H39" s="18">
        <v>25</v>
      </c>
      <c r="I39" s="18">
        <f t="shared" si="0"/>
        <v>920</v>
      </c>
      <c r="J39" s="17" t="s">
        <v>121</v>
      </c>
      <c r="K39" s="17" t="s">
        <v>35</v>
      </c>
      <c r="L39" s="17" t="s">
        <v>160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261</v>
      </c>
      <c r="D40" s="17" t="s">
        <v>262</v>
      </c>
      <c r="E40" s="17" t="s">
        <v>263</v>
      </c>
      <c r="F40" s="17" t="s">
        <v>46</v>
      </c>
      <c r="G40" s="18">
        <v>1955</v>
      </c>
      <c r="H40" s="18">
        <v>25</v>
      </c>
      <c r="I40" s="18">
        <f t="shared" si="0"/>
        <v>1930</v>
      </c>
      <c r="J40" s="17" t="s">
        <v>121</v>
      </c>
      <c r="K40" s="17" t="s">
        <v>35</v>
      </c>
      <c r="L40" s="17" t="s">
        <v>160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264</v>
      </c>
      <c r="D41" s="17" t="s">
        <v>265</v>
      </c>
      <c r="E41" s="17" t="s">
        <v>266</v>
      </c>
      <c r="F41" s="18">
        <v>5</v>
      </c>
      <c r="G41" s="18">
        <v>885</v>
      </c>
      <c r="H41" s="18">
        <v>25</v>
      </c>
      <c r="I41" s="18">
        <f t="shared" si="0"/>
        <v>860</v>
      </c>
      <c r="J41" s="17" t="s">
        <v>121</v>
      </c>
      <c r="K41" s="17" t="s">
        <v>35</v>
      </c>
      <c r="L41" s="17" t="s">
        <v>160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267</v>
      </c>
      <c r="D42" s="17" t="s">
        <v>268</v>
      </c>
      <c r="E42" s="17" t="s">
        <v>269</v>
      </c>
      <c r="F42" s="18">
        <v>3</v>
      </c>
      <c r="G42" s="18">
        <v>865</v>
      </c>
      <c r="H42" s="18">
        <v>25</v>
      </c>
      <c r="I42" s="18">
        <f t="shared" si="0"/>
        <v>840</v>
      </c>
      <c r="J42" s="17" t="s">
        <v>121</v>
      </c>
      <c r="K42" s="17" t="s">
        <v>35</v>
      </c>
      <c r="L42" s="17" t="s">
        <v>160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270</v>
      </c>
      <c r="D43" s="17" t="s">
        <v>271</v>
      </c>
      <c r="E43" s="17" t="s">
        <v>272</v>
      </c>
      <c r="F43" s="17" t="s">
        <v>46</v>
      </c>
      <c r="G43" s="18">
        <v>0</v>
      </c>
      <c r="H43" s="18">
        <v>25</v>
      </c>
      <c r="I43" s="18">
        <f t="shared" si="0"/>
        <v>-25</v>
      </c>
      <c r="J43" s="17" t="s">
        <v>121</v>
      </c>
      <c r="K43" s="17" t="s">
        <v>35</v>
      </c>
      <c r="L43" s="17" t="s">
        <v>160</v>
      </c>
      <c r="M43" s="17"/>
      <c r="N43" s="17"/>
      <c r="O43" s="17"/>
      <c r="P43" s="17"/>
      <c r="Q43" s="17">
        <v>1</v>
      </c>
      <c r="R43" s="19">
        <f t="shared" ref="R43:R44" si="2">H43</f>
        <v>25</v>
      </c>
    </row>
    <row r="44" spans="1:18" customFormat="1" x14ac:dyDescent="0.25">
      <c r="A44" s="17" t="s">
        <v>61</v>
      </c>
      <c r="B44" s="17" t="s">
        <v>29</v>
      </c>
      <c r="C44" s="17" t="s">
        <v>273</v>
      </c>
      <c r="D44" s="17"/>
      <c r="E44" s="17" t="s">
        <v>274</v>
      </c>
      <c r="F44" s="18">
        <v>5</v>
      </c>
      <c r="G44" s="18">
        <v>0</v>
      </c>
      <c r="H44" s="18">
        <v>30</v>
      </c>
      <c r="I44" s="18">
        <f t="shared" si="0"/>
        <v>-30</v>
      </c>
      <c r="J44" s="17" t="s">
        <v>121</v>
      </c>
      <c r="K44" s="17" t="s">
        <v>35</v>
      </c>
      <c r="L44" s="17" t="s">
        <v>160</v>
      </c>
      <c r="M44" s="17"/>
      <c r="N44" s="17"/>
      <c r="O44" s="17"/>
      <c r="P44" s="17"/>
      <c r="Q44" s="17">
        <v>1</v>
      </c>
      <c r="R44" s="19">
        <f t="shared" si="2"/>
        <v>30</v>
      </c>
    </row>
    <row r="45" spans="1:18" customFormat="1" x14ac:dyDescent="0.25">
      <c r="A45" s="17" t="s">
        <v>61</v>
      </c>
      <c r="B45" s="17" t="s">
        <v>29</v>
      </c>
      <c r="C45" s="17" t="s">
        <v>275</v>
      </c>
      <c r="D45" s="17"/>
      <c r="E45" s="17" t="s">
        <v>276</v>
      </c>
      <c r="F45" s="17" t="s">
        <v>46</v>
      </c>
      <c r="G45" s="18">
        <v>40</v>
      </c>
      <c r="H45" s="18">
        <v>40</v>
      </c>
      <c r="I45" s="18">
        <f t="shared" si="0"/>
        <v>0</v>
      </c>
      <c r="J45" s="17" t="s">
        <v>121</v>
      </c>
      <c r="K45" s="17" t="s">
        <v>35</v>
      </c>
      <c r="L45" s="17" t="s">
        <v>160</v>
      </c>
      <c r="M45" s="17"/>
      <c r="N45" s="17"/>
      <c r="O45" s="17"/>
      <c r="P45" s="17"/>
      <c r="Q45" s="17">
        <v>1</v>
      </c>
    </row>
    <row r="46" spans="1:18" customFormat="1" x14ac:dyDescent="0.25">
      <c r="A46" s="17" t="s">
        <v>61</v>
      </c>
      <c r="B46" s="17" t="s">
        <v>29</v>
      </c>
      <c r="C46" s="17" t="s">
        <v>277</v>
      </c>
      <c r="D46" s="17"/>
      <c r="E46" s="17" t="s">
        <v>278</v>
      </c>
      <c r="F46" s="17" t="s">
        <v>46</v>
      </c>
      <c r="G46" s="18">
        <v>30</v>
      </c>
      <c r="H46" s="18">
        <v>30</v>
      </c>
      <c r="I46" s="18">
        <f t="shared" si="0"/>
        <v>0</v>
      </c>
      <c r="J46" s="17" t="s">
        <v>121</v>
      </c>
      <c r="K46" s="17" t="s">
        <v>35</v>
      </c>
      <c r="L46" s="17" t="s">
        <v>160</v>
      </c>
      <c r="M46" s="17"/>
      <c r="N46" s="17"/>
      <c r="O46" s="17"/>
      <c r="P46" s="17"/>
      <c r="Q46" s="17">
        <v>1</v>
      </c>
    </row>
    <row r="48" spans="1:18" x14ac:dyDescent="0.25">
      <c r="G48" s="1">
        <f t="shared" ref="G48:R48" si="3">SUBTOTAL(9,G3:G47)</f>
        <v>23655</v>
      </c>
      <c r="H48" s="1">
        <f t="shared" si="3"/>
        <v>1245</v>
      </c>
      <c r="I48" s="1">
        <f t="shared" si="3"/>
        <v>22410</v>
      </c>
      <c r="J48" s="1">
        <f t="shared" si="3"/>
        <v>0</v>
      </c>
      <c r="K48" s="1">
        <f t="shared" si="3"/>
        <v>0</v>
      </c>
      <c r="L48" s="1">
        <f t="shared" si="3"/>
        <v>0</v>
      </c>
      <c r="M48" s="1">
        <f t="shared" si="3"/>
        <v>0</v>
      </c>
      <c r="N48" s="1">
        <f t="shared" si="3"/>
        <v>0</v>
      </c>
      <c r="O48" s="1">
        <f t="shared" si="3"/>
        <v>0</v>
      </c>
      <c r="P48" s="1">
        <f t="shared" si="3"/>
        <v>0</v>
      </c>
      <c r="Q48" s="1">
        <f t="shared" si="3"/>
        <v>44</v>
      </c>
      <c r="R48" s="1">
        <f t="shared" si="3"/>
        <v>380</v>
      </c>
    </row>
    <row r="49" spans="8:10" x14ac:dyDescent="0.25">
      <c r="I49" s="1">
        <v>-1770</v>
      </c>
      <c r="J49" s="1" t="s">
        <v>279</v>
      </c>
    </row>
    <row r="52" spans="8:10" ht="20.25" customHeight="1" x14ac:dyDescent="0.3">
      <c r="H52" s="4" t="s">
        <v>153</v>
      </c>
      <c r="I52" s="5" t="s">
        <v>15</v>
      </c>
      <c r="J52" s="6" t="s">
        <v>16</v>
      </c>
    </row>
    <row r="53" spans="8:10" ht="15.75" customHeight="1" x14ac:dyDescent="0.25">
      <c r="H53" s="7" t="s">
        <v>17</v>
      </c>
      <c r="I53" s="8">
        <f>SUM(I47:I51)</f>
        <v>20640</v>
      </c>
      <c r="J53" s="8">
        <f>Q48</f>
        <v>44</v>
      </c>
    </row>
    <row r="54" spans="8:10" x14ac:dyDescent="0.25">
      <c r="H54" s="9" t="s">
        <v>18</v>
      </c>
      <c r="I54" s="10">
        <f>R48</f>
        <v>380</v>
      </c>
      <c r="J54" s="11"/>
    </row>
    <row r="55" spans="8:10" x14ac:dyDescent="0.25">
      <c r="H55" s="9" t="s">
        <v>19</v>
      </c>
      <c r="I55" s="10">
        <f>S47</f>
        <v>0</v>
      </c>
      <c r="J55" s="11"/>
    </row>
    <row r="56" spans="8:10" x14ac:dyDescent="0.25">
      <c r="H56" s="9" t="s">
        <v>20</v>
      </c>
      <c r="I56" s="10">
        <f>T47</f>
        <v>0</v>
      </c>
      <c r="J56" s="11"/>
    </row>
    <row r="57" spans="8:10" x14ac:dyDescent="0.25">
      <c r="H57" s="9" t="s">
        <v>21</v>
      </c>
      <c r="I57" s="10">
        <f>U47</f>
        <v>0</v>
      </c>
      <c r="J57" s="11"/>
    </row>
    <row r="58" spans="8:10" ht="15.75" customHeight="1" x14ac:dyDescent="0.25">
      <c r="H58" s="12" t="s">
        <v>22</v>
      </c>
      <c r="I58" s="13"/>
      <c r="J58" s="13"/>
    </row>
    <row r="59" spans="8:10" ht="15.75" customHeight="1" x14ac:dyDescent="0.25">
      <c r="H59" s="14" t="s">
        <v>23</v>
      </c>
      <c r="I59" s="13"/>
      <c r="J59" s="13"/>
    </row>
    <row r="60" spans="8:10" ht="21" customHeight="1" x14ac:dyDescent="0.35">
      <c r="H60" s="15" t="s">
        <v>24</v>
      </c>
      <c r="I60" s="16">
        <f>SUM(I53:I59)</f>
        <v>21020</v>
      </c>
      <c r="J60" s="16">
        <f>SUM(J53:J57)</f>
        <v>44</v>
      </c>
    </row>
  </sheetData>
  <autoFilter ref="A2:P46" xr:uid="{00000000-0009-0000-0000-000006000000}">
    <sortState xmlns:xlrd2="http://schemas.microsoft.com/office/spreadsheetml/2017/richdata2" ref="A3:P46">
      <sortCondition ref="J2:J46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296F-C7DB-49A4-9C0C-E2D7AB1D886B}">
  <dimension ref="A1:R39"/>
  <sheetViews>
    <sheetView zoomScale="82" zoomScaleNormal="80" workbookViewId="0">
      <selection activeCell="D10" sqref="D1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280</v>
      </c>
      <c r="C1" s="1" t="s">
        <v>281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283</v>
      </c>
      <c r="D3" s="17" t="s">
        <v>284</v>
      </c>
      <c r="E3" s="17" t="s">
        <v>285</v>
      </c>
      <c r="F3" s="18">
        <v>7</v>
      </c>
      <c r="G3" s="18">
        <v>780</v>
      </c>
      <c r="H3" s="18">
        <v>30</v>
      </c>
      <c r="I3" s="18">
        <f t="shared" ref="I3:I25" si="0">G3-H3</f>
        <v>750</v>
      </c>
      <c r="J3" s="17" t="s">
        <v>286</v>
      </c>
      <c r="K3" s="17" t="s">
        <v>35</v>
      </c>
      <c r="L3" s="17" t="s">
        <v>287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288</v>
      </c>
      <c r="D4" s="17" t="s">
        <v>289</v>
      </c>
      <c r="E4" s="17" t="s">
        <v>290</v>
      </c>
      <c r="F4" s="17" t="s">
        <v>50</v>
      </c>
      <c r="G4" s="18">
        <v>0</v>
      </c>
      <c r="H4" s="18">
        <v>30</v>
      </c>
      <c r="I4" s="18">
        <f t="shared" si="0"/>
        <v>-30</v>
      </c>
      <c r="J4" s="17" t="s">
        <v>286</v>
      </c>
      <c r="K4" s="17" t="s">
        <v>35</v>
      </c>
      <c r="L4" s="17" t="s">
        <v>287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29</v>
      </c>
      <c r="C5" s="17" t="s">
        <v>291</v>
      </c>
      <c r="D5" s="17" t="s">
        <v>292</v>
      </c>
      <c r="E5" s="17" t="s">
        <v>293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286</v>
      </c>
      <c r="K5" s="17" t="s">
        <v>35</v>
      </c>
      <c r="L5" s="17" t="s">
        <v>287</v>
      </c>
      <c r="M5" s="17"/>
      <c r="N5" s="17"/>
      <c r="O5" s="17"/>
      <c r="P5" s="17"/>
      <c r="Q5" s="17">
        <v>1</v>
      </c>
      <c r="R5" s="19">
        <f t="shared" ref="R5:R6" si="1">H5</f>
        <v>30</v>
      </c>
    </row>
    <row r="6" spans="1:18" customFormat="1" x14ac:dyDescent="0.25">
      <c r="A6" s="17"/>
      <c r="B6" s="17" t="s">
        <v>29</v>
      </c>
      <c r="C6" s="17" t="s">
        <v>294</v>
      </c>
      <c r="D6" s="17" t="s">
        <v>295</v>
      </c>
      <c r="E6" s="17" t="s">
        <v>296</v>
      </c>
      <c r="F6" s="18">
        <v>12</v>
      </c>
      <c r="G6" s="18">
        <v>0</v>
      </c>
      <c r="H6" s="18">
        <v>30</v>
      </c>
      <c r="I6" s="18">
        <f t="shared" si="0"/>
        <v>-30</v>
      </c>
      <c r="J6" s="17" t="s">
        <v>286</v>
      </c>
      <c r="K6" s="17" t="s">
        <v>35</v>
      </c>
      <c r="L6" s="17" t="s">
        <v>287</v>
      </c>
      <c r="M6" s="17"/>
      <c r="N6" s="17"/>
      <c r="O6" s="17"/>
      <c r="P6" s="17"/>
      <c r="Q6" s="17">
        <v>1</v>
      </c>
      <c r="R6" s="19">
        <f t="shared" si="1"/>
        <v>30</v>
      </c>
    </row>
    <row r="7" spans="1:18" customFormat="1" x14ac:dyDescent="0.25">
      <c r="A7" s="17"/>
      <c r="B7" s="17" t="s">
        <v>29</v>
      </c>
      <c r="C7" s="17" t="s">
        <v>297</v>
      </c>
      <c r="D7" s="17" t="s">
        <v>298</v>
      </c>
      <c r="E7" s="17" t="s">
        <v>299</v>
      </c>
      <c r="F7" s="17" t="s">
        <v>50</v>
      </c>
      <c r="G7" s="18">
        <v>320</v>
      </c>
      <c r="H7" s="18">
        <v>30</v>
      </c>
      <c r="I7" s="18">
        <f t="shared" si="0"/>
        <v>290</v>
      </c>
      <c r="J7" s="17" t="s">
        <v>286</v>
      </c>
      <c r="K7" s="17" t="s">
        <v>35</v>
      </c>
      <c r="L7" s="17" t="s">
        <v>287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300</v>
      </c>
      <c r="D8" s="17" t="s">
        <v>301</v>
      </c>
      <c r="E8" s="17" t="s">
        <v>302</v>
      </c>
      <c r="F8" s="18">
        <v>8</v>
      </c>
      <c r="G8" s="18">
        <v>1410</v>
      </c>
      <c r="H8" s="18">
        <v>30</v>
      </c>
      <c r="I8" s="18">
        <f t="shared" si="0"/>
        <v>1380</v>
      </c>
      <c r="J8" s="17" t="s">
        <v>286</v>
      </c>
      <c r="K8" s="17" t="s">
        <v>35</v>
      </c>
      <c r="L8" s="17" t="s">
        <v>287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303</v>
      </c>
      <c r="D9" s="17" t="s">
        <v>304</v>
      </c>
      <c r="E9" s="17" t="s">
        <v>305</v>
      </c>
      <c r="F9" s="18">
        <v>7</v>
      </c>
      <c r="G9" s="18">
        <v>1080</v>
      </c>
      <c r="H9" s="18">
        <v>30</v>
      </c>
      <c r="I9" s="18">
        <f t="shared" si="0"/>
        <v>1050</v>
      </c>
      <c r="J9" s="17" t="s">
        <v>286</v>
      </c>
      <c r="K9" s="17" t="s">
        <v>35</v>
      </c>
      <c r="L9" s="17" t="s">
        <v>287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131</v>
      </c>
      <c r="D10" s="17" t="s">
        <v>132</v>
      </c>
      <c r="E10" s="17" t="s">
        <v>306</v>
      </c>
      <c r="F10" s="18">
        <v>7</v>
      </c>
      <c r="G10" s="18">
        <v>720</v>
      </c>
      <c r="H10" s="18">
        <v>30</v>
      </c>
      <c r="I10" s="18">
        <f t="shared" si="0"/>
        <v>690</v>
      </c>
      <c r="J10" s="17" t="s">
        <v>286</v>
      </c>
      <c r="K10" s="17" t="s">
        <v>35</v>
      </c>
      <c r="L10" s="17" t="s">
        <v>287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307</v>
      </c>
      <c r="D11" s="17"/>
      <c r="E11" s="17" t="s">
        <v>308</v>
      </c>
      <c r="F11" s="17" t="s">
        <v>33</v>
      </c>
      <c r="G11" s="18">
        <v>4360</v>
      </c>
      <c r="H11" s="18">
        <v>40</v>
      </c>
      <c r="I11" s="18">
        <f t="shared" si="0"/>
        <v>4320</v>
      </c>
      <c r="J11" s="17" t="s">
        <v>35</v>
      </c>
      <c r="K11" s="17" t="s">
        <v>35</v>
      </c>
      <c r="L11" s="17" t="s">
        <v>287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115</v>
      </c>
      <c r="D12" s="17"/>
      <c r="E12" s="17" t="s">
        <v>116</v>
      </c>
      <c r="F12" s="17" t="s">
        <v>70</v>
      </c>
      <c r="G12" s="18">
        <v>0</v>
      </c>
      <c r="H12" s="18">
        <v>30</v>
      </c>
      <c r="I12" s="18">
        <f t="shared" si="0"/>
        <v>-30</v>
      </c>
      <c r="J12" s="17" t="s">
        <v>35</v>
      </c>
      <c r="K12" s="17" t="s">
        <v>35</v>
      </c>
      <c r="L12" s="17" t="s">
        <v>287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 t="s">
        <v>61</v>
      </c>
      <c r="B13" s="17" t="s">
        <v>29</v>
      </c>
      <c r="C13" s="17" t="s">
        <v>109</v>
      </c>
      <c r="D13" s="17"/>
      <c r="E13" s="17" t="s">
        <v>309</v>
      </c>
      <c r="F13" s="17" t="s">
        <v>70</v>
      </c>
      <c r="G13" s="18">
        <v>8630</v>
      </c>
      <c r="H13" s="18">
        <v>50</v>
      </c>
      <c r="I13" s="18">
        <f t="shared" si="0"/>
        <v>8580</v>
      </c>
      <c r="J13" s="17" t="s">
        <v>35</v>
      </c>
      <c r="K13" s="17" t="s">
        <v>35</v>
      </c>
      <c r="L13" s="17" t="s">
        <v>287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310</v>
      </c>
      <c r="D14" s="17" t="s">
        <v>311</v>
      </c>
      <c r="E14" s="17" t="s">
        <v>312</v>
      </c>
      <c r="F14" s="18">
        <v>12</v>
      </c>
      <c r="G14" s="18">
        <v>2500</v>
      </c>
      <c r="H14" s="18">
        <v>35</v>
      </c>
      <c r="I14" s="18">
        <f t="shared" si="0"/>
        <v>2465</v>
      </c>
      <c r="J14" s="17" t="s">
        <v>35</v>
      </c>
      <c r="K14" s="17" t="s">
        <v>35</v>
      </c>
      <c r="L14" s="17" t="s">
        <v>287</v>
      </c>
      <c r="M14" s="24" t="s">
        <v>313</v>
      </c>
      <c r="N14" s="17"/>
      <c r="O14" s="17"/>
      <c r="P14" s="17"/>
      <c r="Q14" s="17">
        <v>1</v>
      </c>
      <c r="R14" s="19">
        <f>H14</f>
        <v>35</v>
      </c>
    </row>
    <row r="15" spans="1:18" customFormat="1" x14ac:dyDescent="0.25">
      <c r="A15" s="17"/>
      <c r="B15" s="17" t="s">
        <v>29</v>
      </c>
      <c r="C15" s="17" t="s">
        <v>314</v>
      </c>
      <c r="D15" s="17" t="s">
        <v>315</v>
      </c>
      <c r="E15" s="17" t="s">
        <v>316</v>
      </c>
      <c r="F15" s="18">
        <v>9</v>
      </c>
      <c r="G15" s="18">
        <v>1850</v>
      </c>
      <c r="H15" s="18">
        <v>30</v>
      </c>
      <c r="I15" s="18">
        <f t="shared" si="0"/>
        <v>1820</v>
      </c>
      <c r="J15" s="17" t="s">
        <v>35</v>
      </c>
      <c r="K15" s="17" t="s">
        <v>35</v>
      </c>
      <c r="L15" s="17" t="s">
        <v>287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317</v>
      </c>
      <c r="D16" s="17" t="s">
        <v>318</v>
      </c>
      <c r="E16" s="17" t="s">
        <v>319</v>
      </c>
      <c r="F16" s="17" t="s">
        <v>70</v>
      </c>
      <c r="G16" s="18">
        <v>945</v>
      </c>
      <c r="H16" s="18">
        <v>25</v>
      </c>
      <c r="I16" s="18">
        <f t="shared" si="0"/>
        <v>920</v>
      </c>
      <c r="J16" s="17" t="s">
        <v>35</v>
      </c>
      <c r="K16" s="17" t="s">
        <v>35</v>
      </c>
      <c r="L16" s="17" t="s">
        <v>287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320</v>
      </c>
      <c r="D17" s="17" t="s">
        <v>321</v>
      </c>
      <c r="E17" s="17" t="s">
        <v>322</v>
      </c>
      <c r="F17" s="17" t="s">
        <v>70</v>
      </c>
      <c r="G17" s="18">
        <v>1845</v>
      </c>
      <c r="H17" s="18">
        <v>25</v>
      </c>
      <c r="I17" s="18">
        <f t="shared" si="0"/>
        <v>1820</v>
      </c>
      <c r="J17" s="17" t="s">
        <v>35</v>
      </c>
      <c r="K17" s="17" t="s">
        <v>35</v>
      </c>
      <c r="L17" s="17" t="s">
        <v>287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323</v>
      </c>
      <c r="D18" s="17" t="s">
        <v>324</v>
      </c>
      <c r="E18" s="17" t="s">
        <v>325</v>
      </c>
      <c r="F18" s="18">
        <v>9</v>
      </c>
      <c r="G18" s="18">
        <v>1290</v>
      </c>
      <c r="H18" s="18">
        <v>30</v>
      </c>
      <c r="I18" s="18">
        <f t="shared" si="0"/>
        <v>1260</v>
      </c>
      <c r="J18" s="17" t="s">
        <v>35</v>
      </c>
      <c r="K18" s="17" t="s">
        <v>35</v>
      </c>
      <c r="L18" s="17" t="s">
        <v>287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326</v>
      </c>
      <c r="D19" s="17" t="s">
        <v>327</v>
      </c>
      <c r="E19" s="17" t="s">
        <v>328</v>
      </c>
      <c r="F19" s="18">
        <v>2</v>
      </c>
      <c r="G19" s="18">
        <v>920</v>
      </c>
      <c r="H19" s="18">
        <v>30</v>
      </c>
      <c r="I19" s="18">
        <f t="shared" si="0"/>
        <v>890</v>
      </c>
      <c r="J19" s="17" t="s">
        <v>35</v>
      </c>
      <c r="K19" s="17" t="s">
        <v>35</v>
      </c>
      <c r="L19" s="17" t="s">
        <v>287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329</v>
      </c>
      <c r="D20" s="17" t="s">
        <v>330</v>
      </c>
      <c r="E20" s="17" t="s">
        <v>331</v>
      </c>
      <c r="F20" s="17" t="s">
        <v>70</v>
      </c>
      <c r="G20" s="18">
        <v>885</v>
      </c>
      <c r="H20" s="18">
        <v>25</v>
      </c>
      <c r="I20" s="18">
        <f t="shared" si="0"/>
        <v>860</v>
      </c>
      <c r="J20" s="17" t="s">
        <v>35</v>
      </c>
      <c r="K20" s="17" t="s">
        <v>35</v>
      </c>
      <c r="L20" s="17" t="s">
        <v>287</v>
      </c>
      <c r="M20" s="17"/>
      <c r="N20" s="17"/>
      <c r="O20" s="17"/>
      <c r="P20" s="17"/>
      <c r="Q20" s="17">
        <v>1</v>
      </c>
    </row>
    <row r="21" spans="1:18" customFormat="1" x14ac:dyDescent="0.25">
      <c r="A21" s="17" t="s">
        <v>61</v>
      </c>
      <c r="B21" s="17" t="s">
        <v>29</v>
      </c>
      <c r="C21" s="17" t="s">
        <v>332</v>
      </c>
      <c r="D21" s="17"/>
      <c r="E21" s="17" t="s">
        <v>333</v>
      </c>
      <c r="F21" s="17" t="s">
        <v>46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287</v>
      </c>
      <c r="M21" s="17"/>
      <c r="N21" s="17"/>
      <c r="O21" s="17"/>
      <c r="P21" s="17"/>
      <c r="Q21" s="17">
        <v>1</v>
      </c>
      <c r="R21" s="19">
        <f t="shared" ref="R21:R22" si="2">H21</f>
        <v>30</v>
      </c>
    </row>
    <row r="22" spans="1:18" customFormat="1" x14ac:dyDescent="0.25">
      <c r="A22" s="17"/>
      <c r="B22" s="17" t="s">
        <v>29</v>
      </c>
      <c r="C22" s="17" t="s">
        <v>334</v>
      </c>
      <c r="D22" s="17" t="s">
        <v>335</v>
      </c>
      <c r="E22" s="17" t="s">
        <v>336</v>
      </c>
      <c r="F22" s="18">
        <v>1</v>
      </c>
      <c r="G22" s="18">
        <v>0</v>
      </c>
      <c r="H22" s="18">
        <v>25</v>
      </c>
      <c r="I22" s="18">
        <f t="shared" si="0"/>
        <v>-25</v>
      </c>
      <c r="J22" s="17" t="s">
        <v>121</v>
      </c>
      <c r="K22" s="17" t="s">
        <v>35</v>
      </c>
      <c r="L22" s="17" t="s">
        <v>287</v>
      </c>
      <c r="M22" s="17"/>
      <c r="N22" s="17"/>
      <c r="O22" s="17"/>
      <c r="P22" s="17"/>
      <c r="Q22" s="17">
        <v>1</v>
      </c>
      <c r="R22" s="19">
        <f t="shared" si="2"/>
        <v>25</v>
      </c>
    </row>
    <row r="23" spans="1:18" customFormat="1" x14ac:dyDescent="0.25">
      <c r="A23" s="17"/>
      <c r="B23" s="17" t="s">
        <v>29</v>
      </c>
      <c r="C23" s="17" t="s">
        <v>337</v>
      </c>
      <c r="D23" s="17" t="s">
        <v>338</v>
      </c>
      <c r="E23" s="17" t="s">
        <v>339</v>
      </c>
      <c r="F23" s="18">
        <v>3</v>
      </c>
      <c r="G23" s="18">
        <v>805</v>
      </c>
      <c r="H23" s="18">
        <v>25</v>
      </c>
      <c r="I23" s="18">
        <f t="shared" si="0"/>
        <v>780</v>
      </c>
      <c r="J23" s="17" t="s">
        <v>121</v>
      </c>
      <c r="K23" s="17" t="s">
        <v>35</v>
      </c>
      <c r="L23" s="17" t="s">
        <v>287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340</v>
      </c>
      <c r="D24" s="17" t="s">
        <v>341</v>
      </c>
      <c r="E24" s="17" t="s">
        <v>342</v>
      </c>
      <c r="F24" s="17" t="s">
        <v>46</v>
      </c>
      <c r="G24" s="18">
        <v>1645</v>
      </c>
      <c r="H24" s="18">
        <v>25</v>
      </c>
      <c r="I24" s="18">
        <f t="shared" si="0"/>
        <v>1620</v>
      </c>
      <c r="J24" s="17" t="s">
        <v>121</v>
      </c>
      <c r="K24" s="17" t="s">
        <v>35</v>
      </c>
      <c r="L24" s="17" t="s">
        <v>287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343</v>
      </c>
      <c r="D25" s="17" t="s">
        <v>344</v>
      </c>
      <c r="E25" s="17" t="s">
        <v>345</v>
      </c>
      <c r="F25" s="17" t="s">
        <v>46</v>
      </c>
      <c r="G25" s="18">
        <v>845</v>
      </c>
      <c r="H25" s="18">
        <v>25</v>
      </c>
      <c r="I25" s="18">
        <f t="shared" si="0"/>
        <v>820</v>
      </c>
      <c r="J25" s="17" t="s">
        <v>121</v>
      </c>
      <c r="K25" s="17" t="s">
        <v>35</v>
      </c>
      <c r="L25" s="17" t="s">
        <v>287</v>
      </c>
      <c r="M25" s="17"/>
      <c r="N25" s="17"/>
      <c r="O25" s="17"/>
      <c r="P25" s="17"/>
      <c r="Q25" s="17">
        <v>1</v>
      </c>
    </row>
    <row r="27" spans="1:18" x14ac:dyDescent="0.25">
      <c r="G27" s="1">
        <f t="shared" ref="G27:R27" si="3">SUBTOTAL(9,G3:G26)</f>
        <v>30830</v>
      </c>
      <c r="H27" s="1">
        <f t="shared" si="3"/>
        <v>690</v>
      </c>
      <c r="I27" s="1">
        <f t="shared" si="3"/>
        <v>30140</v>
      </c>
      <c r="J27" s="1">
        <f t="shared" si="3"/>
        <v>0</v>
      </c>
      <c r="K27" s="1">
        <f t="shared" si="3"/>
        <v>0</v>
      </c>
      <c r="L27" s="1">
        <f t="shared" si="3"/>
        <v>0</v>
      </c>
      <c r="M27" s="1">
        <f t="shared" si="3"/>
        <v>0</v>
      </c>
      <c r="N27" s="1">
        <f t="shared" si="3"/>
        <v>0</v>
      </c>
      <c r="O27" s="1">
        <f t="shared" si="3"/>
        <v>0</v>
      </c>
      <c r="P27" s="1">
        <f t="shared" si="3"/>
        <v>0</v>
      </c>
      <c r="Q27" s="1">
        <f t="shared" si="3"/>
        <v>23</v>
      </c>
      <c r="R27" s="1">
        <f t="shared" si="3"/>
        <v>210</v>
      </c>
    </row>
    <row r="31" spans="1:18" ht="20.25" customHeight="1" x14ac:dyDescent="0.3">
      <c r="H31" s="4" t="s">
        <v>282</v>
      </c>
      <c r="I31" s="5" t="s">
        <v>15</v>
      </c>
      <c r="J31" s="6" t="s">
        <v>16</v>
      </c>
    </row>
    <row r="32" spans="1:18" ht="15.75" customHeight="1" x14ac:dyDescent="0.25">
      <c r="H32" s="7" t="s">
        <v>17</v>
      </c>
      <c r="I32" s="8">
        <f>SUM(I26:I30)</f>
        <v>30140</v>
      </c>
      <c r="J32" s="8">
        <f>Q27</f>
        <v>23</v>
      </c>
    </row>
    <row r="33" spans="8:10" x14ac:dyDescent="0.25">
      <c r="H33" s="9" t="s">
        <v>18</v>
      </c>
      <c r="I33" s="10">
        <f>R27</f>
        <v>210</v>
      </c>
      <c r="J33" s="11"/>
    </row>
    <row r="34" spans="8:10" x14ac:dyDescent="0.25">
      <c r="H34" s="9" t="s">
        <v>19</v>
      </c>
      <c r="I34" s="10">
        <f>S26</f>
        <v>0</v>
      </c>
      <c r="J34" s="11"/>
    </row>
    <row r="35" spans="8:10" x14ac:dyDescent="0.25">
      <c r="H35" s="9" t="s">
        <v>20</v>
      </c>
      <c r="I35" s="10">
        <f>T26</f>
        <v>0</v>
      </c>
      <c r="J35" s="11"/>
    </row>
    <row r="36" spans="8:10" x14ac:dyDescent="0.25">
      <c r="H36" s="9" t="s">
        <v>21</v>
      </c>
      <c r="I36" s="10">
        <f>U26</f>
        <v>0</v>
      </c>
      <c r="J36" s="11"/>
    </row>
    <row r="37" spans="8:10" ht="15.75" customHeight="1" x14ac:dyDescent="0.25">
      <c r="H37" s="12" t="s">
        <v>22</v>
      </c>
      <c r="I37" s="13"/>
      <c r="J37" s="13"/>
    </row>
    <row r="38" spans="8:10" ht="15.75" customHeight="1" x14ac:dyDescent="0.25">
      <c r="H38" s="14" t="s">
        <v>23</v>
      </c>
      <c r="I38" s="13"/>
      <c r="J38" s="13"/>
    </row>
    <row r="39" spans="8:10" ht="21" customHeight="1" x14ac:dyDescent="0.35">
      <c r="H39" s="15" t="s">
        <v>24</v>
      </c>
      <c r="I39" s="16">
        <f>SUM(I32:I38)</f>
        <v>30350</v>
      </c>
      <c r="J39" s="16">
        <f>SUM(J32:J36)</f>
        <v>23</v>
      </c>
    </row>
  </sheetData>
  <autoFilter ref="A2:P25" xr:uid="{00000000-0009-0000-0000-000006000000}">
    <sortState xmlns:xlrd2="http://schemas.microsoft.com/office/spreadsheetml/2017/richdata2" ref="A3:P25">
      <sortCondition ref="J2:J2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0A189-1F7B-45C6-97B2-EDE97BA69997}">
  <dimension ref="A1:R39"/>
  <sheetViews>
    <sheetView topLeftCell="A20" zoomScale="82" zoomScaleNormal="80" workbookViewId="0">
      <selection activeCell="R21" sqref="R2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347</v>
      </c>
      <c r="C1" s="1" t="s">
        <v>348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349</v>
      </c>
      <c r="D3" s="17" t="s">
        <v>350</v>
      </c>
      <c r="E3" s="17" t="s">
        <v>351</v>
      </c>
      <c r="F3" s="18">
        <v>8</v>
      </c>
      <c r="G3" s="18">
        <v>0</v>
      </c>
      <c r="H3" s="18">
        <v>30</v>
      </c>
      <c r="I3" s="18">
        <f t="shared" ref="I3:I25" si="0">G3-H3</f>
        <v>-30</v>
      </c>
      <c r="J3" s="17" t="s">
        <v>352</v>
      </c>
      <c r="K3" s="17" t="s">
        <v>35</v>
      </c>
      <c r="L3" s="17" t="s">
        <v>353</v>
      </c>
      <c r="M3" s="17"/>
      <c r="N3" s="17"/>
      <c r="O3" s="17"/>
      <c r="P3" s="17"/>
      <c r="Q3" s="17">
        <v>1</v>
      </c>
      <c r="R3" s="19">
        <f>H3</f>
        <v>30</v>
      </c>
    </row>
    <row r="4" spans="1:18" customFormat="1" x14ac:dyDescent="0.25">
      <c r="A4" s="17"/>
      <c r="B4" s="17" t="s">
        <v>29</v>
      </c>
      <c r="C4" s="17" t="s">
        <v>354</v>
      </c>
      <c r="D4" s="17" t="s">
        <v>355</v>
      </c>
      <c r="E4" s="17" t="s">
        <v>356</v>
      </c>
      <c r="F4" s="18">
        <v>6</v>
      </c>
      <c r="G4" s="18">
        <v>665</v>
      </c>
      <c r="H4" s="18">
        <v>25</v>
      </c>
      <c r="I4" s="18">
        <f t="shared" si="0"/>
        <v>640</v>
      </c>
      <c r="J4" s="17" t="s">
        <v>352</v>
      </c>
      <c r="K4" s="17" t="s">
        <v>35</v>
      </c>
      <c r="L4" s="17" t="s">
        <v>353</v>
      </c>
      <c r="M4" s="17"/>
      <c r="N4" s="17"/>
      <c r="O4" s="17"/>
      <c r="P4" s="17"/>
      <c r="Q4" s="17">
        <v>1</v>
      </c>
    </row>
    <row r="5" spans="1:18" s="22" customFormat="1" x14ac:dyDescent="0.25">
      <c r="A5" s="20"/>
      <c r="B5" s="20" t="s">
        <v>29</v>
      </c>
      <c r="C5" s="20" t="s">
        <v>156</v>
      </c>
      <c r="D5" s="20" t="s">
        <v>357</v>
      </c>
      <c r="E5" s="20" t="s">
        <v>158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352</v>
      </c>
      <c r="K5" s="20" t="s">
        <v>35</v>
      </c>
      <c r="L5" s="20" t="s">
        <v>353</v>
      </c>
      <c r="M5" s="20" t="s">
        <v>102</v>
      </c>
      <c r="N5" s="20"/>
      <c r="O5" s="20"/>
      <c r="P5" s="20"/>
      <c r="Q5" s="20">
        <v>1</v>
      </c>
      <c r="R5" s="23">
        <f>H5</f>
        <v>30</v>
      </c>
    </row>
    <row r="6" spans="1:18" customFormat="1" x14ac:dyDescent="0.25">
      <c r="A6" s="17"/>
      <c r="B6" s="17" t="s">
        <v>29</v>
      </c>
      <c r="C6" s="17" t="s">
        <v>358</v>
      </c>
      <c r="D6" s="17" t="s">
        <v>359</v>
      </c>
      <c r="E6" s="17" t="s">
        <v>360</v>
      </c>
      <c r="F6" s="18">
        <v>8</v>
      </c>
      <c r="G6" s="18">
        <v>820</v>
      </c>
      <c r="H6" s="18">
        <v>30</v>
      </c>
      <c r="I6" s="18">
        <f t="shared" si="0"/>
        <v>790</v>
      </c>
      <c r="J6" s="17" t="s">
        <v>352</v>
      </c>
      <c r="K6" s="17" t="s">
        <v>35</v>
      </c>
      <c r="L6" s="17" t="s">
        <v>353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361</v>
      </c>
      <c r="D7" s="17" t="s">
        <v>362</v>
      </c>
      <c r="E7" s="17" t="s">
        <v>363</v>
      </c>
      <c r="F7" s="18">
        <v>7</v>
      </c>
      <c r="G7" s="18">
        <v>950</v>
      </c>
      <c r="H7" s="18">
        <v>30</v>
      </c>
      <c r="I7" s="18">
        <f t="shared" si="0"/>
        <v>920</v>
      </c>
      <c r="J7" s="17" t="s">
        <v>352</v>
      </c>
      <c r="K7" s="17" t="s">
        <v>35</v>
      </c>
      <c r="L7" s="17" t="s">
        <v>353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364</v>
      </c>
      <c r="D8" s="17" t="s">
        <v>365</v>
      </c>
      <c r="E8" s="17" t="s">
        <v>366</v>
      </c>
      <c r="F8" s="18">
        <v>8</v>
      </c>
      <c r="G8" s="18">
        <v>0</v>
      </c>
      <c r="H8" s="18">
        <v>30</v>
      </c>
      <c r="I8" s="18">
        <f t="shared" si="0"/>
        <v>-30</v>
      </c>
      <c r="J8" s="17" t="s">
        <v>352</v>
      </c>
      <c r="K8" s="17" t="s">
        <v>35</v>
      </c>
      <c r="L8" s="17" t="s">
        <v>353</v>
      </c>
      <c r="M8" s="17"/>
      <c r="N8" s="17"/>
      <c r="O8" s="17"/>
      <c r="P8" s="17"/>
      <c r="Q8" s="17">
        <v>1</v>
      </c>
      <c r="R8" s="19">
        <f t="shared" ref="R8:R10" si="1">H8</f>
        <v>30</v>
      </c>
    </row>
    <row r="9" spans="1:18" customFormat="1" x14ac:dyDescent="0.25">
      <c r="A9" s="17" t="s">
        <v>61</v>
      </c>
      <c r="B9" s="17" t="s">
        <v>29</v>
      </c>
      <c r="C9" s="17" t="s">
        <v>115</v>
      </c>
      <c r="D9" s="17"/>
      <c r="E9" s="17" t="s">
        <v>116</v>
      </c>
      <c r="F9" s="17" t="s">
        <v>70</v>
      </c>
      <c r="G9" s="18">
        <v>0</v>
      </c>
      <c r="H9" s="18">
        <v>30</v>
      </c>
      <c r="I9" s="18">
        <f t="shared" si="0"/>
        <v>-30</v>
      </c>
      <c r="J9" s="17" t="s">
        <v>35</v>
      </c>
      <c r="K9" s="17" t="s">
        <v>35</v>
      </c>
      <c r="L9" s="17" t="s">
        <v>353</v>
      </c>
      <c r="M9" s="17"/>
      <c r="N9" s="17"/>
      <c r="O9" s="17"/>
      <c r="P9" s="17"/>
      <c r="Q9" s="17">
        <v>1</v>
      </c>
      <c r="R9" s="19">
        <f t="shared" si="1"/>
        <v>30</v>
      </c>
    </row>
    <row r="10" spans="1:18" customFormat="1" x14ac:dyDescent="0.25">
      <c r="A10" s="17"/>
      <c r="B10" s="17" t="s">
        <v>29</v>
      </c>
      <c r="C10" s="17" t="s">
        <v>367</v>
      </c>
      <c r="D10" s="17" t="s">
        <v>368</v>
      </c>
      <c r="E10" s="17" t="s">
        <v>369</v>
      </c>
      <c r="F10" s="18">
        <v>12</v>
      </c>
      <c r="G10" s="18">
        <v>0</v>
      </c>
      <c r="H10" s="18">
        <v>30</v>
      </c>
      <c r="I10" s="18">
        <f t="shared" si="0"/>
        <v>-30</v>
      </c>
      <c r="J10" s="17" t="s">
        <v>35</v>
      </c>
      <c r="K10" s="17" t="s">
        <v>35</v>
      </c>
      <c r="L10" s="17" t="s">
        <v>353</v>
      </c>
      <c r="M10" s="17"/>
      <c r="N10" s="17"/>
      <c r="O10" s="17"/>
      <c r="P10" s="17"/>
      <c r="Q10" s="17">
        <v>1</v>
      </c>
      <c r="R10" s="19">
        <f t="shared" si="1"/>
        <v>30</v>
      </c>
    </row>
    <row r="11" spans="1:18" customFormat="1" x14ac:dyDescent="0.25">
      <c r="A11" s="17"/>
      <c r="B11" s="17" t="s">
        <v>29</v>
      </c>
      <c r="C11" s="17" t="s">
        <v>370</v>
      </c>
      <c r="D11" s="17" t="s">
        <v>371</v>
      </c>
      <c r="E11" s="17" t="s">
        <v>372</v>
      </c>
      <c r="F11" s="18">
        <v>12</v>
      </c>
      <c r="G11" s="18">
        <v>1200</v>
      </c>
      <c r="H11" s="18">
        <v>30</v>
      </c>
      <c r="I11" s="18">
        <f t="shared" si="0"/>
        <v>1170</v>
      </c>
      <c r="J11" s="17" t="s">
        <v>35</v>
      </c>
      <c r="K11" s="17" t="s">
        <v>35</v>
      </c>
      <c r="L11" s="17" t="s">
        <v>353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373</v>
      </c>
      <c r="D12" s="17" t="s">
        <v>374</v>
      </c>
      <c r="E12" s="17" t="s">
        <v>375</v>
      </c>
      <c r="F12" s="18">
        <v>12</v>
      </c>
      <c r="G12" s="18">
        <v>1160</v>
      </c>
      <c r="H12" s="18">
        <v>30</v>
      </c>
      <c r="I12" s="18">
        <f t="shared" si="0"/>
        <v>1130</v>
      </c>
      <c r="J12" s="17" t="s">
        <v>35</v>
      </c>
      <c r="K12" s="17" t="s">
        <v>35</v>
      </c>
      <c r="L12" s="17" t="s">
        <v>353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376</v>
      </c>
      <c r="D13" s="17" t="s">
        <v>377</v>
      </c>
      <c r="E13" s="17" t="s">
        <v>378</v>
      </c>
      <c r="F13" s="17" t="s">
        <v>80</v>
      </c>
      <c r="G13" s="18">
        <v>1760</v>
      </c>
      <c r="H13" s="18">
        <v>20</v>
      </c>
      <c r="I13" s="18">
        <f t="shared" si="0"/>
        <v>1740</v>
      </c>
      <c r="J13" s="17" t="s">
        <v>35</v>
      </c>
      <c r="K13" s="17" t="s">
        <v>35</v>
      </c>
      <c r="L13" s="17" t="s">
        <v>353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379</v>
      </c>
      <c r="D14" s="17" t="s">
        <v>380</v>
      </c>
      <c r="E14" s="17" t="s">
        <v>381</v>
      </c>
      <c r="F14" s="18">
        <v>2</v>
      </c>
      <c r="G14" s="18">
        <v>1630</v>
      </c>
      <c r="H14" s="18">
        <v>30</v>
      </c>
      <c r="I14" s="18">
        <f t="shared" si="0"/>
        <v>1600</v>
      </c>
      <c r="J14" s="17" t="s">
        <v>35</v>
      </c>
      <c r="K14" s="17" t="s">
        <v>35</v>
      </c>
      <c r="L14" s="17" t="s">
        <v>353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382</v>
      </c>
      <c r="D15" s="17" t="s">
        <v>383</v>
      </c>
      <c r="E15" s="17" t="s">
        <v>384</v>
      </c>
      <c r="F15" s="18">
        <v>12</v>
      </c>
      <c r="G15" s="18">
        <v>790</v>
      </c>
      <c r="H15" s="18">
        <v>30</v>
      </c>
      <c r="I15" s="18">
        <f t="shared" si="0"/>
        <v>760</v>
      </c>
      <c r="J15" s="17" t="s">
        <v>35</v>
      </c>
      <c r="K15" s="17" t="s">
        <v>35</v>
      </c>
      <c r="L15" s="17" t="s">
        <v>353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385</v>
      </c>
      <c r="D16" s="17" t="s">
        <v>386</v>
      </c>
      <c r="E16" s="17" t="s">
        <v>387</v>
      </c>
      <c r="F16" s="17" t="s">
        <v>70</v>
      </c>
      <c r="G16" s="18">
        <v>935</v>
      </c>
      <c r="H16" s="18">
        <v>25</v>
      </c>
      <c r="I16" s="18">
        <f t="shared" si="0"/>
        <v>910</v>
      </c>
      <c r="J16" s="17" t="s">
        <v>35</v>
      </c>
      <c r="K16" s="17" t="s">
        <v>35</v>
      </c>
      <c r="L16" s="17" t="s">
        <v>353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388</v>
      </c>
      <c r="D17" s="17" t="s">
        <v>389</v>
      </c>
      <c r="E17" s="17" t="s">
        <v>390</v>
      </c>
      <c r="F17" s="17" t="s">
        <v>46</v>
      </c>
      <c r="G17" s="18">
        <v>1565</v>
      </c>
      <c r="H17" s="18">
        <v>25</v>
      </c>
      <c r="I17" s="18">
        <f t="shared" si="0"/>
        <v>1540</v>
      </c>
      <c r="J17" s="17" t="s">
        <v>35</v>
      </c>
      <c r="K17" s="17" t="s">
        <v>35</v>
      </c>
      <c r="L17" s="17" t="s">
        <v>353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391</v>
      </c>
      <c r="D18" s="17" t="s">
        <v>392</v>
      </c>
      <c r="E18" s="17" t="s">
        <v>393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353</v>
      </c>
      <c r="M18" s="17"/>
      <c r="N18" s="17"/>
      <c r="O18" s="17"/>
      <c r="P18" s="17"/>
      <c r="Q18" s="17">
        <v>1</v>
      </c>
      <c r="R18" s="19">
        <f t="shared" ref="R18:R19" si="2">H18</f>
        <v>30</v>
      </c>
    </row>
    <row r="19" spans="1:18" customFormat="1" x14ac:dyDescent="0.25">
      <c r="A19" s="17"/>
      <c r="B19" s="17" t="s">
        <v>29</v>
      </c>
      <c r="C19" s="17" t="s">
        <v>394</v>
      </c>
      <c r="D19" s="17" t="s">
        <v>395</v>
      </c>
      <c r="E19" s="17" t="s">
        <v>396</v>
      </c>
      <c r="F19" s="17" t="s">
        <v>80</v>
      </c>
      <c r="G19" s="18">
        <v>0</v>
      </c>
      <c r="H19" s="18">
        <v>20</v>
      </c>
      <c r="I19" s="18">
        <f t="shared" si="0"/>
        <v>-20</v>
      </c>
      <c r="J19" s="17" t="s">
        <v>35</v>
      </c>
      <c r="K19" s="17" t="s">
        <v>35</v>
      </c>
      <c r="L19" s="17" t="s">
        <v>353</v>
      </c>
      <c r="M19" s="17"/>
      <c r="N19" s="17"/>
      <c r="O19" s="17"/>
      <c r="P19" s="17"/>
      <c r="Q19" s="17">
        <v>1</v>
      </c>
      <c r="R19" s="19">
        <f t="shared" si="2"/>
        <v>20</v>
      </c>
    </row>
    <row r="20" spans="1:18" customFormat="1" x14ac:dyDescent="0.25">
      <c r="A20" s="17"/>
      <c r="B20" s="17" t="s">
        <v>29</v>
      </c>
      <c r="C20" s="17" t="s">
        <v>397</v>
      </c>
      <c r="D20" s="17" t="s">
        <v>398</v>
      </c>
      <c r="E20" s="17" t="s">
        <v>399</v>
      </c>
      <c r="F20" s="17" t="s">
        <v>46</v>
      </c>
      <c r="G20" s="18">
        <v>2290</v>
      </c>
      <c r="H20" s="18">
        <v>30</v>
      </c>
      <c r="I20" s="18">
        <f t="shared" si="0"/>
        <v>2260</v>
      </c>
      <c r="J20" s="17" t="s">
        <v>121</v>
      </c>
      <c r="K20" s="17" t="s">
        <v>35</v>
      </c>
      <c r="L20" s="17" t="s">
        <v>353</v>
      </c>
      <c r="M20" s="24" t="s">
        <v>313</v>
      </c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29</v>
      </c>
      <c r="C21" s="17" t="s">
        <v>400</v>
      </c>
      <c r="D21" s="17" t="s">
        <v>401</v>
      </c>
      <c r="E21" s="17" t="s">
        <v>402</v>
      </c>
      <c r="F21" s="18">
        <v>8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353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29</v>
      </c>
      <c r="C22" s="17" t="s">
        <v>403</v>
      </c>
      <c r="D22" s="17" t="s">
        <v>404</v>
      </c>
      <c r="E22" s="17" t="s">
        <v>405</v>
      </c>
      <c r="F22" s="18">
        <v>10</v>
      </c>
      <c r="G22" s="18">
        <v>895</v>
      </c>
      <c r="H22" s="18">
        <v>25</v>
      </c>
      <c r="I22" s="18">
        <f t="shared" si="0"/>
        <v>870</v>
      </c>
      <c r="J22" s="17" t="s">
        <v>121</v>
      </c>
      <c r="K22" s="17" t="s">
        <v>35</v>
      </c>
      <c r="L22" s="17" t="s">
        <v>353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406</v>
      </c>
      <c r="D23" s="17" t="s">
        <v>407</v>
      </c>
      <c r="E23" s="17" t="s">
        <v>408</v>
      </c>
      <c r="F23" s="18">
        <v>4</v>
      </c>
      <c r="G23" s="18">
        <v>0</v>
      </c>
      <c r="H23" s="18">
        <v>25</v>
      </c>
      <c r="I23" s="18">
        <f t="shared" si="0"/>
        <v>-25</v>
      </c>
      <c r="J23" s="17" t="s">
        <v>121</v>
      </c>
      <c r="K23" s="17" t="s">
        <v>35</v>
      </c>
      <c r="L23" s="17" t="s">
        <v>353</v>
      </c>
      <c r="M23" s="17"/>
      <c r="N23" s="17"/>
      <c r="O23" s="17"/>
      <c r="P23" s="17"/>
      <c r="Q23" s="17">
        <v>1</v>
      </c>
      <c r="R23" s="19">
        <f t="shared" ref="R23:R24" si="3">H23</f>
        <v>25</v>
      </c>
    </row>
    <row r="24" spans="1:18" customFormat="1" x14ac:dyDescent="0.25">
      <c r="A24" s="17"/>
      <c r="B24" s="17" t="s">
        <v>29</v>
      </c>
      <c r="C24" s="17" t="s">
        <v>409</v>
      </c>
      <c r="D24" s="17" t="s">
        <v>410</v>
      </c>
      <c r="E24" s="17" t="s">
        <v>411</v>
      </c>
      <c r="F24" s="18">
        <v>1</v>
      </c>
      <c r="G24" s="18">
        <v>0</v>
      </c>
      <c r="H24" s="18">
        <v>25</v>
      </c>
      <c r="I24" s="18">
        <f t="shared" si="0"/>
        <v>-25</v>
      </c>
      <c r="J24" s="17" t="s">
        <v>121</v>
      </c>
      <c r="K24" s="17" t="s">
        <v>35</v>
      </c>
      <c r="L24" s="17" t="s">
        <v>353</v>
      </c>
      <c r="M24" s="17"/>
      <c r="N24" s="17"/>
      <c r="O24" s="17"/>
      <c r="P24" s="17"/>
      <c r="Q24" s="17">
        <v>1</v>
      </c>
      <c r="R24" s="19">
        <f t="shared" si="3"/>
        <v>25</v>
      </c>
    </row>
    <row r="25" spans="1:18" customFormat="1" x14ac:dyDescent="0.25">
      <c r="A25" s="17"/>
      <c r="B25" s="17" t="s">
        <v>29</v>
      </c>
      <c r="C25" s="17" t="s">
        <v>412</v>
      </c>
      <c r="D25" s="17" t="s">
        <v>413</v>
      </c>
      <c r="E25" s="17" t="s">
        <v>414</v>
      </c>
      <c r="F25" s="18">
        <v>10</v>
      </c>
      <c r="G25" s="18">
        <v>785</v>
      </c>
      <c r="H25" s="18">
        <v>25</v>
      </c>
      <c r="I25" s="18">
        <f t="shared" si="0"/>
        <v>760</v>
      </c>
      <c r="J25" s="17" t="s">
        <v>121</v>
      </c>
      <c r="K25" s="17" t="s">
        <v>35</v>
      </c>
      <c r="L25" s="17" t="s">
        <v>353</v>
      </c>
      <c r="M25" s="17"/>
      <c r="N25" s="17"/>
      <c r="O25" s="17"/>
      <c r="P25" s="17"/>
      <c r="Q25" s="17">
        <v>1</v>
      </c>
    </row>
    <row r="27" spans="1:18" x14ac:dyDescent="0.25">
      <c r="G27" s="1">
        <f t="shared" ref="G27:R27" si="4">SUBTOTAL(9,G3:G26)</f>
        <v>15445</v>
      </c>
      <c r="H27" s="1">
        <f t="shared" si="4"/>
        <v>635</v>
      </c>
      <c r="I27" s="1">
        <f t="shared" si="4"/>
        <v>14810</v>
      </c>
      <c r="J27" s="1">
        <f t="shared" si="4"/>
        <v>0</v>
      </c>
      <c r="K27" s="1">
        <f t="shared" si="4"/>
        <v>0</v>
      </c>
      <c r="L27" s="1">
        <f t="shared" si="4"/>
        <v>0</v>
      </c>
      <c r="M27" s="1">
        <f t="shared" si="4"/>
        <v>0</v>
      </c>
      <c r="N27" s="1">
        <f t="shared" si="4"/>
        <v>0</v>
      </c>
      <c r="O27" s="1">
        <f t="shared" si="4"/>
        <v>0</v>
      </c>
      <c r="P27" s="1">
        <f t="shared" si="4"/>
        <v>0</v>
      </c>
      <c r="Q27" s="1">
        <f t="shared" si="4"/>
        <v>23</v>
      </c>
      <c r="R27" s="1">
        <f t="shared" si="4"/>
        <v>310</v>
      </c>
    </row>
    <row r="28" spans="1:18" x14ac:dyDescent="0.25">
      <c r="I28" s="1">
        <v>25</v>
      </c>
      <c r="J28" s="1" t="s">
        <v>415</v>
      </c>
    </row>
    <row r="31" spans="1:18" ht="20.25" customHeight="1" x14ac:dyDescent="0.3">
      <c r="H31" s="4" t="s">
        <v>346</v>
      </c>
      <c r="I31" s="5" t="s">
        <v>15</v>
      </c>
      <c r="J31" s="6" t="s">
        <v>16</v>
      </c>
    </row>
    <row r="32" spans="1:18" ht="15.75" customHeight="1" x14ac:dyDescent="0.25">
      <c r="H32" s="7" t="s">
        <v>17</v>
      </c>
      <c r="I32" s="8">
        <f>SUM(I26:I30)</f>
        <v>14835</v>
      </c>
      <c r="J32" s="8">
        <f>Q27</f>
        <v>23</v>
      </c>
    </row>
    <row r="33" spans="8:10" x14ac:dyDescent="0.25">
      <c r="H33" s="9" t="s">
        <v>18</v>
      </c>
      <c r="I33" s="10">
        <f>R27</f>
        <v>310</v>
      </c>
      <c r="J33" s="11"/>
    </row>
    <row r="34" spans="8:10" x14ac:dyDescent="0.25">
      <c r="H34" s="9" t="s">
        <v>19</v>
      </c>
      <c r="I34" s="10">
        <f>S26</f>
        <v>0</v>
      </c>
      <c r="J34" s="11"/>
    </row>
    <row r="35" spans="8:10" x14ac:dyDescent="0.25">
      <c r="H35" s="9" t="s">
        <v>20</v>
      </c>
      <c r="I35" s="10">
        <f>T26</f>
        <v>0</v>
      </c>
      <c r="J35" s="11"/>
    </row>
    <row r="36" spans="8:10" x14ac:dyDescent="0.25">
      <c r="H36" s="9" t="s">
        <v>21</v>
      </c>
      <c r="I36" s="10">
        <f>U26</f>
        <v>0</v>
      </c>
      <c r="J36" s="11"/>
    </row>
    <row r="37" spans="8:10" ht="15.75" customHeight="1" x14ac:dyDescent="0.25">
      <c r="H37" s="12" t="s">
        <v>22</v>
      </c>
      <c r="I37" s="13"/>
      <c r="J37" s="13"/>
    </row>
    <row r="38" spans="8:10" ht="15.75" customHeight="1" x14ac:dyDescent="0.25">
      <c r="H38" s="14" t="s">
        <v>23</v>
      </c>
      <c r="I38" s="13"/>
      <c r="J38" s="13"/>
    </row>
    <row r="39" spans="8:10" ht="21" customHeight="1" x14ac:dyDescent="0.35">
      <c r="H39" s="15" t="s">
        <v>24</v>
      </c>
      <c r="I39" s="16">
        <f>SUM(I32:I38)</f>
        <v>15145</v>
      </c>
      <c r="J39" s="16">
        <f>SUM(J32:J36)</f>
        <v>23</v>
      </c>
    </row>
  </sheetData>
  <autoFilter ref="A2:P25" xr:uid="{00000000-0009-0000-0000-000006000000}">
    <sortState xmlns:xlrd2="http://schemas.microsoft.com/office/spreadsheetml/2017/richdata2" ref="A3:P25">
      <sortCondition ref="J2:J25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0862-A93C-4CDB-BD70-2930D986A417}">
  <dimension ref="A1:R49"/>
  <sheetViews>
    <sheetView topLeftCell="A25" zoomScale="82" zoomScaleNormal="80" workbookViewId="0">
      <selection activeCell="I38" sqref="I38:J38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418</v>
      </c>
      <c r="C1" s="1" t="s">
        <v>417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419</v>
      </c>
      <c r="D3" s="17" t="s">
        <v>420</v>
      </c>
      <c r="E3" s="17" t="s">
        <v>421</v>
      </c>
      <c r="F3" s="17" t="s">
        <v>422</v>
      </c>
      <c r="G3" s="18">
        <v>3270</v>
      </c>
      <c r="H3" s="18">
        <v>45</v>
      </c>
      <c r="I3" s="18">
        <f t="shared" ref="I3:I35" si="0">G3-H3</f>
        <v>3225</v>
      </c>
      <c r="J3" s="17" t="s">
        <v>423</v>
      </c>
      <c r="K3" s="17" t="s">
        <v>35</v>
      </c>
      <c r="L3" s="17" t="s">
        <v>424</v>
      </c>
      <c r="M3" s="24" t="s">
        <v>313</v>
      </c>
      <c r="N3" s="17"/>
      <c r="O3" s="17"/>
      <c r="P3" s="17"/>
      <c r="Q3" s="17">
        <v>1</v>
      </c>
      <c r="R3" s="19">
        <f>H3</f>
        <v>45</v>
      </c>
    </row>
    <row r="4" spans="1:18" customFormat="1" x14ac:dyDescent="0.25">
      <c r="A4" s="17"/>
      <c r="B4" s="17" t="s">
        <v>29</v>
      </c>
      <c r="C4" s="17" t="s">
        <v>425</v>
      </c>
      <c r="D4" s="17" t="s">
        <v>426</v>
      </c>
      <c r="E4" s="17" t="s">
        <v>427</v>
      </c>
      <c r="F4" s="17" t="s">
        <v>50</v>
      </c>
      <c r="G4" s="18">
        <v>2650</v>
      </c>
      <c r="H4" s="18">
        <v>35</v>
      </c>
      <c r="I4" s="18">
        <f t="shared" si="0"/>
        <v>2615</v>
      </c>
      <c r="J4" s="17" t="s">
        <v>423</v>
      </c>
      <c r="K4" s="17" t="s">
        <v>35</v>
      </c>
      <c r="L4" s="17" t="s">
        <v>424</v>
      </c>
      <c r="M4" s="24" t="s">
        <v>313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29</v>
      </c>
      <c r="C5" s="17" t="s">
        <v>428</v>
      </c>
      <c r="D5" s="17" t="s">
        <v>429</v>
      </c>
      <c r="E5" s="17" t="s">
        <v>430</v>
      </c>
      <c r="F5" s="17" t="s">
        <v>33</v>
      </c>
      <c r="G5" s="18">
        <v>805</v>
      </c>
      <c r="H5" s="18">
        <v>25</v>
      </c>
      <c r="I5" s="18">
        <f t="shared" si="0"/>
        <v>780</v>
      </c>
      <c r="J5" s="17" t="s">
        <v>423</v>
      </c>
      <c r="K5" s="17" t="s">
        <v>35</v>
      </c>
      <c r="L5" s="17" t="s">
        <v>424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431</v>
      </c>
      <c r="D6" s="17" t="s">
        <v>432</v>
      </c>
      <c r="E6" s="17" t="s">
        <v>433</v>
      </c>
      <c r="F6" s="17" t="s">
        <v>50</v>
      </c>
      <c r="G6" s="18">
        <v>0</v>
      </c>
      <c r="H6" s="18">
        <v>30</v>
      </c>
      <c r="I6" s="18">
        <f t="shared" si="0"/>
        <v>-30</v>
      </c>
      <c r="J6" s="17" t="s">
        <v>423</v>
      </c>
      <c r="K6" s="17" t="s">
        <v>35</v>
      </c>
      <c r="L6" s="17" t="s">
        <v>424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29</v>
      </c>
      <c r="C7" s="17" t="s">
        <v>434</v>
      </c>
      <c r="D7" s="17" t="s">
        <v>435</v>
      </c>
      <c r="E7" s="17" t="s">
        <v>436</v>
      </c>
      <c r="F7" s="18">
        <v>8</v>
      </c>
      <c r="G7" s="18">
        <v>790</v>
      </c>
      <c r="H7" s="18">
        <v>30</v>
      </c>
      <c r="I7" s="18">
        <f t="shared" si="0"/>
        <v>760</v>
      </c>
      <c r="J7" s="17" t="s">
        <v>423</v>
      </c>
      <c r="K7" s="17" t="s">
        <v>35</v>
      </c>
      <c r="L7" s="17" t="s">
        <v>424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437</v>
      </c>
      <c r="D8" s="17" t="s">
        <v>438</v>
      </c>
      <c r="E8" s="17" t="s">
        <v>439</v>
      </c>
      <c r="F8" s="18">
        <v>6</v>
      </c>
      <c r="G8" s="18">
        <v>465</v>
      </c>
      <c r="H8" s="18">
        <v>25</v>
      </c>
      <c r="I8" s="18">
        <f t="shared" si="0"/>
        <v>440</v>
      </c>
      <c r="J8" s="17" t="s">
        <v>423</v>
      </c>
      <c r="K8" s="17" t="s">
        <v>35</v>
      </c>
      <c r="L8" s="17" t="s">
        <v>424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440</v>
      </c>
      <c r="D9" s="17" t="s">
        <v>441</v>
      </c>
      <c r="E9" s="17" t="s">
        <v>442</v>
      </c>
      <c r="F9" s="18">
        <v>8</v>
      </c>
      <c r="G9" s="18">
        <v>910</v>
      </c>
      <c r="H9" s="18">
        <v>30</v>
      </c>
      <c r="I9" s="18">
        <f t="shared" si="0"/>
        <v>880</v>
      </c>
      <c r="J9" s="17" t="s">
        <v>423</v>
      </c>
      <c r="K9" s="17" t="s">
        <v>35</v>
      </c>
      <c r="L9" s="17" t="s">
        <v>424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443</v>
      </c>
      <c r="D10" s="17" t="s">
        <v>444</v>
      </c>
      <c r="E10" s="17" t="s">
        <v>445</v>
      </c>
      <c r="F10" s="17" t="s">
        <v>33</v>
      </c>
      <c r="G10" s="18">
        <v>805</v>
      </c>
      <c r="H10" s="18">
        <v>25</v>
      </c>
      <c r="I10" s="18">
        <f t="shared" si="0"/>
        <v>780</v>
      </c>
      <c r="J10" s="17" t="s">
        <v>423</v>
      </c>
      <c r="K10" s="17" t="s">
        <v>35</v>
      </c>
      <c r="L10" s="17" t="s">
        <v>424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43</v>
      </c>
      <c r="D11" s="17" t="s">
        <v>446</v>
      </c>
      <c r="E11" s="17" t="s">
        <v>45</v>
      </c>
      <c r="F11" s="17" t="s">
        <v>46</v>
      </c>
      <c r="G11" s="18">
        <v>0</v>
      </c>
      <c r="H11" s="18">
        <v>25</v>
      </c>
      <c r="I11" s="18">
        <f t="shared" si="0"/>
        <v>-25</v>
      </c>
      <c r="J11" s="17" t="s">
        <v>423</v>
      </c>
      <c r="K11" s="17" t="s">
        <v>35</v>
      </c>
      <c r="L11" s="17" t="s">
        <v>424</v>
      </c>
      <c r="M11" s="17"/>
      <c r="N11" s="17"/>
      <c r="O11" s="17"/>
      <c r="P11" s="17"/>
      <c r="Q11" s="17">
        <v>1</v>
      </c>
      <c r="R11" s="19">
        <f>H11</f>
        <v>25</v>
      </c>
    </row>
    <row r="12" spans="1:18" s="22" customFormat="1" x14ac:dyDescent="0.25">
      <c r="A12" s="20"/>
      <c r="B12" s="20" t="s">
        <v>29</v>
      </c>
      <c r="C12" s="20" t="s">
        <v>317</v>
      </c>
      <c r="D12" s="20" t="s">
        <v>447</v>
      </c>
      <c r="E12" s="20" t="s">
        <v>319</v>
      </c>
      <c r="F12" s="20" t="s">
        <v>70</v>
      </c>
      <c r="G12" s="21">
        <v>25</v>
      </c>
      <c r="H12" s="21">
        <v>25</v>
      </c>
      <c r="I12" s="21">
        <f t="shared" si="0"/>
        <v>0</v>
      </c>
      <c r="J12" s="20" t="s">
        <v>35</v>
      </c>
      <c r="K12" s="20" t="s">
        <v>35</v>
      </c>
      <c r="L12" s="20" t="s">
        <v>424</v>
      </c>
      <c r="M12" s="20" t="s">
        <v>102</v>
      </c>
      <c r="N12" s="20"/>
      <c r="O12" s="20"/>
      <c r="P12" s="20"/>
      <c r="Q12" s="20">
        <v>1</v>
      </c>
    </row>
    <row r="13" spans="1:18" customFormat="1" x14ac:dyDescent="0.25">
      <c r="A13" s="17"/>
      <c r="B13" s="17" t="s">
        <v>29</v>
      </c>
      <c r="C13" s="17" t="s">
        <v>448</v>
      </c>
      <c r="D13" s="17" t="s">
        <v>449</v>
      </c>
      <c r="E13" s="17" t="s">
        <v>450</v>
      </c>
      <c r="F13" s="18">
        <v>2</v>
      </c>
      <c r="G13" s="18">
        <v>890</v>
      </c>
      <c r="H13" s="18">
        <v>30</v>
      </c>
      <c r="I13" s="18">
        <f t="shared" si="0"/>
        <v>860</v>
      </c>
      <c r="J13" s="17" t="s">
        <v>35</v>
      </c>
      <c r="K13" s="17" t="s">
        <v>35</v>
      </c>
      <c r="L13" s="17" t="s">
        <v>424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451</v>
      </c>
      <c r="D14" s="17" t="s">
        <v>420</v>
      </c>
      <c r="E14" s="17" t="s">
        <v>452</v>
      </c>
      <c r="F14" s="18">
        <v>12</v>
      </c>
      <c r="G14" s="18">
        <v>980</v>
      </c>
      <c r="H14" s="18">
        <v>30</v>
      </c>
      <c r="I14" s="18">
        <f t="shared" si="0"/>
        <v>950</v>
      </c>
      <c r="J14" s="17" t="s">
        <v>35</v>
      </c>
      <c r="K14" s="17" t="s">
        <v>35</v>
      </c>
      <c r="L14" s="17" t="s">
        <v>424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453</v>
      </c>
      <c r="D15" s="17" t="s">
        <v>454</v>
      </c>
      <c r="E15" s="17" t="s">
        <v>455</v>
      </c>
      <c r="F15" s="17" t="s">
        <v>106</v>
      </c>
      <c r="G15" s="18">
        <v>700</v>
      </c>
      <c r="H15" s="18">
        <v>30</v>
      </c>
      <c r="I15" s="18">
        <f t="shared" si="0"/>
        <v>670</v>
      </c>
      <c r="J15" s="17" t="s">
        <v>35</v>
      </c>
      <c r="K15" s="17" t="s">
        <v>35</v>
      </c>
      <c r="L15" s="17" t="s">
        <v>424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67</v>
      </c>
      <c r="D16" s="17" t="s">
        <v>456</v>
      </c>
      <c r="E16" s="17" t="s">
        <v>457</v>
      </c>
      <c r="F16" s="17" t="s">
        <v>70</v>
      </c>
      <c r="G16" s="18">
        <v>785</v>
      </c>
      <c r="H16" s="18">
        <v>25</v>
      </c>
      <c r="I16" s="18">
        <f t="shared" si="0"/>
        <v>760</v>
      </c>
      <c r="J16" s="17" t="s">
        <v>35</v>
      </c>
      <c r="K16" s="17" t="s">
        <v>35</v>
      </c>
      <c r="L16" s="17" t="s">
        <v>424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458</v>
      </c>
      <c r="D17" s="17" t="s">
        <v>459</v>
      </c>
      <c r="E17" s="17" t="s">
        <v>460</v>
      </c>
      <c r="F17" s="17" t="s">
        <v>46</v>
      </c>
      <c r="G17" s="18">
        <v>815</v>
      </c>
      <c r="H17" s="18">
        <v>25</v>
      </c>
      <c r="I17" s="18">
        <f t="shared" si="0"/>
        <v>790</v>
      </c>
      <c r="J17" s="17" t="s">
        <v>35</v>
      </c>
      <c r="K17" s="17" t="s">
        <v>35</v>
      </c>
      <c r="L17" s="17" t="s">
        <v>424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461</v>
      </c>
      <c r="D18" s="17" t="s">
        <v>462</v>
      </c>
      <c r="E18" s="17" t="s">
        <v>463</v>
      </c>
      <c r="F18" s="17" t="s">
        <v>46</v>
      </c>
      <c r="G18" s="18">
        <v>1865</v>
      </c>
      <c r="H18" s="18">
        <v>25</v>
      </c>
      <c r="I18" s="18">
        <f t="shared" si="0"/>
        <v>1840</v>
      </c>
      <c r="J18" s="17" t="s">
        <v>35</v>
      </c>
      <c r="K18" s="17" t="s">
        <v>35</v>
      </c>
      <c r="L18" s="17" t="s">
        <v>424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464</v>
      </c>
      <c r="D19" s="17" t="s">
        <v>465</v>
      </c>
      <c r="E19" s="17" t="s">
        <v>466</v>
      </c>
      <c r="F19" s="17" t="s">
        <v>80</v>
      </c>
      <c r="G19" s="18">
        <v>0</v>
      </c>
      <c r="H19" s="18">
        <v>20</v>
      </c>
      <c r="I19" s="18">
        <f t="shared" si="0"/>
        <v>-20</v>
      </c>
      <c r="J19" s="17" t="s">
        <v>35</v>
      </c>
      <c r="K19" s="17" t="s">
        <v>35</v>
      </c>
      <c r="L19" s="17" t="s">
        <v>424</v>
      </c>
      <c r="M19" s="17"/>
      <c r="N19" s="17"/>
      <c r="O19" s="17"/>
      <c r="P19" s="17"/>
      <c r="Q19" s="17">
        <v>1</v>
      </c>
      <c r="R19" s="19">
        <f>H19</f>
        <v>20</v>
      </c>
    </row>
    <row r="20" spans="1:18" customFormat="1" x14ac:dyDescent="0.25">
      <c r="A20" s="17"/>
      <c r="B20" s="17" t="s">
        <v>29</v>
      </c>
      <c r="C20" s="17" t="s">
        <v>467</v>
      </c>
      <c r="D20" s="17" t="s">
        <v>468</v>
      </c>
      <c r="E20" s="17" t="s">
        <v>469</v>
      </c>
      <c r="F20" s="17" t="s">
        <v>106</v>
      </c>
      <c r="G20" s="18">
        <v>860</v>
      </c>
      <c r="H20" s="18">
        <v>30</v>
      </c>
      <c r="I20" s="18">
        <f t="shared" si="0"/>
        <v>830</v>
      </c>
      <c r="J20" s="17" t="s">
        <v>35</v>
      </c>
      <c r="K20" s="17" t="s">
        <v>35</v>
      </c>
      <c r="L20" s="17" t="s">
        <v>424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470</v>
      </c>
      <c r="D21" s="17" t="s">
        <v>471</v>
      </c>
      <c r="E21" s="17" t="s">
        <v>472</v>
      </c>
      <c r="F21" s="18">
        <v>2</v>
      </c>
      <c r="G21" s="18">
        <v>1160</v>
      </c>
      <c r="H21" s="18">
        <v>30</v>
      </c>
      <c r="I21" s="18">
        <f t="shared" si="0"/>
        <v>1130</v>
      </c>
      <c r="J21" s="17" t="s">
        <v>35</v>
      </c>
      <c r="K21" s="17" t="s">
        <v>35</v>
      </c>
      <c r="L21" s="17" t="s">
        <v>424</v>
      </c>
      <c r="M21" s="17"/>
      <c r="N21" s="17"/>
      <c r="O21" s="17"/>
      <c r="P21" s="17"/>
      <c r="Q21" s="17">
        <v>1</v>
      </c>
    </row>
    <row r="22" spans="1:18" customFormat="1" x14ac:dyDescent="0.25">
      <c r="A22" s="17" t="s">
        <v>61</v>
      </c>
      <c r="B22" s="17" t="s">
        <v>29</v>
      </c>
      <c r="C22" s="17" t="s">
        <v>473</v>
      </c>
      <c r="D22" s="17"/>
      <c r="E22" s="17" t="s">
        <v>474</v>
      </c>
      <c r="F22" s="17" t="s">
        <v>80</v>
      </c>
      <c r="G22" s="18">
        <v>50</v>
      </c>
      <c r="H22" s="18">
        <v>50</v>
      </c>
      <c r="I22" s="18">
        <f t="shared" si="0"/>
        <v>0</v>
      </c>
      <c r="J22" s="17" t="s">
        <v>35</v>
      </c>
      <c r="K22" s="17" t="s">
        <v>35</v>
      </c>
      <c r="L22" s="17" t="s">
        <v>424</v>
      </c>
      <c r="M22" s="17"/>
      <c r="N22" s="17"/>
      <c r="O22" s="17"/>
      <c r="P22" s="17"/>
      <c r="Q22" s="17">
        <v>1</v>
      </c>
    </row>
    <row r="23" spans="1:18" customFormat="1" x14ac:dyDescent="0.25">
      <c r="A23" s="17" t="s">
        <v>61</v>
      </c>
      <c r="B23" s="17" t="s">
        <v>29</v>
      </c>
      <c r="C23" s="17" t="s">
        <v>109</v>
      </c>
      <c r="D23" s="17"/>
      <c r="E23" s="17" t="s">
        <v>110</v>
      </c>
      <c r="F23" s="17" t="s">
        <v>70</v>
      </c>
      <c r="G23" s="18">
        <v>3880</v>
      </c>
      <c r="H23" s="18">
        <v>30</v>
      </c>
      <c r="I23" s="18">
        <f t="shared" si="0"/>
        <v>3850</v>
      </c>
      <c r="J23" s="17" t="s">
        <v>35</v>
      </c>
      <c r="K23" s="17" t="s">
        <v>35</v>
      </c>
      <c r="L23" s="17" t="s">
        <v>424</v>
      </c>
      <c r="M23" s="17"/>
      <c r="N23" s="17"/>
      <c r="O23" s="17"/>
      <c r="P23" s="17"/>
      <c r="Q23" s="17">
        <v>1</v>
      </c>
    </row>
    <row r="24" spans="1:18" customFormat="1" x14ac:dyDescent="0.25">
      <c r="A24" s="17" t="s">
        <v>61</v>
      </c>
      <c r="B24" s="17" t="s">
        <v>29</v>
      </c>
      <c r="C24" s="17" t="s">
        <v>111</v>
      </c>
      <c r="D24" s="17"/>
      <c r="E24" s="17" t="s">
        <v>475</v>
      </c>
      <c r="F24" s="17" t="s">
        <v>70</v>
      </c>
      <c r="G24" s="18">
        <v>40</v>
      </c>
      <c r="H24" s="18">
        <v>40</v>
      </c>
      <c r="I24" s="18">
        <f t="shared" si="0"/>
        <v>0</v>
      </c>
      <c r="J24" s="17" t="s">
        <v>35</v>
      </c>
      <c r="K24" s="17" t="s">
        <v>35</v>
      </c>
      <c r="L24" s="17" t="s">
        <v>424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476</v>
      </c>
      <c r="D25" s="17" t="s">
        <v>477</v>
      </c>
      <c r="E25" s="17" t="s">
        <v>478</v>
      </c>
      <c r="F25" s="18">
        <v>10</v>
      </c>
      <c r="G25" s="18">
        <v>665</v>
      </c>
      <c r="H25" s="18">
        <v>25</v>
      </c>
      <c r="I25" s="18">
        <f t="shared" si="0"/>
        <v>640</v>
      </c>
      <c r="J25" s="17" t="s">
        <v>121</v>
      </c>
      <c r="K25" s="17" t="s">
        <v>35</v>
      </c>
      <c r="L25" s="17" t="s">
        <v>424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479</v>
      </c>
      <c r="D26" s="17" t="s">
        <v>480</v>
      </c>
      <c r="E26" s="17" t="s">
        <v>481</v>
      </c>
      <c r="F26" s="18">
        <v>1</v>
      </c>
      <c r="G26" s="18">
        <v>0</v>
      </c>
      <c r="H26" s="18">
        <v>25</v>
      </c>
      <c r="I26" s="18">
        <f t="shared" si="0"/>
        <v>-25</v>
      </c>
      <c r="J26" s="17" t="s">
        <v>121</v>
      </c>
      <c r="K26" s="17" t="s">
        <v>35</v>
      </c>
      <c r="L26" s="17" t="s">
        <v>424</v>
      </c>
      <c r="M26" s="17"/>
      <c r="N26" s="17"/>
      <c r="O26" s="17"/>
      <c r="P26" s="17"/>
      <c r="Q26" s="17">
        <v>1</v>
      </c>
      <c r="R26" s="19">
        <f>H26</f>
        <v>25</v>
      </c>
    </row>
    <row r="27" spans="1:18" customFormat="1" x14ac:dyDescent="0.25">
      <c r="A27" s="17"/>
      <c r="B27" s="17" t="s">
        <v>29</v>
      </c>
      <c r="C27" s="17" t="s">
        <v>482</v>
      </c>
      <c r="D27" s="17" t="s">
        <v>483</v>
      </c>
      <c r="E27" s="17" t="s">
        <v>484</v>
      </c>
      <c r="F27" s="18">
        <v>4</v>
      </c>
      <c r="G27" s="18">
        <v>715</v>
      </c>
      <c r="H27" s="18">
        <v>25</v>
      </c>
      <c r="I27" s="18">
        <f t="shared" si="0"/>
        <v>690</v>
      </c>
      <c r="J27" s="17" t="s">
        <v>121</v>
      </c>
      <c r="K27" s="17" t="s">
        <v>35</v>
      </c>
      <c r="L27" s="17" t="s">
        <v>424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485</v>
      </c>
      <c r="D28" s="17" t="s">
        <v>486</v>
      </c>
      <c r="E28" s="17" t="s">
        <v>487</v>
      </c>
      <c r="F28" s="18">
        <v>4</v>
      </c>
      <c r="G28" s="18">
        <v>1155</v>
      </c>
      <c r="H28" s="18">
        <v>25</v>
      </c>
      <c r="I28" s="18">
        <f t="shared" si="0"/>
        <v>1130</v>
      </c>
      <c r="J28" s="17" t="s">
        <v>121</v>
      </c>
      <c r="K28" s="17" t="s">
        <v>35</v>
      </c>
      <c r="L28" s="17" t="s">
        <v>424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488</v>
      </c>
      <c r="D29" s="17" t="s">
        <v>489</v>
      </c>
      <c r="E29" s="17" t="s">
        <v>490</v>
      </c>
      <c r="F29" s="18">
        <v>3</v>
      </c>
      <c r="G29" s="18">
        <v>0</v>
      </c>
      <c r="H29" s="18">
        <v>25</v>
      </c>
      <c r="I29" s="18">
        <f t="shared" si="0"/>
        <v>-25</v>
      </c>
      <c r="J29" s="17" t="s">
        <v>121</v>
      </c>
      <c r="K29" s="17" t="s">
        <v>35</v>
      </c>
      <c r="L29" s="17" t="s">
        <v>424</v>
      </c>
      <c r="M29" s="17"/>
      <c r="N29" s="17"/>
      <c r="O29" s="17"/>
      <c r="P29" s="17"/>
      <c r="Q29" s="17">
        <v>1</v>
      </c>
      <c r="R29" s="19">
        <f>H29</f>
        <v>25</v>
      </c>
    </row>
    <row r="30" spans="1:18" customFormat="1" x14ac:dyDescent="0.25">
      <c r="A30" s="17"/>
      <c r="B30" s="17" t="s">
        <v>29</v>
      </c>
      <c r="C30" s="17" t="s">
        <v>267</v>
      </c>
      <c r="D30" s="17" t="s">
        <v>491</v>
      </c>
      <c r="E30" s="17" t="s">
        <v>269</v>
      </c>
      <c r="F30" s="18">
        <v>3</v>
      </c>
      <c r="G30" s="18">
        <v>915</v>
      </c>
      <c r="H30" s="18">
        <v>25</v>
      </c>
      <c r="I30" s="18">
        <f t="shared" si="0"/>
        <v>890</v>
      </c>
      <c r="J30" s="17" t="s">
        <v>121</v>
      </c>
      <c r="K30" s="17" t="s">
        <v>35</v>
      </c>
      <c r="L30" s="17" t="s">
        <v>424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492</v>
      </c>
      <c r="D31" s="17" t="s">
        <v>493</v>
      </c>
      <c r="E31" s="17" t="s">
        <v>494</v>
      </c>
      <c r="F31" s="18">
        <v>1</v>
      </c>
      <c r="G31" s="18">
        <v>1915</v>
      </c>
      <c r="H31" s="18">
        <v>25</v>
      </c>
      <c r="I31" s="18">
        <f t="shared" si="0"/>
        <v>1890</v>
      </c>
      <c r="J31" s="17" t="s">
        <v>121</v>
      </c>
      <c r="K31" s="17" t="s">
        <v>35</v>
      </c>
      <c r="L31" s="17" t="s">
        <v>424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495</v>
      </c>
      <c r="D32" s="17" t="s">
        <v>496</v>
      </c>
      <c r="E32" s="17" t="s">
        <v>497</v>
      </c>
      <c r="F32" s="18">
        <v>4</v>
      </c>
      <c r="G32" s="18">
        <v>1155</v>
      </c>
      <c r="H32" s="18">
        <v>25</v>
      </c>
      <c r="I32" s="18">
        <f t="shared" si="0"/>
        <v>1130</v>
      </c>
      <c r="J32" s="17" t="s">
        <v>121</v>
      </c>
      <c r="K32" s="17" t="s">
        <v>35</v>
      </c>
      <c r="L32" s="17" t="s">
        <v>424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498</v>
      </c>
      <c r="D33" s="17" t="s">
        <v>499</v>
      </c>
      <c r="E33" s="17" t="s">
        <v>500</v>
      </c>
      <c r="F33" s="18">
        <v>1</v>
      </c>
      <c r="G33" s="18">
        <v>1105</v>
      </c>
      <c r="H33" s="18">
        <v>25</v>
      </c>
      <c r="I33" s="18">
        <f t="shared" si="0"/>
        <v>1080</v>
      </c>
      <c r="J33" s="17" t="s">
        <v>121</v>
      </c>
      <c r="K33" s="17" t="s">
        <v>35</v>
      </c>
      <c r="L33" s="17" t="s">
        <v>424</v>
      </c>
      <c r="M33" s="17"/>
      <c r="N33" s="17"/>
      <c r="O33" s="17"/>
      <c r="P33" s="17"/>
      <c r="Q33" s="17">
        <v>1</v>
      </c>
    </row>
    <row r="34" spans="1:18" customFormat="1" x14ac:dyDescent="0.25">
      <c r="A34" s="17" t="s">
        <v>61</v>
      </c>
      <c r="B34" s="17" t="s">
        <v>29</v>
      </c>
      <c r="C34" s="17" t="s">
        <v>501</v>
      </c>
      <c r="D34" s="17"/>
      <c r="E34" s="17" t="s">
        <v>502</v>
      </c>
      <c r="F34" s="18">
        <v>5</v>
      </c>
      <c r="G34" s="18">
        <v>0</v>
      </c>
      <c r="H34" s="18">
        <v>30</v>
      </c>
      <c r="I34" s="18">
        <f t="shared" si="0"/>
        <v>-30</v>
      </c>
      <c r="J34" s="17" t="s">
        <v>121</v>
      </c>
      <c r="K34" s="17" t="s">
        <v>35</v>
      </c>
      <c r="L34" s="17" t="s">
        <v>424</v>
      </c>
      <c r="M34" s="17"/>
      <c r="N34" s="17"/>
      <c r="O34" s="17"/>
      <c r="P34" s="17"/>
      <c r="Q34" s="17">
        <v>1</v>
      </c>
      <c r="R34" s="19">
        <f>H34</f>
        <v>30</v>
      </c>
    </row>
    <row r="35" spans="1:18" customFormat="1" x14ac:dyDescent="0.25">
      <c r="A35" s="17"/>
      <c r="B35" s="17" t="s">
        <v>29</v>
      </c>
      <c r="C35" s="17" t="s">
        <v>503</v>
      </c>
      <c r="D35" s="17" t="s">
        <v>504</v>
      </c>
      <c r="E35" s="17" t="s">
        <v>505</v>
      </c>
      <c r="F35" s="17" t="s">
        <v>120</v>
      </c>
      <c r="G35" s="18">
        <v>800</v>
      </c>
      <c r="H35" s="18">
        <v>20</v>
      </c>
      <c r="I35" s="18">
        <f t="shared" si="0"/>
        <v>780</v>
      </c>
      <c r="J35" s="17" t="s">
        <v>121</v>
      </c>
      <c r="K35" s="17" t="s">
        <v>35</v>
      </c>
      <c r="L35" s="17" t="s">
        <v>424</v>
      </c>
      <c r="M35" s="17"/>
      <c r="N35" s="17"/>
      <c r="O35" s="17"/>
      <c r="P35" s="17"/>
      <c r="Q35" s="17">
        <v>1</v>
      </c>
    </row>
    <row r="37" spans="1:18" x14ac:dyDescent="0.25">
      <c r="G37" s="1">
        <f t="shared" ref="G37:R37" si="1">SUBTOTAL(9,G3:G36)</f>
        <v>30170</v>
      </c>
      <c r="H37" s="1">
        <f t="shared" si="1"/>
        <v>935</v>
      </c>
      <c r="I37" s="1">
        <f t="shared" si="1"/>
        <v>29235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235</v>
      </c>
    </row>
    <row r="41" spans="1:18" ht="20.25" customHeight="1" x14ac:dyDescent="0.3">
      <c r="H41" s="4" t="s">
        <v>416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29235</v>
      </c>
      <c r="J42" s="8">
        <f>Q37</f>
        <v>33</v>
      </c>
    </row>
    <row r="43" spans="1:18" x14ac:dyDescent="0.25">
      <c r="H43" s="9" t="s">
        <v>18</v>
      </c>
      <c r="I43" s="10">
        <f>R37</f>
        <v>235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29470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9A6D-A9A3-47A7-90D3-C819F7A83423}">
  <dimension ref="A1:R40"/>
  <sheetViews>
    <sheetView zoomScale="82" zoomScaleNormal="80" workbookViewId="0">
      <selection activeCell="G40" sqref="G4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507</v>
      </c>
      <c r="C1" s="1" t="s">
        <v>508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509</v>
      </c>
      <c r="D3" s="17" t="s">
        <v>510</v>
      </c>
      <c r="E3" s="17" t="s">
        <v>511</v>
      </c>
      <c r="F3" s="18">
        <v>6</v>
      </c>
      <c r="G3" s="18">
        <v>0</v>
      </c>
      <c r="H3" s="18">
        <v>25</v>
      </c>
      <c r="I3" s="18">
        <f t="shared" ref="I3:I22" si="0">G3-H3</f>
        <v>-25</v>
      </c>
      <c r="J3" s="17" t="s">
        <v>512</v>
      </c>
      <c r="K3" s="17" t="s">
        <v>35</v>
      </c>
      <c r="L3" s="17" t="s">
        <v>513</v>
      </c>
      <c r="M3" s="24" t="s">
        <v>514</v>
      </c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29</v>
      </c>
      <c r="C4" s="17" t="s">
        <v>515</v>
      </c>
      <c r="D4" s="17" t="s">
        <v>516</v>
      </c>
      <c r="E4" s="17" t="s">
        <v>517</v>
      </c>
      <c r="F4" s="18">
        <v>7</v>
      </c>
      <c r="G4" s="18">
        <v>1110</v>
      </c>
      <c r="H4" s="18">
        <v>30</v>
      </c>
      <c r="I4" s="18">
        <f t="shared" si="0"/>
        <v>1080</v>
      </c>
      <c r="J4" s="17" t="s">
        <v>512</v>
      </c>
      <c r="K4" s="17" t="s">
        <v>35</v>
      </c>
      <c r="L4" s="17" t="s">
        <v>513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518</v>
      </c>
      <c r="D5" s="17" t="s">
        <v>519</v>
      </c>
      <c r="E5" s="17" t="s">
        <v>520</v>
      </c>
      <c r="F5" s="18">
        <v>7</v>
      </c>
      <c r="G5" s="18">
        <v>820</v>
      </c>
      <c r="H5" s="18">
        <v>30</v>
      </c>
      <c r="I5" s="18">
        <f t="shared" si="0"/>
        <v>790</v>
      </c>
      <c r="J5" s="17" t="s">
        <v>512</v>
      </c>
      <c r="K5" s="17" t="s">
        <v>35</v>
      </c>
      <c r="L5" s="17" t="s">
        <v>513</v>
      </c>
      <c r="M5" s="17"/>
      <c r="N5" s="17"/>
      <c r="O5" s="17"/>
      <c r="P5" s="17"/>
      <c r="Q5" s="17">
        <v>1</v>
      </c>
    </row>
    <row r="6" spans="1:18" s="22" customFormat="1" x14ac:dyDescent="0.25">
      <c r="A6" s="20"/>
      <c r="B6" s="20" t="s">
        <v>29</v>
      </c>
      <c r="C6" s="20" t="s">
        <v>43</v>
      </c>
      <c r="D6" s="20" t="s">
        <v>521</v>
      </c>
      <c r="E6" s="20" t="s">
        <v>45</v>
      </c>
      <c r="F6" s="20" t="s">
        <v>46</v>
      </c>
      <c r="G6" s="21">
        <v>0</v>
      </c>
      <c r="H6" s="21">
        <v>25</v>
      </c>
      <c r="I6" s="21">
        <f t="shared" si="0"/>
        <v>-25</v>
      </c>
      <c r="J6" s="20" t="s">
        <v>512</v>
      </c>
      <c r="K6" s="20" t="s">
        <v>35</v>
      </c>
      <c r="L6" s="20" t="s">
        <v>513</v>
      </c>
      <c r="M6" s="20" t="s">
        <v>102</v>
      </c>
      <c r="N6" s="20"/>
      <c r="O6" s="20"/>
      <c r="P6" s="20"/>
      <c r="Q6" s="20">
        <v>1</v>
      </c>
      <c r="R6" s="23">
        <f>H6</f>
        <v>25</v>
      </c>
    </row>
    <row r="7" spans="1:18" customFormat="1" x14ac:dyDescent="0.25">
      <c r="A7" s="17"/>
      <c r="B7" s="17" t="s">
        <v>29</v>
      </c>
      <c r="C7" s="17" t="s">
        <v>522</v>
      </c>
      <c r="D7" s="17" t="s">
        <v>523</v>
      </c>
      <c r="E7" s="17" t="s">
        <v>212</v>
      </c>
      <c r="F7" s="18">
        <v>12</v>
      </c>
      <c r="G7" s="18">
        <v>0</v>
      </c>
      <c r="H7" s="18">
        <v>30</v>
      </c>
      <c r="I7" s="18">
        <f t="shared" si="0"/>
        <v>-30</v>
      </c>
      <c r="J7" s="17" t="s">
        <v>35</v>
      </c>
      <c r="K7" s="17" t="s">
        <v>35</v>
      </c>
      <c r="L7" s="17" t="s">
        <v>513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524</v>
      </c>
      <c r="D8" s="17" t="s">
        <v>525</v>
      </c>
      <c r="E8" s="17" t="s">
        <v>526</v>
      </c>
      <c r="F8" s="17" t="s">
        <v>106</v>
      </c>
      <c r="G8" s="18">
        <v>1530</v>
      </c>
      <c r="H8" s="18">
        <v>30</v>
      </c>
      <c r="I8" s="18">
        <f t="shared" si="0"/>
        <v>1500</v>
      </c>
      <c r="J8" s="17" t="s">
        <v>35</v>
      </c>
      <c r="K8" s="17" t="s">
        <v>35</v>
      </c>
      <c r="L8" s="17" t="s">
        <v>513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527</v>
      </c>
      <c r="D9" s="17" t="s">
        <v>528</v>
      </c>
      <c r="E9" s="17" t="s">
        <v>529</v>
      </c>
      <c r="F9" s="17" t="s">
        <v>80</v>
      </c>
      <c r="G9" s="18">
        <v>1720</v>
      </c>
      <c r="H9" s="18">
        <v>20</v>
      </c>
      <c r="I9" s="18">
        <f t="shared" si="0"/>
        <v>1700</v>
      </c>
      <c r="J9" s="17" t="s">
        <v>35</v>
      </c>
      <c r="K9" s="17" t="s">
        <v>35</v>
      </c>
      <c r="L9" s="17" t="s">
        <v>513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530</v>
      </c>
      <c r="D10" s="17" t="s">
        <v>531</v>
      </c>
      <c r="E10" s="17" t="s">
        <v>532</v>
      </c>
      <c r="F10" s="17" t="s">
        <v>80</v>
      </c>
      <c r="G10" s="18">
        <v>1000</v>
      </c>
      <c r="H10" s="18">
        <v>20</v>
      </c>
      <c r="I10" s="18">
        <f t="shared" si="0"/>
        <v>980</v>
      </c>
      <c r="J10" s="17" t="s">
        <v>35</v>
      </c>
      <c r="K10" s="17" t="s">
        <v>35</v>
      </c>
      <c r="L10" s="17" t="s">
        <v>513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533</v>
      </c>
      <c r="D11" s="17" t="s">
        <v>534</v>
      </c>
      <c r="E11" s="17" t="s">
        <v>535</v>
      </c>
      <c r="F11" s="18">
        <v>2</v>
      </c>
      <c r="G11" s="18">
        <v>0</v>
      </c>
      <c r="H11" s="18">
        <v>30</v>
      </c>
      <c r="I11" s="18">
        <f t="shared" si="0"/>
        <v>-30</v>
      </c>
      <c r="J11" s="17" t="s">
        <v>35</v>
      </c>
      <c r="K11" s="17" t="s">
        <v>35</v>
      </c>
      <c r="L11" s="17" t="s">
        <v>513</v>
      </c>
      <c r="M11" s="24" t="s">
        <v>536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29</v>
      </c>
      <c r="C12" s="17" t="s">
        <v>537</v>
      </c>
      <c r="D12" s="17" t="s">
        <v>538</v>
      </c>
      <c r="E12" s="17" t="s">
        <v>539</v>
      </c>
      <c r="F12" s="18">
        <v>9</v>
      </c>
      <c r="G12" s="18">
        <v>1700</v>
      </c>
      <c r="H12" s="18">
        <v>30</v>
      </c>
      <c r="I12" s="18">
        <f t="shared" si="0"/>
        <v>1670</v>
      </c>
      <c r="J12" s="17" t="s">
        <v>35</v>
      </c>
      <c r="K12" s="17" t="s">
        <v>35</v>
      </c>
      <c r="L12" s="17" t="s">
        <v>513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540</v>
      </c>
      <c r="D13" s="17" t="s">
        <v>541</v>
      </c>
      <c r="E13" s="17" t="s">
        <v>393</v>
      </c>
      <c r="F13" s="18">
        <v>12</v>
      </c>
      <c r="G13" s="18">
        <v>0</v>
      </c>
      <c r="H13" s="18">
        <v>30</v>
      </c>
      <c r="I13" s="18">
        <f t="shared" si="0"/>
        <v>-30</v>
      </c>
      <c r="J13" s="17" t="s">
        <v>35</v>
      </c>
      <c r="K13" s="17" t="s">
        <v>35</v>
      </c>
      <c r="L13" s="17" t="s">
        <v>513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542</v>
      </c>
      <c r="D14" s="17" t="s">
        <v>543</v>
      </c>
      <c r="E14" s="17" t="s">
        <v>544</v>
      </c>
      <c r="F14" s="18">
        <v>9</v>
      </c>
      <c r="G14" s="18">
        <v>920</v>
      </c>
      <c r="H14" s="18">
        <v>30</v>
      </c>
      <c r="I14" s="18">
        <f t="shared" si="0"/>
        <v>890</v>
      </c>
      <c r="J14" s="17" t="s">
        <v>35</v>
      </c>
      <c r="K14" s="17" t="s">
        <v>35</v>
      </c>
      <c r="L14" s="17" t="s">
        <v>513</v>
      </c>
      <c r="M14" s="17"/>
      <c r="N14" s="17"/>
      <c r="O14" s="17"/>
      <c r="P14" s="17"/>
      <c r="Q14" s="17">
        <v>1</v>
      </c>
    </row>
    <row r="15" spans="1:18" customFormat="1" x14ac:dyDescent="0.25">
      <c r="A15" s="17" t="s">
        <v>61</v>
      </c>
      <c r="B15" s="17" t="s">
        <v>29</v>
      </c>
      <c r="C15" s="17" t="s">
        <v>545</v>
      </c>
      <c r="D15" s="17"/>
      <c r="E15" s="17" t="s">
        <v>546</v>
      </c>
      <c r="F15" s="17" t="s">
        <v>80</v>
      </c>
      <c r="G15" s="18">
        <v>2140</v>
      </c>
      <c r="H15" s="18">
        <v>30</v>
      </c>
      <c r="I15" s="18">
        <f t="shared" si="0"/>
        <v>2110</v>
      </c>
      <c r="J15" s="17" t="s">
        <v>35</v>
      </c>
      <c r="K15" s="17" t="s">
        <v>35</v>
      </c>
      <c r="L15" s="17" t="s">
        <v>513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547</v>
      </c>
      <c r="D16" s="17" t="s">
        <v>548</v>
      </c>
      <c r="E16" s="17" t="s">
        <v>549</v>
      </c>
      <c r="F16" s="18">
        <v>1</v>
      </c>
      <c r="G16" s="18">
        <v>0</v>
      </c>
      <c r="H16" s="18">
        <v>25</v>
      </c>
      <c r="I16" s="18">
        <f t="shared" si="0"/>
        <v>-25</v>
      </c>
      <c r="J16" s="17" t="s">
        <v>121</v>
      </c>
      <c r="K16" s="17" t="s">
        <v>35</v>
      </c>
      <c r="L16" s="17" t="s">
        <v>513</v>
      </c>
      <c r="M16" s="17"/>
      <c r="N16" s="17"/>
      <c r="O16" s="17"/>
      <c r="P16" s="17"/>
      <c r="Q16" s="17">
        <v>1</v>
      </c>
      <c r="R16" s="19">
        <f>H16</f>
        <v>25</v>
      </c>
    </row>
    <row r="17" spans="1:18" customFormat="1" x14ac:dyDescent="0.25">
      <c r="A17" s="17"/>
      <c r="B17" s="17" t="s">
        <v>29</v>
      </c>
      <c r="C17" s="17" t="s">
        <v>550</v>
      </c>
      <c r="D17" s="17" t="s">
        <v>551</v>
      </c>
      <c r="E17" s="17" t="s">
        <v>552</v>
      </c>
      <c r="F17" s="17" t="s">
        <v>46</v>
      </c>
      <c r="G17" s="18">
        <v>1475</v>
      </c>
      <c r="H17" s="18">
        <v>25</v>
      </c>
      <c r="I17" s="18">
        <f t="shared" si="0"/>
        <v>1450</v>
      </c>
      <c r="J17" s="17" t="s">
        <v>121</v>
      </c>
      <c r="K17" s="17" t="s">
        <v>35</v>
      </c>
      <c r="L17" s="17" t="s">
        <v>513</v>
      </c>
      <c r="M17" s="17"/>
      <c r="N17" s="17"/>
      <c r="O17" s="17"/>
      <c r="P17" s="17"/>
      <c r="Q17" s="17">
        <v>1</v>
      </c>
    </row>
    <row r="18" spans="1:18" s="22" customFormat="1" x14ac:dyDescent="0.25">
      <c r="A18" s="20"/>
      <c r="B18" s="20" t="s">
        <v>29</v>
      </c>
      <c r="C18" s="20" t="s">
        <v>498</v>
      </c>
      <c r="D18" s="20" t="s">
        <v>553</v>
      </c>
      <c r="E18" s="20" t="s">
        <v>500</v>
      </c>
      <c r="F18" s="21">
        <v>1</v>
      </c>
      <c r="G18" s="21">
        <v>25</v>
      </c>
      <c r="H18" s="21">
        <v>25</v>
      </c>
      <c r="I18" s="21">
        <f t="shared" si="0"/>
        <v>0</v>
      </c>
      <c r="J18" s="20" t="s">
        <v>121</v>
      </c>
      <c r="K18" s="20" t="s">
        <v>35</v>
      </c>
      <c r="L18" s="20" t="s">
        <v>513</v>
      </c>
      <c r="M18" s="20" t="s">
        <v>102</v>
      </c>
      <c r="N18" s="20"/>
      <c r="O18" s="20"/>
      <c r="P18" s="20"/>
      <c r="Q18" s="20">
        <v>1</v>
      </c>
    </row>
    <row r="19" spans="1:18" customFormat="1" x14ac:dyDescent="0.25">
      <c r="A19" s="17"/>
      <c r="B19" s="17" t="s">
        <v>29</v>
      </c>
      <c r="C19" s="17" t="s">
        <v>554</v>
      </c>
      <c r="D19" s="17" t="s">
        <v>555</v>
      </c>
      <c r="E19" s="17" t="s">
        <v>556</v>
      </c>
      <c r="F19" s="18">
        <v>5</v>
      </c>
      <c r="G19" s="18">
        <v>0</v>
      </c>
      <c r="H19" s="18">
        <v>25</v>
      </c>
      <c r="I19" s="18">
        <f t="shared" si="0"/>
        <v>-25</v>
      </c>
      <c r="J19" s="17" t="s">
        <v>121</v>
      </c>
      <c r="K19" s="17" t="s">
        <v>35</v>
      </c>
      <c r="L19" s="17" t="s">
        <v>513</v>
      </c>
      <c r="M19" s="17"/>
      <c r="N19" s="17"/>
      <c r="O19" s="17"/>
      <c r="P19" s="17"/>
      <c r="Q19" s="17">
        <v>1</v>
      </c>
      <c r="R19" s="19">
        <f>H19</f>
        <v>25</v>
      </c>
    </row>
    <row r="20" spans="1:18" customFormat="1" x14ac:dyDescent="0.25">
      <c r="A20" s="17"/>
      <c r="B20" s="17" t="s">
        <v>29</v>
      </c>
      <c r="C20" s="17" t="s">
        <v>261</v>
      </c>
      <c r="D20" s="17" t="s">
        <v>557</v>
      </c>
      <c r="E20" s="17" t="s">
        <v>263</v>
      </c>
      <c r="F20" s="17" t="s">
        <v>46</v>
      </c>
      <c r="G20" s="18">
        <v>775</v>
      </c>
      <c r="H20" s="18">
        <v>25</v>
      </c>
      <c r="I20" s="18">
        <f t="shared" si="0"/>
        <v>750</v>
      </c>
      <c r="J20" s="17" t="s">
        <v>121</v>
      </c>
      <c r="K20" s="17" t="s">
        <v>35</v>
      </c>
      <c r="L20" s="17" t="s">
        <v>513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558</v>
      </c>
      <c r="D21" s="17" t="s">
        <v>559</v>
      </c>
      <c r="E21" s="17" t="s">
        <v>560</v>
      </c>
      <c r="F21" s="18">
        <v>3</v>
      </c>
      <c r="G21" s="18">
        <v>945</v>
      </c>
      <c r="H21" s="18">
        <v>25</v>
      </c>
      <c r="I21" s="18">
        <f t="shared" si="0"/>
        <v>920</v>
      </c>
      <c r="J21" s="17" t="s">
        <v>121</v>
      </c>
      <c r="K21" s="17" t="s">
        <v>35</v>
      </c>
      <c r="L21" s="17" t="s">
        <v>513</v>
      </c>
      <c r="M21" s="17"/>
      <c r="N21" s="17"/>
      <c r="O21" s="17"/>
      <c r="P21" s="17"/>
      <c r="Q21" s="17">
        <v>1</v>
      </c>
    </row>
    <row r="22" spans="1:18" s="27" customFormat="1" x14ac:dyDescent="0.25">
      <c r="A22" s="25"/>
      <c r="B22" s="25" t="s">
        <v>29</v>
      </c>
      <c r="C22" s="25" t="s">
        <v>482</v>
      </c>
      <c r="D22" s="25" t="s">
        <v>561</v>
      </c>
      <c r="E22" s="25" t="s">
        <v>484</v>
      </c>
      <c r="F22" s="26">
        <v>4</v>
      </c>
      <c r="G22" s="26">
        <v>690</v>
      </c>
      <c r="H22" s="26">
        <v>0</v>
      </c>
      <c r="I22" s="26">
        <f t="shared" si="0"/>
        <v>690</v>
      </c>
      <c r="J22" s="25" t="s">
        <v>562</v>
      </c>
      <c r="K22" s="25" t="s">
        <v>35</v>
      </c>
      <c r="L22" s="25" t="s">
        <v>513</v>
      </c>
      <c r="M22" s="25" t="s">
        <v>563</v>
      </c>
      <c r="N22" s="25" t="s">
        <v>564</v>
      </c>
      <c r="O22" s="25"/>
      <c r="P22" s="25" t="s">
        <v>565</v>
      </c>
      <c r="Q22" s="25">
        <v>1</v>
      </c>
    </row>
    <row r="24" spans="1:18" x14ac:dyDescent="0.25">
      <c r="G24" s="1">
        <f t="shared" ref="G24:R24" si="1">SUBTOTAL(9,G3:G23)</f>
        <v>14850</v>
      </c>
      <c r="H24" s="1">
        <f t="shared" si="1"/>
        <v>510</v>
      </c>
      <c r="I24" s="1">
        <f t="shared" si="1"/>
        <v>14340</v>
      </c>
      <c r="J24" s="1">
        <f t="shared" si="1"/>
        <v>0</v>
      </c>
      <c r="K24" s="1">
        <f t="shared" si="1"/>
        <v>0</v>
      </c>
      <c r="L24" s="1">
        <f t="shared" si="1"/>
        <v>0</v>
      </c>
      <c r="M24" s="1">
        <f t="shared" si="1"/>
        <v>0</v>
      </c>
      <c r="N24" s="1">
        <f t="shared" si="1"/>
        <v>0</v>
      </c>
      <c r="O24" s="1">
        <f t="shared" si="1"/>
        <v>0</v>
      </c>
      <c r="P24" s="1">
        <f t="shared" si="1"/>
        <v>0</v>
      </c>
      <c r="Q24" s="1">
        <f t="shared" si="1"/>
        <v>20</v>
      </c>
      <c r="R24" s="1">
        <f t="shared" si="1"/>
        <v>190</v>
      </c>
    </row>
    <row r="25" spans="1:18" x14ac:dyDescent="0.25">
      <c r="I25" s="1">
        <v>-690</v>
      </c>
      <c r="J25" s="1" t="s">
        <v>566</v>
      </c>
    </row>
    <row r="28" spans="1:18" ht="20.25" customHeight="1" x14ac:dyDescent="0.3">
      <c r="H28" s="4" t="s">
        <v>506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13650</v>
      </c>
      <c r="J29" s="8">
        <f>Q24</f>
        <v>20</v>
      </c>
    </row>
    <row r="30" spans="1:18" x14ac:dyDescent="0.25">
      <c r="H30" s="9" t="s">
        <v>18</v>
      </c>
      <c r="I30" s="10">
        <f>R24</f>
        <v>190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1:12" x14ac:dyDescent="0.25">
      <c r="H33" s="9" t="s">
        <v>21</v>
      </c>
      <c r="I33" s="10">
        <f>U23</f>
        <v>0</v>
      </c>
      <c r="J33" s="11"/>
    </row>
    <row r="34" spans="1:12" ht="15.75" customHeight="1" x14ac:dyDescent="0.25">
      <c r="H34" s="12" t="s">
        <v>22</v>
      </c>
      <c r="I34" s="13"/>
      <c r="J34" s="13"/>
    </row>
    <row r="35" spans="1:12" ht="15.75" customHeight="1" x14ac:dyDescent="0.25">
      <c r="H35" s="14" t="s">
        <v>23</v>
      </c>
      <c r="I35" s="13"/>
      <c r="J35" s="13"/>
    </row>
    <row r="36" spans="1:12" ht="21" customHeight="1" x14ac:dyDescent="0.35">
      <c r="H36" s="15" t="s">
        <v>24</v>
      </c>
      <c r="I36" s="16">
        <f>SUM(I29:I35)</f>
        <v>13840</v>
      </c>
      <c r="J36" s="16">
        <f>SUM(J29:J33)</f>
        <v>20</v>
      </c>
    </row>
    <row r="38" spans="1:12" x14ac:dyDescent="0.25">
      <c r="A38" s="1" t="s">
        <v>567</v>
      </c>
    </row>
    <row r="39" spans="1:12" x14ac:dyDescent="0.25">
      <c r="A39" s="28" t="s">
        <v>29</v>
      </c>
      <c r="B39" s="28" t="s">
        <v>509</v>
      </c>
      <c r="C39" s="28" t="s">
        <v>510</v>
      </c>
      <c r="D39" s="28" t="s">
        <v>511</v>
      </c>
      <c r="E39" s="29">
        <v>6</v>
      </c>
      <c r="F39" s="29">
        <v>1055</v>
      </c>
      <c r="G39" s="29">
        <v>0</v>
      </c>
      <c r="H39" s="29">
        <f>F39-G39</f>
        <v>1055</v>
      </c>
      <c r="I39" s="28" t="s">
        <v>512</v>
      </c>
      <c r="J39" s="28" t="s">
        <v>35</v>
      </c>
      <c r="K39" s="28" t="s">
        <v>513</v>
      </c>
      <c r="L39" s="24" t="s">
        <v>514</v>
      </c>
    </row>
    <row r="40" spans="1:12" x14ac:dyDescent="0.25">
      <c r="A40" s="28" t="s">
        <v>29</v>
      </c>
      <c r="B40" s="28" t="s">
        <v>533</v>
      </c>
      <c r="C40" s="28" t="s">
        <v>534</v>
      </c>
      <c r="D40" s="28" t="s">
        <v>535</v>
      </c>
      <c r="E40" s="29">
        <v>2</v>
      </c>
      <c r="F40" s="29">
        <v>930</v>
      </c>
      <c r="G40" s="29">
        <v>0</v>
      </c>
      <c r="H40" s="29">
        <f>F40-G40</f>
        <v>930</v>
      </c>
      <c r="I40" s="28" t="s">
        <v>35</v>
      </c>
      <c r="J40" s="28" t="s">
        <v>35</v>
      </c>
      <c r="K40" s="28" t="s">
        <v>513</v>
      </c>
      <c r="L40" s="24" t="s">
        <v>536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E17A-1B82-4985-B175-77DB49AA7BC7}">
  <dimension ref="A1:R35"/>
  <sheetViews>
    <sheetView zoomScale="82" zoomScaleNormal="80" workbookViewId="0">
      <selection activeCell="A3" sqref="A1:R3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569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570</v>
      </c>
      <c r="D3" s="17" t="s">
        <v>571</v>
      </c>
      <c r="E3" s="17" t="s">
        <v>572</v>
      </c>
      <c r="F3" s="17" t="s">
        <v>33</v>
      </c>
      <c r="G3" s="18">
        <v>1665</v>
      </c>
      <c r="H3" s="18">
        <v>25</v>
      </c>
      <c r="I3" s="18">
        <f t="shared" ref="I3:I21" si="0">G3-H3</f>
        <v>1640</v>
      </c>
      <c r="J3" s="17" t="s">
        <v>573</v>
      </c>
      <c r="K3" s="17" t="s">
        <v>35</v>
      </c>
      <c r="L3" s="17" t="s">
        <v>574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575</v>
      </c>
      <c r="D4" s="17" t="s">
        <v>576</v>
      </c>
      <c r="E4" s="17" t="s">
        <v>577</v>
      </c>
      <c r="F4" s="18">
        <v>7</v>
      </c>
      <c r="G4" s="18">
        <v>920</v>
      </c>
      <c r="H4" s="18">
        <v>30</v>
      </c>
      <c r="I4" s="18">
        <f t="shared" si="0"/>
        <v>890</v>
      </c>
      <c r="J4" s="17" t="s">
        <v>573</v>
      </c>
      <c r="K4" s="17" t="s">
        <v>35</v>
      </c>
      <c r="L4" s="17" t="s">
        <v>574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578</v>
      </c>
      <c r="D5" s="17" t="s">
        <v>579</v>
      </c>
      <c r="E5" s="17" t="s">
        <v>580</v>
      </c>
      <c r="F5" s="18">
        <v>6</v>
      </c>
      <c r="G5" s="18">
        <v>665</v>
      </c>
      <c r="H5" s="18">
        <v>25</v>
      </c>
      <c r="I5" s="18">
        <f t="shared" si="0"/>
        <v>640</v>
      </c>
      <c r="J5" s="17" t="s">
        <v>573</v>
      </c>
      <c r="K5" s="17" t="s">
        <v>35</v>
      </c>
      <c r="L5" s="17" t="s">
        <v>574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581</v>
      </c>
      <c r="D6" s="17" t="s">
        <v>582</v>
      </c>
      <c r="E6" s="17" t="s">
        <v>583</v>
      </c>
      <c r="F6" s="17" t="s">
        <v>70</v>
      </c>
      <c r="G6" s="18">
        <v>715</v>
      </c>
      <c r="H6" s="18">
        <v>25</v>
      </c>
      <c r="I6" s="18">
        <f t="shared" si="0"/>
        <v>690</v>
      </c>
      <c r="J6" s="17" t="s">
        <v>35</v>
      </c>
      <c r="K6" s="17" t="s">
        <v>35</v>
      </c>
      <c r="L6" s="17" t="s">
        <v>574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584</v>
      </c>
      <c r="D7" s="17" t="s">
        <v>585</v>
      </c>
      <c r="E7" s="17" t="s">
        <v>586</v>
      </c>
      <c r="F7" s="17" t="s">
        <v>106</v>
      </c>
      <c r="G7" s="18">
        <v>1200</v>
      </c>
      <c r="H7" s="18">
        <v>30</v>
      </c>
      <c r="I7" s="18">
        <f t="shared" si="0"/>
        <v>1170</v>
      </c>
      <c r="J7" s="17" t="s">
        <v>35</v>
      </c>
      <c r="K7" s="17" t="s">
        <v>35</v>
      </c>
      <c r="L7" s="17" t="s">
        <v>574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587</v>
      </c>
      <c r="D8" s="17" t="s">
        <v>588</v>
      </c>
      <c r="E8" s="17" t="s">
        <v>589</v>
      </c>
      <c r="F8" s="17" t="s">
        <v>106</v>
      </c>
      <c r="G8" s="18">
        <v>520</v>
      </c>
      <c r="H8" s="18">
        <v>30</v>
      </c>
      <c r="I8" s="18">
        <f t="shared" si="0"/>
        <v>490</v>
      </c>
      <c r="J8" s="17" t="s">
        <v>35</v>
      </c>
      <c r="K8" s="17" t="s">
        <v>35</v>
      </c>
      <c r="L8" s="17" t="s">
        <v>574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225</v>
      </c>
      <c r="D9" s="17" t="s">
        <v>590</v>
      </c>
      <c r="E9" s="17" t="s">
        <v>591</v>
      </c>
      <c r="F9" s="18">
        <v>12</v>
      </c>
      <c r="G9" s="18">
        <v>1160</v>
      </c>
      <c r="H9" s="18">
        <v>30</v>
      </c>
      <c r="I9" s="18">
        <f t="shared" si="0"/>
        <v>1130</v>
      </c>
      <c r="J9" s="17" t="s">
        <v>35</v>
      </c>
      <c r="K9" s="17" t="s">
        <v>35</v>
      </c>
      <c r="L9" s="17" t="s">
        <v>574</v>
      </c>
      <c r="M9" s="17"/>
      <c r="N9" s="17"/>
      <c r="O9" s="17"/>
      <c r="P9" s="17"/>
      <c r="Q9" s="17">
        <v>1</v>
      </c>
    </row>
    <row r="10" spans="1:18" customFormat="1" x14ac:dyDescent="0.25">
      <c r="A10" s="17" t="s">
        <v>61</v>
      </c>
      <c r="B10" s="17" t="s">
        <v>29</v>
      </c>
      <c r="C10" s="17" t="s">
        <v>592</v>
      </c>
      <c r="D10" s="17"/>
      <c r="E10" s="17" t="s">
        <v>593</v>
      </c>
      <c r="F10" s="18">
        <v>12</v>
      </c>
      <c r="G10" s="18">
        <v>0</v>
      </c>
      <c r="H10" s="18">
        <v>35</v>
      </c>
      <c r="I10" s="18">
        <f t="shared" si="0"/>
        <v>-35</v>
      </c>
      <c r="J10" s="17" t="s">
        <v>35</v>
      </c>
      <c r="K10" s="17" t="s">
        <v>35</v>
      </c>
      <c r="L10" s="17" t="s">
        <v>574</v>
      </c>
      <c r="M10" s="17"/>
      <c r="N10" s="17"/>
      <c r="O10" s="17"/>
      <c r="P10" s="17"/>
      <c r="Q10" s="17">
        <v>1</v>
      </c>
      <c r="R10" s="19">
        <f>H10</f>
        <v>35</v>
      </c>
    </row>
    <row r="11" spans="1:18" customFormat="1" x14ac:dyDescent="0.25">
      <c r="A11" s="17" t="s">
        <v>61</v>
      </c>
      <c r="B11" s="17" t="s">
        <v>29</v>
      </c>
      <c r="C11" s="17" t="s">
        <v>109</v>
      </c>
      <c r="D11" s="17"/>
      <c r="E11" s="17" t="s">
        <v>110</v>
      </c>
      <c r="F11" s="17" t="s">
        <v>70</v>
      </c>
      <c r="G11" s="18">
        <v>2280</v>
      </c>
      <c r="H11" s="18">
        <v>30</v>
      </c>
      <c r="I11" s="18">
        <f t="shared" si="0"/>
        <v>2250</v>
      </c>
      <c r="J11" s="17" t="s">
        <v>35</v>
      </c>
      <c r="K11" s="17" t="s">
        <v>35</v>
      </c>
      <c r="L11" s="17" t="s">
        <v>574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594</v>
      </c>
      <c r="D12" s="17"/>
      <c r="E12" s="17" t="s">
        <v>595</v>
      </c>
      <c r="F12" s="17" t="s">
        <v>46</v>
      </c>
      <c r="G12" s="18">
        <v>1570</v>
      </c>
      <c r="H12" s="18">
        <v>30</v>
      </c>
      <c r="I12" s="18">
        <f t="shared" si="0"/>
        <v>1540</v>
      </c>
      <c r="J12" s="17" t="s">
        <v>35</v>
      </c>
      <c r="K12" s="17" t="s">
        <v>35</v>
      </c>
      <c r="L12" s="17" t="s">
        <v>574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596</v>
      </c>
      <c r="D13" s="17"/>
      <c r="E13" s="17" t="s">
        <v>597</v>
      </c>
      <c r="F13" s="17" t="s">
        <v>46</v>
      </c>
      <c r="G13" s="18">
        <v>0</v>
      </c>
      <c r="H13" s="18">
        <v>30</v>
      </c>
      <c r="I13" s="18">
        <f t="shared" si="0"/>
        <v>-30</v>
      </c>
      <c r="J13" s="17" t="s">
        <v>35</v>
      </c>
      <c r="K13" s="17" t="s">
        <v>35</v>
      </c>
      <c r="L13" s="17" t="s">
        <v>574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598</v>
      </c>
      <c r="D14" s="17" t="s">
        <v>599</v>
      </c>
      <c r="E14" s="17" t="s">
        <v>600</v>
      </c>
      <c r="F14" s="17" t="s">
        <v>120</v>
      </c>
      <c r="G14" s="18">
        <v>3190</v>
      </c>
      <c r="H14" s="18">
        <v>30</v>
      </c>
      <c r="I14" s="18">
        <f t="shared" si="0"/>
        <v>3160</v>
      </c>
      <c r="J14" s="17" t="s">
        <v>121</v>
      </c>
      <c r="K14" s="17" t="s">
        <v>35</v>
      </c>
      <c r="L14" s="17" t="s">
        <v>574</v>
      </c>
      <c r="M14" s="24" t="s">
        <v>313</v>
      </c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29</v>
      </c>
      <c r="C15" s="17" t="s">
        <v>601</v>
      </c>
      <c r="D15" s="17" t="s">
        <v>602</v>
      </c>
      <c r="E15" s="17" t="s">
        <v>603</v>
      </c>
      <c r="F15" s="18">
        <v>5</v>
      </c>
      <c r="G15" s="18">
        <v>815</v>
      </c>
      <c r="H15" s="18">
        <v>25</v>
      </c>
      <c r="I15" s="18">
        <f t="shared" si="0"/>
        <v>790</v>
      </c>
      <c r="J15" s="17" t="s">
        <v>121</v>
      </c>
      <c r="K15" s="17" t="s">
        <v>35</v>
      </c>
      <c r="L15" s="17" t="s">
        <v>574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604</v>
      </c>
      <c r="D16" s="17" t="s">
        <v>605</v>
      </c>
      <c r="E16" s="17" t="s">
        <v>606</v>
      </c>
      <c r="F16" s="18">
        <v>4</v>
      </c>
      <c r="G16" s="18">
        <v>805</v>
      </c>
      <c r="H16" s="18">
        <v>25</v>
      </c>
      <c r="I16" s="18">
        <f t="shared" si="0"/>
        <v>780</v>
      </c>
      <c r="J16" s="17" t="s">
        <v>121</v>
      </c>
      <c r="K16" s="17" t="s">
        <v>35</v>
      </c>
      <c r="L16" s="17" t="s">
        <v>574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607</v>
      </c>
      <c r="D17" s="17" t="s">
        <v>608</v>
      </c>
      <c r="E17" s="17" t="s">
        <v>609</v>
      </c>
      <c r="F17" s="18">
        <v>4</v>
      </c>
      <c r="G17" s="18">
        <v>1775</v>
      </c>
      <c r="H17" s="18">
        <v>25</v>
      </c>
      <c r="I17" s="18">
        <f t="shared" si="0"/>
        <v>1750</v>
      </c>
      <c r="J17" s="17" t="s">
        <v>121</v>
      </c>
      <c r="K17" s="17" t="s">
        <v>35</v>
      </c>
      <c r="L17" s="17" t="s">
        <v>574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610</v>
      </c>
      <c r="D18" s="17" t="s">
        <v>611</v>
      </c>
      <c r="E18" s="17" t="s">
        <v>612</v>
      </c>
      <c r="F18" s="17" t="s">
        <v>120</v>
      </c>
      <c r="G18" s="18">
        <v>0</v>
      </c>
      <c r="H18" s="18">
        <v>20</v>
      </c>
      <c r="I18" s="18">
        <f t="shared" si="0"/>
        <v>-20</v>
      </c>
      <c r="J18" s="17" t="s">
        <v>121</v>
      </c>
      <c r="K18" s="17" t="s">
        <v>35</v>
      </c>
      <c r="L18" s="17" t="s">
        <v>574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29</v>
      </c>
      <c r="C19" s="17" t="s">
        <v>613</v>
      </c>
      <c r="D19" s="17" t="s">
        <v>614</v>
      </c>
      <c r="E19" s="17" t="s">
        <v>615</v>
      </c>
      <c r="F19" s="18">
        <v>1</v>
      </c>
      <c r="G19" s="18">
        <v>935</v>
      </c>
      <c r="H19" s="18">
        <v>25</v>
      </c>
      <c r="I19" s="18">
        <f t="shared" si="0"/>
        <v>910</v>
      </c>
      <c r="J19" s="17" t="s">
        <v>121</v>
      </c>
      <c r="K19" s="17" t="s">
        <v>35</v>
      </c>
      <c r="L19" s="17" t="s">
        <v>574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616</v>
      </c>
      <c r="D20" s="17" t="s">
        <v>617</v>
      </c>
      <c r="E20" s="17" t="s">
        <v>618</v>
      </c>
      <c r="F20" s="18">
        <v>10</v>
      </c>
      <c r="G20" s="18">
        <v>5580</v>
      </c>
      <c r="H20" s="18">
        <v>45</v>
      </c>
      <c r="I20" s="18">
        <f t="shared" si="0"/>
        <v>5535</v>
      </c>
      <c r="J20" s="17" t="s">
        <v>121</v>
      </c>
      <c r="K20" s="17" t="s">
        <v>35</v>
      </c>
      <c r="L20" s="17" t="s">
        <v>574</v>
      </c>
      <c r="M20" s="24" t="s">
        <v>313</v>
      </c>
      <c r="N20" s="17"/>
      <c r="O20" s="17"/>
      <c r="P20" s="17"/>
      <c r="Q20" s="17">
        <v>1</v>
      </c>
      <c r="R20" s="19">
        <f>H20</f>
        <v>45</v>
      </c>
    </row>
    <row r="21" spans="1:18" customFormat="1" x14ac:dyDescent="0.25">
      <c r="A21" s="17" t="s">
        <v>61</v>
      </c>
      <c r="B21" s="17" t="s">
        <v>29</v>
      </c>
      <c r="C21" s="17" t="s">
        <v>619</v>
      </c>
      <c r="D21" s="17"/>
      <c r="E21" s="17" t="s">
        <v>549</v>
      </c>
      <c r="F21" s="18">
        <v>1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574</v>
      </c>
      <c r="M21" s="17"/>
      <c r="N21" s="17"/>
      <c r="O21" s="17"/>
      <c r="P21" s="17"/>
      <c r="Q21" s="17">
        <v>1</v>
      </c>
      <c r="R21" s="19">
        <f>H21</f>
        <v>30</v>
      </c>
    </row>
    <row r="23" spans="1:18" x14ac:dyDescent="0.25">
      <c r="G23" s="1">
        <f t="shared" ref="G23:R23" si="1">SUBTOTAL(9,G3:G22)</f>
        <v>23795</v>
      </c>
      <c r="H23" s="1">
        <f t="shared" si="1"/>
        <v>545</v>
      </c>
      <c r="I23" s="1">
        <f t="shared" si="1"/>
        <v>23250</v>
      </c>
      <c r="J23" s="1">
        <f t="shared" si="1"/>
        <v>0</v>
      </c>
      <c r="K23" s="1">
        <f t="shared" si="1"/>
        <v>0</v>
      </c>
      <c r="L23" s="1">
        <f t="shared" si="1"/>
        <v>0</v>
      </c>
      <c r="M23" s="1">
        <f t="shared" si="1"/>
        <v>0</v>
      </c>
      <c r="N23" s="1">
        <f t="shared" si="1"/>
        <v>0</v>
      </c>
      <c r="O23" s="1">
        <f t="shared" si="1"/>
        <v>0</v>
      </c>
      <c r="P23" s="1">
        <f t="shared" si="1"/>
        <v>0</v>
      </c>
      <c r="Q23" s="1">
        <f t="shared" si="1"/>
        <v>19</v>
      </c>
      <c r="R23" s="1">
        <f t="shared" si="1"/>
        <v>190</v>
      </c>
    </row>
    <row r="27" spans="1:18" ht="20.25" customHeight="1" x14ac:dyDescent="0.3">
      <c r="H27" s="4" t="s">
        <v>568</v>
      </c>
      <c r="I27" s="5" t="s">
        <v>15</v>
      </c>
      <c r="J27" s="6" t="s">
        <v>16</v>
      </c>
    </row>
    <row r="28" spans="1:18" ht="15.75" customHeight="1" x14ac:dyDescent="0.25">
      <c r="H28" s="7" t="s">
        <v>17</v>
      </c>
      <c r="I28" s="8">
        <f>SUM(I22:I26)</f>
        <v>23250</v>
      </c>
      <c r="J28" s="8">
        <f>Q23</f>
        <v>19</v>
      </c>
    </row>
    <row r="29" spans="1:18" x14ac:dyDescent="0.25">
      <c r="H29" s="9" t="s">
        <v>18</v>
      </c>
      <c r="I29" s="10">
        <f>R23</f>
        <v>190</v>
      </c>
      <c r="J29" s="11"/>
    </row>
    <row r="30" spans="1:18" x14ac:dyDescent="0.25">
      <c r="H30" s="9" t="s">
        <v>19</v>
      </c>
      <c r="I30" s="10">
        <f>S22</f>
        <v>0</v>
      </c>
      <c r="J30" s="11"/>
    </row>
    <row r="31" spans="1:18" x14ac:dyDescent="0.25">
      <c r="H31" s="9" t="s">
        <v>20</v>
      </c>
      <c r="I31" s="10">
        <f>T22</f>
        <v>0</v>
      </c>
      <c r="J31" s="11"/>
    </row>
    <row r="32" spans="1:18" x14ac:dyDescent="0.25">
      <c r="H32" s="9" t="s">
        <v>21</v>
      </c>
      <c r="I32" s="10">
        <f>U22</f>
        <v>0</v>
      </c>
      <c r="J32" s="11"/>
    </row>
    <row r="33" spans="8:10" ht="15.75" customHeight="1" x14ac:dyDescent="0.25">
      <c r="H33" s="12" t="s">
        <v>22</v>
      </c>
      <c r="I33" s="13"/>
      <c r="J33" s="13"/>
    </row>
    <row r="34" spans="8:10" ht="15.75" customHeight="1" x14ac:dyDescent="0.25">
      <c r="H34" s="14" t="s">
        <v>23</v>
      </c>
      <c r="I34" s="13"/>
      <c r="J34" s="13"/>
    </row>
    <row r="35" spans="8:10" ht="21" customHeight="1" x14ac:dyDescent="0.35">
      <c r="H35" s="15" t="s">
        <v>24</v>
      </c>
      <c r="I35" s="16">
        <f>SUM(I28:I34)</f>
        <v>23440</v>
      </c>
      <c r="J35" s="16">
        <f>SUM(J28:J32)</f>
        <v>19</v>
      </c>
    </row>
  </sheetData>
  <autoFilter ref="A2:P21" xr:uid="{00000000-0009-0000-0000-000006000000}">
    <sortState xmlns:xlrd2="http://schemas.microsoft.com/office/spreadsheetml/2017/richdata2" ref="A3:P21">
      <sortCondition ref="J2:J21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A92E-D990-4376-A058-0C486A2217DE}">
  <dimension ref="A1:R74"/>
  <sheetViews>
    <sheetView topLeftCell="A38" zoomScale="82" zoomScaleNormal="80" workbookViewId="0">
      <selection activeCell="J60" sqref="J6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154</v>
      </c>
      <c r="C1" s="1" t="s">
        <v>621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622</v>
      </c>
      <c r="D3" s="17" t="s">
        <v>623</v>
      </c>
      <c r="E3" s="17" t="s">
        <v>624</v>
      </c>
      <c r="F3" s="18">
        <v>8</v>
      </c>
      <c r="G3" s="18">
        <v>820</v>
      </c>
      <c r="H3" s="18">
        <v>30</v>
      </c>
      <c r="I3" s="18">
        <f t="shared" ref="I3:I57" si="0">G3-H3</f>
        <v>790</v>
      </c>
      <c r="J3" s="17" t="s">
        <v>625</v>
      </c>
      <c r="K3" s="17" t="s">
        <v>35</v>
      </c>
      <c r="L3" s="17" t="s">
        <v>626</v>
      </c>
      <c r="M3" s="17"/>
      <c r="N3" s="17"/>
      <c r="O3" s="17"/>
      <c r="P3" s="17"/>
      <c r="Q3" s="17">
        <v>1</v>
      </c>
    </row>
    <row r="4" spans="1:18" s="22" customFormat="1" x14ac:dyDescent="0.25">
      <c r="A4" s="20"/>
      <c r="B4" s="20" t="s">
        <v>29</v>
      </c>
      <c r="C4" s="20" t="s">
        <v>492</v>
      </c>
      <c r="D4" s="20" t="s">
        <v>627</v>
      </c>
      <c r="E4" s="20" t="s">
        <v>628</v>
      </c>
      <c r="F4" s="20" t="s">
        <v>57</v>
      </c>
      <c r="G4" s="21">
        <v>65</v>
      </c>
      <c r="H4" s="21">
        <v>35</v>
      </c>
      <c r="I4" s="21">
        <f t="shared" si="0"/>
        <v>30</v>
      </c>
      <c r="J4" s="20" t="s">
        <v>625</v>
      </c>
      <c r="K4" s="20" t="s">
        <v>35</v>
      </c>
      <c r="L4" s="20" t="s">
        <v>626</v>
      </c>
      <c r="M4" s="20" t="s">
        <v>102</v>
      </c>
      <c r="N4" s="20"/>
      <c r="O4" s="20"/>
      <c r="P4" s="20"/>
      <c r="Q4" s="20">
        <v>1</v>
      </c>
    </row>
    <row r="5" spans="1:18" customFormat="1" x14ac:dyDescent="0.25">
      <c r="A5" s="17"/>
      <c r="B5" s="17" t="s">
        <v>29</v>
      </c>
      <c r="C5" s="17" t="s">
        <v>629</v>
      </c>
      <c r="D5" s="17" t="s">
        <v>630</v>
      </c>
      <c r="E5" s="17" t="s">
        <v>631</v>
      </c>
      <c r="F5" s="17" t="s">
        <v>57</v>
      </c>
      <c r="G5" s="18">
        <v>865</v>
      </c>
      <c r="H5" s="18">
        <v>35</v>
      </c>
      <c r="I5" s="18">
        <f t="shared" si="0"/>
        <v>830</v>
      </c>
      <c r="J5" s="17" t="s">
        <v>625</v>
      </c>
      <c r="K5" s="17" t="s">
        <v>35</v>
      </c>
      <c r="L5" s="17" t="s">
        <v>626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632</v>
      </c>
      <c r="D6" s="17" t="s">
        <v>633</v>
      </c>
      <c r="E6" s="17" t="s">
        <v>634</v>
      </c>
      <c r="F6" s="18">
        <v>7</v>
      </c>
      <c r="G6" s="18">
        <v>390</v>
      </c>
      <c r="H6" s="18">
        <v>30</v>
      </c>
      <c r="I6" s="18">
        <f t="shared" si="0"/>
        <v>360</v>
      </c>
      <c r="J6" s="17" t="s">
        <v>625</v>
      </c>
      <c r="K6" s="17" t="s">
        <v>35</v>
      </c>
      <c r="L6" s="17" t="s">
        <v>626</v>
      </c>
      <c r="M6" s="17"/>
      <c r="N6" s="17"/>
      <c r="O6" s="17"/>
      <c r="P6" s="17"/>
      <c r="Q6" s="17">
        <v>1</v>
      </c>
    </row>
    <row r="7" spans="1:18" s="22" customFormat="1" x14ac:dyDescent="0.25">
      <c r="A7" s="20"/>
      <c r="B7" s="20" t="s">
        <v>29</v>
      </c>
      <c r="C7" s="20" t="s">
        <v>578</v>
      </c>
      <c r="D7" s="20" t="s">
        <v>635</v>
      </c>
      <c r="E7" s="20" t="s">
        <v>580</v>
      </c>
      <c r="F7" s="21">
        <v>6</v>
      </c>
      <c r="G7" s="21">
        <v>265</v>
      </c>
      <c r="H7" s="21">
        <v>25</v>
      </c>
      <c r="I7" s="21">
        <f t="shared" si="0"/>
        <v>240</v>
      </c>
      <c r="J7" s="20" t="s">
        <v>625</v>
      </c>
      <c r="K7" s="20" t="s">
        <v>35</v>
      </c>
      <c r="L7" s="20" t="s">
        <v>626</v>
      </c>
      <c r="M7" s="20" t="s">
        <v>102</v>
      </c>
      <c r="N7" s="20"/>
      <c r="O7" s="20"/>
      <c r="P7" s="20"/>
      <c r="Q7" s="20">
        <v>1</v>
      </c>
    </row>
    <row r="8" spans="1:18" customFormat="1" x14ac:dyDescent="0.25">
      <c r="A8" s="17"/>
      <c r="B8" s="17" t="s">
        <v>29</v>
      </c>
      <c r="C8" s="17" t="s">
        <v>636</v>
      </c>
      <c r="D8" s="17" t="s">
        <v>637</v>
      </c>
      <c r="E8" s="17" t="s">
        <v>638</v>
      </c>
      <c r="F8" s="18">
        <v>8</v>
      </c>
      <c r="G8" s="18">
        <v>0</v>
      </c>
      <c r="H8" s="18">
        <v>30</v>
      </c>
      <c r="I8" s="18">
        <f t="shared" si="0"/>
        <v>-30</v>
      </c>
      <c r="J8" s="17" t="s">
        <v>625</v>
      </c>
      <c r="K8" s="17" t="s">
        <v>35</v>
      </c>
      <c r="L8" s="17" t="s">
        <v>626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29</v>
      </c>
      <c r="C9" s="17" t="s">
        <v>639</v>
      </c>
      <c r="D9" s="17" t="s">
        <v>640</v>
      </c>
      <c r="E9" s="17" t="s">
        <v>189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625</v>
      </c>
      <c r="K9" s="17" t="s">
        <v>35</v>
      </c>
      <c r="L9" s="17" t="s">
        <v>626</v>
      </c>
      <c r="M9" s="17"/>
      <c r="N9" s="17"/>
      <c r="O9" s="17"/>
      <c r="P9" s="17"/>
      <c r="Q9" s="17">
        <v>1</v>
      </c>
      <c r="R9" s="19">
        <f>H9</f>
        <v>25</v>
      </c>
    </row>
    <row r="10" spans="1:18" customFormat="1" x14ac:dyDescent="0.25">
      <c r="A10" s="17"/>
      <c r="B10" s="17" t="s">
        <v>29</v>
      </c>
      <c r="C10" s="17" t="s">
        <v>641</v>
      </c>
      <c r="D10" s="17" t="s">
        <v>642</v>
      </c>
      <c r="E10" s="17" t="s">
        <v>63</v>
      </c>
      <c r="F10" s="17" t="s">
        <v>50</v>
      </c>
      <c r="G10" s="18">
        <v>910</v>
      </c>
      <c r="H10" s="18">
        <v>30</v>
      </c>
      <c r="I10" s="18">
        <f t="shared" si="0"/>
        <v>880</v>
      </c>
      <c r="J10" s="17" t="s">
        <v>625</v>
      </c>
      <c r="K10" s="17" t="s">
        <v>35</v>
      </c>
      <c r="L10" s="17" t="s">
        <v>626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643</v>
      </c>
      <c r="D11" s="17" t="s">
        <v>644</v>
      </c>
      <c r="E11" s="17" t="s">
        <v>645</v>
      </c>
      <c r="F11" s="17" t="s">
        <v>50</v>
      </c>
      <c r="G11" s="18">
        <v>820</v>
      </c>
      <c r="H11" s="18">
        <v>30</v>
      </c>
      <c r="I11" s="18">
        <f t="shared" si="0"/>
        <v>790</v>
      </c>
      <c r="J11" s="17" t="s">
        <v>625</v>
      </c>
      <c r="K11" s="17" t="s">
        <v>35</v>
      </c>
      <c r="L11" s="17" t="s">
        <v>626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646</v>
      </c>
      <c r="D12" s="17" t="s">
        <v>647</v>
      </c>
      <c r="E12" s="17" t="s">
        <v>648</v>
      </c>
      <c r="F12" s="18">
        <v>8</v>
      </c>
      <c r="G12" s="18">
        <v>770</v>
      </c>
      <c r="H12" s="18">
        <v>30</v>
      </c>
      <c r="I12" s="18">
        <f t="shared" si="0"/>
        <v>740</v>
      </c>
      <c r="J12" s="17" t="s">
        <v>625</v>
      </c>
      <c r="K12" s="17" t="s">
        <v>35</v>
      </c>
      <c r="L12" s="17" t="s">
        <v>626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649</v>
      </c>
      <c r="D13" s="17" t="s">
        <v>650</v>
      </c>
      <c r="E13" s="17" t="s">
        <v>651</v>
      </c>
      <c r="F13" s="18">
        <v>9</v>
      </c>
      <c r="G13" s="18">
        <v>810</v>
      </c>
      <c r="H13" s="18">
        <v>30</v>
      </c>
      <c r="I13" s="18">
        <f t="shared" si="0"/>
        <v>780</v>
      </c>
      <c r="J13" s="17" t="s">
        <v>625</v>
      </c>
      <c r="K13" s="17" t="s">
        <v>35</v>
      </c>
      <c r="L13" s="17" t="s">
        <v>626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652</v>
      </c>
      <c r="D14" s="17" t="s">
        <v>653</v>
      </c>
      <c r="E14" s="17" t="s">
        <v>654</v>
      </c>
      <c r="F14" s="18">
        <v>9</v>
      </c>
      <c r="G14" s="18">
        <v>1380</v>
      </c>
      <c r="H14" s="18">
        <v>30</v>
      </c>
      <c r="I14" s="18">
        <f t="shared" si="0"/>
        <v>1350</v>
      </c>
      <c r="J14" s="17" t="s">
        <v>625</v>
      </c>
      <c r="K14" s="17" t="s">
        <v>35</v>
      </c>
      <c r="L14" s="17" t="s">
        <v>626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655</v>
      </c>
      <c r="D15" s="17" t="s">
        <v>656</v>
      </c>
      <c r="E15" s="17" t="s">
        <v>657</v>
      </c>
      <c r="F15" s="18">
        <v>6</v>
      </c>
      <c r="G15" s="18">
        <v>805</v>
      </c>
      <c r="H15" s="18">
        <v>25</v>
      </c>
      <c r="I15" s="18">
        <f t="shared" si="0"/>
        <v>780</v>
      </c>
      <c r="J15" s="17" t="s">
        <v>625</v>
      </c>
      <c r="K15" s="17" t="s">
        <v>35</v>
      </c>
      <c r="L15" s="17" t="s">
        <v>626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658</v>
      </c>
      <c r="D16" s="17" t="s">
        <v>659</v>
      </c>
      <c r="E16" s="17" t="s">
        <v>660</v>
      </c>
      <c r="F16" s="17" t="s">
        <v>33</v>
      </c>
      <c r="G16" s="18">
        <v>665</v>
      </c>
      <c r="H16" s="18">
        <v>25</v>
      </c>
      <c r="I16" s="18">
        <f t="shared" si="0"/>
        <v>640</v>
      </c>
      <c r="J16" s="17" t="s">
        <v>625</v>
      </c>
      <c r="K16" s="17" t="s">
        <v>35</v>
      </c>
      <c r="L16" s="17" t="s">
        <v>626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661</v>
      </c>
      <c r="D17" s="17" t="s">
        <v>662</v>
      </c>
      <c r="E17" s="17" t="s">
        <v>663</v>
      </c>
      <c r="F17" s="17" t="s">
        <v>57</v>
      </c>
      <c r="G17" s="18">
        <v>0</v>
      </c>
      <c r="H17" s="18">
        <v>35</v>
      </c>
      <c r="I17" s="18">
        <f t="shared" si="0"/>
        <v>-35</v>
      </c>
      <c r="J17" s="17" t="s">
        <v>625</v>
      </c>
      <c r="K17" s="17" t="s">
        <v>35</v>
      </c>
      <c r="L17" s="17" t="s">
        <v>626</v>
      </c>
      <c r="M17" s="17"/>
      <c r="N17" s="17"/>
      <c r="O17" s="17"/>
      <c r="P17" s="17"/>
      <c r="Q17" s="17">
        <v>1</v>
      </c>
      <c r="R17" s="19">
        <f>H17</f>
        <v>35</v>
      </c>
    </row>
    <row r="18" spans="1:18" customFormat="1" x14ac:dyDescent="0.25">
      <c r="A18" s="17"/>
      <c r="B18" s="17" t="s">
        <v>29</v>
      </c>
      <c r="C18" s="17" t="s">
        <v>180</v>
      </c>
      <c r="D18" s="17" t="s">
        <v>664</v>
      </c>
      <c r="E18" s="17" t="s">
        <v>665</v>
      </c>
      <c r="F18" s="18">
        <v>7</v>
      </c>
      <c r="G18" s="18">
        <v>820</v>
      </c>
      <c r="H18" s="18">
        <v>30</v>
      </c>
      <c r="I18" s="18">
        <f t="shared" si="0"/>
        <v>790</v>
      </c>
      <c r="J18" s="17" t="s">
        <v>625</v>
      </c>
      <c r="K18" s="17" t="s">
        <v>35</v>
      </c>
      <c r="L18" s="17" t="s">
        <v>626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666</v>
      </c>
      <c r="D19" s="17" t="s">
        <v>667</v>
      </c>
      <c r="E19" s="17" t="s">
        <v>668</v>
      </c>
      <c r="F19" s="18">
        <v>9</v>
      </c>
      <c r="G19" s="18">
        <v>810</v>
      </c>
      <c r="H19" s="18">
        <v>30</v>
      </c>
      <c r="I19" s="18">
        <f t="shared" si="0"/>
        <v>780</v>
      </c>
      <c r="J19" s="17" t="s">
        <v>625</v>
      </c>
      <c r="K19" s="17" t="s">
        <v>35</v>
      </c>
      <c r="L19" s="17" t="s">
        <v>626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669</v>
      </c>
      <c r="D20" s="17" t="s">
        <v>670</v>
      </c>
      <c r="E20" s="17" t="s">
        <v>671</v>
      </c>
      <c r="F20" s="17" t="s">
        <v>50</v>
      </c>
      <c r="G20" s="18">
        <v>1480</v>
      </c>
      <c r="H20" s="18">
        <v>30</v>
      </c>
      <c r="I20" s="18">
        <f t="shared" si="0"/>
        <v>1450</v>
      </c>
      <c r="J20" s="17" t="s">
        <v>625</v>
      </c>
      <c r="K20" s="17" t="s">
        <v>35</v>
      </c>
      <c r="L20" s="17" t="s">
        <v>626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672</v>
      </c>
      <c r="D21" s="17" t="s">
        <v>673</v>
      </c>
      <c r="E21" s="17" t="s">
        <v>674</v>
      </c>
      <c r="F21" s="17" t="s">
        <v>57</v>
      </c>
      <c r="G21" s="18">
        <v>975</v>
      </c>
      <c r="H21" s="18">
        <v>35</v>
      </c>
      <c r="I21" s="18">
        <f t="shared" si="0"/>
        <v>940</v>
      </c>
      <c r="J21" s="17" t="s">
        <v>625</v>
      </c>
      <c r="K21" s="17" t="s">
        <v>35</v>
      </c>
      <c r="L21" s="17" t="s">
        <v>626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575</v>
      </c>
      <c r="D22" s="17" t="s">
        <v>675</v>
      </c>
      <c r="E22" s="17" t="s">
        <v>676</v>
      </c>
      <c r="F22" s="18">
        <v>7</v>
      </c>
      <c r="G22" s="18">
        <v>810</v>
      </c>
      <c r="H22" s="18">
        <v>30</v>
      </c>
      <c r="I22" s="18">
        <f t="shared" si="0"/>
        <v>780</v>
      </c>
      <c r="J22" s="17" t="s">
        <v>625</v>
      </c>
      <c r="K22" s="17" t="s">
        <v>35</v>
      </c>
      <c r="L22" s="17" t="s">
        <v>626</v>
      </c>
      <c r="M22" s="17"/>
      <c r="N22" s="17"/>
      <c r="O22" s="17"/>
      <c r="P22" s="17"/>
      <c r="Q22" s="17">
        <v>1</v>
      </c>
    </row>
    <row r="23" spans="1:18" customFormat="1" x14ac:dyDescent="0.25">
      <c r="A23" s="17" t="s">
        <v>61</v>
      </c>
      <c r="B23" s="17" t="s">
        <v>29</v>
      </c>
      <c r="C23" s="17" t="s">
        <v>677</v>
      </c>
      <c r="D23" s="17"/>
      <c r="E23" s="17" t="s">
        <v>189</v>
      </c>
      <c r="F23" s="18">
        <v>6</v>
      </c>
      <c r="G23" s="18">
        <v>0</v>
      </c>
      <c r="H23" s="18">
        <v>30</v>
      </c>
      <c r="I23" s="18">
        <f t="shared" si="0"/>
        <v>-30</v>
      </c>
      <c r="J23" s="17" t="s">
        <v>625</v>
      </c>
      <c r="K23" s="17" t="s">
        <v>35</v>
      </c>
      <c r="L23" s="17" t="s">
        <v>626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 t="s">
        <v>61</v>
      </c>
      <c r="B24" s="17" t="s">
        <v>29</v>
      </c>
      <c r="C24" s="17" t="s">
        <v>186</v>
      </c>
      <c r="D24" s="17"/>
      <c r="E24" s="17" t="s">
        <v>678</v>
      </c>
      <c r="F24" s="18">
        <v>6</v>
      </c>
      <c r="G24" s="18">
        <v>35</v>
      </c>
      <c r="H24" s="18">
        <v>35</v>
      </c>
      <c r="I24" s="18">
        <f t="shared" si="0"/>
        <v>0</v>
      </c>
      <c r="J24" s="17" t="s">
        <v>625</v>
      </c>
      <c r="K24" s="17" t="s">
        <v>35</v>
      </c>
      <c r="L24" s="17" t="s">
        <v>626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679</v>
      </c>
      <c r="D25" s="17" t="s">
        <v>680</v>
      </c>
      <c r="E25" s="17" t="s">
        <v>681</v>
      </c>
      <c r="F25" s="17" t="s">
        <v>70</v>
      </c>
      <c r="G25" s="18">
        <v>0</v>
      </c>
      <c r="H25" s="18">
        <v>25</v>
      </c>
      <c r="I25" s="18">
        <f t="shared" si="0"/>
        <v>-25</v>
      </c>
      <c r="J25" s="17" t="s">
        <v>35</v>
      </c>
      <c r="K25" s="17" t="s">
        <v>35</v>
      </c>
      <c r="L25" s="17" t="s">
        <v>626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29</v>
      </c>
      <c r="C26" s="17" t="s">
        <v>682</v>
      </c>
      <c r="D26" s="17" t="s">
        <v>683</v>
      </c>
      <c r="E26" s="17" t="s">
        <v>684</v>
      </c>
      <c r="F26" s="17" t="s">
        <v>80</v>
      </c>
      <c r="G26" s="18">
        <v>1540</v>
      </c>
      <c r="H26" s="18">
        <v>20</v>
      </c>
      <c r="I26" s="18">
        <f t="shared" si="0"/>
        <v>1520</v>
      </c>
      <c r="J26" s="17" t="s">
        <v>35</v>
      </c>
      <c r="K26" s="17" t="s">
        <v>35</v>
      </c>
      <c r="L26" s="17" t="s">
        <v>626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685</v>
      </c>
      <c r="D27" s="17" t="s">
        <v>686</v>
      </c>
      <c r="E27" s="17" t="s">
        <v>687</v>
      </c>
      <c r="F27" s="17" t="s">
        <v>106</v>
      </c>
      <c r="G27" s="18">
        <v>1700</v>
      </c>
      <c r="H27" s="18">
        <v>30</v>
      </c>
      <c r="I27" s="18">
        <f t="shared" si="0"/>
        <v>1670</v>
      </c>
      <c r="J27" s="17" t="s">
        <v>35</v>
      </c>
      <c r="K27" s="17" t="s">
        <v>35</v>
      </c>
      <c r="L27" s="17" t="s">
        <v>626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688</v>
      </c>
      <c r="D28" s="17" t="s">
        <v>689</v>
      </c>
      <c r="E28" s="17" t="s">
        <v>690</v>
      </c>
      <c r="F28" s="17" t="s">
        <v>80</v>
      </c>
      <c r="G28" s="18">
        <v>800</v>
      </c>
      <c r="H28" s="18">
        <v>20</v>
      </c>
      <c r="I28" s="18">
        <f t="shared" si="0"/>
        <v>780</v>
      </c>
      <c r="J28" s="17" t="s">
        <v>35</v>
      </c>
      <c r="K28" s="17" t="s">
        <v>35</v>
      </c>
      <c r="L28" s="17" t="s">
        <v>626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691</v>
      </c>
      <c r="D29" s="17" t="s">
        <v>692</v>
      </c>
      <c r="E29" s="17" t="s">
        <v>693</v>
      </c>
      <c r="F29" s="17" t="s">
        <v>70</v>
      </c>
      <c r="G29" s="18">
        <v>755</v>
      </c>
      <c r="H29" s="18">
        <v>25</v>
      </c>
      <c r="I29" s="18">
        <f t="shared" si="0"/>
        <v>730</v>
      </c>
      <c r="J29" s="17" t="s">
        <v>35</v>
      </c>
      <c r="K29" s="17" t="s">
        <v>35</v>
      </c>
      <c r="L29" s="17" t="s">
        <v>626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694</v>
      </c>
      <c r="D30" s="17" t="s">
        <v>695</v>
      </c>
      <c r="E30" s="17" t="s">
        <v>696</v>
      </c>
      <c r="F30" s="18">
        <v>2</v>
      </c>
      <c r="G30" s="18">
        <v>0</v>
      </c>
      <c r="H30" s="18">
        <v>30</v>
      </c>
      <c r="I30" s="18">
        <f t="shared" si="0"/>
        <v>-30</v>
      </c>
      <c r="J30" s="17" t="s">
        <v>35</v>
      </c>
      <c r="K30" s="17" t="s">
        <v>35</v>
      </c>
      <c r="L30" s="17" t="s">
        <v>626</v>
      </c>
      <c r="M30" s="17"/>
      <c r="N30" s="17"/>
      <c r="O30" s="17"/>
      <c r="P30" s="17"/>
      <c r="Q30" s="17">
        <v>1</v>
      </c>
      <c r="R30" s="19">
        <f t="shared" ref="R30:R31" si="1">H30</f>
        <v>30</v>
      </c>
    </row>
    <row r="31" spans="1:18" customFormat="1" x14ac:dyDescent="0.25">
      <c r="A31" s="17"/>
      <c r="B31" s="17" t="s">
        <v>29</v>
      </c>
      <c r="C31" s="17" t="s">
        <v>697</v>
      </c>
      <c r="D31" s="17" t="s">
        <v>698</v>
      </c>
      <c r="E31" s="17" t="s">
        <v>699</v>
      </c>
      <c r="F31" s="18">
        <v>2</v>
      </c>
      <c r="G31" s="18">
        <v>0</v>
      </c>
      <c r="H31" s="18">
        <v>30</v>
      </c>
      <c r="I31" s="18">
        <f t="shared" si="0"/>
        <v>-30</v>
      </c>
      <c r="J31" s="17" t="s">
        <v>35</v>
      </c>
      <c r="K31" s="17" t="s">
        <v>35</v>
      </c>
      <c r="L31" s="17" t="s">
        <v>626</v>
      </c>
      <c r="M31" s="17"/>
      <c r="N31" s="17"/>
      <c r="O31" s="17"/>
      <c r="P31" s="17"/>
      <c r="Q31" s="17">
        <v>1</v>
      </c>
      <c r="R31" s="19">
        <f t="shared" si="1"/>
        <v>30</v>
      </c>
    </row>
    <row r="32" spans="1:18" customFormat="1" x14ac:dyDescent="0.25">
      <c r="A32" s="17"/>
      <c r="B32" s="17" t="s">
        <v>29</v>
      </c>
      <c r="C32" s="17" t="s">
        <v>700</v>
      </c>
      <c r="D32" s="17" t="s">
        <v>701</v>
      </c>
      <c r="E32" s="17" t="s">
        <v>702</v>
      </c>
      <c r="F32" s="17" t="s">
        <v>70</v>
      </c>
      <c r="G32" s="18">
        <v>1105</v>
      </c>
      <c r="H32" s="18">
        <v>25</v>
      </c>
      <c r="I32" s="18">
        <f t="shared" si="0"/>
        <v>1080</v>
      </c>
      <c r="J32" s="17" t="s">
        <v>35</v>
      </c>
      <c r="K32" s="17" t="s">
        <v>35</v>
      </c>
      <c r="L32" s="17" t="s">
        <v>626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703</v>
      </c>
      <c r="D33" s="17" t="s">
        <v>704</v>
      </c>
      <c r="E33" s="17" t="s">
        <v>705</v>
      </c>
      <c r="F33" s="17" t="s">
        <v>70</v>
      </c>
      <c r="G33" s="18">
        <v>0</v>
      </c>
      <c r="H33" s="18">
        <v>25</v>
      </c>
      <c r="I33" s="18">
        <f t="shared" si="0"/>
        <v>-25</v>
      </c>
      <c r="J33" s="17" t="s">
        <v>35</v>
      </c>
      <c r="K33" s="17" t="s">
        <v>35</v>
      </c>
      <c r="L33" s="17" t="s">
        <v>626</v>
      </c>
      <c r="M33" s="17"/>
      <c r="N33" s="17"/>
      <c r="O33" s="17"/>
      <c r="P33" s="17"/>
      <c r="Q33" s="17">
        <v>1</v>
      </c>
      <c r="R33" s="19">
        <f t="shared" ref="R33:R34" si="2">H33</f>
        <v>25</v>
      </c>
    </row>
    <row r="34" spans="1:18" customFormat="1" x14ac:dyDescent="0.25">
      <c r="A34" s="17"/>
      <c r="B34" s="17" t="s">
        <v>29</v>
      </c>
      <c r="C34" s="17" t="s">
        <v>706</v>
      </c>
      <c r="D34" s="17" t="s">
        <v>707</v>
      </c>
      <c r="E34" s="17" t="s">
        <v>597</v>
      </c>
      <c r="F34" s="17" t="s">
        <v>46</v>
      </c>
      <c r="G34" s="18">
        <v>0</v>
      </c>
      <c r="H34" s="18">
        <v>25</v>
      </c>
      <c r="I34" s="18">
        <f t="shared" si="0"/>
        <v>-25</v>
      </c>
      <c r="J34" s="17" t="s">
        <v>35</v>
      </c>
      <c r="K34" s="17" t="s">
        <v>35</v>
      </c>
      <c r="L34" s="17" t="s">
        <v>626</v>
      </c>
      <c r="M34" s="17"/>
      <c r="N34" s="17"/>
      <c r="O34" s="17"/>
      <c r="P34" s="17"/>
      <c r="Q34" s="17">
        <v>1</v>
      </c>
      <c r="R34" s="19">
        <f t="shared" si="2"/>
        <v>25</v>
      </c>
    </row>
    <row r="35" spans="1:18" customFormat="1" x14ac:dyDescent="0.25">
      <c r="A35" s="17"/>
      <c r="B35" s="17" t="s">
        <v>29</v>
      </c>
      <c r="C35" s="17" t="s">
        <v>708</v>
      </c>
      <c r="D35" s="17" t="s">
        <v>709</v>
      </c>
      <c r="E35" s="17" t="s">
        <v>710</v>
      </c>
      <c r="F35" s="17" t="s">
        <v>80</v>
      </c>
      <c r="G35" s="18">
        <v>900</v>
      </c>
      <c r="H35" s="18">
        <v>20</v>
      </c>
      <c r="I35" s="18">
        <f t="shared" si="0"/>
        <v>880</v>
      </c>
      <c r="J35" s="17" t="s">
        <v>35</v>
      </c>
      <c r="K35" s="17" t="s">
        <v>35</v>
      </c>
      <c r="L35" s="17" t="s">
        <v>626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225</v>
      </c>
      <c r="D36" s="17" t="s">
        <v>711</v>
      </c>
      <c r="E36" s="17" t="s">
        <v>591</v>
      </c>
      <c r="F36" s="18">
        <v>12</v>
      </c>
      <c r="G36" s="18">
        <v>920</v>
      </c>
      <c r="H36" s="18">
        <v>30</v>
      </c>
      <c r="I36" s="18">
        <f t="shared" si="0"/>
        <v>890</v>
      </c>
      <c r="J36" s="17" t="s">
        <v>35</v>
      </c>
      <c r="K36" s="17" t="s">
        <v>35</v>
      </c>
      <c r="L36" s="17" t="s">
        <v>626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712</v>
      </c>
      <c r="D37" s="17" t="s">
        <v>713</v>
      </c>
      <c r="E37" s="17" t="s">
        <v>714</v>
      </c>
      <c r="F37" s="17" t="s">
        <v>106</v>
      </c>
      <c r="G37" s="18">
        <v>900</v>
      </c>
      <c r="H37" s="18">
        <v>30</v>
      </c>
      <c r="I37" s="18">
        <f t="shared" si="0"/>
        <v>870</v>
      </c>
      <c r="J37" s="17" t="s">
        <v>35</v>
      </c>
      <c r="K37" s="17" t="s">
        <v>35</v>
      </c>
      <c r="L37" s="17" t="s">
        <v>626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213</v>
      </c>
      <c r="D38" s="17" t="s">
        <v>715</v>
      </c>
      <c r="E38" s="17" t="s">
        <v>215</v>
      </c>
      <c r="F38" s="17" t="s">
        <v>80</v>
      </c>
      <c r="G38" s="18">
        <v>0</v>
      </c>
      <c r="H38" s="18">
        <v>20</v>
      </c>
      <c r="I38" s="18">
        <f t="shared" si="0"/>
        <v>-20</v>
      </c>
      <c r="J38" s="17" t="s">
        <v>35</v>
      </c>
      <c r="K38" s="17" t="s">
        <v>35</v>
      </c>
      <c r="L38" s="17" t="s">
        <v>626</v>
      </c>
      <c r="M38" s="17"/>
      <c r="N38" s="17"/>
      <c r="O38" s="17"/>
      <c r="P38" s="17"/>
      <c r="Q38" s="17">
        <v>1</v>
      </c>
      <c r="R38" s="19">
        <f t="shared" ref="R38:R39" si="3">H38</f>
        <v>20</v>
      </c>
    </row>
    <row r="39" spans="1:18" customFormat="1" x14ac:dyDescent="0.25">
      <c r="A39" s="17"/>
      <c r="B39" s="17" t="s">
        <v>29</v>
      </c>
      <c r="C39" s="17" t="s">
        <v>464</v>
      </c>
      <c r="D39" s="17" t="s">
        <v>716</v>
      </c>
      <c r="E39" s="17" t="s">
        <v>466</v>
      </c>
      <c r="F39" s="17" t="s">
        <v>80</v>
      </c>
      <c r="G39" s="18">
        <v>0</v>
      </c>
      <c r="H39" s="18">
        <v>20</v>
      </c>
      <c r="I39" s="18">
        <f t="shared" si="0"/>
        <v>-20</v>
      </c>
      <c r="J39" s="17" t="s">
        <v>35</v>
      </c>
      <c r="K39" s="17" t="s">
        <v>35</v>
      </c>
      <c r="L39" s="17" t="s">
        <v>626</v>
      </c>
      <c r="M39" s="17"/>
      <c r="N39" s="17"/>
      <c r="O39" s="17"/>
      <c r="P39" s="17"/>
      <c r="Q39" s="17">
        <v>1</v>
      </c>
      <c r="R39" s="19">
        <f t="shared" si="3"/>
        <v>20</v>
      </c>
    </row>
    <row r="40" spans="1:18" customFormat="1" x14ac:dyDescent="0.25">
      <c r="A40" s="17" t="s">
        <v>61</v>
      </c>
      <c r="B40" s="17" t="s">
        <v>29</v>
      </c>
      <c r="C40" s="17" t="s">
        <v>109</v>
      </c>
      <c r="D40" s="17"/>
      <c r="E40" s="17" t="s">
        <v>110</v>
      </c>
      <c r="F40" s="17" t="s">
        <v>70</v>
      </c>
      <c r="G40" s="18">
        <v>1410</v>
      </c>
      <c r="H40" s="18">
        <v>30</v>
      </c>
      <c r="I40" s="18">
        <f t="shared" si="0"/>
        <v>1380</v>
      </c>
      <c r="J40" s="17" t="s">
        <v>35</v>
      </c>
      <c r="K40" s="17" t="s">
        <v>35</v>
      </c>
      <c r="L40" s="17" t="s">
        <v>626</v>
      </c>
      <c r="M40" s="17"/>
      <c r="N40" s="17"/>
      <c r="O40" s="17"/>
      <c r="P40" s="17"/>
      <c r="Q40" s="17">
        <v>1</v>
      </c>
    </row>
    <row r="41" spans="1:18" customFormat="1" x14ac:dyDescent="0.25">
      <c r="A41" s="17" t="s">
        <v>61</v>
      </c>
      <c r="B41" s="17" t="s">
        <v>29</v>
      </c>
      <c r="C41" s="17" t="s">
        <v>115</v>
      </c>
      <c r="D41" s="17"/>
      <c r="E41" s="17" t="s">
        <v>116</v>
      </c>
      <c r="F41" s="17" t="s">
        <v>70</v>
      </c>
      <c r="G41" s="18">
        <v>0</v>
      </c>
      <c r="H41" s="18">
        <v>30</v>
      </c>
      <c r="I41" s="18">
        <f t="shared" si="0"/>
        <v>-30</v>
      </c>
      <c r="J41" s="17" t="s">
        <v>35</v>
      </c>
      <c r="K41" s="17" t="s">
        <v>35</v>
      </c>
      <c r="L41" s="17" t="s">
        <v>626</v>
      </c>
      <c r="M41" s="17"/>
      <c r="N41" s="17"/>
      <c r="O41" s="17"/>
      <c r="P41" s="17"/>
      <c r="Q41" s="17">
        <v>1</v>
      </c>
      <c r="R41" s="19">
        <f>H41</f>
        <v>30</v>
      </c>
    </row>
    <row r="42" spans="1:18" customFormat="1" x14ac:dyDescent="0.25">
      <c r="A42" s="17" t="s">
        <v>61</v>
      </c>
      <c r="B42" s="17" t="s">
        <v>29</v>
      </c>
      <c r="C42" s="17" t="s">
        <v>111</v>
      </c>
      <c r="D42" s="17"/>
      <c r="E42" s="17" t="s">
        <v>717</v>
      </c>
      <c r="F42" s="17" t="s">
        <v>70</v>
      </c>
      <c r="G42" s="18">
        <v>40</v>
      </c>
      <c r="H42" s="18">
        <v>40</v>
      </c>
      <c r="I42" s="18">
        <f t="shared" si="0"/>
        <v>0</v>
      </c>
      <c r="J42" s="17" t="s">
        <v>35</v>
      </c>
      <c r="K42" s="17" t="s">
        <v>35</v>
      </c>
      <c r="L42" s="17" t="s">
        <v>626</v>
      </c>
      <c r="M42" s="17"/>
      <c r="N42" s="17"/>
      <c r="O42" s="17"/>
      <c r="P42" s="17"/>
      <c r="Q42" s="17">
        <v>1</v>
      </c>
    </row>
    <row r="43" spans="1:18" customFormat="1" x14ac:dyDescent="0.25">
      <c r="A43" s="17" t="s">
        <v>61</v>
      </c>
      <c r="B43" s="17" t="s">
        <v>29</v>
      </c>
      <c r="C43" s="17" t="s">
        <v>107</v>
      </c>
      <c r="D43" s="17"/>
      <c r="E43" s="17" t="s">
        <v>108</v>
      </c>
      <c r="F43" s="17" t="s">
        <v>70</v>
      </c>
      <c r="G43" s="18">
        <v>30</v>
      </c>
      <c r="H43" s="18">
        <v>30</v>
      </c>
      <c r="I43" s="18">
        <f t="shared" si="0"/>
        <v>0</v>
      </c>
      <c r="J43" s="17" t="s">
        <v>35</v>
      </c>
      <c r="K43" s="17" t="s">
        <v>35</v>
      </c>
      <c r="L43" s="17" t="s">
        <v>626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718</v>
      </c>
      <c r="D44" s="17" t="s">
        <v>719</v>
      </c>
      <c r="E44" s="17" t="s">
        <v>720</v>
      </c>
      <c r="F44" s="18">
        <v>1</v>
      </c>
      <c r="G44" s="18">
        <v>0</v>
      </c>
      <c r="H44" s="18">
        <v>25</v>
      </c>
      <c r="I44" s="18">
        <f t="shared" si="0"/>
        <v>-25</v>
      </c>
      <c r="J44" s="17" t="s">
        <v>121</v>
      </c>
      <c r="K44" s="17" t="s">
        <v>35</v>
      </c>
      <c r="L44" s="17" t="s">
        <v>626</v>
      </c>
      <c r="M44" s="17"/>
      <c r="N44" s="17"/>
      <c r="O44" s="17"/>
      <c r="P44" s="17"/>
      <c r="Q44" s="17">
        <v>1</v>
      </c>
      <c r="R44" s="19">
        <f t="shared" ref="R44:R45" si="4">H44</f>
        <v>25</v>
      </c>
    </row>
    <row r="45" spans="1:18" customFormat="1" x14ac:dyDescent="0.25">
      <c r="A45" s="17"/>
      <c r="B45" s="17" t="s">
        <v>29</v>
      </c>
      <c r="C45" s="17" t="s">
        <v>721</v>
      </c>
      <c r="D45" s="17" t="s">
        <v>722</v>
      </c>
      <c r="E45" s="17" t="s">
        <v>723</v>
      </c>
      <c r="F45" s="18">
        <v>3</v>
      </c>
      <c r="G45" s="18">
        <v>0</v>
      </c>
      <c r="H45" s="18">
        <v>25</v>
      </c>
      <c r="I45" s="18">
        <f t="shared" si="0"/>
        <v>-25</v>
      </c>
      <c r="J45" s="17" t="s">
        <v>121</v>
      </c>
      <c r="K45" s="17" t="s">
        <v>35</v>
      </c>
      <c r="L45" s="17" t="s">
        <v>626</v>
      </c>
      <c r="M45" s="17"/>
      <c r="N45" s="17"/>
      <c r="O45" s="17"/>
      <c r="P45" s="17"/>
      <c r="Q45" s="17">
        <v>1</v>
      </c>
      <c r="R45" s="19">
        <f t="shared" si="4"/>
        <v>25</v>
      </c>
    </row>
    <row r="46" spans="1:18" customFormat="1" x14ac:dyDescent="0.25">
      <c r="A46" s="17"/>
      <c r="B46" s="17" t="s">
        <v>29</v>
      </c>
      <c r="C46" s="17" t="s">
        <v>724</v>
      </c>
      <c r="D46" s="17" t="s">
        <v>725</v>
      </c>
      <c r="E46" s="17" t="s">
        <v>726</v>
      </c>
      <c r="F46" s="17" t="s">
        <v>46</v>
      </c>
      <c r="G46" s="18">
        <v>1595</v>
      </c>
      <c r="H46" s="18">
        <v>25</v>
      </c>
      <c r="I46" s="18">
        <f t="shared" si="0"/>
        <v>1570</v>
      </c>
      <c r="J46" s="17" t="s">
        <v>121</v>
      </c>
      <c r="K46" s="17" t="s">
        <v>35</v>
      </c>
      <c r="L46" s="17" t="s">
        <v>626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727</v>
      </c>
      <c r="D47" s="17" t="s">
        <v>728</v>
      </c>
      <c r="E47" s="17" t="s">
        <v>729</v>
      </c>
      <c r="F47" s="18">
        <v>5</v>
      </c>
      <c r="G47" s="18">
        <v>715</v>
      </c>
      <c r="H47" s="18">
        <v>25</v>
      </c>
      <c r="I47" s="18">
        <f t="shared" si="0"/>
        <v>690</v>
      </c>
      <c r="J47" s="17" t="s">
        <v>121</v>
      </c>
      <c r="K47" s="17" t="s">
        <v>35</v>
      </c>
      <c r="L47" s="17" t="s">
        <v>626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730</v>
      </c>
      <c r="D48" s="17" t="s">
        <v>731</v>
      </c>
      <c r="E48" s="17" t="s">
        <v>732</v>
      </c>
      <c r="F48" s="18">
        <v>4</v>
      </c>
      <c r="G48" s="18">
        <v>875</v>
      </c>
      <c r="H48" s="18">
        <v>25</v>
      </c>
      <c r="I48" s="18">
        <f t="shared" si="0"/>
        <v>850</v>
      </c>
      <c r="J48" s="17" t="s">
        <v>121</v>
      </c>
      <c r="K48" s="17" t="s">
        <v>35</v>
      </c>
      <c r="L48" s="17" t="s">
        <v>626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733</v>
      </c>
      <c r="D49" s="17" t="s">
        <v>734</v>
      </c>
      <c r="E49" s="17" t="s">
        <v>735</v>
      </c>
      <c r="F49" s="18">
        <v>5</v>
      </c>
      <c r="G49" s="18">
        <v>1165</v>
      </c>
      <c r="H49" s="18">
        <v>25</v>
      </c>
      <c r="I49" s="18">
        <f t="shared" si="0"/>
        <v>1140</v>
      </c>
      <c r="J49" s="17" t="s">
        <v>121</v>
      </c>
      <c r="K49" s="17" t="s">
        <v>35</v>
      </c>
      <c r="L49" s="17" t="s">
        <v>626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736</v>
      </c>
      <c r="D50" s="17" t="s">
        <v>737</v>
      </c>
      <c r="E50" s="17" t="s">
        <v>738</v>
      </c>
      <c r="F50" s="17" t="s">
        <v>46</v>
      </c>
      <c r="G50" s="18">
        <v>1195</v>
      </c>
      <c r="H50" s="18">
        <v>25</v>
      </c>
      <c r="I50" s="18">
        <f t="shared" si="0"/>
        <v>1170</v>
      </c>
      <c r="J50" s="17" t="s">
        <v>121</v>
      </c>
      <c r="K50" s="17" t="s">
        <v>35</v>
      </c>
      <c r="L50" s="17" t="s">
        <v>626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739</v>
      </c>
      <c r="D51" s="17" t="s">
        <v>740</v>
      </c>
      <c r="E51" s="17" t="s">
        <v>741</v>
      </c>
      <c r="F51" s="18">
        <v>3</v>
      </c>
      <c r="G51" s="18">
        <v>715</v>
      </c>
      <c r="H51" s="18">
        <v>25</v>
      </c>
      <c r="I51" s="18">
        <f t="shared" si="0"/>
        <v>690</v>
      </c>
      <c r="J51" s="17" t="s">
        <v>121</v>
      </c>
      <c r="K51" s="17" t="s">
        <v>35</v>
      </c>
      <c r="L51" s="17" t="s">
        <v>626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742</v>
      </c>
      <c r="D52" s="17" t="s">
        <v>743</v>
      </c>
      <c r="E52" s="17" t="s">
        <v>744</v>
      </c>
      <c r="F52" s="17" t="s">
        <v>46</v>
      </c>
      <c r="G52" s="18">
        <v>1385</v>
      </c>
      <c r="H52" s="18">
        <v>25</v>
      </c>
      <c r="I52" s="18">
        <f t="shared" si="0"/>
        <v>1360</v>
      </c>
      <c r="J52" s="17" t="s">
        <v>121</v>
      </c>
      <c r="K52" s="17" t="s">
        <v>35</v>
      </c>
      <c r="L52" s="17" t="s">
        <v>626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745</v>
      </c>
      <c r="D53" s="17" t="s">
        <v>746</v>
      </c>
      <c r="E53" s="17" t="s">
        <v>747</v>
      </c>
      <c r="F53" s="18">
        <v>10</v>
      </c>
      <c r="G53" s="18">
        <v>805</v>
      </c>
      <c r="H53" s="18">
        <v>25</v>
      </c>
      <c r="I53" s="18">
        <f t="shared" si="0"/>
        <v>780</v>
      </c>
      <c r="J53" s="17" t="s">
        <v>121</v>
      </c>
      <c r="K53" s="17" t="s">
        <v>35</v>
      </c>
      <c r="L53" s="17" t="s">
        <v>626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261</v>
      </c>
      <c r="D54" s="17" t="s">
        <v>748</v>
      </c>
      <c r="E54" s="17" t="s">
        <v>263</v>
      </c>
      <c r="F54" s="17" t="s">
        <v>46</v>
      </c>
      <c r="G54" s="18">
        <v>815</v>
      </c>
      <c r="H54" s="18">
        <v>25</v>
      </c>
      <c r="I54" s="18">
        <f t="shared" si="0"/>
        <v>790</v>
      </c>
      <c r="J54" s="17" t="s">
        <v>121</v>
      </c>
      <c r="K54" s="17" t="s">
        <v>35</v>
      </c>
      <c r="L54" s="17" t="s">
        <v>626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749</v>
      </c>
      <c r="D55" s="17" t="s">
        <v>750</v>
      </c>
      <c r="E55" s="17" t="s">
        <v>751</v>
      </c>
      <c r="F55" s="17" t="s">
        <v>46</v>
      </c>
      <c r="G55" s="18">
        <v>0</v>
      </c>
      <c r="H55" s="18">
        <v>25</v>
      </c>
      <c r="I55" s="18">
        <f t="shared" si="0"/>
        <v>-25</v>
      </c>
      <c r="J55" s="17" t="s">
        <v>121</v>
      </c>
      <c r="K55" s="17" t="s">
        <v>35</v>
      </c>
      <c r="L55" s="17" t="s">
        <v>626</v>
      </c>
      <c r="M55" s="24" t="s">
        <v>752</v>
      </c>
      <c r="N55" s="17"/>
      <c r="O55" s="17"/>
      <c r="P55" s="17"/>
      <c r="Q55" s="17">
        <v>1</v>
      </c>
      <c r="R55" s="19">
        <f>H55</f>
        <v>25</v>
      </c>
    </row>
    <row r="56" spans="1:18" customFormat="1" x14ac:dyDescent="0.25">
      <c r="A56" s="17"/>
      <c r="B56" s="17" t="s">
        <v>29</v>
      </c>
      <c r="C56" s="17" t="s">
        <v>753</v>
      </c>
      <c r="D56" s="17" t="s">
        <v>754</v>
      </c>
      <c r="E56" s="17" t="s">
        <v>755</v>
      </c>
      <c r="F56" s="17" t="s">
        <v>120</v>
      </c>
      <c r="G56" s="18">
        <v>880</v>
      </c>
      <c r="H56" s="18">
        <v>20</v>
      </c>
      <c r="I56" s="18">
        <f t="shared" si="0"/>
        <v>860</v>
      </c>
      <c r="J56" s="17" t="s">
        <v>121</v>
      </c>
      <c r="K56" s="17" t="s">
        <v>35</v>
      </c>
      <c r="L56" s="17" t="s">
        <v>626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756</v>
      </c>
      <c r="D57" s="17" t="s">
        <v>757</v>
      </c>
      <c r="E57" s="17" t="s">
        <v>758</v>
      </c>
      <c r="F57" s="18">
        <v>3</v>
      </c>
      <c r="G57" s="18">
        <v>815</v>
      </c>
      <c r="H57" s="18">
        <v>25</v>
      </c>
      <c r="I57" s="18">
        <f t="shared" si="0"/>
        <v>790</v>
      </c>
      <c r="J57" s="17" t="s">
        <v>121</v>
      </c>
      <c r="K57" s="17" t="s">
        <v>35</v>
      </c>
      <c r="L57" s="17" t="s">
        <v>626</v>
      </c>
      <c r="M57" s="17"/>
      <c r="N57" s="17"/>
      <c r="O57" s="17"/>
      <c r="P57" s="17"/>
      <c r="Q57" s="17">
        <v>1</v>
      </c>
    </row>
    <row r="59" spans="1:18" x14ac:dyDescent="0.25">
      <c r="G59" s="1">
        <f t="shared" ref="G59:R59" si="5">SUBTOTAL(9,G3:G58)</f>
        <v>34555</v>
      </c>
      <c r="H59" s="1">
        <f t="shared" si="5"/>
        <v>1515</v>
      </c>
      <c r="I59" s="1">
        <f t="shared" si="5"/>
        <v>33040</v>
      </c>
      <c r="J59" s="1">
        <f t="shared" si="5"/>
        <v>0</v>
      </c>
      <c r="K59" s="1">
        <f t="shared" si="5"/>
        <v>0</v>
      </c>
      <c r="L59" s="1">
        <f t="shared" si="5"/>
        <v>0</v>
      </c>
      <c r="M59" s="1">
        <f t="shared" si="5"/>
        <v>0</v>
      </c>
      <c r="N59" s="1">
        <f t="shared" si="5"/>
        <v>0</v>
      </c>
      <c r="O59" s="1">
        <f t="shared" si="5"/>
        <v>0</v>
      </c>
      <c r="P59" s="1">
        <f t="shared" si="5"/>
        <v>0</v>
      </c>
      <c r="Q59" s="1">
        <f t="shared" si="5"/>
        <v>55</v>
      </c>
      <c r="R59" s="1">
        <f t="shared" si="5"/>
        <v>400</v>
      </c>
    </row>
    <row r="60" spans="1:18" x14ac:dyDescent="0.25">
      <c r="I60" s="1">
        <v>-690</v>
      </c>
      <c r="J60" s="1" t="s">
        <v>759</v>
      </c>
    </row>
    <row r="63" spans="1:18" ht="20.25" customHeight="1" x14ac:dyDescent="0.3">
      <c r="H63" s="4" t="s">
        <v>620</v>
      </c>
      <c r="I63" s="5" t="s">
        <v>15</v>
      </c>
      <c r="J63" s="6" t="s">
        <v>16</v>
      </c>
    </row>
    <row r="64" spans="1:18" ht="15.75" customHeight="1" x14ac:dyDescent="0.25">
      <c r="H64" s="7" t="s">
        <v>17</v>
      </c>
      <c r="I64" s="8">
        <f>SUM(I58:I62)</f>
        <v>32350</v>
      </c>
      <c r="J64" s="8">
        <f>Q59</f>
        <v>55</v>
      </c>
    </row>
    <row r="65" spans="1:12" x14ac:dyDescent="0.25">
      <c r="H65" s="9" t="s">
        <v>18</v>
      </c>
      <c r="I65" s="10">
        <f>R59</f>
        <v>400</v>
      </c>
      <c r="J65" s="11"/>
    </row>
    <row r="66" spans="1:12" x14ac:dyDescent="0.25">
      <c r="H66" s="9" t="s">
        <v>19</v>
      </c>
      <c r="I66" s="10">
        <f>S58</f>
        <v>0</v>
      </c>
      <c r="J66" s="11"/>
    </row>
    <row r="67" spans="1:12" x14ac:dyDescent="0.25">
      <c r="H67" s="9" t="s">
        <v>20</v>
      </c>
      <c r="I67" s="10">
        <f>T58</f>
        <v>0</v>
      </c>
      <c r="J67" s="11"/>
    </row>
    <row r="68" spans="1:12" x14ac:dyDescent="0.25">
      <c r="H68" s="9" t="s">
        <v>21</v>
      </c>
      <c r="I68" s="10">
        <f>U58</f>
        <v>0</v>
      </c>
      <c r="J68" s="11"/>
    </row>
    <row r="69" spans="1:12" ht="15.75" customHeight="1" x14ac:dyDescent="0.25">
      <c r="H69" s="12" t="s">
        <v>22</v>
      </c>
      <c r="I69" s="13"/>
      <c r="J69" s="13"/>
    </row>
    <row r="70" spans="1:12" ht="15.75" customHeight="1" x14ac:dyDescent="0.25">
      <c r="H70" s="14" t="s">
        <v>23</v>
      </c>
      <c r="I70" s="13"/>
      <c r="J70" s="13"/>
    </row>
    <row r="71" spans="1:12" ht="21" customHeight="1" x14ac:dyDescent="0.35">
      <c r="H71" s="15" t="s">
        <v>24</v>
      </c>
      <c r="I71" s="16">
        <f>SUM(I64:I70)</f>
        <v>32750</v>
      </c>
      <c r="J71" s="16">
        <f>SUM(J64:J68)</f>
        <v>55</v>
      </c>
    </row>
    <row r="73" spans="1:12" x14ac:dyDescent="0.25">
      <c r="A73" s="1" t="s">
        <v>567</v>
      </c>
    </row>
    <row r="74" spans="1:12" x14ac:dyDescent="0.25">
      <c r="A74" s="28" t="s">
        <v>29</v>
      </c>
      <c r="B74" s="28" t="s">
        <v>749</v>
      </c>
      <c r="C74" s="28" t="s">
        <v>750</v>
      </c>
      <c r="D74" s="28" t="s">
        <v>751</v>
      </c>
      <c r="E74" s="28" t="s">
        <v>46</v>
      </c>
      <c r="F74" s="29">
        <v>875</v>
      </c>
      <c r="G74" s="29">
        <v>0</v>
      </c>
      <c r="H74" s="29">
        <f t="shared" ref="H74" si="6">F74-G74</f>
        <v>875</v>
      </c>
      <c r="I74" s="28" t="s">
        <v>121</v>
      </c>
      <c r="J74" s="28" t="s">
        <v>35</v>
      </c>
      <c r="K74" s="28" t="s">
        <v>626</v>
      </c>
      <c r="L74" s="24" t="s">
        <v>752</v>
      </c>
    </row>
  </sheetData>
  <autoFilter ref="A2:P57" xr:uid="{00000000-0009-0000-0000-000006000000}">
    <sortState xmlns:xlrd2="http://schemas.microsoft.com/office/spreadsheetml/2017/richdata2" ref="A3:P57">
      <sortCondition ref="J2:J57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7604-99E6-4C60-A463-8595569A44FA}">
  <dimension ref="A1:R32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280</v>
      </c>
      <c r="C1" s="1" t="s">
        <v>761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762</v>
      </c>
      <c r="D3" s="17" t="s">
        <v>763</v>
      </c>
      <c r="E3" s="17" t="s">
        <v>764</v>
      </c>
      <c r="F3" s="17" t="s">
        <v>179</v>
      </c>
      <c r="G3" s="18">
        <v>925</v>
      </c>
      <c r="H3" s="18">
        <v>35</v>
      </c>
      <c r="I3" s="18">
        <f t="shared" ref="I3:I18" si="0">G3-H3</f>
        <v>890</v>
      </c>
      <c r="J3" s="17" t="s">
        <v>765</v>
      </c>
      <c r="K3" s="17" t="s">
        <v>35</v>
      </c>
      <c r="L3" s="17" t="s">
        <v>766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767</v>
      </c>
      <c r="D4" s="17" t="s">
        <v>768</v>
      </c>
      <c r="E4" s="17" t="s">
        <v>769</v>
      </c>
      <c r="F4" s="17" t="s">
        <v>50</v>
      </c>
      <c r="G4" s="18">
        <v>470</v>
      </c>
      <c r="H4" s="18">
        <v>30</v>
      </c>
      <c r="I4" s="18">
        <f t="shared" si="0"/>
        <v>440</v>
      </c>
      <c r="J4" s="17" t="s">
        <v>765</v>
      </c>
      <c r="K4" s="17" t="s">
        <v>35</v>
      </c>
      <c r="L4" s="17" t="s">
        <v>766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349</v>
      </c>
      <c r="D5" s="17" t="s">
        <v>770</v>
      </c>
      <c r="E5" s="17" t="s">
        <v>351</v>
      </c>
      <c r="F5" s="18">
        <v>8</v>
      </c>
      <c r="G5" s="18">
        <v>880</v>
      </c>
      <c r="H5" s="18">
        <v>30</v>
      </c>
      <c r="I5" s="18">
        <f t="shared" si="0"/>
        <v>850</v>
      </c>
      <c r="J5" s="17" t="s">
        <v>765</v>
      </c>
      <c r="K5" s="17" t="s">
        <v>35</v>
      </c>
      <c r="L5" s="17" t="s">
        <v>766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771</v>
      </c>
      <c r="D6" s="17" t="s">
        <v>772</v>
      </c>
      <c r="E6" s="17" t="s">
        <v>773</v>
      </c>
      <c r="F6" s="18">
        <v>9</v>
      </c>
      <c r="G6" s="18">
        <v>510</v>
      </c>
      <c r="H6" s="18">
        <v>30</v>
      </c>
      <c r="I6" s="18">
        <f t="shared" si="0"/>
        <v>480</v>
      </c>
      <c r="J6" s="17" t="s">
        <v>765</v>
      </c>
      <c r="K6" s="17" t="s">
        <v>35</v>
      </c>
      <c r="L6" s="17" t="s">
        <v>766</v>
      </c>
      <c r="M6" s="17"/>
      <c r="N6" s="17"/>
      <c r="O6" s="17"/>
      <c r="P6" s="17"/>
      <c r="Q6" s="17">
        <v>1</v>
      </c>
    </row>
    <row r="7" spans="1:18" customFormat="1" x14ac:dyDescent="0.25">
      <c r="A7" s="17" t="s">
        <v>61</v>
      </c>
      <c r="B7" s="17" t="s">
        <v>29</v>
      </c>
      <c r="C7" s="17" t="s">
        <v>62</v>
      </c>
      <c r="D7" s="17"/>
      <c r="E7" s="17" t="s">
        <v>63</v>
      </c>
      <c r="F7" s="17" t="s">
        <v>50</v>
      </c>
      <c r="G7" s="18">
        <v>0</v>
      </c>
      <c r="H7" s="18">
        <v>35</v>
      </c>
      <c r="I7" s="18">
        <f t="shared" si="0"/>
        <v>-35</v>
      </c>
      <c r="J7" s="17" t="s">
        <v>765</v>
      </c>
      <c r="K7" s="17" t="s">
        <v>35</v>
      </c>
      <c r="L7" s="17" t="s">
        <v>766</v>
      </c>
      <c r="M7" s="17"/>
      <c r="N7" s="17"/>
      <c r="O7" s="17"/>
      <c r="P7" s="17"/>
      <c r="Q7" s="17">
        <v>1</v>
      </c>
      <c r="R7" s="19">
        <f>H7</f>
        <v>35</v>
      </c>
    </row>
    <row r="8" spans="1:18" customFormat="1" x14ac:dyDescent="0.25">
      <c r="A8" s="17"/>
      <c r="B8" s="17" t="s">
        <v>29</v>
      </c>
      <c r="C8" s="17" t="s">
        <v>530</v>
      </c>
      <c r="D8" s="17" t="s">
        <v>774</v>
      </c>
      <c r="E8" s="17" t="s">
        <v>532</v>
      </c>
      <c r="F8" s="17" t="s">
        <v>80</v>
      </c>
      <c r="G8" s="18">
        <v>1780</v>
      </c>
      <c r="H8" s="18">
        <v>20</v>
      </c>
      <c r="I8" s="18">
        <f t="shared" si="0"/>
        <v>1760</v>
      </c>
      <c r="J8" s="17" t="s">
        <v>35</v>
      </c>
      <c r="K8" s="17" t="s">
        <v>35</v>
      </c>
      <c r="L8" s="17" t="s">
        <v>766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775</v>
      </c>
      <c r="D9" s="17" t="s">
        <v>776</v>
      </c>
      <c r="E9" s="17" t="s">
        <v>777</v>
      </c>
      <c r="F9" s="18">
        <v>2</v>
      </c>
      <c r="G9" s="18">
        <v>1380</v>
      </c>
      <c r="H9" s="18">
        <v>30</v>
      </c>
      <c r="I9" s="18">
        <f t="shared" si="0"/>
        <v>1350</v>
      </c>
      <c r="J9" s="17" t="s">
        <v>35</v>
      </c>
      <c r="K9" s="17" t="s">
        <v>35</v>
      </c>
      <c r="L9" s="17" t="s">
        <v>766</v>
      </c>
      <c r="M9" s="17"/>
      <c r="N9" s="17"/>
      <c r="O9" s="17"/>
      <c r="P9" s="17"/>
      <c r="Q9" s="17">
        <v>1</v>
      </c>
    </row>
    <row r="10" spans="1:18" customFormat="1" x14ac:dyDescent="0.25">
      <c r="A10" s="17" t="s">
        <v>61</v>
      </c>
      <c r="B10" s="17" t="s">
        <v>29</v>
      </c>
      <c r="C10" s="17" t="s">
        <v>107</v>
      </c>
      <c r="D10" s="17"/>
      <c r="E10" s="17" t="s">
        <v>108</v>
      </c>
      <c r="F10" s="17" t="s">
        <v>70</v>
      </c>
      <c r="G10" s="18">
        <v>30</v>
      </c>
      <c r="H10" s="18">
        <v>30</v>
      </c>
      <c r="I10" s="18">
        <f t="shared" si="0"/>
        <v>0</v>
      </c>
      <c r="J10" s="17" t="s">
        <v>35</v>
      </c>
      <c r="K10" s="17" t="s">
        <v>35</v>
      </c>
      <c r="L10" s="17" t="s">
        <v>766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109</v>
      </c>
      <c r="D11" s="17"/>
      <c r="E11" s="17" t="s">
        <v>110</v>
      </c>
      <c r="F11" s="17" t="s">
        <v>70</v>
      </c>
      <c r="G11" s="18">
        <v>4510</v>
      </c>
      <c r="H11" s="18">
        <v>40</v>
      </c>
      <c r="I11" s="18">
        <f t="shared" si="0"/>
        <v>4470</v>
      </c>
      <c r="J11" s="17" t="s">
        <v>35</v>
      </c>
      <c r="K11" s="17" t="s">
        <v>35</v>
      </c>
      <c r="L11" s="17" t="s">
        <v>766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778</v>
      </c>
      <c r="D12" s="17" t="s">
        <v>779</v>
      </c>
      <c r="E12" s="17" t="s">
        <v>780</v>
      </c>
      <c r="F12" s="18">
        <v>1</v>
      </c>
      <c r="G12" s="18">
        <v>515</v>
      </c>
      <c r="H12" s="18">
        <v>25</v>
      </c>
      <c r="I12" s="18">
        <f t="shared" si="0"/>
        <v>490</v>
      </c>
      <c r="J12" s="17" t="s">
        <v>121</v>
      </c>
      <c r="K12" s="17" t="s">
        <v>35</v>
      </c>
      <c r="L12" s="17" t="s">
        <v>766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781</v>
      </c>
      <c r="D13" s="17" t="s">
        <v>782</v>
      </c>
      <c r="E13" s="17" t="s">
        <v>783</v>
      </c>
      <c r="F13" s="17" t="s">
        <v>46</v>
      </c>
      <c r="G13" s="18">
        <v>915</v>
      </c>
      <c r="H13" s="18">
        <v>25</v>
      </c>
      <c r="I13" s="18">
        <f t="shared" si="0"/>
        <v>890</v>
      </c>
      <c r="J13" s="17" t="s">
        <v>121</v>
      </c>
      <c r="K13" s="17" t="s">
        <v>35</v>
      </c>
      <c r="L13" s="17" t="s">
        <v>766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784</v>
      </c>
      <c r="D14" s="17" t="s">
        <v>785</v>
      </c>
      <c r="E14" s="17" t="s">
        <v>786</v>
      </c>
      <c r="F14" s="17" t="s">
        <v>46</v>
      </c>
      <c r="G14" s="18">
        <v>1595</v>
      </c>
      <c r="H14" s="18">
        <v>25</v>
      </c>
      <c r="I14" s="18">
        <f t="shared" si="0"/>
        <v>1570</v>
      </c>
      <c r="J14" s="17" t="s">
        <v>121</v>
      </c>
      <c r="K14" s="17" t="s">
        <v>35</v>
      </c>
      <c r="L14" s="17" t="s">
        <v>766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403</v>
      </c>
      <c r="D15" s="17" t="s">
        <v>787</v>
      </c>
      <c r="E15" s="17" t="s">
        <v>405</v>
      </c>
      <c r="F15" s="18">
        <v>10</v>
      </c>
      <c r="G15" s="18">
        <v>815</v>
      </c>
      <c r="H15" s="18">
        <v>25</v>
      </c>
      <c r="I15" s="18">
        <f t="shared" si="0"/>
        <v>790</v>
      </c>
      <c r="J15" s="17" t="s">
        <v>121</v>
      </c>
      <c r="K15" s="17" t="s">
        <v>35</v>
      </c>
      <c r="L15" s="17" t="s">
        <v>766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788</v>
      </c>
      <c r="D16" s="17" t="s">
        <v>789</v>
      </c>
      <c r="E16" s="17" t="s">
        <v>408</v>
      </c>
      <c r="F16" s="18">
        <v>4</v>
      </c>
      <c r="G16" s="18">
        <v>0</v>
      </c>
      <c r="H16" s="18">
        <v>25</v>
      </c>
      <c r="I16" s="18">
        <f t="shared" si="0"/>
        <v>-25</v>
      </c>
      <c r="J16" s="17" t="s">
        <v>121</v>
      </c>
      <c r="K16" s="17" t="s">
        <v>35</v>
      </c>
      <c r="L16" s="17" t="s">
        <v>766</v>
      </c>
      <c r="M16" s="17"/>
      <c r="N16" s="17"/>
      <c r="O16" s="17"/>
      <c r="P16" s="17"/>
      <c r="Q16" s="17">
        <v>1</v>
      </c>
      <c r="R16" s="19">
        <f>H16</f>
        <v>25</v>
      </c>
    </row>
    <row r="17" spans="1:18" customFormat="1" x14ac:dyDescent="0.25">
      <c r="A17" s="17" t="s">
        <v>61</v>
      </c>
      <c r="B17" s="17" t="s">
        <v>29</v>
      </c>
      <c r="C17" s="17" t="s">
        <v>790</v>
      </c>
      <c r="D17" s="17"/>
      <c r="E17" s="17" t="s">
        <v>791</v>
      </c>
      <c r="F17" s="17" t="s">
        <v>46</v>
      </c>
      <c r="G17" s="18">
        <v>30</v>
      </c>
      <c r="H17" s="18">
        <v>30</v>
      </c>
      <c r="I17" s="18">
        <f t="shared" si="0"/>
        <v>0</v>
      </c>
      <c r="J17" s="17" t="s">
        <v>121</v>
      </c>
      <c r="K17" s="17" t="s">
        <v>35</v>
      </c>
      <c r="L17" s="17" t="s">
        <v>766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61</v>
      </c>
      <c r="B18" s="17" t="s">
        <v>29</v>
      </c>
      <c r="C18" s="17" t="s">
        <v>792</v>
      </c>
      <c r="D18" s="17"/>
      <c r="E18" s="17" t="s">
        <v>793</v>
      </c>
      <c r="F18" s="17" t="s">
        <v>46</v>
      </c>
      <c r="G18" s="18">
        <v>0</v>
      </c>
      <c r="H18" s="18">
        <v>30</v>
      </c>
      <c r="I18" s="18">
        <f t="shared" si="0"/>
        <v>-30</v>
      </c>
      <c r="J18" s="17" t="s">
        <v>121</v>
      </c>
      <c r="K18" s="17" t="s">
        <v>35</v>
      </c>
      <c r="L18" s="17" t="s">
        <v>766</v>
      </c>
      <c r="M18" s="17"/>
      <c r="N18" s="17"/>
      <c r="O18" s="17"/>
      <c r="P18" s="17"/>
      <c r="Q18" s="17">
        <v>1</v>
      </c>
      <c r="R18" s="19">
        <f>H18</f>
        <v>30</v>
      </c>
    </row>
    <row r="20" spans="1:18" x14ac:dyDescent="0.25">
      <c r="G20" s="1">
        <f t="shared" ref="G20:R20" si="1">SUBTOTAL(9,G3:G19)</f>
        <v>14355</v>
      </c>
      <c r="H20" s="1">
        <f t="shared" si="1"/>
        <v>465</v>
      </c>
      <c r="I20" s="1">
        <f t="shared" si="1"/>
        <v>13890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 t="shared" si="1"/>
        <v>0</v>
      </c>
      <c r="N20" s="1">
        <f t="shared" si="1"/>
        <v>0</v>
      </c>
      <c r="O20" s="1">
        <f t="shared" si="1"/>
        <v>0</v>
      </c>
      <c r="P20" s="1">
        <f t="shared" si="1"/>
        <v>0</v>
      </c>
      <c r="Q20" s="1">
        <f t="shared" si="1"/>
        <v>16</v>
      </c>
      <c r="R20" s="1">
        <f t="shared" si="1"/>
        <v>90</v>
      </c>
    </row>
    <row r="24" spans="1:18" ht="20.25" customHeight="1" x14ac:dyDescent="0.3">
      <c r="H24" s="4" t="s">
        <v>760</v>
      </c>
      <c r="I24" s="5" t="s">
        <v>15</v>
      </c>
      <c r="J24" s="6" t="s">
        <v>16</v>
      </c>
    </row>
    <row r="25" spans="1:18" ht="15.75" customHeight="1" x14ac:dyDescent="0.25">
      <c r="H25" s="7" t="s">
        <v>17</v>
      </c>
      <c r="I25" s="8">
        <f>SUM(I19:I23)</f>
        <v>13890</v>
      </c>
      <c r="J25" s="8">
        <f>Q20</f>
        <v>16</v>
      </c>
    </row>
    <row r="26" spans="1:18" x14ac:dyDescent="0.25">
      <c r="H26" s="9" t="s">
        <v>18</v>
      </c>
      <c r="I26" s="10">
        <f>R20</f>
        <v>90</v>
      </c>
      <c r="J26" s="11"/>
    </row>
    <row r="27" spans="1:18" x14ac:dyDescent="0.25">
      <c r="H27" s="9" t="s">
        <v>19</v>
      </c>
      <c r="I27" s="10">
        <f>S19</f>
        <v>0</v>
      </c>
      <c r="J27" s="11"/>
    </row>
    <row r="28" spans="1:18" x14ac:dyDescent="0.25">
      <c r="H28" s="9" t="s">
        <v>20</v>
      </c>
      <c r="I28" s="10">
        <f>T19</f>
        <v>0</v>
      </c>
      <c r="J28" s="11"/>
    </row>
    <row r="29" spans="1:18" x14ac:dyDescent="0.25">
      <c r="H29" s="9" t="s">
        <v>21</v>
      </c>
      <c r="I29" s="10">
        <f>U19</f>
        <v>0</v>
      </c>
      <c r="J29" s="11"/>
    </row>
    <row r="30" spans="1:18" ht="15.75" customHeight="1" x14ac:dyDescent="0.25">
      <c r="H30" s="12" t="s">
        <v>22</v>
      </c>
      <c r="I30" s="13"/>
      <c r="J30" s="13"/>
    </row>
    <row r="31" spans="1:18" ht="15.75" customHeight="1" x14ac:dyDescent="0.25">
      <c r="H31" s="14" t="s">
        <v>23</v>
      </c>
      <c r="I31" s="13"/>
      <c r="J31" s="13"/>
    </row>
    <row r="32" spans="1:18" ht="21" customHeight="1" x14ac:dyDescent="0.35">
      <c r="H32" s="15" t="s">
        <v>24</v>
      </c>
      <c r="I32" s="16">
        <f>SUM(I25:I31)</f>
        <v>13980</v>
      </c>
      <c r="J32" s="16">
        <f>SUM(J25:J29)</f>
        <v>16</v>
      </c>
    </row>
  </sheetData>
  <autoFilter ref="A2:P18" xr:uid="{00000000-0009-0000-0000-000006000000}">
    <sortState xmlns:xlrd2="http://schemas.microsoft.com/office/spreadsheetml/2017/richdata2" ref="A3:P18">
      <sortCondition ref="J2:J1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13190-41F6-4671-96FD-CD8A7FA4C1C7}">
  <dimension ref="A1:R54"/>
  <sheetViews>
    <sheetView zoomScale="82" zoomScaleNormal="80" workbookViewId="0">
      <selection activeCell="I40" sqref="I40:J4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347</v>
      </c>
      <c r="C1" s="1" t="s">
        <v>795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796</v>
      </c>
      <c r="D3" s="17" t="s">
        <v>797</v>
      </c>
      <c r="E3" s="17" t="s">
        <v>798</v>
      </c>
      <c r="F3" s="17" t="s">
        <v>33</v>
      </c>
      <c r="G3" s="18">
        <v>0</v>
      </c>
      <c r="H3" s="18">
        <v>25</v>
      </c>
      <c r="I3" s="18">
        <f t="shared" ref="I3:I37" si="0">G3-H3</f>
        <v>-25</v>
      </c>
      <c r="J3" s="17" t="s">
        <v>799</v>
      </c>
      <c r="K3" s="17" t="s">
        <v>35</v>
      </c>
      <c r="L3" s="17" t="s">
        <v>800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29</v>
      </c>
      <c r="C4" s="17" t="s">
        <v>283</v>
      </c>
      <c r="D4" s="17" t="s">
        <v>801</v>
      </c>
      <c r="E4" s="17" t="s">
        <v>285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799</v>
      </c>
      <c r="K4" s="17" t="s">
        <v>35</v>
      </c>
      <c r="L4" s="17" t="s">
        <v>800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802</v>
      </c>
      <c r="D5" s="17" t="s">
        <v>803</v>
      </c>
      <c r="E5" s="17" t="s">
        <v>804</v>
      </c>
      <c r="F5" s="17" t="s">
        <v>57</v>
      </c>
      <c r="G5" s="18">
        <v>775</v>
      </c>
      <c r="H5" s="18">
        <v>35</v>
      </c>
      <c r="I5" s="18">
        <f t="shared" si="0"/>
        <v>740</v>
      </c>
      <c r="J5" s="17" t="s">
        <v>799</v>
      </c>
      <c r="K5" s="17" t="s">
        <v>35</v>
      </c>
      <c r="L5" s="17" t="s">
        <v>800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805</v>
      </c>
      <c r="D6" s="17" t="s">
        <v>806</v>
      </c>
      <c r="E6" s="17" t="s">
        <v>807</v>
      </c>
      <c r="F6" s="18">
        <v>9</v>
      </c>
      <c r="G6" s="18">
        <v>750</v>
      </c>
      <c r="H6" s="18">
        <v>30</v>
      </c>
      <c r="I6" s="18">
        <f t="shared" si="0"/>
        <v>720</v>
      </c>
      <c r="J6" s="17" t="s">
        <v>799</v>
      </c>
      <c r="K6" s="17" t="s">
        <v>35</v>
      </c>
      <c r="L6" s="17" t="s">
        <v>800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808</v>
      </c>
      <c r="D7" s="17" t="s">
        <v>809</v>
      </c>
      <c r="E7" s="17" t="s">
        <v>810</v>
      </c>
      <c r="F7" s="17" t="s">
        <v>50</v>
      </c>
      <c r="G7" s="18">
        <v>1110</v>
      </c>
      <c r="H7" s="18">
        <v>30</v>
      </c>
      <c r="I7" s="18">
        <f t="shared" si="0"/>
        <v>1080</v>
      </c>
      <c r="J7" s="17" t="s">
        <v>799</v>
      </c>
      <c r="K7" s="17" t="s">
        <v>35</v>
      </c>
      <c r="L7" s="17" t="s">
        <v>800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811</v>
      </c>
      <c r="D8" s="17" t="s">
        <v>812</v>
      </c>
      <c r="E8" s="17" t="s">
        <v>813</v>
      </c>
      <c r="F8" s="18">
        <v>8</v>
      </c>
      <c r="G8" s="18">
        <v>960</v>
      </c>
      <c r="H8" s="18">
        <v>30</v>
      </c>
      <c r="I8" s="18">
        <f t="shared" si="0"/>
        <v>930</v>
      </c>
      <c r="J8" s="17" t="s">
        <v>799</v>
      </c>
      <c r="K8" s="17" t="s">
        <v>35</v>
      </c>
      <c r="L8" s="17" t="s">
        <v>800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814</v>
      </c>
      <c r="D9" s="17" t="s">
        <v>815</v>
      </c>
      <c r="E9" s="17" t="s">
        <v>816</v>
      </c>
      <c r="F9" s="17" t="s">
        <v>50</v>
      </c>
      <c r="G9" s="18">
        <v>400</v>
      </c>
      <c r="H9" s="18">
        <v>30</v>
      </c>
      <c r="I9" s="18">
        <f t="shared" si="0"/>
        <v>370</v>
      </c>
      <c r="J9" s="17" t="s">
        <v>799</v>
      </c>
      <c r="K9" s="17" t="s">
        <v>35</v>
      </c>
      <c r="L9" s="17" t="s">
        <v>800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817</v>
      </c>
      <c r="D10" s="17" t="s">
        <v>818</v>
      </c>
      <c r="E10" s="17" t="s">
        <v>819</v>
      </c>
      <c r="F10" s="18">
        <v>7</v>
      </c>
      <c r="G10" s="18">
        <v>1530</v>
      </c>
      <c r="H10" s="18">
        <v>30</v>
      </c>
      <c r="I10" s="18">
        <f t="shared" si="0"/>
        <v>1500</v>
      </c>
      <c r="J10" s="17" t="s">
        <v>799</v>
      </c>
      <c r="K10" s="17" t="s">
        <v>35</v>
      </c>
      <c r="L10" s="17" t="s">
        <v>800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820</v>
      </c>
      <c r="D11" s="17" t="s">
        <v>821</v>
      </c>
      <c r="E11" s="17" t="s">
        <v>822</v>
      </c>
      <c r="F11" s="17" t="s">
        <v>57</v>
      </c>
      <c r="G11" s="18">
        <v>895</v>
      </c>
      <c r="H11" s="18">
        <v>35</v>
      </c>
      <c r="I11" s="18">
        <f t="shared" si="0"/>
        <v>860</v>
      </c>
      <c r="J11" s="17" t="s">
        <v>799</v>
      </c>
      <c r="K11" s="17" t="s">
        <v>35</v>
      </c>
      <c r="L11" s="17" t="s">
        <v>800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823</v>
      </c>
      <c r="D12" s="17" t="s">
        <v>824</v>
      </c>
      <c r="E12" s="17" t="s">
        <v>825</v>
      </c>
      <c r="F12" s="17" t="s">
        <v>50</v>
      </c>
      <c r="G12" s="18">
        <v>910</v>
      </c>
      <c r="H12" s="18">
        <v>30</v>
      </c>
      <c r="I12" s="18">
        <f t="shared" si="0"/>
        <v>880</v>
      </c>
      <c r="J12" s="17" t="s">
        <v>799</v>
      </c>
      <c r="K12" s="17" t="s">
        <v>35</v>
      </c>
      <c r="L12" s="17" t="s">
        <v>800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826</v>
      </c>
      <c r="D13" s="17" t="s">
        <v>827</v>
      </c>
      <c r="E13" s="17" t="s">
        <v>828</v>
      </c>
      <c r="F13" s="17" t="s">
        <v>50</v>
      </c>
      <c r="G13" s="18">
        <v>750</v>
      </c>
      <c r="H13" s="18">
        <v>30</v>
      </c>
      <c r="I13" s="18">
        <f t="shared" si="0"/>
        <v>720</v>
      </c>
      <c r="J13" s="17" t="s">
        <v>799</v>
      </c>
      <c r="K13" s="17" t="s">
        <v>35</v>
      </c>
      <c r="L13" s="17" t="s">
        <v>800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829</v>
      </c>
      <c r="D14" s="17" t="s">
        <v>830</v>
      </c>
      <c r="E14" s="17" t="s">
        <v>831</v>
      </c>
      <c r="F14" s="17" t="s">
        <v>179</v>
      </c>
      <c r="G14" s="18">
        <v>1715</v>
      </c>
      <c r="H14" s="18">
        <v>35</v>
      </c>
      <c r="I14" s="18">
        <f t="shared" si="0"/>
        <v>1680</v>
      </c>
      <c r="J14" s="17" t="s">
        <v>799</v>
      </c>
      <c r="K14" s="17" t="s">
        <v>35</v>
      </c>
      <c r="L14" s="17" t="s">
        <v>800</v>
      </c>
      <c r="M14" s="17"/>
      <c r="N14" s="17"/>
      <c r="O14" s="17"/>
      <c r="P14" s="17"/>
      <c r="Q14" s="17">
        <v>1</v>
      </c>
    </row>
    <row r="15" spans="1:18" customFormat="1" x14ac:dyDescent="0.25">
      <c r="A15" s="17" t="s">
        <v>61</v>
      </c>
      <c r="B15" s="17" t="s">
        <v>29</v>
      </c>
      <c r="C15" s="17" t="s">
        <v>186</v>
      </c>
      <c r="D15" s="17"/>
      <c r="E15" s="17" t="s">
        <v>678</v>
      </c>
      <c r="F15" s="18">
        <v>6</v>
      </c>
      <c r="G15" s="18">
        <v>35</v>
      </c>
      <c r="H15" s="18">
        <v>35</v>
      </c>
      <c r="I15" s="18">
        <f t="shared" si="0"/>
        <v>0</v>
      </c>
      <c r="J15" s="17" t="s">
        <v>799</v>
      </c>
      <c r="K15" s="17" t="s">
        <v>35</v>
      </c>
      <c r="L15" s="17" t="s">
        <v>800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832</v>
      </c>
      <c r="D16" s="17" t="s">
        <v>833</v>
      </c>
      <c r="E16" s="17" t="s">
        <v>834</v>
      </c>
      <c r="F16" s="18">
        <v>2</v>
      </c>
      <c r="G16" s="18">
        <v>520</v>
      </c>
      <c r="H16" s="18">
        <v>30</v>
      </c>
      <c r="I16" s="18">
        <f t="shared" si="0"/>
        <v>490</v>
      </c>
      <c r="J16" s="17" t="s">
        <v>35</v>
      </c>
      <c r="K16" s="17" t="s">
        <v>35</v>
      </c>
      <c r="L16" s="17" t="s">
        <v>800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712</v>
      </c>
      <c r="D17" s="17" t="s">
        <v>835</v>
      </c>
      <c r="E17" s="17" t="s">
        <v>836</v>
      </c>
      <c r="F17" s="17" t="s">
        <v>106</v>
      </c>
      <c r="G17" s="18">
        <v>2010</v>
      </c>
      <c r="H17" s="18">
        <v>30</v>
      </c>
      <c r="I17" s="18">
        <f t="shared" si="0"/>
        <v>1980</v>
      </c>
      <c r="J17" s="17" t="s">
        <v>35</v>
      </c>
      <c r="K17" s="17" t="s">
        <v>35</v>
      </c>
      <c r="L17" s="17" t="s">
        <v>800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837</v>
      </c>
      <c r="D18" s="17" t="s">
        <v>838</v>
      </c>
      <c r="E18" s="17" t="s">
        <v>839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800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29</v>
      </c>
      <c r="C19" s="17" t="s">
        <v>840</v>
      </c>
      <c r="D19" s="17" t="s">
        <v>841</v>
      </c>
      <c r="E19" s="17" t="s">
        <v>842</v>
      </c>
      <c r="F19" s="17" t="s">
        <v>106</v>
      </c>
      <c r="G19" s="18">
        <v>810</v>
      </c>
      <c r="H19" s="18">
        <v>30</v>
      </c>
      <c r="I19" s="18">
        <f t="shared" si="0"/>
        <v>780</v>
      </c>
      <c r="J19" s="17" t="s">
        <v>35</v>
      </c>
      <c r="K19" s="17" t="s">
        <v>35</v>
      </c>
      <c r="L19" s="17" t="s">
        <v>800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843</v>
      </c>
      <c r="D20" s="17" t="s">
        <v>844</v>
      </c>
      <c r="E20" s="17" t="s">
        <v>845</v>
      </c>
      <c r="F20" s="18">
        <v>2</v>
      </c>
      <c r="G20" s="18">
        <v>1770</v>
      </c>
      <c r="H20" s="18">
        <v>30</v>
      </c>
      <c r="I20" s="18">
        <f t="shared" si="0"/>
        <v>1740</v>
      </c>
      <c r="J20" s="17" t="s">
        <v>35</v>
      </c>
      <c r="K20" s="17" t="s">
        <v>35</v>
      </c>
      <c r="L20" s="17" t="s">
        <v>800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846</v>
      </c>
      <c r="D21" s="17" t="s">
        <v>847</v>
      </c>
      <c r="E21" s="17" t="s">
        <v>848</v>
      </c>
      <c r="F21" s="18">
        <v>2</v>
      </c>
      <c r="G21" s="18">
        <v>960</v>
      </c>
      <c r="H21" s="18">
        <v>30</v>
      </c>
      <c r="I21" s="18">
        <f t="shared" si="0"/>
        <v>930</v>
      </c>
      <c r="J21" s="17" t="s">
        <v>35</v>
      </c>
      <c r="K21" s="17" t="s">
        <v>35</v>
      </c>
      <c r="L21" s="17" t="s">
        <v>800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470</v>
      </c>
      <c r="D22" s="17" t="s">
        <v>849</v>
      </c>
      <c r="E22" s="17" t="s">
        <v>472</v>
      </c>
      <c r="F22" s="18">
        <v>2</v>
      </c>
      <c r="G22" s="18">
        <v>910</v>
      </c>
      <c r="H22" s="18">
        <v>30</v>
      </c>
      <c r="I22" s="18">
        <f t="shared" si="0"/>
        <v>880</v>
      </c>
      <c r="J22" s="17" t="s">
        <v>35</v>
      </c>
      <c r="K22" s="17" t="s">
        <v>35</v>
      </c>
      <c r="L22" s="17" t="s">
        <v>800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850</v>
      </c>
      <c r="D23" s="17" t="s">
        <v>851</v>
      </c>
      <c r="E23" s="17" t="s">
        <v>852</v>
      </c>
      <c r="F23" s="17" t="s">
        <v>106</v>
      </c>
      <c r="G23" s="18">
        <v>750</v>
      </c>
      <c r="H23" s="18">
        <v>30</v>
      </c>
      <c r="I23" s="18">
        <f t="shared" si="0"/>
        <v>720</v>
      </c>
      <c r="J23" s="17" t="s">
        <v>35</v>
      </c>
      <c r="K23" s="17" t="s">
        <v>35</v>
      </c>
      <c r="L23" s="17" t="s">
        <v>800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530</v>
      </c>
      <c r="D24" s="17" t="s">
        <v>853</v>
      </c>
      <c r="E24" s="17" t="s">
        <v>532</v>
      </c>
      <c r="F24" s="17" t="s">
        <v>80</v>
      </c>
      <c r="G24" s="18">
        <v>1780</v>
      </c>
      <c r="H24" s="18">
        <v>20</v>
      </c>
      <c r="I24" s="18">
        <f t="shared" si="0"/>
        <v>1760</v>
      </c>
      <c r="J24" s="17" t="s">
        <v>35</v>
      </c>
      <c r="K24" s="17" t="s">
        <v>35</v>
      </c>
      <c r="L24" s="17" t="s">
        <v>800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210</v>
      </c>
      <c r="D25" s="17" t="s">
        <v>854</v>
      </c>
      <c r="E25" s="17" t="s">
        <v>212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35</v>
      </c>
      <c r="K25" s="17" t="s">
        <v>35</v>
      </c>
      <c r="L25" s="17" t="s">
        <v>800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29</v>
      </c>
      <c r="C26" s="17" t="s">
        <v>855</v>
      </c>
      <c r="D26" s="17" t="s">
        <v>856</v>
      </c>
      <c r="E26" s="17" t="s">
        <v>857</v>
      </c>
      <c r="F26" s="17" t="s">
        <v>80</v>
      </c>
      <c r="G26" s="18">
        <v>870</v>
      </c>
      <c r="H26" s="18">
        <v>20</v>
      </c>
      <c r="I26" s="18">
        <f t="shared" si="0"/>
        <v>850</v>
      </c>
      <c r="J26" s="17" t="s">
        <v>35</v>
      </c>
      <c r="K26" s="17" t="s">
        <v>35</v>
      </c>
      <c r="L26" s="17" t="s">
        <v>800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115</v>
      </c>
      <c r="D27" s="17"/>
      <c r="E27" s="17" t="s">
        <v>116</v>
      </c>
      <c r="F27" s="17" t="s">
        <v>70</v>
      </c>
      <c r="G27" s="18">
        <v>0</v>
      </c>
      <c r="H27" s="18">
        <v>35</v>
      </c>
      <c r="I27" s="18">
        <f t="shared" si="0"/>
        <v>-35</v>
      </c>
      <c r="J27" s="17" t="s">
        <v>35</v>
      </c>
      <c r="K27" s="17" t="s">
        <v>35</v>
      </c>
      <c r="L27" s="17" t="s">
        <v>800</v>
      </c>
      <c r="M27" s="17"/>
      <c r="N27" s="17"/>
      <c r="O27" s="17"/>
      <c r="P27" s="17"/>
      <c r="Q27" s="17">
        <v>1</v>
      </c>
      <c r="R27" s="19">
        <f>H27</f>
        <v>35</v>
      </c>
    </row>
    <row r="28" spans="1:18" customFormat="1" x14ac:dyDescent="0.25">
      <c r="A28" s="17" t="s">
        <v>61</v>
      </c>
      <c r="B28" s="17" t="s">
        <v>29</v>
      </c>
      <c r="C28" s="17" t="s">
        <v>109</v>
      </c>
      <c r="D28" s="17"/>
      <c r="E28" s="17" t="s">
        <v>110</v>
      </c>
      <c r="F28" s="17" t="s">
        <v>70</v>
      </c>
      <c r="G28" s="18">
        <v>1210</v>
      </c>
      <c r="H28" s="18">
        <v>30</v>
      </c>
      <c r="I28" s="18">
        <f t="shared" si="0"/>
        <v>1180</v>
      </c>
      <c r="J28" s="17" t="s">
        <v>35</v>
      </c>
      <c r="K28" s="17" t="s">
        <v>35</v>
      </c>
      <c r="L28" s="17" t="s">
        <v>800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111</v>
      </c>
      <c r="D29" s="17"/>
      <c r="E29" s="17" t="s">
        <v>858</v>
      </c>
      <c r="F29" s="18">
        <v>12</v>
      </c>
      <c r="G29" s="18">
        <v>45</v>
      </c>
      <c r="H29" s="18">
        <v>45</v>
      </c>
      <c r="I29" s="18">
        <f t="shared" si="0"/>
        <v>0</v>
      </c>
      <c r="J29" s="17" t="s">
        <v>35</v>
      </c>
      <c r="K29" s="17" t="s">
        <v>35</v>
      </c>
      <c r="L29" s="17" t="s">
        <v>800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859</v>
      </c>
      <c r="D30" s="17" t="s">
        <v>860</v>
      </c>
      <c r="E30" s="17" t="s">
        <v>861</v>
      </c>
      <c r="F30" s="18">
        <v>11</v>
      </c>
      <c r="G30" s="18">
        <v>955</v>
      </c>
      <c r="H30" s="18">
        <v>25</v>
      </c>
      <c r="I30" s="18">
        <f t="shared" si="0"/>
        <v>930</v>
      </c>
      <c r="J30" s="17" t="s">
        <v>121</v>
      </c>
      <c r="K30" s="17" t="s">
        <v>35</v>
      </c>
      <c r="L30" s="17" t="s">
        <v>800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862</v>
      </c>
      <c r="D31" s="17" t="s">
        <v>863</v>
      </c>
      <c r="E31" s="17" t="s">
        <v>864</v>
      </c>
      <c r="F31" s="18">
        <v>5</v>
      </c>
      <c r="G31" s="18">
        <v>875</v>
      </c>
      <c r="H31" s="18">
        <v>25</v>
      </c>
      <c r="I31" s="18">
        <f t="shared" si="0"/>
        <v>850</v>
      </c>
      <c r="J31" s="17" t="s">
        <v>121</v>
      </c>
      <c r="K31" s="17" t="s">
        <v>35</v>
      </c>
      <c r="L31" s="17" t="s">
        <v>800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865</v>
      </c>
      <c r="D32" s="17" t="s">
        <v>866</v>
      </c>
      <c r="E32" s="17" t="s">
        <v>867</v>
      </c>
      <c r="F32" s="18">
        <v>10</v>
      </c>
      <c r="G32" s="18">
        <v>605</v>
      </c>
      <c r="H32" s="18">
        <v>25</v>
      </c>
      <c r="I32" s="18">
        <f t="shared" si="0"/>
        <v>580</v>
      </c>
      <c r="J32" s="17" t="s">
        <v>121</v>
      </c>
      <c r="K32" s="17" t="s">
        <v>35</v>
      </c>
      <c r="L32" s="17" t="s">
        <v>800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868</v>
      </c>
      <c r="D33" s="17" t="s">
        <v>869</v>
      </c>
      <c r="E33" s="17" t="s">
        <v>870</v>
      </c>
      <c r="F33" s="18">
        <v>11</v>
      </c>
      <c r="G33" s="18">
        <v>0</v>
      </c>
      <c r="H33" s="18">
        <v>25</v>
      </c>
      <c r="I33" s="18">
        <f t="shared" si="0"/>
        <v>-25</v>
      </c>
      <c r="J33" s="17" t="s">
        <v>121</v>
      </c>
      <c r="K33" s="17" t="s">
        <v>35</v>
      </c>
      <c r="L33" s="17" t="s">
        <v>800</v>
      </c>
      <c r="M33" s="24" t="s">
        <v>871</v>
      </c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29</v>
      </c>
      <c r="C34" s="17" t="s">
        <v>872</v>
      </c>
      <c r="D34" s="17" t="s">
        <v>873</v>
      </c>
      <c r="E34" s="17" t="s">
        <v>874</v>
      </c>
      <c r="F34" s="18">
        <v>3</v>
      </c>
      <c r="G34" s="18">
        <v>905</v>
      </c>
      <c r="H34" s="18">
        <v>25</v>
      </c>
      <c r="I34" s="18">
        <f t="shared" si="0"/>
        <v>880</v>
      </c>
      <c r="J34" s="17" t="s">
        <v>121</v>
      </c>
      <c r="K34" s="17" t="s">
        <v>35</v>
      </c>
      <c r="L34" s="17" t="s">
        <v>800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875</v>
      </c>
      <c r="D35" s="17" t="s">
        <v>876</v>
      </c>
      <c r="E35" s="17" t="s">
        <v>877</v>
      </c>
      <c r="F35" s="17" t="s">
        <v>46</v>
      </c>
      <c r="G35" s="18">
        <v>2870</v>
      </c>
      <c r="H35" s="18">
        <v>30</v>
      </c>
      <c r="I35" s="18">
        <f t="shared" si="0"/>
        <v>2840</v>
      </c>
      <c r="J35" s="17" t="s">
        <v>121</v>
      </c>
      <c r="K35" s="17" t="s">
        <v>35</v>
      </c>
      <c r="L35" s="17" t="s">
        <v>800</v>
      </c>
      <c r="M35" s="24" t="s">
        <v>313</v>
      </c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878</v>
      </c>
      <c r="D36" s="17" t="s">
        <v>879</v>
      </c>
      <c r="E36" s="17" t="s">
        <v>880</v>
      </c>
      <c r="F36" s="18">
        <v>10</v>
      </c>
      <c r="G36" s="18">
        <v>795</v>
      </c>
      <c r="H36" s="18">
        <v>25</v>
      </c>
      <c r="I36" s="18">
        <f t="shared" si="0"/>
        <v>770</v>
      </c>
      <c r="J36" s="17" t="s">
        <v>121</v>
      </c>
      <c r="K36" s="17" t="s">
        <v>35</v>
      </c>
      <c r="L36" s="17" t="s">
        <v>800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881</v>
      </c>
      <c r="D37" s="17" t="s">
        <v>882</v>
      </c>
      <c r="E37" s="17" t="s">
        <v>883</v>
      </c>
      <c r="F37" s="18">
        <v>1</v>
      </c>
      <c r="G37" s="18">
        <v>765</v>
      </c>
      <c r="H37" s="18">
        <v>25</v>
      </c>
      <c r="I37" s="18">
        <f t="shared" si="0"/>
        <v>740</v>
      </c>
      <c r="J37" s="17" t="s">
        <v>121</v>
      </c>
      <c r="K37" s="17" t="s">
        <v>35</v>
      </c>
      <c r="L37" s="17" t="s">
        <v>800</v>
      </c>
      <c r="M37" s="17"/>
      <c r="N37" s="17"/>
      <c r="O37" s="17"/>
      <c r="P37" s="17"/>
      <c r="Q37" s="17">
        <v>1</v>
      </c>
    </row>
    <row r="39" spans="1:18" x14ac:dyDescent="0.25">
      <c r="G39" s="1">
        <f t="shared" ref="G39:R39" si="1">SUBTOTAL(9,G3:G38)</f>
        <v>30615</v>
      </c>
      <c r="H39" s="1">
        <f t="shared" si="1"/>
        <v>1030</v>
      </c>
      <c r="I39" s="1">
        <f t="shared" si="1"/>
        <v>29585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  <c r="R39" s="1">
        <f t="shared" si="1"/>
        <v>175</v>
      </c>
    </row>
    <row r="43" spans="1:18" ht="20.25" customHeight="1" x14ac:dyDescent="0.3">
      <c r="H43" s="4" t="s">
        <v>794</v>
      </c>
      <c r="I43" s="5" t="s">
        <v>15</v>
      </c>
      <c r="J43" s="6" t="s">
        <v>16</v>
      </c>
    </row>
    <row r="44" spans="1:18" ht="15.75" customHeight="1" x14ac:dyDescent="0.25">
      <c r="H44" s="7" t="s">
        <v>17</v>
      </c>
      <c r="I44" s="8">
        <f>SUM(I38:I42)</f>
        <v>29585</v>
      </c>
      <c r="J44" s="8">
        <f>Q39</f>
        <v>35</v>
      </c>
    </row>
    <row r="45" spans="1:18" x14ac:dyDescent="0.25">
      <c r="H45" s="9" t="s">
        <v>18</v>
      </c>
      <c r="I45" s="10">
        <f>R39</f>
        <v>175</v>
      </c>
      <c r="J45" s="11"/>
    </row>
    <row r="46" spans="1:18" x14ac:dyDescent="0.25">
      <c r="H46" s="9" t="s">
        <v>19</v>
      </c>
      <c r="I46" s="10">
        <f>S38</f>
        <v>0</v>
      </c>
      <c r="J46" s="11"/>
    </row>
    <row r="47" spans="1:18" x14ac:dyDescent="0.25">
      <c r="H47" s="9" t="s">
        <v>20</v>
      </c>
      <c r="I47" s="10">
        <f>T38</f>
        <v>0</v>
      </c>
      <c r="J47" s="11"/>
    </row>
    <row r="48" spans="1:18" x14ac:dyDescent="0.25">
      <c r="H48" s="9" t="s">
        <v>21</v>
      </c>
      <c r="I48" s="10">
        <f>U38</f>
        <v>0</v>
      </c>
      <c r="J48" s="11"/>
    </row>
    <row r="49" spans="1:12" ht="15.75" customHeight="1" x14ac:dyDescent="0.25">
      <c r="H49" s="12" t="s">
        <v>22</v>
      </c>
      <c r="I49" s="13"/>
      <c r="J49" s="13"/>
    </row>
    <row r="50" spans="1:12" ht="15.75" customHeight="1" x14ac:dyDescent="0.25">
      <c r="H50" s="14" t="s">
        <v>23</v>
      </c>
      <c r="I50" s="13"/>
      <c r="J50" s="13"/>
    </row>
    <row r="51" spans="1:12" ht="21" customHeight="1" x14ac:dyDescent="0.35">
      <c r="H51" s="15" t="s">
        <v>24</v>
      </c>
      <c r="I51" s="16">
        <f>SUM(I44:I50)</f>
        <v>29760</v>
      </c>
      <c r="J51" s="16">
        <f>SUM(J44:J48)</f>
        <v>35</v>
      </c>
    </row>
    <row r="53" spans="1:12" x14ac:dyDescent="0.25">
      <c r="A53" s="1" t="s">
        <v>567</v>
      </c>
    </row>
    <row r="54" spans="1:12" x14ac:dyDescent="0.25">
      <c r="A54" s="28" t="s">
        <v>29</v>
      </c>
      <c r="B54" s="28" t="s">
        <v>868</v>
      </c>
      <c r="C54" s="28" t="s">
        <v>869</v>
      </c>
      <c r="D54" s="28" t="s">
        <v>870</v>
      </c>
      <c r="E54" s="29">
        <v>11</v>
      </c>
      <c r="F54" s="29">
        <v>885</v>
      </c>
      <c r="G54" s="29">
        <v>0</v>
      </c>
      <c r="H54" s="29">
        <f t="shared" ref="H54" si="2">F54-G54</f>
        <v>885</v>
      </c>
      <c r="I54" s="28" t="s">
        <v>121</v>
      </c>
      <c r="J54" s="28" t="s">
        <v>35</v>
      </c>
      <c r="K54" s="28" t="s">
        <v>800</v>
      </c>
      <c r="L54" s="24" t="s">
        <v>871</v>
      </c>
    </row>
  </sheetData>
  <autoFilter ref="A2:P37" xr:uid="{00000000-0009-0000-0000-000006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6A8C8-D72B-4FA0-99D9-C010388D65BC}">
  <dimension ref="A1:R53"/>
  <sheetViews>
    <sheetView zoomScale="82" zoomScaleNormal="80" workbookViewId="0">
      <selection activeCell="B37" sqref="B37:L3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418</v>
      </c>
      <c r="C1" s="1" t="s">
        <v>885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29</v>
      </c>
      <c r="C3" s="20" t="s">
        <v>808</v>
      </c>
      <c r="D3" s="20" t="s">
        <v>886</v>
      </c>
      <c r="E3" s="20" t="s">
        <v>810</v>
      </c>
      <c r="F3" s="20" t="s">
        <v>50</v>
      </c>
      <c r="G3" s="21">
        <v>30</v>
      </c>
      <c r="H3" s="21">
        <v>30</v>
      </c>
      <c r="I3" s="21">
        <f t="shared" ref="I3:I39" si="0">G3-H3</f>
        <v>0</v>
      </c>
      <c r="J3" s="20" t="s">
        <v>887</v>
      </c>
      <c r="K3" s="20" t="s">
        <v>35</v>
      </c>
      <c r="L3" s="20" t="s">
        <v>888</v>
      </c>
      <c r="M3" s="20" t="s">
        <v>102</v>
      </c>
      <c r="N3" s="20"/>
      <c r="O3" s="20"/>
      <c r="P3" s="20"/>
      <c r="Q3" s="20">
        <v>1</v>
      </c>
    </row>
    <row r="4" spans="1:18" customFormat="1" x14ac:dyDescent="0.25">
      <c r="A4" s="17"/>
      <c r="B4" s="17" t="s">
        <v>29</v>
      </c>
      <c r="C4" s="17" t="s">
        <v>889</v>
      </c>
      <c r="D4" s="17" t="s">
        <v>890</v>
      </c>
      <c r="E4" s="17" t="s">
        <v>891</v>
      </c>
      <c r="F4" s="18">
        <v>6</v>
      </c>
      <c r="G4" s="18">
        <v>885</v>
      </c>
      <c r="H4" s="18">
        <v>25</v>
      </c>
      <c r="I4" s="18">
        <f t="shared" si="0"/>
        <v>860</v>
      </c>
      <c r="J4" s="17" t="s">
        <v>887</v>
      </c>
      <c r="K4" s="17" t="s">
        <v>35</v>
      </c>
      <c r="L4" s="17" t="s">
        <v>888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892</v>
      </c>
      <c r="D5" s="17" t="s">
        <v>893</v>
      </c>
      <c r="E5" s="17" t="s">
        <v>894</v>
      </c>
      <c r="F5" s="17" t="s">
        <v>50</v>
      </c>
      <c r="G5" s="18">
        <v>520</v>
      </c>
      <c r="H5" s="18">
        <v>30</v>
      </c>
      <c r="I5" s="18">
        <f t="shared" si="0"/>
        <v>490</v>
      </c>
      <c r="J5" s="17" t="s">
        <v>887</v>
      </c>
      <c r="K5" s="17" t="s">
        <v>35</v>
      </c>
      <c r="L5" s="17" t="s">
        <v>888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895</v>
      </c>
      <c r="D6" s="17" t="s">
        <v>896</v>
      </c>
      <c r="E6" s="17" t="s">
        <v>897</v>
      </c>
      <c r="F6" s="18">
        <v>8</v>
      </c>
      <c r="G6" s="18">
        <v>920</v>
      </c>
      <c r="H6" s="18">
        <v>30</v>
      </c>
      <c r="I6" s="18">
        <f t="shared" si="0"/>
        <v>890</v>
      </c>
      <c r="J6" s="17" t="s">
        <v>887</v>
      </c>
      <c r="K6" s="17" t="s">
        <v>35</v>
      </c>
      <c r="L6" s="17" t="s">
        <v>888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898</v>
      </c>
      <c r="D7" s="17" t="s">
        <v>899</v>
      </c>
      <c r="E7" s="17" t="s">
        <v>900</v>
      </c>
      <c r="F7" s="18">
        <v>7</v>
      </c>
      <c r="G7" s="18">
        <v>910</v>
      </c>
      <c r="H7" s="18">
        <v>30</v>
      </c>
      <c r="I7" s="18">
        <f t="shared" si="0"/>
        <v>880</v>
      </c>
      <c r="J7" s="17" t="s">
        <v>887</v>
      </c>
      <c r="K7" s="17" t="s">
        <v>35</v>
      </c>
      <c r="L7" s="17" t="s">
        <v>888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901</v>
      </c>
      <c r="D8" s="17" t="s">
        <v>902</v>
      </c>
      <c r="E8" s="17" t="s">
        <v>903</v>
      </c>
      <c r="F8" s="17" t="s">
        <v>50</v>
      </c>
      <c r="G8" s="18">
        <v>0</v>
      </c>
      <c r="H8" s="18">
        <v>30</v>
      </c>
      <c r="I8" s="18">
        <f t="shared" si="0"/>
        <v>-30</v>
      </c>
      <c r="J8" s="17" t="s">
        <v>887</v>
      </c>
      <c r="K8" s="17" t="s">
        <v>35</v>
      </c>
      <c r="L8" s="17" t="s">
        <v>888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29</v>
      </c>
      <c r="C9" s="17" t="s">
        <v>904</v>
      </c>
      <c r="D9" s="17" t="s">
        <v>905</v>
      </c>
      <c r="E9" s="17" t="s">
        <v>906</v>
      </c>
      <c r="F9" s="17" t="s">
        <v>57</v>
      </c>
      <c r="G9" s="18">
        <v>895</v>
      </c>
      <c r="H9" s="18">
        <v>35</v>
      </c>
      <c r="I9" s="18">
        <f t="shared" si="0"/>
        <v>860</v>
      </c>
      <c r="J9" s="17" t="s">
        <v>887</v>
      </c>
      <c r="K9" s="17" t="s">
        <v>35</v>
      </c>
      <c r="L9" s="17" t="s">
        <v>888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907</v>
      </c>
      <c r="D10" s="17" t="s">
        <v>908</v>
      </c>
      <c r="E10" s="17" t="s">
        <v>909</v>
      </c>
      <c r="F10" s="17" t="s">
        <v>50</v>
      </c>
      <c r="G10" s="18">
        <v>1580</v>
      </c>
      <c r="H10" s="18">
        <v>30</v>
      </c>
      <c r="I10" s="18">
        <f t="shared" si="0"/>
        <v>1550</v>
      </c>
      <c r="J10" s="17" t="s">
        <v>887</v>
      </c>
      <c r="K10" s="17" t="s">
        <v>35</v>
      </c>
      <c r="L10" s="17" t="s">
        <v>888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910</v>
      </c>
      <c r="D11" s="17"/>
      <c r="E11" s="17" t="s">
        <v>911</v>
      </c>
      <c r="F11" s="18">
        <v>9</v>
      </c>
      <c r="G11" s="18">
        <v>355</v>
      </c>
      <c r="H11" s="18">
        <v>35</v>
      </c>
      <c r="I11" s="18">
        <f t="shared" si="0"/>
        <v>320</v>
      </c>
      <c r="J11" s="17" t="s">
        <v>35</v>
      </c>
      <c r="K11" s="17" t="s">
        <v>35</v>
      </c>
      <c r="L11" s="17" t="s">
        <v>888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912</v>
      </c>
      <c r="D12" s="17"/>
      <c r="E12" s="17" t="s">
        <v>913</v>
      </c>
      <c r="F12" s="17" t="s">
        <v>46</v>
      </c>
      <c r="G12" s="18">
        <v>30</v>
      </c>
      <c r="H12" s="18">
        <v>30</v>
      </c>
      <c r="I12" s="18">
        <f t="shared" si="0"/>
        <v>0</v>
      </c>
      <c r="J12" s="17" t="s">
        <v>35</v>
      </c>
      <c r="K12" s="17" t="s">
        <v>35</v>
      </c>
      <c r="L12" s="17" t="s">
        <v>888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109</v>
      </c>
      <c r="D13" s="17"/>
      <c r="E13" s="17" t="s">
        <v>110</v>
      </c>
      <c r="F13" s="17" t="s">
        <v>70</v>
      </c>
      <c r="G13" s="18">
        <v>1710</v>
      </c>
      <c r="H13" s="18">
        <v>30</v>
      </c>
      <c r="I13" s="18">
        <f t="shared" si="0"/>
        <v>1680</v>
      </c>
      <c r="J13" s="17" t="s">
        <v>35</v>
      </c>
      <c r="K13" s="17" t="s">
        <v>35</v>
      </c>
      <c r="L13" s="17" t="s">
        <v>888</v>
      </c>
      <c r="M13" s="17"/>
      <c r="N13" s="17"/>
      <c r="O13" s="17"/>
      <c r="P13" s="17"/>
      <c r="Q13" s="17">
        <v>1</v>
      </c>
    </row>
    <row r="14" spans="1:18" customFormat="1" x14ac:dyDescent="0.25">
      <c r="A14" s="17" t="s">
        <v>61</v>
      </c>
      <c r="B14" s="17" t="s">
        <v>29</v>
      </c>
      <c r="C14" s="17" t="s">
        <v>107</v>
      </c>
      <c r="D14" s="17"/>
      <c r="E14" s="17" t="s">
        <v>108</v>
      </c>
      <c r="F14" s="17" t="s">
        <v>70</v>
      </c>
      <c r="G14" s="18">
        <v>30</v>
      </c>
      <c r="H14" s="18">
        <v>30</v>
      </c>
      <c r="I14" s="18">
        <f t="shared" si="0"/>
        <v>0</v>
      </c>
      <c r="J14" s="17" t="s">
        <v>35</v>
      </c>
      <c r="K14" s="17" t="s">
        <v>35</v>
      </c>
      <c r="L14" s="17" t="s">
        <v>888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537</v>
      </c>
      <c r="D15" s="17" t="s">
        <v>914</v>
      </c>
      <c r="E15" s="17" t="s">
        <v>539</v>
      </c>
      <c r="F15" s="18">
        <v>9</v>
      </c>
      <c r="G15" s="18">
        <v>960</v>
      </c>
      <c r="H15" s="18">
        <v>30</v>
      </c>
      <c r="I15" s="18">
        <f t="shared" si="0"/>
        <v>930</v>
      </c>
      <c r="J15" s="17" t="s">
        <v>35</v>
      </c>
      <c r="K15" s="17" t="s">
        <v>35</v>
      </c>
      <c r="L15" s="17" t="s">
        <v>888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915</v>
      </c>
      <c r="D16" s="17" t="s">
        <v>916</v>
      </c>
      <c r="E16" s="17" t="s">
        <v>917</v>
      </c>
      <c r="F16" s="17" t="s">
        <v>106</v>
      </c>
      <c r="G16" s="18">
        <v>0</v>
      </c>
      <c r="H16" s="18">
        <v>30</v>
      </c>
      <c r="I16" s="18">
        <f t="shared" si="0"/>
        <v>-30</v>
      </c>
      <c r="J16" s="17" t="s">
        <v>35</v>
      </c>
      <c r="K16" s="17" t="s">
        <v>35</v>
      </c>
      <c r="L16" s="17" t="s">
        <v>888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29</v>
      </c>
      <c r="C17" s="17" t="s">
        <v>918</v>
      </c>
      <c r="D17" s="17" t="s">
        <v>919</v>
      </c>
      <c r="E17" s="17" t="s">
        <v>920</v>
      </c>
      <c r="F17" s="17" t="s">
        <v>46</v>
      </c>
      <c r="G17" s="18">
        <v>815</v>
      </c>
      <c r="H17" s="18">
        <v>25</v>
      </c>
      <c r="I17" s="18">
        <f t="shared" si="0"/>
        <v>790</v>
      </c>
      <c r="J17" s="17" t="s">
        <v>35</v>
      </c>
      <c r="K17" s="17" t="s">
        <v>35</v>
      </c>
      <c r="L17" s="17" t="s">
        <v>888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921</v>
      </c>
      <c r="D18" s="17" t="s">
        <v>922</v>
      </c>
      <c r="E18" s="17" t="s">
        <v>923</v>
      </c>
      <c r="F18" s="18">
        <v>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888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29</v>
      </c>
      <c r="C19" s="17" t="s">
        <v>924</v>
      </c>
      <c r="D19" s="17" t="s">
        <v>925</v>
      </c>
      <c r="E19" s="17" t="s">
        <v>926</v>
      </c>
      <c r="F19" s="18">
        <v>2</v>
      </c>
      <c r="G19" s="18">
        <v>920</v>
      </c>
      <c r="H19" s="18">
        <v>30</v>
      </c>
      <c r="I19" s="18">
        <f t="shared" si="0"/>
        <v>890</v>
      </c>
      <c r="J19" s="17" t="s">
        <v>35</v>
      </c>
      <c r="K19" s="17" t="s">
        <v>35</v>
      </c>
      <c r="L19" s="17" t="s">
        <v>888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464</v>
      </c>
      <c r="D20" s="17" t="s">
        <v>927</v>
      </c>
      <c r="E20" s="17" t="s">
        <v>466</v>
      </c>
      <c r="F20" s="17" t="s">
        <v>80</v>
      </c>
      <c r="G20" s="18">
        <v>0</v>
      </c>
      <c r="H20" s="18">
        <v>20</v>
      </c>
      <c r="I20" s="18">
        <f t="shared" si="0"/>
        <v>-20</v>
      </c>
      <c r="J20" s="17" t="s">
        <v>35</v>
      </c>
      <c r="K20" s="17" t="s">
        <v>35</v>
      </c>
      <c r="L20" s="17" t="s">
        <v>888</v>
      </c>
      <c r="M20" s="17"/>
      <c r="N20" s="17"/>
      <c r="O20" s="17"/>
      <c r="P20" s="17"/>
      <c r="Q20" s="17">
        <v>1</v>
      </c>
      <c r="R20" s="19">
        <f t="shared" ref="R20:R21" si="1">H20</f>
        <v>20</v>
      </c>
    </row>
    <row r="21" spans="1:18" customFormat="1" x14ac:dyDescent="0.25">
      <c r="A21" s="17"/>
      <c r="B21" s="17" t="s">
        <v>29</v>
      </c>
      <c r="C21" s="17" t="s">
        <v>928</v>
      </c>
      <c r="D21" s="17" t="s">
        <v>929</v>
      </c>
      <c r="E21" s="17" t="s">
        <v>930</v>
      </c>
      <c r="F21" s="17" t="s">
        <v>80</v>
      </c>
      <c r="G21" s="18">
        <v>0</v>
      </c>
      <c r="H21" s="18">
        <v>20</v>
      </c>
      <c r="I21" s="18">
        <f t="shared" si="0"/>
        <v>-20</v>
      </c>
      <c r="J21" s="17" t="s">
        <v>35</v>
      </c>
      <c r="K21" s="17" t="s">
        <v>35</v>
      </c>
      <c r="L21" s="17" t="s">
        <v>888</v>
      </c>
      <c r="M21" s="17"/>
      <c r="N21" s="17"/>
      <c r="O21" s="17"/>
      <c r="P21" s="17"/>
      <c r="Q21" s="17">
        <v>1</v>
      </c>
      <c r="R21" s="19">
        <f t="shared" si="1"/>
        <v>20</v>
      </c>
    </row>
    <row r="22" spans="1:18" customFormat="1" x14ac:dyDescent="0.25">
      <c r="A22" s="17"/>
      <c r="B22" s="17" t="s">
        <v>29</v>
      </c>
      <c r="C22" s="17" t="s">
        <v>451</v>
      </c>
      <c r="D22" s="17" t="s">
        <v>931</v>
      </c>
      <c r="E22" s="17" t="s">
        <v>932</v>
      </c>
      <c r="F22" s="17" t="s">
        <v>70</v>
      </c>
      <c r="G22" s="18">
        <v>715</v>
      </c>
      <c r="H22" s="18">
        <v>25</v>
      </c>
      <c r="I22" s="18">
        <f t="shared" si="0"/>
        <v>690</v>
      </c>
      <c r="J22" s="17" t="s">
        <v>35</v>
      </c>
      <c r="K22" s="17" t="s">
        <v>35</v>
      </c>
      <c r="L22" s="17" t="s">
        <v>888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933</v>
      </c>
      <c r="D23" s="17" t="s">
        <v>934</v>
      </c>
      <c r="E23" s="17" t="s">
        <v>935</v>
      </c>
      <c r="F23" s="18">
        <v>2</v>
      </c>
      <c r="G23" s="18">
        <v>30</v>
      </c>
      <c r="H23" s="18">
        <v>30</v>
      </c>
      <c r="I23" s="18">
        <f t="shared" si="0"/>
        <v>0</v>
      </c>
      <c r="J23" s="17" t="s">
        <v>35</v>
      </c>
      <c r="K23" s="17" t="s">
        <v>35</v>
      </c>
      <c r="L23" s="17" t="s">
        <v>888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936</v>
      </c>
      <c r="D24" s="17" t="s">
        <v>937</v>
      </c>
      <c r="E24" s="17" t="s">
        <v>938</v>
      </c>
      <c r="F24" s="17" t="s">
        <v>106</v>
      </c>
      <c r="G24" s="18">
        <v>920</v>
      </c>
      <c r="H24" s="18">
        <v>30</v>
      </c>
      <c r="I24" s="18">
        <f t="shared" si="0"/>
        <v>890</v>
      </c>
      <c r="J24" s="17" t="s">
        <v>35</v>
      </c>
      <c r="K24" s="17" t="s">
        <v>35</v>
      </c>
      <c r="L24" s="17" t="s">
        <v>888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939</v>
      </c>
      <c r="D25" s="17" t="s">
        <v>940</v>
      </c>
      <c r="E25" s="17" t="s">
        <v>941</v>
      </c>
      <c r="F25" s="18">
        <v>12</v>
      </c>
      <c r="G25" s="18">
        <v>820</v>
      </c>
      <c r="H25" s="18">
        <v>30</v>
      </c>
      <c r="I25" s="18">
        <f t="shared" si="0"/>
        <v>790</v>
      </c>
      <c r="J25" s="17" t="s">
        <v>35</v>
      </c>
      <c r="K25" s="17" t="s">
        <v>35</v>
      </c>
      <c r="L25" s="17" t="s">
        <v>888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942</v>
      </c>
      <c r="D26" s="17" t="s">
        <v>943</v>
      </c>
      <c r="E26" s="17" t="s">
        <v>944</v>
      </c>
      <c r="F26" s="18">
        <v>9</v>
      </c>
      <c r="G26" s="18">
        <v>920</v>
      </c>
      <c r="H26" s="18">
        <v>30</v>
      </c>
      <c r="I26" s="18">
        <f t="shared" si="0"/>
        <v>890</v>
      </c>
      <c r="J26" s="17" t="s">
        <v>35</v>
      </c>
      <c r="K26" s="17" t="s">
        <v>35</v>
      </c>
      <c r="L26" s="17" t="s">
        <v>888</v>
      </c>
      <c r="M26" s="17"/>
      <c r="N26" s="17"/>
      <c r="O26" s="17"/>
      <c r="P26" s="17"/>
      <c r="Q26" s="17">
        <v>1</v>
      </c>
    </row>
    <row r="27" spans="1:18" s="22" customFormat="1" x14ac:dyDescent="0.25">
      <c r="A27" s="20"/>
      <c r="B27" s="20" t="s">
        <v>29</v>
      </c>
      <c r="C27" s="20" t="s">
        <v>945</v>
      </c>
      <c r="D27" s="20" t="s">
        <v>946</v>
      </c>
      <c r="E27" s="20" t="s">
        <v>947</v>
      </c>
      <c r="F27" s="21">
        <v>2</v>
      </c>
      <c r="G27" s="21">
        <v>0</v>
      </c>
      <c r="H27" s="21">
        <v>30</v>
      </c>
      <c r="I27" s="21">
        <f t="shared" si="0"/>
        <v>-30</v>
      </c>
      <c r="J27" s="20" t="s">
        <v>35</v>
      </c>
      <c r="K27" s="20" t="s">
        <v>35</v>
      </c>
      <c r="L27" s="20" t="s">
        <v>888</v>
      </c>
      <c r="M27" s="20" t="s">
        <v>102</v>
      </c>
      <c r="N27" s="20"/>
      <c r="O27" s="20"/>
      <c r="P27" s="20"/>
      <c r="Q27" s="20">
        <v>1</v>
      </c>
      <c r="R27" s="23">
        <f>H27</f>
        <v>30</v>
      </c>
    </row>
    <row r="28" spans="1:18" customFormat="1" x14ac:dyDescent="0.25">
      <c r="A28" s="17"/>
      <c r="B28" s="17" t="s">
        <v>29</v>
      </c>
      <c r="C28" s="17" t="s">
        <v>948</v>
      </c>
      <c r="D28" s="17" t="s">
        <v>949</v>
      </c>
      <c r="E28" s="17" t="s">
        <v>950</v>
      </c>
      <c r="F28" s="18">
        <v>3</v>
      </c>
      <c r="G28" s="18">
        <v>785</v>
      </c>
      <c r="H28" s="18">
        <v>25</v>
      </c>
      <c r="I28" s="18">
        <f t="shared" si="0"/>
        <v>760</v>
      </c>
      <c r="J28" s="17" t="s">
        <v>121</v>
      </c>
      <c r="K28" s="17" t="s">
        <v>35</v>
      </c>
      <c r="L28" s="17" t="s">
        <v>888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951</v>
      </c>
      <c r="D29" s="17" t="s">
        <v>952</v>
      </c>
      <c r="E29" s="17" t="s">
        <v>953</v>
      </c>
      <c r="F29" s="18">
        <v>5</v>
      </c>
      <c r="G29" s="18">
        <v>0</v>
      </c>
      <c r="H29" s="18">
        <v>25</v>
      </c>
      <c r="I29" s="18">
        <f t="shared" si="0"/>
        <v>-25</v>
      </c>
      <c r="J29" s="17" t="s">
        <v>121</v>
      </c>
      <c r="K29" s="17" t="s">
        <v>35</v>
      </c>
      <c r="L29" s="17" t="s">
        <v>888</v>
      </c>
      <c r="M29" s="17"/>
      <c r="N29" s="17"/>
      <c r="O29" s="17"/>
      <c r="P29" s="17"/>
      <c r="Q29" s="17">
        <v>1</v>
      </c>
      <c r="R29" s="19">
        <f t="shared" ref="R29:R30" si="2">H29</f>
        <v>25</v>
      </c>
    </row>
    <row r="30" spans="1:18" customFormat="1" x14ac:dyDescent="0.25">
      <c r="A30" s="17"/>
      <c r="B30" s="17" t="s">
        <v>29</v>
      </c>
      <c r="C30" s="17" t="s">
        <v>954</v>
      </c>
      <c r="D30" s="17" t="s">
        <v>955</v>
      </c>
      <c r="E30" s="17" t="s">
        <v>956</v>
      </c>
      <c r="F30" s="18">
        <v>5</v>
      </c>
      <c r="G30" s="18">
        <v>0</v>
      </c>
      <c r="H30" s="18">
        <v>25</v>
      </c>
      <c r="I30" s="18">
        <f t="shared" si="0"/>
        <v>-25</v>
      </c>
      <c r="J30" s="17" t="s">
        <v>121</v>
      </c>
      <c r="K30" s="17" t="s">
        <v>35</v>
      </c>
      <c r="L30" s="17" t="s">
        <v>888</v>
      </c>
      <c r="M30" s="17"/>
      <c r="N30" s="17"/>
      <c r="O30" s="17"/>
      <c r="P30" s="17"/>
      <c r="Q30" s="17">
        <v>1</v>
      </c>
      <c r="R30" s="19">
        <f t="shared" si="2"/>
        <v>25</v>
      </c>
    </row>
    <row r="31" spans="1:18" customFormat="1" x14ac:dyDescent="0.25">
      <c r="A31" s="17"/>
      <c r="B31" s="17" t="s">
        <v>29</v>
      </c>
      <c r="C31" s="17" t="s">
        <v>745</v>
      </c>
      <c r="D31" s="17" t="s">
        <v>957</v>
      </c>
      <c r="E31" s="17" t="s">
        <v>747</v>
      </c>
      <c r="F31" s="18">
        <v>10</v>
      </c>
      <c r="G31" s="18">
        <v>915</v>
      </c>
      <c r="H31" s="18">
        <v>25</v>
      </c>
      <c r="I31" s="18">
        <f t="shared" si="0"/>
        <v>890</v>
      </c>
      <c r="J31" s="17" t="s">
        <v>121</v>
      </c>
      <c r="K31" s="17" t="s">
        <v>35</v>
      </c>
      <c r="L31" s="17" t="s">
        <v>888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958</v>
      </c>
      <c r="D32" s="17" t="s">
        <v>959</v>
      </c>
      <c r="E32" s="17" t="s">
        <v>960</v>
      </c>
      <c r="F32" s="17" t="s">
        <v>46</v>
      </c>
      <c r="G32" s="18">
        <v>905</v>
      </c>
      <c r="H32" s="18">
        <v>25</v>
      </c>
      <c r="I32" s="18">
        <f t="shared" si="0"/>
        <v>880</v>
      </c>
      <c r="J32" s="17" t="s">
        <v>121</v>
      </c>
      <c r="K32" s="17" t="s">
        <v>35</v>
      </c>
      <c r="L32" s="17" t="s">
        <v>888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249</v>
      </c>
      <c r="D33" s="17" t="s">
        <v>961</v>
      </c>
      <c r="E33" s="17" t="s">
        <v>962</v>
      </c>
      <c r="F33" s="17" t="s">
        <v>46</v>
      </c>
      <c r="G33" s="18">
        <v>715</v>
      </c>
      <c r="H33" s="18">
        <v>25</v>
      </c>
      <c r="I33" s="18">
        <f t="shared" si="0"/>
        <v>690</v>
      </c>
      <c r="J33" s="17" t="s">
        <v>121</v>
      </c>
      <c r="K33" s="17" t="s">
        <v>35</v>
      </c>
      <c r="L33" s="17" t="s">
        <v>888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963</v>
      </c>
      <c r="D34" s="17" t="s">
        <v>964</v>
      </c>
      <c r="E34" s="17" t="s">
        <v>965</v>
      </c>
      <c r="F34" s="18">
        <v>4</v>
      </c>
      <c r="G34" s="18">
        <v>845</v>
      </c>
      <c r="H34" s="18">
        <v>25</v>
      </c>
      <c r="I34" s="18">
        <f t="shared" si="0"/>
        <v>820</v>
      </c>
      <c r="J34" s="17" t="s">
        <v>121</v>
      </c>
      <c r="K34" s="17" t="s">
        <v>35</v>
      </c>
      <c r="L34" s="17" t="s">
        <v>888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966</v>
      </c>
      <c r="D35" s="17" t="s">
        <v>967</v>
      </c>
      <c r="E35" s="17" t="s">
        <v>968</v>
      </c>
      <c r="F35" s="18">
        <v>5</v>
      </c>
      <c r="G35" s="18">
        <v>915</v>
      </c>
      <c r="H35" s="18">
        <v>25</v>
      </c>
      <c r="I35" s="18">
        <f t="shared" si="0"/>
        <v>890</v>
      </c>
      <c r="J35" s="17" t="s">
        <v>121</v>
      </c>
      <c r="K35" s="17" t="s">
        <v>35</v>
      </c>
      <c r="L35" s="17" t="s">
        <v>888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969</v>
      </c>
      <c r="D36" s="17" t="s">
        <v>970</v>
      </c>
      <c r="E36" s="17" t="s">
        <v>971</v>
      </c>
      <c r="F36" s="17" t="s">
        <v>120</v>
      </c>
      <c r="G36" s="18">
        <v>1100</v>
      </c>
      <c r="H36" s="18">
        <v>20</v>
      </c>
      <c r="I36" s="18">
        <f t="shared" si="0"/>
        <v>1080</v>
      </c>
      <c r="J36" s="17" t="s">
        <v>121</v>
      </c>
      <c r="K36" s="17" t="s">
        <v>35</v>
      </c>
      <c r="L36" s="17" t="s">
        <v>888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972</v>
      </c>
      <c r="D37" s="17" t="s">
        <v>973</v>
      </c>
      <c r="E37" s="17" t="s">
        <v>974</v>
      </c>
      <c r="F37" s="18">
        <v>10</v>
      </c>
      <c r="G37" s="18">
        <v>915</v>
      </c>
      <c r="H37" s="18">
        <v>25</v>
      </c>
      <c r="I37" s="18">
        <f t="shared" si="0"/>
        <v>890</v>
      </c>
      <c r="J37" s="17" t="s">
        <v>121</v>
      </c>
      <c r="K37" s="17" t="s">
        <v>35</v>
      </c>
      <c r="L37" s="17" t="s">
        <v>888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975</v>
      </c>
      <c r="D38" s="17" t="s">
        <v>976</v>
      </c>
      <c r="E38" s="17" t="s">
        <v>977</v>
      </c>
      <c r="F38" s="18">
        <v>5</v>
      </c>
      <c r="G38" s="18">
        <v>945</v>
      </c>
      <c r="H38" s="18">
        <v>25</v>
      </c>
      <c r="I38" s="18">
        <f t="shared" si="0"/>
        <v>920</v>
      </c>
      <c r="J38" s="17" t="s">
        <v>121</v>
      </c>
      <c r="K38" s="17" t="s">
        <v>35</v>
      </c>
      <c r="L38" s="17" t="s">
        <v>888</v>
      </c>
      <c r="M38" s="17"/>
      <c r="N38" s="17"/>
      <c r="O38" s="17"/>
      <c r="P38" s="17"/>
      <c r="Q38" s="17">
        <v>1</v>
      </c>
    </row>
    <row r="39" spans="1:18" s="27" customFormat="1" x14ac:dyDescent="0.25">
      <c r="A39" s="25"/>
      <c r="B39" s="25" t="s">
        <v>29</v>
      </c>
      <c r="C39" s="25" t="s">
        <v>978</v>
      </c>
      <c r="D39" s="25" t="s">
        <v>979</v>
      </c>
      <c r="E39" s="25" t="s">
        <v>980</v>
      </c>
      <c r="F39" s="25" t="s">
        <v>981</v>
      </c>
      <c r="G39" s="26">
        <v>930</v>
      </c>
      <c r="H39" s="26">
        <v>0</v>
      </c>
      <c r="I39" s="26">
        <f t="shared" si="0"/>
        <v>930</v>
      </c>
      <c r="J39" s="25" t="s">
        <v>562</v>
      </c>
      <c r="K39" s="25" t="s">
        <v>35</v>
      </c>
      <c r="L39" s="25" t="s">
        <v>888</v>
      </c>
      <c r="M39" s="25" t="s">
        <v>982</v>
      </c>
      <c r="N39" s="25" t="s">
        <v>564</v>
      </c>
      <c r="O39" s="25"/>
      <c r="P39" s="25" t="s">
        <v>565</v>
      </c>
      <c r="Q39" s="25">
        <v>1</v>
      </c>
    </row>
    <row r="41" spans="1:18" x14ac:dyDescent="0.25">
      <c r="G41" s="1">
        <f t="shared" ref="G41:R41" si="3">SUBTOTAL(9,G3:G40)</f>
        <v>22935</v>
      </c>
      <c r="H41" s="1">
        <f t="shared" si="3"/>
        <v>995</v>
      </c>
      <c r="I41" s="1">
        <f t="shared" si="3"/>
        <v>21940</v>
      </c>
      <c r="J41" s="1">
        <f t="shared" si="3"/>
        <v>0</v>
      </c>
      <c r="K41" s="1">
        <f t="shared" si="3"/>
        <v>0</v>
      </c>
      <c r="L41" s="1">
        <f t="shared" si="3"/>
        <v>0</v>
      </c>
      <c r="M41" s="1">
        <f t="shared" si="3"/>
        <v>0</v>
      </c>
      <c r="N41" s="1">
        <f t="shared" si="3"/>
        <v>0</v>
      </c>
      <c r="O41" s="1">
        <f t="shared" si="3"/>
        <v>0</v>
      </c>
      <c r="P41" s="1">
        <f t="shared" si="3"/>
        <v>0</v>
      </c>
      <c r="Q41" s="1">
        <f t="shared" si="3"/>
        <v>37</v>
      </c>
      <c r="R41" s="1">
        <f t="shared" si="3"/>
        <v>210</v>
      </c>
    </row>
    <row r="42" spans="1:18" x14ac:dyDescent="0.25">
      <c r="I42" s="1">
        <v>-930</v>
      </c>
      <c r="J42" s="1" t="s">
        <v>983</v>
      </c>
    </row>
    <row r="45" spans="1:18" ht="20.25" customHeight="1" x14ac:dyDescent="0.3">
      <c r="H45" s="4" t="s">
        <v>884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21010</v>
      </c>
      <c r="J46" s="8">
        <f>Q41</f>
        <v>37</v>
      </c>
    </row>
    <row r="47" spans="1:18" x14ac:dyDescent="0.25">
      <c r="H47" s="9" t="s">
        <v>18</v>
      </c>
      <c r="I47" s="10">
        <f>R41</f>
        <v>210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8:10" x14ac:dyDescent="0.25">
      <c r="H49" s="9" t="s">
        <v>20</v>
      </c>
      <c r="I49" s="10">
        <f>T40</f>
        <v>0</v>
      </c>
      <c r="J49" s="11"/>
    </row>
    <row r="50" spans="8:10" x14ac:dyDescent="0.25">
      <c r="H50" s="9" t="s">
        <v>21</v>
      </c>
      <c r="I50" s="10">
        <f>U40</f>
        <v>0</v>
      </c>
      <c r="J50" s="11"/>
    </row>
    <row r="51" spans="8:10" ht="15.75" customHeight="1" x14ac:dyDescent="0.25">
      <c r="H51" s="12" t="s">
        <v>22</v>
      </c>
      <c r="I51" s="13"/>
      <c r="J51" s="13"/>
    </row>
    <row r="52" spans="8:10" ht="15.75" customHeight="1" x14ac:dyDescent="0.25">
      <c r="H52" s="14" t="s">
        <v>23</v>
      </c>
      <c r="I52" s="13"/>
      <c r="J52" s="13"/>
    </row>
    <row r="53" spans="8:10" ht="21" customHeight="1" x14ac:dyDescent="0.35">
      <c r="H53" s="15" t="s">
        <v>24</v>
      </c>
      <c r="I53" s="16">
        <f>SUM(I46:I52)</f>
        <v>21220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1499C-B8D8-4368-A737-C94D73AB68A1}">
  <dimension ref="A1:R59"/>
  <sheetViews>
    <sheetView tabSelected="1" topLeftCell="A20" zoomScale="82" zoomScaleNormal="80" workbookViewId="0">
      <selection activeCell="H59" sqref="H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507</v>
      </c>
      <c r="C1" s="1" t="s">
        <v>985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578</v>
      </c>
      <c r="D3" s="17" t="s">
        <v>986</v>
      </c>
      <c r="E3" s="17" t="s">
        <v>987</v>
      </c>
      <c r="F3" s="17" t="s">
        <v>50</v>
      </c>
      <c r="G3" s="18">
        <v>2970</v>
      </c>
      <c r="H3" s="18">
        <v>35</v>
      </c>
      <c r="I3" s="18">
        <f t="shared" ref="I3:I40" si="0">G3-H3</f>
        <v>2935</v>
      </c>
      <c r="J3" s="17" t="s">
        <v>988</v>
      </c>
      <c r="K3" s="17" t="s">
        <v>35</v>
      </c>
      <c r="L3" s="17" t="s">
        <v>989</v>
      </c>
      <c r="M3" s="24" t="s">
        <v>313</v>
      </c>
      <c r="N3" s="17"/>
      <c r="O3" s="17"/>
      <c r="P3" s="17"/>
      <c r="Q3" s="17">
        <v>1</v>
      </c>
      <c r="R3" s="19">
        <f>H3</f>
        <v>35</v>
      </c>
    </row>
    <row r="4" spans="1:18" customFormat="1" x14ac:dyDescent="0.25">
      <c r="A4" s="17"/>
      <c r="B4" s="17" t="s">
        <v>29</v>
      </c>
      <c r="C4" s="17" t="s">
        <v>990</v>
      </c>
      <c r="D4" s="17" t="s">
        <v>991</v>
      </c>
      <c r="E4" s="17" t="s">
        <v>992</v>
      </c>
      <c r="F4" s="18">
        <v>8</v>
      </c>
      <c r="G4" s="18">
        <v>670</v>
      </c>
      <c r="H4" s="18">
        <v>30</v>
      </c>
      <c r="I4" s="18">
        <f t="shared" si="0"/>
        <v>640</v>
      </c>
      <c r="J4" s="17" t="s">
        <v>988</v>
      </c>
      <c r="K4" s="17" t="s">
        <v>35</v>
      </c>
      <c r="L4" s="17" t="s">
        <v>989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993</v>
      </c>
      <c r="D5" s="17" t="s">
        <v>994</v>
      </c>
      <c r="E5" s="17" t="s">
        <v>995</v>
      </c>
      <c r="F5" s="18">
        <v>6</v>
      </c>
      <c r="G5" s="18">
        <v>905</v>
      </c>
      <c r="H5" s="18">
        <v>25</v>
      </c>
      <c r="I5" s="18">
        <f t="shared" si="0"/>
        <v>880</v>
      </c>
      <c r="J5" s="17" t="s">
        <v>988</v>
      </c>
      <c r="K5" s="17" t="s">
        <v>35</v>
      </c>
      <c r="L5" s="17" t="s">
        <v>989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996</v>
      </c>
      <c r="D6" s="17" t="s">
        <v>997</v>
      </c>
      <c r="E6" s="17" t="s">
        <v>998</v>
      </c>
      <c r="F6" s="17" t="s">
        <v>50</v>
      </c>
      <c r="G6" s="18">
        <v>950</v>
      </c>
      <c r="H6" s="18">
        <v>30</v>
      </c>
      <c r="I6" s="18">
        <f t="shared" si="0"/>
        <v>920</v>
      </c>
      <c r="J6" s="17" t="s">
        <v>988</v>
      </c>
      <c r="K6" s="17" t="s">
        <v>35</v>
      </c>
      <c r="L6" s="17" t="s">
        <v>989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349</v>
      </c>
      <c r="D7" s="17" t="s">
        <v>999</v>
      </c>
      <c r="E7" s="17" t="s">
        <v>351</v>
      </c>
      <c r="F7" s="18">
        <v>8</v>
      </c>
      <c r="G7" s="18">
        <v>30</v>
      </c>
      <c r="H7" s="18">
        <v>30</v>
      </c>
      <c r="I7" s="18">
        <f t="shared" si="0"/>
        <v>0</v>
      </c>
      <c r="J7" s="17" t="s">
        <v>988</v>
      </c>
      <c r="K7" s="17" t="s">
        <v>35</v>
      </c>
      <c r="L7" s="17" t="s">
        <v>989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1000</v>
      </c>
      <c r="D8" s="17" t="s">
        <v>1001</v>
      </c>
      <c r="E8" s="17" t="s">
        <v>1002</v>
      </c>
      <c r="F8" s="17" t="s">
        <v>33</v>
      </c>
      <c r="G8" s="18">
        <v>1155</v>
      </c>
      <c r="H8" s="18">
        <v>25</v>
      </c>
      <c r="I8" s="18">
        <f t="shared" si="0"/>
        <v>1130</v>
      </c>
      <c r="J8" s="17" t="s">
        <v>988</v>
      </c>
      <c r="K8" s="17" t="s">
        <v>35</v>
      </c>
      <c r="L8" s="17" t="s">
        <v>989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1003</v>
      </c>
      <c r="D9" s="17" t="s">
        <v>1004</v>
      </c>
      <c r="E9" s="17" t="s">
        <v>1005</v>
      </c>
      <c r="F9" s="18">
        <v>12</v>
      </c>
      <c r="G9" s="18">
        <v>850</v>
      </c>
      <c r="H9" s="18">
        <v>30</v>
      </c>
      <c r="I9" s="18">
        <f t="shared" si="0"/>
        <v>820</v>
      </c>
      <c r="J9" s="17" t="s">
        <v>988</v>
      </c>
      <c r="K9" s="17" t="s">
        <v>35</v>
      </c>
      <c r="L9" s="17" t="s">
        <v>989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1006</v>
      </c>
      <c r="D10" s="17" t="s">
        <v>1007</v>
      </c>
      <c r="E10" s="17" t="s">
        <v>1008</v>
      </c>
      <c r="F10" s="18">
        <v>8</v>
      </c>
      <c r="G10" s="18">
        <v>960</v>
      </c>
      <c r="H10" s="18">
        <v>30</v>
      </c>
      <c r="I10" s="18">
        <f t="shared" si="0"/>
        <v>930</v>
      </c>
      <c r="J10" s="17" t="s">
        <v>988</v>
      </c>
      <c r="K10" s="17" t="s">
        <v>35</v>
      </c>
      <c r="L10" s="17" t="s">
        <v>989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1009</v>
      </c>
      <c r="D11" s="17" t="s">
        <v>1010</v>
      </c>
      <c r="E11" s="17" t="s">
        <v>1011</v>
      </c>
      <c r="F11" s="17" t="s">
        <v>422</v>
      </c>
      <c r="G11" s="18">
        <v>955</v>
      </c>
      <c r="H11" s="18">
        <v>35</v>
      </c>
      <c r="I11" s="18">
        <f t="shared" si="0"/>
        <v>920</v>
      </c>
      <c r="J11" s="17" t="s">
        <v>988</v>
      </c>
      <c r="K11" s="17" t="s">
        <v>35</v>
      </c>
      <c r="L11" s="17" t="s">
        <v>989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1012</v>
      </c>
      <c r="D12" s="17" t="s">
        <v>1013</v>
      </c>
      <c r="E12" s="17" t="s">
        <v>63</v>
      </c>
      <c r="F12" s="17" t="s">
        <v>50</v>
      </c>
      <c r="G12" s="18">
        <v>1250</v>
      </c>
      <c r="H12" s="18">
        <v>30</v>
      </c>
      <c r="I12" s="18">
        <f t="shared" si="0"/>
        <v>1220</v>
      </c>
      <c r="J12" s="17" t="s">
        <v>988</v>
      </c>
      <c r="K12" s="17" t="s">
        <v>35</v>
      </c>
      <c r="L12" s="17" t="s">
        <v>989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1014</v>
      </c>
      <c r="D13" s="17" t="s">
        <v>1015</v>
      </c>
      <c r="E13" s="17" t="s">
        <v>1016</v>
      </c>
      <c r="F13" s="18">
        <v>8</v>
      </c>
      <c r="G13" s="18">
        <v>3050</v>
      </c>
      <c r="H13" s="18">
        <v>40</v>
      </c>
      <c r="I13" s="18">
        <f t="shared" si="0"/>
        <v>3010</v>
      </c>
      <c r="J13" s="17" t="s">
        <v>988</v>
      </c>
      <c r="K13" s="17" t="s">
        <v>35</v>
      </c>
      <c r="L13" s="17" t="s">
        <v>989</v>
      </c>
      <c r="M13" s="24" t="s">
        <v>313</v>
      </c>
      <c r="N13" s="17"/>
      <c r="O13" s="17"/>
      <c r="P13" s="17"/>
      <c r="Q13" s="17">
        <v>1</v>
      </c>
      <c r="R13" s="19">
        <f>H13</f>
        <v>40</v>
      </c>
    </row>
    <row r="14" spans="1:18" customFormat="1" x14ac:dyDescent="0.25">
      <c r="A14" s="17" t="s">
        <v>61</v>
      </c>
      <c r="B14" s="17" t="s">
        <v>29</v>
      </c>
      <c r="C14" s="17" t="s">
        <v>188</v>
      </c>
      <c r="D14" s="17"/>
      <c r="E14" s="17" t="s">
        <v>189</v>
      </c>
      <c r="F14" s="18">
        <v>6</v>
      </c>
      <c r="G14" s="18">
        <v>0</v>
      </c>
      <c r="H14" s="18">
        <v>30</v>
      </c>
      <c r="I14" s="18">
        <f t="shared" si="0"/>
        <v>-30</v>
      </c>
      <c r="J14" s="17" t="s">
        <v>988</v>
      </c>
      <c r="K14" s="17" t="s">
        <v>35</v>
      </c>
      <c r="L14" s="17" t="s">
        <v>989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 t="s">
        <v>61</v>
      </c>
      <c r="B15" s="17" t="s">
        <v>29</v>
      </c>
      <c r="C15" s="17" t="s">
        <v>1017</v>
      </c>
      <c r="D15" s="17"/>
      <c r="E15" s="17" t="s">
        <v>1018</v>
      </c>
      <c r="F15" s="18">
        <v>6</v>
      </c>
      <c r="G15" s="18">
        <v>0</v>
      </c>
      <c r="H15" s="18">
        <v>30</v>
      </c>
      <c r="I15" s="18">
        <f t="shared" si="0"/>
        <v>-30</v>
      </c>
      <c r="J15" s="17" t="s">
        <v>988</v>
      </c>
      <c r="K15" s="17" t="s">
        <v>35</v>
      </c>
      <c r="L15" s="17" t="s">
        <v>989</v>
      </c>
      <c r="M15" s="17"/>
      <c r="N15" s="17"/>
      <c r="O15" s="17"/>
      <c r="P15" s="17"/>
      <c r="Q15" s="17">
        <v>1</v>
      </c>
      <c r="R15" s="19">
        <f t="shared" ref="R15:R16" si="1">H15</f>
        <v>30</v>
      </c>
    </row>
    <row r="16" spans="1:18" s="22" customFormat="1" x14ac:dyDescent="0.25">
      <c r="A16" s="20" t="s">
        <v>61</v>
      </c>
      <c r="B16" s="20" t="s">
        <v>29</v>
      </c>
      <c r="C16" s="20" t="s">
        <v>1019</v>
      </c>
      <c r="D16" s="20"/>
      <c r="E16" s="20" t="s">
        <v>1020</v>
      </c>
      <c r="F16" s="21">
        <v>6</v>
      </c>
      <c r="G16" s="21">
        <v>0</v>
      </c>
      <c r="H16" s="21">
        <v>30</v>
      </c>
      <c r="I16" s="21">
        <f t="shared" si="0"/>
        <v>-30</v>
      </c>
      <c r="J16" s="20" t="s">
        <v>988</v>
      </c>
      <c r="K16" s="20" t="s">
        <v>121</v>
      </c>
      <c r="L16" s="20" t="s">
        <v>989</v>
      </c>
      <c r="M16" s="20" t="s">
        <v>1021</v>
      </c>
      <c r="N16" s="20"/>
      <c r="O16" s="20"/>
      <c r="P16" s="20"/>
      <c r="Q16" s="20">
        <v>1</v>
      </c>
      <c r="R16" s="23">
        <f t="shared" si="1"/>
        <v>30</v>
      </c>
    </row>
    <row r="17" spans="1:18" customFormat="1" x14ac:dyDescent="0.25">
      <c r="A17" s="17"/>
      <c r="B17" s="17" t="s">
        <v>29</v>
      </c>
      <c r="C17" s="17" t="s">
        <v>1022</v>
      </c>
      <c r="D17" s="17" t="s">
        <v>1023</v>
      </c>
      <c r="E17" s="17" t="s">
        <v>92</v>
      </c>
      <c r="F17" s="17" t="s">
        <v>70</v>
      </c>
      <c r="G17" s="18">
        <v>915</v>
      </c>
      <c r="H17" s="18">
        <v>25</v>
      </c>
      <c r="I17" s="18">
        <f t="shared" si="0"/>
        <v>890</v>
      </c>
      <c r="J17" s="17" t="s">
        <v>35</v>
      </c>
      <c r="K17" s="17" t="s">
        <v>35</v>
      </c>
      <c r="L17" s="17" t="s">
        <v>989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1024</v>
      </c>
      <c r="D18" s="17" t="s">
        <v>1025</v>
      </c>
      <c r="E18" s="17" t="s">
        <v>1026</v>
      </c>
      <c r="F18" s="17" t="s">
        <v>70</v>
      </c>
      <c r="G18" s="18">
        <v>915</v>
      </c>
      <c r="H18" s="18">
        <v>25</v>
      </c>
      <c r="I18" s="18">
        <f t="shared" si="0"/>
        <v>890</v>
      </c>
      <c r="J18" s="17" t="s">
        <v>35</v>
      </c>
      <c r="K18" s="17" t="s">
        <v>35</v>
      </c>
      <c r="L18" s="17" t="s">
        <v>989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1027</v>
      </c>
      <c r="D19" s="17" t="s">
        <v>1028</v>
      </c>
      <c r="E19" s="17" t="s">
        <v>1029</v>
      </c>
      <c r="F19" s="18">
        <v>2</v>
      </c>
      <c r="G19" s="18">
        <v>0</v>
      </c>
      <c r="H19" s="18">
        <v>30</v>
      </c>
      <c r="I19" s="18">
        <f t="shared" si="0"/>
        <v>-30</v>
      </c>
      <c r="J19" s="17" t="s">
        <v>35</v>
      </c>
      <c r="K19" s="17" t="s">
        <v>35</v>
      </c>
      <c r="L19" s="17" t="s">
        <v>989</v>
      </c>
      <c r="M19" s="30" t="s">
        <v>1078</v>
      </c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29</v>
      </c>
      <c r="C20" s="17" t="s">
        <v>1030</v>
      </c>
      <c r="D20" s="17" t="s">
        <v>1031</v>
      </c>
      <c r="E20" s="17" t="s">
        <v>1032</v>
      </c>
      <c r="F20" s="18">
        <v>2</v>
      </c>
      <c r="G20" s="18">
        <v>860</v>
      </c>
      <c r="H20" s="18">
        <v>30</v>
      </c>
      <c r="I20" s="18">
        <f t="shared" si="0"/>
        <v>830</v>
      </c>
      <c r="J20" s="17" t="s">
        <v>35</v>
      </c>
      <c r="K20" s="17" t="s">
        <v>35</v>
      </c>
      <c r="L20" s="17" t="s">
        <v>989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1033</v>
      </c>
      <c r="D21" s="17" t="s">
        <v>1034</v>
      </c>
      <c r="E21" s="17" t="s">
        <v>1035</v>
      </c>
      <c r="F21" s="17" t="s">
        <v>80</v>
      </c>
      <c r="G21" s="18">
        <v>660</v>
      </c>
      <c r="H21" s="18">
        <v>20</v>
      </c>
      <c r="I21" s="18">
        <f t="shared" si="0"/>
        <v>640</v>
      </c>
      <c r="J21" s="17" t="s">
        <v>35</v>
      </c>
      <c r="K21" s="17" t="s">
        <v>35</v>
      </c>
      <c r="L21" s="17" t="s">
        <v>989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1036</v>
      </c>
      <c r="D22" s="17" t="s">
        <v>1037</v>
      </c>
      <c r="E22" s="17" t="s">
        <v>1038</v>
      </c>
      <c r="F22" s="18">
        <v>12</v>
      </c>
      <c r="G22" s="18">
        <v>1260</v>
      </c>
      <c r="H22" s="18">
        <v>30</v>
      </c>
      <c r="I22" s="18">
        <f t="shared" si="0"/>
        <v>1230</v>
      </c>
      <c r="J22" s="17" t="s">
        <v>35</v>
      </c>
      <c r="K22" s="17" t="s">
        <v>35</v>
      </c>
      <c r="L22" s="17" t="s">
        <v>989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1039</v>
      </c>
      <c r="D23" s="17" t="s">
        <v>1040</v>
      </c>
      <c r="E23" s="17" t="s">
        <v>1041</v>
      </c>
      <c r="F23" s="18">
        <v>2</v>
      </c>
      <c r="G23" s="18">
        <v>670</v>
      </c>
      <c r="H23" s="18">
        <v>30</v>
      </c>
      <c r="I23" s="18">
        <f t="shared" si="0"/>
        <v>640</v>
      </c>
      <c r="J23" s="17" t="s">
        <v>35</v>
      </c>
      <c r="K23" s="17" t="s">
        <v>35</v>
      </c>
      <c r="L23" s="17" t="s">
        <v>989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1042</v>
      </c>
      <c r="D24" s="17" t="s">
        <v>1043</v>
      </c>
      <c r="E24" s="17" t="s">
        <v>1044</v>
      </c>
      <c r="F24" s="18">
        <v>2</v>
      </c>
      <c r="G24" s="18">
        <v>890</v>
      </c>
      <c r="H24" s="18">
        <v>30</v>
      </c>
      <c r="I24" s="18">
        <f t="shared" si="0"/>
        <v>860</v>
      </c>
      <c r="J24" s="17" t="s">
        <v>35</v>
      </c>
      <c r="K24" s="17" t="s">
        <v>35</v>
      </c>
      <c r="L24" s="17" t="s">
        <v>989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1045</v>
      </c>
      <c r="D25" s="17" t="s">
        <v>1046</v>
      </c>
      <c r="E25" s="17" t="s">
        <v>1047</v>
      </c>
      <c r="F25" s="17" t="s">
        <v>106</v>
      </c>
      <c r="G25" s="18">
        <v>760</v>
      </c>
      <c r="H25" s="18">
        <v>30</v>
      </c>
      <c r="I25" s="18">
        <f t="shared" si="0"/>
        <v>730</v>
      </c>
      <c r="J25" s="17" t="s">
        <v>35</v>
      </c>
      <c r="K25" s="17" t="s">
        <v>35</v>
      </c>
      <c r="L25" s="17" t="s">
        <v>989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1048</v>
      </c>
      <c r="D26" s="17" t="s">
        <v>1049</v>
      </c>
      <c r="E26" s="17" t="s">
        <v>1050</v>
      </c>
      <c r="F26" s="17" t="s">
        <v>80</v>
      </c>
      <c r="G26" s="18">
        <v>0</v>
      </c>
      <c r="H26" s="18">
        <v>20</v>
      </c>
      <c r="I26" s="18">
        <f t="shared" si="0"/>
        <v>-20</v>
      </c>
      <c r="J26" s="17" t="s">
        <v>35</v>
      </c>
      <c r="K26" s="17" t="s">
        <v>35</v>
      </c>
      <c r="L26" s="17" t="s">
        <v>989</v>
      </c>
      <c r="M26" s="30" t="s">
        <v>1079</v>
      </c>
      <c r="N26" s="17"/>
      <c r="O26" s="17"/>
      <c r="P26" s="17"/>
      <c r="Q26" s="17">
        <v>1</v>
      </c>
      <c r="R26" s="19">
        <f>H26</f>
        <v>20</v>
      </c>
    </row>
    <row r="27" spans="1:18" customFormat="1" x14ac:dyDescent="0.25">
      <c r="A27" s="17" t="s">
        <v>61</v>
      </c>
      <c r="B27" s="17" t="s">
        <v>29</v>
      </c>
      <c r="C27" s="17" t="s">
        <v>1051</v>
      </c>
      <c r="D27" s="17"/>
      <c r="E27" s="17" t="s">
        <v>1052</v>
      </c>
      <c r="F27" s="17" t="s">
        <v>46</v>
      </c>
      <c r="G27" s="18">
        <v>45</v>
      </c>
      <c r="H27" s="18">
        <v>45</v>
      </c>
      <c r="I27" s="18">
        <f t="shared" si="0"/>
        <v>0</v>
      </c>
      <c r="J27" s="17" t="s">
        <v>35</v>
      </c>
      <c r="K27" s="17" t="s">
        <v>35</v>
      </c>
      <c r="L27" s="17" t="s">
        <v>989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1053</v>
      </c>
      <c r="D28" s="17"/>
      <c r="E28" s="17" t="s">
        <v>393</v>
      </c>
      <c r="F28" s="18">
        <v>12</v>
      </c>
      <c r="G28" s="18">
        <v>0</v>
      </c>
      <c r="H28" s="18">
        <v>35</v>
      </c>
      <c r="I28" s="18">
        <f t="shared" si="0"/>
        <v>-35</v>
      </c>
      <c r="J28" s="17" t="s">
        <v>35</v>
      </c>
      <c r="K28" s="17" t="s">
        <v>35</v>
      </c>
      <c r="L28" s="17" t="s">
        <v>989</v>
      </c>
      <c r="M28" s="17"/>
      <c r="N28" s="17"/>
      <c r="O28" s="17"/>
      <c r="P28" s="17"/>
      <c r="Q28" s="17">
        <v>1</v>
      </c>
      <c r="R28" s="19">
        <f t="shared" ref="R28:R30" si="2">H28</f>
        <v>35</v>
      </c>
    </row>
    <row r="29" spans="1:18" customFormat="1" x14ac:dyDescent="0.25">
      <c r="A29" s="17" t="s">
        <v>61</v>
      </c>
      <c r="B29" s="17" t="s">
        <v>29</v>
      </c>
      <c r="C29" s="17" t="s">
        <v>596</v>
      </c>
      <c r="D29" s="17"/>
      <c r="E29" s="17" t="s">
        <v>597</v>
      </c>
      <c r="F29" s="17" t="s">
        <v>46</v>
      </c>
      <c r="G29" s="18">
        <v>0</v>
      </c>
      <c r="H29" s="18">
        <v>30</v>
      </c>
      <c r="I29" s="18">
        <f t="shared" si="0"/>
        <v>-30</v>
      </c>
      <c r="J29" s="17" t="s">
        <v>35</v>
      </c>
      <c r="K29" s="17" t="s">
        <v>35</v>
      </c>
      <c r="L29" s="17" t="s">
        <v>989</v>
      </c>
      <c r="M29" s="17"/>
      <c r="N29" s="17"/>
      <c r="O29" s="17"/>
      <c r="P29" s="17"/>
      <c r="Q29" s="17">
        <v>1</v>
      </c>
      <c r="R29" s="19">
        <f t="shared" si="2"/>
        <v>30</v>
      </c>
    </row>
    <row r="30" spans="1:18" customFormat="1" x14ac:dyDescent="0.25">
      <c r="A30" s="17" t="s">
        <v>61</v>
      </c>
      <c r="B30" s="17" t="s">
        <v>29</v>
      </c>
      <c r="C30" s="17" t="s">
        <v>1054</v>
      </c>
      <c r="D30" s="17"/>
      <c r="E30" s="17" t="s">
        <v>1055</v>
      </c>
      <c r="F30" s="17" t="s">
        <v>422</v>
      </c>
      <c r="G30" s="18">
        <v>0</v>
      </c>
      <c r="H30" s="18">
        <v>50</v>
      </c>
      <c r="I30" s="18">
        <f t="shared" si="0"/>
        <v>-50</v>
      </c>
      <c r="J30" s="17" t="s">
        <v>35</v>
      </c>
      <c r="K30" s="17" t="s">
        <v>35</v>
      </c>
      <c r="L30" s="17" t="s">
        <v>989</v>
      </c>
      <c r="M30" s="17"/>
      <c r="N30" s="17"/>
      <c r="O30" s="17"/>
      <c r="P30" s="17"/>
      <c r="Q30" s="17">
        <v>1</v>
      </c>
      <c r="R30" s="19">
        <f t="shared" si="2"/>
        <v>50</v>
      </c>
    </row>
    <row r="31" spans="1:18" customFormat="1" x14ac:dyDescent="0.25">
      <c r="A31" s="17"/>
      <c r="B31" s="17" t="s">
        <v>29</v>
      </c>
      <c r="C31" s="17" t="s">
        <v>1056</v>
      </c>
      <c r="D31" s="17" t="s">
        <v>1057</v>
      </c>
      <c r="E31" s="17" t="s">
        <v>1058</v>
      </c>
      <c r="F31" s="18">
        <v>1</v>
      </c>
      <c r="G31" s="18">
        <v>365</v>
      </c>
      <c r="H31" s="18">
        <v>25</v>
      </c>
      <c r="I31" s="18">
        <f t="shared" si="0"/>
        <v>340</v>
      </c>
      <c r="J31" s="17" t="s">
        <v>121</v>
      </c>
      <c r="K31" s="17" t="s">
        <v>35</v>
      </c>
      <c r="L31" s="17" t="s">
        <v>989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1059</v>
      </c>
      <c r="D32" s="17" t="s">
        <v>1060</v>
      </c>
      <c r="E32" s="17" t="s">
        <v>1061</v>
      </c>
      <c r="F32" s="18">
        <v>7</v>
      </c>
      <c r="G32" s="18">
        <v>770</v>
      </c>
      <c r="H32" s="18">
        <v>30</v>
      </c>
      <c r="I32" s="18">
        <f t="shared" si="0"/>
        <v>740</v>
      </c>
      <c r="J32" s="17" t="s">
        <v>121</v>
      </c>
      <c r="K32" s="17" t="s">
        <v>35</v>
      </c>
      <c r="L32" s="17" t="s">
        <v>989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258</v>
      </c>
      <c r="D33" s="17" t="s">
        <v>1062</v>
      </c>
      <c r="E33" s="17" t="s">
        <v>260</v>
      </c>
      <c r="F33" s="18">
        <v>4</v>
      </c>
      <c r="G33" s="18">
        <v>565</v>
      </c>
      <c r="H33" s="18">
        <v>25</v>
      </c>
      <c r="I33" s="18">
        <f t="shared" si="0"/>
        <v>540</v>
      </c>
      <c r="J33" s="17" t="s">
        <v>121</v>
      </c>
      <c r="K33" s="17" t="s">
        <v>35</v>
      </c>
      <c r="L33" s="17" t="s">
        <v>989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1063</v>
      </c>
      <c r="D34" s="17" t="s">
        <v>1064</v>
      </c>
      <c r="E34" s="17" t="s">
        <v>1065</v>
      </c>
      <c r="F34" s="17" t="s">
        <v>57</v>
      </c>
      <c r="G34" s="18">
        <v>725</v>
      </c>
      <c r="H34" s="18">
        <v>35</v>
      </c>
      <c r="I34" s="18">
        <f t="shared" si="0"/>
        <v>690</v>
      </c>
      <c r="J34" s="17" t="s">
        <v>121</v>
      </c>
      <c r="K34" s="17" t="s">
        <v>35</v>
      </c>
      <c r="L34" s="17" t="s">
        <v>989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855</v>
      </c>
      <c r="D35" s="17" t="s">
        <v>1066</v>
      </c>
      <c r="E35" s="17" t="s">
        <v>1067</v>
      </c>
      <c r="F35" s="18">
        <v>7</v>
      </c>
      <c r="G35" s="18">
        <v>920</v>
      </c>
      <c r="H35" s="18">
        <v>30</v>
      </c>
      <c r="I35" s="18">
        <f t="shared" si="0"/>
        <v>890</v>
      </c>
      <c r="J35" s="17" t="s">
        <v>121</v>
      </c>
      <c r="K35" s="17" t="s">
        <v>35</v>
      </c>
      <c r="L35" s="17" t="s">
        <v>989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1068</v>
      </c>
      <c r="D36" s="17" t="s">
        <v>1069</v>
      </c>
      <c r="E36" s="17" t="s">
        <v>1070</v>
      </c>
      <c r="F36" s="18">
        <v>7</v>
      </c>
      <c r="G36" s="18">
        <v>920</v>
      </c>
      <c r="H36" s="18">
        <v>30</v>
      </c>
      <c r="I36" s="18">
        <f t="shared" si="0"/>
        <v>890</v>
      </c>
      <c r="J36" s="17" t="s">
        <v>121</v>
      </c>
      <c r="K36" s="17" t="s">
        <v>35</v>
      </c>
      <c r="L36" s="17" t="s">
        <v>989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1071</v>
      </c>
      <c r="D37" s="17" t="s">
        <v>1072</v>
      </c>
      <c r="E37" s="17" t="s">
        <v>1073</v>
      </c>
      <c r="F37" s="18">
        <v>7</v>
      </c>
      <c r="G37" s="18">
        <v>850</v>
      </c>
      <c r="H37" s="18">
        <v>30</v>
      </c>
      <c r="I37" s="18">
        <f t="shared" si="0"/>
        <v>820</v>
      </c>
      <c r="J37" s="17" t="s">
        <v>121</v>
      </c>
      <c r="K37" s="17" t="s">
        <v>35</v>
      </c>
      <c r="L37" s="17" t="s">
        <v>989</v>
      </c>
      <c r="M37" s="17"/>
      <c r="N37" s="17"/>
      <c r="O37" s="17"/>
      <c r="P37" s="17"/>
      <c r="Q37" s="17">
        <v>1</v>
      </c>
    </row>
    <row r="38" spans="1:18" s="22" customFormat="1" x14ac:dyDescent="0.25">
      <c r="A38" s="20"/>
      <c r="B38" s="20" t="s">
        <v>29</v>
      </c>
      <c r="C38" s="20" t="s">
        <v>972</v>
      </c>
      <c r="D38" s="20" t="s">
        <v>1074</v>
      </c>
      <c r="E38" s="20" t="s">
        <v>1075</v>
      </c>
      <c r="F38" s="21">
        <v>10</v>
      </c>
      <c r="G38" s="21">
        <v>0</v>
      </c>
      <c r="H38" s="21">
        <v>25</v>
      </c>
      <c r="I38" s="21">
        <f t="shared" si="0"/>
        <v>-25</v>
      </c>
      <c r="J38" s="20" t="s">
        <v>121</v>
      </c>
      <c r="K38" s="20" t="s">
        <v>35</v>
      </c>
      <c r="L38" s="20" t="s">
        <v>989</v>
      </c>
      <c r="M38" s="30" t="s">
        <v>1080</v>
      </c>
      <c r="N38" s="20"/>
      <c r="O38" s="20"/>
      <c r="P38" s="20"/>
      <c r="Q38" s="20">
        <v>1</v>
      </c>
      <c r="R38" s="23">
        <f>H38</f>
        <v>25</v>
      </c>
    </row>
    <row r="39" spans="1:18" customFormat="1" x14ac:dyDescent="0.25">
      <c r="A39" s="17" t="s">
        <v>61</v>
      </c>
      <c r="B39" s="17" t="s">
        <v>29</v>
      </c>
      <c r="C39" s="17" t="s">
        <v>1076</v>
      </c>
      <c r="D39" s="17"/>
      <c r="E39" s="17" t="s">
        <v>1077</v>
      </c>
      <c r="F39" s="18">
        <v>5</v>
      </c>
      <c r="G39" s="18">
        <v>1480</v>
      </c>
      <c r="H39" s="18">
        <v>30</v>
      </c>
      <c r="I39" s="18">
        <f t="shared" si="0"/>
        <v>1450</v>
      </c>
      <c r="J39" s="17" t="s">
        <v>121</v>
      </c>
      <c r="K39" s="17" t="s">
        <v>35</v>
      </c>
      <c r="L39" s="17" t="s">
        <v>989</v>
      </c>
      <c r="M39" s="17"/>
      <c r="N39" s="17"/>
      <c r="O39" s="17"/>
      <c r="P39" s="17"/>
      <c r="Q39" s="17">
        <v>1</v>
      </c>
    </row>
    <row r="40" spans="1:18" customFormat="1" x14ac:dyDescent="0.25">
      <c r="A40" s="17" t="s">
        <v>61</v>
      </c>
      <c r="B40" s="17" t="s">
        <v>29</v>
      </c>
      <c r="C40" s="17" t="s">
        <v>332</v>
      </c>
      <c r="D40" s="17"/>
      <c r="E40" s="17" t="s">
        <v>333</v>
      </c>
      <c r="F40" s="17" t="s">
        <v>46</v>
      </c>
      <c r="G40" s="18">
        <v>0</v>
      </c>
      <c r="H40" s="18">
        <v>40</v>
      </c>
      <c r="I40" s="18">
        <f t="shared" si="0"/>
        <v>-40</v>
      </c>
      <c r="J40" s="17" t="s">
        <v>121</v>
      </c>
      <c r="K40" s="17" t="s">
        <v>35</v>
      </c>
      <c r="L40" s="17" t="s">
        <v>989</v>
      </c>
      <c r="M40" s="17"/>
      <c r="N40" s="17"/>
      <c r="O40" s="17"/>
      <c r="P40" s="17"/>
      <c r="Q40" s="17">
        <v>1</v>
      </c>
      <c r="R40" s="19">
        <f>H40</f>
        <v>40</v>
      </c>
    </row>
    <row r="42" spans="1:18" x14ac:dyDescent="0.25">
      <c r="G42" s="1">
        <f t="shared" ref="G42:R42" si="3">SUBTOTAL(9,G3:G41)</f>
        <v>27315</v>
      </c>
      <c r="H42" s="1">
        <f t="shared" si="3"/>
        <v>1160</v>
      </c>
      <c r="I42" s="1">
        <f t="shared" si="3"/>
        <v>26155</v>
      </c>
      <c r="J42" s="1">
        <f t="shared" si="3"/>
        <v>0</v>
      </c>
      <c r="K42" s="1">
        <f t="shared" si="3"/>
        <v>0</v>
      </c>
      <c r="L42" s="1">
        <f t="shared" si="3"/>
        <v>0</v>
      </c>
      <c r="M42" s="1">
        <f t="shared" si="3"/>
        <v>0</v>
      </c>
      <c r="N42" s="1">
        <f t="shared" si="3"/>
        <v>0</v>
      </c>
      <c r="O42" s="1">
        <f t="shared" si="3"/>
        <v>0</v>
      </c>
      <c r="P42" s="1">
        <f t="shared" si="3"/>
        <v>0</v>
      </c>
      <c r="Q42" s="1">
        <f t="shared" si="3"/>
        <v>38</v>
      </c>
      <c r="R42" s="1">
        <f t="shared" si="3"/>
        <v>395</v>
      </c>
    </row>
    <row r="46" spans="1:18" ht="20.25" customHeight="1" x14ac:dyDescent="0.3">
      <c r="H46" s="4" t="s">
        <v>984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26155</v>
      </c>
      <c r="J47" s="8">
        <f>Q42</f>
        <v>38</v>
      </c>
    </row>
    <row r="48" spans="1:18" x14ac:dyDescent="0.25">
      <c r="H48" s="9" t="s">
        <v>18</v>
      </c>
      <c r="I48" s="10">
        <f>R42</f>
        <v>395</v>
      </c>
      <c r="J48" s="11"/>
    </row>
    <row r="49" spans="1:12" x14ac:dyDescent="0.25">
      <c r="H49" s="9" t="s">
        <v>19</v>
      </c>
      <c r="I49" s="10">
        <f>S41</f>
        <v>0</v>
      </c>
      <c r="J49" s="11"/>
    </row>
    <row r="50" spans="1:12" x14ac:dyDescent="0.25">
      <c r="H50" s="9" t="s">
        <v>20</v>
      </c>
      <c r="I50" s="10">
        <f>T41</f>
        <v>0</v>
      </c>
      <c r="J50" s="11"/>
    </row>
    <row r="51" spans="1:12" x14ac:dyDescent="0.25">
      <c r="H51" s="9" t="s">
        <v>21</v>
      </c>
      <c r="I51" s="10">
        <f>U41</f>
        <v>0</v>
      </c>
      <c r="J51" s="11"/>
    </row>
    <row r="52" spans="1:12" ht="15.75" customHeight="1" x14ac:dyDescent="0.25">
      <c r="H52" s="12" t="s">
        <v>22</v>
      </c>
      <c r="I52" s="13"/>
      <c r="J52" s="13"/>
    </row>
    <row r="53" spans="1:12" ht="15.75" customHeight="1" x14ac:dyDescent="0.25">
      <c r="H53" s="14" t="s">
        <v>23</v>
      </c>
      <c r="I53" s="13"/>
      <c r="J53" s="13"/>
    </row>
    <row r="54" spans="1:12" ht="21" customHeight="1" x14ac:dyDescent="0.35">
      <c r="H54" s="15" t="s">
        <v>24</v>
      </c>
      <c r="I54" s="16">
        <f>SUM(I47:I53)</f>
        <v>26550</v>
      </c>
      <c r="J54" s="16">
        <f>SUM(J47:J51)</f>
        <v>38</v>
      </c>
    </row>
    <row r="56" spans="1:12" x14ac:dyDescent="0.25">
      <c r="A56" s="1" t="s">
        <v>567</v>
      </c>
    </row>
    <row r="57" spans="1:12" x14ac:dyDescent="0.25">
      <c r="A57" s="28" t="s">
        <v>29</v>
      </c>
      <c r="B57" s="28" t="s">
        <v>1027</v>
      </c>
      <c r="C57" s="28" t="s">
        <v>1028</v>
      </c>
      <c r="D57" s="28" t="s">
        <v>1029</v>
      </c>
      <c r="E57" s="29">
        <v>2</v>
      </c>
      <c r="F57" s="29">
        <v>910</v>
      </c>
      <c r="G57" s="29">
        <v>0</v>
      </c>
      <c r="H57" s="29">
        <f>F57-G57</f>
        <v>910</v>
      </c>
      <c r="I57" s="28" t="s">
        <v>35</v>
      </c>
      <c r="J57" s="28" t="s">
        <v>35</v>
      </c>
      <c r="K57" s="28" t="s">
        <v>989</v>
      </c>
      <c r="L57" s="30" t="s">
        <v>1078</v>
      </c>
    </row>
    <row r="58" spans="1:12" x14ac:dyDescent="0.25">
      <c r="A58" s="28" t="s">
        <v>29</v>
      </c>
      <c r="B58" s="28" t="s">
        <v>1048</v>
      </c>
      <c r="C58" s="28" t="s">
        <v>1049</v>
      </c>
      <c r="D58" s="28" t="s">
        <v>1050</v>
      </c>
      <c r="E58" s="28" t="s">
        <v>80</v>
      </c>
      <c r="F58" s="29">
        <v>1390</v>
      </c>
      <c r="G58" s="29">
        <v>0</v>
      </c>
      <c r="H58" s="29">
        <f>F58-G58</f>
        <v>1390</v>
      </c>
      <c r="I58" s="28" t="s">
        <v>35</v>
      </c>
      <c r="J58" s="28" t="s">
        <v>35</v>
      </c>
      <c r="K58" s="28" t="s">
        <v>989</v>
      </c>
      <c r="L58" s="30" t="s">
        <v>1079</v>
      </c>
    </row>
    <row r="59" spans="1:12" x14ac:dyDescent="0.25">
      <c r="A59" s="31" t="s">
        <v>29</v>
      </c>
      <c r="B59" s="31" t="s">
        <v>972</v>
      </c>
      <c r="C59" s="31" t="s">
        <v>1074</v>
      </c>
      <c r="D59" s="31" t="s">
        <v>1075</v>
      </c>
      <c r="E59" s="32">
        <v>10</v>
      </c>
      <c r="F59" s="32">
        <v>25</v>
      </c>
      <c r="G59" s="32">
        <v>0</v>
      </c>
      <c r="H59" s="32">
        <f t="shared" ref="H59" si="4">F59-G59</f>
        <v>25</v>
      </c>
      <c r="I59" s="31" t="s">
        <v>121</v>
      </c>
      <c r="J59" s="31" t="s">
        <v>35</v>
      </c>
      <c r="K59" s="31" t="s">
        <v>989</v>
      </c>
      <c r="L59" s="30" t="s">
        <v>1081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1-8</vt:lpstr>
      <vt:lpstr>3-8</vt:lpstr>
      <vt:lpstr>4-8</vt:lpstr>
      <vt:lpstr>5-8</vt:lpstr>
      <vt:lpstr>6-8</vt:lpstr>
      <vt:lpstr>7-8</vt:lpstr>
      <vt:lpstr>8-8</vt:lpstr>
      <vt:lpstr>10-8</vt:lpstr>
      <vt:lpstr>11-8</vt:lpstr>
      <vt:lpstr>12-8</vt:lpstr>
      <vt:lpstr>13-8</vt:lpstr>
      <vt:lpstr>14-8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2026-08-15T06:18:09Z</dcterms:modified>
</cp:coreProperties>
</file>