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Aug\"/>
    </mc:Choice>
  </mc:AlternateContent>
  <xr:revisionPtr revIDLastSave="0" documentId="13_ncr:1_{C734486C-96AB-42C4-AA30-75505C42D41A}" xr6:coauthVersionLast="47" xr6:coauthVersionMax="47" xr10:uidLastSave="{00000000-0000-0000-0000-000000000000}"/>
  <bookViews>
    <workbookView xWindow="-120" yWindow="-120" windowWidth="29040" windowHeight="15720" tabRatio="973" xr2:uid="{00000000-000D-0000-FFFF-FFFF00000000}"/>
  </bookViews>
  <sheets>
    <sheet name="Sheet1" sheetId="19" r:id="rId1"/>
    <sheet name="01-08" sheetId="7" r:id="rId2"/>
    <sheet name="03-08" sheetId="8" r:id="rId3"/>
    <sheet name="04-08" sheetId="9" r:id="rId4"/>
    <sheet name="05-08" sheetId="10" r:id="rId5"/>
    <sheet name="06-08" sheetId="11" r:id="rId6"/>
    <sheet name="07-08" sheetId="12" r:id="rId7"/>
    <sheet name="08-08" sheetId="13" r:id="rId8"/>
    <sheet name="10-08" sheetId="14" r:id="rId9"/>
    <sheet name="11-08" sheetId="15" r:id="rId10"/>
    <sheet name="12-08" sheetId="16" r:id="rId11"/>
    <sheet name="13-08" sheetId="17" r:id="rId12"/>
    <sheet name="14-08" sheetId="18" r:id="rId13"/>
    <sheet name="15-08" sheetId="20" r:id="rId14"/>
    <sheet name="17-08" sheetId="21" r:id="rId15"/>
    <sheet name="18-08" sheetId="22" r:id="rId16"/>
    <sheet name="19-08" sheetId="23" r:id="rId17"/>
    <sheet name="20-08" sheetId="24" r:id="rId18"/>
    <sheet name="21-08" sheetId="25" r:id="rId19"/>
    <sheet name="22-08" sheetId="26" r:id="rId20"/>
    <sheet name="24-08_Morning" sheetId="27" r:id="rId21"/>
    <sheet name="24-08_Night" sheetId="28" r:id="rId22"/>
    <sheet name="25-08_Morning" sheetId="29" r:id="rId23"/>
    <sheet name="25-08_Night" sheetId="30" r:id="rId24"/>
    <sheet name="26-08_Morning" sheetId="31" r:id="rId25"/>
    <sheet name="26-08_Night" sheetId="32" r:id="rId26"/>
    <sheet name="27-08_Morning" sheetId="33" r:id="rId27"/>
    <sheet name="27-08_Night" sheetId="34" r:id="rId28"/>
    <sheet name="28-08_Morning" sheetId="35" r:id="rId29"/>
    <sheet name="28-08_Night" sheetId="36" r:id="rId30"/>
    <sheet name="29-08" sheetId="37" r:id="rId31"/>
    <sheet name="30-08" sheetId="38" r:id="rId32"/>
    <sheet name="31-08_Morning" sheetId="39" r:id="rId33"/>
    <sheet name="31-08_Night" sheetId="40" r:id="rId34"/>
  </sheets>
  <definedNames>
    <definedName name="_xlnm._FilterDatabase" localSheetId="1" hidden="1">'01-08'!$A$2:$P$41</definedName>
    <definedName name="_xlnm._FilterDatabase" localSheetId="2" hidden="1">'03-08'!$A$2:$P$48</definedName>
    <definedName name="_xlnm._FilterDatabase" localSheetId="3" hidden="1">'04-08'!$A$2:$P$25</definedName>
    <definedName name="_xlnm._FilterDatabase" localSheetId="4" hidden="1">'05-08'!$A$2:$P$26</definedName>
    <definedName name="_xlnm._FilterDatabase" localSheetId="5" hidden="1">'06-08'!$A$2:$P$35</definedName>
    <definedName name="_xlnm._FilterDatabase" localSheetId="6" hidden="1">'07-08'!$A$2:$P$22</definedName>
    <definedName name="_xlnm._FilterDatabase" localSheetId="7" hidden="1">'08-08'!$A$2:$P$21</definedName>
    <definedName name="_xlnm._FilterDatabase" localSheetId="8" hidden="1">'10-08'!$A$2:$P$57</definedName>
    <definedName name="_xlnm._FilterDatabase" localSheetId="9" hidden="1">'11-08'!$A$2:$P$18</definedName>
    <definedName name="_xlnm._FilterDatabase" localSheetId="10" hidden="1">'12-08'!$A$2:$P$38</definedName>
    <definedName name="_xlnm._FilterDatabase" localSheetId="11" hidden="1">'13-08'!$A$2:$P$40</definedName>
    <definedName name="_xlnm._FilterDatabase" localSheetId="12" hidden="1">'14-08'!$A$2:$P$40</definedName>
    <definedName name="_xlnm._FilterDatabase" localSheetId="13" hidden="1">'15-08'!$A$2:$P$36</definedName>
    <definedName name="_xlnm._FilterDatabase" localSheetId="14" hidden="1">'17-08'!$A$2:$P$75</definedName>
    <definedName name="_xlnm._FilterDatabase" localSheetId="15" hidden="1">'18-08'!$A$2:$P$40</definedName>
    <definedName name="_xlnm._FilterDatabase" localSheetId="16" hidden="1">'19-08'!$A$2:$P$45</definedName>
    <definedName name="_xlnm._FilterDatabase" localSheetId="17" hidden="1">'20-08'!$A$2:$P$45</definedName>
    <definedName name="_xlnm._FilterDatabase" localSheetId="18" hidden="1">'21-08'!$A$2:$P$38</definedName>
    <definedName name="_xlnm._FilterDatabase" localSheetId="19" hidden="1">'22-08'!$A$2:$P$33</definedName>
    <definedName name="_xlnm._FilterDatabase" localSheetId="20" hidden="1">'24-08_Morning'!$A$2:$P$44</definedName>
    <definedName name="_xlnm._FilterDatabase" localSheetId="21" hidden="1">'24-08_Night'!$A$2:$P$62</definedName>
    <definedName name="_xlnm._FilterDatabase" localSheetId="22" hidden="1">'25-08_Morning'!$A$2:$P$75</definedName>
    <definedName name="_xlnm._FilterDatabase" localSheetId="23" hidden="1">'25-08_Night'!$A$2:$P$117</definedName>
    <definedName name="_xlnm._FilterDatabase" localSheetId="24" hidden="1">'26-08_Morning'!$A$2:$P$188</definedName>
    <definedName name="_xlnm._FilterDatabase" localSheetId="25" hidden="1">'26-08_Night'!$A$2:$P$85</definedName>
    <definedName name="_xlnm._FilterDatabase" localSheetId="26" hidden="1">'27-08_Morning'!$A$2:$P$171</definedName>
    <definedName name="_xlnm._FilterDatabase" localSheetId="27" hidden="1">'27-08_Night'!$A$2:$P$113</definedName>
    <definedName name="_xlnm._FilterDatabase" localSheetId="28" hidden="1">'28-08_Morning'!$A$2:$P$151</definedName>
    <definedName name="_xlnm._FilterDatabase" localSheetId="29" hidden="1">'28-08_Night'!$A$2:$P$79</definedName>
    <definedName name="_xlnm._FilterDatabase" localSheetId="30" hidden="1">'29-08'!$A$2:$P$317</definedName>
    <definedName name="_xlnm._FilterDatabase" localSheetId="31" hidden="1">'30-08'!$A$2:$P$115</definedName>
    <definedName name="_xlnm._FilterDatabase" localSheetId="32" hidden="1">'31-08_Morning'!$A$2:$P$77</definedName>
    <definedName name="_xlnm._FilterDatabase" localSheetId="33" hidden="1">'31-08_Night'!$A$2:$P$37</definedName>
    <definedName name="_xlnm._FilterDatabase" localSheetId="0" hidden="1">Sheet1!$A$2:$E$35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0" i="37" l="1"/>
  <c r="R4" i="29"/>
  <c r="R16" i="32"/>
  <c r="R33" i="33"/>
  <c r="R14" i="33"/>
  <c r="R27" i="33"/>
  <c r="R99" i="37"/>
  <c r="R63" i="37"/>
  <c r="R85" i="37"/>
  <c r="R15" i="38"/>
  <c r="R26" i="39"/>
  <c r="R33" i="35" l="1"/>
  <c r="R7" i="39" l="1"/>
  <c r="C122" i="38" l="1"/>
  <c r="R234" i="37"/>
  <c r="R57" i="39"/>
  <c r="R24" i="40" l="1"/>
  <c r="H40" i="40" l="1"/>
  <c r="R30" i="40"/>
  <c r="R23" i="40"/>
  <c r="R20" i="40"/>
  <c r="R15" i="40"/>
  <c r="R14" i="40"/>
  <c r="R12" i="40"/>
  <c r="R25" i="40"/>
  <c r="R16" i="40"/>
  <c r="R13" i="40"/>
  <c r="R11" i="40"/>
  <c r="R7" i="40"/>
  <c r="M60" i="40"/>
  <c r="L60" i="40" s="1"/>
  <c r="M59" i="40"/>
  <c r="L59" i="40" s="1"/>
  <c r="M58" i="40"/>
  <c r="M63" i="40" s="1"/>
  <c r="L58" i="40"/>
  <c r="M52" i="40"/>
  <c r="L52" i="40" s="1"/>
  <c r="M51" i="40"/>
  <c r="L51" i="40" s="1"/>
  <c r="M50" i="40"/>
  <c r="M55" i="40" s="1"/>
  <c r="L50" i="40"/>
  <c r="M44" i="40"/>
  <c r="L44" i="40" s="1"/>
  <c r="E44" i="40"/>
  <c r="C44" i="40"/>
  <c r="M43" i="40"/>
  <c r="M42" i="40"/>
  <c r="M47" i="40" s="1"/>
  <c r="L42" i="40"/>
  <c r="H42" i="40"/>
  <c r="E42" i="40"/>
  <c r="E45" i="40" s="1"/>
  <c r="H41" i="40"/>
  <c r="L43" i="40"/>
  <c r="Q39" i="40"/>
  <c r="P39" i="40"/>
  <c r="O39" i="40"/>
  <c r="N39" i="40"/>
  <c r="M39" i="40"/>
  <c r="L39" i="40"/>
  <c r="K39" i="40"/>
  <c r="J39" i="40"/>
  <c r="H39" i="40"/>
  <c r="G39" i="40"/>
  <c r="D39" i="40"/>
  <c r="I11" i="40"/>
  <c r="I37" i="40"/>
  <c r="I10" i="40"/>
  <c r="I23" i="40"/>
  <c r="I22" i="40"/>
  <c r="I9" i="40"/>
  <c r="I36" i="40"/>
  <c r="I35" i="40"/>
  <c r="I21" i="40"/>
  <c r="I20" i="40"/>
  <c r="I34" i="40"/>
  <c r="I8" i="40"/>
  <c r="I19" i="40"/>
  <c r="I18" i="40"/>
  <c r="I33" i="40"/>
  <c r="I7" i="40"/>
  <c r="I17" i="40"/>
  <c r="I6" i="40"/>
  <c r="I16" i="40"/>
  <c r="I32" i="40"/>
  <c r="I31" i="40"/>
  <c r="I30" i="40"/>
  <c r="I15" i="40"/>
  <c r="I29" i="40"/>
  <c r="I28" i="40"/>
  <c r="I27" i="40"/>
  <c r="I5" i="40"/>
  <c r="I26" i="40"/>
  <c r="I14" i="40"/>
  <c r="I25" i="40"/>
  <c r="I4" i="40"/>
  <c r="I13" i="40"/>
  <c r="I12" i="40"/>
  <c r="I24" i="40"/>
  <c r="I3" i="40"/>
  <c r="R76" i="39"/>
  <c r="R64" i="39"/>
  <c r="R50" i="39"/>
  <c r="R49" i="39"/>
  <c r="R48" i="39"/>
  <c r="R38" i="39"/>
  <c r="R25" i="39"/>
  <c r="R17" i="39"/>
  <c r="R11" i="39"/>
  <c r="R10" i="39"/>
  <c r="R6" i="39"/>
  <c r="R60" i="39"/>
  <c r="R27" i="39"/>
  <c r="R14" i="39"/>
  <c r="E84" i="39"/>
  <c r="E82" i="39"/>
  <c r="E85" i="39" s="1"/>
  <c r="M100" i="39"/>
  <c r="L100" i="39" s="1"/>
  <c r="M99" i="39"/>
  <c r="L99" i="39" s="1"/>
  <c r="M98" i="39"/>
  <c r="M103" i="39" s="1"/>
  <c r="L98" i="39"/>
  <c r="M92" i="39"/>
  <c r="L92" i="39" s="1"/>
  <c r="M91" i="39"/>
  <c r="L91" i="39" s="1"/>
  <c r="M90" i="39"/>
  <c r="M95" i="39" s="1"/>
  <c r="L90" i="39"/>
  <c r="M84" i="39"/>
  <c r="L84" i="39" s="1"/>
  <c r="M83" i="39"/>
  <c r="M82" i="39"/>
  <c r="M87" i="39" s="1"/>
  <c r="L82" i="39"/>
  <c r="H82" i="39"/>
  <c r="H81" i="39"/>
  <c r="H80" i="39"/>
  <c r="Q79" i="39"/>
  <c r="P79" i="39"/>
  <c r="O79" i="39"/>
  <c r="N79" i="39"/>
  <c r="M79" i="39"/>
  <c r="L79" i="39"/>
  <c r="K79" i="39"/>
  <c r="J79" i="39"/>
  <c r="H79" i="39"/>
  <c r="G79" i="39"/>
  <c r="D79" i="39"/>
  <c r="I58" i="39"/>
  <c r="I57" i="39"/>
  <c r="I37" i="39"/>
  <c r="I36" i="39"/>
  <c r="I35" i="39"/>
  <c r="I34" i="39"/>
  <c r="I33" i="39"/>
  <c r="I56" i="39"/>
  <c r="I55" i="39"/>
  <c r="I76" i="39"/>
  <c r="I75" i="39"/>
  <c r="I32" i="39"/>
  <c r="I31" i="39"/>
  <c r="I74" i="39"/>
  <c r="I30" i="39"/>
  <c r="I29" i="39"/>
  <c r="I73" i="39"/>
  <c r="I54" i="39"/>
  <c r="I28" i="39"/>
  <c r="I53" i="39"/>
  <c r="I77" i="39"/>
  <c r="C84" i="39" s="1"/>
  <c r="I27" i="39"/>
  <c r="I72" i="39"/>
  <c r="I52" i="39"/>
  <c r="I51" i="39"/>
  <c r="I26" i="39"/>
  <c r="I71" i="39"/>
  <c r="I25" i="39"/>
  <c r="I50" i="39"/>
  <c r="I70" i="39"/>
  <c r="I24" i="39"/>
  <c r="I49" i="39"/>
  <c r="I69" i="39"/>
  <c r="I48" i="39"/>
  <c r="I23" i="39"/>
  <c r="I22" i="39"/>
  <c r="I21" i="39"/>
  <c r="I68" i="39"/>
  <c r="I67" i="39"/>
  <c r="I20" i="39"/>
  <c r="I19" i="39"/>
  <c r="I47" i="39"/>
  <c r="I46" i="39"/>
  <c r="I45" i="39"/>
  <c r="I18" i="39"/>
  <c r="I17" i="39"/>
  <c r="I44" i="39"/>
  <c r="I16" i="39"/>
  <c r="I15" i="39"/>
  <c r="I14" i="39"/>
  <c r="I43" i="39"/>
  <c r="I66" i="39"/>
  <c r="I65" i="39"/>
  <c r="I64" i="39"/>
  <c r="I63" i="39"/>
  <c r="I62" i="39"/>
  <c r="I13" i="39"/>
  <c r="I61" i="39"/>
  <c r="I60" i="39"/>
  <c r="I12" i="39"/>
  <c r="I11" i="39"/>
  <c r="I10" i="39"/>
  <c r="I9" i="39"/>
  <c r="I42" i="39"/>
  <c r="I41" i="39"/>
  <c r="I40" i="39"/>
  <c r="I8" i="39"/>
  <c r="I7" i="39"/>
  <c r="I6" i="39"/>
  <c r="I5" i="39"/>
  <c r="I39" i="39"/>
  <c r="I38" i="39"/>
  <c r="I59" i="39"/>
  <c r="I4" i="39"/>
  <c r="I3" i="39"/>
  <c r="R82" i="38"/>
  <c r="R98" i="38"/>
  <c r="R96" i="38"/>
  <c r="R78" i="38"/>
  <c r="R72" i="38"/>
  <c r="R71" i="38"/>
  <c r="R67" i="38"/>
  <c r="R33" i="38"/>
  <c r="R22" i="38"/>
  <c r="R14" i="38"/>
  <c r="R9" i="38"/>
  <c r="R3" i="38"/>
  <c r="R103" i="38"/>
  <c r="R102" i="38"/>
  <c r="R94" i="38"/>
  <c r="R88" i="38"/>
  <c r="R84" i="38"/>
  <c r="R81" i="38"/>
  <c r="R66" i="38"/>
  <c r="R61" i="38"/>
  <c r="R56" i="38"/>
  <c r="R51" i="38"/>
  <c r="R47" i="38"/>
  <c r="R46" i="38"/>
  <c r="R39" i="38"/>
  <c r="R37" i="38"/>
  <c r="R24" i="38"/>
  <c r="R23" i="38"/>
  <c r="R20" i="38"/>
  <c r="R17" i="38"/>
  <c r="R11" i="38"/>
  <c r="M138" i="38"/>
  <c r="L138" i="38" s="1"/>
  <c r="M137" i="38"/>
  <c r="L137" i="38" s="1"/>
  <c r="M136" i="38"/>
  <c r="M141" i="38" s="1"/>
  <c r="L136" i="38"/>
  <c r="M130" i="38"/>
  <c r="L130" i="38" s="1"/>
  <c r="M129" i="38"/>
  <c r="M128" i="38"/>
  <c r="M133" i="38" s="1"/>
  <c r="L128" i="38"/>
  <c r="M122" i="38"/>
  <c r="L122" i="38" s="1"/>
  <c r="E122" i="38"/>
  <c r="M121" i="38"/>
  <c r="L121" i="38" s="1"/>
  <c r="M120" i="38"/>
  <c r="L120" i="38"/>
  <c r="E120" i="38"/>
  <c r="E123" i="38" s="1"/>
  <c r="H119" i="38"/>
  <c r="H118" i="38"/>
  <c r="Q117" i="38"/>
  <c r="P117" i="38"/>
  <c r="O117" i="38"/>
  <c r="N117" i="38"/>
  <c r="M117" i="38"/>
  <c r="L117" i="38"/>
  <c r="K117" i="38"/>
  <c r="J117" i="38"/>
  <c r="H117" i="38"/>
  <c r="G117" i="38"/>
  <c r="D117" i="38"/>
  <c r="I33" i="38"/>
  <c r="I32" i="38"/>
  <c r="I31" i="38"/>
  <c r="I115" i="38"/>
  <c r="I114" i="38"/>
  <c r="I113" i="38"/>
  <c r="I112" i="38"/>
  <c r="I111" i="38"/>
  <c r="I110" i="38"/>
  <c r="I109" i="38"/>
  <c r="I30" i="38"/>
  <c r="I29" i="38"/>
  <c r="I28" i="38"/>
  <c r="I27" i="38"/>
  <c r="I71" i="38"/>
  <c r="I105" i="38"/>
  <c r="I26" i="38"/>
  <c r="I25" i="38"/>
  <c r="I70" i="38"/>
  <c r="I69" i="38"/>
  <c r="I104" i="38"/>
  <c r="I24" i="38"/>
  <c r="I23" i="38"/>
  <c r="I108" i="38"/>
  <c r="I68" i="38"/>
  <c r="I67" i="38"/>
  <c r="I103" i="38"/>
  <c r="I107" i="38"/>
  <c r="I66" i="38"/>
  <c r="I22" i="38"/>
  <c r="I21" i="38"/>
  <c r="I65" i="38"/>
  <c r="I106" i="38"/>
  <c r="I102" i="38"/>
  <c r="I101" i="38"/>
  <c r="I64" i="38"/>
  <c r="I20" i="38"/>
  <c r="I100" i="38"/>
  <c r="I19" i="38"/>
  <c r="I18" i="38"/>
  <c r="I99" i="38"/>
  <c r="I63" i="38"/>
  <c r="I62" i="38"/>
  <c r="I61" i="38"/>
  <c r="I17" i="38"/>
  <c r="I16" i="38"/>
  <c r="I15" i="38"/>
  <c r="I117" i="38" s="1"/>
  <c r="I98" i="38"/>
  <c r="I60" i="38"/>
  <c r="I14" i="38"/>
  <c r="I59" i="38"/>
  <c r="I97" i="38"/>
  <c r="I72" i="38"/>
  <c r="I58" i="38"/>
  <c r="I96" i="38"/>
  <c r="I95" i="38"/>
  <c r="I94" i="38"/>
  <c r="I57" i="38"/>
  <c r="I93" i="38"/>
  <c r="I56" i="38"/>
  <c r="I55" i="38"/>
  <c r="I54" i="38"/>
  <c r="I92" i="38"/>
  <c r="I13" i="38"/>
  <c r="I53" i="38"/>
  <c r="I52" i="38"/>
  <c r="I91" i="38"/>
  <c r="I51" i="38"/>
  <c r="I90" i="38"/>
  <c r="I89" i="38"/>
  <c r="I50" i="38"/>
  <c r="I49" i="38"/>
  <c r="I48" i="38"/>
  <c r="I47" i="38"/>
  <c r="I46" i="38"/>
  <c r="I12" i="38"/>
  <c r="I88" i="38"/>
  <c r="I87" i="38"/>
  <c r="I86" i="38"/>
  <c r="I11" i="38"/>
  <c r="I85" i="38"/>
  <c r="I45" i="38"/>
  <c r="I44" i="38"/>
  <c r="I43" i="38"/>
  <c r="I42" i="38"/>
  <c r="I84" i="38"/>
  <c r="I41" i="38"/>
  <c r="I40" i="38"/>
  <c r="I39" i="38"/>
  <c r="I38" i="38"/>
  <c r="I83" i="38"/>
  <c r="I82" i="38"/>
  <c r="I10" i="38"/>
  <c r="I81" i="38"/>
  <c r="I37" i="38"/>
  <c r="I36" i="38"/>
  <c r="I80" i="38"/>
  <c r="I79" i="38"/>
  <c r="I78" i="38"/>
  <c r="I77" i="38"/>
  <c r="I35" i="38"/>
  <c r="I76" i="38"/>
  <c r="I9" i="38"/>
  <c r="I75" i="38"/>
  <c r="I34" i="38"/>
  <c r="I8" i="38"/>
  <c r="I7" i="38"/>
  <c r="I6" i="38"/>
  <c r="I5" i="38"/>
  <c r="I4" i="38"/>
  <c r="I3" i="38"/>
  <c r="I74" i="38"/>
  <c r="I73" i="38"/>
  <c r="I1" i="38"/>
  <c r="A3" i="19" a="1"/>
  <c r="I79" i="39" l="1"/>
  <c r="C42" i="40"/>
  <c r="C45" i="40" s="1"/>
  <c r="C49" i="40" s="1"/>
  <c r="P45" i="40" s="1"/>
  <c r="L55" i="40"/>
  <c r="P43" i="40" s="1"/>
  <c r="L47" i="40"/>
  <c r="P42" i="40" s="1"/>
  <c r="I39" i="40"/>
  <c r="L63" i="40"/>
  <c r="P44" i="40" s="1"/>
  <c r="A3" i="19"/>
  <c r="C82" i="39"/>
  <c r="C85" i="39" s="1"/>
  <c r="C89" i="39" s="1"/>
  <c r="P85" i="39" s="1"/>
  <c r="L83" i="39"/>
  <c r="L87" i="39" s="1"/>
  <c r="P82" i="39" s="1"/>
  <c r="L103" i="39"/>
  <c r="P84" i="39" s="1"/>
  <c r="L95" i="39"/>
  <c r="P83" i="39" s="1"/>
  <c r="L126" i="38"/>
  <c r="P120" i="38" s="1"/>
  <c r="M126" i="38"/>
  <c r="C120" i="38"/>
  <c r="L129" i="38"/>
  <c r="L133" i="38" s="1"/>
  <c r="P121" i="38" s="1"/>
  <c r="L141" i="38"/>
  <c r="P122" i="38" s="1"/>
  <c r="C20" i="19"/>
  <c r="B13" i="19"/>
  <c r="D22" i="19" a="1"/>
  <c r="B25" i="19"/>
  <c r="C15" i="19"/>
  <c r="B32" i="19"/>
  <c r="C31" i="19"/>
  <c r="D4" i="19" a="1"/>
  <c r="D34" i="19" a="1"/>
  <c r="B22" i="19"/>
  <c r="B4" i="19"/>
  <c r="B21" i="19"/>
  <c r="C26" i="19"/>
  <c r="C21" i="19"/>
  <c r="D18" i="19" a="1"/>
  <c r="D14" i="19" a="1"/>
  <c r="B35" i="19"/>
  <c r="B12" i="19"/>
  <c r="C22" i="19"/>
  <c r="B16" i="19"/>
  <c r="D6" i="19" a="1"/>
  <c r="B19" i="19"/>
  <c r="D17" i="19" a="1"/>
  <c r="B33" i="19"/>
  <c r="C6" i="19"/>
  <c r="C10" i="19"/>
  <c r="B15" i="19"/>
  <c r="B5" i="19"/>
  <c r="C13" i="19"/>
  <c r="B8" i="19"/>
  <c r="C5" i="19"/>
  <c r="C34" i="19"/>
  <c r="D19" i="19" a="1"/>
  <c r="C11" i="19"/>
  <c r="D35" i="19" a="1"/>
  <c r="D11" i="19" a="1"/>
  <c r="D16" i="19" a="1"/>
  <c r="C25" i="19"/>
  <c r="D31" i="19" a="1"/>
  <c r="D25" i="19" a="1"/>
  <c r="C17" i="19"/>
  <c r="C9" i="19"/>
  <c r="C18" i="19"/>
  <c r="D23" i="19" a="1"/>
  <c r="B20" i="19"/>
  <c r="C16" i="19"/>
  <c r="B11" i="19"/>
  <c r="B6" i="19"/>
  <c r="C7" i="19"/>
  <c r="D20" i="19" a="1"/>
  <c r="D5" i="19" a="1"/>
  <c r="B10" i="19"/>
  <c r="B23" i="19"/>
  <c r="C19" i="19"/>
  <c r="B34" i="19"/>
  <c r="B17" i="19"/>
  <c r="C14" i="19"/>
  <c r="D26" i="19" a="1"/>
  <c r="B14" i="19"/>
  <c r="D12" i="19" a="1"/>
  <c r="D9" i="19" a="1"/>
  <c r="B26" i="19"/>
  <c r="B9" i="19"/>
  <c r="C23" i="19"/>
  <c r="D7" i="19" a="1"/>
  <c r="B18" i="19"/>
  <c r="C32" i="19"/>
  <c r="C33" i="19"/>
  <c r="B31" i="19"/>
  <c r="D15" i="19" a="1"/>
  <c r="D21" i="19" a="1"/>
  <c r="B7" i="19"/>
  <c r="D33" i="19" a="1"/>
  <c r="C35" i="19"/>
  <c r="D10" i="19" a="1"/>
  <c r="D8" i="19" a="1"/>
  <c r="D13" i="19" a="1"/>
  <c r="C8" i="19"/>
  <c r="C4" i="19"/>
  <c r="C12" i="19"/>
  <c r="D3" i="19" a="1"/>
  <c r="D35" i="19" l="1"/>
  <c r="E35" i="19" s="1"/>
  <c r="D33" i="19"/>
  <c r="E33" i="19" s="1"/>
  <c r="D31" i="19"/>
  <c r="E31" i="19" s="1"/>
  <c r="D34" i="19"/>
  <c r="E34" i="19" s="1"/>
  <c r="D17" i="19"/>
  <c r="E17" i="19" s="1"/>
  <c r="D7" i="19"/>
  <c r="E7" i="19" s="1"/>
  <c r="D26" i="19"/>
  <c r="E26" i="19" s="1"/>
  <c r="D19" i="19"/>
  <c r="E19" i="19" s="1"/>
  <c r="D16" i="19"/>
  <c r="E16" i="19" s="1"/>
  <c r="D20" i="19"/>
  <c r="E20" i="19" s="1"/>
  <c r="D12" i="19"/>
  <c r="E12" i="19" s="1"/>
  <c r="D21" i="19"/>
  <c r="E21" i="19" s="1"/>
  <c r="D18" i="19"/>
  <c r="E18" i="19" s="1"/>
  <c r="D15" i="19"/>
  <c r="E15" i="19" s="1"/>
  <c r="D14" i="19"/>
  <c r="E14" i="19" s="1"/>
  <c r="D25" i="19"/>
  <c r="E25" i="19" s="1"/>
  <c r="D13" i="19"/>
  <c r="E13" i="19" s="1"/>
  <c r="D8" i="19"/>
  <c r="E8" i="19" s="1"/>
  <c r="D9" i="19"/>
  <c r="E9" i="19" s="1"/>
  <c r="D4" i="19"/>
  <c r="E4" i="19" s="1"/>
  <c r="D6" i="19"/>
  <c r="E6" i="19" s="1"/>
  <c r="D11" i="19"/>
  <c r="E11" i="19" s="1"/>
  <c r="D5" i="19"/>
  <c r="E5" i="19" s="1"/>
  <c r="D22" i="19"/>
  <c r="E22" i="19" s="1"/>
  <c r="D10" i="19"/>
  <c r="E10" i="19" s="1"/>
  <c r="D23" i="19"/>
  <c r="E23" i="19" s="1"/>
  <c r="D3" i="19"/>
  <c r="P46" i="40"/>
  <c r="P86" i="39"/>
  <c r="C123" i="38"/>
  <c r="C127" i="38" s="1"/>
  <c r="P123" i="38" s="1"/>
  <c r="P124" i="38" s="1"/>
  <c r="R233" i="37" l="1"/>
  <c r="R199" i="37"/>
  <c r="I323" i="37" l="1"/>
  <c r="I299" i="37"/>
  <c r="I298" i="37"/>
  <c r="R36" i="37"/>
  <c r="R98" i="35"/>
  <c r="I79" i="36" l="1"/>
  <c r="I78" i="36"/>
  <c r="I322" i="37"/>
  <c r="I321" i="37"/>
  <c r="R283" i="37" l="1"/>
  <c r="R272" i="37"/>
  <c r="R265" i="37"/>
  <c r="R260" i="37"/>
  <c r="R258" i="37"/>
  <c r="R255" i="37"/>
  <c r="R244" i="37"/>
  <c r="R243" i="37"/>
  <c r="R242" i="37"/>
  <c r="R218" i="37"/>
  <c r="R203" i="37"/>
  <c r="R202" i="37"/>
  <c r="R200" i="37"/>
  <c r="R194" i="37"/>
  <c r="R193" i="37"/>
  <c r="R184" i="37"/>
  <c r="R181" i="37"/>
  <c r="R178" i="37"/>
  <c r="R174" i="37"/>
  <c r="R171" i="37"/>
  <c r="R167" i="37"/>
  <c r="R151" i="37"/>
  <c r="R150" i="37"/>
  <c r="R145" i="37"/>
  <c r="R128" i="37"/>
  <c r="R112" i="37"/>
  <c r="R95" i="37"/>
  <c r="R92" i="37"/>
  <c r="R89" i="37"/>
  <c r="R88" i="37"/>
  <c r="R67" i="37"/>
  <c r="R61" i="37"/>
  <c r="R49" i="37"/>
  <c r="R31" i="37"/>
  <c r="R24" i="37"/>
  <c r="R21" i="37"/>
  <c r="R16" i="37"/>
  <c r="R11" i="37"/>
  <c r="R10" i="37"/>
  <c r="R246" i="37"/>
  <c r="R213" i="37"/>
  <c r="R176" i="37"/>
  <c r="R154" i="37"/>
  <c r="R130" i="37"/>
  <c r="R101" i="37"/>
  <c r="R86" i="37"/>
  <c r="R42" i="37"/>
  <c r="R25" i="37"/>
  <c r="R6" i="37"/>
  <c r="R3" i="37"/>
  <c r="M340" i="37"/>
  <c r="L340" i="37" s="1"/>
  <c r="M339" i="37"/>
  <c r="L339" i="37" s="1"/>
  <c r="M338" i="37"/>
  <c r="M343" i="37" s="1"/>
  <c r="L338" i="37"/>
  <c r="M332" i="37"/>
  <c r="L332" i="37" s="1"/>
  <c r="M331" i="37"/>
  <c r="L331" i="37" s="1"/>
  <c r="M330" i="37"/>
  <c r="M335" i="37" s="1"/>
  <c r="L330" i="37"/>
  <c r="M324" i="37"/>
  <c r="L324" i="37" s="1"/>
  <c r="E324" i="37"/>
  <c r="M323" i="37"/>
  <c r="M322" i="37"/>
  <c r="M327" i="37" s="1"/>
  <c r="L322" i="37"/>
  <c r="H322" i="37"/>
  <c r="E322" i="37"/>
  <c r="E325" i="37" s="1"/>
  <c r="H321" i="37"/>
  <c r="H320" i="37"/>
  <c r="Q319" i="37"/>
  <c r="P319" i="37"/>
  <c r="O319" i="37"/>
  <c r="N319" i="37"/>
  <c r="M319" i="37"/>
  <c r="L319" i="37"/>
  <c r="K319" i="37"/>
  <c r="J319" i="37"/>
  <c r="H319" i="37"/>
  <c r="G319" i="37"/>
  <c r="D319" i="37"/>
  <c r="I317" i="37"/>
  <c r="I316" i="37"/>
  <c r="I315" i="37"/>
  <c r="I314" i="37"/>
  <c r="I313" i="37"/>
  <c r="I310" i="37"/>
  <c r="I309" i="37"/>
  <c r="I312" i="37"/>
  <c r="I311" i="37"/>
  <c r="I308" i="37"/>
  <c r="I307" i="37"/>
  <c r="I306" i="37"/>
  <c r="I305" i="37"/>
  <c r="I304" i="37"/>
  <c r="I303" i="37"/>
  <c r="I302" i="37"/>
  <c r="I301" i="37"/>
  <c r="I300" i="37"/>
  <c r="I297" i="37"/>
  <c r="I296" i="37"/>
  <c r="I295" i="37"/>
  <c r="I294" i="37"/>
  <c r="I293" i="37"/>
  <c r="I144" i="37"/>
  <c r="I143" i="37"/>
  <c r="I142" i="37"/>
  <c r="I141" i="37"/>
  <c r="I140" i="37"/>
  <c r="I288" i="37"/>
  <c r="I287" i="37"/>
  <c r="I139" i="37"/>
  <c r="I212" i="37"/>
  <c r="I138" i="37"/>
  <c r="I137" i="37"/>
  <c r="I136" i="37"/>
  <c r="I286" i="37"/>
  <c r="I211" i="37"/>
  <c r="I135" i="37"/>
  <c r="I134" i="37"/>
  <c r="I133" i="37"/>
  <c r="I132" i="37"/>
  <c r="I131" i="37"/>
  <c r="I210" i="37"/>
  <c r="I130" i="37"/>
  <c r="I129" i="37"/>
  <c r="I128" i="37"/>
  <c r="I285" i="37"/>
  <c r="I284" i="37"/>
  <c r="I209" i="37"/>
  <c r="I127" i="37"/>
  <c r="I208" i="37"/>
  <c r="I283" i="37"/>
  <c r="I126" i="37"/>
  <c r="I282" i="37"/>
  <c r="I207" i="37"/>
  <c r="I281" i="37"/>
  <c r="I125" i="37"/>
  <c r="I280" i="37"/>
  <c r="I124" i="37"/>
  <c r="I279" i="37"/>
  <c r="I123" i="37"/>
  <c r="I122" i="37"/>
  <c r="I121" i="37"/>
  <c r="I278" i="37"/>
  <c r="I277" i="37"/>
  <c r="I120" i="37"/>
  <c r="I276" i="37"/>
  <c r="I275" i="37"/>
  <c r="I119" i="37"/>
  <c r="I118" i="37"/>
  <c r="I117" i="37"/>
  <c r="I116" i="37"/>
  <c r="I183" i="37"/>
  <c r="I274" i="37"/>
  <c r="I115" i="37"/>
  <c r="I206" i="37"/>
  <c r="I114" i="37"/>
  <c r="I113" i="37"/>
  <c r="I205" i="37"/>
  <c r="I273" i="37"/>
  <c r="I112" i="37"/>
  <c r="I111" i="37"/>
  <c r="I204" i="37"/>
  <c r="I110" i="37"/>
  <c r="I272" i="37"/>
  <c r="I65" i="37"/>
  <c r="I109" i="37"/>
  <c r="I271" i="37"/>
  <c r="I108" i="37"/>
  <c r="I107" i="37"/>
  <c r="I203" i="37"/>
  <c r="I202" i="37"/>
  <c r="I106" i="37"/>
  <c r="I201" i="37"/>
  <c r="I105" i="37"/>
  <c r="I200" i="37"/>
  <c r="I104" i="37"/>
  <c r="I78" i="37"/>
  <c r="I103" i="37"/>
  <c r="I199" i="37"/>
  <c r="I102" i="37"/>
  <c r="I198" i="37"/>
  <c r="I101" i="37"/>
  <c r="I100" i="37"/>
  <c r="I270" i="37"/>
  <c r="I99" i="37"/>
  <c r="I292" i="37"/>
  <c r="I98" i="37"/>
  <c r="I197" i="37"/>
  <c r="I269" i="37"/>
  <c r="I196" i="37"/>
  <c r="I195" i="37"/>
  <c r="I268" i="37"/>
  <c r="I267" i="37"/>
  <c r="I97" i="37"/>
  <c r="I266" i="37"/>
  <c r="I265" i="37"/>
  <c r="I96" i="37"/>
  <c r="I95" i="37"/>
  <c r="I264" i="37"/>
  <c r="I94" i="37"/>
  <c r="I93" i="37"/>
  <c r="I263" i="37"/>
  <c r="I38" i="37"/>
  <c r="I92" i="37"/>
  <c r="I194" i="37"/>
  <c r="I193" i="37"/>
  <c r="I262" i="37"/>
  <c r="I91" i="37"/>
  <c r="I90" i="37"/>
  <c r="I192" i="37"/>
  <c r="I191" i="37"/>
  <c r="I89" i="37"/>
  <c r="I190" i="37"/>
  <c r="I261" i="37"/>
  <c r="I260" i="37"/>
  <c r="I259" i="37"/>
  <c r="I258" i="37"/>
  <c r="I189" i="37"/>
  <c r="I188" i="37"/>
  <c r="I257" i="37"/>
  <c r="I256" i="37"/>
  <c r="I187" i="37"/>
  <c r="I88" i="37"/>
  <c r="I255" i="37"/>
  <c r="I254" i="37"/>
  <c r="I253" i="37"/>
  <c r="I87" i="37"/>
  <c r="I86" i="37"/>
  <c r="I252" i="37"/>
  <c r="I186" i="37"/>
  <c r="I251" i="37"/>
  <c r="I85" i="37"/>
  <c r="I84" i="37"/>
  <c r="I185" i="37"/>
  <c r="I83" i="37"/>
  <c r="I81" i="37"/>
  <c r="I80" i="37"/>
  <c r="I184" i="37"/>
  <c r="I250" i="37"/>
  <c r="I182" i="37"/>
  <c r="I79" i="37"/>
  <c r="I77" i="37"/>
  <c r="I249" i="37"/>
  <c r="I76" i="37"/>
  <c r="I75" i="37"/>
  <c r="I181" i="37"/>
  <c r="I180" i="37"/>
  <c r="I179" i="37"/>
  <c r="I74" i="37"/>
  <c r="I248" i="37"/>
  <c r="I247" i="37"/>
  <c r="I73" i="37"/>
  <c r="I72" i="37"/>
  <c r="I178" i="37"/>
  <c r="I71" i="37"/>
  <c r="I177" i="37"/>
  <c r="I246" i="37"/>
  <c r="I70" i="37"/>
  <c r="I176" i="37"/>
  <c r="I175" i="37"/>
  <c r="I174" i="37"/>
  <c r="I69" i="37"/>
  <c r="I245" i="37"/>
  <c r="I244" i="37"/>
  <c r="I68" i="37"/>
  <c r="I243" i="37"/>
  <c r="I67" i="37"/>
  <c r="I242" i="37"/>
  <c r="I66" i="37"/>
  <c r="I241" i="37"/>
  <c r="I64" i="37"/>
  <c r="I63" i="37"/>
  <c r="I239" i="37"/>
  <c r="I238" i="37"/>
  <c r="I173" i="37"/>
  <c r="I172" i="37"/>
  <c r="I237" i="37"/>
  <c r="I171" i="37"/>
  <c r="I236" i="37"/>
  <c r="I170" i="37"/>
  <c r="I62" i="37"/>
  <c r="I61" i="37"/>
  <c r="I60" i="37"/>
  <c r="I169" i="37"/>
  <c r="I59" i="37"/>
  <c r="I235" i="37"/>
  <c r="I58" i="37"/>
  <c r="I234" i="37"/>
  <c r="I57" i="37"/>
  <c r="I56" i="37"/>
  <c r="I168" i="37"/>
  <c r="I55" i="37"/>
  <c r="I54" i="37"/>
  <c r="I53" i="37"/>
  <c r="I233" i="37"/>
  <c r="I240" i="37"/>
  <c r="I52" i="37"/>
  <c r="I51" i="37"/>
  <c r="I232" i="37"/>
  <c r="I231" i="37"/>
  <c r="I167" i="37"/>
  <c r="I50" i="37"/>
  <c r="I49" i="37"/>
  <c r="I166" i="37"/>
  <c r="I230" i="37"/>
  <c r="I165" i="37"/>
  <c r="I291" i="37"/>
  <c r="I229" i="37"/>
  <c r="I48" i="37"/>
  <c r="I164" i="37"/>
  <c r="I163" i="37"/>
  <c r="I47" i="37"/>
  <c r="I46" i="37"/>
  <c r="I45" i="37"/>
  <c r="I228" i="37"/>
  <c r="I162" i="37"/>
  <c r="I290" i="37"/>
  <c r="I44" i="37"/>
  <c r="I227" i="37"/>
  <c r="I43" i="37"/>
  <c r="I226" i="37"/>
  <c r="I161" i="37"/>
  <c r="I225" i="37"/>
  <c r="I42" i="37"/>
  <c r="I41" i="37"/>
  <c r="I40" i="37"/>
  <c r="I39" i="37"/>
  <c r="I37" i="37"/>
  <c r="I224" i="37"/>
  <c r="I36" i="37"/>
  <c r="I35" i="37"/>
  <c r="I34" i="37"/>
  <c r="I82" i="37"/>
  <c r="I33" i="37"/>
  <c r="I223" i="37"/>
  <c r="I32" i="37"/>
  <c r="I160" i="37"/>
  <c r="I159" i="37"/>
  <c r="I31" i="37"/>
  <c r="I158" i="37"/>
  <c r="I30" i="37"/>
  <c r="I29" i="37"/>
  <c r="I157" i="37"/>
  <c r="I156" i="37"/>
  <c r="I222" i="37"/>
  <c r="I221" i="37"/>
  <c r="I155" i="37"/>
  <c r="I28" i="37"/>
  <c r="I27" i="37"/>
  <c r="I154" i="37"/>
  <c r="I153" i="37"/>
  <c r="I220" i="37"/>
  <c r="I26" i="37"/>
  <c r="I219" i="37"/>
  <c r="I152" i="37"/>
  <c r="I218" i="37"/>
  <c r="I25" i="37"/>
  <c r="I24" i="37"/>
  <c r="I217" i="37"/>
  <c r="I216" i="37"/>
  <c r="I151" i="37"/>
  <c r="I23" i="37"/>
  <c r="I22" i="37"/>
  <c r="I150" i="37"/>
  <c r="I21" i="37"/>
  <c r="I149" i="37"/>
  <c r="I20" i="37"/>
  <c r="I19" i="37"/>
  <c r="I18" i="37"/>
  <c r="I17" i="37"/>
  <c r="I16" i="37"/>
  <c r="I148" i="37"/>
  <c r="I15" i="37"/>
  <c r="I147" i="37"/>
  <c r="I289" i="37"/>
  <c r="C324" i="37" s="1"/>
  <c r="I14" i="37"/>
  <c r="I13" i="37"/>
  <c r="I12" i="37"/>
  <c r="I146" i="37"/>
  <c r="I145" i="37"/>
  <c r="I11" i="37"/>
  <c r="I10" i="37"/>
  <c r="I9" i="37"/>
  <c r="I215" i="37"/>
  <c r="I8" i="37"/>
  <c r="I7" i="37"/>
  <c r="I6" i="37"/>
  <c r="I5" i="37"/>
  <c r="I214" i="37"/>
  <c r="I4" i="37"/>
  <c r="I213" i="37"/>
  <c r="I3" i="37"/>
  <c r="H82" i="36"/>
  <c r="I38" i="36"/>
  <c r="I37" i="36"/>
  <c r="I39" i="36"/>
  <c r="L323" i="37" l="1"/>
  <c r="L327" i="37" s="1"/>
  <c r="P322" i="37" s="1"/>
  <c r="I319" i="37"/>
  <c r="L335" i="37"/>
  <c r="P323" i="37" s="1"/>
  <c r="L343" i="37"/>
  <c r="P324" i="37" s="1"/>
  <c r="C322" i="37"/>
  <c r="C325" i="37" s="1"/>
  <c r="C329" i="37" s="1"/>
  <c r="P325" i="37" s="1"/>
  <c r="R30" i="36"/>
  <c r="R9" i="36"/>
  <c r="R77" i="36"/>
  <c r="R75" i="36"/>
  <c r="R73" i="36"/>
  <c r="R44" i="36"/>
  <c r="R42" i="36"/>
  <c r="R35" i="36"/>
  <c r="R29" i="36"/>
  <c r="M102" i="36"/>
  <c r="L102" i="36" s="1"/>
  <c r="M101" i="36"/>
  <c r="L101" i="36" s="1"/>
  <c r="M100" i="36"/>
  <c r="M105" i="36" s="1"/>
  <c r="L100" i="36"/>
  <c r="M94" i="36"/>
  <c r="L94" i="36" s="1"/>
  <c r="M93" i="36"/>
  <c r="M92" i="36"/>
  <c r="M97" i="36" s="1"/>
  <c r="L92" i="36"/>
  <c r="M86" i="36"/>
  <c r="L86" i="36" s="1"/>
  <c r="E86" i="36"/>
  <c r="C86" i="36"/>
  <c r="M85" i="36"/>
  <c r="L85" i="36" s="1"/>
  <c r="M84" i="36"/>
  <c r="M90" i="36" s="1"/>
  <c r="L84" i="36"/>
  <c r="H84" i="36"/>
  <c r="E84" i="36"/>
  <c r="E87" i="36" s="1"/>
  <c r="H83" i="36"/>
  <c r="Q81" i="36"/>
  <c r="P81" i="36"/>
  <c r="O81" i="36"/>
  <c r="N81" i="36"/>
  <c r="M81" i="36"/>
  <c r="L81" i="36"/>
  <c r="K81" i="36"/>
  <c r="J81" i="36"/>
  <c r="H81" i="36"/>
  <c r="G81" i="36"/>
  <c r="D81" i="36"/>
  <c r="I41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77" i="36"/>
  <c r="I47" i="36"/>
  <c r="I35" i="36"/>
  <c r="I46" i="36"/>
  <c r="I45" i="36"/>
  <c r="I34" i="36"/>
  <c r="I44" i="36"/>
  <c r="I43" i="36"/>
  <c r="I42" i="36"/>
  <c r="I40" i="36"/>
  <c r="I76" i="36"/>
  <c r="I33" i="36"/>
  <c r="I75" i="36"/>
  <c r="I32" i="36"/>
  <c r="I74" i="36"/>
  <c r="I31" i="36"/>
  <c r="I30" i="36"/>
  <c r="I36" i="36"/>
  <c r="I29" i="36"/>
  <c r="I28" i="36"/>
  <c r="I27" i="36"/>
  <c r="I14" i="36"/>
  <c r="I26" i="36"/>
  <c r="I25" i="36"/>
  <c r="I24" i="36"/>
  <c r="I8" i="36"/>
  <c r="I23" i="36"/>
  <c r="I22" i="36"/>
  <c r="I21" i="36"/>
  <c r="I73" i="36"/>
  <c r="I72" i="36"/>
  <c r="I20" i="36"/>
  <c r="I19" i="36"/>
  <c r="I71" i="36"/>
  <c r="I70" i="36"/>
  <c r="I18" i="36"/>
  <c r="I17" i="36"/>
  <c r="I16" i="36"/>
  <c r="I69" i="36"/>
  <c r="I68" i="36"/>
  <c r="I67" i="36"/>
  <c r="I66" i="36"/>
  <c r="I15" i="36"/>
  <c r="I13" i="36"/>
  <c r="I12" i="36"/>
  <c r="I11" i="36"/>
  <c r="I10" i="36"/>
  <c r="I65" i="36"/>
  <c r="I9" i="36"/>
  <c r="I64" i="36"/>
  <c r="I63" i="36"/>
  <c r="I62" i="36"/>
  <c r="I7" i="36"/>
  <c r="I6" i="36"/>
  <c r="I5" i="36"/>
  <c r="I4" i="36"/>
  <c r="I3" i="36"/>
  <c r="I61" i="36"/>
  <c r="I60" i="36"/>
  <c r="P326" i="37" l="1"/>
  <c r="L90" i="36"/>
  <c r="P84" i="36" s="1"/>
  <c r="C84" i="36"/>
  <c r="C87" i="36" s="1"/>
  <c r="C91" i="36" s="1"/>
  <c r="P87" i="36" s="1"/>
  <c r="L93" i="36"/>
  <c r="L97" i="36" s="1"/>
  <c r="P85" i="36" s="1"/>
  <c r="I81" i="36"/>
  <c r="L105" i="36"/>
  <c r="P86" i="36" s="1"/>
  <c r="R133" i="35"/>
  <c r="R129" i="35"/>
  <c r="R126" i="35"/>
  <c r="R122" i="35"/>
  <c r="R117" i="35"/>
  <c r="R115" i="35"/>
  <c r="R111" i="35"/>
  <c r="R101" i="35"/>
  <c r="R86" i="35"/>
  <c r="R62" i="35"/>
  <c r="R54" i="35"/>
  <c r="R49" i="35"/>
  <c r="R43" i="35"/>
  <c r="R36" i="35"/>
  <c r="R30" i="35"/>
  <c r="R24" i="35"/>
  <c r="R9" i="35"/>
  <c r="R6" i="35"/>
  <c r="R130" i="35"/>
  <c r="R4" i="35"/>
  <c r="R3" i="35"/>
  <c r="R86" i="34"/>
  <c r="P88" i="36" l="1"/>
  <c r="I156" i="35"/>
  <c r="I155" i="35"/>
  <c r="I154" i="35"/>
  <c r="M174" i="35" l="1"/>
  <c r="L174" i="35" s="1"/>
  <c r="M173" i="35"/>
  <c r="L173" i="35" s="1"/>
  <c r="M172" i="35"/>
  <c r="M177" i="35" s="1"/>
  <c r="L172" i="35"/>
  <c r="M166" i="35"/>
  <c r="L166" i="35" s="1"/>
  <c r="M165" i="35"/>
  <c r="L165" i="35" s="1"/>
  <c r="M164" i="35"/>
  <c r="M169" i="35" s="1"/>
  <c r="L164" i="35"/>
  <c r="M158" i="35"/>
  <c r="L158" i="35" s="1"/>
  <c r="E158" i="35"/>
  <c r="M157" i="35"/>
  <c r="M156" i="35"/>
  <c r="M161" i="35" s="1"/>
  <c r="L156" i="35"/>
  <c r="H156" i="35"/>
  <c r="E156" i="35"/>
  <c r="E159" i="35" s="1"/>
  <c r="H155" i="35"/>
  <c r="H154" i="35"/>
  <c r="Q153" i="35"/>
  <c r="P153" i="35"/>
  <c r="O153" i="35"/>
  <c r="N153" i="35"/>
  <c r="M153" i="35"/>
  <c r="L153" i="35"/>
  <c r="K153" i="35"/>
  <c r="J153" i="35"/>
  <c r="H153" i="35"/>
  <c r="G153" i="35"/>
  <c r="D153" i="35"/>
  <c r="I151" i="35"/>
  <c r="I148" i="35"/>
  <c r="I150" i="35"/>
  <c r="I149" i="35"/>
  <c r="I147" i="35"/>
  <c r="I146" i="35"/>
  <c r="I145" i="35"/>
  <c r="I144" i="35"/>
  <c r="I143" i="35"/>
  <c r="I142" i="35"/>
  <c r="I135" i="35"/>
  <c r="I63" i="35"/>
  <c r="I97" i="35"/>
  <c r="I96" i="35"/>
  <c r="I62" i="35"/>
  <c r="I61" i="35"/>
  <c r="I134" i="35"/>
  <c r="I95" i="35"/>
  <c r="I60" i="35"/>
  <c r="I94" i="35"/>
  <c r="I59" i="35"/>
  <c r="I133" i="35"/>
  <c r="I58" i="35"/>
  <c r="I93" i="35"/>
  <c r="I57" i="35"/>
  <c r="I56" i="35"/>
  <c r="I92" i="35"/>
  <c r="I91" i="35"/>
  <c r="I90" i="35"/>
  <c r="I55" i="35"/>
  <c r="I132" i="35"/>
  <c r="I54" i="35"/>
  <c r="I89" i="35"/>
  <c r="I88" i="35"/>
  <c r="I53" i="35"/>
  <c r="I87" i="35"/>
  <c r="I52" i="35"/>
  <c r="I51" i="35"/>
  <c r="I86" i="35"/>
  <c r="I131" i="35"/>
  <c r="I123" i="35"/>
  <c r="I85" i="35"/>
  <c r="I84" i="35"/>
  <c r="I83" i="35"/>
  <c r="I50" i="35"/>
  <c r="I49" i="35"/>
  <c r="I82" i="35"/>
  <c r="I48" i="35"/>
  <c r="I130" i="35"/>
  <c r="I81" i="35"/>
  <c r="I47" i="35"/>
  <c r="I129" i="35"/>
  <c r="I46" i="35"/>
  <c r="I45" i="35"/>
  <c r="I44" i="35"/>
  <c r="I128" i="35"/>
  <c r="I43" i="35"/>
  <c r="I127" i="35"/>
  <c r="I42" i="35"/>
  <c r="I126" i="35"/>
  <c r="I41" i="35"/>
  <c r="I40" i="35"/>
  <c r="I39" i="35"/>
  <c r="I38" i="35"/>
  <c r="I80" i="35"/>
  <c r="I79" i="35"/>
  <c r="I78" i="35"/>
  <c r="I37" i="35"/>
  <c r="I125" i="35"/>
  <c r="I77" i="35"/>
  <c r="I36" i="35"/>
  <c r="I76" i="35"/>
  <c r="I35" i="35"/>
  <c r="I34" i="35"/>
  <c r="I33" i="35"/>
  <c r="I124" i="35"/>
  <c r="I122" i="35"/>
  <c r="I75" i="35"/>
  <c r="I32" i="35"/>
  <c r="I121" i="35"/>
  <c r="I31" i="35"/>
  <c r="I74" i="35"/>
  <c r="I120" i="35"/>
  <c r="I73" i="35"/>
  <c r="I30" i="35"/>
  <c r="I29" i="35"/>
  <c r="I28" i="35"/>
  <c r="I27" i="35"/>
  <c r="I26" i="35"/>
  <c r="I119" i="35"/>
  <c r="I72" i="35"/>
  <c r="I118" i="35"/>
  <c r="I25" i="35"/>
  <c r="I117" i="35"/>
  <c r="I24" i="35"/>
  <c r="I71" i="35"/>
  <c r="I116" i="35"/>
  <c r="I115" i="35"/>
  <c r="I141" i="35"/>
  <c r="I23" i="35"/>
  <c r="I22" i="35"/>
  <c r="I21" i="35"/>
  <c r="I114" i="35"/>
  <c r="I20" i="35"/>
  <c r="I19" i="35"/>
  <c r="I113" i="35"/>
  <c r="I112" i="35"/>
  <c r="I18" i="35"/>
  <c r="I111" i="35"/>
  <c r="I110" i="35"/>
  <c r="I140" i="35"/>
  <c r="I108" i="35"/>
  <c r="I109" i="35"/>
  <c r="I107" i="35"/>
  <c r="I17" i="35"/>
  <c r="I16" i="35"/>
  <c r="I70" i="35"/>
  <c r="I106" i="35"/>
  <c r="I69" i="35"/>
  <c r="I105" i="35"/>
  <c r="I15" i="35"/>
  <c r="I14" i="35"/>
  <c r="I13" i="35"/>
  <c r="I104" i="35"/>
  <c r="I68" i="35"/>
  <c r="I12" i="35"/>
  <c r="I103" i="35"/>
  <c r="I11" i="35"/>
  <c r="I139" i="35"/>
  <c r="I67" i="35"/>
  <c r="I102" i="35"/>
  <c r="I10" i="35"/>
  <c r="I101" i="35"/>
  <c r="I9" i="35"/>
  <c r="I138" i="35"/>
  <c r="I66" i="35"/>
  <c r="I137" i="35"/>
  <c r="I8" i="35"/>
  <c r="I7" i="35"/>
  <c r="I100" i="35"/>
  <c r="I6" i="35"/>
  <c r="I65" i="35"/>
  <c r="I64" i="35"/>
  <c r="I5" i="35"/>
  <c r="I136" i="35"/>
  <c r="I99" i="35"/>
  <c r="I98" i="35"/>
  <c r="I4" i="35"/>
  <c r="I3" i="35"/>
  <c r="R108" i="34"/>
  <c r="R95" i="34"/>
  <c r="R72" i="34"/>
  <c r="R62" i="34"/>
  <c r="R59" i="34"/>
  <c r="R51" i="34"/>
  <c r="R48" i="34"/>
  <c r="R43" i="34"/>
  <c r="R37" i="34"/>
  <c r="R36" i="34"/>
  <c r="R26" i="34"/>
  <c r="R25" i="34"/>
  <c r="C30" i="19"/>
  <c r="C158" i="35" l="1"/>
  <c r="L157" i="35"/>
  <c r="I153" i="35"/>
  <c r="C156" i="35"/>
  <c r="L169" i="35"/>
  <c r="P157" i="35" s="1"/>
  <c r="L161" i="35"/>
  <c r="L177" i="35"/>
  <c r="P158" i="35" s="1"/>
  <c r="M137" i="34"/>
  <c r="L137" i="34" s="1"/>
  <c r="M136" i="34"/>
  <c r="M135" i="34"/>
  <c r="M140" i="34" s="1"/>
  <c r="L135" i="34"/>
  <c r="M128" i="34"/>
  <c r="L128" i="34" s="1"/>
  <c r="M127" i="34"/>
  <c r="L127" i="34" s="1"/>
  <c r="M126" i="34"/>
  <c r="M132" i="34" s="1"/>
  <c r="L126" i="34"/>
  <c r="M120" i="34"/>
  <c r="L120" i="34" s="1"/>
  <c r="E120" i="34"/>
  <c r="M119" i="34"/>
  <c r="L119" i="34" s="1"/>
  <c r="M118" i="34"/>
  <c r="M123" i="34" s="1"/>
  <c r="L118" i="34"/>
  <c r="H118" i="34"/>
  <c r="E118" i="34"/>
  <c r="E121" i="34" s="1"/>
  <c r="H117" i="34"/>
  <c r="H116" i="34"/>
  <c r="Q115" i="34"/>
  <c r="P115" i="34"/>
  <c r="O115" i="34"/>
  <c r="N115" i="34"/>
  <c r="M115" i="34"/>
  <c r="L115" i="34"/>
  <c r="K115" i="34"/>
  <c r="J115" i="34"/>
  <c r="H115" i="34"/>
  <c r="G115" i="34"/>
  <c r="D115" i="34"/>
  <c r="I71" i="34"/>
  <c r="I111" i="34"/>
  <c r="I70" i="34"/>
  <c r="I87" i="34"/>
  <c r="I69" i="34"/>
  <c r="I86" i="34"/>
  <c r="I68" i="34"/>
  <c r="I67" i="34"/>
  <c r="I110" i="34"/>
  <c r="I109" i="34"/>
  <c r="I66" i="34"/>
  <c r="I65" i="34"/>
  <c r="I108" i="34"/>
  <c r="I64" i="34"/>
  <c r="I107" i="34"/>
  <c r="I85" i="34"/>
  <c r="I63" i="34"/>
  <c r="I62" i="34"/>
  <c r="I61" i="34"/>
  <c r="I60" i="34"/>
  <c r="I59" i="34"/>
  <c r="I106" i="34"/>
  <c r="I58" i="34"/>
  <c r="I105" i="34"/>
  <c r="I84" i="34"/>
  <c r="I57" i="34"/>
  <c r="I56" i="34"/>
  <c r="I55" i="34"/>
  <c r="I54" i="34"/>
  <c r="I53" i="34"/>
  <c r="I113" i="34"/>
  <c r="C120" i="34" s="1"/>
  <c r="I104" i="34"/>
  <c r="I52" i="34"/>
  <c r="I51" i="34"/>
  <c r="I50" i="34"/>
  <c r="I49" i="34"/>
  <c r="I83" i="34"/>
  <c r="I48" i="34"/>
  <c r="I47" i="34"/>
  <c r="I82" i="34"/>
  <c r="I81" i="34"/>
  <c r="I80" i="34"/>
  <c r="I103" i="34"/>
  <c r="I102" i="34"/>
  <c r="I46" i="34"/>
  <c r="I79" i="34"/>
  <c r="I45" i="34"/>
  <c r="I101" i="34"/>
  <c r="I44" i="34"/>
  <c r="I43" i="34"/>
  <c r="I112" i="34"/>
  <c r="I100" i="34"/>
  <c r="I42" i="34"/>
  <c r="I41" i="34"/>
  <c r="I40" i="34"/>
  <c r="I99" i="34"/>
  <c r="I39" i="34"/>
  <c r="I38" i="34"/>
  <c r="I37" i="34"/>
  <c r="I36" i="34"/>
  <c r="I35" i="34"/>
  <c r="I34" i="34"/>
  <c r="I33" i="34"/>
  <c r="I32" i="34"/>
  <c r="I31" i="34"/>
  <c r="I30" i="34"/>
  <c r="I78" i="34"/>
  <c r="I29" i="34"/>
  <c r="I77" i="34"/>
  <c r="I28" i="34"/>
  <c r="I27" i="34"/>
  <c r="I98" i="34"/>
  <c r="I26" i="34"/>
  <c r="I25" i="34"/>
  <c r="I24" i="34"/>
  <c r="I23" i="34"/>
  <c r="I22" i="34"/>
  <c r="I97" i="34"/>
  <c r="I21" i="34"/>
  <c r="I20" i="34"/>
  <c r="I76" i="34"/>
  <c r="I19" i="34"/>
  <c r="I18" i="34"/>
  <c r="I96" i="34"/>
  <c r="I17" i="34"/>
  <c r="I16" i="34"/>
  <c r="I15" i="34"/>
  <c r="I95" i="34"/>
  <c r="I14" i="34"/>
  <c r="I75" i="34"/>
  <c r="I13" i="34"/>
  <c r="I94" i="34"/>
  <c r="I12" i="34"/>
  <c r="I74" i="34"/>
  <c r="I11" i="34"/>
  <c r="I93" i="34"/>
  <c r="I10" i="34"/>
  <c r="I9" i="34"/>
  <c r="I8" i="34"/>
  <c r="I92" i="34"/>
  <c r="I91" i="34"/>
  <c r="I7" i="34"/>
  <c r="I5" i="34"/>
  <c r="I90" i="34"/>
  <c r="I6" i="34"/>
  <c r="I4" i="34"/>
  <c r="I73" i="34"/>
  <c r="I3" i="34"/>
  <c r="I72" i="34"/>
  <c r="I89" i="34"/>
  <c r="I88" i="34"/>
  <c r="R157" i="33"/>
  <c r="R152" i="33"/>
  <c r="R148" i="33"/>
  <c r="R140" i="33"/>
  <c r="R134" i="33"/>
  <c r="R133" i="33"/>
  <c r="R122" i="33"/>
  <c r="R112" i="33"/>
  <c r="R108" i="33"/>
  <c r="R95" i="33"/>
  <c r="R82" i="33"/>
  <c r="R66" i="33"/>
  <c r="R53" i="33"/>
  <c r="R52" i="33"/>
  <c r="R50" i="33"/>
  <c r="R44" i="33"/>
  <c r="R34" i="33"/>
  <c r="R18" i="33"/>
  <c r="R11" i="33"/>
  <c r="R167" i="33"/>
  <c r="R166" i="33"/>
  <c r="R93" i="33"/>
  <c r="R92" i="33"/>
  <c r="R91" i="33"/>
  <c r="R35" i="33"/>
  <c r="E178" i="33"/>
  <c r="M194" i="33"/>
  <c r="L194" i="33" s="1"/>
  <c r="M193" i="33"/>
  <c r="L193" i="33" s="1"/>
  <c r="M192" i="33"/>
  <c r="M197" i="33" s="1"/>
  <c r="L192" i="33"/>
  <c r="M186" i="33"/>
  <c r="L186" i="33" s="1"/>
  <c r="M185" i="33"/>
  <c r="L185" i="33" s="1"/>
  <c r="M184" i="33"/>
  <c r="M189" i="33" s="1"/>
  <c r="L184" i="33"/>
  <c r="M178" i="33"/>
  <c r="L178" i="33" s="1"/>
  <c r="M177" i="33"/>
  <c r="M176" i="33"/>
  <c r="M181" i="33" s="1"/>
  <c r="L176" i="33"/>
  <c r="H176" i="33"/>
  <c r="E176" i="33"/>
  <c r="E179" i="33" s="1"/>
  <c r="H175" i="33"/>
  <c r="H174" i="33"/>
  <c r="L177" i="33" s="1"/>
  <c r="Q173" i="33"/>
  <c r="P173" i="33"/>
  <c r="O173" i="33"/>
  <c r="N173" i="33"/>
  <c r="M173" i="33"/>
  <c r="L173" i="33"/>
  <c r="K173" i="33"/>
  <c r="J173" i="33"/>
  <c r="H173" i="33"/>
  <c r="G173" i="33"/>
  <c r="D173" i="33"/>
  <c r="I93" i="33"/>
  <c r="I92" i="33"/>
  <c r="I167" i="33"/>
  <c r="I166" i="33"/>
  <c r="I91" i="33"/>
  <c r="I90" i="33"/>
  <c r="I89" i="33"/>
  <c r="I131" i="33"/>
  <c r="I88" i="33"/>
  <c r="I130" i="33"/>
  <c r="I87" i="33"/>
  <c r="I165" i="33"/>
  <c r="I86" i="33"/>
  <c r="I129" i="33"/>
  <c r="I85" i="33"/>
  <c r="I84" i="33"/>
  <c r="I83" i="33"/>
  <c r="I82" i="33"/>
  <c r="I171" i="33"/>
  <c r="I128" i="33"/>
  <c r="I81" i="33"/>
  <c r="I164" i="33"/>
  <c r="I127" i="33"/>
  <c r="I80" i="33"/>
  <c r="I79" i="33"/>
  <c r="I78" i="33"/>
  <c r="I77" i="33"/>
  <c r="I163" i="33"/>
  <c r="I126" i="33"/>
  <c r="I76" i="33"/>
  <c r="I162" i="33"/>
  <c r="I125" i="33"/>
  <c r="I75" i="33"/>
  <c r="I74" i="33"/>
  <c r="I124" i="33"/>
  <c r="I73" i="33"/>
  <c r="I72" i="33"/>
  <c r="I71" i="33"/>
  <c r="I123" i="33"/>
  <c r="I161" i="33"/>
  <c r="I70" i="33"/>
  <c r="I69" i="33"/>
  <c r="I68" i="33"/>
  <c r="I67" i="33"/>
  <c r="I66" i="33"/>
  <c r="I65" i="33"/>
  <c r="I122" i="33"/>
  <c r="I64" i="33"/>
  <c r="I121" i="33"/>
  <c r="I63" i="33"/>
  <c r="I62" i="33"/>
  <c r="I160" i="33"/>
  <c r="I61" i="33"/>
  <c r="I120" i="33"/>
  <c r="I60" i="33"/>
  <c r="I59" i="33"/>
  <c r="I58" i="33"/>
  <c r="I57" i="33"/>
  <c r="I56" i="33"/>
  <c r="I55" i="33"/>
  <c r="I54" i="33"/>
  <c r="I53" i="33"/>
  <c r="I52" i="33"/>
  <c r="I51" i="33"/>
  <c r="I50" i="33"/>
  <c r="I49" i="33"/>
  <c r="I48" i="33"/>
  <c r="I47" i="33"/>
  <c r="I170" i="33"/>
  <c r="I119" i="33"/>
  <c r="I46" i="33"/>
  <c r="I45" i="33"/>
  <c r="I44" i="33"/>
  <c r="I159" i="33"/>
  <c r="I158" i="33"/>
  <c r="I43" i="33"/>
  <c r="I157" i="33"/>
  <c r="I42" i="33"/>
  <c r="I156" i="33"/>
  <c r="I41" i="33"/>
  <c r="I118" i="33"/>
  <c r="I155" i="33"/>
  <c r="I117" i="33"/>
  <c r="I116" i="33"/>
  <c r="I40" i="33"/>
  <c r="I39" i="33"/>
  <c r="I38" i="33"/>
  <c r="I37" i="33"/>
  <c r="I36" i="33"/>
  <c r="I169" i="33"/>
  <c r="I154" i="33"/>
  <c r="I153" i="33"/>
  <c r="I115" i="33"/>
  <c r="I152" i="33"/>
  <c r="I35" i="33"/>
  <c r="I151" i="33"/>
  <c r="I34" i="33"/>
  <c r="I114" i="33"/>
  <c r="I113" i="33"/>
  <c r="I168" i="33"/>
  <c r="C178" i="33" s="1"/>
  <c r="I150" i="33"/>
  <c r="I149" i="33"/>
  <c r="I148" i="33"/>
  <c r="I33" i="33"/>
  <c r="I32" i="33"/>
  <c r="I31" i="33"/>
  <c r="I30" i="33"/>
  <c r="I147" i="33"/>
  <c r="I112" i="33"/>
  <c r="I111" i="33"/>
  <c r="I29" i="33"/>
  <c r="I110" i="33"/>
  <c r="I28" i="33"/>
  <c r="I146" i="33"/>
  <c r="I27" i="33"/>
  <c r="I26" i="33"/>
  <c r="I25" i="33"/>
  <c r="I24" i="33"/>
  <c r="I23" i="33"/>
  <c r="I145" i="33"/>
  <c r="I109" i="33"/>
  <c r="I144" i="33"/>
  <c r="I143" i="33"/>
  <c r="I22" i="33"/>
  <c r="I108" i="33"/>
  <c r="I142" i="33"/>
  <c r="I21" i="33"/>
  <c r="I107" i="33"/>
  <c r="I106" i="33"/>
  <c r="I20" i="33"/>
  <c r="I141" i="33"/>
  <c r="I19" i="33"/>
  <c r="I18" i="33"/>
  <c r="I105" i="33"/>
  <c r="I104" i="33"/>
  <c r="I140" i="33"/>
  <c r="I139" i="33"/>
  <c r="I103" i="33"/>
  <c r="I17" i="33"/>
  <c r="I102" i="33"/>
  <c r="I16" i="33"/>
  <c r="I15" i="33"/>
  <c r="I101" i="33"/>
  <c r="I14" i="33"/>
  <c r="I13" i="33"/>
  <c r="I138" i="33"/>
  <c r="I100" i="33"/>
  <c r="I99" i="33"/>
  <c r="I12" i="33"/>
  <c r="I98" i="33"/>
  <c r="I137" i="33"/>
  <c r="I97" i="33"/>
  <c r="I11" i="33"/>
  <c r="I136" i="33"/>
  <c r="I96" i="33"/>
  <c r="I135" i="33"/>
  <c r="I10" i="33"/>
  <c r="I95" i="33"/>
  <c r="I9" i="33"/>
  <c r="I8" i="33"/>
  <c r="I134" i="33"/>
  <c r="I133" i="33"/>
  <c r="I7" i="33"/>
  <c r="I94" i="33"/>
  <c r="I6" i="33"/>
  <c r="I5" i="33"/>
  <c r="I4" i="33"/>
  <c r="I132" i="33"/>
  <c r="I3" i="33"/>
  <c r="C28" i="19"/>
  <c r="B30" i="19"/>
  <c r="C29" i="19"/>
  <c r="L132" i="34" l="1"/>
  <c r="P156" i="35"/>
  <c r="C159" i="35"/>
  <c r="C163" i="35" s="1"/>
  <c r="P159" i="35" s="1"/>
  <c r="P160" i="35" s="1"/>
  <c r="L136" i="34"/>
  <c r="C118" i="34"/>
  <c r="C121" i="34" s="1"/>
  <c r="C125" i="34" s="1"/>
  <c r="P121" i="34" s="1"/>
  <c r="I115" i="34"/>
  <c r="L123" i="34"/>
  <c r="L140" i="34"/>
  <c r="P120" i="34" s="1"/>
  <c r="P119" i="34"/>
  <c r="I173" i="33"/>
  <c r="L189" i="33"/>
  <c r="P177" i="33" s="1"/>
  <c r="L181" i="33"/>
  <c r="L197" i="33"/>
  <c r="P178" i="33" s="1"/>
  <c r="C176" i="33"/>
  <c r="C179" i="33" s="1"/>
  <c r="C183" i="33" s="1"/>
  <c r="P179" i="33" s="1"/>
  <c r="B28" i="19"/>
  <c r="B29" i="19"/>
  <c r="P176" i="33" l="1"/>
  <c r="P118" i="34"/>
  <c r="P122" i="34"/>
  <c r="P180" i="33"/>
  <c r="R82" i="32" l="1"/>
  <c r="R47" i="32"/>
  <c r="R81" i="32"/>
  <c r="R66" i="32"/>
  <c r="R52" i="32"/>
  <c r="R48" i="32"/>
  <c r="R33" i="32"/>
  <c r="R30" i="32"/>
  <c r="M108" i="32"/>
  <c r="L108" i="32" s="1"/>
  <c r="M107" i="32"/>
  <c r="L107" i="32" s="1"/>
  <c r="M106" i="32"/>
  <c r="M111" i="32" s="1"/>
  <c r="L106" i="32"/>
  <c r="M100" i="32"/>
  <c r="L100" i="32" s="1"/>
  <c r="M99" i="32"/>
  <c r="L99" i="32" s="1"/>
  <c r="M98" i="32"/>
  <c r="M103" i="32" s="1"/>
  <c r="L98" i="32"/>
  <c r="M92" i="32"/>
  <c r="L92" i="32" s="1"/>
  <c r="E92" i="32"/>
  <c r="C92" i="32"/>
  <c r="M91" i="32"/>
  <c r="M90" i="32"/>
  <c r="M95" i="32" s="1"/>
  <c r="L90" i="32"/>
  <c r="H90" i="32"/>
  <c r="E90" i="32"/>
  <c r="E93" i="32" s="1"/>
  <c r="H89" i="32"/>
  <c r="H88" i="32"/>
  <c r="L91" i="32" s="1"/>
  <c r="Q87" i="32"/>
  <c r="P87" i="32"/>
  <c r="O87" i="32"/>
  <c r="N87" i="32"/>
  <c r="M87" i="32"/>
  <c r="L87" i="32"/>
  <c r="K87" i="32"/>
  <c r="J87" i="32"/>
  <c r="H87" i="32"/>
  <c r="G87" i="32"/>
  <c r="D87" i="32"/>
  <c r="I85" i="32"/>
  <c r="I84" i="32"/>
  <c r="I83" i="32"/>
  <c r="I82" i="32"/>
  <c r="I81" i="32"/>
  <c r="I80" i="32"/>
  <c r="I79" i="32"/>
  <c r="I78" i="32"/>
  <c r="I77" i="32"/>
  <c r="I76" i="32"/>
  <c r="I75" i="32"/>
  <c r="I74" i="32"/>
  <c r="I73" i="32"/>
  <c r="I72" i="32"/>
  <c r="I71" i="32"/>
  <c r="I70" i="32"/>
  <c r="I69" i="32"/>
  <c r="I68" i="32"/>
  <c r="I67" i="32"/>
  <c r="I66" i="32"/>
  <c r="I65" i="32"/>
  <c r="I64" i="32"/>
  <c r="I63" i="32"/>
  <c r="I62" i="32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I3" i="32"/>
  <c r="R168" i="31"/>
  <c r="R135" i="31"/>
  <c r="R164" i="31"/>
  <c r="R158" i="31"/>
  <c r="R136" i="31"/>
  <c r="R129" i="31"/>
  <c r="R120" i="31"/>
  <c r="R83" i="31"/>
  <c r="R82" i="31"/>
  <c r="R81" i="31"/>
  <c r="M211" i="31"/>
  <c r="L211" i="31" s="1"/>
  <c r="M210" i="31"/>
  <c r="L210" i="31" s="1"/>
  <c r="M209" i="31"/>
  <c r="M214" i="31" s="1"/>
  <c r="L209" i="31"/>
  <c r="M203" i="31"/>
  <c r="L203" i="31" s="1"/>
  <c r="M202" i="31"/>
  <c r="M201" i="31"/>
  <c r="M206" i="31" s="1"/>
  <c r="L201" i="31"/>
  <c r="M195" i="31"/>
  <c r="L195" i="31" s="1"/>
  <c r="E195" i="31"/>
  <c r="M194" i="31"/>
  <c r="L194" i="31" s="1"/>
  <c r="M193" i="31"/>
  <c r="M198" i="31" s="1"/>
  <c r="L193" i="31"/>
  <c r="H193" i="31"/>
  <c r="E193" i="31"/>
  <c r="E196" i="31" s="1"/>
  <c r="H192" i="31"/>
  <c r="H191" i="31"/>
  <c r="L202" i="31" s="1"/>
  <c r="Q190" i="31"/>
  <c r="P190" i="31"/>
  <c r="O190" i="31"/>
  <c r="N190" i="31"/>
  <c r="M190" i="31"/>
  <c r="L190" i="31"/>
  <c r="K190" i="31"/>
  <c r="J190" i="31"/>
  <c r="H190" i="31"/>
  <c r="G190" i="31"/>
  <c r="D190" i="31"/>
  <c r="I188" i="31"/>
  <c r="I187" i="31"/>
  <c r="I80" i="31"/>
  <c r="I184" i="31"/>
  <c r="I79" i="31"/>
  <c r="I134" i="31"/>
  <c r="I78" i="31"/>
  <c r="I133" i="31"/>
  <c r="I77" i="31"/>
  <c r="I132" i="31"/>
  <c r="I183" i="31"/>
  <c r="I76" i="31"/>
  <c r="I75" i="31"/>
  <c r="I182" i="31"/>
  <c r="I74" i="31"/>
  <c r="I73" i="31"/>
  <c r="I72" i="31"/>
  <c r="I71" i="31"/>
  <c r="I70" i="31"/>
  <c r="I131" i="31"/>
  <c r="I130" i="31"/>
  <c r="I181" i="31"/>
  <c r="I129" i="31"/>
  <c r="I180" i="31"/>
  <c r="I179" i="31"/>
  <c r="I128" i="31"/>
  <c r="I69" i="31"/>
  <c r="I68" i="31"/>
  <c r="I127" i="31"/>
  <c r="I67" i="31"/>
  <c r="I126" i="31"/>
  <c r="I66" i="31"/>
  <c r="I65" i="31"/>
  <c r="I125" i="31"/>
  <c r="I178" i="31"/>
  <c r="I177" i="31"/>
  <c r="I64" i="31"/>
  <c r="I63" i="31"/>
  <c r="I62" i="31"/>
  <c r="I176" i="31"/>
  <c r="I61" i="31"/>
  <c r="I175" i="31"/>
  <c r="I124" i="31"/>
  <c r="I123" i="31"/>
  <c r="I174" i="31"/>
  <c r="I173" i="31"/>
  <c r="I60" i="31"/>
  <c r="I122" i="31"/>
  <c r="I59" i="31"/>
  <c r="I58" i="31"/>
  <c r="I172" i="31"/>
  <c r="I57" i="31"/>
  <c r="I121" i="31"/>
  <c r="I120" i="31"/>
  <c r="I56" i="31"/>
  <c r="I171" i="31"/>
  <c r="I55" i="31"/>
  <c r="I170" i="31"/>
  <c r="I119" i="31"/>
  <c r="I169" i="31"/>
  <c r="I54" i="31"/>
  <c r="I53" i="31"/>
  <c r="I118" i="31"/>
  <c r="I168" i="31"/>
  <c r="I167" i="31"/>
  <c r="I117" i="31"/>
  <c r="I186" i="31"/>
  <c r="I166" i="31"/>
  <c r="I165" i="31"/>
  <c r="I164" i="31"/>
  <c r="I163" i="31"/>
  <c r="I52" i="31"/>
  <c r="I162" i="31"/>
  <c r="I51" i="31"/>
  <c r="I50" i="31"/>
  <c r="I116" i="31"/>
  <c r="I49" i="31"/>
  <c r="I115" i="31"/>
  <c r="I114" i="31"/>
  <c r="I48" i="31"/>
  <c r="I47" i="31"/>
  <c r="I46" i="31"/>
  <c r="I113" i="31"/>
  <c r="I45" i="31"/>
  <c r="I112" i="31"/>
  <c r="I111" i="31"/>
  <c r="I44" i="31"/>
  <c r="I110" i="31"/>
  <c r="I109" i="31"/>
  <c r="I108" i="31"/>
  <c r="I107" i="31"/>
  <c r="I161" i="31"/>
  <c r="I160" i="31"/>
  <c r="I106" i="31"/>
  <c r="I159" i="31"/>
  <c r="I185" i="31"/>
  <c r="C195" i="31" s="1"/>
  <c r="I158" i="31"/>
  <c r="I105" i="31"/>
  <c r="I43" i="31"/>
  <c r="I104" i="31"/>
  <c r="I103" i="31"/>
  <c r="I42" i="31"/>
  <c r="I157" i="31"/>
  <c r="I41" i="31"/>
  <c r="I40" i="31"/>
  <c r="I39" i="31"/>
  <c r="I156" i="31"/>
  <c r="I155" i="31"/>
  <c r="I154" i="31"/>
  <c r="I102" i="31"/>
  <c r="I38" i="31"/>
  <c r="I101" i="31"/>
  <c r="I37" i="31"/>
  <c r="I100" i="31"/>
  <c r="I36" i="31"/>
  <c r="I153" i="31"/>
  <c r="I99" i="31"/>
  <c r="I35" i="31"/>
  <c r="I34" i="31"/>
  <c r="I33" i="31"/>
  <c r="I32" i="31"/>
  <c r="I31" i="31"/>
  <c r="I30" i="31"/>
  <c r="I29" i="31"/>
  <c r="I28" i="31"/>
  <c r="I152" i="31"/>
  <c r="I27" i="31"/>
  <c r="I98" i="31"/>
  <c r="I151" i="31"/>
  <c r="I150" i="31"/>
  <c r="I18" i="31"/>
  <c r="I26" i="31"/>
  <c r="I97" i="31"/>
  <c r="I25" i="31"/>
  <c r="I24" i="31"/>
  <c r="I149" i="31"/>
  <c r="I23" i="31"/>
  <c r="I96" i="31"/>
  <c r="I95" i="31"/>
  <c r="I94" i="31"/>
  <c r="I93" i="31"/>
  <c r="I148" i="31"/>
  <c r="I22" i="31"/>
  <c r="I147" i="31"/>
  <c r="I21" i="31"/>
  <c r="I92" i="31"/>
  <c r="I91" i="31"/>
  <c r="I146" i="31"/>
  <c r="I145" i="31"/>
  <c r="I144" i="31"/>
  <c r="I20" i="31"/>
  <c r="I19" i="31"/>
  <c r="I17" i="31"/>
  <c r="I143" i="31"/>
  <c r="I142" i="31"/>
  <c r="I141" i="31"/>
  <c r="I16" i="31"/>
  <c r="I90" i="31"/>
  <c r="I89" i="31"/>
  <c r="I15" i="31"/>
  <c r="I14" i="31"/>
  <c r="I13" i="31"/>
  <c r="I12" i="31"/>
  <c r="I88" i="31"/>
  <c r="I11" i="31"/>
  <c r="I10" i="31"/>
  <c r="I140" i="31"/>
  <c r="I139" i="31"/>
  <c r="I87" i="31"/>
  <c r="I9" i="31"/>
  <c r="I8" i="31"/>
  <c r="I86" i="31"/>
  <c r="I7" i="31"/>
  <c r="I138" i="31"/>
  <c r="I85" i="31"/>
  <c r="I137" i="31"/>
  <c r="I6" i="31"/>
  <c r="I136" i="31"/>
  <c r="I5" i="31"/>
  <c r="I84" i="31"/>
  <c r="I83" i="31"/>
  <c r="I4" i="31"/>
  <c r="I82" i="31"/>
  <c r="I135" i="31"/>
  <c r="I3" i="31"/>
  <c r="I81" i="31"/>
  <c r="C27" i="19"/>
  <c r="L111" i="32" l="1"/>
  <c r="P92" i="32" s="1"/>
  <c r="I87" i="32"/>
  <c r="C90" i="32"/>
  <c r="C93" i="32" s="1"/>
  <c r="C97" i="32" s="1"/>
  <c r="P93" i="32" s="1"/>
  <c r="L103" i="32"/>
  <c r="P91" i="32" s="1"/>
  <c r="L95" i="32"/>
  <c r="I190" i="31"/>
  <c r="L206" i="31"/>
  <c r="P194" i="31" s="1"/>
  <c r="L198" i="31"/>
  <c r="P193" i="31" s="1"/>
  <c r="C193" i="31"/>
  <c r="C196" i="31" s="1"/>
  <c r="C200" i="31" s="1"/>
  <c r="P196" i="31" s="1"/>
  <c r="L214" i="31"/>
  <c r="P195" i="31" s="1"/>
  <c r="R78" i="30"/>
  <c r="R75" i="30"/>
  <c r="M140" i="30"/>
  <c r="L140" i="30" s="1"/>
  <c r="M139" i="30"/>
  <c r="L139" i="30" s="1"/>
  <c r="M138" i="30"/>
  <c r="M143" i="30" s="1"/>
  <c r="L138" i="30"/>
  <c r="M132" i="30"/>
  <c r="L132" i="30" s="1"/>
  <c r="M131" i="30"/>
  <c r="L131" i="30" s="1"/>
  <c r="M130" i="30"/>
  <c r="M135" i="30" s="1"/>
  <c r="L130" i="30"/>
  <c r="M124" i="30"/>
  <c r="L124" i="30" s="1"/>
  <c r="E124" i="30"/>
  <c r="M123" i="30"/>
  <c r="M122" i="30"/>
  <c r="M127" i="30" s="1"/>
  <c r="L122" i="30"/>
  <c r="H122" i="30"/>
  <c r="E122" i="30"/>
  <c r="E125" i="30" s="1"/>
  <c r="H121" i="30"/>
  <c r="H120" i="30"/>
  <c r="L123" i="30" s="1"/>
  <c r="Q119" i="30"/>
  <c r="P119" i="30"/>
  <c r="O119" i="30"/>
  <c r="N119" i="30"/>
  <c r="M119" i="30"/>
  <c r="L119" i="30"/>
  <c r="K119" i="30"/>
  <c r="J119" i="30"/>
  <c r="H119" i="30"/>
  <c r="G119" i="30"/>
  <c r="D119" i="30"/>
  <c r="I117" i="30"/>
  <c r="I116" i="30"/>
  <c r="I115" i="30"/>
  <c r="I114" i="30"/>
  <c r="I113" i="30"/>
  <c r="I112" i="30"/>
  <c r="I111" i="30"/>
  <c r="I110" i="30"/>
  <c r="I109" i="30"/>
  <c r="I108" i="30"/>
  <c r="I107" i="30"/>
  <c r="I106" i="30"/>
  <c r="I105" i="30"/>
  <c r="I104" i="30"/>
  <c r="I103" i="30"/>
  <c r="I102" i="30"/>
  <c r="I101" i="30"/>
  <c r="I100" i="30"/>
  <c r="I99" i="30"/>
  <c r="I98" i="30"/>
  <c r="I97" i="30"/>
  <c r="I96" i="30"/>
  <c r="I95" i="30"/>
  <c r="I94" i="30"/>
  <c r="I93" i="30"/>
  <c r="I92" i="30"/>
  <c r="I91" i="30"/>
  <c r="I90" i="30"/>
  <c r="I89" i="30"/>
  <c r="I88" i="30"/>
  <c r="I87" i="30"/>
  <c r="I86" i="30"/>
  <c r="I85" i="30"/>
  <c r="I84" i="30"/>
  <c r="I83" i="30"/>
  <c r="I82" i="30"/>
  <c r="I81" i="30"/>
  <c r="I80" i="30"/>
  <c r="I79" i="30"/>
  <c r="I78" i="30"/>
  <c r="I77" i="30"/>
  <c r="I76" i="30"/>
  <c r="I75" i="30"/>
  <c r="I74" i="30"/>
  <c r="I73" i="30"/>
  <c r="I72" i="30"/>
  <c r="I71" i="30"/>
  <c r="I70" i="30"/>
  <c r="I69" i="30"/>
  <c r="I68" i="30"/>
  <c r="I67" i="30"/>
  <c r="I66" i="30"/>
  <c r="I65" i="30"/>
  <c r="I64" i="30"/>
  <c r="I63" i="30"/>
  <c r="I62" i="30"/>
  <c r="I61" i="30"/>
  <c r="I60" i="30"/>
  <c r="I59" i="30"/>
  <c r="I58" i="30"/>
  <c r="I57" i="30"/>
  <c r="I56" i="30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I3" i="30"/>
  <c r="M98" i="29"/>
  <c r="L98" i="29" s="1"/>
  <c r="M97" i="29"/>
  <c r="L97" i="29" s="1"/>
  <c r="M96" i="29"/>
  <c r="M101" i="29" s="1"/>
  <c r="L96" i="29"/>
  <c r="M90" i="29"/>
  <c r="L90" i="29" s="1"/>
  <c r="M89" i="29"/>
  <c r="L89" i="29" s="1"/>
  <c r="M88" i="29"/>
  <c r="M93" i="29" s="1"/>
  <c r="L88" i="29"/>
  <c r="M82" i="29"/>
  <c r="L82" i="29" s="1"/>
  <c r="E82" i="29"/>
  <c r="C82" i="29"/>
  <c r="M81" i="29"/>
  <c r="M80" i="29"/>
  <c r="M85" i="29" s="1"/>
  <c r="L80" i="29"/>
  <c r="H80" i="29"/>
  <c r="E80" i="29"/>
  <c r="E83" i="29" s="1"/>
  <c r="H79" i="29"/>
  <c r="H78" i="29"/>
  <c r="L81" i="29" s="1"/>
  <c r="Q77" i="29"/>
  <c r="P77" i="29"/>
  <c r="O77" i="29"/>
  <c r="N77" i="29"/>
  <c r="M77" i="29"/>
  <c r="L77" i="29"/>
  <c r="K77" i="29"/>
  <c r="J77" i="29"/>
  <c r="H77" i="29"/>
  <c r="G77" i="29"/>
  <c r="D77" i="29"/>
  <c r="I41" i="29"/>
  <c r="I75" i="29"/>
  <c r="I58" i="29"/>
  <c r="I40" i="29"/>
  <c r="I74" i="29"/>
  <c r="I39" i="29"/>
  <c r="I57" i="29"/>
  <c r="I38" i="29"/>
  <c r="I37" i="29"/>
  <c r="I56" i="29"/>
  <c r="I36" i="29"/>
  <c r="I55" i="29"/>
  <c r="I54" i="29"/>
  <c r="I35" i="29"/>
  <c r="I53" i="29"/>
  <c r="I34" i="29"/>
  <c r="I52" i="29"/>
  <c r="I51" i="29"/>
  <c r="I50" i="29"/>
  <c r="I73" i="29"/>
  <c r="I72" i="29"/>
  <c r="I33" i="29"/>
  <c r="I32" i="29"/>
  <c r="I31" i="29"/>
  <c r="I49" i="29"/>
  <c r="I30" i="29"/>
  <c r="I29" i="29"/>
  <c r="I28" i="29"/>
  <c r="I27" i="29"/>
  <c r="I26" i="29"/>
  <c r="I25" i="29"/>
  <c r="I24" i="29"/>
  <c r="I48" i="29"/>
  <c r="I23" i="29"/>
  <c r="I22" i="29"/>
  <c r="I71" i="29"/>
  <c r="I21" i="29"/>
  <c r="I20" i="29"/>
  <c r="I19" i="29"/>
  <c r="I70" i="29"/>
  <c r="I18" i="29"/>
  <c r="I69" i="29"/>
  <c r="I47" i="29"/>
  <c r="I17" i="29"/>
  <c r="I68" i="29"/>
  <c r="I67" i="29"/>
  <c r="I66" i="29"/>
  <c r="I16" i="29"/>
  <c r="I46" i="29"/>
  <c r="I65" i="29"/>
  <c r="I15" i="29"/>
  <c r="I64" i="29"/>
  <c r="I14" i="29"/>
  <c r="I13" i="29"/>
  <c r="I12" i="29"/>
  <c r="I45" i="29"/>
  <c r="I44" i="29"/>
  <c r="I11" i="29"/>
  <c r="I10" i="29"/>
  <c r="I63" i="29"/>
  <c r="I62" i="29"/>
  <c r="I61" i="29"/>
  <c r="I60" i="29"/>
  <c r="I9" i="29"/>
  <c r="I8" i="29"/>
  <c r="I7" i="29"/>
  <c r="I43" i="29"/>
  <c r="I42" i="29"/>
  <c r="I6" i="29"/>
  <c r="I59" i="29"/>
  <c r="I5" i="29"/>
  <c r="I4" i="29"/>
  <c r="I3" i="29"/>
  <c r="C24" i="19"/>
  <c r="B27" i="19"/>
  <c r="P90" i="32" l="1"/>
  <c r="C124" i="30"/>
  <c r="P94" i="32"/>
  <c r="P197" i="31"/>
  <c r="C122" i="30"/>
  <c r="L135" i="30"/>
  <c r="P123" i="30" s="1"/>
  <c r="I119" i="30"/>
  <c r="L143" i="30"/>
  <c r="P124" i="30" s="1"/>
  <c r="L127" i="30"/>
  <c r="P122" i="30" s="1"/>
  <c r="I77" i="29"/>
  <c r="L93" i="29"/>
  <c r="P81" i="29" s="1"/>
  <c r="L85" i="29"/>
  <c r="L101" i="29"/>
  <c r="P82" i="29" s="1"/>
  <c r="C80" i="29"/>
  <c r="C83" i="29" s="1"/>
  <c r="C87" i="29" s="1"/>
  <c r="P83" i="29" s="1"/>
  <c r="R58" i="28"/>
  <c r="R53" i="28"/>
  <c r="R23" i="28"/>
  <c r="I3" i="7"/>
  <c r="I4" i="7"/>
  <c r="C46" i="7" s="1"/>
  <c r="C49" i="7" s="1"/>
  <c r="C53" i="7" s="1"/>
  <c r="P49" i="7" s="1"/>
  <c r="I5" i="7"/>
  <c r="I43" i="7" s="1"/>
  <c r="I6" i="7"/>
  <c r="R6" i="7"/>
  <c r="I7" i="7"/>
  <c r="I8" i="7"/>
  <c r="I9" i="7"/>
  <c r="I10" i="7"/>
  <c r="I11" i="7"/>
  <c r="R11" i="7"/>
  <c r="I12" i="7"/>
  <c r="I13" i="7"/>
  <c r="I14" i="7"/>
  <c r="I15" i="7"/>
  <c r="I16" i="7"/>
  <c r="R16" i="7"/>
  <c r="I17" i="7"/>
  <c r="I18" i="7"/>
  <c r="R18" i="7"/>
  <c r="I19" i="7"/>
  <c r="I20" i="7"/>
  <c r="I21" i="7"/>
  <c r="R21" i="7"/>
  <c r="I22" i="7"/>
  <c r="I23" i="7"/>
  <c r="I24" i="7"/>
  <c r="I25" i="7"/>
  <c r="I26" i="7"/>
  <c r="I27" i="7"/>
  <c r="I28" i="7"/>
  <c r="I29" i="7"/>
  <c r="I30" i="7"/>
  <c r="I31" i="7"/>
  <c r="R31" i="7"/>
  <c r="I32" i="7"/>
  <c r="I33" i="7"/>
  <c r="I34" i="7"/>
  <c r="I35" i="7"/>
  <c r="I36" i="7"/>
  <c r="I37" i="7"/>
  <c r="I38" i="7"/>
  <c r="I39" i="7"/>
  <c r="I40" i="7"/>
  <c r="R40" i="7"/>
  <c r="I41" i="7"/>
  <c r="D43" i="7"/>
  <c r="G43" i="7"/>
  <c r="H43" i="7"/>
  <c r="J43" i="7"/>
  <c r="K43" i="7"/>
  <c r="L43" i="7"/>
  <c r="M43" i="7"/>
  <c r="N43" i="7"/>
  <c r="O43" i="7"/>
  <c r="P43" i="7"/>
  <c r="Q43" i="7"/>
  <c r="H44" i="7"/>
  <c r="H45" i="7"/>
  <c r="E46" i="7"/>
  <c r="H46" i="7"/>
  <c r="L46" i="7"/>
  <c r="M46" i="7"/>
  <c r="M51" i="7" s="1"/>
  <c r="L47" i="7"/>
  <c r="M47" i="7"/>
  <c r="C48" i="7"/>
  <c r="E48" i="7"/>
  <c r="E49" i="7"/>
  <c r="M56" i="7" s="1"/>
  <c r="L56" i="7" s="1"/>
  <c r="L51" i="7"/>
  <c r="P46" i="7" s="1"/>
  <c r="L54" i="7"/>
  <c r="M54" i="7"/>
  <c r="M59" i="7" s="1"/>
  <c r="M55" i="7"/>
  <c r="L55" i="7" s="1"/>
  <c r="L62" i="7"/>
  <c r="M62" i="7"/>
  <c r="M67" i="7" s="1"/>
  <c r="M63" i="7"/>
  <c r="L63" i="7" s="1"/>
  <c r="L67" i="7" s="1"/>
  <c r="P48" i="7" s="1"/>
  <c r="I3" i="8"/>
  <c r="C53" i="8" s="1"/>
  <c r="C56" i="8" s="1"/>
  <c r="C60" i="8" s="1"/>
  <c r="P56" i="8" s="1"/>
  <c r="I4" i="8"/>
  <c r="I5" i="8"/>
  <c r="R5" i="8"/>
  <c r="I6" i="8"/>
  <c r="I7" i="8"/>
  <c r="R7" i="8"/>
  <c r="I8" i="8"/>
  <c r="I9" i="8"/>
  <c r="I10" i="8"/>
  <c r="I11" i="8"/>
  <c r="I12" i="8"/>
  <c r="I13" i="8"/>
  <c r="I14" i="8"/>
  <c r="R14" i="8"/>
  <c r="I15" i="8"/>
  <c r="I16" i="8"/>
  <c r="I17" i="8"/>
  <c r="I18" i="8"/>
  <c r="I19" i="8"/>
  <c r="I20" i="8"/>
  <c r="I21" i="8"/>
  <c r="I22" i="8"/>
  <c r="R22" i="8"/>
  <c r="I23" i="8"/>
  <c r="R23" i="8"/>
  <c r="I24" i="8"/>
  <c r="R24" i="8"/>
  <c r="I25" i="8"/>
  <c r="I26" i="8"/>
  <c r="R26" i="8"/>
  <c r="I27" i="8"/>
  <c r="I28" i="8"/>
  <c r="I29" i="8"/>
  <c r="I30" i="8"/>
  <c r="R30" i="8"/>
  <c r="I31" i="8"/>
  <c r="I32" i="8"/>
  <c r="R32" i="8"/>
  <c r="I33" i="8"/>
  <c r="I34" i="8"/>
  <c r="R34" i="8"/>
  <c r="I35" i="8"/>
  <c r="I36" i="8"/>
  <c r="R36" i="8"/>
  <c r="I37" i="8"/>
  <c r="I38" i="8"/>
  <c r="R38" i="8"/>
  <c r="I39" i="8"/>
  <c r="I40" i="8"/>
  <c r="I41" i="8"/>
  <c r="I42" i="8"/>
  <c r="I43" i="8"/>
  <c r="I44" i="8"/>
  <c r="R44" i="8"/>
  <c r="I45" i="8"/>
  <c r="R45" i="8"/>
  <c r="I46" i="8"/>
  <c r="I47" i="8"/>
  <c r="I48" i="8"/>
  <c r="D50" i="8"/>
  <c r="G50" i="8"/>
  <c r="H50" i="8"/>
  <c r="J50" i="8"/>
  <c r="K50" i="8"/>
  <c r="L50" i="8"/>
  <c r="M50" i="8"/>
  <c r="N50" i="8"/>
  <c r="O50" i="8"/>
  <c r="P50" i="8"/>
  <c r="Q50" i="8"/>
  <c r="H51" i="8"/>
  <c r="H52" i="8"/>
  <c r="E53" i="8"/>
  <c r="H53" i="8"/>
  <c r="L53" i="8"/>
  <c r="M53" i="8"/>
  <c r="M58" i="8" s="1"/>
  <c r="M54" i="8"/>
  <c r="L54" i="8" s="1"/>
  <c r="L58" i="8" s="1"/>
  <c r="P53" i="8" s="1"/>
  <c r="C55" i="8"/>
  <c r="E55" i="8"/>
  <c r="E56" i="8"/>
  <c r="M55" i="8" s="1"/>
  <c r="L55" i="8" s="1"/>
  <c r="L61" i="8"/>
  <c r="L66" i="8" s="1"/>
  <c r="P54" i="8" s="1"/>
  <c r="M61" i="8"/>
  <c r="M66" i="8" s="1"/>
  <c r="L62" i="8"/>
  <c r="M62" i="8"/>
  <c r="L69" i="8"/>
  <c r="M69" i="8"/>
  <c r="L70" i="8"/>
  <c r="L74" i="8" s="1"/>
  <c r="P55" i="8" s="1"/>
  <c r="M70" i="8"/>
  <c r="M74" i="8"/>
  <c r="I3" i="9"/>
  <c r="I27" i="9" s="1"/>
  <c r="I4" i="9"/>
  <c r="R4" i="9"/>
  <c r="I5" i="9"/>
  <c r="R5" i="9"/>
  <c r="I6" i="9"/>
  <c r="R6" i="9"/>
  <c r="I7" i="9"/>
  <c r="I8" i="9"/>
  <c r="I9" i="9"/>
  <c r="I10" i="9"/>
  <c r="I11" i="9"/>
  <c r="I12" i="9"/>
  <c r="R12" i="9"/>
  <c r="I13" i="9"/>
  <c r="I14" i="9"/>
  <c r="R14" i="9"/>
  <c r="I15" i="9"/>
  <c r="I16" i="9"/>
  <c r="I17" i="9"/>
  <c r="I18" i="9"/>
  <c r="I19" i="9"/>
  <c r="I20" i="9"/>
  <c r="I21" i="9"/>
  <c r="R21" i="9"/>
  <c r="I22" i="9"/>
  <c r="R22" i="9"/>
  <c r="I23" i="9"/>
  <c r="I24" i="9"/>
  <c r="I25" i="9"/>
  <c r="D27" i="9"/>
  <c r="G27" i="9"/>
  <c r="H27" i="9"/>
  <c r="J27" i="9"/>
  <c r="K27" i="9"/>
  <c r="L27" i="9"/>
  <c r="M27" i="9"/>
  <c r="N27" i="9"/>
  <c r="O27" i="9"/>
  <c r="P27" i="9"/>
  <c r="Q27" i="9"/>
  <c r="H28" i="9"/>
  <c r="H29" i="9"/>
  <c r="C30" i="9"/>
  <c r="C33" i="9" s="1"/>
  <c r="C37" i="9" s="1"/>
  <c r="P33" i="9" s="1"/>
  <c r="E30" i="9"/>
  <c r="E33" i="9" s="1"/>
  <c r="M32" i="9" s="1"/>
  <c r="L32" i="9" s="1"/>
  <c r="L30" i="9"/>
  <c r="M30" i="9"/>
  <c r="M35" i="9" s="1"/>
  <c r="M31" i="9"/>
  <c r="L31" i="9" s="1"/>
  <c r="L35" i="9" s="1"/>
  <c r="P30" i="9" s="1"/>
  <c r="P34" i="9" s="1"/>
  <c r="C32" i="9"/>
  <c r="E32" i="9"/>
  <c r="P32" i="9"/>
  <c r="L38" i="9"/>
  <c r="M38" i="9"/>
  <c r="M39" i="9"/>
  <c r="L39" i="9" s="1"/>
  <c r="L43" i="9" s="1"/>
  <c r="P31" i="9" s="1"/>
  <c r="M43" i="9"/>
  <c r="L46" i="9"/>
  <c r="M46" i="9"/>
  <c r="M51" i="9" s="1"/>
  <c r="L47" i="9"/>
  <c r="M47" i="9"/>
  <c r="L51" i="9"/>
  <c r="I3" i="10"/>
  <c r="I4" i="10"/>
  <c r="I5" i="10"/>
  <c r="I6" i="10"/>
  <c r="I7" i="10"/>
  <c r="C31" i="10" s="1"/>
  <c r="C34" i="10" s="1"/>
  <c r="C38" i="10" s="1"/>
  <c r="P34" i="10" s="1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D28" i="10"/>
  <c r="G28" i="10"/>
  <c r="H28" i="10"/>
  <c r="J28" i="10"/>
  <c r="K28" i="10"/>
  <c r="L28" i="10"/>
  <c r="M28" i="10"/>
  <c r="N28" i="10"/>
  <c r="O28" i="10"/>
  <c r="P28" i="10"/>
  <c r="Q28" i="10"/>
  <c r="H29" i="10"/>
  <c r="E31" i="10"/>
  <c r="L31" i="10"/>
  <c r="M31" i="10"/>
  <c r="M36" i="10" s="1"/>
  <c r="M32" i="10"/>
  <c r="L32" i="10" s="1"/>
  <c r="C33" i="10"/>
  <c r="E33" i="10"/>
  <c r="E34" i="10"/>
  <c r="M33" i="10" s="1"/>
  <c r="L33" i="10" s="1"/>
  <c r="L39" i="10"/>
  <c r="L44" i="10" s="1"/>
  <c r="P32" i="10" s="1"/>
  <c r="M39" i="10"/>
  <c r="M44" i="10" s="1"/>
  <c r="M40" i="10"/>
  <c r="L40" i="10" s="1"/>
  <c r="L47" i="10"/>
  <c r="M47" i="10"/>
  <c r="M52" i="10" s="1"/>
  <c r="L48" i="10"/>
  <c r="L52" i="10" s="1"/>
  <c r="P33" i="10" s="1"/>
  <c r="M48" i="10"/>
  <c r="I3" i="11"/>
  <c r="R3" i="11"/>
  <c r="I4" i="11"/>
  <c r="R4" i="11"/>
  <c r="I5" i="11"/>
  <c r="I6" i="11"/>
  <c r="R6" i="11"/>
  <c r="I7" i="11"/>
  <c r="I37" i="11" s="1"/>
  <c r="I8" i="11"/>
  <c r="I9" i="11"/>
  <c r="I10" i="11"/>
  <c r="I11" i="11"/>
  <c r="R11" i="11"/>
  <c r="I12" i="11"/>
  <c r="I13" i="11"/>
  <c r="I14" i="11"/>
  <c r="I15" i="11"/>
  <c r="I16" i="11"/>
  <c r="I17" i="11"/>
  <c r="I18" i="11"/>
  <c r="I19" i="11"/>
  <c r="R19" i="11"/>
  <c r="I20" i="11"/>
  <c r="I21" i="11"/>
  <c r="I22" i="11"/>
  <c r="I23" i="11"/>
  <c r="I24" i="11"/>
  <c r="I25" i="11"/>
  <c r="I26" i="11"/>
  <c r="R26" i="11"/>
  <c r="I27" i="11"/>
  <c r="I28" i="11"/>
  <c r="I29" i="11"/>
  <c r="R29" i="11"/>
  <c r="I30" i="11"/>
  <c r="I31" i="11"/>
  <c r="I32" i="11"/>
  <c r="I33" i="11"/>
  <c r="I34" i="11"/>
  <c r="R34" i="11"/>
  <c r="I35" i="11"/>
  <c r="D37" i="11"/>
  <c r="G37" i="11"/>
  <c r="H37" i="11"/>
  <c r="J37" i="11"/>
  <c r="K37" i="11"/>
  <c r="L37" i="11"/>
  <c r="M37" i="11"/>
  <c r="N37" i="11"/>
  <c r="O37" i="11"/>
  <c r="P37" i="11"/>
  <c r="Q37" i="11"/>
  <c r="H38" i="11"/>
  <c r="H39" i="11"/>
  <c r="C40" i="11"/>
  <c r="E40" i="11"/>
  <c r="H40" i="11"/>
  <c r="L40" i="11"/>
  <c r="L45" i="11" s="1"/>
  <c r="P40" i="11" s="1"/>
  <c r="M40" i="11"/>
  <c r="L41" i="11"/>
  <c r="M41" i="11"/>
  <c r="C42" i="11"/>
  <c r="E42" i="11"/>
  <c r="C43" i="11"/>
  <c r="C47" i="11" s="1"/>
  <c r="P43" i="11" s="1"/>
  <c r="E43" i="11"/>
  <c r="M45" i="11"/>
  <c r="L48" i="11"/>
  <c r="M48" i="11"/>
  <c r="L49" i="11"/>
  <c r="M49" i="11"/>
  <c r="M50" i="11"/>
  <c r="L50" i="11" s="1"/>
  <c r="L53" i="11" s="1"/>
  <c r="P41" i="11" s="1"/>
  <c r="M53" i="11"/>
  <c r="L56" i="11"/>
  <c r="M56" i="11"/>
  <c r="M61" i="11" s="1"/>
  <c r="M57" i="11"/>
  <c r="L57" i="11" s="1"/>
  <c r="I3" i="12"/>
  <c r="R3" i="12"/>
  <c r="I4" i="12"/>
  <c r="I5" i="12"/>
  <c r="C27" i="12" s="1"/>
  <c r="C30" i="12" s="1"/>
  <c r="C34" i="12" s="1"/>
  <c r="P30" i="12" s="1"/>
  <c r="I6" i="12"/>
  <c r="R6" i="12"/>
  <c r="I7" i="12"/>
  <c r="R7" i="12"/>
  <c r="I8" i="12"/>
  <c r="I9" i="12"/>
  <c r="I10" i="12"/>
  <c r="I11" i="12"/>
  <c r="R11" i="12"/>
  <c r="I12" i="12"/>
  <c r="I13" i="12"/>
  <c r="R13" i="12"/>
  <c r="I14" i="12"/>
  <c r="I15" i="12"/>
  <c r="I16" i="12"/>
  <c r="R16" i="12"/>
  <c r="I17" i="12"/>
  <c r="I18" i="12"/>
  <c r="I19" i="12"/>
  <c r="R19" i="12"/>
  <c r="I20" i="12"/>
  <c r="I21" i="12"/>
  <c r="I22" i="12"/>
  <c r="D24" i="12"/>
  <c r="G24" i="12"/>
  <c r="H24" i="12"/>
  <c r="J24" i="12"/>
  <c r="K24" i="12"/>
  <c r="L24" i="12"/>
  <c r="M24" i="12"/>
  <c r="N24" i="12"/>
  <c r="O24" i="12"/>
  <c r="P24" i="12"/>
  <c r="Q24" i="12"/>
  <c r="H25" i="12"/>
  <c r="L28" i="12" s="1"/>
  <c r="E27" i="12"/>
  <c r="L27" i="12"/>
  <c r="M27" i="12"/>
  <c r="M32" i="12" s="1"/>
  <c r="M28" i="12"/>
  <c r="C29" i="12"/>
  <c r="E29" i="12"/>
  <c r="E30" i="12"/>
  <c r="L35" i="12"/>
  <c r="M35" i="12"/>
  <c r="L36" i="12"/>
  <c r="M36" i="12"/>
  <c r="M37" i="12"/>
  <c r="L37" i="12" s="1"/>
  <c r="L40" i="12" s="1"/>
  <c r="P28" i="12" s="1"/>
  <c r="M40" i="12"/>
  <c r="L43" i="12"/>
  <c r="M43" i="12"/>
  <c r="M48" i="12" s="1"/>
  <c r="M44" i="12"/>
  <c r="L44" i="12" s="1"/>
  <c r="I3" i="13"/>
  <c r="C26" i="13" s="1"/>
  <c r="C29" i="13" s="1"/>
  <c r="C33" i="13" s="1"/>
  <c r="P29" i="13" s="1"/>
  <c r="I4" i="13"/>
  <c r="I5" i="13"/>
  <c r="I6" i="13"/>
  <c r="I23" i="13" s="1"/>
  <c r="I7" i="13"/>
  <c r="I8" i="13"/>
  <c r="I9" i="13"/>
  <c r="I10" i="13"/>
  <c r="R10" i="13"/>
  <c r="I11" i="13"/>
  <c r="I12" i="13"/>
  <c r="I13" i="13"/>
  <c r="R13" i="13"/>
  <c r="I14" i="13"/>
  <c r="R14" i="13"/>
  <c r="I15" i="13"/>
  <c r="I16" i="13"/>
  <c r="I17" i="13"/>
  <c r="I18" i="13"/>
  <c r="R18" i="13"/>
  <c r="I19" i="13"/>
  <c r="I20" i="13"/>
  <c r="R20" i="13"/>
  <c r="I21" i="13"/>
  <c r="R21" i="13"/>
  <c r="D23" i="13"/>
  <c r="G23" i="13"/>
  <c r="H23" i="13"/>
  <c r="J23" i="13"/>
  <c r="K23" i="13"/>
  <c r="L23" i="13"/>
  <c r="M23" i="13"/>
  <c r="N23" i="13"/>
  <c r="O23" i="13"/>
  <c r="P23" i="13"/>
  <c r="Q23" i="13"/>
  <c r="H24" i="13"/>
  <c r="E26" i="13"/>
  <c r="E29" i="13" s="1"/>
  <c r="M45" i="13" s="1"/>
  <c r="L45" i="13" s="1"/>
  <c r="L26" i="13"/>
  <c r="L31" i="13" s="1"/>
  <c r="P26" i="13" s="1"/>
  <c r="M26" i="13"/>
  <c r="L27" i="13"/>
  <c r="M27" i="13"/>
  <c r="P27" i="13"/>
  <c r="C28" i="13"/>
  <c r="E28" i="13"/>
  <c r="M31" i="13"/>
  <c r="L34" i="13"/>
  <c r="M34" i="13"/>
  <c r="M40" i="13" s="1"/>
  <c r="L35" i="13"/>
  <c r="M35" i="13"/>
  <c r="L40" i="13"/>
  <c r="L43" i="13"/>
  <c r="M43" i="13"/>
  <c r="M48" i="13" s="1"/>
  <c r="L44" i="13"/>
  <c r="L48" i="13" s="1"/>
  <c r="P28" i="13" s="1"/>
  <c r="M44" i="13"/>
  <c r="I3" i="14"/>
  <c r="I4" i="14"/>
  <c r="I5" i="14"/>
  <c r="C62" i="14" s="1"/>
  <c r="C65" i="14" s="1"/>
  <c r="C69" i="14" s="1"/>
  <c r="P65" i="14" s="1"/>
  <c r="I6" i="14"/>
  <c r="I7" i="14"/>
  <c r="I8" i="14"/>
  <c r="R8" i="14"/>
  <c r="I9" i="14"/>
  <c r="R9" i="14"/>
  <c r="I10" i="14"/>
  <c r="I11" i="14"/>
  <c r="I12" i="14"/>
  <c r="I13" i="14"/>
  <c r="I14" i="14"/>
  <c r="I15" i="14"/>
  <c r="I16" i="14"/>
  <c r="I17" i="14"/>
  <c r="R17" i="14"/>
  <c r="I18" i="14"/>
  <c r="I19" i="14"/>
  <c r="I20" i="14"/>
  <c r="I21" i="14"/>
  <c r="I22" i="14"/>
  <c r="I23" i="14"/>
  <c r="R23" i="14"/>
  <c r="I24" i="14"/>
  <c r="I25" i="14"/>
  <c r="R25" i="14"/>
  <c r="I26" i="14"/>
  <c r="I27" i="14"/>
  <c r="I28" i="14"/>
  <c r="I29" i="14"/>
  <c r="I30" i="14"/>
  <c r="R30" i="14"/>
  <c r="I31" i="14"/>
  <c r="R31" i="14"/>
  <c r="I32" i="14"/>
  <c r="I33" i="14"/>
  <c r="R33" i="14"/>
  <c r="I34" i="14"/>
  <c r="R34" i="14"/>
  <c r="I35" i="14"/>
  <c r="I36" i="14"/>
  <c r="I37" i="14"/>
  <c r="I38" i="14"/>
  <c r="R38" i="14"/>
  <c r="I39" i="14"/>
  <c r="R39" i="14"/>
  <c r="I40" i="14"/>
  <c r="I41" i="14"/>
  <c r="R41" i="14"/>
  <c r="I42" i="14"/>
  <c r="I43" i="14"/>
  <c r="I44" i="14"/>
  <c r="R44" i="14"/>
  <c r="I45" i="14"/>
  <c r="R45" i="14"/>
  <c r="I46" i="14"/>
  <c r="I47" i="14"/>
  <c r="I48" i="14"/>
  <c r="I49" i="14"/>
  <c r="I50" i="14"/>
  <c r="I51" i="14"/>
  <c r="I52" i="14"/>
  <c r="I53" i="14"/>
  <c r="I54" i="14"/>
  <c r="I55" i="14"/>
  <c r="R55" i="14"/>
  <c r="I56" i="14"/>
  <c r="I57" i="14"/>
  <c r="D59" i="14"/>
  <c r="G59" i="14"/>
  <c r="H59" i="14"/>
  <c r="J59" i="14"/>
  <c r="K59" i="14"/>
  <c r="L59" i="14"/>
  <c r="M59" i="14"/>
  <c r="N59" i="14"/>
  <c r="O59" i="14"/>
  <c r="P59" i="14"/>
  <c r="Q59" i="14"/>
  <c r="H60" i="14"/>
  <c r="H61" i="14"/>
  <c r="E62" i="14"/>
  <c r="E65" i="14" s="1"/>
  <c r="M72" i="14" s="1"/>
  <c r="L72" i="14" s="1"/>
  <c r="H62" i="14"/>
  <c r="L62" i="14"/>
  <c r="M62" i="14"/>
  <c r="L63" i="14"/>
  <c r="L67" i="14" s="1"/>
  <c r="P62" i="14" s="1"/>
  <c r="M63" i="14"/>
  <c r="E64" i="14"/>
  <c r="M67" i="14"/>
  <c r="L70" i="14"/>
  <c r="M70" i="14"/>
  <c r="M71" i="14"/>
  <c r="L71" i="14" s="1"/>
  <c r="M76" i="14"/>
  <c r="L79" i="14"/>
  <c r="M79" i="14"/>
  <c r="M80" i="14"/>
  <c r="L80" i="14" s="1"/>
  <c r="L84" i="14" s="1"/>
  <c r="P64" i="14" s="1"/>
  <c r="M84" i="14"/>
  <c r="I3" i="15"/>
  <c r="I4" i="15"/>
  <c r="I5" i="15"/>
  <c r="I6" i="15"/>
  <c r="I7" i="15"/>
  <c r="R7" i="15"/>
  <c r="I8" i="15"/>
  <c r="I9" i="15"/>
  <c r="I10" i="15"/>
  <c r="I11" i="15"/>
  <c r="I20" i="15" s="1"/>
  <c r="I12" i="15"/>
  <c r="I13" i="15"/>
  <c r="I14" i="15"/>
  <c r="I15" i="15"/>
  <c r="I16" i="15"/>
  <c r="R16" i="15"/>
  <c r="I17" i="15"/>
  <c r="I18" i="15"/>
  <c r="R18" i="15"/>
  <c r="D20" i="15"/>
  <c r="G20" i="15"/>
  <c r="H20" i="15"/>
  <c r="J20" i="15"/>
  <c r="K20" i="15"/>
  <c r="L20" i="15"/>
  <c r="M20" i="15"/>
  <c r="N20" i="15"/>
  <c r="O20" i="15"/>
  <c r="P20" i="15"/>
  <c r="Q20" i="15"/>
  <c r="H21" i="15"/>
  <c r="H22" i="15"/>
  <c r="C23" i="15"/>
  <c r="E23" i="15"/>
  <c r="H23" i="15"/>
  <c r="L40" i="15" s="1"/>
  <c r="L23" i="15"/>
  <c r="M23" i="15"/>
  <c r="M28" i="15" s="1"/>
  <c r="L24" i="15"/>
  <c r="M24" i="15"/>
  <c r="C25" i="15"/>
  <c r="E25" i="15"/>
  <c r="C26" i="15"/>
  <c r="C30" i="15" s="1"/>
  <c r="P26" i="15" s="1"/>
  <c r="E26" i="15"/>
  <c r="L28" i="15"/>
  <c r="P23" i="15" s="1"/>
  <c r="L31" i="15"/>
  <c r="M31" i="15"/>
  <c r="M36" i="15" s="1"/>
  <c r="L32" i="15"/>
  <c r="M32" i="15"/>
  <c r="M33" i="15"/>
  <c r="L33" i="15" s="1"/>
  <c r="L36" i="15" s="1"/>
  <c r="P24" i="15" s="1"/>
  <c r="L39" i="15"/>
  <c r="L44" i="15" s="1"/>
  <c r="P25" i="15" s="1"/>
  <c r="M39" i="15"/>
  <c r="M40" i="15"/>
  <c r="M44" i="15"/>
  <c r="I3" i="16"/>
  <c r="C43" i="16" s="1"/>
  <c r="C46" i="16" s="1"/>
  <c r="C50" i="16" s="1"/>
  <c r="P46" i="16" s="1"/>
  <c r="R3" i="16"/>
  <c r="I4" i="16"/>
  <c r="I5" i="16"/>
  <c r="I40" i="16" s="1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R18" i="16"/>
  <c r="I19" i="16"/>
  <c r="I20" i="16"/>
  <c r="I21" i="16"/>
  <c r="I22" i="16"/>
  <c r="I23" i="16"/>
  <c r="I24" i="16"/>
  <c r="I25" i="16"/>
  <c r="R25" i="16"/>
  <c r="I26" i="16"/>
  <c r="I27" i="16"/>
  <c r="R27" i="16"/>
  <c r="I28" i="16"/>
  <c r="I29" i="16"/>
  <c r="I30" i="16"/>
  <c r="I31" i="16"/>
  <c r="I32" i="16"/>
  <c r="I33" i="16"/>
  <c r="R33" i="16"/>
  <c r="I34" i="16"/>
  <c r="I35" i="16"/>
  <c r="R35" i="16"/>
  <c r="I36" i="16"/>
  <c r="I37" i="16"/>
  <c r="I38" i="16"/>
  <c r="D40" i="16"/>
  <c r="G40" i="16"/>
  <c r="H40" i="16"/>
  <c r="J40" i="16"/>
  <c r="K40" i="16"/>
  <c r="L40" i="16"/>
  <c r="M40" i="16"/>
  <c r="N40" i="16"/>
  <c r="O40" i="16"/>
  <c r="P40" i="16"/>
  <c r="Q40" i="16"/>
  <c r="H41" i="16"/>
  <c r="L60" i="16" s="1"/>
  <c r="L64" i="16" s="1"/>
  <c r="P45" i="16" s="1"/>
  <c r="H42" i="16"/>
  <c r="E43" i="16"/>
  <c r="H43" i="16"/>
  <c r="L43" i="16"/>
  <c r="L48" i="16" s="1"/>
  <c r="P43" i="16" s="1"/>
  <c r="M43" i="16"/>
  <c r="M48" i="16" s="1"/>
  <c r="M44" i="16"/>
  <c r="L44" i="16" s="1"/>
  <c r="C45" i="16"/>
  <c r="E45" i="16"/>
  <c r="E46" i="16"/>
  <c r="M53" i="16" s="1"/>
  <c r="L53" i="16" s="1"/>
  <c r="L51" i="16"/>
  <c r="L56" i="16" s="1"/>
  <c r="P44" i="16" s="1"/>
  <c r="M51" i="16"/>
  <c r="M56" i="16" s="1"/>
  <c r="L52" i="16"/>
  <c r="M52" i="16"/>
  <c r="L59" i="16"/>
  <c r="M59" i="16"/>
  <c r="M60" i="16"/>
  <c r="M64" i="16"/>
  <c r="I3" i="17"/>
  <c r="I42" i="17" s="1"/>
  <c r="I4" i="17"/>
  <c r="I5" i="17"/>
  <c r="I6" i="17"/>
  <c r="I7" i="17"/>
  <c r="C45" i="17" s="1"/>
  <c r="C48" i="17" s="1"/>
  <c r="C52" i="17" s="1"/>
  <c r="P48" i="17" s="1"/>
  <c r="I8" i="17"/>
  <c r="R8" i="17"/>
  <c r="I9" i="17"/>
  <c r="I10" i="17"/>
  <c r="I11" i="17"/>
  <c r="I12" i="17"/>
  <c r="I13" i="17"/>
  <c r="I14" i="17"/>
  <c r="I15" i="17"/>
  <c r="I16" i="17"/>
  <c r="I17" i="17"/>
  <c r="R17" i="17"/>
  <c r="I18" i="17"/>
  <c r="I19" i="17"/>
  <c r="R19" i="17"/>
  <c r="I20" i="17"/>
  <c r="I21" i="17"/>
  <c r="R21" i="17"/>
  <c r="I22" i="17"/>
  <c r="R22" i="17"/>
  <c r="I23" i="17"/>
  <c r="I24" i="17"/>
  <c r="I25" i="17"/>
  <c r="I26" i="17"/>
  <c r="I27" i="17"/>
  <c r="I28" i="17"/>
  <c r="R28" i="17"/>
  <c r="I29" i="17"/>
  <c r="I30" i="17"/>
  <c r="R30" i="17"/>
  <c r="I31" i="17"/>
  <c r="R31" i="17"/>
  <c r="I32" i="17"/>
  <c r="I33" i="17"/>
  <c r="I34" i="17"/>
  <c r="I35" i="17"/>
  <c r="I36" i="17"/>
  <c r="I37" i="17"/>
  <c r="I38" i="17"/>
  <c r="I39" i="17"/>
  <c r="I40" i="17"/>
  <c r="D42" i="17"/>
  <c r="G42" i="17"/>
  <c r="H42" i="17"/>
  <c r="J42" i="17"/>
  <c r="K42" i="17"/>
  <c r="L42" i="17"/>
  <c r="M42" i="17"/>
  <c r="N42" i="17"/>
  <c r="O42" i="17"/>
  <c r="P42" i="17"/>
  <c r="Q42" i="17"/>
  <c r="H43" i="17"/>
  <c r="L63" i="17" s="1"/>
  <c r="L67" i="17" s="1"/>
  <c r="P47" i="17" s="1"/>
  <c r="H44" i="17"/>
  <c r="E45" i="17"/>
  <c r="E48" i="17" s="1"/>
  <c r="M47" i="17" s="1"/>
  <c r="L47" i="17" s="1"/>
  <c r="L50" i="17" s="1"/>
  <c r="P45" i="17" s="1"/>
  <c r="H45" i="17"/>
  <c r="L45" i="17"/>
  <c r="M45" i="17"/>
  <c r="M50" i="17" s="1"/>
  <c r="L46" i="17"/>
  <c r="M46" i="17"/>
  <c r="C47" i="17"/>
  <c r="E47" i="17"/>
  <c r="L53" i="17"/>
  <c r="M53" i="17"/>
  <c r="L54" i="17"/>
  <c r="L59" i="17" s="1"/>
  <c r="P46" i="17" s="1"/>
  <c r="M54" i="17"/>
  <c r="M59" i="17" s="1"/>
  <c r="L62" i="17"/>
  <c r="M62" i="17"/>
  <c r="M67" i="17" s="1"/>
  <c r="M63" i="17"/>
  <c r="I3" i="18"/>
  <c r="R3" i="18"/>
  <c r="I4" i="18"/>
  <c r="I5" i="18"/>
  <c r="I6" i="18"/>
  <c r="I7" i="18"/>
  <c r="I8" i="18"/>
  <c r="I9" i="18"/>
  <c r="I10" i="18"/>
  <c r="I11" i="18"/>
  <c r="I12" i="18"/>
  <c r="I13" i="18"/>
  <c r="R13" i="18"/>
  <c r="I14" i="18"/>
  <c r="I42" i="18" s="1"/>
  <c r="R14" i="18"/>
  <c r="I15" i="18"/>
  <c r="R15" i="18"/>
  <c r="I16" i="18"/>
  <c r="R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R28" i="18"/>
  <c r="I29" i="18"/>
  <c r="R29" i="18"/>
  <c r="I30" i="18"/>
  <c r="R30" i="18"/>
  <c r="I31" i="18"/>
  <c r="I32" i="18"/>
  <c r="I33" i="18"/>
  <c r="I34" i="18"/>
  <c r="I35" i="18"/>
  <c r="I36" i="18"/>
  <c r="I37" i="18"/>
  <c r="I38" i="18"/>
  <c r="I39" i="18"/>
  <c r="I40" i="18"/>
  <c r="R40" i="18"/>
  <c r="D42" i="18"/>
  <c r="G42" i="18"/>
  <c r="H42" i="18"/>
  <c r="J42" i="18"/>
  <c r="K42" i="18"/>
  <c r="L42" i="18"/>
  <c r="M42" i="18"/>
  <c r="N42" i="18"/>
  <c r="O42" i="18"/>
  <c r="P42" i="18"/>
  <c r="Q42" i="18"/>
  <c r="H43" i="18"/>
  <c r="H44" i="18"/>
  <c r="C45" i="18"/>
  <c r="E45" i="18"/>
  <c r="H45" i="18"/>
  <c r="L45" i="18"/>
  <c r="L50" i="18" s="1"/>
  <c r="P45" i="18" s="1"/>
  <c r="M45" i="18"/>
  <c r="M50" i="18" s="1"/>
  <c r="L46" i="18"/>
  <c r="M46" i="18"/>
  <c r="C47" i="18"/>
  <c r="E47" i="18"/>
  <c r="C48" i="18"/>
  <c r="C52" i="18" s="1"/>
  <c r="P48" i="18" s="1"/>
  <c r="E48" i="18"/>
  <c r="M63" i="18" s="1"/>
  <c r="L63" i="18" s="1"/>
  <c r="L66" i="18" s="1"/>
  <c r="P47" i="18" s="1"/>
  <c r="L53" i="18"/>
  <c r="M53" i="18"/>
  <c r="L54" i="18"/>
  <c r="M54" i="18"/>
  <c r="L55" i="18"/>
  <c r="L58" i="18"/>
  <c r="P46" i="18" s="1"/>
  <c r="M58" i="18"/>
  <c r="L61" i="18"/>
  <c r="M61" i="18"/>
  <c r="M66" i="18" s="1"/>
  <c r="L62" i="18"/>
  <c r="M62" i="18"/>
  <c r="I3" i="20"/>
  <c r="I4" i="20"/>
  <c r="R4" i="20"/>
  <c r="I5" i="20"/>
  <c r="C41" i="20" s="1"/>
  <c r="C44" i="20" s="1"/>
  <c r="C48" i="20" s="1"/>
  <c r="P44" i="20" s="1"/>
  <c r="R5" i="20"/>
  <c r="I6" i="20"/>
  <c r="R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R18" i="20"/>
  <c r="I19" i="20"/>
  <c r="I20" i="20"/>
  <c r="R20" i="20"/>
  <c r="I21" i="20"/>
  <c r="R21" i="20"/>
  <c r="I22" i="20"/>
  <c r="R22" i="20"/>
  <c r="I23" i="20"/>
  <c r="I24" i="20"/>
  <c r="I25" i="20"/>
  <c r="R25" i="20"/>
  <c r="I26" i="20"/>
  <c r="I27" i="20"/>
  <c r="I28" i="20"/>
  <c r="R28" i="20"/>
  <c r="I29" i="20"/>
  <c r="I30" i="20"/>
  <c r="I31" i="20"/>
  <c r="R31" i="20"/>
  <c r="I32" i="20"/>
  <c r="R32" i="20"/>
  <c r="I33" i="20"/>
  <c r="I34" i="20"/>
  <c r="I35" i="20"/>
  <c r="I36" i="20"/>
  <c r="D38" i="20"/>
  <c r="G38" i="20"/>
  <c r="H38" i="20"/>
  <c r="J38" i="20"/>
  <c r="K38" i="20"/>
  <c r="L38" i="20"/>
  <c r="M38" i="20"/>
  <c r="N38" i="20"/>
  <c r="O38" i="20"/>
  <c r="P38" i="20"/>
  <c r="Q38" i="20"/>
  <c r="H39" i="20"/>
  <c r="H40" i="20"/>
  <c r="L58" i="20" s="1"/>
  <c r="L62" i="20" s="1"/>
  <c r="P43" i="20" s="1"/>
  <c r="E41" i="20"/>
  <c r="H41" i="20"/>
  <c r="L41" i="20"/>
  <c r="L46" i="20" s="1"/>
  <c r="P41" i="20" s="1"/>
  <c r="M41" i="20"/>
  <c r="M46" i="20" s="1"/>
  <c r="L42" i="20"/>
  <c r="M42" i="20"/>
  <c r="C43" i="20"/>
  <c r="E43" i="20"/>
  <c r="L43" i="20"/>
  <c r="M43" i="20"/>
  <c r="E44" i="20"/>
  <c r="L49" i="20"/>
  <c r="M49" i="20"/>
  <c r="L50" i="20"/>
  <c r="M50" i="20"/>
  <c r="L51" i="20"/>
  <c r="M51" i="20"/>
  <c r="L54" i="20"/>
  <c r="P42" i="20" s="1"/>
  <c r="M54" i="20"/>
  <c r="L57" i="20"/>
  <c r="M57" i="20"/>
  <c r="M58" i="20"/>
  <c r="L59" i="20"/>
  <c r="M59" i="20"/>
  <c r="M62" i="20"/>
  <c r="I3" i="21"/>
  <c r="R3" i="21"/>
  <c r="I4" i="21"/>
  <c r="C80" i="21" s="1"/>
  <c r="C83" i="21" s="1"/>
  <c r="C87" i="21" s="1"/>
  <c r="P83" i="21" s="1"/>
  <c r="I5" i="21"/>
  <c r="I6" i="21"/>
  <c r="I7" i="21"/>
  <c r="R7" i="21"/>
  <c r="I8" i="21"/>
  <c r="I9" i="21"/>
  <c r="I10" i="21"/>
  <c r="R10" i="21"/>
  <c r="I11" i="21"/>
  <c r="I12" i="21"/>
  <c r="I13" i="21"/>
  <c r="I14" i="21"/>
  <c r="R14" i="21"/>
  <c r="I15" i="21"/>
  <c r="I16" i="21"/>
  <c r="R16" i="21"/>
  <c r="I17" i="21"/>
  <c r="I18" i="21"/>
  <c r="I19" i="21"/>
  <c r="R19" i="21"/>
  <c r="I20" i="21"/>
  <c r="R20" i="21"/>
  <c r="I21" i="21"/>
  <c r="R21" i="21"/>
  <c r="I22" i="21"/>
  <c r="I23" i="21"/>
  <c r="R23" i="21"/>
  <c r="I24" i="21"/>
  <c r="I25" i="21"/>
  <c r="I26" i="21"/>
  <c r="R26" i="21"/>
  <c r="I27" i="21"/>
  <c r="I28" i="21"/>
  <c r="I29" i="21"/>
  <c r="R29" i="21"/>
  <c r="I30" i="21"/>
  <c r="I31" i="21"/>
  <c r="R31" i="21"/>
  <c r="I32" i="21"/>
  <c r="I33" i="21"/>
  <c r="I34" i="21"/>
  <c r="I35" i="21"/>
  <c r="I36" i="21"/>
  <c r="R36" i="21"/>
  <c r="I37" i="21"/>
  <c r="I38" i="21"/>
  <c r="I39" i="21"/>
  <c r="I40" i="21"/>
  <c r="R40" i="21"/>
  <c r="I41" i="21"/>
  <c r="R41" i="21"/>
  <c r="I42" i="21"/>
  <c r="R42" i="21"/>
  <c r="I43" i="21"/>
  <c r="I44" i="21"/>
  <c r="I45" i="21"/>
  <c r="I46" i="21"/>
  <c r="I47" i="21"/>
  <c r="I48" i="21"/>
  <c r="I49" i="21"/>
  <c r="I50" i="21"/>
  <c r="I51" i="21"/>
  <c r="I52" i="21"/>
  <c r="I53" i="21"/>
  <c r="R53" i="21"/>
  <c r="I54" i="21"/>
  <c r="R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R68" i="21"/>
  <c r="I69" i="21"/>
  <c r="I70" i="21"/>
  <c r="I71" i="21"/>
  <c r="I72" i="21"/>
  <c r="R72" i="21"/>
  <c r="I73" i="21"/>
  <c r="R73" i="21"/>
  <c r="I74" i="21"/>
  <c r="C82" i="21" s="1"/>
  <c r="I75" i="21"/>
  <c r="D77" i="21"/>
  <c r="G77" i="21"/>
  <c r="H77" i="21"/>
  <c r="J77" i="21"/>
  <c r="K77" i="21"/>
  <c r="L77" i="21"/>
  <c r="M77" i="21"/>
  <c r="N77" i="21"/>
  <c r="O77" i="21"/>
  <c r="P77" i="21"/>
  <c r="Q77" i="21"/>
  <c r="H78" i="21"/>
  <c r="L81" i="21" s="1"/>
  <c r="H79" i="21"/>
  <c r="E80" i="21"/>
  <c r="H80" i="21"/>
  <c r="L80" i="21"/>
  <c r="L85" i="21" s="1"/>
  <c r="P80" i="21" s="1"/>
  <c r="M80" i="21"/>
  <c r="M85" i="21" s="1"/>
  <c r="M81" i="21"/>
  <c r="E82" i="21"/>
  <c r="L82" i="21"/>
  <c r="M82" i="21"/>
  <c r="E83" i="21"/>
  <c r="L88" i="21"/>
  <c r="M88" i="21"/>
  <c r="M93" i="21" s="1"/>
  <c r="L89" i="21"/>
  <c r="M89" i="21"/>
  <c r="M90" i="21"/>
  <c r="L90" i="21" s="1"/>
  <c r="L93" i="21" s="1"/>
  <c r="P81" i="21" s="1"/>
  <c r="L96" i="21"/>
  <c r="M96" i="21"/>
  <c r="M97" i="21"/>
  <c r="L97" i="21" s="1"/>
  <c r="L101" i="21" s="1"/>
  <c r="P82" i="21" s="1"/>
  <c r="M98" i="21"/>
  <c r="L98" i="21" s="1"/>
  <c r="M101" i="21"/>
  <c r="I3" i="22"/>
  <c r="R3" i="22"/>
  <c r="I4" i="22"/>
  <c r="I42" i="22" s="1"/>
  <c r="I5" i="22"/>
  <c r="I6" i="22"/>
  <c r="I7" i="22"/>
  <c r="I8" i="22"/>
  <c r="I9" i="22"/>
  <c r="I10" i="22"/>
  <c r="I11" i="22"/>
  <c r="C45" i="22" s="1"/>
  <c r="C48" i="22" s="1"/>
  <c r="C52" i="22" s="1"/>
  <c r="P48" i="22" s="1"/>
  <c r="R11" i="22"/>
  <c r="I12" i="22"/>
  <c r="I13" i="22"/>
  <c r="I14" i="22"/>
  <c r="R14" i="22"/>
  <c r="I15" i="22"/>
  <c r="I16" i="22"/>
  <c r="I17" i="22"/>
  <c r="I18" i="22"/>
  <c r="I19" i="22"/>
  <c r="I20" i="22"/>
  <c r="I21" i="22"/>
  <c r="R21" i="22"/>
  <c r="I22" i="22"/>
  <c r="R22" i="22"/>
  <c r="I23" i="22"/>
  <c r="I24" i="22"/>
  <c r="I25" i="22"/>
  <c r="I26" i="22"/>
  <c r="I27" i="22"/>
  <c r="R27" i="22"/>
  <c r="I28" i="22"/>
  <c r="R28" i="22"/>
  <c r="I29" i="22"/>
  <c r="I30" i="22"/>
  <c r="I31" i="22"/>
  <c r="I32" i="22"/>
  <c r="R32" i="22"/>
  <c r="I33" i="22"/>
  <c r="I34" i="22"/>
  <c r="I35" i="22"/>
  <c r="I36" i="22"/>
  <c r="R36" i="22"/>
  <c r="I37" i="22"/>
  <c r="I38" i="22"/>
  <c r="I39" i="22"/>
  <c r="R39" i="22"/>
  <c r="I40" i="22"/>
  <c r="D42" i="22"/>
  <c r="G42" i="22"/>
  <c r="H42" i="22"/>
  <c r="J42" i="22"/>
  <c r="K42" i="22"/>
  <c r="L42" i="22"/>
  <c r="M42" i="22"/>
  <c r="N42" i="22"/>
  <c r="O42" i="22"/>
  <c r="P42" i="22"/>
  <c r="Q42" i="22"/>
  <c r="H43" i="22"/>
  <c r="H44" i="22"/>
  <c r="E45" i="22"/>
  <c r="E48" i="22" s="1"/>
  <c r="H45" i="22"/>
  <c r="L45" i="22"/>
  <c r="M45" i="22"/>
  <c r="M46" i="22"/>
  <c r="L46" i="22" s="1"/>
  <c r="L50" i="22" s="1"/>
  <c r="P45" i="22" s="1"/>
  <c r="C47" i="22"/>
  <c r="E47" i="22"/>
  <c r="L47" i="22"/>
  <c r="M47" i="22"/>
  <c r="M50" i="22"/>
  <c r="L53" i="22"/>
  <c r="L58" i="22" s="1"/>
  <c r="P46" i="22" s="1"/>
  <c r="M53" i="22"/>
  <c r="M58" i="22" s="1"/>
  <c r="L54" i="22"/>
  <c r="M54" i="22"/>
  <c r="M55" i="22"/>
  <c r="L55" i="22" s="1"/>
  <c r="L61" i="22"/>
  <c r="M61" i="22"/>
  <c r="L62" i="22"/>
  <c r="M62" i="22"/>
  <c r="M63" i="22"/>
  <c r="L63" i="22" s="1"/>
  <c r="L66" i="22" s="1"/>
  <c r="P47" i="22" s="1"/>
  <c r="M66" i="22"/>
  <c r="I3" i="23"/>
  <c r="I4" i="23"/>
  <c r="R4" i="23"/>
  <c r="I5" i="23"/>
  <c r="I6" i="23"/>
  <c r="C50" i="23" s="1"/>
  <c r="C53" i="23" s="1"/>
  <c r="C57" i="23" s="1"/>
  <c r="P53" i="23" s="1"/>
  <c r="I7" i="23"/>
  <c r="I8" i="23"/>
  <c r="I9" i="23"/>
  <c r="I10" i="23"/>
  <c r="I11" i="23"/>
  <c r="I12" i="23"/>
  <c r="I13" i="23"/>
  <c r="I14" i="23"/>
  <c r="I15" i="23"/>
  <c r="R15" i="23"/>
  <c r="I16" i="23"/>
  <c r="I17" i="23"/>
  <c r="I18" i="23"/>
  <c r="I19" i="23"/>
  <c r="I20" i="23"/>
  <c r="R20" i="23"/>
  <c r="I21" i="23"/>
  <c r="R21" i="23"/>
  <c r="I22" i="23"/>
  <c r="I23" i="23"/>
  <c r="R23" i="23"/>
  <c r="I24" i="23"/>
  <c r="R24" i="23"/>
  <c r="I25" i="23"/>
  <c r="R25" i="23"/>
  <c r="I26" i="23"/>
  <c r="R26" i="23"/>
  <c r="I27" i="23"/>
  <c r="I28" i="23"/>
  <c r="I29" i="23"/>
  <c r="I30" i="23"/>
  <c r="I31" i="23"/>
  <c r="I32" i="23"/>
  <c r="I33" i="23"/>
  <c r="I34" i="23"/>
  <c r="I35" i="23"/>
  <c r="I36" i="23"/>
  <c r="I37" i="23"/>
  <c r="R37" i="23"/>
  <c r="I38" i="23"/>
  <c r="I39" i="23"/>
  <c r="I40" i="23"/>
  <c r="R40" i="23"/>
  <c r="I41" i="23"/>
  <c r="I42" i="23"/>
  <c r="I43" i="23"/>
  <c r="I44" i="23"/>
  <c r="I45" i="23"/>
  <c r="D47" i="23"/>
  <c r="G47" i="23"/>
  <c r="H47" i="23"/>
  <c r="J47" i="23"/>
  <c r="K47" i="23"/>
  <c r="L47" i="23"/>
  <c r="M47" i="23"/>
  <c r="N47" i="23"/>
  <c r="O47" i="23"/>
  <c r="P47" i="23"/>
  <c r="Q47" i="23"/>
  <c r="H48" i="23"/>
  <c r="H49" i="23"/>
  <c r="E50" i="23"/>
  <c r="H50" i="23"/>
  <c r="L50" i="23"/>
  <c r="L55" i="23" s="1"/>
  <c r="P50" i="23" s="1"/>
  <c r="M50" i="23"/>
  <c r="M55" i="23" s="1"/>
  <c r="L51" i="23"/>
  <c r="M51" i="23"/>
  <c r="C52" i="23"/>
  <c r="E52" i="23"/>
  <c r="L52" i="23"/>
  <c r="M52" i="23"/>
  <c r="E53" i="23"/>
  <c r="L58" i="23"/>
  <c r="M58" i="23"/>
  <c r="L59" i="23"/>
  <c r="M59" i="23"/>
  <c r="M60" i="23"/>
  <c r="L60" i="23" s="1"/>
  <c r="L63" i="23" s="1"/>
  <c r="P51" i="23" s="1"/>
  <c r="M63" i="23"/>
  <c r="L66" i="23"/>
  <c r="M66" i="23"/>
  <c r="L67" i="23"/>
  <c r="M67" i="23"/>
  <c r="L68" i="23"/>
  <c r="M68" i="23"/>
  <c r="L71" i="23"/>
  <c r="P52" i="23" s="1"/>
  <c r="M71" i="23"/>
  <c r="I3" i="24"/>
  <c r="I4" i="24"/>
  <c r="C50" i="24" s="1"/>
  <c r="C53" i="24" s="1"/>
  <c r="C57" i="24" s="1"/>
  <c r="P53" i="24" s="1"/>
  <c r="I5" i="24"/>
  <c r="I47" i="24" s="1"/>
  <c r="I6" i="24"/>
  <c r="I7" i="24"/>
  <c r="I8" i="24"/>
  <c r="I9" i="24"/>
  <c r="I10" i="24"/>
  <c r="I11" i="24"/>
  <c r="I12" i="24"/>
  <c r="I13" i="24"/>
  <c r="I14" i="24"/>
  <c r="R14" i="24"/>
  <c r="I15" i="24"/>
  <c r="R15" i="24"/>
  <c r="I16" i="24"/>
  <c r="R16" i="24"/>
  <c r="I17" i="24"/>
  <c r="I18" i="24"/>
  <c r="I19" i="24"/>
  <c r="R19" i="24"/>
  <c r="I20" i="24"/>
  <c r="R20" i="24"/>
  <c r="I21" i="24"/>
  <c r="I22" i="24"/>
  <c r="R22" i="24"/>
  <c r="I23" i="24"/>
  <c r="R23" i="24"/>
  <c r="I24" i="24"/>
  <c r="R24" i="24"/>
  <c r="I25" i="24"/>
  <c r="I26" i="24"/>
  <c r="I27" i="24"/>
  <c r="I28" i="24"/>
  <c r="I29" i="24"/>
  <c r="R29" i="24"/>
  <c r="I30" i="24"/>
  <c r="I31" i="24"/>
  <c r="R31" i="24"/>
  <c r="I32" i="24"/>
  <c r="I33" i="24"/>
  <c r="I34" i="24"/>
  <c r="I35" i="24"/>
  <c r="I36" i="24"/>
  <c r="I37" i="24"/>
  <c r="I38" i="24"/>
  <c r="R38" i="24"/>
  <c r="I39" i="24"/>
  <c r="R39" i="24"/>
  <c r="I40" i="24"/>
  <c r="I41" i="24"/>
  <c r="R41" i="24"/>
  <c r="I42" i="24"/>
  <c r="R42" i="24"/>
  <c r="I43" i="24"/>
  <c r="I44" i="24"/>
  <c r="R44" i="24"/>
  <c r="I45" i="24"/>
  <c r="D47" i="24"/>
  <c r="G47" i="24"/>
  <c r="H47" i="24"/>
  <c r="J47" i="24"/>
  <c r="K47" i="24"/>
  <c r="L47" i="24"/>
  <c r="M47" i="24"/>
  <c r="N47" i="24"/>
  <c r="O47" i="24"/>
  <c r="P47" i="24"/>
  <c r="Q47" i="24"/>
  <c r="H48" i="24"/>
  <c r="L67" i="24" s="1"/>
  <c r="L71" i="24" s="1"/>
  <c r="P52" i="24" s="1"/>
  <c r="H49" i="24"/>
  <c r="E50" i="24"/>
  <c r="H50" i="24"/>
  <c r="L50" i="24"/>
  <c r="L55" i="24" s="1"/>
  <c r="P50" i="24" s="1"/>
  <c r="M50" i="24"/>
  <c r="M55" i="24" s="1"/>
  <c r="L51" i="24"/>
  <c r="M51" i="24"/>
  <c r="C52" i="24"/>
  <c r="E52" i="24"/>
  <c r="L52" i="24"/>
  <c r="M52" i="24"/>
  <c r="E53" i="24"/>
  <c r="L58" i="24"/>
  <c r="M58" i="24"/>
  <c r="M63" i="24" s="1"/>
  <c r="M59" i="24"/>
  <c r="L59" i="24" s="1"/>
  <c r="M60" i="24"/>
  <c r="L60" i="24" s="1"/>
  <c r="L66" i="24"/>
  <c r="M66" i="24"/>
  <c r="M67" i="24"/>
  <c r="M68" i="24"/>
  <c r="L68" i="24" s="1"/>
  <c r="M71" i="24"/>
  <c r="I3" i="25"/>
  <c r="R3" i="25"/>
  <c r="I4" i="25"/>
  <c r="R4" i="25"/>
  <c r="I5" i="25"/>
  <c r="R5" i="25"/>
  <c r="I6" i="25"/>
  <c r="R6" i="25"/>
  <c r="I7" i="25"/>
  <c r="R7" i="25"/>
  <c r="I8" i="25"/>
  <c r="I9" i="25"/>
  <c r="R9" i="25"/>
  <c r="I10" i="25"/>
  <c r="I11" i="25"/>
  <c r="R11" i="25"/>
  <c r="I12" i="25"/>
  <c r="R12" i="25"/>
  <c r="I13" i="25"/>
  <c r="R13" i="25"/>
  <c r="I14" i="25"/>
  <c r="R14" i="25"/>
  <c r="I15" i="25"/>
  <c r="I16" i="25"/>
  <c r="R16" i="25"/>
  <c r="I17" i="25"/>
  <c r="R17" i="25"/>
  <c r="I18" i="25"/>
  <c r="R18" i="25"/>
  <c r="I19" i="25"/>
  <c r="I20" i="25"/>
  <c r="I21" i="25"/>
  <c r="R21" i="25"/>
  <c r="I22" i="25"/>
  <c r="R22" i="25"/>
  <c r="I23" i="25"/>
  <c r="R23" i="25"/>
  <c r="I24" i="25"/>
  <c r="R24" i="25"/>
  <c r="I25" i="25"/>
  <c r="R25" i="25"/>
  <c r="I26" i="25"/>
  <c r="I27" i="25"/>
  <c r="I28" i="25"/>
  <c r="R28" i="25"/>
  <c r="I29" i="25"/>
  <c r="I30" i="25"/>
  <c r="I31" i="25"/>
  <c r="R31" i="25"/>
  <c r="I32" i="25"/>
  <c r="R32" i="25"/>
  <c r="I33" i="25"/>
  <c r="I34" i="25"/>
  <c r="I35" i="25"/>
  <c r="I36" i="25"/>
  <c r="I37" i="25"/>
  <c r="I38" i="25"/>
  <c r="D40" i="25"/>
  <c r="G40" i="25"/>
  <c r="H40" i="25"/>
  <c r="J40" i="25"/>
  <c r="K40" i="25"/>
  <c r="L40" i="25"/>
  <c r="M40" i="25"/>
  <c r="N40" i="25"/>
  <c r="O40" i="25"/>
  <c r="P40" i="25"/>
  <c r="Q40" i="25"/>
  <c r="H41" i="25"/>
  <c r="H42" i="25"/>
  <c r="E43" i="25"/>
  <c r="E46" i="25" s="1"/>
  <c r="H43" i="25"/>
  <c r="L43" i="25"/>
  <c r="M43" i="25"/>
  <c r="M48" i="25" s="1"/>
  <c r="M44" i="25"/>
  <c r="L44" i="25" s="1"/>
  <c r="C45" i="25"/>
  <c r="E45" i="25"/>
  <c r="M45" i="25"/>
  <c r="L45" i="25" s="1"/>
  <c r="L51" i="25"/>
  <c r="M51" i="25"/>
  <c r="M56" i="25" s="1"/>
  <c r="M52" i="25"/>
  <c r="M53" i="25"/>
  <c r="L53" i="25" s="1"/>
  <c r="L59" i="25"/>
  <c r="M59" i="25"/>
  <c r="M65" i="25" s="1"/>
  <c r="M60" i="25"/>
  <c r="L60" i="25" s="1"/>
  <c r="M61" i="25"/>
  <c r="L61" i="25" s="1"/>
  <c r="I3" i="26"/>
  <c r="I4" i="26"/>
  <c r="C38" i="26" s="1"/>
  <c r="C41" i="26" s="1"/>
  <c r="C45" i="26" s="1"/>
  <c r="P41" i="26" s="1"/>
  <c r="I5" i="26"/>
  <c r="I6" i="26"/>
  <c r="R6" i="26"/>
  <c r="I7" i="26"/>
  <c r="I8" i="26"/>
  <c r="R8" i="26"/>
  <c r="I9" i="26"/>
  <c r="R9" i="26"/>
  <c r="I10" i="26"/>
  <c r="I11" i="26"/>
  <c r="I12" i="26"/>
  <c r="I13" i="26"/>
  <c r="R13" i="26"/>
  <c r="I14" i="26"/>
  <c r="I15" i="26"/>
  <c r="R15" i="26"/>
  <c r="I16" i="26"/>
  <c r="I17" i="26"/>
  <c r="I18" i="26"/>
  <c r="I19" i="26"/>
  <c r="R19" i="26"/>
  <c r="I20" i="26"/>
  <c r="I21" i="26"/>
  <c r="I22" i="26"/>
  <c r="I23" i="26"/>
  <c r="I24" i="26"/>
  <c r="I25" i="26"/>
  <c r="R25" i="26"/>
  <c r="I26" i="26"/>
  <c r="I27" i="26"/>
  <c r="R27" i="26"/>
  <c r="I28" i="26"/>
  <c r="I29" i="26"/>
  <c r="R29" i="26"/>
  <c r="I30" i="26"/>
  <c r="I31" i="26"/>
  <c r="R31" i="26"/>
  <c r="I32" i="26"/>
  <c r="R32" i="26"/>
  <c r="I33" i="26"/>
  <c r="D35" i="26"/>
  <c r="G35" i="26"/>
  <c r="H35" i="26"/>
  <c r="J35" i="26"/>
  <c r="K35" i="26"/>
  <c r="L35" i="26"/>
  <c r="M35" i="26"/>
  <c r="N35" i="26"/>
  <c r="O35" i="26"/>
  <c r="P35" i="26"/>
  <c r="Q35" i="26"/>
  <c r="H36" i="26"/>
  <c r="H37" i="26"/>
  <c r="E38" i="26"/>
  <c r="E41" i="26" s="1"/>
  <c r="H38" i="26"/>
  <c r="L38" i="26"/>
  <c r="L43" i="26" s="1"/>
  <c r="P38" i="26" s="1"/>
  <c r="M38" i="26"/>
  <c r="M43" i="26" s="1"/>
  <c r="L39" i="26"/>
  <c r="M39" i="26"/>
  <c r="C40" i="26"/>
  <c r="E40" i="26"/>
  <c r="M40" i="26"/>
  <c r="L40" i="26" s="1"/>
  <c r="L46" i="26"/>
  <c r="M46" i="26"/>
  <c r="M47" i="26"/>
  <c r="L47" i="26" s="1"/>
  <c r="L51" i="26" s="1"/>
  <c r="P39" i="26" s="1"/>
  <c r="L48" i="26"/>
  <c r="M48" i="26"/>
  <c r="M51" i="26"/>
  <c r="L54" i="26"/>
  <c r="M54" i="26"/>
  <c r="M59" i="26" s="1"/>
  <c r="M55" i="26"/>
  <c r="L55" i="26" s="1"/>
  <c r="L56" i="26"/>
  <c r="M56" i="26"/>
  <c r="I3" i="27"/>
  <c r="I46" i="27" s="1"/>
  <c r="R3" i="27"/>
  <c r="I4" i="27"/>
  <c r="R4" i="27"/>
  <c r="I5" i="27"/>
  <c r="I6" i="27"/>
  <c r="R6" i="27"/>
  <c r="I7" i="27"/>
  <c r="I8" i="27"/>
  <c r="I9" i="27"/>
  <c r="I10" i="27"/>
  <c r="R10" i="27"/>
  <c r="I11" i="27"/>
  <c r="R11" i="27"/>
  <c r="I12" i="27"/>
  <c r="I13" i="27"/>
  <c r="I14" i="27"/>
  <c r="R14" i="27"/>
  <c r="I15" i="27"/>
  <c r="I16" i="27"/>
  <c r="I17" i="27"/>
  <c r="R17" i="27"/>
  <c r="I18" i="27"/>
  <c r="I19" i="27"/>
  <c r="I20" i="27"/>
  <c r="R20" i="27"/>
  <c r="I21" i="27"/>
  <c r="I22" i="27"/>
  <c r="I23" i="27"/>
  <c r="I24" i="27"/>
  <c r="I25" i="27"/>
  <c r="I26" i="27"/>
  <c r="R26" i="27"/>
  <c r="I27" i="27"/>
  <c r="I28" i="27"/>
  <c r="I29" i="27"/>
  <c r="R29" i="27"/>
  <c r="I30" i="27"/>
  <c r="I31" i="27"/>
  <c r="I32" i="27"/>
  <c r="I33" i="27"/>
  <c r="I34" i="27"/>
  <c r="R34" i="27"/>
  <c r="I35" i="27"/>
  <c r="R35" i="27"/>
  <c r="I36" i="27"/>
  <c r="I37" i="27"/>
  <c r="I38" i="27"/>
  <c r="I39" i="27"/>
  <c r="I40" i="27"/>
  <c r="I41" i="27"/>
  <c r="I42" i="27"/>
  <c r="I43" i="27"/>
  <c r="I44" i="27"/>
  <c r="D46" i="27"/>
  <c r="G46" i="27"/>
  <c r="H46" i="27"/>
  <c r="J46" i="27"/>
  <c r="K46" i="27"/>
  <c r="L46" i="27"/>
  <c r="M46" i="27"/>
  <c r="N46" i="27"/>
  <c r="O46" i="27"/>
  <c r="P46" i="27"/>
  <c r="Q46" i="27"/>
  <c r="H47" i="27"/>
  <c r="H48" i="27"/>
  <c r="E49" i="27"/>
  <c r="H49" i="27"/>
  <c r="L58" i="27" s="1"/>
  <c r="L49" i="27"/>
  <c r="M49" i="27"/>
  <c r="M54" i="27" s="1"/>
  <c r="L50" i="27"/>
  <c r="M50" i="27"/>
  <c r="C51" i="27"/>
  <c r="E51" i="27"/>
  <c r="M51" i="27"/>
  <c r="L51" i="27" s="1"/>
  <c r="E52" i="27"/>
  <c r="L57" i="27"/>
  <c r="M57" i="27"/>
  <c r="M58" i="27"/>
  <c r="M59" i="27"/>
  <c r="L59" i="27" s="1"/>
  <c r="M62" i="27"/>
  <c r="L65" i="27"/>
  <c r="M65" i="27"/>
  <c r="M70" i="27" s="1"/>
  <c r="M66" i="27"/>
  <c r="L66" i="27" s="1"/>
  <c r="L67" i="27"/>
  <c r="M67" i="27"/>
  <c r="I21" i="28"/>
  <c r="I22" i="28"/>
  <c r="I23" i="28"/>
  <c r="I24" i="28"/>
  <c r="I3" i="28"/>
  <c r="I25" i="28"/>
  <c r="I26" i="28"/>
  <c r="I27" i="28"/>
  <c r="I28" i="28"/>
  <c r="I43" i="28"/>
  <c r="I4" i="28"/>
  <c r="I29" i="28"/>
  <c r="I44" i="28"/>
  <c r="I30" i="28"/>
  <c r="I5" i="28"/>
  <c r="I6" i="28"/>
  <c r="I31" i="28"/>
  <c r="I45" i="28"/>
  <c r="I32" i="28"/>
  <c r="I33" i="28"/>
  <c r="I46" i="28"/>
  <c r="I47" i="28"/>
  <c r="I7" i="28"/>
  <c r="I8" i="28"/>
  <c r="I48" i="28"/>
  <c r="I9" i="28"/>
  <c r="I34" i="28"/>
  <c r="I49" i="28"/>
  <c r="I35" i="28"/>
  <c r="I36" i="28"/>
  <c r="I37" i="28"/>
  <c r="I50" i="28"/>
  <c r="I10" i="28"/>
  <c r="I38" i="28"/>
  <c r="I51" i="28"/>
  <c r="I11" i="28"/>
  <c r="I12" i="28"/>
  <c r="I52" i="28"/>
  <c r="I13" i="28"/>
  <c r="I14" i="28"/>
  <c r="I53" i="28"/>
  <c r="I39" i="28"/>
  <c r="I54" i="28"/>
  <c r="I15" i="28"/>
  <c r="I16" i="28"/>
  <c r="I55" i="28"/>
  <c r="I17" i="28"/>
  <c r="I56" i="28"/>
  <c r="I57" i="28"/>
  <c r="I58" i="28"/>
  <c r="I40" i="28"/>
  <c r="I41" i="28"/>
  <c r="I59" i="28"/>
  <c r="I18" i="28"/>
  <c r="I42" i="28"/>
  <c r="I19" i="28"/>
  <c r="I60" i="28"/>
  <c r="I61" i="28"/>
  <c r="I20" i="28"/>
  <c r="I62" i="28"/>
  <c r="D64" i="28"/>
  <c r="G64" i="28"/>
  <c r="H64" i="28"/>
  <c r="J64" i="28"/>
  <c r="K64" i="28"/>
  <c r="L64" i="28"/>
  <c r="M64" i="28"/>
  <c r="N64" i="28"/>
  <c r="O64" i="28"/>
  <c r="P64" i="28"/>
  <c r="Q64" i="28"/>
  <c r="H65" i="28"/>
  <c r="H66" i="28"/>
  <c r="E67" i="28"/>
  <c r="E70" i="28" s="1"/>
  <c r="H67" i="28"/>
  <c r="L76" i="28" s="1"/>
  <c r="L67" i="28"/>
  <c r="M67" i="28"/>
  <c r="M72" i="28" s="1"/>
  <c r="M68" i="28"/>
  <c r="L68" i="28" s="1"/>
  <c r="C69" i="28"/>
  <c r="E69" i="28"/>
  <c r="M69" i="28"/>
  <c r="L69" i="28" s="1"/>
  <c r="L75" i="28"/>
  <c r="M75" i="28"/>
  <c r="M80" i="28" s="1"/>
  <c r="M76" i="28"/>
  <c r="M77" i="28"/>
  <c r="L77" i="28" s="1"/>
  <c r="L83" i="28"/>
  <c r="M83" i="28"/>
  <c r="M88" i="28" s="1"/>
  <c r="M84" i="28"/>
  <c r="L84" i="28" s="1"/>
  <c r="M85" i="28"/>
  <c r="L85" i="28" s="1"/>
  <c r="B24" i="19"/>
  <c r="P80" i="29" l="1"/>
  <c r="P84" i="29" s="1"/>
  <c r="C125" i="30"/>
  <c r="C129" i="30" s="1"/>
  <c r="P125" i="30" s="1"/>
  <c r="P126" i="30" s="1"/>
  <c r="C43" i="25"/>
  <c r="C46" i="25" s="1"/>
  <c r="C50" i="25" s="1"/>
  <c r="P46" i="25" s="1"/>
  <c r="L65" i="25"/>
  <c r="P45" i="25" s="1"/>
  <c r="L52" i="25"/>
  <c r="L72" i="28"/>
  <c r="I64" i="28"/>
  <c r="C67" i="28"/>
  <c r="C70" i="28" s="1"/>
  <c r="C74" i="28" s="1"/>
  <c r="P70" i="28" s="1"/>
  <c r="L88" i="28"/>
  <c r="P69" i="28" s="1"/>
  <c r="L80" i="28"/>
  <c r="P44" i="11"/>
  <c r="P58" i="8"/>
  <c r="L59" i="26"/>
  <c r="P40" i="26" s="1"/>
  <c r="P42" i="26" s="1"/>
  <c r="P66" i="14"/>
  <c r="L48" i="12"/>
  <c r="P29" i="12" s="1"/>
  <c r="L32" i="12"/>
  <c r="P27" i="12" s="1"/>
  <c r="P31" i="12" s="1"/>
  <c r="L62" i="27"/>
  <c r="P50" i="27" s="1"/>
  <c r="L48" i="25"/>
  <c r="P43" i="25" s="1"/>
  <c r="P49" i="18"/>
  <c r="P27" i="15"/>
  <c r="L54" i="27"/>
  <c r="P49" i="27" s="1"/>
  <c r="P84" i="21"/>
  <c r="P45" i="20"/>
  <c r="L76" i="14"/>
  <c r="P63" i="14" s="1"/>
  <c r="P30" i="13"/>
  <c r="L61" i="11"/>
  <c r="P42" i="11" s="1"/>
  <c r="P54" i="23"/>
  <c r="P49" i="17"/>
  <c r="L36" i="10"/>
  <c r="P31" i="10" s="1"/>
  <c r="P35" i="10" s="1"/>
  <c r="L56" i="25"/>
  <c r="P44" i="25" s="1"/>
  <c r="L70" i="27"/>
  <c r="P51" i="27" s="1"/>
  <c r="L63" i="24"/>
  <c r="P51" i="24" s="1"/>
  <c r="P54" i="24" s="1"/>
  <c r="P49" i="22"/>
  <c r="P47" i="16"/>
  <c r="L59" i="7"/>
  <c r="C49" i="27"/>
  <c r="C52" i="27" s="1"/>
  <c r="C56" i="27" s="1"/>
  <c r="P52" i="27" s="1"/>
  <c r="I24" i="12"/>
  <c r="I40" i="25"/>
  <c r="I77" i="21"/>
  <c r="I28" i="10"/>
  <c r="I47" i="23"/>
  <c r="I38" i="20"/>
  <c r="I35" i="26"/>
  <c r="I59" i="14"/>
  <c r="I50" i="8"/>
  <c r="P67" i="28" l="1"/>
  <c r="P68" i="28"/>
  <c r="P71" i="28" s="1"/>
  <c r="P47" i="25"/>
  <c r="P47" i="7"/>
  <c r="P50" i="7" s="1"/>
  <c r="P53" i="27"/>
  <c r="C3" i="19"/>
  <c r="E38" i="19" a="1"/>
  <c r="B3" i="19"/>
  <c r="C36" i="19" l="1"/>
  <c r="B36" i="19"/>
  <c r="E3" i="19"/>
  <c r="E38" i="19"/>
  <c r="D27" i="19" a="1"/>
  <c r="D29" i="19" a="1"/>
  <c r="D30" i="19" a="1"/>
  <c r="D24" i="19" a="1"/>
  <c r="D32" i="19" a="1"/>
  <c r="D28" i="19" a="1"/>
  <c r="D28" i="19" l="1"/>
  <c r="E28" i="19" s="1"/>
  <c r="D27" i="19"/>
  <c r="E27" i="19" s="1"/>
  <c r="D29" i="19"/>
  <c r="E29" i="19" s="1"/>
  <c r="D32" i="19"/>
  <c r="E32" i="19" s="1"/>
  <c r="D24" i="19"/>
  <c r="D30" i="19"/>
  <c r="E30" i="19" s="1"/>
  <c r="E24" i="19" l="1"/>
  <c r="D36" i="19"/>
  <c r="E37" i="19" l="1"/>
  <c r="E39" i="19" s="1"/>
  <c r="E40" i="19" s="1"/>
  <c r="E36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<sst xmlns="http://schemas.openxmlformats.org/spreadsheetml/2006/main" count="19800" uniqueCount="6080">
  <si>
    <t>THÁNG 8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</si>
  <si>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</si>
  <si>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</si>
  <si>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</si>
  <si>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</si>
  <si>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</si>
  <si>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</si>
  <si>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</si>
  <si>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</si>
  <si>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</si>
  <si>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</si>
  <si>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</si>
  <si>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</si>
  <si>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</si>
  <si>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</si>
  <si>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</si>
  <si>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</si>
  <si>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</si>
  <si>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</si>
  <si>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</si>
  <si>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</si>
  <si>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</si>
  <si>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</si>
  <si>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</si>
  <si>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</si>
  <si>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</si>
  <si>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</si>
  <si>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</si>
  <si>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Kiều Trâm</t>
  </si>
  <si>
    <t>HD040769</t>
  </si>
  <si>
    <t>33 lương minh nguyệt p tân thời hoà</t>
  </si>
  <si>
    <t>tan phu</t>
  </si>
  <si>
    <t>AT 01-08</t>
  </si>
  <si>
    <t>c.cuong</t>
  </si>
  <si>
    <t>01-08-2026</t>
  </si>
  <si>
    <t>Sen Lô Lô</t>
  </si>
  <si>
    <t>HD040656</t>
  </si>
  <si>
    <t>Chung cư Felisa- 99 bến bình đông- p11</t>
  </si>
  <si>
    <t>Thu Hằng</t>
  </si>
  <si>
    <t>HD040632</t>
  </si>
  <si>
    <t>38A đường 3158A phạm thế hiển P7. Đối diện cổng trường THPT nguyễn văn linh</t>
  </si>
  <si>
    <t>Suc Vày</t>
  </si>
  <si>
    <t>HD040552</t>
  </si>
  <si>
    <t>338/24 âu cơ p10</t>
  </si>
  <si>
    <t>tan binh</t>
  </si>
  <si>
    <t>chị hường</t>
  </si>
  <si>
    <t>HD040596</t>
  </si>
  <si>
    <t>chung cư privia khang điền, 321 an dương vương an lạc</t>
  </si>
  <si>
    <t>binh tan</t>
  </si>
  <si>
    <t>Đỗ Diễm</t>
  </si>
  <si>
    <t>HD040828</t>
  </si>
  <si>
    <t>14 Lãnh Binh Thăng, P Phú Thọ</t>
  </si>
  <si>
    <t>Châu Châu</t>
  </si>
  <si>
    <t>HD040851</t>
  </si>
  <si>
    <t>E3/8 ấp 56 xã vĩnh lộc</t>
  </si>
  <si>
    <t>binh chanh</t>
  </si>
  <si>
    <t>Hà Kim Ánh</t>
  </si>
  <si>
    <t>HD040770</t>
  </si>
  <si>
    <t>80/120 đường hoàng ngân, p16</t>
  </si>
  <si>
    <t>hàng sỉ</t>
  </si>
  <si>
    <t>Nguyễn Minh Hải (Bow)</t>
  </si>
  <si>
    <t>17 Đường Số 13 Bình Hưng Hoà</t>
  </si>
  <si>
    <t>Nguyễn thị mỹ dung</t>
  </si>
  <si>
    <t>HD040826</t>
  </si>
  <si>
    <t>Chung cư the estella block 4B1801 bình trưng</t>
  </si>
  <si>
    <t>Phan Nhi KHÔNG HỘP</t>
  </si>
  <si>
    <t>HD040834</t>
  </si>
  <si>
    <t>C note chú Cường 133/55 quang trung, f.10, Đó là DiLa Spa</t>
  </si>
  <si>
    <t>go vap</t>
  </si>
  <si>
    <t>Yến Phương (zalo)</t>
  </si>
  <si>
    <t>HD040762</t>
  </si>
  <si>
    <t>56/20 đường 147, Phường Phước Long B</t>
  </si>
  <si>
    <t>Jemial Vo</t>
  </si>
  <si>
    <t>HD040583</t>
  </si>
  <si>
    <t>438 phan văn trị, p.hạnh thông</t>
  </si>
  <si>
    <t>Linh Bửu</t>
  </si>
  <si>
    <t>HD040836</t>
  </si>
  <si>
    <t>Landmark 4,P22</t>
  </si>
  <si>
    <t>binh thanh</t>
  </si>
  <si>
    <t>Lê Viết Băng Châu</t>
  </si>
  <si>
    <t>HD040847</t>
  </si>
  <si>
    <t>61/70/7 Đường số 59, Phường 14</t>
  </si>
  <si>
    <t>Nguyễn bảo trân</t>
  </si>
  <si>
    <t>HD040670</t>
  </si>
  <si>
    <t>68/6 Thống Nhất, p10</t>
  </si>
  <si>
    <t>Vân</t>
  </si>
  <si>
    <t>HD040806</t>
  </si>
  <si>
    <t>T1633 manhattan Vinhomes Grand Park</t>
  </si>
  <si>
    <t>Kem Kem</t>
  </si>
  <si>
    <t>HD040843</t>
  </si>
  <si>
    <t>632/5 lê văn thọ p13</t>
  </si>
  <si>
    <t>Người Nhận BN2705</t>
  </si>
  <si>
    <t>HD040780</t>
  </si>
  <si>
    <t>163 Trương Thị Hoa, phường Tân Thới Hiệp</t>
  </si>
  <si>
    <t>Thanh Thuy</t>
  </si>
  <si>
    <t>HD040848</t>
  </si>
  <si>
    <t>220/62 Xô viết nghệ tĩnh, phường thành mỹ tây</t>
  </si>
  <si>
    <t>May Ngoc Nguyen</t>
  </si>
  <si>
    <t>HD040839</t>
  </si>
  <si>
    <t>Lô j nhà D chung cư bình Khánh</t>
  </si>
  <si>
    <t>đổi hàng</t>
  </si>
  <si>
    <t>Phuc Vo</t>
  </si>
  <si>
    <t>HD040829</t>
  </si>
  <si>
    <t>151/44 tam châu tam bình</t>
  </si>
  <si>
    <t>thu duc</t>
  </si>
  <si>
    <t>Lisa</t>
  </si>
  <si>
    <t>173 phan huy ích, phường tân sơn</t>
  </si>
  <si>
    <t>jenny bouti</t>
  </si>
  <si>
    <t>401 Quang trung f10</t>
  </si>
  <si>
    <t>Lê Thảo</t>
  </si>
  <si>
    <t>441 Nguyễn Văn Khối, Thông Tây Hội</t>
  </si>
  <si>
    <t>HƯƠNG TRẦN</t>
  </si>
  <si>
    <t>261/26c chu văn an p12</t>
  </si>
  <si>
    <t>Ly Clara Selena</t>
  </si>
  <si>
    <t>403 tân sơn p12</t>
  </si>
  <si>
    <t>Nga Nga</t>
  </si>
  <si>
    <t>HD040745</t>
  </si>
  <si>
    <t>Sedona suite cổng nam kỳ khởi nghĩa</t>
  </si>
  <si>
    <t>phu nhuan</t>
  </si>
  <si>
    <t>c.hieu</t>
  </si>
  <si>
    <t>boramery 015738168</t>
  </si>
  <si>
    <t>HD040800</t>
  </si>
  <si>
    <t>363-365-367, 363 Đi Hùng Vương, Phường 9</t>
  </si>
  <si>
    <t>Em Hương</t>
  </si>
  <si>
    <t>HD040609</t>
  </si>
  <si>
    <t>13/174 trần văn hoàng p tân Hoa</t>
  </si>
  <si>
    <t>Diễm Thúy</t>
  </si>
  <si>
    <t>HD040833</t>
  </si>
  <si>
    <t>237/22 hoàng sa, P. Tân Sơn Nhất</t>
  </si>
  <si>
    <t>Tuyết Nhi</t>
  </si>
  <si>
    <t>HD040808</t>
  </si>
  <si>
    <t>Block d2, chung cư sài gòn riverside (số 4 đào trí, phù thuận)</t>
  </si>
  <si>
    <t>Kim Anh Phạm</t>
  </si>
  <si>
    <t>HD040535</t>
  </si>
  <si>
    <t>6 cư xá bình minh, dương Bá Trạc, phường 1</t>
  </si>
  <si>
    <t>Trần Huệ</t>
  </si>
  <si>
    <t>HD040749</t>
  </si>
  <si>
    <t>391 ngô gia tự p2</t>
  </si>
  <si>
    <t>Bảo Ngọc</t>
  </si>
  <si>
    <t>HD040602</t>
  </si>
  <si>
    <t>12/65 nguyễn khoái</t>
  </si>
  <si>
    <t>Đỗ Thị Hoa</t>
  </si>
  <si>
    <t>HD040603</t>
  </si>
  <si>
    <t>355 ngô gia tự p vườn lài</t>
  </si>
  <si>
    <t>Xuân hậu (zalo)</t>
  </si>
  <si>
    <t>HD040761</t>
  </si>
  <si>
    <t>341 sư vạn hạnh, vườn lài - Nhi đồng 1</t>
  </si>
  <si>
    <t>Gửi KIMMI BÙI</t>
  </si>
  <si>
    <t>HD040827</t>
  </si>
  <si>
    <t>Sao Mai express số 35 Tân Canh, p1</t>
  </si>
  <si>
    <t>Hân</t>
  </si>
  <si>
    <t>HD040354</t>
  </si>
  <si>
    <t>72 Trương Định P Bến Thành</t>
  </si>
  <si>
    <t>luu tra</t>
  </si>
  <si>
    <t>31-07-2026</t>
  </si>
  <si>
    <t>đơn trả</t>
  </si>
  <si>
    <t>x</t>
  </si>
  <si>
    <t>xx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</si>
  <si>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</si>
  <si>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</si>
  <si>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</si>
  <si>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</si>
  <si>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</si>
  <si>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</si>
  <si>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</si>
  <si>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01-08</t>
  </si>
  <si>
    <t>Trừ Ship</t>
  </si>
  <si>
    <t>tiền ship</t>
  </si>
  <si>
    <t>Đơn trả &amp; c.khoản</t>
  </si>
  <si>
    <t>tiền lấy</t>
  </si>
  <si>
    <t>Tiền Hàng Hcm</t>
  </si>
  <si>
    <t>shop</t>
  </si>
  <si>
    <t>đền đơn</t>
  </si>
  <si>
    <t>đơn cũ ck</t>
  </si>
  <si>
    <t>tổng</t>
  </si>
  <si>
    <t>nợ cũ</t>
  </si>
  <si>
    <t>THANH TOÁN</t>
  </si>
  <si>
    <t>CK Đủ 100%</t>
  </si>
  <si>
    <t>1 đơn</t>
  </si>
  <si>
    <t>Huỳnh Huỳnh Như</t>
  </si>
  <si>
    <t>HD040952</t>
  </si>
  <si>
    <t>Đường số 15, Phường Tân Phú The Peak Midtown M8 Phú Mỹ Hưng</t>
  </si>
  <si>
    <t>AT 03-08</t>
  </si>
  <si>
    <t>03-08-2026</t>
  </si>
  <si>
    <t>Trâm Nguyễn</t>
  </si>
  <si>
    <t>HD041152</t>
  </si>
  <si>
    <t>72G/4/10 nguyễn văn yến,p.tân thới hoà</t>
  </si>
  <si>
    <t>MC NitaSmile</t>
  </si>
  <si>
    <t>HD041120</t>
  </si>
  <si>
    <t>(MV01709) phường Bình Hưng Hòa</t>
  </si>
  <si>
    <t>Hạnh Trần</t>
  </si>
  <si>
    <t>HD040971</t>
  </si>
  <si>
    <t>Số 2 đường 75, khu phố 2, tân phong</t>
  </si>
  <si>
    <t>Minh</t>
  </si>
  <si>
    <t>HD041137</t>
  </si>
  <si>
    <t>Sunrise city central tháp W3 25 nguyễn hữu thọ tân hưng</t>
  </si>
  <si>
    <t>Linh Linh</t>
  </si>
  <si>
    <t>HD040987</t>
  </si>
  <si>
    <t>36/4 kinh dương vương phường 13</t>
  </si>
  <si>
    <t>Annie Lam</t>
  </si>
  <si>
    <t>HD040870</t>
  </si>
  <si>
    <t>18D6/80/9 Huỳnh Tấn Phát</t>
  </si>
  <si>
    <t>nha be</t>
  </si>
  <si>
    <t>Trang Angels</t>
  </si>
  <si>
    <t>HD041290</t>
  </si>
  <si>
    <t>nhà 20 đường 2B phường Tân Mỹ</t>
  </si>
  <si>
    <t>Ngoc Linh</t>
  </si>
  <si>
    <t>HD041253</t>
  </si>
  <si>
    <t>số 27, bình trường, ấp 2</t>
  </si>
  <si>
    <t>BELLA TRẦN</t>
  </si>
  <si>
    <t>66đường 17 p10</t>
  </si>
  <si>
    <t>PUNLORK</t>
  </si>
  <si>
    <t>XE PHY PHY VỀ Phnom penh</t>
  </si>
  <si>
    <t>ko thêm bảng đối soát</t>
  </si>
  <si>
    <t>MIE</t>
  </si>
  <si>
    <t>275/14B1 Đặng Nguyên Cẩn, Phường Phú Lâm</t>
  </si>
  <si>
    <t>Yến Như</t>
  </si>
  <si>
    <t>HD041183</t>
  </si>
  <si>
    <t>213 Bưng Ông Thoàn, Tăng Nhơn Phú B</t>
  </si>
  <si>
    <t>HD041119</t>
  </si>
  <si>
    <t>T16-33 manhattan Vinhomes Grand Park</t>
  </si>
  <si>
    <t>Lam Tố Huỳnh</t>
  </si>
  <si>
    <t>HD040968</t>
  </si>
  <si>
    <t>39/2a1 đường số 47 phường hiệp bình chánh</t>
  </si>
  <si>
    <t>Khánh Vy Đỗ</t>
  </si>
  <si>
    <t>HD041098</t>
  </si>
  <si>
    <t>Ship 24 đường số 6 tam phú</t>
  </si>
  <si>
    <t>Anh Thi</t>
  </si>
  <si>
    <t>HD041169</t>
  </si>
  <si>
    <t>Số 39/3/ 2 đường số 2 long đại phường long phước</t>
  </si>
  <si>
    <t>Karen Van</t>
  </si>
  <si>
    <t>HD041161</t>
  </si>
  <si>
    <t>799/2 Nguyễn kiệm p3</t>
  </si>
  <si>
    <t>hạ mi</t>
  </si>
  <si>
    <t>HD040920</t>
  </si>
  <si>
    <t>576 nguyễn xiển long bình</t>
  </si>
  <si>
    <t>BN182 miki chouchou Fb</t>
  </si>
  <si>
    <t>HD041278</t>
  </si>
  <si>
    <t>163 Đường Trương Thị Hoa, phường Tân Thới Hiệp</t>
  </si>
  <si>
    <t>Mộng Cầm</t>
  </si>
  <si>
    <t>HD041198</t>
  </si>
  <si>
    <t>222 nguyễn văn đậu p bình lợi trung</t>
  </si>
  <si>
    <t>Destiny Huynh</t>
  </si>
  <si>
    <t>HD040564</t>
  </si>
  <si>
    <t>366 Nguyễn thị kiểu Phường Tân Thới Hiệp</t>
  </si>
  <si>
    <t>Hoa Hoa</t>
  </si>
  <si>
    <t>HD040904</t>
  </si>
  <si>
    <t>20 đường 37, phường Hiệp Bình Phước Vạn Phúc</t>
  </si>
  <si>
    <t>Nhi</t>
  </si>
  <si>
    <t>HD040925</t>
  </si>
  <si>
    <t>548/23 Điện biên phủ phường 21</t>
  </si>
  <si>
    <t>duy di (nhận hộ trang phạm)</t>
  </si>
  <si>
    <t>HD041070</t>
  </si>
  <si>
    <t>331/68 vườn lài phường an phú đông</t>
  </si>
  <si>
    <t>Nguyễn Hương Lan</t>
  </si>
  <si>
    <t>HD041158</t>
  </si>
  <si>
    <t>629 phạm văn đồng hiệp bình chánh</t>
  </si>
  <si>
    <t>Quỳnh Như</t>
  </si>
  <si>
    <t>HD041208</t>
  </si>
  <si>
    <t>66/68, Phổ Quang, Phường 2</t>
  </si>
  <si>
    <t>Lê Thão</t>
  </si>
  <si>
    <t>HD041204</t>
  </si>
  <si>
    <t>3 Đặng Dung, P Tân Định</t>
  </si>
  <si>
    <t>Kim Hân</t>
  </si>
  <si>
    <t>HD041099</t>
  </si>
  <si>
    <t>302 nguyễn chi thanh p5</t>
  </si>
  <si>
    <t>Henny</t>
  </si>
  <si>
    <t>HD041084</t>
  </si>
  <si>
    <t>Kin Hotel Ly Tu Trong</t>
  </si>
  <si>
    <t>Yến Nhi - fb Thanh Thanh</t>
  </si>
  <si>
    <t>HD041063</t>
  </si>
  <si>
    <t>38 Nguyễn Bá Tuyển, P12</t>
  </si>
  <si>
    <t>Zara Royale</t>
  </si>
  <si>
    <t>HD040922</t>
  </si>
  <si>
    <t>kho D36, Duong Bay Hien</t>
  </si>
  <si>
    <t>Mei Ling</t>
  </si>
  <si>
    <t>HD040759</t>
  </si>
  <si>
    <t>A75/6B/2 Bạch Đằng, phường Tân Sơn Hòa</t>
  </si>
  <si>
    <t>SALLY</t>
  </si>
  <si>
    <t>HD040891</t>
  </si>
  <si>
    <t>Chành xe Khải Nam 363-365-367, Đ. Hùng Vương, Phường 9</t>
  </si>
  <si>
    <t>Lan Khuê (zalo)</t>
  </si>
  <si>
    <t>HD040499</t>
  </si>
  <si>
    <t>1036/133/9 cách mạng tháng 8 p4 giờ là phường tân sơn nhất</t>
  </si>
  <si>
    <t>Thúy Hana</t>
  </si>
  <si>
    <t>HD041306</t>
  </si>
  <si>
    <t>De La Sol, 1 Tôn Thất Thuyết, Phường 1</t>
  </si>
  <si>
    <t>Trang Lê</t>
  </si>
  <si>
    <t>HD041289</t>
  </si>
  <si>
    <t>8A Sông Thương P2</t>
  </si>
  <si>
    <t>Hà Mi</t>
  </si>
  <si>
    <t>HD041301</t>
  </si>
  <si>
    <t>82 trần hưng đạo p an đông</t>
  </si>
  <si>
    <t>lucky</t>
  </si>
  <si>
    <t>HD041252</t>
  </si>
  <si>
    <t>416/71/3 nguyễn đình chiểu f4</t>
  </si>
  <si>
    <t>C30ST</t>
  </si>
  <si>
    <t>HD041284</t>
  </si>
  <si>
    <t>270B Đường Lý Thường Kiệt, Khu Phố 1 Phường 6</t>
  </si>
  <si>
    <t>minea</t>
  </si>
  <si>
    <t>Công ty Khải Nam - 363 Hùng Vương, Phường 9</t>
  </si>
  <si>
    <t>Ivy Huyền</t>
  </si>
  <si>
    <t>Số 5 Nhất Chi Mai phương 13</t>
  </si>
  <si>
    <t>Ellie Quach</t>
  </si>
  <si>
    <t>8A Sông thương, Phường 2</t>
  </si>
  <si>
    <t>Huyen Thanh Vo</t>
  </si>
  <si>
    <t>HD040498</t>
  </si>
  <si>
    <t>125/61 Nguyễn Văn Thương, Thạnh Mỹ Tây</t>
  </si>
  <si>
    <t>at 03-08</t>
  </si>
  <si>
    <t>at 03-08 cũ</t>
  </si>
  <si>
    <t>Ji Ah</t>
  </si>
  <si>
    <t>HD041397</t>
  </si>
  <si>
    <t>89 lê thị chợ phú thuận Chung cư skyline</t>
  </si>
  <si>
    <t>AT 04-08</t>
  </si>
  <si>
    <t>04-08-2026</t>
  </si>
  <si>
    <t>MC Chheth Srey Sing (MV03028)</t>
  </si>
  <si>
    <t>HD041350</t>
  </si>
  <si>
    <t>315/18/6 Nguyễn Thị Tú phường Bình Tân (mới)</t>
  </si>
  <si>
    <t>Meow Service + [MS0419]</t>
  </si>
  <si>
    <t>HD041327</t>
  </si>
  <si>
    <t>Ngõ 72 đường 18B, phường Bình Hưng Hoà A</t>
  </si>
  <si>
    <t>Jess Huang (Đài Loan 0908523033)</t>
  </si>
  <si>
    <t>HD034688</t>
  </si>
  <si>
    <t>H78 Đường A3-Phường Tân Thới Nhất</t>
  </si>
  <si>
    <t>Tien Phan</t>
  </si>
  <si>
    <t>HD041385</t>
  </si>
  <si>
    <t>4 đường số 3 An Lạc A</t>
  </si>
  <si>
    <t>Thủy Tiên</t>
  </si>
  <si>
    <t>HD041353</t>
  </si>
  <si>
    <t>23/4 Hồ Thành Biên p4</t>
  </si>
  <si>
    <t>Nguyễn Thị Phương Quyên</t>
  </si>
  <si>
    <t>HD041400</t>
  </si>
  <si>
    <t>Số 38 đường số 1, kdc cityland, p. tân phú</t>
  </si>
  <si>
    <t>Block d2, chung cư sài gòn riverside (số 4 đào trí, phú thuận)</t>
  </si>
  <si>
    <t>NGUYỄN MINH DUY</t>
  </si>
  <si>
    <t>90/35 Trần Văn Ơn, Phường Tân Sơn Nhì</t>
  </si>
  <si>
    <t>401 quang trung f10</t>
  </si>
  <si>
    <t>Tuyết Mai vận chuyển cho Lee Seo Eun</t>
  </si>
  <si>
    <t>HD041466</t>
  </si>
  <si>
    <t>28 khu dân cư nam long đường hà huy giáp - phường thạnh lộc (đối diện công viên thanh niên)</t>
  </si>
  <si>
    <t>shop chịu ship</t>
  </si>
  <si>
    <t>Quỳnh Seven</t>
  </si>
  <si>
    <t>HD041503</t>
  </si>
  <si>
    <t>Gh5 glory heights- vinhome grandpark</t>
  </si>
  <si>
    <t>Lan Tiên</t>
  </si>
  <si>
    <t>HD041484</t>
  </si>
  <si>
    <t>773/12 lê duc tho p16</t>
  </si>
  <si>
    <t>Jenny Bích Vũ</t>
  </si>
  <si>
    <t>HD041334</t>
  </si>
  <si>
    <t>537/30 Nguyễn Oanh phường 17</t>
  </si>
  <si>
    <t>Hoàng Thu Trang</t>
  </si>
  <si>
    <t>HD041498</t>
  </si>
  <si>
    <t>Toà Daisy lumier vinhomes</t>
  </si>
  <si>
    <t>Trương Hoàng Diễm</t>
  </si>
  <si>
    <t>HD041486</t>
  </si>
  <si>
    <t>280a39 lương định của . an khánh</t>
  </si>
  <si>
    <t>Selena Pham</t>
  </si>
  <si>
    <t>HD041495</t>
  </si>
  <si>
    <t>616/61/118 Lê Đức Thọ, Phường 15 (P. An Hội Đông)</t>
  </si>
  <si>
    <t>SU ANH</t>
  </si>
  <si>
    <t>72/5 Giải Phóng, Tân Sơn Nhất</t>
  </si>
  <si>
    <t>Sokhavy</t>
  </si>
  <si>
    <t>HD041362</t>
  </si>
  <si>
    <t>A25 luxury hotel 277B Le Thanh Ton, Ben Thanh ward</t>
  </si>
  <si>
    <t>Kim Thanh</t>
  </si>
  <si>
    <t>HD041337</t>
  </si>
  <si>
    <t>108/69a trần quang diệu</t>
  </si>
  <si>
    <t>Hoang Thuy Quynh</t>
  </si>
  <si>
    <t>HD041441</t>
  </si>
  <si>
    <t>156/1/23 cộng hoà, phường 12</t>
  </si>
  <si>
    <t>Yen Nhi</t>
  </si>
  <si>
    <t>HD041474</t>
  </si>
  <si>
    <t>51/3 lê van huan p13</t>
  </si>
  <si>
    <t>at 04-08</t>
  </si>
  <si>
    <t>mya_nh54</t>
  </si>
  <si>
    <t>HD041697</t>
  </si>
  <si>
    <t>30 tùng thiện vương phú định</t>
  </si>
  <si>
    <t>AT 05-08</t>
  </si>
  <si>
    <t>05-08-2026</t>
  </si>
  <si>
    <t>Amber Amber</t>
  </si>
  <si>
    <t>HD041755</t>
  </si>
  <si>
    <t>231/71/35 đường bình tiên p8</t>
  </si>
  <si>
    <t>HD041540</t>
  </si>
  <si>
    <t>Uyên</t>
  </si>
  <si>
    <t>HD041726</t>
  </si>
  <si>
    <t>Chung cu topaz elite phoenix 1B P4</t>
  </si>
  <si>
    <t>Như phạm</t>
  </si>
  <si>
    <t>HD041766</t>
  </si>
  <si>
    <t>116/62 huỳnh tấn phát tân thuận tây</t>
  </si>
  <si>
    <t>Thảo Trinh fb Mai Trinh</t>
  </si>
  <si>
    <t>HD041761</t>
  </si>
  <si>
    <t>432A/40/2G Dương Bá Trạc, Phường 1</t>
  </si>
  <si>
    <t>Ivy Dao</t>
  </si>
  <si>
    <t>HD041779</t>
  </si>
  <si>
    <t>238/3 trường chinh, đông hưng thuận</t>
  </si>
  <si>
    <t>Quỳnh Giao</t>
  </si>
  <si>
    <t>HD041553</t>
  </si>
  <si>
    <t>2783/11A Quốc lộ 1A, Đông Hưng Thuận. Cũ là phường Tân Thới Nhất</t>
  </si>
  <si>
    <t>Khánh Linh</t>
  </si>
  <si>
    <t>HD041778</t>
  </si>
  <si>
    <t>33/58 lâm thị hổ - tân chánh hiệp</t>
  </si>
  <si>
    <t>bùi thị bích tuyến - fb Ngọc Ngọc</t>
  </si>
  <si>
    <t>HD041742</t>
  </si>
  <si>
    <t>334/55 chu văn an p12</t>
  </si>
  <si>
    <t>Người nhận: An fb</t>
  </si>
  <si>
    <t>HD041762</t>
  </si>
  <si>
    <t>Tháp T4 chung cư Masteri Thảo Điền, phường An Khánh</t>
  </si>
  <si>
    <t>Queen Huynh</t>
  </si>
  <si>
    <t>HD041736</t>
  </si>
  <si>
    <t>c16- 17 lô c1, đường DD5, phường Đông Hưng Thuận (sau lưng chợ An Sương)</t>
  </si>
  <si>
    <t>Didi Chen</t>
  </si>
  <si>
    <t>HD041714</t>
  </si>
  <si>
    <t>47/30/5 đường số 19 p8</t>
  </si>
  <si>
    <t>Muội Muội</t>
  </si>
  <si>
    <t>HD041595</t>
  </si>
  <si>
    <t>Cty tnhh Nam Tiến Express, 74/4 Trần Thái Tông, Tân Sơn</t>
  </si>
  <si>
    <t>W24130 Miki (Chou)</t>
  </si>
  <si>
    <t>HD041699</t>
  </si>
  <si>
    <t>624 Lê thị riêng,thới an</t>
  </si>
  <si>
    <t>Nguyễn Mỹ Duyên (Thiên Trang)</t>
  </si>
  <si>
    <t>HD036517</t>
  </si>
  <si>
    <t>64/20 Võ Oanh P25</t>
  </si>
  <si>
    <t>chanz trang</t>
  </si>
  <si>
    <t>HD041682</t>
  </si>
  <si>
    <t>19 Yên Thế, Phường 2</t>
  </si>
  <si>
    <t>Mi Nhol</t>
  </si>
  <si>
    <t>HD041765</t>
  </si>
  <si>
    <t>2/11 đường thiên phước, phường Tân Hòa</t>
  </si>
  <si>
    <t>Anh Thu Nguyen</t>
  </si>
  <si>
    <t>HD041774</t>
  </si>
  <si>
    <t>230 cao thắng, p12</t>
  </si>
  <si>
    <t>An di</t>
  </si>
  <si>
    <t>HD041649</t>
  </si>
  <si>
    <t>352/30 Nguyễn Tất Thành, phường Xóm Chiếu</t>
  </si>
  <si>
    <t>sherinegracella</t>
  </si>
  <si>
    <t>HD041781</t>
  </si>
  <si>
    <t>1b4 nguyễn đình chiểu 1 Đường Nguyễn Đình ChiểuSài Gòn</t>
  </si>
  <si>
    <t>MengLay - Minh</t>
  </si>
  <si>
    <t>HD041725</t>
  </si>
  <si>
    <t>45/6/2 Đường 3/2 Phường 11</t>
  </si>
  <si>
    <t>at 05-08</t>
  </si>
  <si>
    <t>Phạm thị thu hà</t>
  </si>
  <si>
    <t>HD041991</t>
  </si>
  <si>
    <t>45/4p ấp Mỹ Hoà 1 xã trung chánh</t>
  </si>
  <si>
    <t>hoc mon</t>
  </si>
  <si>
    <t>AT 06-08</t>
  </si>
  <si>
    <t>06-08-2026</t>
  </si>
  <si>
    <t>Kelly Nguyen</t>
  </si>
  <si>
    <t>HD041783</t>
  </si>
  <si>
    <t>111/15/6 lê đình cần, tân tạo</t>
  </si>
  <si>
    <t>Em Huy</t>
  </si>
  <si>
    <t>HD041994</t>
  </si>
  <si>
    <t>06 vườn lài phường phú thọ hòa</t>
  </si>
  <si>
    <t>ZL nguyễn Phương Huỳnh</t>
  </si>
  <si>
    <t>HD041965</t>
  </si>
  <si>
    <t>Số 78 Đường Số 7 P. Bình Hưng Hòa</t>
  </si>
  <si>
    <t>Bella Nguyen</t>
  </si>
  <si>
    <t>HD041879</t>
  </si>
  <si>
    <t>59 đường số 2 phường 16</t>
  </si>
  <si>
    <t>Thi Thi</t>
  </si>
  <si>
    <t>HD041886</t>
  </si>
  <si>
    <t>15 lỗ c cư xá phú lâm D phường 10</t>
  </si>
  <si>
    <t>Vy Nguyen</t>
  </si>
  <si>
    <t>HD041990</t>
  </si>
  <si>
    <t>24 đường 902 tạ quang bửu p5</t>
  </si>
  <si>
    <t>Nguyễn Minh Trang</t>
  </si>
  <si>
    <t>HD041986</t>
  </si>
  <si>
    <t>Khu căn hộ cao tầng Sacomreal 584, Đ/c: 785/1 Lũy Bán Bích, p. phú thọ hoà</t>
  </si>
  <si>
    <t>HD041992</t>
  </si>
  <si>
    <t>HD041875</t>
  </si>
  <si>
    <t>Phan Anh</t>
  </si>
  <si>
    <t>HD041884</t>
  </si>
  <si>
    <t>68/10 đường số 1 Phường An Khánh</t>
  </si>
  <si>
    <t>Linh</t>
  </si>
  <si>
    <t>36/7, đường tân chánh hiệp 34, phường tân chánh hiệp</t>
  </si>
  <si>
    <t>Thảo Ng</t>
  </si>
  <si>
    <t>HD041909</t>
  </si>
  <si>
    <t>463/15/6 kha vạn cân, Linh Đông</t>
  </si>
  <si>
    <t>HD041995</t>
  </si>
  <si>
    <t>C note chú Cường 133/55 quang trung, 1.10. Đó là DiLASpa</t>
  </si>
  <si>
    <t>Diệu Quyên</t>
  </si>
  <si>
    <t>HD041915</t>
  </si>
  <si>
    <t>242/20 phạm văn bạch p15</t>
  </si>
  <si>
    <t>Trâm - fb Thê Hy</t>
  </si>
  <si>
    <t>HD041818</t>
  </si>
  <si>
    <t>Cty Thế Long Express 27/5 Quách Văn Tuấn, F12</t>
  </si>
  <si>
    <t>Nguyễn Trương Phương Oanh</t>
  </si>
  <si>
    <t>HD041998</t>
  </si>
  <si>
    <t>125/42/2 Bùi Đình Tuý, phường 14</t>
  </si>
  <si>
    <t>Ngọc Hảo</t>
  </si>
  <si>
    <t>HD041903</t>
  </si>
  <si>
    <t>535/11/9 quốc lộ 13 phường hiệp bình phước</t>
  </si>
  <si>
    <t>Kendy Tran</t>
  </si>
  <si>
    <t>HD041966</t>
  </si>
  <si>
    <t>Happy One Premier, Đ. TL 08, Khu Nam Long, An Phú Đông</t>
  </si>
  <si>
    <t>Kim Hoang O</t>
  </si>
  <si>
    <t>282/56 bùi hữu nghĩa p2</t>
  </si>
  <si>
    <t>225 Thống Nhất, An Hội Đông</t>
  </si>
  <si>
    <t>Phương Lê</t>
  </si>
  <si>
    <t>HD041885</t>
  </si>
  <si>
    <t>232/24 Cao Thắng, P12</t>
  </si>
  <si>
    <t>See Seusah (gửi Lễ Tân)</t>
  </si>
  <si>
    <t>HD040760</t>
  </si>
  <si>
    <t>50 Bùi Thị Xuân</t>
  </si>
  <si>
    <t>Tuyet Pham</t>
  </si>
  <si>
    <t>HD041993</t>
  </si>
  <si>
    <t>B58/25 Nguyễn Thần Hiến p xóm chiếu</t>
  </si>
  <si>
    <t>Ngan Kha</t>
  </si>
  <si>
    <t>HD041881</t>
  </si>
  <si>
    <t>132 bến vân đồn, phường 6</t>
  </si>
  <si>
    <t>Vatana</t>
  </si>
  <si>
    <t>HD042000</t>
  </si>
  <si>
    <t>350/2 lê văn sỹ, phòng 102</t>
  </si>
  <si>
    <t>HD041740</t>
  </si>
  <si>
    <t>Kim Nhân</t>
  </si>
  <si>
    <t>HD042008</t>
  </si>
  <si>
    <t>25 nguyen khắc như, phuong cau ong lanh</t>
  </si>
  <si>
    <t>Kami - fb Đan Khanh</t>
  </si>
  <si>
    <t>HD041867</t>
  </si>
  <si>
    <t>Chung cư DELASOL, căn A2.09.04, số 1 Tôn Thất Thuyết, P1</t>
  </si>
  <si>
    <t>Winnie Minh Thư</t>
  </si>
  <si>
    <t>HD041985</t>
  </si>
  <si>
    <t>604 võ văn kiệt p cầu ông lãnh</t>
  </si>
  <si>
    <t>Cheate</t>
  </si>
  <si>
    <t>CHÀNH XE KHAINAM</t>
  </si>
  <si>
    <t>Lương Ái Vi</t>
  </si>
  <si>
    <t>HD041901</t>
  </si>
  <si>
    <t xml:space="preserve">8 hoàng minh giám, p9 </t>
  </si>
  <si>
    <t>at 06-08</t>
  </si>
  <si>
    <t>Lindatran fb Ly Huynh</t>
  </si>
  <si>
    <t>HD042211</t>
  </si>
  <si>
    <t>66 đường số 17, p10</t>
  </si>
  <si>
    <t>AT 07-08</t>
  </si>
  <si>
    <t>07-08-2026</t>
  </si>
  <si>
    <t>kh ck shop 1055k</t>
  </si>
  <si>
    <t>quỳnh mai</t>
  </si>
  <si>
    <t>HD042221</t>
  </si>
  <si>
    <t>24 đường 15 tan kiểng cũ ( mới là tân hưng )</t>
  </si>
  <si>
    <t>Hương Nè</t>
  </si>
  <si>
    <t>HD042015</t>
  </si>
  <si>
    <t>Chung cư M one Nam Sài Gòn, tháp T2, tân hưng</t>
  </si>
  <si>
    <t>HD042146</t>
  </si>
  <si>
    <t>BN182 miki</t>
  </si>
  <si>
    <t>HD042222</t>
  </si>
  <si>
    <t>My Tú</t>
  </si>
  <si>
    <t>HD042096</t>
  </si>
  <si>
    <t>130/4 gò dưa tam bình</t>
  </si>
  <si>
    <t>Lê Phượng</t>
  </si>
  <si>
    <t>HD042078</t>
  </si>
  <si>
    <t>720A Điện Biên Phủ p22, landmark81 sảnh cư dân Toà làndmark81</t>
  </si>
  <si>
    <t>Mén HM</t>
  </si>
  <si>
    <t>HD042223</t>
  </si>
  <si>
    <t>Toà landmark 2</t>
  </si>
  <si>
    <t>Như Quỳnh</t>
  </si>
  <si>
    <t>HD042116</t>
  </si>
  <si>
    <t>Chung cư bộ công an, đường số 3, lock A, sảnh A2, P. An Khánh</t>
  </si>
  <si>
    <t>kh ck shop 930k</t>
  </si>
  <si>
    <t>Bao Tram</t>
  </si>
  <si>
    <t>HD042198</t>
  </si>
  <si>
    <t>Toà BE3, khu beverly vinhomes grand park</t>
  </si>
  <si>
    <t>W3135dd65</t>
  </si>
  <si>
    <t>HD042009</t>
  </si>
  <si>
    <t>Kiều Thuận</t>
  </si>
  <si>
    <t>HD042225</t>
  </si>
  <si>
    <t>tòa s10.02 origami cầu vòng 3 long bình</t>
  </si>
  <si>
    <t>Vicky Tran</t>
  </si>
  <si>
    <t>127/17 bình lợi p13</t>
  </si>
  <si>
    <t>Vin Vyn-Daravin</t>
  </si>
  <si>
    <t>HD042208</t>
  </si>
  <si>
    <t>301 Phạm Ngũ Lão, Phường Phạm Ngũ Lão</t>
  </si>
  <si>
    <t>Hằng</t>
  </si>
  <si>
    <t>HD042113</t>
  </si>
  <si>
    <t>108 Hồng hà p2</t>
  </si>
  <si>
    <t>HD042169</t>
  </si>
  <si>
    <t>gracancer</t>
  </si>
  <si>
    <t>HD041900</t>
  </si>
  <si>
    <t>NHÀ XE KHẢI NAM</t>
  </si>
  <si>
    <t>HD042220</t>
  </si>
  <si>
    <t>My Dung</t>
  </si>
  <si>
    <t>HD042099</t>
  </si>
  <si>
    <t>86 võ văn tần</t>
  </si>
  <si>
    <t>HD042165</t>
  </si>
  <si>
    <t>at 07-08</t>
  </si>
  <si>
    <t>Ngoc Phan</t>
  </si>
  <si>
    <t>HD042166</t>
  </si>
  <si>
    <t>Số 8, đường DC9, phường Sơn Kỳ</t>
  </si>
  <si>
    <t>AT 08-08</t>
  </si>
  <si>
    <t>08-08-2026</t>
  </si>
  <si>
    <t>Bông Bông</t>
  </si>
  <si>
    <t>HD042398</t>
  </si>
  <si>
    <t>Saigon riverside complex (block C1) Số 4 đào trí phú thuận</t>
  </si>
  <si>
    <t>Huỳnh Như</t>
  </si>
  <si>
    <t>HD042383</t>
  </si>
  <si>
    <t>Chung cư him lam chợ lớn đường hậu giang f11</t>
  </si>
  <si>
    <t>Nhận hộ fb Nguyễn Hà</t>
  </si>
  <si>
    <t>HD042315</t>
  </si>
  <si>
    <t>433/11/2 Lê Đức Thọ, Phường 17</t>
  </si>
  <si>
    <t>trần phương</t>
  </si>
  <si>
    <t>HD042263</t>
  </si>
  <si>
    <t>19a 19b đường 25 hiệp bình</t>
  </si>
  <si>
    <t>My Tra</t>
  </si>
  <si>
    <t>HD042397</t>
  </si>
  <si>
    <t>523b kha vạn cần p linh đông</t>
  </si>
  <si>
    <t>HD042142</t>
  </si>
  <si>
    <t>331/68 vườn lài, phường an phú đông</t>
  </si>
  <si>
    <t>Darin</t>
  </si>
  <si>
    <t>624 Lê thị riêng thới an</t>
  </si>
  <si>
    <t>Phuong truong</t>
  </si>
  <si>
    <t>41/8 Mai Lão Bạng, Phường 13</t>
  </si>
  <si>
    <t>Mr Thế</t>
  </si>
  <si>
    <t>27/5 Quách Văn Tuấn, F12</t>
  </si>
  <si>
    <t>Daisy Le</t>
  </si>
  <si>
    <t>HD042284</t>
  </si>
  <si>
    <t>418/4 Trường Sa, p2</t>
  </si>
  <si>
    <t>Huyền Trang</t>
  </si>
  <si>
    <t>HD042290</t>
  </si>
  <si>
    <t>406 Trần Hưng Đạo, P2</t>
  </si>
  <si>
    <t>Demy Lữ</t>
  </si>
  <si>
    <t>HD042286</t>
  </si>
  <si>
    <t>39 bến văn đồn p13 chung cư The Tresor toà ap2</t>
  </si>
  <si>
    <t>Nitaya Nhi Nguyễn</t>
  </si>
  <si>
    <t>HD042321</t>
  </si>
  <si>
    <t>92/22/8c tôn thất thuyết, khu phố 14, phường xóm chiếu</t>
  </si>
  <si>
    <t>Mini Dang fb Bao Ngoc</t>
  </si>
  <si>
    <t>HD042394</t>
  </si>
  <si>
    <t>toà nhà Vietstay Apartment (cạnh tmv Mailisa) 84 Huỳnh Văn Bánh, p15</t>
  </si>
  <si>
    <t>Triệu Như Huyền</t>
  </si>
  <si>
    <t>HD042365</t>
  </si>
  <si>
    <t>39 bến vân đồn</t>
  </si>
  <si>
    <t>Trúc</t>
  </si>
  <si>
    <t>HD042322</t>
  </si>
  <si>
    <t>666/64/22 đường 3/2 phường Diên Hồng (phường 14 cũ)</t>
  </si>
  <si>
    <t>Daravin</t>
  </si>
  <si>
    <t>at 08-08</t>
  </si>
  <si>
    <t>tiền ship 3.8</t>
  </si>
  <si>
    <t>kim xuyến</t>
  </si>
  <si>
    <t>HD042626</t>
  </si>
  <si>
    <t>1002 tạ quang bửu p6</t>
  </si>
  <si>
    <t>AT 10-08</t>
  </si>
  <si>
    <t>10-08-2026</t>
  </si>
  <si>
    <t>HD042511</t>
  </si>
  <si>
    <t>5M1/1 An Hạ, Tân Vĩnh Lộc (hẻm đối diện Lẩu dê Ba Hùng )</t>
  </si>
  <si>
    <t>Dung Vo</t>
  </si>
  <si>
    <t>HD042738</t>
  </si>
  <si>
    <t>50 đường 18 khu dân cư phong Phú 4 xã phong phú</t>
  </si>
  <si>
    <t>Người nhận: Meo meo</t>
  </si>
  <si>
    <t>HD042531</t>
  </si>
  <si>
    <t>2 nguyễn văn tưởng tân mỹ Chung cư infinnity, Tower 10 căn 20.02</t>
  </si>
  <si>
    <t>HD042791</t>
  </si>
  <si>
    <t>Mây</t>
  </si>
  <si>
    <t>HD042526</t>
  </si>
  <si>
    <t>Topaz Elite Phoenix 1 Block A, đường Tạ Quang Bửu, P4</t>
  </si>
  <si>
    <t>Jessika Piraya - (Jess-9244)</t>
  </si>
  <si>
    <t>HD042763</t>
  </si>
  <si>
    <t>Minh Hải (zalo: Nhi Ly Ly)</t>
  </si>
  <si>
    <t>HD042690</t>
  </si>
  <si>
    <t>Nguyễn Lý Kim Ngân</t>
  </si>
  <si>
    <t>HD042440</t>
  </si>
  <si>
    <t>137/31/14 phan anh, phường bình trị đông</t>
  </si>
  <si>
    <t>Nguyễn Thị Ngọc Tuyền</t>
  </si>
  <si>
    <t>HD042529</t>
  </si>
  <si>
    <t>287/62/3 âu dương lân phường 2</t>
  </si>
  <si>
    <t>Thùy Võ</t>
  </si>
  <si>
    <t>HD042774</t>
  </si>
  <si>
    <t>49 Lê Văn Việt, Tăng Nhơn Phú</t>
  </si>
  <si>
    <t>Vân Ang</t>
  </si>
  <si>
    <t>HD042768</t>
  </si>
  <si>
    <t>Toà S902A Vinhome grand park</t>
  </si>
  <si>
    <t>Giáng Hương</t>
  </si>
  <si>
    <t>HD042805</t>
  </si>
  <si>
    <t>111 đường số 10 phường 13</t>
  </si>
  <si>
    <t>Trần Thanh Hoàii</t>
  </si>
  <si>
    <t>HD042835</t>
  </si>
  <si>
    <t>Cc Babylon - Lock A - 683A Âu Cơ, phường Tân Thành</t>
  </si>
  <si>
    <t>Sominea Chuon (EV34968)</t>
  </si>
  <si>
    <t>HD042728</t>
  </si>
  <si>
    <t>C10/2B Quốc Lộ 1A, Xã Tân Nhựt</t>
  </si>
  <si>
    <t>HD042417</t>
  </si>
  <si>
    <t>nhà 20 đường 2B, phường Tân Mỹ</t>
  </si>
  <si>
    <t>Lê Thủy Tiên</t>
  </si>
  <si>
    <t>HD042632</t>
  </si>
  <si>
    <t>Chung cư Safira Khang điền 454 võ chí công</t>
  </si>
  <si>
    <t>Anh Bui (Website)</t>
  </si>
  <si>
    <t>HD042634</t>
  </si>
  <si>
    <t>36/18 khiếu năng tỉnh, phường an lạc a</t>
  </si>
  <si>
    <t>Nhớ Nhớ</t>
  </si>
  <si>
    <t>HD042703</t>
  </si>
  <si>
    <t>Sài gòn Mia block A đường 9a khu trung sơn bình hưng</t>
  </si>
  <si>
    <t>HD042546</t>
  </si>
  <si>
    <t>Saigon Riverside, Complex (Block C1), số 4 Đào Trí, Phú Thuận</t>
  </si>
  <si>
    <t>Mie</t>
  </si>
  <si>
    <t>66 đường 17 p10</t>
  </si>
  <si>
    <t>Giao cho: Bảy fb Nhung Nguyen</t>
  </si>
  <si>
    <t>HD042815</t>
  </si>
  <si>
    <t>Số 97, đường Bùi Quang Là, phường An Hội Tây</t>
  </si>
  <si>
    <t>Phạm Dung</t>
  </si>
  <si>
    <t>HD042826</t>
  </si>
  <si>
    <t>208 nguyễn hữu cảnh phường 22 chung cư vinhome toà lanmark 5</t>
  </si>
  <si>
    <t>Thảo - fb YuMi Dễ Thương</t>
  </si>
  <si>
    <t>HD042638</t>
  </si>
  <si>
    <t>Số nhà 95 Gò Dưa, Tam Bình</t>
  </si>
  <si>
    <t>Thanh Thảo</t>
  </si>
  <si>
    <t>HD042736</t>
  </si>
  <si>
    <t>47/3 lê trực, phường gia định</t>
  </si>
  <si>
    <t>Jenny Mai</t>
  </si>
  <si>
    <t>HD042762</t>
  </si>
  <si>
    <t>641 Quang Trung, Thông Tây Hội</t>
  </si>
  <si>
    <t>Liên Đặng</t>
  </si>
  <si>
    <t>HD042817</t>
  </si>
  <si>
    <t>42 đường 28, phường Cát Lái</t>
  </si>
  <si>
    <t>Yến Nhi</t>
  </si>
  <si>
    <t>HD042520</t>
  </si>
  <si>
    <t>17/9 đường 59, phường thảo điền</t>
  </si>
  <si>
    <t>Trinh Trinh</t>
  </si>
  <si>
    <t>HD042700</t>
  </si>
  <si>
    <t>18/10/5 đường 53 p14</t>
  </si>
  <si>
    <t>Miu baby</t>
  </si>
  <si>
    <t>HD042713</t>
  </si>
  <si>
    <t>1082 lê đức thọ, p. an hội đông</t>
  </si>
  <si>
    <t>Trâm Tú Trinh (Malaysia)</t>
  </si>
  <si>
    <t>HD042680</t>
  </si>
  <si>
    <t>My Yến</t>
  </si>
  <si>
    <t>HD042765</t>
  </si>
  <si>
    <t>334/33/1C Chu văn an, phường 12</t>
  </si>
  <si>
    <t>HD042467</t>
  </si>
  <si>
    <t>Thuý Nhi Nguyễn</t>
  </si>
  <si>
    <t>HD042771</t>
  </si>
  <si>
    <t>42 đường 13 kdc vạn phú hiệp bình phước</t>
  </si>
  <si>
    <t>HD042595</t>
  </si>
  <si>
    <t>HD042621</t>
  </si>
  <si>
    <t>225 Thống Nhất, An Hội Đông (Trà sữa Tam Hảo)</t>
  </si>
  <si>
    <t>Jun</t>
  </si>
  <si>
    <t>HD042790</t>
  </si>
  <si>
    <t>385H Nguyễn Trãi, p.Nguyễn Cư Trinh</t>
  </si>
  <si>
    <t>Hoàng Ngọc</t>
  </si>
  <si>
    <t>HD042730</t>
  </si>
  <si>
    <t>62/73/5 lý chính thắng, phường võ thị sáu</t>
  </si>
  <si>
    <t>Ánh Hồng</t>
  </si>
  <si>
    <t>HD042733</t>
  </si>
  <si>
    <t>31 gò cấm điệm</t>
  </si>
  <si>
    <t>Minh Châu Tô</t>
  </si>
  <si>
    <t>HD042625</t>
  </si>
  <si>
    <t>684/37 trần hưng đạo</t>
  </si>
  <si>
    <t>Tường Vi</t>
  </si>
  <si>
    <t>HD042462</t>
  </si>
  <si>
    <t>132 bến vân đồn p6</t>
  </si>
  <si>
    <t>Nga Trần fb Kim Nguyen</t>
  </si>
  <si>
    <t>HD042795</t>
  </si>
  <si>
    <t>305 nguyên trại p7</t>
  </si>
  <si>
    <t>Yến</t>
  </si>
  <si>
    <t>HD042727</t>
  </si>
  <si>
    <t>148/1 bàu cát 1 p12</t>
  </si>
  <si>
    <t>Lam Kim Phung</t>
  </si>
  <si>
    <t>HD042630</t>
  </si>
  <si>
    <t>109/14 nguyễn thiện thuật bàn cờ</t>
  </si>
  <si>
    <t>Moka</t>
  </si>
  <si>
    <t>HD042382</t>
  </si>
  <si>
    <t>19 Yên Thế, phường Tân Sơn Hòa</t>
  </si>
  <si>
    <t>HIẾU (fb Huyen Nguyen)</t>
  </si>
  <si>
    <t>HD042631</t>
  </si>
  <si>
    <t>623/43 CMT8 p15</t>
  </si>
  <si>
    <t>HD042799</t>
  </si>
  <si>
    <t>Khải - fb Ny Dương</t>
  </si>
  <si>
    <t>HD042691</t>
  </si>
  <si>
    <t>2/11 đường thiên, phường Tân Hòa</t>
  </si>
  <si>
    <t>kh ck shop 875k</t>
  </si>
  <si>
    <t>Trang Nguyen - Thảo</t>
  </si>
  <si>
    <t>HD042507</t>
  </si>
  <si>
    <t>Giao về Tòa nhà văn phòng Sky Gate, số 36-38 Nguyễn Văn Trỗi, phường 15</t>
  </si>
  <si>
    <t>Yen Thi Kim Le</t>
  </si>
  <si>
    <t>HD042629</t>
  </si>
  <si>
    <t>549 Điện Biên Phủ bàn cờ</t>
  </si>
  <si>
    <t>at 10-08</t>
  </si>
  <si>
    <t>đơn dư (AT lấy 4.8)</t>
  </si>
  <si>
    <t>c duyên - fb Hà Túi</t>
  </si>
  <si>
    <t>HD042984</t>
  </si>
  <si>
    <t>15a duong nguyễn hữu thọ Toa t1</t>
  </si>
  <si>
    <t>AT 11-08</t>
  </si>
  <si>
    <t>11-08-2026</t>
  </si>
  <si>
    <t>Trần Nhung</t>
  </si>
  <si>
    <t>HD042987</t>
  </si>
  <si>
    <t>Chung cư the Privia lock A 321 an dương vương an lạc</t>
  </si>
  <si>
    <t>HD042899</t>
  </si>
  <si>
    <t>Trần Ngọc Phi Yến</t>
  </si>
  <si>
    <t>HD042992</t>
  </si>
  <si>
    <t>58 Đường 109, Phước Long B</t>
  </si>
  <si>
    <t>HD042860</t>
  </si>
  <si>
    <t>Ngân - fb Mỹ Mỹ</t>
  </si>
  <si>
    <t>HD042985</t>
  </si>
  <si>
    <t>32 Thích Mật Thể, p Cát Lái</t>
  </si>
  <si>
    <t>My Nguyễn</t>
  </si>
  <si>
    <t>HD042946</t>
  </si>
  <si>
    <t>15b/62 Lê Thánh Tôn,P.Bến Nghé</t>
  </si>
  <si>
    <t>Quỳnh Hương</t>
  </si>
  <si>
    <t>HD043014</t>
  </si>
  <si>
    <t>33 lê lai phường bảy hiền</t>
  </si>
  <si>
    <t>Thi Vo</t>
  </si>
  <si>
    <t>HD042943</t>
  </si>
  <si>
    <t>3, NGÔ THỊ THU MINH, F2</t>
  </si>
  <si>
    <t>HD043026</t>
  </si>
  <si>
    <t>An Di</t>
  </si>
  <si>
    <t>HD042858</t>
  </si>
  <si>
    <t>Diệu</t>
  </si>
  <si>
    <t>159/43/5 Đường Bạch Đằng, phường Tân Sơn Hòa</t>
  </si>
  <si>
    <t>Minh Tuệ</t>
  </si>
  <si>
    <t>11 nguyễn Trọng lội - phường Tân Sơn Nhất (phường 4 cũ)</t>
  </si>
  <si>
    <t>at 11-08</t>
  </si>
  <si>
    <t>Tuyết Hoa</t>
  </si>
  <si>
    <t>HD043297</t>
  </si>
  <si>
    <t>308/8 tân hương, phường phú thọ hòa</t>
  </si>
  <si>
    <t>AT 12-08</t>
  </si>
  <si>
    <t>12-08-2026</t>
  </si>
  <si>
    <t>HD043140</t>
  </si>
  <si>
    <t>Minh Hoa Le</t>
  </si>
  <si>
    <t>HD043283</t>
  </si>
  <si>
    <t>1a/256 ấp 1 xã phạm văn hai</t>
  </si>
  <si>
    <t>Hiếu Phan</t>
  </si>
  <si>
    <t>HD043299</t>
  </si>
  <si>
    <t xml:space="preserve">BS10A vinhomes grand park, phường long bình </t>
  </si>
  <si>
    <t>Trần Thị Kim Phương</t>
  </si>
  <si>
    <t>HD043198</t>
  </si>
  <si>
    <t>1870\1\98\14a tỉnh lộ 10 tân tạo</t>
  </si>
  <si>
    <t>Kim Loan</t>
  </si>
  <si>
    <t>HD043288</t>
  </si>
  <si>
    <t>Sảnh Dragon 2A chung cư Topaz Elite, 549 Tạ Quang Bửu, phường Chánh Hưng</t>
  </si>
  <si>
    <t>Tuyến fb Cỏ Đuôi Gà</t>
  </si>
  <si>
    <t>HD043095</t>
  </si>
  <si>
    <t>7/88, Ik 5-6, Bình Hưng hoà B</t>
  </si>
  <si>
    <t>Hàn Bảo Xuyên</t>
  </si>
  <si>
    <t>HD043168</t>
  </si>
  <si>
    <t>2a đường 79, phường tân quy</t>
  </si>
  <si>
    <t>Lam Thanh Ha</t>
  </si>
  <si>
    <t>HD043149</t>
  </si>
  <si>
    <t>132 Đinh Đức Thiện</t>
  </si>
  <si>
    <t>Nguyễn Thùy</t>
  </si>
  <si>
    <t>HD043256</t>
  </si>
  <si>
    <t>71/46 gò xoài p bình hưng hoà a</t>
  </si>
  <si>
    <t>Thaoyumi</t>
  </si>
  <si>
    <t>HD043115</t>
  </si>
  <si>
    <t>Số 17, Đường Số 13, Phường Bình Hưng Hòa</t>
  </si>
  <si>
    <t>Nghi Pretty</t>
  </si>
  <si>
    <t>HD043275</t>
  </si>
  <si>
    <t>1806/127/62 huỳnh tấn phát</t>
  </si>
  <si>
    <t>Linh Khánh</t>
  </si>
  <si>
    <t>HD043285</t>
  </si>
  <si>
    <t>25A đường số 10, phường an khánh</t>
  </si>
  <si>
    <t>HD043294</t>
  </si>
  <si>
    <t>42 đường 13 kdc vạn phúc hiệp bình phước</t>
  </si>
  <si>
    <t>W3496 -Sasikarn</t>
  </si>
  <si>
    <t>HD043041</t>
  </si>
  <si>
    <t>624 Lê Thị Riêng, Thới An , Bãi Xe Thiên Quân</t>
  </si>
  <si>
    <t>Mai Mai</t>
  </si>
  <si>
    <t>HD043281</t>
  </si>
  <si>
    <t>Mai Mai 22 đường 25 Hiệp Bình</t>
  </si>
  <si>
    <t>Nuong Huynh</t>
  </si>
  <si>
    <t>HD043176</t>
  </si>
  <si>
    <t>67 mai chí thọ, phường an phú, Cc lexington block B</t>
  </si>
  <si>
    <t>Dư Minh Châu</t>
  </si>
  <si>
    <t>HD043274</t>
  </si>
  <si>
    <t>107 nguyễn cơ thạch, an khánh</t>
  </si>
  <si>
    <t>HD043181</t>
  </si>
  <si>
    <t>Lotus Tram</t>
  </si>
  <si>
    <t>HD043110</t>
  </si>
  <si>
    <t>Số 3, đường 37,khu dân cư vạn phúc?phường hiệp bình phước</t>
  </si>
  <si>
    <t>HD043215</t>
  </si>
  <si>
    <t>HD043257</t>
  </si>
  <si>
    <t>Linh Anh</t>
  </si>
  <si>
    <t>HD043292</t>
  </si>
  <si>
    <t>208 nguyễn hữu cảnh phường 22, Sảnh cư dân tòa LM81</t>
  </si>
  <si>
    <t>28 Trần Thị Cờ, Phường Thới An</t>
  </si>
  <si>
    <t>Emily Luu</t>
  </si>
  <si>
    <t>HD043287</t>
  </si>
  <si>
    <t>826 nguyễn chí thanh p4</t>
  </si>
  <si>
    <t>Lê Thuỳ Linh</t>
  </si>
  <si>
    <t>HD043100</t>
  </si>
  <si>
    <t>474/6 trần hưng đạo chợ quán</t>
  </si>
  <si>
    <t>Phan Thuỳ Dương</t>
  </si>
  <si>
    <t>HD043226</t>
  </si>
  <si>
    <t>15 Nguyễn Giản Thanh, P. Hòa Hưng</t>
  </si>
  <si>
    <t>Jolly Ngô</t>
  </si>
  <si>
    <t>HD043289</t>
  </si>
  <si>
    <t>214/90 hàn hải nguyên, f9</t>
  </si>
  <si>
    <t>kh ck shop 885k</t>
  </si>
  <si>
    <t>Winnie Wn</t>
  </si>
  <si>
    <t>HD043291</t>
  </si>
  <si>
    <t>79/27 Trần Văn Đang, phường Nhiêu Lộc</t>
  </si>
  <si>
    <t>Pham Ngoc Nhat Vy</t>
  </si>
  <si>
    <t>HD043276</t>
  </si>
  <si>
    <t>C8 cu xa Phu Tho Hoa p10</t>
  </si>
  <si>
    <t>Nhung Nguyen</t>
  </si>
  <si>
    <t>HD043279</t>
  </si>
  <si>
    <t>314/2p điện biên phủ</t>
  </si>
  <si>
    <t>tuyền</t>
  </si>
  <si>
    <t>HD043258</t>
  </si>
  <si>
    <t>1/12A calmette, phường nguyễn thái bình</t>
  </si>
  <si>
    <t>Trâm - Suna Phnôm pênh</t>
  </si>
  <si>
    <t>HD035370</t>
  </si>
  <si>
    <t>Kho nhận hàng long Phượng,khu C30 lô B5, đường thành thái, P. 14, đối diện bệnh viên bưu điện</t>
  </si>
  <si>
    <t>13-07-2026</t>
  </si>
  <si>
    <t>at 12-08</t>
  </si>
  <si>
    <t>HD043572</t>
  </si>
  <si>
    <t>AT 13-08</t>
  </si>
  <si>
    <t>13-08-2026</t>
  </si>
  <si>
    <t>Lucy Nguyễn</t>
  </si>
  <si>
    <t>HD043574</t>
  </si>
  <si>
    <t>r5 cư xá phú lâm a,p12</t>
  </si>
  <si>
    <t>Lê Thị Kim Chi</t>
  </si>
  <si>
    <t>HD043573</t>
  </si>
  <si>
    <t>20/45 đường số 1, bình Hưng hòa a</t>
  </si>
  <si>
    <t>Trần Khả Nhi</t>
  </si>
  <si>
    <t>HD043613</t>
  </si>
  <si>
    <t>287/22 âu dương lân phường chánh hưng</t>
  </si>
  <si>
    <t>Xuyen Le</t>
  </si>
  <si>
    <t>HD043407</t>
  </si>
  <si>
    <t>107 nguyễn văn linh (A18.08) phường tân thuận</t>
  </si>
  <si>
    <t>Minh Hải ( quỳnh vũ )</t>
  </si>
  <si>
    <t>HD043409</t>
  </si>
  <si>
    <t>số 17 đường số 13 phường bình hưng hòa</t>
  </si>
  <si>
    <t>Huỳnh Bảo Trân</t>
  </si>
  <si>
    <t>HD043369</t>
  </si>
  <si>
    <t>12a3 đường c4 phạm hùng bình hưng</t>
  </si>
  <si>
    <t>Phạm Yến</t>
  </si>
  <si>
    <t>HD043612</t>
  </si>
  <si>
    <t>64b đường số 32, đường bình trị đông b</t>
  </si>
  <si>
    <t>đơn chuyển AT 13-08</t>
  </si>
  <si>
    <t>NGÂN KIM</t>
  </si>
  <si>
    <t>T8-20 mahattan vinhomes Grand park, phường long bình</t>
  </si>
  <si>
    <t>Hoà Lê</t>
  </si>
  <si>
    <t>số 42/43 Nguyễn Minh Hoàng, phường 12</t>
  </si>
  <si>
    <t>HD043563</t>
  </si>
  <si>
    <t>Truc Le</t>
  </si>
  <si>
    <t>HD043575</t>
  </si>
  <si>
    <t>69 đường số 2 khu phố 1 phường tam bình</t>
  </si>
  <si>
    <t>MQTC0175/NGUYỄN NGUYỆT PHÁT</t>
  </si>
  <si>
    <t>HD043567</t>
  </si>
  <si>
    <t>144C Trần Thị Trọng, Phường 15 (Cổng lò cũ)</t>
  </si>
  <si>
    <t>Linh Nguyễn</t>
  </si>
  <si>
    <t>HD043626</t>
  </si>
  <si>
    <t>39 đường số 3, lakeview city, phường bình trưng</t>
  </si>
  <si>
    <t>Hoàng Trâm Anh</t>
  </si>
  <si>
    <t>HD043629</t>
  </si>
  <si>
    <t>11 Nguyễn Bá Huân phường thảo điền</t>
  </si>
  <si>
    <t>HD043458</t>
  </si>
  <si>
    <t>ELLY NGUYỄN - THẮM NGUYỄN</t>
  </si>
  <si>
    <t>HD043549</t>
  </si>
  <si>
    <t>120/3/11 Đặng Thùy Trâm, P13 ( CTY GIA HUY EXPRESS )</t>
  </si>
  <si>
    <t>HD043624</t>
  </si>
  <si>
    <t>364 Phạm Văn chiêu p9</t>
  </si>
  <si>
    <t>c bình fb Hứa Hân</t>
  </si>
  <si>
    <t>HD043609</t>
  </si>
  <si>
    <t>146 nguyễn văn hưởng, an khánh ( nhà số f3 )</t>
  </si>
  <si>
    <t>Thúy Nhi Nguyễn</t>
  </si>
  <si>
    <t>HD043598</t>
  </si>
  <si>
    <t>42 đường 13 kdc vạn phủ hiệp bình phước</t>
  </si>
  <si>
    <t>Thảo Ly Nguyễn</t>
  </si>
  <si>
    <t>HD043566</t>
  </si>
  <si>
    <t>35/4 đường Nguyễn thị búp, phường hiệp thành</t>
  </si>
  <si>
    <t>Binh Minh</t>
  </si>
  <si>
    <t>HD043595</t>
  </si>
  <si>
    <t>tòa Be5,vinhome grand park,long bình</t>
  </si>
  <si>
    <t>Nguyễn Thị Mỹ Phúc</t>
  </si>
  <si>
    <t>HD043619</t>
  </si>
  <si>
    <t>nhaThe Sun Avenue (tòa S5) 28 Mai Chí Thọ, An Phú</t>
  </si>
  <si>
    <t>Ny phạm</t>
  </si>
  <si>
    <t>HD043578</t>
  </si>
  <si>
    <t>1072/11 Trường Sa, phường nhiêu lộc</t>
  </si>
  <si>
    <t>_____det_____ Insta</t>
  </si>
  <si>
    <t>HD043329</t>
  </si>
  <si>
    <t>Phnom Penh NHÀ XE KHAI NAM, 363 Hùng Vương, p9</t>
  </si>
  <si>
    <t>SREYGNEGN NOEUN (Insta dalissd) - VIP</t>
  </si>
  <si>
    <t>HD043403</t>
  </si>
  <si>
    <t>363-365-367, 363 Đ. Hùng Vương - Khải Nam transport</t>
  </si>
  <si>
    <t>HD043614</t>
  </si>
  <si>
    <t>Vân Vân</t>
  </si>
  <si>
    <t>HD043361</t>
  </si>
  <si>
    <t>25/39 cửu long p2</t>
  </si>
  <si>
    <t>HD043419</t>
  </si>
  <si>
    <t>A75/6B/2 Bạch Đằng, Phường Tân Sơn Hòa</t>
  </si>
  <si>
    <t>chị Thanh Vy</t>
  </si>
  <si>
    <t>HD043398</t>
  </si>
  <si>
    <t>78/10/2c khánh hội phường 4</t>
  </si>
  <si>
    <t>Tường Vy</t>
  </si>
  <si>
    <t>HD043616</t>
  </si>
  <si>
    <t>61/14 an bình p6</t>
  </si>
  <si>
    <t>Bác Sĩ Mỹ</t>
  </si>
  <si>
    <t>HD043569</t>
  </si>
  <si>
    <t>296 phan đình phùng, P cầu kiệu</t>
  </si>
  <si>
    <t>Ellery Nguyễn</t>
  </si>
  <si>
    <t>HD043600</t>
  </si>
  <si>
    <t>595/35/22C cmt8 Phường Hòa Hưng (p15 cũ)</t>
  </si>
  <si>
    <t>Trúc Ly</t>
  </si>
  <si>
    <t>HD043592</t>
  </si>
  <si>
    <t>130 châu văn liêm phường 11</t>
  </si>
  <si>
    <t>Mỹ Linh</t>
  </si>
  <si>
    <t>HD043333</t>
  </si>
  <si>
    <t>Đường D2, chung cư Phúc Đạt, phường Phú Lợi</t>
  </si>
  <si>
    <t>tinh</t>
  </si>
  <si>
    <t>hàng tỉnh</t>
  </si>
  <si>
    <t>at 13-08</t>
  </si>
  <si>
    <t>HD043665</t>
  </si>
  <si>
    <t>213/20/3 lê đình cẩn, phường tân tạo</t>
  </si>
  <si>
    <t>AT 14-08</t>
  </si>
  <si>
    <t>14-08-2026</t>
  </si>
  <si>
    <t>Trâm Đoàn</t>
  </si>
  <si>
    <t>HD043733</t>
  </si>
  <si>
    <t>37 cao lo p chánh hưng</t>
  </si>
  <si>
    <t>Kim Quyên</t>
  </si>
  <si>
    <t>HD043869</t>
  </si>
  <si>
    <t>336/20 nguyen van luong</t>
  </si>
  <si>
    <t>Nguyễn Thị Kim Thoa</t>
  </si>
  <si>
    <t>HD043840</t>
  </si>
  <si>
    <t>số 25a đường 22 bình hưng hòa a</t>
  </si>
  <si>
    <t>HD043778</t>
  </si>
  <si>
    <t>Quyn Nguyễn</t>
  </si>
  <si>
    <t>HD043782</t>
  </si>
  <si>
    <t>chung cư emerald block C khu celadon</t>
  </si>
  <si>
    <t>Chị Phương</t>
  </si>
  <si>
    <t>HD043749</t>
  </si>
  <si>
    <t>984/62 hà huy giáp</t>
  </si>
  <si>
    <t>Trà My</t>
  </si>
  <si>
    <t>HD043829</t>
  </si>
  <si>
    <t>2225 phạm the hien p6</t>
  </si>
  <si>
    <t>Vân HuGô</t>
  </si>
  <si>
    <t>HD043690</t>
  </si>
  <si>
    <t>76/7 XTT 2-2, ấp 1, xã bà điểm</t>
  </si>
  <si>
    <t>Minh Hải (Fb: gia hân)</t>
  </si>
  <si>
    <t>HD043777</t>
  </si>
  <si>
    <t>Gia Hân</t>
  </si>
  <si>
    <t>HD043901</t>
  </si>
  <si>
    <t>638 phạm thế hiển p4</t>
  </si>
  <si>
    <t>Yuri</t>
  </si>
  <si>
    <t>66 đường 17, phường bình phú</t>
  </si>
  <si>
    <t>NGỌC TRẦN</t>
  </si>
  <si>
    <t>940/4B Lò Gốm P8</t>
  </si>
  <si>
    <t xml:space="preserve">Linh kêu lấy hàng về </t>
  </si>
  <si>
    <t>Liên Hoa</t>
  </si>
  <si>
    <t>HD043886</t>
  </si>
  <si>
    <t>Quỳnh</t>
  </si>
  <si>
    <t>HD043884</t>
  </si>
  <si>
    <t>82 đường số 10 . Phường 10, kdc cityland</t>
  </si>
  <si>
    <t>Công Thanh - Bảo Trân</t>
  </si>
  <si>
    <t>HD043880</t>
  </si>
  <si>
    <t>40/12 Trần Não, An Khánh, Hẻm FPT quẹo vào cuối hẻm ngay văn phòng EHome</t>
  </si>
  <si>
    <t>kh ck shop 910k</t>
  </si>
  <si>
    <t>Linh Sam</t>
  </si>
  <si>
    <t>HD043885</t>
  </si>
  <si>
    <t>Chung cư Empire City toà tilia - đường N17, phường An Khánh</t>
  </si>
  <si>
    <t>Khả Trân</t>
  </si>
  <si>
    <t>HD043879</t>
  </si>
  <si>
    <t>223 nguyễn xí</t>
  </si>
  <si>
    <t>Minh Thư</t>
  </si>
  <si>
    <t>HD043774</t>
  </si>
  <si>
    <t>6/24 tân chánh hiệp 36, p trung mỹ tây</t>
  </si>
  <si>
    <t>Trần Nguyễn Quỳnh My</t>
  </si>
  <si>
    <t>HD043838</t>
  </si>
  <si>
    <t>Palm Residence - đường Song Hành, Cao Tốc HCM, ĐCT HCM Long Thành Dầu Giây, Nam Rạch Chiếc, Phường An Phú</t>
  </si>
  <si>
    <t>Ngô Trinh</t>
  </si>
  <si>
    <t>HD043687</t>
  </si>
  <si>
    <t>số 7 đường 36a phường bình trưng (phường an phú cũ)</t>
  </si>
  <si>
    <t>Mai Huỳnh</t>
  </si>
  <si>
    <t>HD043766</t>
  </si>
  <si>
    <t>837 Kha vạn cân phường linh xuân</t>
  </si>
  <si>
    <t>Lê Huy - fb Hà Oanh</t>
  </si>
  <si>
    <t>HD043607</t>
  </si>
  <si>
    <t>19e Nguyễn Hữu Cảnh p.thạnh mỹ tây</t>
  </si>
  <si>
    <t>kh ck shop 1390k</t>
  </si>
  <si>
    <t>trang trần 2</t>
  </si>
  <si>
    <t>384/22 phạm văn bạch, Tân Sơn</t>
  </si>
  <si>
    <t>W2459</t>
  </si>
  <si>
    <t>NHUNG HM</t>
  </si>
  <si>
    <t>8/1 nguyễn ảnh thủ, trung Chánh</t>
  </si>
  <si>
    <t>Bùi Ngọc Châu</t>
  </si>
  <si>
    <t>HD043726</t>
  </si>
  <si>
    <t>35/15a trần đình xu</t>
  </si>
  <si>
    <t>Ngọc Ngân</t>
  </si>
  <si>
    <t>HD043878</t>
  </si>
  <si>
    <t>87 duong so 79, tan quy</t>
  </si>
  <si>
    <t>HD043673</t>
  </si>
  <si>
    <t>Minơ - Angela Ngọc Nữ</t>
  </si>
  <si>
    <t>HD043839</t>
  </si>
  <si>
    <t>chung cư Sài Gòn Mia - lock A ) 200 đường số 9A- xã binh hưng</t>
  </si>
  <si>
    <t>HD043666</t>
  </si>
  <si>
    <t>cc luxcity số 528 huỳnh tấn phát p tân thuận (mới)</t>
  </si>
  <si>
    <t>Phạm Nguyễn Ân Giao</t>
  </si>
  <si>
    <t>HD043671</t>
  </si>
  <si>
    <t>58 B Nguyễn Thị Thập, chung cư Golden Star</t>
  </si>
  <si>
    <t>Nguyên Yến</t>
  </si>
  <si>
    <t>HD043761</t>
  </si>
  <si>
    <t>67/36 bui van ba tan thuan dong</t>
  </si>
  <si>
    <t>HD043846</t>
  </si>
  <si>
    <t>595/35/22C cmt8, Phường Hòa Hưng (p15 cũ)</t>
  </si>
  <si>
    <t>VVI EVA</t>
  </si>
  <si>
    <t>141 hùng vương phường 4</t>
  </si>
  <si>
    <t>at 14-08</t>
  </si>
  <si>
    <t>AT 15-08</t>
  </si>
  <si>
    <t>15-08-2026</t>
  </si>
  <si>
    <t>fb HUỲNH THẢO GỬI ĐI MALAYSIA</t>
  </si>
  <si>
    <t>HD044115</t>
  </si>
  <si>
    <t>24/5F ÁP ĐÔNG LÂN BÀ ĐIỂM</t>
  </si>
  <si>
    <t>HD044069</t>
  </si>
  <si>
    <t>315/18/6 Nguyễn Thị Tú (MV01709) phường Bình Hưng Hòa</t>
  </si>
  <si>
    <t>Tên: zalo Huyền Vũ</t>
  </si>
  <si>
    <t>HD044028</t>
  </si>
  <si>
    <t>66 đường số 17, phường 10</t>
  </si>
  <si>
    <t>Thảo Võ</t>
  </si>
  <si>
    <t>HD043964</t>
  </si>
  <si>
    <t>32 trương vĩnh ký</t>
  </si>
  <si>
    <t>Hau Nguyen</t>
  </si>
  <si>
    <t>HD043564</t>
  </si>
  <si>
    <t>25-27 đường số 11, khu dân cư 6B Intresco, Bình Hưng</t>
  </si>
  <si>
    <t>HÀ VY</t>
  </si>
  <si>
    <t>482/10/26 no trang Long, p13</t>
  </si>
  <si>
    <t>Số 5 Nhất Chi Mai phường 13</t>
  </si>
  <si>
    <t>401 Quang Trung f10</t>
  </si>
  <si>
    <t>số 42/43 - 45 Nguyễn Minh Hoàng, phường 12</t>
  </si>
  <si>
    <t>HD044060</t>
  </si>
  <si>
    <t>Hy Phùng</t>
  </si>
  <si>
    <t>HD044097</t>
  </si>
  <si>
    <t>30 Bảy Hiền</t>
  </si>
  <si>
    <t>như quỳnh</t>
  </si>
  <si>
    <t>HD043936</t>
  </si>
  <si>
    <t>Chung cư bộ công an,đường số 3,lock A, sảnh A2 phường an khánh</t>
  </si>
  <si>
    <t>Đinh Thị Kim Lan</t>
  </si>
  <si>
    <t>HD043991</t>
  </si>
  <si>
    <t>Ngân hàng Tpbank 303 (39/6) Trường Chinh P Tân Thới Nhất</t>
  </si>
  <si>
    <t>W3502</t>
  </si>
  <si>
    <t>HD044135</t>
  </si>
  <si>
    <t>624 Lê Thị Riêng, tân thới hiệp</t>
  </si>
  <si>
    <t>Sumo</t>
  </si>
  <si>
    <t>487 lê văn sỹ, f12</t>
  </si>
  <si>
    <t>Minea</t>
  </si>
  <si>
    <t>Yến Trần</t>
  </si>
  <si>
    <t>C.15.4 Chung Cư Mỹ Thuận (ấp 39 cũ - ấp 10 mới)</t>
  </si>
  <si>
    <t>Thao Lee</t>
  </si>
  <si>
    <t>HD044144</t>
  </si>
  <si>
    <t>Vietinbank 635b nguyễn trãi P chợ lớn</t>
  </si>
  <si>
    <t>HD044158</t>
  </si>
  <si>
    <t>chung cư Sài Gòn Mia - lock A ) 200 đường số 9A- xã bình hưng</t>
  </si>
  <si>
    <t>Tramm Anh</t>
  </si>
  <si>
    <t>HD044142</t>
  </si>
  <si>
    <t>108/52a tran quang diep</t>
  </si>
  <si>
    <t>RIANA+YULIATABALI (ZALO)</t>
  </si>
  <si>
    <t>HD044002</t>
  </si>
  <si>
    <t>SAO MAI HOTEL 82 Tôn Thất Tùng, Bến Thành</t>
  </si>
  <si>
    <t>Cẩm Cẩm</t>
  </si>
  <si>
    <t>HD044101</t>
  </si>
  <si>
    <t>150 Hoàng Trọng Mậu, Tân Hưng</t>
  </si>
  <si>
    <t>My Ngô</t>
  </si>
  <si>
    <t>HD044009</t>
  </si>
  <si>
    <t>233/17 Nguyễn Trãi</t>
  </si>
  <si>
    <t>Yen chau FB Thao Nguyen thu thêm 10k</t>
  </si>
  <si>
    <t>HD044145</t>
  </si>
  <si>
    <t>Chung cư Florita, Đường D4, P. Tân Hưng</t>
  </si>
  <si>
    <t>HD043987</t>
  </si>
  <si>
    <t>Thu Lê</t>
  </si>
  <si>
    <t>HD043948</t>
  </si>
  <si>
    <t>334 Tô Hiến Thành P Diên Hồng, C/c kingdom lốc C, c0B05</t>
  </si>
  <si>
    <t>Ngoc Venus</t>
  </si>
  <si>
    <t>HD044029</t>
  </si>
  <si>
    <t>69 phố tiểu nam, p. Tân Phú</t>
  </si>
  <si>
    <t>Bình An</t>
  </si>
  <si>
    <t>HD044112</t>
  </si>
  <si>
    <t>269 âu dương lên phường chánh hưng</t>
  </si>
  <si>
    <t>Lê Thị Thúy Hằng</t>
  </si>
  <si>
    <t>HD044138</t>
  </si>
  <si>
    <t>31 đặng thị như</t>
  </si>
  <si>
    <t>Linh Linh Nhi</t>
  </si>
  <si>
    <t>HD044150</t>
  </si>
  <si>
    <t>231/36 nguyễn duy dương p4</t>
  </si>
  <si>
    <t>Hoàng Thy</t>
  </si>
  <si>
    <t>HD044162</t>
  </si>
  <si>
    <t>chung cư eco green saigon lock A</t>
  </si>
  <si>
    <t>at 15-08</t>
  </si>
  <si>
    <t>võ ngọc trinh</t>
  </si>
  <si>
    <t>HD044539</t>
  </si>
  <si>
    <t>84 đường số 13C phường bình trị đông B (phường mới là phường an lạc)</t>
  </si>
  <si>
    <t>AT 17-08</t>
  </si>
  <si>
    <t>17-08-2026</t>
  </si>
  <si>
    <t>Ngọc Tây</t>
  </si>
  <si>
    <t>HD044607</t>
  </si>
  <si>
    <t>284/4 luỹ bán bích hoà thạnh</t>
  </si>
  <si>
    <t>Mỹ Hạnh</t>
  </si>
  <si>
    <t>HD044483</t>
  </si>
  <si>
    <t>363/6/37 đường bình trị đông, phường bình trị đông A</t>
  </si>
  <si>
    <t>Hoàng Phúc Moblie</t>
  </si>
  <si>
    <t>HD044307</t>
  </si>
  <si>
    <t>49 Lê Quang kim . Phường Chánh Hưng Chung cư diamond lotus Block C</t>
  </si>
  <si>
    <t>Zalo Thu</t>
  </si>
  <si>
    <t>HD040651</t>
  </si>
  <si>
    <t>Số 78 đường số 7, BHH</t>
  </si>
  <si>
    <t>Phương Quyên</t>
  </si>
  <si>
    <t>HD044725</t>
  </si>
  <si>
    <t>80/55 lưu chí hiếu tây thạnh</t>
  </si>
  <si>
    <t>HD044448</t>
  </si>
  <si>
    <t>Ngọc Bích</t>
  </si>
  <si>
    <t>HD043932</t>
  </si>
  <si>
    <t>12.03 MP5, Mizuki Park, Đường số 1, Xã Bình Hưng</t>
  </si>
  <si>
    <t>Nguyễn Thị Tố Nga</t>
  </si>
  <si>
    <t>HD044736</t>
  </si>
  <si>
    <t>338/27/18 âu cơ, p10</t>
  </si>
  <si>
    <t>Hồ Nguyễn Quỳnh Như</t>
  </si>
  <si>
    <t>HD044753</t>
  </si>
  <si>
    <t>Central premium lock A</t>
  </si>
  <si>
    <t>Trang Nguyen</t>
  </si>
  <si>
    <t>HD044720</t>
  </si>
  <si>
    <t>Chung cư Pegasuite, Tạ Quang Bửu, Phường 6</t>
  </si>
  <si>
    <t>Linh Châu</t>
  </si>
  <si>
    <t>HD044638</t>
  </si>
  <si>
    <t>532/3/93 Kinh Dương Vương. Phường An Lạc</t>
  </si>
  <si>
    <t>Hồng Nguyễn</t>
  </si>
  <si>
    <t>HD044378</t>
  </si>
  <si>
    <t>621 Tân ky Tân quý phường bình hưng hòa</t>
  </si>
  <si>
    <t>Heng Roza (EV38382)</t>
  </si>
  <si>
    <t>HD044306</t>
  </si>
  <si>
    <t>315/18/6 Nhuyễn Thị Tú, Phường Bình Hưng Hòa B</t>
  </si>
  <si>
    <t>HD044742</t>
  </si>
  <si>
    <t>MIEW 2</t>
  </si>
  <si>
    <t>gộp</t>
  </si>
  <si>
    <t>srey</t>
  </si>
  <si>
    <t>428/33 QL1A, Bình Hưng Hòa B</t>
  </si>
  <si>
    <t>Hồng Hoa</t>
  </si>
  <si>
    <t>HD044568</t>
  </si>
  <si>
    <t>Căn 98 đường A5, Palm Residence, phường Bình Trưng</t>
  </si>
  <si>
    <t>Linh Mỹ</t>
  </si>
  <si>
    <t>HD044582</t>
  </si>
  <si>
    <t>50/2/8 đường số 2, phường 3</t>
  </si>
  <si>
    <t>HD044595</t>
  </si>
  <si>
    <t>Minh Thư (Website)</t>
  </si>
  <si>
    <t>HD044739</t>
  </si>
  <si>
    <t>chung cư sadora lock D phường an lợi đông</t>
  </si>
  <si>
    <t>Ruby DB</t>
  </si>
  <si>
    <t>HD044717</t>
  </si>
  <si>
    <t>LUMIERE RIVERSIDE ( W1317 ), 259 Võ Nguyên Giáp, an phú</t>
  </si>
  <si>
    <t>HD044372</t>
  </si>
  <si>
    <t>220/62 Xô viết nghệ tĩnh, phường thành mỹ Tây</t>
  </si>
  <si>
    <t>Ngo Thuy Linh</t>
  </si>
  <si>
    <t>HD044619</t>
  </si>
  <si>
    <t>37 nguyễn văn hưởng thảo điền</t>
  </si>
  <si>
    <t>Người Nhận BN1090</t>
  </si>
  <si>
    <t>HD044708</t>
  </si>
  <si>
    <t>HD044633</t>
  </si>
  <si>
    <t>HD044212</t>
  </si>
  <si>
    <t>C note chú Cường 133/55 quang trung, f.10. Đó là DiLa Spa</t>
  </si>
  <si>
    <t>Kim An</t>
  </si>
  <si>
    <t>HD044203</t>
  </si>
  <si>
    <t>Kinghouse 7/14/10A đường 182 phường Tăng Nhơn Phú</t>
  </si>
  <si>
    <t>Quyên Vũ</t>
  </si>
  <si>
    <t>HD044697</t>
  </si>
  <si>
    <t>1/12/6 TMT16, phường Trung Mỹ Tây</t>
  </si>
  <si>
    <t>Thúy Te</t>
  </si>
  <si>
    <t>HD044382</t>
  </si>
  <si>
    <t>Số 35 đường 60TML- Cát Lái</t>
  </si>
  <si>
    <t>meomeo</t>
  </si>
  <si>
    <t>HD044241</t>
  </si>
  <si>
    <t>216/1 Nguyễn Văn Nghi, phường Hạnh Thông</t>
  </si>
  <si>
    <t>Minh Nguyệt + Lin Xiao + Hàng Air - đơn sau thu 20k</t>
  </si>
  <si>
    <t>HD044560</t>
  </si>
  <si>
    <t>C16-17 lô C1, đường DD5, phường Đông Hưng Thuận (ghi chú: sau lưng chợ An Sương)</t>
  </si>
  <si>
    <t>Trương Hà - fb Duong Ba</t>
  </si>
  <si>
    <t>HD044315</t>
  </si>
  <si>
    <t>Nhà điều hành Đại học Quốc Gia TP.HCM. Đường Võ Trường Toản, Linh Trung (Cổng A)</t>
  </si>
  <si>
    <t>HD044310</t>
  </si>
  <si>
    <t>Thi Thỏ</t>
  </si>
  <si>
    <t>HD044729</t>
  </si>
  <si>
    <t>338/5/7 Nguyễn Xí phường 13</t>
  </si>
  <si>
    <t>Miki BN182</t>
  </si>
  <si>
    <t>HD044727</t>
  </si>
  <si>
    <t>163 Trương Thi Hoa</t>
  </si>
  <si>
    <t>Mr Thế (Zalo: Minh Tuệ)</t>
  </si>
  <si>
    <t>Tina</t>
  </si>
  <si>
    <t>HD044280</t>
  </si>
  <si>
    <t>61 đường số 9 f4</t>
  </si>
  <si>
    <t>kh ck shop 970k</t>
  </si>
  <si>
    <t>MiNi Nguyễn</t>
  </si>
  <si>
    <t>HD044655</t>
  </si>
  <si>
    <t>68/27 đường 25a, phường tân quy</t>
  </si>
  <si>
    <t>Lâm Tino (đô MaiVy)</t>
  </si>
  <si>
    <t>HD044718</t>
  </si>
  <si>
    <t>835 Lê hồng phong p12</t>
  </si>
  <si>
    <t>Kim Chúc</t>
  </si>
  <si>
    <t>HD044726</t>
  </si>
  <si>
    <t>Hẻm 18B/73 Nguyễn thị minh khai đakao</t>
  </si>
  <si>
    <t>Như Ý Lê</t>
  </si>
  <si>
    <t>HD044259</t>
  </si>
  <si>
    <t>174 Bùi Thị Xuân P3</t>
  </si>
  <si>
    <t>Minh khoa</t>
  </si>
  <si>
    <t>HD044364</t>
  </si>
  <si>
    <t>224/20 lý thường kiệt phường diên hồng</t>
  </si>
  <si>
    <t>chú tư nhận đồ dùm chi càna</t>
  </si>
  <si>
    <t>HD044487</t>
  </si>
  <si>
    <t>337/21 trần xuân soạn phường Tân Kiểng</t>
  </si>
  <si>
    <t>Su Nguyễn</t>
  </si>
  <si>
    <t>HD044599</t>
  </si>
  <si>
    <t>103/13 trần đình xu</t>
  </si>
  <si>
    <t>Sok Sovandani</t>
  </si>
  <si>
    <t>HD044421</t>
  </si>
  <si>
    <t>nhà xe KHẢI NAM</t>
  </si>
  <si>
    <t>Kelly Phan</t>
  </si>
  <si>
    <t>HD044701</t>
  </si>
  <si>
    <t>240/6A lê thánh tôn bến thành</t>
  </si>
  <si>
    <t>Bùi Thị Hải Yến</t>
  </si>
  <si>
    <t>HD044470</t>
  </si>
  <si>
    <t>Chung cư delasol blcok C</t>
  </si>
  <si>
    <t>HD044714</t>
  </si>
  <si>
    <t>HD044745</t>
  </si>
  <si>
    <t>HD043862</t>
  </si>
  <si>
    <t>Phương Linh phòng 519</t>
  </si>
  <si>
    <t>HD044371</t>
  </si>
  <si>
    <t>141/2b bàn cờ f3</t>
  </si>
  <si>
    <t>Thy Thảo</t>
  </si>
  <si>
    <t>HD044523</t>
  </si>
  <si>
    <t>Dạ 16/2C Đinh Tiên Hoàng Dakao ( Phường SG ạ )</t>
  </si>
  <si>
    <t>Đồng Linh</t>
  </si>
  <si>
    <t>HD044684</t>
  </si>
  <si>
    <t>Chung Cư Topaz Elite - Tòa Dragon 1B Tạ Quang Bửu</t>
  </si>
  <si>
    <t>HD044719</t>
  </si>
  <si>
    <t>Nguyễn Lê Cẩm Tiên</t>
  </si>
  <si>
    <t>HD044731</t>
  </si>
  <si>
    <t>93 đường số 49 Tân Hưng</t>
  </si>
  <si>
    <t>Ngọc Ngọc</t>
  </si>
  <si>
    <t>HD044698</t>
  </si>
  <si>
    <t>156/5/27 tô hiến thành, p hoà hưng</t>
  </si>
  <si>
    <t>Uyen Cam Cao</t>
  </si>
  <si>
    <t>HD044194</t>
  </si>
  <si>
    <t>Chung cư topaz elite block dragon 2c</t>
  </si>
  <si>
    <t>Nguyễn Thị Nhung</t>
  </si>
  <si>
    <t>HD044285</t>
  </si>
  <si>
    <t>Chung cư ecogreen 39B Đường Nguyễn Văn Linh</t>
  </si>
  <si>
    <t>HD044223</t>
  </si>
  <si>
    <t>17/8 lê thánh tôn p bến nghé</t>
  </si>
  <si>
    <t>det insta Address : Phnom Penh NHÀ XE KHAI NAM</t>
  </si>
  <si>
    <t>HD044564</t>
  </si>
  <si>
    <t>363 Hùng Vương p9</t>
  </si>
  <si>
    <t>Trúc Quỳnh</t>
  </si>
  <si>
    <t>HD044312</t>
  </si>
  <si>
    <t>119/7 Nguyễn thị thập Tân Phú</t>
  </si>
  <si>
    <t>HD044513</t>
  </si>
  <si>
    <t>Giao 37 cao lo p chánh hưng</t>
  </si>
  <si>
    <t>HD044544</t>
  </si>
  <si>
    <t>363 Hùng Vương, Phường 9</t>
  </si>
  <si>
    <t>at 17-08</t>
  </si>
  <si>
    <t>hoà - fb Thi Diem Do</t>
  </si>
  <si>
    <t>HD044979</t>
  </si>
  <si>
    <t>76/43/23 Nguyễn sơn, phường Phú thọ hoà</t>
  </si>
  <si>
    <t>AT 18-08</t>
  </si>
  <si>
    <t>18-08-2026</t>
  </si>
  <si>
    <t>Dung Trinh</t>
  </si>
  <si>
    <t>HD044848</t>
  </si>
  <si>
    <t>4/2 nguyễn sáng, phường tây thạnh</t>
  </si>
  <si>
    <t>Nguyễn Như Ngọc</t>
  </si>
  <si>
    <t>HD045056</t>
  </si>
  <si>
    <t>81/99 ấp 3 xuân thới thượng</t>
  </si>
  <si>
    <t>Phương Thảo TA</t>
  </si>
  <si>
    <t>HD045026</t>
  </si>
  <si>
    <t>M37/15 Cư Xá Phú Lâm A Phường 12 (Phường Phú Lâm)</t>
  </si>
  <si>
    <t>HD044795</t>
  </si>
  <si>
    <t>Minh Hải (NaNa Nè)</t>
  </si>
  <si>
    <t>HD045027</t>
  </si>
  <si>
    <t xml:space="preserve">17 Đường Số 13, Phường Bình Hưng Hoà </t>
  </si>
  <si>
    <t>Minh Hải (Thanh Phan)</t>
  </si>
  <si>
    <t>HD044978</t>
  </si>
  <si>
    <t>17 Đường Số 13, Phường Bình Hưng Hòa</t>
  </si>
  <si>
    <t>Lucy Paypy</t>
  </si>
  <si>
    <t>HD045055</t>
  </si>
  <si>
    <t>66 đường số 17 phường 10</t>
  </si>
  <si>
    <t>thúy vy</t>
  </si>
  <si>
    <t>HD045067</t>
  </si>
  <si>
    <t>chung cư Ruby - cổng 2 đường Tân Thắng, P. Tân Sơn Nhì</t>
  </si>
  <si>
    <t>Thúy Nhi</t>
  </si>
  <si>
    <t>HD044995</t>
  </si>
  <si>
    <t>Lô 30-32-34 đường số 3, Khu công nghiệp Tân Tạo. Phường Tân Tạo (công ty TNHH Việt Nam Paiho)</t>
  </si>
  <si>
    <t>HD045045</t>
  </si>
  <si>
    <t>HD044992</t>
  </si>
  <si>
    <t>84 đường số 13C phường bình trị đông B (phường mới là phường An Lạc)</t>
  </si>
  <si>
    <t>Đặng Thảo</t>
  </si>
  <si>
    <t>HD044846</t>
  </si>
  <si>
    <t>549/8 Tân Kỳ Tân Quý, Tân Sơn Nhì</t>
  </si>
  <si>
    <t>Trà Mai Lê</t>
  </si>
  <si>
    <t>HD045065</t>
  </si>
  <si>
    <t>f3/8 đuong 6d xã tân vĩnh lộc</t>
  </si>
  <si>
    <t>Lona Nguyễn</t>
  </si>
  <si>
    <t>HD044827</t>
  </si>
  <si>
    <t>Chung cư Richstar 2, Tòa RS6: 10.02 . 241 hòa bình, hiệp tân</t>
  </si>
  <si>
    <t>Nina Châu</t>
  </si>
  <si>
    <t>HD044934</t>
  </si>
  <si>
    <t>88/10/5 trần văn quang p10</t>
  </si>
  <si>
    <t>Kiến Dương (Website)</t>
  </si>
  <si>
    <t>HD045069</t>
  </si>
  <si>
    <t>117 Trịnh Đình Trọng, Phú Trung</t>
  </si>
  <si>
    <t>khả trinh</t>
  </si>
  <si>
    <t>HD044864</t>
  </si>
  <si>
    <t>82/17/20 đinh tiên hoàng p1</t>
  </si>
  <si>
    <t>NGƯỜI NHẬN: xiao yan</t>
  </si>
  <si>
    <t>HD045070</t>
  </si>
  <si>
    <t>22, ĐƯỜNG TÂN THỚI NHẤT 1B, PHƯỜNG ĐÔNG HƯNG THUẬN</t>
  </si>
  <si>
    <t>BN14541</t>
  </si>
  <si>
    <t>HD044740</t>
  </si>
  <si>
    <t>Khả Hân</t>
  </si>
  <si>
    <t>HD044895</t>
  </si>
  <si>
    <t>chung cư Flora Kikyo Phú Hữu</t>
  </si>
  <si>
    <t>Nguyen Anh Thư</t>
  </si>
  <si>
    <t>HD044744</t>
  </si>
  <si>
    <t>453/16 đường Tô Ngọc Vân, P Tam Bình</t>
  </si>
  <si>
    <t>HD045021</t>
  </si>
  <si>
    <t>Toà s703 vinhome grand park nguyễn xiển phương long binh</t>
  </si>
  <si>
    <t>173 phan huy ích . Tân sơn</t>
  </si>
  <si>
    <t>Bi nè</t>
  </si>
  <si>
    <t>Tòa Landmark4 208 Nguyễn Hữu Cảnh p22</t>
  </si>
  <si>
    <t>VERISKA ASHLEY</t>
  </si>
  <si>
    <t>HD044299</t>
  </si>
  <si>
    <t>1 Đống Đa, Tân Sơn Hòa, Ciao Saigon Hotel - Room 408</t>
  </si>
  <si>
    <t>HD044896</t>
  </si>
  <si>
    <t>Yến Yến</t>
  </si>
  <si>
    <t>HD044954</t>
  </si>
  <si>
    <t>Topaz elite phoenix 1A Đ. Tạ Quang Bửu, Chánh Hưng</t>
  </si>
  <si>
    <t>Tên ng nhận: chuột</t>
  </si>
  <si>
    <t>HD043561</t>
  </si>
  <si>
    <t>số 229A Đường bùi thị xuân phường 1</t>
  </si>
  <si>
    <t>Nguyễn Tú Hảo</t>
  </si>
  <si>
    <t>HD044932</t>
  </si>
  <si>
    <t>247 Hoà Hảo p2</t>
  </si>
  <si>
    <t>Mai Thảo</t>
  </si>
  <si>
    <t>HD045044</t>
  </si>
  <si>
    <t>68 Tôn Đức Thắng</t>
  </si>
  <si>
    <t>Ngọc Nương</t>
  </si>
  <si>
    <t>HD044656</t>
  </si>
  <si>
    <t>39 cao lổ phường chánh hưng, chung cư topaz city sảnh a2</t>
  </si>
  <si>
    <t>HD044931</t>
  </si>
  <si>
    <t>302 nguyễn chí thanh p5</t>
  </si>
  <si>
    <t>Nguyễn Nhi Quỳnh</t>
  </si>
  <si>
    <t>HD045031</t>
  </si>
  <si>
    <t>28/13 Trần Thiện Chánh, phường Hòa Hưng</t>
  </si>
  <si>
    <t>Cầm Cầm</t>
  </si>
  <si>
    <t>HD044802</t>
  </si>
  <si>
    <t>150 hoàng trọng mậu tân hưng</t>
  </si>
  <si>
    <t>Mỹ</t>
  </si>
  <si>
    <t>HD044881</t>
  </si>
  <si>
    <t>1, phạm ngọc thạch, phường sài gòn</t>
  </si>
  <si>
    <t>HD045073</t>
  </si>
  <si>
    <t xml:space="preserve">66/68, Phổ Quang, Phường 2 </t>
  </si>
  <si>
    <t>Tú Tú</t>
  </si>
  <si>
    <t>HD044867</t>
  </si>
  <si>
    <t>Aqua 2 vinhome bason</t>
  </si>
  <si>
    <t>at 18-08</t>
  </si>
  <si>
    <t>AT 19-08</t>
  </si>
  <si>
    <t>19-08-2026</t>
  </si>
  <si>
    <t>Minh Hai (Zalo: Shirley Woo)</t>
  </si>
  <si>
    <t>17 Street No. 13, Binh Hung Hoa Ward</t>
  </si>
  <si>
    <t>Tuyết Nhi ZL2</t>
  </si>
  <si>
    <t>170F Tân Hoà Đông f14</t>
  </si>
  <si>
    <t>Mi Ni</t>
  </si>
  <si>
    <t>HD045383</t>
  </si>
  <si>
    <t>536/32/23 âu cơ</t>
  </si>
  <si>
    <t>Hoài Phúc</t>
  </si>
  <si>
    <t>HD045284</t>
  </si>
  <si>
    <t>52, đường 24, P. Long Bình</t>
  </si>
  <si>
    <t>Phương Dương</t>
  </si>
  <si>
    <t>HD045260</t>
  </si>
  <si>
    <t>993 quốc lộ 1a khu phố 6, p. bình trị đông a</t>
  </si>
  <si>
    <t>Tram Nguyen</t>
  </si>
  <si>
    <t>HD045224</t>
  </si>
  <si>
    <t>1472 võ văn kiệt p3</t>
  </si>
  <si>
    <t>Minh Tú</t>
  </si>
  <si>
    <t>HD045276</t>
  </si>
  <si>
    <t>1002 tạ quang bửu p6 - chung cư Pegasuite 1</t>
  </si>
  <si>
    <t>Xuyên Huỳnh</t>
  </si>
  <si>
    <t>HD045297</t>
  </si>
  <si>
    <t>Lk7-05 valora Bình hưng</t>
  </si>
  <si>
    <t>A Tuấn fb Nhi Phạm</t>
  </si>
  <si>
    <t>HD045141</t>
  </si>
  <si>
    <t>12 đường D5, P. Phước Long</t>
  </si>
  <si>
    <t>Bé Oanh</t>
  </si>
  <si>
    <t>HD044964</t>
  </si>
  <si>
    <t>Số 78, đường số 7, binh hưng hoà</t>
  </si>
  <si>
    <t>Trang Miuu</t>
  </si>
  <si>
    <t>HD045197</t>
  </si>
  <si>
    <t>S602 - Vinhome grandpark</t>
  </si>
  <si>
    <t>Aren Pre</t>
  </si>
  <si>
    <t>HD045338</t>
  </si>
  <si>
    <t>5B/41 Võ Trứ p9. Đi vào hẻm 441 Hưng Phú đến ngã ba quẹo phải căn nhà thứ 2 bên tay phải cổng màu đen</t>
  </si>
  <si>
    <t>Phương Trang</t>
  </si>
  <si>
    <t>HD045218</t>
  </si>
  <si>
    <t>50 phan đình phùng</t>
  </si>
  <si>
    <t>Phuong Truong</t>
  </si>
  <si>
    <t>Trâm Tú Trinh ( Malaysia )</t>
  </si>
  <si>
    <t>HD045216</t>
  </si>
  <si>
    <t>An</t>
  </si>
  <si>
    <t>HD045200</t>
  </si>
  <si>
    <t>485 phạm văn chiêu, P An hội đông</t>
  </si>
  <si>
    <t>duy di ( nhận hộ trang phạm)</t>
  </si>
  <si>
    <t>HD045214</t>
  </si>
  <si>
    <t>HD045175</t>
  </si>
  <si>
    <t>HD045301</t>
  </si>
  <si>
    <t>My Sel</t>
  </si>
  <si>
    <t>HD045081</t>
  </si>
  <si>
    <t>157B phan van trị p14</t>
  </si>
  <si>
    <t>kh ck shop 690k</t>
  </si>
  <si>
    <t>HD045143</t>
  </si>
  <si>
    <t>Thương</t>
  </si>
  <si>
    <t>HD045221</t>
  </si>
  <si>
    <t>494/1/19 Lê Quang Định, p1</t>
  </si>
  <si>
    <t>Maive Nguyen</t>
  </si>
  <si>
    <t>HD045402</t>
  </si>
  <si>
    <t>Số 101 Đường A4, Phường Bảy Hiền</t>
  </si>
  <si>
    <t>Duyen Dau</t>
  </si>
  <si>
    <t>HD045187</t>
  </si>
  <si>
    <t>Chung cư lô A (cầu thang số 4), 43R Hồ văn huê, phường 9</t>
  </si>
  <si>
    <t>Thảo My Đỗ</t>
  </si>
  <si>
    <t>HD045080</t>
  </si>
  <si>
    <t>623/20/38 cmt8 f15</t>
  </si>
  <si>
    <t>Na</t>
  </si>
  <si>
    <t>HD045226</t>
  </si>
  <si>
    <t>96a đường 79 tân quy</t>
  </si>
  <si>
    <t>Huynh Ngan</t>
  </si>
  <si>
    <t>HD045390</t>
  </si>
  <si>
    <t>36/69 trần thị liền, ấp 68</t>
  </si>
  <si>
    <t>HD045128</t>
  </si>
  <si>
    <t>Thanh Le</t>
  </si>
  <si>
    <t>HD045345</t>
  </si>
  <si>
    <t>604 võ văn kiệt p cầu kho</t>
  </si>
  <si>
    <t>nguyễn sương</t>
  </si>
  <si>
    <t>HD045377</t>
  </si>
  <si>
    <t>1135/17/64 huỳnh tấn phát, phường phú thuận</t>
  </si>
  <si>
    <t>An fb Hạnh Xuân</t>
  </si>
  <si>
    <t>HD045278</t>
  </si>
  <si>
    <t>The Horizon Block A, phường Tân Phú</t>
  </si>
  <si>
    <t>thảo fb thanh ngọc</t>
  </si>
  <si>
    <t>HD045264</t>
  </si>
  <si>
    <t>Chung cư Eco Green ( block I ) 107 nguyễn văn Linh, P. Tân Thuận</t>
  </si>
  <si>
    <t>Ngan Huynh</t>
  </si>
  <si>
    <t>HD045322</t>
  </si>
  <si>
    <t>167 phạm ngũ lão</t>
  </si>
  <si>
    <t>Mone Ng</t>
  </si>
  <si>
    <t>HD045378</t>
  </si>
  <si>
    <t>Sky Garden 2 p tân phong PMH</t>
  </si>
  <si>
    <t>Nguyễn Nhị Quỳnh</t>
  </si>
  <si>
    <t>HD045330</t>
  </si>
  <si>
    <t>28/13 Trần Thiện Chanh, phường Hòa Hưng</t>
  </si>
  <si>
    <t>Thúy Nga</t>
  </si>
  <si>
    <t>HD045312</t>
  </si>
  <si>
    <t>45a đường 3/2 phường 10</t>
  </si>
  <si>
    <t>Chế Vân</t>
  </si>
  <si>
    <t>HD045168</t>
  </si>
  <si>
    <t>140b nguyễn văn trỗi p8</t>
  </si>
  <si>
    <t>Nguyễn Thị Cúc</t>
  </si>
  <si>
    <t>HD045158</t>
  </si>
  <si>
    <t>36/4 cù lao</t>
  </si>
  <si>
    <t>Ly Ly</t>
  </si>
  <si>
    <t>HD045326</t>
  </si>
  <si>
    <t>212b/d91 nguyen trai, nguyên cư trinh</t>
  </si>
  <si>
    <t>at 19-08</t>
  </si>
  <si>
    <t>Kim Ngọc</t>
  </si>
  <si>
    <t>HD045623</t>
  </si>
  <si>
    <t>36/15/69 bùi tư toàn kp4, phường an lạc</t>
  </si>
  <si>
    <t>AT 20-08</t>
  </si>
  <si>
    <t>20-08-2026</t>
  </si>
  <si>
    <t>Nguyễn Minh Anh</t>
  </si>
  <si>
    <t>HD045630</t>
  </si>
  <si>
    <t>1 D đường 18 Phước bình</t>
  </si>
  <si>
    <t>Quy</t>
  </si>
  <si>
    <t>HD045491</t>
  </si>
  <si>
    <t>S5.02 Vinhome Grandpark, Đường Nguyễn Xiển, Phường Long Thạnh Mỹ</t>
  </si>
  <si>
    <t>Thu Quyên</t>
  </si>
  <si>
    <t>HD045648</t>
  </si>
  <si>
    <t>33 Liên Khu 16-18 Phường Bình Trị Đông</t>
  </si>
  <si>
    <t>Quyên</t>
  </si>
  <si>
    <t>HD045493</t>
  </si>
  <si>
    <t>Block 2 chung cư imperial place 633 kinh dương vương an lạc</t>
  </si>
  <si>
    <t>Như Laii</t>
  </si>
  <si>
    <t>HD045459</t>
  </si>
  <si>
    <t>B1/16 đường liên ấp 123, xã Tân Vĩnh Lộc</t>
  </si>
  <si>
    <t>HD045433</t>
  </si>
  <si>
    <t>người nhận nhi</t>
  </si>
  <si>
    <t>HD045404</t>
  </si>
  <si>
    <t>1226 nguyên cửu phú ấp 1 tân kiên</t>
  </si>
  <si>
    <t>Lê Ngọc Quỳnh Châu</t>
  </si>
  <si>
    <t>HD045571</t>
  </si>
  <si>
    <t>103/12 đường TL43 KP.33 P. Thạnh Lộc</t>
  </si>
  <si>
    <t>Huyền Lee</t>
  </si>
  <si>
    <t>HD045529</t>
  </si>
  <si>
    <t>69/8 Đường số 3,P Bình Hưng Hoà</t>
  </si>
  <si>
    <t>Vân Anh</t>
  </si>
  <si>
    <t>HD045379</t>
  </si>
  <si>
    <t>115/6 tân thới nhất 1</t>
  </si>
  <si>
    <t>NT Hải Yến</t>
  </si>
  <si>
    <t>I32 khu dân cư Tân tiến, Tân Thới Hiệp</t>
  </si>
  <si>
    <t>BN13350</t>
  </si>
  <si>
    <t>HD045456</t>
  </si>
  <si>
    <t>Việt Kiều</t>
  </si>
  <si>
    <t>HD045490</t>
  </si>
  <si>
    <t>62 đường b4 kđt sala</t>
  </si>
  <si>
    <t>Linh Pham</t>
  </si>
  <si>
    <t>HD045627</t>
  </si>
  <si>
    <t>304/66/3E bùi đình tuý, p12</t>
  </si>
  <si>
    <t>HD045347</t>
  </si>
  <si>
    <t>146 nguyễn văn hướng, an khánh ( nhà số f3 )</t>
  </si>
  <si>
    <t>Anh Phượng</t>
  </si>
  <si>
    <t>HD045387</t>
  </si>
  <si>
    <t>248/27 p8 nguyễn văn khối</t>
  </si>
  <si>
    <t>HD045653</t>
  </si>
  <si>
    <t>Người Nhận BN8681_inst: zherer_c</t>
  </si>
  <si>
    <t>HD045339</t>
  </si>
  <si>
    <t>Hoàng Thân ( Cy Cy )</t>
  </si>
  <si>
    <t>HD045586</t>
  </si>
  <si>
    <t>1/2/3B Linh Đông, KP7, P.Linh Đông</t>
  </si>
  <si>
    <t>Trần Trúc</t>
  </si>
  <si>
    <t>HD045587</t>
  </si>
  <si>
    <t>The Estella tháp 3B đường 25, p. An Phú</t>
  </si>
  <si>
    <t>Trần Loan</t>
  </si>
  <si>
    <t>HD045502</t>
  </si>
  <si>
    <t>Ship giúp e qua 448/56/12 phan huy ích, p12</t>
  </si>
  <si>
    <t>NGUYÊN NGUYÊN</t>
  </si>
  <si>
    <t>12 TÔN ĐẢN P13</t>
  </si>
  <si>
    <t>Lê Thùy Linh</t>
  </si>
  <si>
    <t>HD045632</t>
  </si>
  <si>
    <t>Chị Kimmy</t>
  </si>
  <si>
    <t>HD045342</t>
  </si>
  <si>
    <t>215 Nguyễn Văn Thủ</t>
  </si>
  <si>
    <t>Chi Miu</t>
  </si>
  <si>
    <t>HD045363</t>
  </si>
  <si>
    <t>cc Riviera point p. tân phú</t>
  </si>
  <si>
    <t>Lily Ham</t>
  </si>
  <si>
    <t>HD045635</t>
  </si>
  <si>
    <t>Ngọc Eli</t>
  </si>
  <si>
    <t>HD045641</t>
  </si>
  <si>
    <t>243/41 Hoàng Diệu, P8</t>
  </si>
  <si>
    <t>Xuân Hương</t>
  </si>
  <si>
    <t>HD045415</t>
  </si>
  <si>
    <t>Chung cư topaz Elie phoenix 1B, phường chánh hưng</t>
  </si>
  <si>
    <t>Trâm</t>
  </si>
  <si>
    <t>HD045600</t>
  </si>
  <si>
    <t>132 bến vân đồn p9</t>
  </si>
  <si>
    <t>HD045610</t>
  </si>
  <si>
    <t>HD045642</t>
  </si>
  <si>
    <t>Thanh Hà Phạm</t>
  </si>
  <si>
    <t>HD045504</t>
  </si>
  <si>
    <t>29/15 yên thế, phường tân sơn hòa</t>
  </si>
  <si>
    <t>Phương Quế</t>
  </si>
  <si>
    <t>HD045628</t>
  </si>
  <si>
    <t>205 Lý Thường Kiệt, Phường 7 (cửa Hàng Cao Huấn nằm mặt Nhật tảo)</t>
  </si>
  <si>
    <t>Sorinna items PhnomPenh ( Meng Kheang customer )</t>
  </si>
  <si>
    <t>HD045421</t>
  </si>
  <si>
    <t>301 phạm ngũ lão</t>
  </si>
  <si>
    <t>Thùy Dung</t>
  </si>
  <si>
    <t>HD045612</t>
  </si>
  <si>
    <t>Chung cư Hà Đô iris3, đường 3/2, phường 12</t>
  </si>
  <si>
    <t>Not Dechatorn</t>
  </si>
  <si>
    <t>HD045596</t>
  </si>
  <si>
    <t>7/1 Hồ Biểu Chánh, Phú Nhuận</t>
  </si>
  <si>
    <t>HD045478</t>
  </si>
  <si>
    <t>207 Đề Thám, Phường Phạm Ngũ Lão</t>
  </si>
  <si>
    <t>HD045425</t>
  </si>
  <si>
    <t>Diễm My</t>
  </si>
  <si>
    <t>HD045434</t>
  </si>
  <si>
    <t>82 lý phục man, phường bình thuận (giao cho phòng 714)</t>
  </si>
  <si>
    <t>kh ck shop 500k</t>
  </si>
  <si>
    <t>at 20-08</t>
  </si>
  <si>
    <t>HD045950</t>
  </si>
  <si>
    <t>33 Liên Khu 16-18, phường Bình Trị Đông</t>
  </si>
  <si>
    <t>AT 21-08</t>
  </si>
  <si>
    <t>21-08-2026</t>
  </si>
  <si>
    <t>Thu Tâm</t>
  </si>
  <si>
    <t>HD045699</t>
  </si>
  <si>
    <t>688/23/1C HƯƠNG LỘ 2, phường BÌNH TRỊ ĐÔNG A</t>
  </si>
  <si>
    <t>Nguyễn Huyền Trang</t>
  </si>
  <si>
    <t>HD045672</t>
  </si>
  <si>
    <t>67 duong 14 khu lovera khang điền phong phú 4</t>
  </si>
  <si>
    <t>BOB-Thida Nach</t>
  </si>
  <si>
    <t>HD045847</t>
  </si>
  <si>
    <t>437/29 Kinh Dương Vương - An Lạc</t>
  </si>
  <si>
    <t>Mỹ Linh Đinh Nguyễn</t>
  </si>
  <si>
    <t>HD044874</t>
  </si>
  <si>
    <t>Toà S8.03 Origami, Vinhomes Grand Park, Long Bình</t>
  </si>
  <si>
    <t>kh ck shop 1080k</t>
  </si>
  <si>
    <t>Thảo Áa</t>
  </si>
  <si>
    <t>HD045698</t>
  </si>
  <si>
    <t>349 tân túc chung cư an giao b1</t>
  </si>
  <si>
    <t>Trần Mai</t>
  </si>
  <si>
    <t>HD045725</t>
  </si>
  <si>
    <t>Pé An</t>
  </si>
  <si>
    <t>HD045880</t>
  </si>
  <si>
    <t>688/23/1c hương lộ 2, phường trị đông a</t>
  </si>
  <si>
    <t>19/1/1 Lý Đạo Thành, F16</t>
  </si>
  <si>
    <t>đơn chuyển AT 21-08</t>
  </si>
  <si>
    <t>W3505</t>
  </si>
  <si>
    <t>HD045872</t>
  </si>
  <si>
    <t>624 Lê thịriêng, thới an</t>
  </si>
  <si>
    <t>HD045764</t>
  </si>
  <si>
    <t>Landmark 4, P22</t>
  </si>
  <si>
    <t>HD045827</t>
  </si>
  <si>
    <t>Vân Vân Ori</t>
  </si>
  <si>
    <t>HD045932</t>
  </si>
  <si>
    <t>160/25/13 Huỳnh thị hai, phường Trung Mỹ Tây</t>
  </si>
  <si>
    <t>Marking : C9-YY-LUWE XIN HUI</t>
  </si>
  <si>
    <t>HD045568</t>
  </si>
  <si>
    <t>457 Phạm Văn Bạch, Phường 15</t>
  </si>
  <si>
    <t>HD045896</t>
  </si>
  <si>
    <t>Trinh Vũ fb Jessica Nguyen</t>
  </si>
  <si>
    <t>HD045979</t>
  </si>
  <si>
    <t>93/15 Phạm Phú Thứ, Phường 11</t>
  </si>
  <si>
    <t>Bup Vuong</t>
  </si>
  <si>
    <t>HD045953</t>
  </si>
  <si>
    <t>134 linh đông</t>
  </si>
  <si>
    <t>Tina Nguyen</t>
  </si>
  <si>
    <t>HD045889</t>
  </si>
  <si>
    <t>61/6 Bình Giã, phường Tân Bình</t>
  </si>
  <si>
    <t>Kawalin</t>
  </si>
  <si>
    <t>HD045992</t>
  </si>
  <si>
    <t>Thu Thiem Zeit River tower 1 number T1.08.03, Floor 08, Thu thiem</t>
  </si>
  <si>
    <t>HD044975</t>
  </si>
  <si>
    <t>W24137 (inst honeyfai_)</t>
  </si>
  <si>
    <t>HD045744</t>
  </si>
  <si>
    <t>624 Lê Thị Riêng, Thới An</t>
  </si>
  <si>
    <t>Thảo</t>
  </si>
  <si>
    <t>HD045791</t>
  </si>
  <si>
    <t>688/63 Đường Lê Đức Thọ, P.15</t>
  </si>
  <si>
    <t>Ngọc Thủy (zalo)</t>
  </si>
  <si>
    <t>HD045909</t>
  </si>
  <si>
    <t>96/19 Đường Số 1, Phường Hạnh Thông, (Phường 1 - cũ)</t>
  </si>
  <si>
    <t>173 phan huy ích . Phường tân sơn</t>
  </si>
  <si>
    <t>valencia</t>
  </si>
  <si>
    <t>HD045233</t>
  </si>
  <si>
    <t>nicecy hotel ,271 Lê Thánh Tôn, Bến Thành</t>
  </si>
  <si>
    <t>Nguyễn Hoàng Bảo An</t>
  </si>
  <si>
    <t>HD045882</t>
  </si>
  <si>
    <t>Chung cư milendium 132 bến vân đồn</t>
  </si>
  <si>
    <t>HD045942</t>
  </si>
  <si>
    <t>Saigon royal 9 ng trường tộ</t>
  </si>
  <si>
    <t>HD045723</t>
  </si>
  <si>
    <t>kh ck shop 805k</t>
  </si>
  <si>
    <t>HD045937</t>
  </si>
  <si>
    <t>Vy</t>
  </si>
  <si>
    <t>HD045941</t>
  </si>
  <si>
    <t>103 Bạch Đằng P2</t>
  </si>
  <si>
    <t>Dinh Luong</t>
  </si>
  <si>
    <t>HD045934</t>
  </si>
  <si>
    <t>246 nguyễn duy dương f4</t>
  </si>
  <si>
    <t>Gucci Ho</t>
  </si>
  <si>
    <t>HD045933</t>
  </si>
  <si>
    <t>Chung cư sky Center, lock B, 5b phổ quang, phường 2</t>
  </si>
  <si>
    <t>Ngọc Dung</t>
  </si>
  <si>
    <t>HD045971</t>
  </si>
  <si>
    <t>2581/79a huỳnh tấn phát</t>
  </si>
  <si>
    <t>HD045975</t>
  </si>
  <si>
    <t>319/a13 lý thường kiệt</t>
  </si>
  <si>
    <t>Ciaaa</t>
  </si>
  <si>
    <t>HD045646</t>
  </si>
  <si>
    <t>38b ecogreen block D nguyễn văn linh</t>
  </si>
  <si>
    <t>kh ck shop 820k</t>
  </si>
  <si>
    <t>at 21-08</t>
  </si>
  <si>
    <t>Loan Lucy</t>
  </si>
  <si>
    <t>HD046187</t>
  </si>
  <si>
    <t>92 hậu giang, P bình tây</t>
  </si>
  <si>
    <t>AT 22-08</t>
  </si>
  <si>
    <t>22-08-2026</t>
  </si>
  <si>
    <t>trâm</t>
  </si>
  <si>
    <t>HD046294</t>
  </si>
  <si>
    <t>toà Be3, vinhome grand park , nguyễn xiển, p.long bình</t>
  </si>
  <si>
    <t>Tiên trương</t>
  </si>
  <si>
    <t>HD046090</t>
  </si>
  <si>
    <t>145N đội cung, p8</t>
  </si>
  <si>
    <t>HSM May Meli</t>
  </si>
  <si>
    <t>HD046175</t>
  </si>
  <si>
    <t>177c Đường Số 1, Khu Phố 5</t>
  </si>
  <si>
    <t>Nhật Linh</t>
  </si>
  <si>
    <t>HD045781</t>
  </si>
  <si>
    <t>688/23/1C Hương Lộ 2, phường Bình Trị Đông A</t>
  </si>
  <si>
    <t>VTS-25885MUN (inst quietlyshee_)</t>
  </si>
  <si>
    <t>HD045869</t>
  </si>
  <si>
    <t>129 Đ. Trần Đại Nghĩa, Ấp 2, Tân Kiên</t>
  </si>
  <si>
    <t>Duyen Park</t>
  </si>
  <si>
    <t>HD046186</t>
  </si>
  <si>
    <t>NGÂN HÀ</t>
  </si>
  <si>
    <t>40 đường 53 p10</t>
  </si>
  <si>
    <t>HD046102</t>
  </si>
  <si>
    <t>HD046275</t>
  </si>
  <si>
    <t>MAI (Nguyễn Uyên)</t>
  </si>
  <si>
    <t>HD046345</t>
  </si>
  <si>
    <t>Homyland 2, 307 Nguyễn Duy Trinh, phường Bình Trưng</t>
  </si>
  <si>
    <t>HD046042</t>
  </si>
  <si>
    <t>Người Nhận BN2732</t>
  </si>
  <si>
    <t>HD046118</t>
  </si>
  <si>
    <t>Hoa Kieu</t>
  </si>
  <si>
    <t>HD046200</t>
  </si>
  <si>
    <t>Số 5 bình lợi, phường 13</t>
  </si>
  <si>
    <t>Vũ Thị Mỹ Đức</t>
  </si>
  <si>
    <t>HD046194</t>
  </si>
  <si>
    <t>364/27 đường Dương Quảng Hàm, phường An Nhơn</t>
  </si>
  <si>
    <t>LUCKY</t>
  </si>
  <si>
    <t>22 TÂN THỚI NHẤT 1B, ĐÔNG HƯNG THUẬN (P. TÂN THỚI NHẤT CŨ)</t>
  </si>
  <si>
    <t>PACHARA (BN6994)</t>
  </si>
  <si>
    <t>163 Đường Trường Thị Hoa, phường Tân Thới Hiệp</t>
  </si>
  <si>
    <t>Myle Pham</t>
  </si>
  <si>
    <t>HD046129</t>
  </si>
  <si>
    <t>88/29 đường 17, phường Tân thuận Tây</t>
  </si>
  <si>
    <t>HD046134</t>
  </si>
  <si>
    <t>Mộc Mộc</t>
  </si>
  <si>
    <t>HD046313</t>
  </si>
  <si>
    <t>55 đường số 6, Phường TÂN HƯNG ( KHU HIM LAM )</t>
  </si>
  <si>
    <t>HD046184</t>
  </si>
  <si>
    <t>Lê thị kim Huệ - fb Ngọc Trinh</t>
  </si>
  <si>
    <t>HD046310</t>
  </si>
  <si>
    <t>29 Nguyễn văn mại . Phường 4</t>
  </si>
  <si>
    <t>HD046083</t>
  </si>
  <si>
    <t>HD046130</t>
  </si>
  <si>
    <t>Thanh Thư</t>
  </si>
  <si>
    <t>HD046196</t>
  </si>
  <si>
    <t>611/4c điện biên phủ. bàn cờ</t>
  </si>
  <si>
    <t>Mini Dang fb Bao Ngọc</t>
  </si>
  <si>
    <t>HD046137</t>
  </si>
  <si>
    <t>toà nhà Vietstay Apartment ( cạnh tmv Mailisa ) 84 Huỳnh Văn Bánh, p15</t>
  </si>
  <si>
    <t>HD046099</t>
  </si>
  <si>
    <t>269 Âu Dương Lân, Chánh Hưng</t>
  </si>
  <si>
    <t>Trang Nhung</t>
  </si>
  <si>
    <t>HD046040</t>
  </si>
  <si>
    <t>Cc Delasol thap c</t>
  </si>
  <si>
    <t>Khánh Như</t>
  </si>
  <si>
    <t>HD045898</t>
  </si>
  <si>
    <t>220/22 hồ văn huê, đức nhuận</t>
  </si>
  <si>
    <t>Mickey Mey</t>
  </si>
  <si>
    <t>HD046312</t>
  </si>
  <si>
    <t>384 nhật tảo diên hồng</t>
  </si>
  <si>
    <t>at 22-08</t>
  </si>
  <si>
    <t>Mnh Thuu</t>
  </si>
  <si>
    <t>HD046537</t>
  </si>
  <si>
    <t>124/31/18/3 đường bình trị đông phường bình trị đông</t>
  </si>
  <si>
    <t>AT 24-08</t>
  </si>
  <si>
    <t>24-08-2026</t>
  </si>
  <si>
    <t>Lan fb Kim Lee</t>
  </si>
  <si>
    <t>HD046432</t>
  </si>
  <si>
    <t>3/44 ấp nhị tân, xã tân thới nhì</t>
  </si>
  <si>
    <t>Phạm Thu Phương</t>
  </si>
  <si>
    <t>HD047215</t>
  </si>
  <si>
    <t>385b/6p hậu Giang p11</t>
  </si>
  <si>
    <t>MC Sanita Mao (MV01908)</t>
  </si>
  <si>
    <t>HD046467</t>
  </si>
  <si>
    <t>315/18/6 Nguyễn Thị Tú</t>
  </si>
  <si>
    <t>Thuy An Dao</t>
  </si>
  <si>
    <t>HD044873</t>
  </si>
  <si>
    <t>Sảnh B2 chung cư Emerald phường Sơn Kỳ</t>
  </si>
  <si>
    <t>Na (Fb Cana Nguyên)</t>
  </si>
  <si>
    <t>HD047221</t>
  </si>
  <si>
    <t>230/28/8 Mã Lò - Bình Trị Đông A</t>
  </si>
  <si>
    <t>Tuyết Ngân</t>
  </si>
  <si>
    <t>HD046714</t>
  </si>
  <si>
    <t>Akari City - AK2.(14.04) - 77 Đ. Võ Văn Kiệt, An Lạc</t>
  </si>
  <si>
    <t>MeyMey EV28641</t>
  </si>
  <si>
    <t>HD047044</t>
  </si>
  <si>
    <t>315/18/6 Nhuyễn Thị Tú Bình Hưng Hòa B</t>
  </si>
  <si>
    <t>VTS-52138TLM (inst meijiao.ling)</t>
  </si>
  <si>
    <t>HD046847</t>
  </si>
  <si>
    <t>129 Đ. Trần Đại Nghĩa, Ấp 2, Xã Tân Kiên</t>
  </si>
  <si>
    <t>Đinh Thiên Kim</t>
  </si>
  <si>
    <t>HD046616</t>
  </si>
  <si>
    <t>35 Nguyễn trọng trí phường an lạc A</t>
  </si>
  <si>
    <t>Pé Thỏ</t>
  </si>
  <si>
    <t>HD046731</t>
  </si>
  <si>
    <t>547-549 tạ quang bửu, phường chánh hưng, Topaz Elite – Block Phoenix 1B</t>
  </si>
  <si>
    <t>HD046691</t>
  </si>
  <si>
    <t>Phạm Điệp</t>
  </si>
  <si>
    <t>HD046978</t>
  </si>
  <si>
    <t>73 nguyễn xí</t>
  </si>
  <si>
    <t>Kim Huyền (website)</t>
  </si>
  <si>
    <t>HD046498</t>
  </si>
  <si>
    <t>02 đoàn kết, phường bình thọ</t>
  </si>
  <si>
    <t>HD046430</t>
  </si>
  <si>
    <t>Capynehaha Haha</t>
  </si>
  <si>
    <t>HD046500</t>
  </si>
  <si>
    <t>129 bùi tá hán,bình trưng</t>
  </si>
  <si>
    <t>HD046663</t>
  </si>
  <si>
    <t>chung cư 8x plus số 163A trường chinh, Đông Hưng Thuận</t>
  </si>
  <si>
    <t>W3508</t>
  </si>
  <si>
    <t>HD046708</t>
  </si>
  <si>
    <t>624 Lê thị riêng, thới an</t>
  </si>
  <si>
    <t>Nguyễn Thùy Vi</t>
  </si>
  <si>
    <t>HD046895</t>
  </si>
  <si>
    <t>Toà Crest, N11 Metropole Thủ Thiêm, P An Khánh</t>
  </si>
  <si>
    <t>Trần Thị Thanh Thu</t>
  </si>
  <si>
    <t>HD046990</t>
  </si>
  <si>
    <t>1096 Quang Trung</t>
  </si>
  <si>
    <t>Tea Gao</t>
  </si>
  <si>
    <t>HD047065</t>
  </si>
  <si>
    <t>90 Nguyễn Hữu Cảnh, P22, Toà Opal</t>
  </si>
  <si>
    <t>Angela Sam</t>
  </si>
  <si>
    <t>HD046994</t>
  </si>
  <si>
    <t>17 mai chí thọ chung cư newcity toà venice3</t>
  </si>
  <si>
    <t>Tâm Vũ</t>
  </si>
  <si>
    <t>HD047010</t>
  </si>
  <si>
    <t>80/38 đường số 4, khu phố 32, phường Tam Binh</t>
  </si>
  <si>
    <t>Nguyễn Hữu Thắng</t>
  </si>
  <si>
    <t>HD046670</t>
  </si>
  <si>
    <t>561/3 Phạm Văn Chiêu, phường An Hội Đông</t>
  </si>
  <si>
    <t>HD047038</t>
  </si>
  <si>
    <t>67 mai chí thọ Lengxington LB 25.05 phường Bình Trưng</t>
  </si>
  <si>
    <t>Trang Tran NJ</t>
  </si>
  <si>
    <t>Gẩm</t>
  </si>
  <si>
    <t>Số 22, Đường Tân Thới Nhất 1b, Phường Tân Thới Nhất</t>
  </si>
  <si>
    <t>YẾN NHI</t>
  </si>
  <si>
    <t>HD047355</t>
  </si>
  <si>
    <t>79/5 bùi quang là, p5</t>
  </si>
  <si>
    <t>Hong Cuc sale</t>
  </si>
  <si>
    <t>HD047353</t>
  </si>
  <si>
    <t>68/64/3/4 đường số 5 phường linh xuân</t>
  </si>
  <si>
    <t>Tâm Như SALE</t>
  </si>
  <si>
    <t>HD047391</t>
  </si>
  <si>
    <t>33 Võ Văn Ngân, P.Linh Chiểu</t>
  </si>
  <si>
    <t>Nguyen Tra My</t>
  </si>
  <si>
    <t>HD047402</t>
  </si>
  <si>
    <t>68/14 nguyễn tư giãn p12</t>
  </si>
  <si>
    <t>Irine Intara</t>
  </si>
  <si>
    <t>HD046681</t>
  </si>
  <si>
    <t>55 Cách Mạng Tháng Tám, Bến Thành</t>
  </si>
  <si>
    <t>Luu Quynh Trang</t>
  </si>
  <si>
    <t>HD047057</t>
  </si>
  <si>
    <t>867 nội khu nam thông 2D, phường tân phú</t>
  </si>
  <si>
    <t>chị Bình</t>
  </si>
  <si>
    <t>HD047052</t>
  </si>
  <si>
    <t>55/30-23 Trần Đình Xu</t>
  </si>
  <si>
    <t>Bích Phượng</t>
  </si>
  <si>
    <t>HD046950</t>
  </si>
  <si>
    <t>Block M1, Sảnh B, Chung cư Jamona city, Đào Trí, Phú Thuận</t>
  </si>
  <si>
    <t>Thu Ly</t>
  </si>
  <si>
    <t>HD047128</t>
  </si>
  <si>
    <t>158/1a1 bến Vân đồn p Khánh hội</t>
  </si>
  <si>
    <t>Liễu ( fb Lina Nguyễn)</t>
  </si>
  <si>
    <t>HD046424</t>
  </si>
  <si>
    <t>261C Nguyễn Văn Trỗi, P10</t>
  </si>
  <si>
    <t>phuong phuong (inst bedaunee)</t>
  </si>
  <si>
    <t>HD046485</t>
  </si>
  <si>
    <t>479 trần xuân soạn, phường tân kiểng</t>
  </si>
  <si>
    <t>Nguyễn Cẩm Tú</t>
  </si>
  <si>
    <t>HD046949</t>
  </si>
  <si>
    <t>801 trần hưng đạo, chợ quán</t>
  </si>
  <si>
    <t>Quach Kim Hồng</t>
  </si>
  <si>
    <t>HD046499</t>
  </si>
  <si>
    <t>270/18 Huỳnh tấn Phát</t>
  </si>
  <si>
    <t>Lê Tuyết Minh sale</t>
  </si>
  <si>
    <t>HD047310</t>
  </si>
  <si>
    <t>12 Phước Hưng, P.7</t>
  </si>
  <si>
    <t>Phương Thảo</t>
  </si>
  <si>
    <t>HD047382</t>
  </si>
  <si>
    <t>504 Nguyễn Tất Thành, phường 18 chung cư Riva Park</t>
  </si>
  <si>
    <t>at 24-08</t>
  </si>
  <si>
    <t>Honganh Pham SALE</t>
  </si>
  <si>
    <t>HD047870</t>
  </si>
  <si>
    <t>100/33/8 Lê văn duyệt p1</t>
  </si>
  <si>
    <t>Nguyễn Huế SALE</t>
  </si>
  <si>
    <t>HD047515</t>
  </si>
  <si>
    <t>326 nguyễn văn lạc, p19</t>
  </si>
  <si>
    <t>HD047790</t>
  </si>
  <si>
    <t>Dương Thư sale</t>
  </si>
  <si>
    <t>HD047529</t>
  </si>
  <si>
    <t>66/11C Bình Lợi P13</t>
  </si>
  <si>
    <t>Ju Nguyen</t>
  </si>
  <si>
    <t>HD047434</t>
  </si>
  <si>
    <t>69 đường số 29 Bình Trị Đông B</t>
  </si>
  <si>
    <t>Mai Nguyen sale</t>
  </si>
  <si>
    <t>HD047513</t>
  </si>
  <si>
    <t>Ship số 76 đường 52ap khu văn minh phường an phú</t>
  </si>
  <si>
    <t>Quynh Nguyen</t>
  </si>
  <si>
    <t>HD047563</t>
  </si>
  <si>
    <t>61 kha vạn cân P hiệp bình chánh</t>
  </si>
  <si>
    <t>Nguyễn Hàn Đan Anh sale</t>
  </si>
  <si>
    <t>HD047396</t>
  </si>
  <si>
    <t>84/3B Nguyễn Văn Khôi</t>
  </si>
  <si>
    <t>HD047303</t>
  </si>
  <si>
    <t>Toà Crest, N11 Metropole Thủ Thiêm, p An Khánh</t>
  </si>
  <si>
    <t>Kính Vũ</t>
  </si>
  <si>
    <t>HD047889</t>
  </si>
  <si>
    <t>Aqua1, bason</t>
  </si>
  <si>
    <t>Nguyễn Lê Tường Vi</t>
  </si>
  <si>
    <t>HD047312</t>
  </si>
  <si>
    <t>35/75/10 cao lỗ, p4</t>
  </si>
  <si>
    <t>Dao Bui SAlE</t>
  </si>
  <si>
    <t>HD047505</t>
  </si>
  <si>
    <t>78/16/4E Nguyễn Văn Khôi, phường 11</t>
  </si>
  <si>
    <t>Kim Thương</t>
  </si>
  <si>
    <t>HD047530</t>
  </si>
  <si>
    <t>212A trần hưng đạo phường nguyễn cư trinh</t>
  </si>
  <si>
    <t>Phụng Đỗ sale wed</t>
  </si>
  <si>
    <t>HD047463</t>
  </si>
  <si>
    <t>Nhà G lô N chung cư Bình Khánh</t>
  </si>
  <si>
    <t>Bảo Trâm (SALE)</t>
  </si>
  <si>
    <t>HD047584</t>
  </si>
  <si>
    <t>Bs15 Vinhome Grand Park,, Phường Long Bình</t>
  </si>
  <si>
    <t>Vân Vân sale</t>
  </si>
  <si>
    <t>HD047903</t>
  </si>
  <si>
    <t>100/12/21B ấp 3 xã đông thạnh</t>
  </si>
  <si>
    <t>Ngọc Tiền sale</t>
  </si>
  <si>
    <t>HD047579</t>
  </si>
  <si>
    <t>39 phạm văn ngôn phương an khánh</t>
  </si>
  <si>
    <t>Thanh Thảo sale</t>
  </si>
  <si>
    <t>HD047629</t>
  </si>
  <si>
    <t>1243 Hoàng Sa, Phường Tân Sơn Nhất</t>
  </si>
  <si>
    <t>Tiên Nguyễn sale</t>
  </si>
  <si>
    <t>HD047516</t>
  </si>
  <si>
    <t>351/16 Nơ Trang Long, phường Bình Lợi Trung (phường 13 cũ)</t>
  </si>
  <si>
    <t>Kim Anh sale</t>
  </si>
  <si>
    <t>HD047521</t>
  </si>
  <si>
    <t>110/55/22 đường số 30, P An Nhơn</t>
  </si>
  <si>
    <t>Dương Thúy SALE</t>
  </si>
  <si>
    <t>HD047440</t>
  </si>
  <si>
    <t>Số 8 bùi thị xuân P phạm ngũ lão</t>
  </si>
  <si>
    <t>Mimi</t>
  </si>
  <si>
    <t>HD047632</t>
  </si>
  <si>
    <t>toà M1 chung cư tôn thất thuyết, p1</t>
  </si>
  <si>
    <t>Thảo thảo</t>
  </si>
  <si>
    <t>HD047785</t>
  </si>
  <si>
    <t>77 võ văn kiệt an lạc</t>
  </si>
  <si>
    <t>Vũ Kiều Thúy Vân</t>
  </si>
  <si>
    <t>HD047474</t>
  </si>
  <si>
    <t>10/2b tăng nhơn phú</t>
  </si>
  <si>
    <t>Thao My Nguyen sale</t>
  </si>
  <si>
    <t>HD047611</t>
  </si>
  <si>
    <t>Chung cư Emerald, phường Sơn Kỳ</t>
  </si>
  <si>
    <t>ty-sale web</t>
  </si>
  <si>
    <t>HD047794</t>
  </si>
  <si>
    <t>Cc Picity lô c5 sảnh B căn 1.05 phường thới an</t>
  </si>
  <si>
    <t>Minh Tâm sale</t>
  </si>
  <si>
    <t>HD047718</t>
  </si>
  <si>
    <t>208 đuong 17</t>
  </si>
  <si>
    <t>Như Hòa SALE</t>
  </si>
  <si>
    <t>HD047518</t>
  </si>
  <si>
    <t>71/2 Chế Lan Viên, Tây Thạnh (Toà nhà 59)</t>
  </si>
  <si>
    <t>Nguyễn Ngọc</t>
  </si>
  <si>
    <t>HD047695</t>
  </si>
  <si>
    <t>460 Quang Trung, Phường 10</t>
  </si>
  <si>
    <t>Lâm Oanh sale</t>
  </si>
  <si>
    <t>HD047519</t>
  </si>
  <si>
    <t>102 phan văn hớn</t>
  </si>
  <si>
    <t>Bàn Thị Diễm</t>
  </si>
  <si>
    <t>HD047594</t>
  </si>
  <si>
    <t>489 Kha Vạn Cân Hiệp Bình</t>
  </si>
  <si>
    <t xml:space="preserve">Trân </t>
  </si>
  <si>
    <t>HD047455</t>
  </si>
  <si>
    <t>536/43/18/23 Âu Cơ P.10</t>
  </si>
  <si>
    <t>Minh Thư Sale</t>
  </si>
  <si>
    <t>HD047541</t>
  </si>
  <si>
    <t>29/2a đường 16, Linh Chiểu</t>
  </si>
  <si>
    <t>Dương Hằng</t>
  </si>
  <si>
    <t>HD047437</t>
  </si>
  <si>
    <t>Lk7-39 khu biệt thự sài gòn mystery phường Bình trưng Tây</t>
  </si>
  <si>
    <t>Ngọc Ánh</t>
  </si>
  <si>
    <t>HD047493</t>
  </si>
  <si>
    <t>1 ca văn thình, p11</t>
  </si>
  <si>
    <t>Tuyền-sale web</t>
  </si>
  <si>
    <t>HD047764</t>
  </si>
  <si>
    <t>Chung cư bình trị đông B, phường BTĐ B</t>
  </si>
  <si>
    <t>Yến Yến sale</t>
  </si>
  <si>
    <t>HD047357</t>
  </si>
  <si>
    <t>605 bình thời p10</t>
  </si>
  <si>
    <t>Ngân Mochi</t>
  </si>
  <si>
    <t>HD047488</t>
  </si>
  <si>
    <t>1011 cách mạng tháng 8 phường tân sơn nhất</t>
  </si>
  <si>
    <t>Trần Huỳnh Thương sale</t>
  </si>
  <si>
    <t>HD047722</t>
  </si>
  <si>
    <t>Số 6 Tân Mỹ phường Tân Mỹ</t>
  </si>
  <si>
    <t>Ni Trần (Minh Hải)</t>
  </si>
  <si>
    <t>HD047561</t>
  </si>
  <si>
    <t>Hàng Của Janie (zalo )</t>
  </si>
  <si>
    <t>HD047243</t>
  </si>
  <si>
    <t>007 Lô B Đường C6, C/c Tây Thạnh, P. Tây Thạnh</t>
  </si>
  <si>
    <t>Hồng Ngọc-sale</t>
  </si>
  <si>
    <t>HD047400</t>
  </si>
  <si>
    <t>200/21 bình lợi</t>
  </si>
  <si>
    <t>Thảo Nguyên</t>
  </si>
  <si>
    <t>HD047936</t>
  </si>
  <si>
    <t>23/36/63/16 Nguyễn Hữu Tiến, Tây Thạnh</t>
  </si>
  <si>
    <t>Hồng Mây sale</t>
  </si>
  <si>
    <t>HD047668</t>
  </si>
  <si>
    <t>Chung cư ecogreen block D phường Tân Thuận Tây</t>
  </si>
  <si>
    <t>Võ Thị Thanh Thúy sale</t>
  </si>
  <si>
    <t>HD047788</t>
  </si>
  <si>
    <t>75/3/2 Lê Văn Phan phường Phú Thọ Hòa</t>
  </si>
  <si>
    <t>Hoàng Yến sale</t>
  </si>
  <si>
    <t>HD047819</t>
  </si>
  <si>
    <t>350an dương vương</t>
  </si>
  <si>
    <t>HD047836</t>
  </si>
  <si>
    <t>1806/109/2 Huỳnh Tấn Phát</t>
  </si>
  <si>
    <t>Anh Thư-sale</t>
  </si>
  <si>
    <t>HD047354</t>
  </si>
  <si>
    <t>84/2 nguyễn thái bình bến thành</t>
  </si>
  <si>
    <t>Lê Ngọc Anh</t>
  </si>
  <si>
    <t>HD047583</t>
  </si>
  <si>
    <t>220/18 Hồ Văn Huê, Đức Nhuận</t>
  </si>
  <si>
    <t>An Nguyen</t>
  </si>
  <si>
    <t>HD047598</t>
  </si>
  <si>
    <t>118/17 Trần Quang Diệu, Nhiêu Lộc</t>
  </si>
  <si>
    <t>Hiếu Ngân sale</t>
  </si>
  <si>
    <t>HD047476</t>
  </si>
  <si>
    <t>17 đường 40, phường An Khánh</t>
  </si>
  <si>
    <t>Phuong Thanh</t>
  </si>
  <si>
    <t>HD047746</t>
  </si>
  <si>
    <t>214/16 bùi đình tuý, p. Bình Thạnh</t>
  </si>
  <si>
    <t>Thuy Tien</t>
  </si>
  <si>
    <t>HD047701</t>
  </si>
  <si>
    <t>Sảnh B2-B3 Chung Cư Diamond Brilliant Celadon City, phường Tân Sơn Nhì</t>
  </si>
  <si>
    <t>Hoàng Quỳnh Nhhư</t>
  </si>
  <si>
    <t>HD047422</t>
  </si>
  <si>
    <t>CC an gia skyline 89 lê thị chợ, phú thuận</t>
  </si>
  <si>
    <t>Hoàng Vi-sale</t>
  </si>
  <si>
    <t>HD047379</t>
  </si>
  <si>
    <t>Chung cư Sunview Town, Đường Gò Dưa, P. Hiệp Bình Phước</t>
  </si>
  <si>
    <t>Bùi Thị Yến Nhi sale</t>
  </si>
  <si>
    <t>HD047501</t>
  </si>
  <si>
    <t>390/19 quốc lộ 1a kp3 p bình hưng hoà b</t>
  </si>
  <si>
    <t>Diễm Mi</t>
  </si>
  <si>
    <t>HD047855</t>
  </si>
  <si>
    <t>307 Lê Văn Sỹ, phường Tân Sơn Hòa</t>
  </si>
  <si>
    <t>Như Hạnh</t>
  </si>
  <si>
    <t>HD047363</t>
  </si>
  <si>
    <t>21 Đặng Dung, P Tân Định</t>
  </si>
  <si>
    <t>Dương Hoang Yen sale</t>
  </si>
  <si>
    <t>HD047757</t>
  </si>
  <si>
    <t>15 duong 26 f10</t>
  </si>
  <si>
    <t>Võ Thanh Vân</t>
  </si>
  <si>
    <t>HD047607</t>
  </si>
  <si>
    <t>8b Nguyễn Văn Thủ, phường Tân Định</t>
  </si>
  <si>
    <t>Lilian Huynh sale</t>
  </si>
  <si>
    <t>HD047944</t>
  </si>
  <si>
    <t>219/26b tô ngọc vân p.thạnh xuân</t>
  </si>
  <si>
    <t>AT 25-08</t>
  </si>
  <si>
    <t>25-08-2026</t>
  </si>
  <si>
    <t>HD047679</t>
  </si>
  <si>
    <t>Thao Nguyen</t>
  </si>
  <si>
    <t>HD048243</t>
  </si>
  <si>
    <t>574/15/38 đường sinco bình trị đông b toà nhà Hưng phát 2</t>
  </si>
  <si>
    <t>Mai Yen Nhi (sale)</t>
  </si>
  <si>
    <t>HD048122</t>
  </si>
  <si>
    <t>187 Ngô Gia Tự, p Vườn Lài</t>
  </si>
  <si>
    <t>Hân Thuy Dung</t>
  </si>
  <si>
    <t>HD047410</t>
  </si>
  <si>
    <t>51 đường số 7, khu dân cư trung sơn, bình hưng</t>
  </si>
  <si>
    <t>Elly Trần sale</t>
  </si>
  <si>
    <t>HD048066</t>
  </si>
  <si>
    <t>1/8 trịnh khắc lập phường cát lái</t>
  </si>
  <si>
    <t>Chị Hạnh sale</t>
  </si>
  <si>
    <t>HD048088</t>
  </si>
  <si>
    <t>142/13 Ngô Tất Tố,p22</t>
  </si>
  <si>
    <t>Sam Huỳnh-sale</t>
  </si>
  <si>
    <t>HD048107</t>
  </si>
  <si>
    <t>510/8 Đường Phú Thọ Hoà, Phường Phú Thọ Hoà</t>
  </si>
  <si>
    <t>Uyên Trần</t>
  </si>
  <si>
    <t>HD048151</t>
  </si>
  <si>
    <t>137/84D âu dương lân - p2</t>
  </si>
  <si>
    <t>Như Quyền sale</t>
  </si>
  <si>
    <t>HD048146</t>
  </si>
  <si>
    <t>60/1 Thạnh Lộc 31 An Phú Đông</t>
  </si>
  <si>
    <t>Minh Thư sale</t>
  </si>
  <si>
    <t>HD048178</t>
  </si>
  <si>
    <t>47c/18 trän vän đang</t>
  </si>
  <si>
    <t>Võ Ngọc Như Quỳnh sale</t>
  </si>
  <si>
    <t>HD047774</t>
  </si>
  <si>
    <t>794 sư vạn hạnh, phường 12</t>
  </si>
  <si>
    <t>Ngân Kim Lê</t>
  </si>
  <si>
    <t>HD048081</t>
  </si>
  <si>
    <t>90 trần đình xu, phường Cầu Ông Lãnh</t>
  </si>
  <si>
    <t>băng fb Bing Bing sale</t>
  </si>
  <si>
    <t>HD047994</t>
  </si>
  <si>
    <t>190 cao thắng f11</t>
  </si>
  <si>
    <t>MA7375 sale</t>
  </si>
  <si>
    <t>HD047966</t>
  </si>
  <si>
    <t>12a Nguyễn Hữu Thọ</t>
  </si>
  <si>
    <t>Lữ Duyên sale</t>
  </si>
  <si>
    <t>HD048157</t>
  </si>
  <si>
    <t>76 Quang Trung Tăng nhơn phú B</t>
  </si>
  <si>
    <t>Thiên Thanh sale</t>
  </si>
  <si>
    <t>HD048084</t>
  </si>
  <si>
    <t>225/1 đường Tam Bình, phường Tam Phú cũ, sau sáp nhập là phường Tam Bình</t>
  </si>
  <si>
    <t>Lê Thị Duyên sale</t>
  </si>
  <si>
    <t>HD048012</t>
  </si>
  <si>
    <t>178/31 Nguyễn Văn Thương, P.25</t>
  </si>
  <si>
    <t>Nguyễn Ngọc Nhi-sale</t>
  </si>
  <si>
    <t>HD048070</t>
  </si>
  <si>
    <t>145/9 đỗ xuân hợp phước long</t>
  </si>
  <si>
    <t>Ngọc Tường (sale)</t>
  </si>
  <si>
    <t>HD048114</t>
  </si>
  <si>
    <t>282/9 nguyễn sơn phường phú thọ hòa</t>
  </si>
  <si>
    <t>Linh Nghiêm sale</t>
  </si>
  <si>
    <t>HD048126</t>
  </si>
  <si>
    <t>Toà Ak2 chung cư akari</t>
  </si>
  <si>
    <t>Lý Nguyễn - fb Ty Le sale</t>
  </si>
  <si>
    <t>HD047948</t>
  </si>
  <si>
    <t>6a thì sách</t>
  </si>
  <si>
    <t>Thu Phương Nguyễn</t>
  </si>
  <si>
    <t>HD047907</t>
  </si>
  <si>
    <t>41, hoàng diệu 2, phường linh xuân</t>
  </si>
  <si>
    <t>Kim Hiền sale</t>
  </si>
  <si>
    <t>HD048130</t>
  </si>
  <si>
    <t>239/63/48 Trần Văn Đang P Nhiêu Lộc (phường 11 cũ )</t>
  </si>
  <si>
    <t>Nguyễn</t>
  </si>
  <si>
    <t>HD048041</t>
  </si>
  <si>
    <t>Park 7 vinhomes central park, 720A Điện Biên phủ, P. Thạnh Mỹ Tây</t>
  </si>
  <si>
    <t>Thu Quế sale</t>
  </si>
  <si>
    <t>HD048136</t>
  </si>
  <si>
    <t>149 đường số 3 cư xá Lữ Gia, Phú Thọ</t>
  </si>
  <si>
    <t>Hong Ngoc sale</t>
  </si>
  <si>
    <t>HD048119</t>
  </si>
  <si>
    <t>102/1A Cống Quỳnh - Bến Thành</t>
  </si>
  <si>
    <t>Nguoi nhan ten Thuy (nhan gium Nhi) sale</t>
  </si>
  <si>
    <t>HD047431</t>
  </si>
  <si>
    <t>6/3 Nguyễn Cảnh Dị, P. 4</t>
  </si>
  <si>
    <t>Phương Thanh sale</t>
  </si>
  <si>
    <t>HD047916</t>
  </si>
  <si>
    <t>117 hoàng văn thụ p8</t>
  </si>
  <si>
    <t>Trung Hiếu sale</t>
  </si>
  <si>
    <t>HD048121</t>
  </si>
  <si>
    <t>101/8 đường cn13, tây thạnh</t>
  </si>
  <si>
    <t>Duyên</t>
  </si>
  <si>
    <t>HD047628</t>
  </si>
  <si>
    <t>Đối diện 353/70 Nguyễn Duy Trinh P. Bình Trưng Tây</t>
  </si>
  <si>
    <t>Diệu My sale</t>
  </si>
  <si>
    <t>HD048177</t>
  </si>
  <si>
    <t>343 Phan Xích Long p1</t>
  </si>
  <si>
    <t>Trinh Phạm sale</t>
  </si>
  <si>
    <t>HD048048</t>
  </si>
  <si>
    <t>99 đường 24 phường Long Thạnh Mỹ</t>
  </si>
  <si>
    <t>Nguyễn Huỳnh sale</t>
  </si>
  <si>
    <t>HD048097</t>
  </si>
  <si>
    <t>270 Nguyễn Phúc Nguyên, P. Nhiêu Lộc</t>
  </si>
  <si>
    <t>Huỳnh My sale</t>
  </si>
  <si>
    <t>HD047765</t>
  </si>
  <si>
    <t>C3/47- E1 Ấp 4 Phạm Hùng, Bình Hưng</t>
  </si>
  <si>
    <t>Nguyễn Ngọc Trinh sale</t>
  </si>
  <si>
    <t>HD047912</t>
  </si>
  <si>
    <t>200/9/2H Dương Đình Hội</t>
  </si>
  <si>
    <t>YM8408</t>
  </si>
  <si>
    <t>HD047960</t>
  </si>
  <si>
    <t>lan</t>
  </si>
  <si>
    <t>HD047952</t>
  </si>
  <si>
    <t>71/12/2a nguyễn bặc -tân sơn hoà</t>
  </si>
  <si>
    <t>Ái Nhi</t>
  </si>
  <si>
    <t>HD047767</t>
  </si>
  <si>
    <t>64/10C Hoà Bình</t>
  </si>
  <si>
    <t>Jamie Phan</t>
  </si>
  <si>
    <t>HD047602</t>
  </si>
  <si>
    <t>Phương Thảo sale</t>
  </si>
  <si>
    <t>HD047884</t>
  </si>
  <si>
    <t>794 chung cư phạm viết chánh, P.19</t>
  </si>
  <si>
    <t>Dương Thị</t>
  </si>
  <si>
    <t>HD048311</t>
  </si>
  <si>
    <t>95 A khu phố 2.Tân thới hiệp 21.phường tth</t>
  </si>
  <si>
    <t>Ngọc hân</t>
  </si>
  <si>
    <t>HD048361</t>
  </si>
  <si>
    <t>42d thạnh xuân 37</t>
  </si>
  <si>
    <t>Hà Tuyết Trang</t>
  </si>
  <si>
    <t>HD047868</t>
  </si>
  <si>
    <t>25 đường số 18 khu dân cư Himlam phường Tân Hưng</t>
  </si>
  <si>
    <t>chị vi sale</t>
  </si>
  <si>
    <t>HD048214</t>
  </si>
  <si>
    <t>2/123 Thiên Phước,p9</t>
  </si>
  <si>
    <t>Hương</t>
  </si>
  <si>
    <t>HD047282</t>
  </si>
  <si>
    <t>985/71/12/27 Hương lộ 2 bình trị đông</t>
  </si>
  <si>
    <t>Lệ Vân sale</t>
  </si>
  <si>
    <t>HD048360</t>
  </si>
  <si>
    <t>192 phạm đức son p16</t>
  </si>
  <si>
    <t>Phương Trâmt</t>
  </si>
  <si>
    <t>HD047973</t>
  </si>
  <si>
    <t>290/6/30 nơ trang long, p.12</t>
  </si>
  <si>
    <t>Hanh Phan sale</t>
  </si>
  <si>
    <t>HD048226</t>
  </si>
  <si>
    <t>58/27 phan chu trinh phường 14</t>
  </si>
  <si>
    <t>Trần Thị Mỹ Linh sale</t>
  </si>
  <si>
    <t>HD048090</t>
  </si>
  <si>
    <t>C8/7 ấp 3, võ văn vân, vĩnh lộc b</t>
  </si>
  <si>
    <t>Oanh Ngoc sale</t>
  </si>
  <si>
    <t>HD048116</t>
  </si>
  <si>
    <t>186 nguyễn hữu tiến .p tây thạnh</t>
  </si>
  <si>
    <t>Luu Anh Thư</t>
  </si>
  <si>
    <t>HD047514</t>
  </si>
  <si>
    <t>107-109 man thiện, P. tăng nhơn phú</t>
  </si>
  <si>
    <t>Kieu Nhung sale</t>
  </si>
  <si>
    <t>HD048335</t>
  </si>
  <si>
    <t>307/23 Nguyễn Văn Trỗi, phường Tân Sơn Hòa</t>
  </si>
  <si>
    <t>Phương Trần</t>
  </si>
  <si>
    <t>HD047784</t>
  </si>
  <si>
    <t>60/101 lý chính thắng phường võ thị sáu</t>
  </si>
  <si>
    <t>Nguyễn Ngọc Tố Nga</t>
  </si>
  <si>
    <t>HD048383</t>
  </si>
  <si>
    <t>107/59 Quang Trung, Phường Gò Vấp</t>
  </si>
  <si>
    <t>Thao Quynh sale</t>
  </si>
  <si>
    <t>HD048040</t>
  </si>
  <si>
    <t>251 bạch đằng tân bình hạnh thông</t>
  </si>
  <si>
    <t>Trịnh Nhã Ngọc sale</t>
  </si>
  <si>
    <t>HD048319</t>
  </si>
  <si>
    <t>302 nguyễn thượng hiền, bình lợi trưng</t>
  </si>
  <si>
    <t>Ngọc Trâm sale</t>
  </si>
  <si>
    <t>HD047974</t>
  </si>
  <si>
    <t>Hẻm 2873 số nhà 963/10 Huỳnh Tấn Phát</t>
  </si>
  <si>
    <t>Lê Yến-sale</t>
  </si>
  <si>
    <t>HD048327</t>
  </si>
  <si>
    <t>7i, cư xá phan đăng lưu p3</t>
  </si>
  <si>
    <t>Kiến Dương sale</t>
  </si>
  <si>
    <t>HD048191</t>
  </si>
  <si>
    <t>Tâm Vũ sale</t>
  </si>
  <si>
    <t>HD048141</t>
  </si>
  <si>
    <t>80/38 đường số 4, khu phố 32, phường Tam Bình (địa chỉ mới)</t>
  </si>
  <si>
    <t>Thy Trang</t>
  </si>
  <si>
    <t>HD047982</t>
  </si>
  <si>
    <t>71/9 điện biên phủ p15</t>
  </si>
  <si>
    <t>Thanh Phương sale</t>
  </si>
  <si>
    <t>HD048271</t>
  </si>
  <si>
    <t>16/1 đường số 9 bhh</t>
  </si>
  <si>
    <t>Trần Mỹ Duyên sale</t>
  </si>
  <si>
    <t>HD048142</t>
  </si>
  <si>
    <t>72/49 đường số 4 khu phố 6 hiệp bình Phước</t>
  </si>
  <si>
    <t>Lisa Ng sale</t>
  </si>
  <si>
    <t>HD048328</t>
  </si>
  <si>
    <t>59 Phạm Nhữ Tăng, phường Chánh Hưng</t>
  </si>
  <si>
    <t>Phước-sale wb</t>
  </si>
  <si>
    <t>HD048341</t>
  </si>
  <si>
    <t>Chung cư Happy valley Premier Block O</t>
  </si>
  <si>
    <t>Thanh Thảo SALE</t>
  </si>
  <si>
    <t>HD048236</t>
  </si>
  <si>
    <t>47/3 lê trực phường gia định</t>
  </si>
  <si>
    <t>Hoa Hồng sale</t>
  </si>
  <si>
    <t>HD048198</t>
  </si>
  <si>
    <t>99 Phú Thọ Hoà, Phú Thọ Hoà</t>
  </si>
  <si>
    <t>Quynh Nhu Lee sale</t>
  </si>
  <si>
    <t>HD048044</t>
  </si>
  <si>
    <t>80 phùng văn cung p7</t>
  </si>
  <si>
    <t>Phạm Nguyên SALE</t>
  </si>
  <si>
    <t>HD048315</t>
  </si>
  <si>
    <t>Chung cư Saigon Intela, Đường số 3, KDC Intresco 13E</t>
  </si>
  <si>
    <t>Quỳnh Nhi sale</t>
  </si>
  <si>
    <t>HD048128</t>
  </si>
  <si>
    <t>245/21 đường số 20, phường 5</t>
  </si>
  <si>
    <t>Vân Lê sale</t>
  </si>
  <si>
    <t>HD048224</t>
  </si>
  <si>
    <t>19 Hoàng Minh Giám, phường Đức Nhuận</t>
  </si>
  <si>
    <t>Xuân Tuyết sale</t>
  </si>
  <si>
    <t>HD047961</t>
  </si>
  <si>
    <t>125/227/11 Nguyễn Thị Tần p1</t>
  </si>
  <si>
    <t>at 25-08</t>
  </si>
  <si>
    <t>giảm kh 20k</t>
  </si>
  <si>
    <t>Hồ Huyền My</t>
  </si>
  <si>
    <t>HD048835</t>
  </si>
  <si>
    <t>Chung cư the Pegasuite 1, 1002 tạ quang bửu, phường 6</t>
  </si>
  <si>
    <t>Thanhh Loann</t>
  </si>
  <si>
    <t>HD048460</t>
  </si>
  <si>
    <t>132a mai văn Vĩnh Tân Hưng</t>
  </si>
  <si>
    <t>Phạm Thuỷ Tiên</t>
  </si>
  <si>
    <t>HD048904</t>
  </si>
  <si>
    <t>4/6/10 Tân thới nhất 01 phường Tân Thới Nhất</t>
  </si>
  <si>
    <t>Kim Cương</t>
  </si>
  <si>
    <t>HD049053</t>
  </si>
  <si>
    <t>sân đá mini cỏ nhân tạo nguyên khôi ấp 4 xã binh hưng</t>
  </si>
  <si>
    <t>Khánh Ngọc sale</t>
  </si>
  <si>
    <t>HD048507</t>
  </si>
  <si>
    <t>9/6 tân thành hoà thạnh</t>
  </si>
  <si>
    <t>HD049029</t>
  </si>
  <si>
    <t>1226 nguyên cứu phú ấp 1 tân kiên</t>
  </si>
  <si>
    <t>Trinh Lê sale</t>
  </si>
  <si>
    <t>HD048754</t>
  </si>
  <si>
    <t>số 11/11 đường số 2, bình hưng hòa</t>
  </si>
  <si>
    <t>Thuỳ Be sale</t>
  </si>
  <si>
    <t>HD048734</t>
  </si>
  <si>
    <t>92/5 đường số 10 BHH</t>
  </si>
  <si>
    <t>Đức Toàn</t>
  </si>
  <si>
    <t>HD047522</t>
  </si>
  <si>
    <t>D7/23 khu phố 4 tân túc</t>
  </si>
  <si>
    <t>Phương Linh sale</t>
  </si>
  <si>
    <t>HD048748</t>
  </si>
  <si>
    <t>Trường mn Sơn ca 5, 413 Trần thị năm, Tân Chánh hiệp</t>
  </si>
  <si>
    <t>Vo Hang SALE WED</t>
  </si>
  <si>
    <t>HD048711</t>
  </si>
  <si>
    <t>86D đường số 29, Bình Trị Đông B</t>
  </si>
  <si>
    <t>châu SALE WED</t>
  </si>
  <si>
    <t>HD048820</t>
  </si>
  <si>
    <t>55/8D Ấp Tiền Lân 1, Bà Điểm</t>
  </si>
  <si>
    <t>HD048873</t>
  </si>
  <si>
    <t>Bích Trâm (Hảo)</t>
  </si>
  <si>
    <t>HD047845</t>
  </si>
  <si>
    <t>Sảnh D Emerald Celaton City, Số 2 Đường N4 Phường Tân Sơn Nhì</t>
  </si>
  <si>
    <t>Bảo Huyền</t>
  </si>
  <si>
    <t>HD048491</t>
  </si>
  <si>
    <t>12 huỳnh văn gấm</t>
  </si>
  <si>
    <t>Trang Ngô sale web</t>
  </si>
  <si>
    <t>HD049002</t>
  </si>
  <si>
    <t>10 đường số 2, phường Tân Hưng</t>
  </si>
  <si>
    <t>HD048619</t>
  </si>
  <si>
    <t>Cẩm Tiên sale</t>
  </si>
  <si>
    <t>HD048934</t>
  </si>
  <si>
    <t>Chung cư topaz dragon 2A 457-459 tạ quang bửu - phường 4</t>
  </si>
  <si>
    <t>Diễm fb Lilian Nguyễn SALE</t>
  </si>
  <si>
    <t>HD047433</t>
  </si>
  <si>
    <t>545 Lò Gốm, P. Bình Tây</t>
  </si>
  <si>
    <t>Dương Thị Sale</t>
  </si>
  <si>
    <t>HD048310</t>
  </si>
  <si>
    <t>71/10 Đường ĐHT 42 kp18 phường đông hưng thuận</t>
  </si>
  <si>
    <t>Trang Võ sale</t>
  </si>
  <si>
    <t>HD048462</t>
  </si>
  <si>
    <t>44 đường số 5 khu dân cư bình đăng p6</t>
  </si>
  <si>
    <t>Mẫn Nhi sale</t>
  </si>
  <si>
    <t>HD048432</t>
  </si>
  <si>
    <t>1A liên khu 1-6 Bình Trị Đông</t>
  </si>
  <si>
    <t>Quynh</t>
  </si>
  <si>
    <t>HD047424</t>
  </si>
  <si>
    <t>93/18a, Đặng Thế Phong, Tân Sơn Nhì, Bưu Cục Trung Tâm</t>
  </si>
  <si>
    <t>Kim Phương SALE</t>
  </si>
  <si>
    <t>HD047924</t>
  </si>
  <si>
    <t>31 vườn lài phú thọ hoà</t>
  </si>
  <si>
    <t>Mai Hồ</t>
  </si>
  <si>
    <t>HD048438</t>
  </si>
  <si>
    <t>134 Nguyễn quý anh Tân Sơn nhì</t>
  </si>
  <si>
    <t>Ngoc Huynh</t>
  </si>
  <si>
    <t>HD048164</t>
  </si>
  <si>
    <t>74/15 tô ngọc vân phường linh xuân</t>
  </si>
  <si>
    <t>Trang - fb Liên Chi sale</t>
  </si>
  <si>
    <t>HD048016</t>
  </si>
  <si>
    <t>Số nhà 10, đường số2, phường Tân Hưng</t>
  </si>
  <si>
    <t>Bich Thuy sale</t>
  </si>
  <si>
    <t>HD048184</t>
  </si>
  <si>
    <t>2/1 lê thúc hoạch p phú thọ hoà</t>
  </si>
  <si>
    <t>Hồng Thẩm</t>
  </si>
  <si>
    <t>HD048756</t>
  </si>
  <si>
    <t>11a Trương Công Định, p14</t>
  </si>
  <si>
    <t>Phuong Quynh Nguyen-sale</t>
  </si>
  <si>
    <t>HD048127</t>
  </si>
  <si>
    <t>Qua chung cư Fullhouse số 1 đường 34 p.bình trị đông b</t>
  </si>
  <si>
    <t>Trần Thục Oanh sale</t>
  </si>
  <si>
    <t>HD048400</t>
  </si>
  <si>
    <t>153/5 Phạm Thái Bường, KP Nam Thiên 3, phường Tân Hưng</t>
  </si>
  <si>
    <t>Tú Quyên sale</t>
  </si>
  <si>
    <t>HD048170</t>
  </si>
  <si>
    <t>60/38 Lâm Văn Bền, phường Tân Hưng</t>
  </si>
  <si>
    <t>Hoàng Kiều Ni-sale page</t>
  </si>
  <si>
    <t>HD047965</t>
  </si>
  <si>
    <t>37/20 đường số 2 tăng nhơn phú B</t>
  </si>
  <si>
    <t>HD048839</t>
  </si>
  <si>
    <t>Mến Đặng sale</t>
  </si>
  <si>
    <t>HD048520</t>
  </si>
  <si>
    <t>Số nhà 136/9 tân thới nhất1.P đông hưng thuận (note: hẻm 130)</t>
  </si>
  <si>
    <t>Trúc Phương sale wed</t>
  </si>
  <si>
    <t>HD048808</t>
  </si>
  <si>
    <t>70/45 đường 339, Phước Long B</t>
  </si>
  <si>
    <t>Nguyen Ni</t>
  </si>
  <si>
    <t>khach san new sunny 1, 38 hưng phước 3 phường tân hưng khu đô thị phú mỹ hưng</t>
  </si>
  <si>
    <t>Lâm Mỹ Linh (SALE WEB)</t>
  </si>
  <si>
    <t>HD048602</t>
  </si>
  <si>
    <t>27/36/39/2 bùi tư toàn</t>
  </si>
  <si>
    <t>Huynh Bich Tran</t>
  </si>
  <si>
    <t>HD048481</t>
  </si>
  <si>
    <t>Block C, chung cư Sunrise Riverside, Nguyễn Hữu Thọ, Phước Kiển</t>
  </si>
  <si>
    <t>Mỹ Trâm (Website Sale)</t>
  </si>
  <si>
    <t>HD048903</t>
  </si>
  <si>
    <t>A8/18 tổ 8 ấp 1 xã tân quý tây</t>
  </si>
  <si>
    <t>Quỳnh Nguyễn sale</t>
  </si>
  <si>
    <t>HD048005</t>
  </si>
  <si>
    <t>Phoenix 1b cao lỗ chánh hưng</t>
  </si>
  <si>
    <t>Nguyễn Thị Ngọc Thảo</t>
  </si>
  <si>
    <t>HD047917</t>
  </si>
  <si>
    <t>114 lương thế vinh Phú thạnh</t>
  </si>
  <si>
    <t>ngọc hiền</t>
  </si>
  <si>
    <t>HD048343</t>
  </si>
  <si>
    <t>139/5/12 chiến lược, bình trị đông</t>
  </si>
  <si>
    <t>Hân Hân</t>
  </si>
  <si>
    <t>HD048456</t>
  </si>
  <si>
    <t>A28/27HT4 ấp 1 xã bình hưng</t>
  </si>
  <si>
    <t>HD048403</t>
  </si>
  <si>
    <t>25 Võ Văn Ngân Phường Thủ Đức</t>
  </si>
  <si>
    <t>Sapphire Lê sale</t>
  </si>
  <si>
    <t>HD048937</t>
  </si>
  <si>
    <t>103 Nguyễn đức cảnh, tân phong</t>
  </si>
  <si>
    <t>Ngọc Mai sale</t>
  </si>
  <si>
    <t>HD048856</t>
  </si>
  <si>
    <t>110/61 tô hiệu</t>
  </si>
  <si>
    <t>Hương Nè sale</t>
  </si>
  <si>
    <t>HD048891</t>
  </si>
  <si>
    <t>Tâm An-sale</t>
  </si>
  <si>
    <t>HD048785</t>
  </si>
  <si>
    <t>312 Tân Sơn nhì</t>
  </si>
  <si>
    <t>Lan Le sale</t>
  </si>
  <si>
    <t>HD048751</t>
  </si>
  <si>
    <t>17/32 đg 18 bhh</t>
  </si>
  <si>
    <t>Thu Hà sale</t>
  </si>
  <si>
    <t>HD049061</t>
  </si>
  <si>
    <t>24 đường 23 hiệp bình</t>
  </si>
  <si>
    <t>Nguyễn Ngọc Bảo Khánh-sale</t>
  </si>
  <si>
    <t>HD048256</t>
  </si>
  <si>
    <t>280/101 bùi hữu nghĩa p2</t>
  </si>
  <si>
    <t>Nguyên Nè sale</t>
  </si>
  <si>
    <t>HD047644</t>
  </si>
  <si>
    <t>245 phan văn trị, bình lợi trung</t>
  </si>
  <si>
    <t>Tiên Mỷ sale</t>
  </si>
  <si>
    <t>HD048956</t>
  </si>
  <si>
    <t>81 xô viết nghệ tĩnh, p17</t>
  </si>
  <si>
    <t>Kim Huyen sale</t>
  </si>
  <si>
    <t>HD048783</t>
  </si>
  <si>
    <t>Golden house ( Lễ Tân ) - 90 Nguyễn Hữu Cảnh, Thạnh Mỹ Tây</t>
  </si>
  <si>
    <t>Dung Pham Sally-sale</t>
  </si>
  <si>
    <t>HD048727</t>
  </si>
  <si>
    <t>50 linh đông</t>
  </si>
  <si>
    <t>Thu Ba DS SALE</t>
  </si>
  <si>
    <t>HD048483</t>
  </si>
  <si>
    <t>395 Bùi Đình Tuý, p14</t>
  </si>
  <si>
    <t>Lan Vy</t>
  </si>
  <si>
    <t>HD048477</t>
  </si>
  <si>
    <t>36/17 lê thị hồng, Phường 17</t>
  </si>
  <si>
    <t>Mỹ Duyên sale</t>
  </si>
  <si>
    <t>HD048823</t>
  </si>
  <si>
    <t>135/17/71 nguyen huu canh p thạnh mỹ tây</t>
  </si>
  <si>
    <t>AN VÂN SALE</t>
  </si>
  <si>
    <t>HD048987</t>
  </si>
  <si>
    <t>43,đường Bình Trưng, phường Bình Trưng Tây</t>
  </si>
  <si>
    <t>Ngọc Nguyễn</t>
  </si>
  <si>
    <t>HD048617</t>
  </si>
  <si>
    <t>Chung cư k26, Dương Quảng Hàm, phường 5</t>
  </si>
  <si>
    <t>Thư Minh-sale</t>
  </si>
  <si>
    <t>HD048930</t>
  </si>
  <si>
    <t>290/132 nơ trang long f12</t>
  </si>
  <si>
    <t>Nguyễn Dương sale</t>
  </si>
  <si>
    <t>HD048773</t>
  </si>
  <si>
    <t>688/57/25A Lê Đức Thọ, P15</t>
  </si>
  <si>
    <t>Trang-sale</t>
  </si>
  <si>
    <t>HD047987</t>
  </si>
  <si>
    <t>246/30 nguyễn thái sơn, phường 6</t>
  </si>
  <si>
    <t>Tố Phượng SAlE</t>
  </si>
  <si>
    <t>HD048150</t>
  </si>
  <si>
    <t>129/1 Bình Quới Phường Bình Quới</t>
  </si>
  <si>
    <t>Ngọc Phương-sale wb</t>
  </si>
  <si>
    <t>HD047892</t>
  </si>
  <si>
    <t>8 đường số B4, KĐT Sala An Khánh</t>
  </si>
  <si>
    <t>Đoan Trang Sale</t>
  </si>
  <si>
    <t>HD048176</t>
  </si>
  <si>
    <t>Topaz 2 Saigon Pearl 92 Ng Hữu Cảnh p22</t>
  </si>
  <si>
    <t>Krysta Vo sale</t>
  </si>
  <si>
    <t>HD048199</t>
  </si>
  <si>
    <t>Số 5 Giang Văn Minh, phương An Khánh</t>
  </si>
  <si>
    <t>Mai Linh sale</t>
  </si>
  <si>
    <t>HD048990</t>
  </si>
  <si>
    <t>129 Bình Quới, Phường 27</t>
  </si>
  <si>
    <t>Huyền Phương sale</t>
  </si>
  <si>
    <t>HD048465</t>
  </si>
  <si>
    <t>102 Xô Viết Nghệ Tĩnh p21</t>
  </si>
  <si>
    <t>Duy Sam sale</t>
  </si>
  <si>
    <t>HD048771</t>
  </si>
  <si>
    <t>447/11b phạm văn chiêu, p11</t>
  </si>
  <si>
    <t>HD048582</t>
  </si>
  <si>
    <t>39 phạm văn ngôn phường an khánh</t>
  </si>
  <si>
    <t>Helen Chen-sale</t>
  </si>
  <si>
    <t>HD048804</t>
  </si>
  <si>
    <t>42A Trường Sa Phường Gia Định</t>
  </si>
  <si>
    <t>Như Như-sale</t>
  </si>
  <si>
    <t>HD048185</t>
  </si>
  <si>
    <t>493/42 Nguyễn Văn Công Hạnh Thông</t>
  </si>
  <si>
    <t>Lien Tran-sale</t>
  </si>
  <si>
    <t>HD048554</t>
  </si>
  <si>
    <t>1N cư xá Phan Đăng Lưu p.3</t>
  </si>
  <si>
    <t>quyên bé sale</t>
  </si>
  <si>
    <t>HD049149</t>
  </si>
  <si>
    <t>1171/26 đường 3/2 phường 6</t>
  </si>
  <si>
    <t>KN Nguyen sale</t>
  </si>
  <si>
    <t>HD049096</t>
  </si>
  <si>
    <t>số 3 đường 41 p. KHÁNH HỘI</t>
  </si>
  <si>
    <t>Jenny Đoàn sale</t>
  </si>
  <si>
    <t>HD049025</t>
  </si>
  <si>
    <t>lock a chung cư orient phường vĩnh hội</t>
  </si>
  <si>
    <t>Sally Nguyen sALE</t>
  </si>
  <si>
    <t>HD049121</t>
  </si>
  <si>
    <t>590/11 cmt8, phường 11</t>
  </si>
  <si>
    <t>Lương Thị Hồng Nhung</t>
  </si>
  <si>
    <t>HD048447</t>
  </si>
  <si>
    <t>Tầng 5 Y1 Hồng Lĩnh cư xá Bắc Hải phường Hòa Hưng</t>
  </si>
  <si>
    <t>Phương Duyên-sale</t>
  </si>
  <si>
    <t>HD049107</t>
  </si>
  <si>
    <t>31 Hoa Mai, phường Cầu Kiệu</t>
  </si>
  <si>
    <t>Linh Mèo sale</t>
  </si>
  <si>
    <t>HD048257</t>
  </si>
  <si>
    <t>300 đường 3/2, p12</t>
  </si>
  <si>
    <t>Ngọc Hân</t>
  </si>
  <si>
    <t>HD048717</t>
  </si>
  <si>
    <t>Bưu cục ems 18a cộng hoà p bảy hiền</t>
  </si>
  <si>
    <t>kim han sele</t>
  </si>
  <si>
    <t>HD048736</t>
  </si>
  <si>
    <t>Nguyễn Ngọc Yến sale</t>
  </si>
  <si>
    <t>HD047479</t>
  </si>
  <si>
    <t>373/93/23 Lý Thường Kiệt, Tân Hoà</t>
  </si>
  <si>
    <t>Nguyễn Thị Y Di sale</t>
  </si>
  <si>
    <t>HD048155</t>
  </si>
  <si>
    <t>15 nguyễn thị diệu, phường xuân hoà</t>
  </si>
  <si>
    <t>Thu sale</t>
  </si>
  <si>
    <t>HD048358</t>
  </si>
  <si>
    <t>72-74 Nguyễn Thị Minh Khai - centec tower</t>
  </si>
  <si>
    <t>Bùi Thị Kim Thu</t>
  </si>
  <si>
    <t>HD048194</t>
  </si>
  <si>
    <t>23/24/1 Mai Lão Bạng</t>
  </si>
  <si>
    <t>Nguyen Thanh Yen Nhi-sale</t>
  </si>
  <si>
    <t>HD048895</t>
  </si>
  <si>
    <t>215 hồng bàng (bệnh viện đại học y dược tphcm)</t>
  </si>
  <si>
    <t>Bảo Trân sale</t>
  </si>
  <si>
    <t>HD048309</t>
  </si>
  <si>
    <t>37 Tôn Đức Thắng P bến nghé</t>
  </si>
  <si>
    <t>Nguyễn Nhật Lệ sale</t>
  </si>
  <si>
    <t>HD047904</t>
  </si>
  <si>
    <t>25 cửu long, phường Tân Sơn hòa</t>
  </si>
  <si>
    <t>Vivi Ng sale</t>
  </si>
  <si>
    <t>HD048422</t>
  </si>
  <si>
    <t>463B/53D/21 Cách Mạng Tháng 8, Phường 13</t>
  </si>
  <si>
    <t>Ngọc Tuyết-sale</t>
  </si>
  <si>
    <t>HD048284</t>
  </si>
  <si>
    <t>524 Ngô Gia Tự, phường An Đông</t>
  </si>
  <si>
    <t>Bùi Thanh Như Thương sale</t>
  </si>
  <si>
    <t>HD048339</t>
  </si>
  <si>
    <t>003 lô b3 chung cư a2 phan xích long p7</t>
  </si>
  <si>
    <t>Mai Yenn</t>
  </si>
  <si>
    <t>HD047447</t>
  </si>
  <si>
    <t>408 nguyễn tri phương,p4</t>
  </si>
  <si>
    <t>Mỹ Hằng sale web</t>
  </si>
  <si>
    <t>HD048488</t>
  </si>
  <si>
    <t>20 hoàng minh giám p9</t>
  </si>
  <si>
    <t>Thảo Huyền</t>
  </si>
  <si>
    <t>HD048585</t>
  </si>
  <si>
    <t>49 Phạm Ngọc Thạch, phường Xuân Hòa</t>
  </si>
  <si>
    <t>Như Hạnh-sale</t>
  </si>
  <si>
    <t>HD048605</t>
  </si>
  <si>
    <t>Phan Hương Giang sale</t>
  </si>
  <si>
    <t>HD048696</t>
  </si>
  <si>
    <t>312/26 ngô gia tự phường 4</t>
  </si>
  <si>
    <t>Thu Thảo sale</t>
  </si>
  <si>
    <t>HD048485</t>
  </si>
  <si>
    <t>70 lữ gia, P15</t>
  </si>
  <si>
    <t>Ngọc Ánh Trần sale</t>
  </si>
  <si>
    <t>HD048439</t>
  </si>
  <si>
    <t>196 hoàng diệu phường 8</t>
  </si>
  <si>
    <t>Phẩm Huỳnh SALE</t>
  </si>
  <si>
    <t>HD047984</t>
  </si>
  <si>
    <t>84 Phạm Hồng Thái phường bến thành</t>
  </si>
  <si>
    <t>Na Na sale</t>
  </si>
  <si>
    <t>HD048445</t>
  </si>
  <si>
    <t>105 nguyễn thần hiến xóm chiếu</t>
  </si>
  <si>
    <t>Kim Thúy sale</t>
  </si>
  <si>
    <t>HD048277</t>
  </si>
  <si>
    <t>Giao về 320/1 Huỳnh Văn Bánh</t>
  </si>
  <si>
    <t>Kim Ngoc sale</t>
  </si>
  <si>
    <t>HD047963</t>
  </si>
  <si>
    <t>12bis Đinh Tiên Hoàng P dakao</t>
  </si>
  <si>
    <t>Nguyễn Ngọc Vân Khánh</t>
  </si>
  <si>
    <t>HD048502</t>
  </si>
  <si>
    <t>419/5/2a Phan xích long</t>
  </si>
  <si>
    <t>Người nhận Nhân sale</t>
  </si>
  <si>
    <t>HD048457</t>
  </si>
  <si>
    <t>94 An Bình, Phường An Đông</t>
  </si>
  <si>
    <t>chị trang..... sale</t>
  </si>
  <si>
    <t>HD048648</t>
  </si>
  <si>
    <t>463b/36C cmt8, p Hoà Hưng</t>
  </si>
  <si>
    <t>Võ Thị Bích Trâm sale wed</t>
  </si>
  <si>
    <t>HD048207</t>
  </si>
  <si>
    <t>77 Trần Nhân Tôn, phường An Đông</t>
  </si>
  <si>
    <t>Phi Nga Dung Thi Sale</t>
  </si>
  <si>
    <t>HD048687</t>
  </si>
  <si>
    <t>5 tôn thất hiệp phường 13</t>
  </si>
  <si>
    <t>Trần Như Ngọc SALE</t>
  </si>
  <si>
    <t>HD047871</t>
  </si>
  <si>
    <t>447 Trần Chiên, Lê Bình Cái Răng Cần Thơ</t>
  </si>
  <si>
    <t>Nguyễn Việt Hương(inst viet.huong98) SALE WED</t>
  </si>
  <si>
    <t>HD049010</t>
  </si>
  <si>
    <t>Thôn Hạ, Xã Hội Thịnh, Tỉnh Phú Thọ</t>
  </si>
  <si>
    <t>An sale</t>
  </si>
  <si>
    <t>HD048450</t>
  </si>
  <si>
    <t>43 đường số 8, KCN Việt Nam – Singapore, Phường Bình Hòa</t>
  </si>
  <si>
    <t>Võ Thị Hồng Nhung sale</t>
  </si>
  <si>
    <t>HD048672</t>
  </si>
  <si>
    <t>Đường Vĩnh Tân 08, Phường Vĩnh Tân</t>
  </si>
  <si>
    <t>giảm kh 70k</t>
  </si>
  <si>
    <t>NGA LINH</t>
  </si>
  <si>
    <t>26-08-2026</t>
  </si>
  <si>
    <t>XE PHY PHY</t>
  </si>
  <si>
    <t>AT 26-08</t>
  </si>
  <si>
    <t>FANG FANG</t>
  </si>
  <si>
    <t>A75/6B/2 Bạch Đằng, Phường 2</t>
  </si>
  <si>
    <t>LUCK LUCK</t>
  </si>
  <si>
    <t>22 TÂN THỚI NHẤT 1B, ĐÔNG HƯNG THUẬN (P. TÂN THỚI NHẤT cũ)</t>
  </si>
  <si>
    <t>TUYẾT NHI ZL2</t>
  </si>
  <si>
    <t>403 Tân Sơn p12</t>
  </si>
  <si>
    <t>482/10/26 Nơ Trang Long, p13</t>
  </si>
  <si>
    <t>TRÂN BOUTI</t>
  </si>
  <si>
    <t>Block A2 Chung cư Era Town Đức Khải, Đường 15B Nguyễn Lương Bằng phường Tân Mỹ</t>
  </si>
  <si>
    <t>UYÊN MI</t>
  </si>
  <si>
    <t>160 - 162 Lê Hồng Phong, Phường Chợ Quán</t>
  </si>
  <si>
    <t>Lê Thơ sale</t>
  </si>
  <si>
    <t>HD048967</t>
  </si>
  <si>
    <t>793/58/5 Trần Xuân Soạn</t>
  </si>
  <si>
    <t>Hằng Nguyễn sale</t>
  </si>
  <si>
    <t>HD048635</t>
  </si>
  <si>
    <t>30 Nguyễn Thị Diệu, P. Võ Thị Sáu</t>
  </si>
  <si>
    <t>Ngọc Diệp</t>
  </si>
  <si>
    <t>HD048745</t>
  </si>
  <si>
    <t>3 đường số 2 phường Hạnh Thông</t>
  </si>
  <si>
    <t>Hứa Hồng Hạnh</t>
  </si>
  <si>
    <t>HD048561</t>
  </si>
  <si>
    <t>319 Phạm Ngũ Lão, Phường Bến Thành</t>
  </si>
  <si>
    <t>Annie Tran sale - Người nhận: Đào</t>
  </si>
  <si>
    <t>HD048730</t>
  </si>
  <si>
    <t>S503 Vinhomes Grand Park, 512 Nguyễn Xiển, Long Thạnh Mỹ</t>
  </si>
  <si>
    <t>Kiều Trân SALE</t>
  </si>
  <si>
    <t>HD048787</t>
  </si>
  <si>
    <t>11 đường số 6 khu phố 7 hiệp bình chánh</t>
  </si>
  <si>
    <t>Mỹ Lợi Trần</t>
  </si>
  <si>
    <t>HD048530</t>
  </si>
  <si>
    <t>Chung cư Vĩnh Lộc A, Vĩnh Lộc, Vĩnh Lộc A</t>
  </si>
  <si>
    <t>Nguyễn Liên sale</t>
  </si>
  <si>
    <t>HD048842</t>
  </si>
  <si>
    <t>77/4 Võ Thị Hồi, Xuân Thới Đông</t>
  </si>
  <si>
    <t>Ha Pham</t>
  </si>
  <si>
    <t>HD048961</t>
  </si>
  <si>
    <t>116 Nguyễn Văn Hưởng, Thảo Điền</t>
  </si>
  <si>
    <t>Nitaya nhi Nguyen</t>
  </si>
  <si>
    <t>HD048613</t>
  </si>
  <si>
    <t>92/22/8c Tôn Thất Thuyết, Khu phố 14, phường Xóm Chiếu</t>
  </si>
  <si>
    <t>Rancho Vy sale</t>
  </si>
  <si>
    <t>HD048898</t>
  </si>
  <si>
    <t>Sunwah Tower, 115 Nguyễn Huệ</t>
  </si>
  <si>
    <t>Tuyết Nhi sale</t>
  </si>
  <si>
    <t>HD048688</t>
  </si>
  <si>
    <t>814 tỉnh lộ 43 phường Tam Bình</t>
  </si>
  <si>
    <t>Đỗ Phương sale</t>
  </si>
  <si>
    <t>HD048679</t>
  </si>
  <si>
    <t>A02-16 Block A - Chung Cư Lavita Garden, Số 17, Đường Số 3, Phường Thủ Đức</t>
  </si>
  <si>
    <t>Dương Hoàng Anh sale</t>
  </si>
  <si>
    <t>HD048757</t>
  </si>
  <si>
    <t>3 đường 24 phường bình trưng đông</t>
  </si>
  <si>
    <t>Ngô Tình sale</t>
  </si>
  <si>
    <t>HD048974</t>
  </si>
  <si>
    <t>370 quốc lộ 1A, p bình hưng hòa b</t>
  </si>
  <si>
    <t>Ngọc Huyền sale</t>
  </si>
  <si>
    <t>HD048944</t>
  </si>
  <si>
    <t>295 Tân Kỳ Tân Quý, tân sơn nhì</t>
  </si>
  <si>
    <t>Lê Kim sale</t>
  </si>
  <si>
    <t>HD048957</t>
  </si>
  <si>
    <t>79/18 Cây Cám, p bình hưng hòa b</t>
  </si>
  <si>
    <t>Trúc Linh SALE</t>
  </si>
  <si>
    <t>HD049757</t>
  </si>
  <si>
    <t>94 Lê Văn Việt Phường Hiệp Phú</t>
  </si>
  <si>
    <t>Trần Thư-sale</t>
  </si>
  <si>
    <t>HD047569</t>
  </si>
  <si>
    <t>138A-140 Quang Trung, phường Gò Vấp</t>
  </si>
  <si>
    <t>Tiên Trần sale</t>
  </si>
  <si>
    <t>HD049268</t>
  </si>
  <si>
    <t>158/65/28 Phạm Văn Chiêu p8</t>
  </si>
  <si>
    <t>phương anh SALE WED</t>
  </si>
  <si>
    <t>HD049374</t>
  </si>
  <si>
    <t>139c gò dưa tam bình</t>
  </si>
  <si>
    <t>HD048955</t>
  </si>
  <si>
    <t>206/10 Đồng Đen phường Tân Bình</t>
  </si>
  <si>
    <t>NGUYỄN THỦY (SALE WEB)</t>
  </si>
  <si>
    <t>HD049417</t>
  </si>
  <si>
    <t>31/15 Nguyễn Đình Khơi, phường Tân Sơn Nhất</t>
  </si>
  <si>
    <t>Tôm Nguyễn sale</t>
  </si>
  <si>
    <t>HD049273</t>
  </si>
  <si>
    <t>01 Cộng Hoà p4</t>
  </si>
  <si>
    <t>Trân Huỳnh sale WED</t>
  </si>
  <si>
    <t>H0049331</t>
  </si>
  <si>
    <t>C8/17t2 bờ xe lam tân kiên</t>
  </si>
  <si>
    <t>Nguyễn Khánh Hiền</t>
  </si>
  <si>
    <t>HD049309</t>
  </si>
  <si>
    <t>146/7 Kênh Tân Hoá, Phú t146/7 kênh tân hóa</t>
  </si>
  <si>
    <t>Thùy Trang sale</t>
  </si>
  <si>
    <t>HD049248</t>
  </si>
  <si>
    <t>Chung Cư Lê Thành Tân Tạo, Hồ Văn Long</t>
  </si>
  <si>
    <t>Linh Hương-sale</t>
  </si>
  <si>
    <t>HD049071</t>
  </si>
  <si>
    <t>152/2 Thành Thái, Hòa Hưng</t>
  </si>
  <si>
    <t>Trân Quỳnh sale</t>
  </si>
  <si>
    <t>HD049722</t>
  </si>
  <si>
    <t>183/32 đường Bến Vân Đồn phường 6</t>
  </si>
  <si>
    <t>Lai Bich Nhu (inst tmhanh_bien) SALE WED</t>
  </si>
  <si>
    <t>HD047475</t>
  </si>
  <si>
    <t>01 Đinh Lễ phường 13</t>
  </si>
  <si>
    <t>Phương SALE WED</t>
  </si>
  <si>
    <t>HD049346</t>
  </si>
  <si>
    <t>440/6 Nơ Trang Long phường Bình Lợi Trung</t>
  </si>
  <si>
    <t>Linh sale</t>
  </si>
  <si>
    <t>HD047803</t>
  </si>
  <si>
    <t>364 Phạm Văn Chiêu p9</t>
  </si>
  <si>
    <t>Xuan Nguyen sale wed</t>
  </si>
  <si>
    <t>HD048318</t>
  </si>
  <si>
    <t>200a man thiện, phường tăng nhơn phú a</t>
  </si>
  <si>
    <t>Kieu Thuy Diem sale</t>
  </si>
  <si>
    <t>HD049624</t>
  </si>
  <si>
    <t>408 Điện Biên Phủ p vườn lài</t>
  </si>
  <si>
    <t>Phan Siêu Siêu</t>
  </si>
  <si>
    <t>HD049619</t>
  </si>
  <si>
    <t>Hi-Tech Park, I8-1, P. Tăng Nhơn Phú (p. Long Thạnh Mỹ cũ)</t>
  </si>
  <si>
    <t>Tuyền (SALE WEB)</t>
  </si>
  <si>
    <t>HD049534</t>
  </si>
  <si>
    <t>55-57 Trường Sơn, phường 15 (phường Hòa Hưng mới)</t>
  </si>
  <si>
    <t>QUỲNH sale web</t>
  </si>
  <si>
    <t>HD049453</t>
  </si>
  <si>
    <t>Chung cư đạt gia toà A3, số 38 cây keo Phường Tam Bình</t>
  </si>
  <si>
    <t>My Trần SALE WED</t>
  </si>
  <si>
    <t>HD049239</t>
  </si>
  <si>
    <t>184 Nơ Trang Long F12</t>
  </si>
  <si>
    <t>Thuý Tình-sale</t>
  </si>
  <si>
    <t>HD049352</t>
  </si>
  <si>
    <t>149 Nguyễn Văn Nghi, phường hạnh thông</t>
  </si>
  <si>
    <t>Nguyễn Thái Mỹ Duyên sale</t>
  </si>
  <si>
    <t>HD049278</t>
  </si>
  <si>
    <t>82/25 Nguyễn Công Trứ p19</t>
  </si>
  <si>
    <t>An SALE WED</t>
  </si>
  <si>
    <t>HD049245</t>
  </si>
  <si>
    <t>793/10 Trần Xuân Soạn</t>
  </si>
  <si>
    <t>Nancy Ng sale</t>
  </si>
  <si>
    <t>HD049668</t>
  </si>
  <si>
    <t>144 cộng hoà, phường 12</t>
  </si>
  <si>
    <t>Nhi sale</t>
  </si>
  <si>
    <t>HD049544</t>
  </si>
  <si>
    <t>chung cư 8x plus số 163A Trường Chinh, Đông Hưng Thuận</t>
  </si>
  <si>
    <t>Thảo Nguyễn-sale</t>
  </si>
  <si>
    <t>HD049306</t>
  </si>
  <si>
    <t>Số 7, đường 270 KDC Nam Hoà, Phước Long A (quán VŨ cà phê)</t>
  </si>
  <si>
    <t>Nguyễn Thị Tường Vi (SALE WEB)</t>
  </si>
  <si>
    <t>HD049618</t>
  </si>
  <si>
    <t>83/20/1/7 Phạm Văn Bạch</t>
  </si>
  <si>
    <t>Diệu Nguyễn SALE WED</t>
  </si>
  <si>
    <t>HD049344</t>
  </si>
  <si>
    <t>Lô 08-10 đường số 1, KCN Tân Tạo, P. Tân Tạo A</t>
  </si>
  <si>
    <t>Trân Huỳnh sale</t>
  </si>
  <si>
    <t>HD049171</t>
  </si>
  <si>
    <t>Ngọc Thư sale</t>
  </si>
  <si>
    <t>HD049236</t>
  </si>
  <si>
    <t>400CD Lê Hồng Phong P. Vườn Lài</t>
  </si>
  <si>
    <t>Quynh T Nguyen</t>
  </si>
  <si>
    <t>HD049521</t>
  </si>
  <si>
    <t>214/b1a Nguyễn Trãi</t>
  </si>
  <si>
    <t>NgọcThao Bui sale</t>
  </si>
  <si>
    <t>HD049040</t>
  </si>
  <si>
    <t>383 Nguyễn Duy Trinh</t>
  </si>
  <si>
    <t>Pe Lan-sale</t>
  </si>
  <si>
    <t>HD049632</t>
  </si>
  <si>
    <t>62AB Thống Nhất, P. Tân Thành</t>
  </si>
  <si>
    <t>Hy Phùng SALE WED</t>
  </si>
  <si>
    <t>HD049383</t>
  </si>
  <si>
    <t>Thy Kieu sale</t>
  </si>
  <si>
    <t>HD048480</t>
  </si>
  <si>
    <t>190/3 Đinh Phong Phú khu phố ba phường tăng nhơn phú b</t>
  </si>
  <si>
    <t>Nguyễn Mai sale wed</t>
  </si>
  <si>
    <t>HD049491</t>
  </si>
  <si>
    <t>Toà nhà Flemington Tower, 182 Lê Đại Hành, Phường 15</t>
  </si>
  <si>
    <t>Ngô Huỳnh Như Phúc-sale</t>
  </si>
  <si>
    <t>HD049598</t>
  </si>
  <si>
    <t>44 đường số 8, Bình Trị Đông B</t>
  </si>
  <si>
    <t>Nguyen Nghia sale</t>
  </si>
  <si>
    <t>HD049483</t>
  </si>
  <si>
    <t>33 Nguyễn Hữu Thọ, P. Tân Hưng</t>
  </si>
  <si>
    <t>Như Laii sale</t>
  </si>
  <si>
    <t>HD049470</t>
  </si>
  <si>
    <t>Yen Nhi Huynh-sale</t>
  </si>
  <si>
    <t>HD049385</t>
  </si>
  <si>
    <t>1288/3A Võ Thị Liễu, An Phú Đông</t>
  </si>
  <si>
    <t>Tú sale wed</t>
  </si>
  <si>
    <t>HD049428</t>
  </si>
  <si>
    <t>45/11 Lê Cơ An Lạc</t>
  </si>
  <si>
    <t>Đan Phạm Ngọc Hằng sale</t>
  </si>
  <si>
    <t>HD049058</t>
  </si>
  <si>
    <t>Số 25 đường 265, p. Hiệp Phú</t>
  </si>
  <si>
    <t>HD048168</t>
  </si>
  <si>
    <t>201/1 cuối Đg Lê Thị Riêng phường thới an</t>
  </si>
  <si>
    <t>Trương Nguyễn Tường Vy sale</t>
  </si>
  <si>
    <t>HD048769</t>
  </si>
  <si>
    <t>Hà đô centrosa, Iris 2, p12</t>
  </si>
  <si>
    <t>Rainie Do sale</t>
  </si>
  <si>
    <t>HD048760</t>
  </si>
  <si>
    <t>14 Trúc Đào, KDC Phong Phú 4</t>
  </si>
  <si>
    <t>chị giang sale</t>
  </si>
  <si>
    <t>HD049160</t>
  </si>
  <si>
    <t>79/6/12 đường số 2 P3</t>
  </si>
  <si>
    <t>HD049768</t>
  </si>
  <si>
    <t>60B Hoà Bình phường hòa bình</t>
  </si>
  <si>
    <t>Trần Mai sale</t>
  </si>
  <si>
    <t>HD049660</t>
  </si>
  <si>
    <t>144/1/15 Bình Lợi, phường 13</t>
  </si>
  <si>
    <t>Nguyễn Tuyền sale</t>
  </si>
  <si>
    <t>HD049312</t>
  </si>
  <si>
    <t>344 Gò Dầu phường Tân Sơn Nhì</t>
  </si>
  <si>
    <t>Thu Vien-sale</t>
  </si>
  <si>
    <t>278 Lê Văn Thọ p11</t>
  </si>
  <si>
    <t>Chị Anh</t>
  </si>
  <si>
    <t>HD048676</t>
  </si>
  <si>
    <t>8 nguyễn văn vĩnh p4</t>
  </si>
  <si>
    <t>Phi Yến sale</t>
  </si>
  <si>
    <t>HD048766</t>
  </si>
  <si>
    <t>144 Yersin P. Bến Thành</t>
  </si>
  <si>
    <t>Nguyễn Nhã (sale web)</t>
  </si>
  <si>
    <t>HD048740</t>
  </si>
  <si>
    <t>16/5 Đinh Tiên Hoàng Phường Sài Gòn</t>
  </si>
  <si>
    <t>Thuy Anh sale</t>
  </si>
  <si>
    <t>HD049130</t>
  </si>
  <si>
    <t>Toà Lumiere Erica, đường Nguyễn Xiển, phường long bình</t>
  </si>
  <si>
    <t>Bùi Diễm Trinh-sale</t>
  </si>
  <si>
    <t>HD049196</t>
  </si>
  <si>
    <t>121 Đặng Văn Bi phường trường thọ</t>
  </si>
  <si>
    <t>Nhật Ái sale</t>
  </si>
  <si>
    <t>HD049148</t>
  </si>
  <si>
    <t>1/3C Ấp Đình, xã Tân Xuân</t>
  </si>
  <si>
    <t>Thuy Vy Doan sale</t>
  </si>
  <si>
    <t>HD0048658</t>
  </si>
  <si>
    <t>778k/25 Nguyễn Kiệm</t>
  </si>
  <si>
    <t>Trần Mai Thảo Anh sale web</t>
  </si>
  <si>
    <t>HD048251</t>
  </si>
  <si>
    <t>36/8 Dương Đức Hiền, P. Tây Thạnh</t>
  </si>
  <si>
    <t>Ngô Thuỳ Trang sale</t>
  </si>
  <si>
    <t>HD049007</t>
  </si>
  <si>
    <t>276/22 Thống Nhất, P. An Hội Đông</t>
  </si>
  <si>
    <t>mỹ huyền sale</t>
  </si>
  <si>
    <t>HD049211</t>
  </si>
  <si>
    <t>204 nguyễn văn hưởng, phường an khánh</t>
  </si>
  <si>
    <t>Thu Thuỷ sale</t>
  </si>
  <si>
    <t>HD048692</t>
  </si>
  <si>
    <t>Tòa nhà MISA, lô 5, công viên phần mềm quang Trung, đường tô ký</t>
  </si>
  <si>
    <t>Trần Hương Khánh sale</t>
  </si>
  <si>
    <t>HD049202</t>
  </si>
  <si>
    <t>110A Phạm Văn Đồng P3</t>
  </si>
  <si>
    <t>BORRAMEY</t>
  </si>
  <si>
    <t>HD048774</t>
  </si>
  <si>
    <t>164/14 cống quỳnh bến thành</t>
  </si>
  <si>
    <t>Nguyễn Thị Khánh Dân</t>
  </si>
  <si>
    <t>HD049011</t>
  </si>
  <si>
    <t>Kp 1 phường bình cơ</t>
  </si>
  <si>
    <t>Phi Vân (sale web)</t>
  </si>
  <si>
    <t>HD049014</t>
  </si>
  <si>
    <t>95/41 Lê Văn Sĩ</t>
  </si>
  <si>
    <t>Ngoctuyen Nguyen sale</t>
  </si>
  <si>
    <t>HD048614</t>
  </si>
  <si>
    <t>17/2 Trần văn sắc, phường An Khánh</t>
  </si>
  <si>
    <t>CHỊ HẰNG sale</t>
  </si>
  <si>
    <t>HD048996</t>
  </si>
  <si>
    <t>646 Nguyễn Trãi p chợ lớn</t>
  </si>
  <si>
    <t>Dương Tú Anh-sale wb</t>
  </si>
  <si>
    <t>HD049055</t>
  </si>
  <si>
    <t>183/16 đường 3/2 phường 11</t>
  </si>
  <si>
    <t>Thanh Hồng sale</t>
  </si>
  <si>
    <t>HD049262</t>
  </si>
  <si>
    <t>96/66 Phan Huy Ích, p15</t>
  </si>
  <si>
    <t>Huỳnh Thị Yến Nhi-sale</t>
  </si>
  <si>
    <t>HD048793</t>
  </si>
  <si>
    <t>537/30L Nguyễn Oanh, phường An Hội Đông</t>
  </si>
  <si>
    <t>Tran Tuyet Anh SALE</t>
  </si>
  <si>
    <t>HD049190</t>
  </si>
  <si>
    <t>87/5 Nguyễn Sỹ Sách p.15</t>
  </si>
  <si>
    <t>Minh Nguyet SALE</t>
  </si>
  <si>
    <t>HD048434</t>
  </si>
  <si>
    <t>Park 5, Vinhomes Central Park, 208 Nguyễn Hữu Cảnh P22</t>
  </si>
  <si>
    <t>Nhã Uyên-sale</t>
  </si>
  <si>
    <t>HD049056</t>
  </si>
  <si>
    <t>UOA Tower, số 6 tân trào</t>
  </si>
  <si>
    <t>HD048646</t>
  </si>
  <si>
    <t>7i, Cư xá Phan Đăng Lưu p3</t>
  </si>
  <si>
    <t>Minh Thư-sale</t>
  </si>
  <si>
    <t>HD048629</t>
  </si>
  <si>
    <t>Vinhomes Central Park 5, Tân Cảng</t>
  </si>
  <si>
    <t>Ngọc Anh sale</t>
  </si>
  <si>
    <t>HD049348</t>
  </si>
  <si>
    <t>29 Phú Châu, tam phú</t>
  </si>
  <si>
    <t>Tuyết Như sale</t>
  </si>
  <si>
    <t>HD048874</t>
  </si>
  <si>
    <t>Park 6A Vinhome Central Park, P. Thạnh Mỹ Tây</t>
  </si>
  <si>
    <t>Ngọc Hân sale</t>
  </si>
  <si>
    <t>HD048844</t>
  </si>
  <si>
    <t>51 Hoàng Trọng Mậu, KDC Him Lam</t>
  </si>
  <si>
    <t>Chi Huỳnh</t>
  </si>
  <si>
    <t>HD049090</t>
  </si>
  <si>
    <t>S1.07 Vinhomes Grand Park</t>
  </si>
  <si>
    <t>Truc Le sale</t>
  </si>
  <si>
    <t>HD049016</t>
  </si>
  <si>
    <t>100 Nguyễn Suý, phường Tân Quý</t>
  </si>
  <si>
    <t>Mỹ Dung SALE WED</t>
  </si>
  <si>
    <t>HD049192</t>
  </si>
  <si>
    <t>Số 22, đường 68-TML, phường Thạnh Mỹ Lợi</t>
  </si>
  <si>
    <t>Thuy Trinh sale</t>
  </si>
  <si>
    <t>HD049047</t>
  </si>
  <si>
    <t>399 Bùi Đình Túy f14</t>
  </si>
  <si>
    <t>HD048642</t>
  </si>
  <si>
    <t>Huyền Trang SALE</t>
  </si>
  <si>
    <t>HD048643</t>
  </si>
  <si>
    <t>Pear Plaza p25</t>
  </si>
  <si>
    <t>Mai Thanh</t>
  </si>
  <si>
    <t>HD048204</t>
  </si>
  <si>
    <t>Cổng xe máy, Sky Garden 3, Khu Đô Thị Phú Mỹ Hưng, Phường Tân Hưng</t>
  </si>
  <si>
    <t>Trang Ngô sale</t>
  </si>
  <si>
    <t>HD048911</t>
  </si>
  <si>
    <t>Nhà số 10, đường số 2, phường tân tân hưng</t>
  </si>
  <si>
    <t>Thiên Tú</t>
  </si>
  <si>
    <t>HD049354</t>
  </si>
  <si>
    <t>59 Sương Nguyệt Ánh phường Bến Thành</t>
  </si>
  <si>
    <t>Hồ Thị Thúy Hằng (SALE WEB)</t>
  </si>
  <si>
    <t>HD049207</t>
  </si>
  <si>
    <t>860/36 Huỳnh Tấn Phát, phường Tân Mỹ</t>
  </si>
  <si>
    <t>Hải Yến sale wed t8</t>
  </si>
  <si>
    <t>HD050013</t>
  </si>
  <si>
    <t>63 Lê Lai, phường Bảy Hiền</t>
  </si>
  <si>
    <t>Nguyễn Angela</t>
  </si>
  <si>
    <t>HD026772</t>
  </si>
  <si>
    <t>136b yên thế p2</t>
  </si>
  <si>
    <t>Khanh Nguyen (SALE WEB)</t>
  </si>
  <si>
    <t>HD049369</t>
  </si>
  <si>
    <t>43 Nguyễn Thị Minh Khai, Phường Sài Gòn</t>
  </si>
  <si>
    <t>Ngọc Ngọc sale</t>
  </si>
  <si>
    <t>HD049669</t>
  </si>
  <si>
    <t>G525, Cộng Hoà Garden, Số 20 Cộng Hoà, P. Bảy Hiền</t>
  </si>
  <si>
    <t>Xinh Yến sale</t>
  </si>
  <si>
    <t>HD049848</t>
  </si>
  <si>
    <t>Số 650 cái dăm đường Hạ Long Bãi Cháy Quảng Ninh</t>
  </si>
  <si>
    <t>Hồ Ngọc sale</t>
  </si>
  <si>
    <t>HD049725</t>
  </si>
  <si>
    <t>188 Nguyễn Xí</t>
  </si>
  <si>
    <t>Kim Truc sale</t>
  </si>
  <si>
    <t>HD049276</t>
  </si>
  <si>
    <t>48/25 Phan Tây Hồ phường cầu kiệu</t>
  </si>
  <si>
    <t>Kim Ngan Nguyen sale</t>
  </si>
  <si>
    <t>HD049943</t>
  </si>
  <si>
    <t>16 Yên Thế, p Tân Sơn Hòa</t>
  </si>
  <si>
    <t>Vi Vân sale wed</t>
  </si>
  <si>
    <t>HD049443</t>
  </si>
  <si>
    <t>30/23B Nguyễn Hữu Cảnh, Thạnh Mỹ Tây</t>
  </si>
  <si>
    <t>Kim Thoa sale</t>
  </si>
  <si>
    <t>HD049533</t>
  </si>
  <si>
    <t>48/31 Lê Ngã, Phường Tân Phú</t>
  </si>
  <si>
    <t>chị bảo</t>
  </si>
  <si>
    <t>HD048408</t>
  </si>
  <si>
    <t>37 cao lỗ</t>
  </si>
  <si>
    <t>Lynn Pham</t>
  </si>
  <si>
    <t>HD049403</t>
  </si>
  <si>
    <t>2/11 Thiên Phước phường 9</t>
  </si>
  <si>
    <t>Nguyễn Thuỳ Linh</t>
  </si>
  <si>
    <t>HD049446</t>
  </si>
  <si>
    <t>364/1J Dương Quảng Hàm, P5</t>
  </si>
  <si>
    <t>Minh Thu sale</t>
  </si>
  <si>
    <t>HD049724</t>
  </si>
  <si>
    <t>5 Hoa Huệ phường cầu kiệu</t>
  </si>
  <si>
    <t>Nguyễn Thảo-sale</t>
  </si>
  <si>
    <t>HD049796</t>
  </si>
  <si>
    <t>17/2 TL47 phường thạnh lộc</t>
  </si>
  <si>
    <t>Chẽ Vân sale</t>
  </si>
  <si>
    <t>HD049113</t>
  </si>
  <si>
    <t>140b Nguyễn Văn Trỗi p8</t>
  </si>
  <si>
    <t>Nguyễn Bùi Gia Linh SALE</t>
  </si>
  <si>
    <t>HD049759</t>
  </si>
  <si>
    <t>Topaz Elite D2A Tạ Quang Bửu phường Chánh Hưng</t>
  </si>
  <si>
    <t>HD049556</t>
  </si>
  <si>
    <t>Lê Hạnh-sale</t>
  </si>
  <si>
    <t>HD049097</t>
  </si>
  <si>
    <t>133 đường số 1 p11</t>
  </si>
  <si>
    <t>Phuong Truc sale</t>
  </si>
  <si>
    <t>HD049824</t>
  </si>
  <si>
    <t>Trường quốc tế Bắc Mỹ, đường số 20, khu dân cư Him Lam - xã bình hưng</t>
  </si>
  <si>
    <t>Binh Minh sale</t>
  </si>
  <si>
    <t>HD049728</t>
  </si>
  <si>
    <t>176 Hoa Lan, phường Cầu Kiệu</t>
  </si>
  <si>
    <t>HD049340</t>
  </si>
  <si>
    <t>Ngọc Lan sale wed</t>
  </si>
  <si>
    <t>HD049566</t>
  </si>
  <si>
    <t>278 Nguyễn Văn Linh, Tân Thuận</t>
  </si>
  <si>
    <t>Anna Giàu-sale</t>
  </si>
  <si>
    <t>HD049329</t>
  </si>
  <si>
    <t>179 Võ Nguyên Giáp, Phường An Khánh</t>
  </si>
  <si>
    <t>Ngọc Trâmm (SALE WEB)</t>
  </si>
  <si>
    <t>HD048928</t>
  </si>
  <si>
    <t>329, Ấp Chiến Lược, Bình Hưng Hòa, Phường Bình Tân</t>
  </si>
  <si>
    <t>Diễm Thuý sale</t>
  </si>
  <si>
    <t>HD049760</t>
  </si>
  <si>
    <t>1237/22 Hoàng Sa, P. Tân Sơn Nhất</t>
  </si>
  <si>
    <t>Lý Bội Quân</t>
  </si>
  <si>
    <t>HD049519</t>
  </si>
  <si>
    <t>15 Trần Hưng Đạo Phường 6</t>
  </si>
  <si>
    <t>HD049764</t>
  </si>
  <si>
    <t>Dinh Thi Phương Trinh (SALE WEB)</t>
  </si>
  <si>
    <t>HD049225</t>
  </si>
  <si>
    <t>14 Ngô Quang Huy, An Khánh</t>
  </si>
  <si>
    <t>Ni Ni sale</t>
  </si>
  <si>
    <t>HD049137</t>
  </si>
  <si>
    <t>114 Lê Hồng Phong p2</t>
  </si>
  <si>
    <t>Nguyễn Thi-sale</t>
  </si>
  <si>
    <t>HD049145</t>
  </si>
  <si>
    <t>151/39/8 Lũy Bán Bích tân thới hòa</t>
  </si>
  <si>
    <t>HD048950</t>
  </si>
  <si>
    <t>151 Hồ Văn Huê, Đức Nhuận</t>
  </si>
  <si>
    <t>Huyền My sale</t>
  </si>
  <si>
    <t>HD049673</t>
  </si>
  <si>
    <t>146A Lê Minh Xuân - Phường Tân Sơn Nhất (Công ty Hai Thành)</t>
  </si>
  <si>
    <t>Tequila LA-sale</t>
  </si>
  <si>
    <t>HD049395</t>
  </si>
  <si>
    <t>79/71/16 ds4 p. Bình Hưng Hòa</t>
  </si>
  <si>
    <t>Phan Liinh sale</t>
  </si>
  <si>
    <t>HD048765</t>
  </si>
  <si>
    <t>1560/25/1F Tỉnh lộ 10 p tân tạo</t>
  </si>
  <si>
    <t>Vinh pham</t>
  </si>
  <si>
    <t>HD048200</t>
  </si>
  <si>
    <t>19A Trần Quang Diệu, phường Nhiêu Lộc</t>
  </si>
  <si>
    <t>Lam NG sale</t>
  </si>
  <si>
    <t>HD049246</t>
  </si>
  <si>
    <t>157 Đào Duy Anh, phường Đức Nhuận</t>
  </si>
  <si>
    <t>Phạm Linh sale</t>
  </si>
  <si>
    <t>HD049004</t>
  </si>
  <si>
    <t>247B Ung Văn Khiêm, Phường Thạnh Mỹ Tây</t>
  </si>
  <si>
    <t>Bui Trang sale</t>
  </si>
  <si>
    <t>HD049131</t>
  </si>
  <si>
    <t>544/25/16 QL 1A an phú đông</t>
  </si>
  <si>
    <t>Lam Kiều-sale</t>
  </si>
  <si>
    <t>HD048287</t>
  </si>
  <si>
    <t>Chung cư Sunview, đường Cây Keo, p Tam Phú</t>
  </si>
  <si>
    <t>Thu hiền Võ sale</t>
  </si>
  <si>
    <t>HD049287</t>
  </si>
  <si>
    <t>Số 03 đường 19 p8</t>
  </si>
  <si>
    <t>Như Nguyễn-sale 8</t>
  </si>
  <si>
    <t>HD049825</t>
  </si>
  <si>
    <t>697 Lê Trọng Tấn, Bình Hưng Hòa</t>
  </si>
  <si>
    <t>Bích Thu sale</t>
  </si>
  <si>
    <t>HD049201</t>
  </si>
  <si>
    <t>Chung cư bộ đội biên phòng (hẻm 489 Nguyễn Văn Công, p Hạnh Thông)</t>
  </si>
  <si>
    <t>Mỹ Duyên-sale</t>
  </si>
  <si>
    <t>HD048865</t>
  </si>
  <si>
    <t>129/47/20A Bùi Văn Ngữ, Phường Tân Thới Hiệp</t>
  </si>
  <si>
    <t>Xuân Xuân-sale</t>
  </si>
  <si>
    <t>HD048840</t>
  </si>
  <si>
    <t>đối diện 210/12 Trịnh Đình Trọng</t>
  </si>
  <si>
    <t>Thảo sale</t>
  </si>
  <si>
    <t>HD049125</t>
  </si>
  <si>
    <t>43/3 Lê Lai p hạnh thông</t>
  </si>
  <si>
    <t>Kiều Sương SALE</t>
  </si>
  <si>
    <t>HD048202</t>
  </si>
  <si>
    <t>43 Mạc Đĩnh Chi, p. Sài Gòn</t>
  </si>
  <si>
    <t>Hồng Ánh sale</t>
  </si>
  <si>
    <t>HD049122</t>
  </si>
  <si>
    <t>2/16 Hồng Hà p2</t>
  </si>
  <si>
    <t>HD049265</t>
  </si>
  <si>
    <t>Giau Nguyen-sale</t>
  </si>
  <si>
    <t>HD049154</t>
  </si>
  <si>
    <t>40/42/7 Nguyễn Khoái P2</t>
  </si>
  <si>
    <t>Thanh Thuy sale</t>
  </si>
  <si>
    <t>HD048931</t>
  </si>
  <si>
    <t>HD048674</t>
  </si>
  <si>
    <t>225/1 đường Tam Bình, phường Tam Phú cũ. Sau sáp nhập là phường Tam Bình</t>
  </si>
  <si>
    <t>chị thơ sale</t>
  </si>
  <si>
    <t>HD049318</t>
  </si>
  <si>
    <t>15/35 chu văn an, phường tân thành</t>
  </si>
  <si>
    <t>Huỳnh Như (SALE WEB)</t>
  </si>
  <si>
    <t>HD049414</t>
  </si>
  <si>
    <t>Cty timberland, kp Bình Chánh, P. Tân Hiệp</t>
  </si>
  <si>
    <t>Liên Nguyễn Dâu Tây sale</t>
  </si>
  <si>
    <t>HD048190</t>
  </si>
  <si>
    <t>Kí Túc Xá Phú Sơn Thịnh 22/7 Hẻm 22, Đường số 8, Tăng Nhơn Phú B</t>
  </si>
  <si>
    <t>Dượng 9_FB: Kathy Nguyen sale</t>
  </si>
  <si>
    <t>HD049460</t>
  </si>
  <si>
    <t>so nha 300, Nguyễn duy, phường Chánh Hưng</t>
  </si>
  <si>
    <t>Hoàng Linh-sale</t>
  </si>
  <si>
    <t>HD049442</t>
  </si>
  <si>
    <t>767/7 NGUYỄN DUY TRINH PHƯỜNG PHÚ HỮU</t>
  </si>
  <si>
    <t>Thu Thảo (SALE WEB)</t>
  </si>
  <si>
    <t>HD049103</t>
  </si>
  <si>
    <t>82/6a Đỗ Tấn Phong Phường phú nhuận</t>
  </si>
  <si>
    <t>Nguyen Ni sale</t>
  </si>
  <si>
    <t>HD049123</t>
  </si>
  <si>
    <t>Khach san new sunny 1, 38 hưng phước 3 phường tân hưng khu đô thị phú mỹ hưng</t>
  </si>
  <si>
    <t>Gia Linh sale</t>
  </si>
  <si>
    <t>HD049031</t>
  </si>
  <si>
    <t>D2/469 đường Vườn Thơm xã Bình Lợi</t>
  </si>
  <si>
    <t>Vân Anh sale</t>
  </si>
  <si>
    <t>HD048321</t>
  </si>
  <si>
    <t>10 Nguyễn Huệ</t>
  </si>
  <si>
    <t>Uyên La-sale</t>
  </si>
  <si>
    <t>HD048698</t>
  </si>
  <si>
    <t>162/11 Nguyễn Văn Khối, p8</t>
  </si>
  <si>
    <t>Ngọc Nina-sale</t>
  </si>
  <si>
    <t>HD049230</t>
  </si>
  <si>
    <t>86 Tô Ngọc Vân, Linh Tây</t>
  </si>
  <si>
    <t>Nguyễn Hoàng Mộng Thi sale</t>
  </si>
  <si>
    <t>HD048866</t>
  </si>
  <si>
    <t>265 Nguyễn Gia Trí p25</t>
  </si>
  <si>
    <t>Yến Linh-sale</t>
  </si>
  <si>
    <t>HD048589</t>
  </si>
  <si>
    <t>27/9A ht44 hiệp thành</t>
  </si>
  <si>
    <t>Quỳnh Trâm Trần sale</t>
  </si>
  <si>
    <t>HD049194</t>
  </si>
  <si>
    <t>Chung cư Park view 152 Điện Biên Phủ, Thạnh Mỹ Tây</t>
  </si>
  <si>
    <t>Tien Ho</t>
  </si>
  <si>
    <t>HD048810</t>
  </si>
  <si>
    <t>Block A2, Topaz City, Cao Lỗ, P4</t>
  </si>
  <si>
    <t>Kim Thu sale</t>
  </si>
  <si>
    <t>HD049091</t>
  </si>
  <si>
    <t>12 Ấp Bắc, p13</t>
  </si>
  <si>
    <t>Hiền Đôli-sale</t>
  </si>
  <si>
    <t>HD048675</t>
  </si>
  <si>
    <t>827/39 Hà Huy Giáp</t>
  </si>
  <si>
    <t>at 26-08</t>
  </si>
  <si>
    <t>HD049829</t>
  </si>
  <si>
    <t>Số 2 đường 75, khu phố 2</t>
  </si>
  <si>
    <t>Phan Thị Như Ý sale</t>
  </si>
  <si>
    <t>HD050404</t>
  </si>
  <si>
    <t>S1.06 Vinhomes Grand Park, Nguyễn Xiển, Long Thạnh Mỹ</t>
  </si>
  <si>
    <t>Nguyen Ngoc Anh sale</t>
  </si>
  <si>
    <t>HD049280</t>
  </si>
  <si>
    <t>73/38/13 đường 16 nối dài p4</t>
  </si>
  <si>
    <t>Như Bình Phan sale</t>
  </si>
  <si>
    <t>HD050043</t>
  </si>
  <si>
    <t>Sảnh A A1107 49C Lê Quang Kim, Phường 8</t>
  </si>
  <si>
    <t>Hana Trần</t>
  </si>
  <si>
    <t>HD048454</t>
  </si>
  <si>
    <t>72/49B Liền Khu 16-18 Bình Trị Đông</t>
  </si>
  <si>
    <t>HD048824</t>
  </si>
  <si>
    <t>Đặng Quỳnh Khánh Huyền sale</t>
  </si>
  <si>
    <t>HD049310</t>
  </si>
  <si>
    <t>568 Luỹ Bán Bích</t>
  </si>
  <si>
    <t>Amy Su sale</t>
  </si>
  <si>
    <t>HD050352</t>
  </si>
  <si>
    <t>241/71 Lãnh Binh Thăng P12</t>
  </si>
  <si>
    <t>Phạm Phú Tâm sale</t>
  </si>
  <si>
    <t>HD050343</t>
  </si>
  <si>
    <t>25 Nguyễn Hữu Thọ, Phường Tân Hưng, Sunrise Central (tháp w2)</t>
  </si>
  <si>
    <t>Kim Hạnh - Gấu Nâu sale</t>
  </si>
  <si>
    <t>HD048596</t>
  </si>
  <si>
    <t>Chung cư Sài Gòn Intela, Khu 13E, xã Phong Phú</t>
  </si>
  <si>
    <t>Thanh Hương-sale</t>
  </si>
  <si>
    <t>HD050326</t>
  </si>
  <si>
    <t>616 Hưng Phú, phường Hưng Phú</t>
  </si>
  <si>
    <t>Người nhận Phi Mèo (nhận hộ Mỹ Anh) sale</t>
  </si>
  <si>
    <t>HD049999</t>
  </si>
  <si>
    <t>25/8 Đường Chuyên Dùng Chính Phường Phú Mỹ</t>
  </si>
  <si>
    <t>Khôi Nguyên</t>
  </si>
  <si>
    <t>HD049450</t>
  </si>
  <si>
    <t>CC Sky9, Đường số 1 phú hữu</t>
  </si>
  <si>
    <t>Thien fb May Nguyen sale</t>
  </si>
  <si>
    <t>HD050005</t>
  </si>
  <si>
    <t>Chung cư Topaz City Khu A2, Đường Cao Lỗ, P4</t>
  </si>
  <si>
    <t>Thanh Yến sale</t>
  </si>
  <si>
    <t>HD049350</t>
  </si>
  <si>
    <t>188/4 đường thới an 16 phường thới an</t>
  </si>
  <si>
    <t>Nga Hoang</t>
  </si>
  <si>
    <t>HD048492</t>
  </si>
  <si>
    <t>12 đường Tăng Nhơn Phú, phường Phước Long</t>
  </si>
  <si>
    <t>Phương anh sưa</t>
  </si>
  <si>
    <t>HD050033</t>
  </si>
  <si>
    <t>11a 80/đền hố, p. Tân Thới Hòa</t>
  </si>
  <si>
    <t>Thanh Ngân sale</t>
  </si>
  <si>
    <t>HD049240</t>
  </si>
  <si>
    <t>340 Nguyễn Thị Thập Phường Tân Quy</t>
  </si>
  <si>
    <t>Phan Thị Thùy Dương</t>
  </si>
  <si>
    <t>HD047508</t>
  </si>
  <si>
    <t>160/84 46 đường số 1 p long trường</t>
  </si>
  <si>
    <t>Vy Pham sale</t>
  </si>
  <si>
    <t>HD049429</t>
  </si>
  <si>
    <t>Số 6 đường số 12 phường 11</t>
  </si>
  <si>
    <t>Xuan Ngoc An sale 08</t>
  </si>
  <si>
    <t>HD049838</t>
  </si>
  <si>
    <t>1002 Tạ Quang Bửu, P. Bình Đông (p6 cũ)</t>
  </si>
  <si>
    <t>Ngọc Khanh SALE WED</t>
  </si>
  <si>
    <t>HD047979</t>
  </si>
  <si>
    <t>Block C18.02, 99 Nguyễn Thị Thập, phường Tân Phú</t>
  </si>
  <si>
    <t>Như Huỳnh Trần sale</t>
  </si>
  <si>
    <t>HD049321</t>
  </si>
  <si>
    <t>D12/13 ấp 4, Lê Thị Dung, Xã Vĩnh Lộc A</t>
  </si>
  <si>
    <t>Keo (minh hải zalo)</t>
  </si>
  <si>
    <t>HD049008</t>
  </si>
  <si>
    <t>17 đường số 13 Bình Hưng Hòa Phường Bình Hưng Hòa</t>
  </si>
  <si>
    <t>Kim Khánh sale</t>
  </si>
  <si>
    <t>HD050332</t>
  </si>
  <si>
    <t>76 đường 12 kp4 p. tam bình</t>
  </si>
  <si>
    <t>Kee Mie sale</t>
  </si>
  <si>
    <t>HD049454</t>
  </si>
  <si>
    <t>856 Tạ Quang Bửu, Chánh Hưng (Chung cư Central Premium Block A)</t>
  </si>
  <si>
    <t>Hevy Lê</t>
  </si>
  <si>
    <t>HD050009</t>
  </si>
  <si>
    <t>20 đường 72 p10</t>
  </si>
  <si>
    <t>Nhật Nguyên sale</t>
  </si>
  <si>
    <t>HD050142</t>
  </si>
  <si>
    <t>Nhà Trọ Mai Anh, Ấp 3, Phước Kiển (cuối đường b7)</t>
  </si>
  <si>
    <t>Thanh Nguyễn fb Daisy Tran sale</t>
  </si>
  <si>
    <t>HD050083</t>
  </si>
  <si>
    <t>124/33 Tạ Quang Bửu p3</t>
  </si>
  <si>
    <t>Hồng Đỗ sale</t>
  </si>
  <si>
    <t>HD050314</t>
  </si>
  <si>
    <t>65/5 ấp tân tiến xã xuân thới đông</t>
  </si>
  <si>
    <t>Nguyễn Thị Yến Linh sale</t>
  </si>
  <si>
    <t>HD050192</t>
  </si>
  <si>
    <t>61a chương dương, linh chiểu</t>
  </si>
  <si>
    <t>Kim Hằng sale</t>
  </si>
  <si>
    <t>HD049176</t>
  </si>
  <si>
    <t>249/56 Vườn Lài, phú thọ hòa</t>
  </si>
  <si>
    <t>HD049921</t>
  </si>
  <si>
    <t>109/4 Nguyễn Thượng Hiền P. Bình Lợi Trung na</t>
  </si>
  <si>
    <t>Nhungg Nguyễn</t>
  </si>
  <si>
    <t>HD049092</t>
  </si>
  <si>
    <t>112/6 Nguyễn Duy Cung Phường 12</t>
  </si>
  <si>
    <t>chị trang sale</t>
  </si>
  <si>
    <t>HD050020</t>
  </si>
  <si>
    <t>91 Nguyễn Hữu Cảnh phường 22</t>
  </si>
  <si>
    <t>Nguyễn Thanh Huyền</t>
  </si>
  <si>
    <t>HD050119</t>
  </si>
  <si>
    <t>Toà A, chung cư dream homes 2, 148/21 Đường 59, Phường An Hội Tây</t>
  </si>
  <si>
    <t>Phượng</t>
  </si>
  <si>
    <t>HD047838</t>
  </si>
  <si>
    <t>102 xô viết nghệ tĩnh phường 21</t>
  </si>
  <si>
    <t>Khang Duy sale</t>
  </si>
  <si>
    <t>HD049798</t>
  </si>
  <si>
    <t>1180/17b Quang Trung p8</t>
  </si>
  <si>
    <t>HD047603</t>
  </si>
  <si>
    <t>Nguyen Thao-sale</t>
  </si>
  <si>
    <t>HD050302</t>
  </si>
  <si>
    <t>71/9 đường số 14, p8</t>
  </si>
  <si>
    <t>Nguyễn Thuận-sale</t>
  </si>
  <si>
    <t>HD049626</t>
  </si>
  <si>
    <t>27/4a đg 17 p hiệp bình chánh</t>
  </si>
  <si>
    <t>Hiền Thục sale</t>
  </si>
  <si>
    <t>HD049849</t>
  </si>
  <si>
    <t>71/35/10 Điện Biên Phủ, phường gia định</t>
  </si>
  <si>
    <t>HD050125</t>
  </si>
  <si>
    <t>198/29 đường số 3 thông tây hội</t>
  </si>
  <si>
    <t>Hoàng Kim Phượng sale</t>
  </si>
  <si>
    <t>HD048471</t>
  </si>
  <si>
    <t>920/3 Nguyễn Kiệm, phường Hạnh Thông</t>
  </si>
  <si>
    <t>W3164</t>
  </si>
  <si>
    <t>HD049373</t>
  </si>
  <si>
    <t>375 Tân Thới Hiệp 21, Tổ 3, Kp3</t>
  </si>
  <si>
    <t>Thảo Thảo Thảo sale</t>
  </si>
  <si>
    <t>HD050179</t>
  </si>
  <si>
    <t>740/33/4 Quốc Lộ 13, Tổ 3, Khu Phố 4, Phường Hiệp Bình Phước</t>
  </si>
  <si>
    <t>Hoàng Phương Thảo sale</t>
  </si>
  <si>
    <t>HD049678</t>
  </si>
  <si>
    <t>436 Điện Biên Phủ p17</t>
  </si>
  <si>
    <t>Mỹ Quyên-sale</t>
  </si>
  <si>
    <t>HD049964</t>
  </si>
  <si>
    <t>427/19 Phạm Văn Đồng, p11</t>
  </si>
  <si>
    <t>Thu Uyên sale</t>
  </si>
  <si>
    <t>HD049473</t>
  </si>
  <si>
    <t>241 Xô Viết Nghệ Tĩnh, Phường Gia Định (thuộc Phường 17)</t>
  </si>
  <si>
    <t>Huỳnh Thanh Ngân sale</t>
  </si>
  <si>
    <t>HD049877</t>
  </si>
  <si>
    <t>10/1 đường 38, hiệp bình</t>
  </si>
  <si>
    <t>Trang nguyen</t>
  </si>
  <si>
    <t>HD047635</t>
  </si>
  <si>
    <t>114/95/3 Tô Ngọc Vân, p. An hội đông</t>
  </si>
  <si>
    <t>Thy Lư sale</t>
  </si>
  <si>
    <t>HD048308</t>
  </si>
  <si>
    <t>35 Đào Duy Anh</t>
  </si>
  <si>
    <t>Pham Lan Anh saloe wed</t>
  </si>
  <si>
    <t>HD049872</t>
  </si>
  <si>
    <t>103/14c Trần Quang Diệu Phường 14</t>
  </si>
  <si>
    <t>Chị PHƯƠNG sale</t>
  </si>
  <si>
    <t>HD048806</t>
  </si>
  <si>
    <t>3 - 5 Hậu Giang</t>
  </si>
  <si>
    <t>Trinh Anh Trinh Anh sale</t>
  </si>
  <si>
    <t>HD049295</t>
  </si>
  <si>
    <t>Toà nhà Hải Âu, 39B Trường Sơn, p. Tân Sơn Nhất</t>
  </si>
  <si>
    <t>Tuyết Lan-sale</t>
  </si>
  <si>
    <t>HD050081</t>
  </si>
  <si>
    <t>74/4/13A Bạch Đằng, p2</t>
  </si>
  <si>
    <t>Nguyen Thi Ngoc Trang sale</t>
  </si>
  <si>
    <t>HD049494</t>
  </si>
  <si>
    <t>58/99 Nguyễn Minh Hoàng, phường 12</t>
  </si>
  <si>
    <t>Zoey Pham sale</t>
  </si>
  <si>
    <t>HD049568</t>
  </si>
  <si>
    <t>384 Hoàng Diệu phường Khánh Hội</t>
  </si>
  <si>
    <t>Kiều Xuân (SALE WEB)</t>
  </si>
  <si>
    <t>HD049667</t>
  </si>
  <si>
    <t>68/36 Đồng Nai, phường Hòa Hưng</t>
  </si>
  <si>
    <t>Trà Mi sale</t>
  </si>
  <si>
    <t>HD050053</t>
  </si>
  <si>
    <t>104 Phổ Quang, phường 2</t>
  </si>
  <si>
    <t>Anna Hoàng Tú sale</t>
  </si>
  <si>
    <t>HD050122</t>
  </si>
  <si>
    <t>542/28 Nguyễn Kiệm, phường 4</t>
  </si>
  <si>
    <t>Thảo Trần-sale</t>
  </si>
  <si>
    <t>HD048472</t>
  </si>
  <si>
    <t>20 Cộng Hoà, p12 (toà nhà Cộng Hoà garden)</t>
  </si>
  <si>
    <t>HD049990</t>
  </si>
  <si>
    <t>94D Phùng Văn Cung, P. Cầu Kiệu</t>
  </si>
  <si>
    <t>Mỹ Trúc sale</t>
  </si>
  <si>
    <t>HD049884</t>
  </si>
  <si>
    <t>586/8 Cộng Hoà P13</t>
  </si>
  <si>
    <t>Lê Tuyền sale</t>
  </si>
  <si>
    <t>HD049676</t>
  </si>
  <si>
    <t>412 Phan Xích Long, Cầu Kiệu</t>
  </si>
  <si>
    <t>Chu Ngọc Thương</t>
  </si>
  <si>
    <t>HD049852</t>
  </si>
  <si>
    <t>8f Trần Quang Diệu, Phường 13</t>
  </si>
  <si>
    <t>Na Phạm sale wed t8</t>
  </si>
  <si>
    <t>HD049947</t>
  </si>
  <si>
    <t>222 Pasteur, Phường Xuân Hòa</t>
  </si>
  <si>
    <t>Yuu Ki-sale</t>
  </si>
  <si>
    <t>HD049837</t>
  </si>
  <si>
    <t>148/1 Bàu Cát 1 p12</t>
  </si>
  <si>
    <t>Ngọc Hà sale</t>
  </si>
  <si>
    <t>HD049293</t>
  </si>
  <si>
    <t>15A Sông Đà, p2</t>
  </si>
  <si>
    <t>Vũ Nguyễn (FB Anh Dao) sale</t>
  </si>
  <si>
    <t>HD050247</t>
  </si>
  <si>
    <t>14/13/81 Thân Nhân Trung, Phường 13 (Đi hẻm 406 Cộng Hòa hết đường quẹo phải sẽ thấy công ty nằm cuối đường bên tay trái)</t>
  </si>
  <si>
    <t>Huyền Linh sale</t>
  </si>
  <si>
    <t>HD049756</t>
  </si>
  <si>
    <t>38 Trương Quốc Dung</t>
  </si>
  <si>
    <t>Duyên Nhận dùm (SALE WEB)</t>
  </si>
  <si>
    <t>HD0050170</t>
  </si>
  <si>
    <t>265 Lý Tự Trọng</t>
  </si>
  <si>
    <t>Mỹ Huyền sale</t>
  </si>
  <si>
    <t>HD050158</t>
  </si>
  <si>
    <t>54 Phùng Văn Cung, phường 7</t>
  </si>
  <si>
    <t>Như Quỳnh saleweb</t>
  </si>
  <si>
    <t>HD048296</t>
  </si>
  <si>
    <t>Hang Mickey sale</t>
  </si>
  <si>
    <t>HD049485</t>
  </si>
  <si>
    <t>Lô M - Chung cư Ngô Gia Tự, phường Vườn Lài (P2 cũ)</t>
  </si>
  <si>
    <t>Lệ Giang Giang</t>
  </si>
  <si>
    <t>HD049970</t>
  </si>
  <si>
    <t>791 Lê Hồng Phong P12</t>
  </si>
  <si>
    <t>HD049105</t>
  </si>
  <si>
    <t>Căn B3.0608, Chung cư The Marq, 29B Nguyễn Đình Chiểu, phường Sài Gòn (p đakao)</t>
  </si>
  <si>
    <t>Hằng Lê</t>
  </si>
  <si>
    <t>HD049389</t>
  </si>
  <si>
    <t>673/8A Đoàn Văn Bơ, p18</t>
  </si>
  <si>
    <t>Thu Hoài sale</t>
  </si>
  <si>
    <t>HD049906</t>
  </si>
  <si>
    <t>123 Bạch Đằng, phường Tân Sơn Hòa</t>
  </si>
  <si>
    <t>CUS19950/peispanhaketya</t>
  </si>
  <si>
    <t>HD050368</t>
  </si>
  <si>
    <t>270B Lý thường kiệt, khu phố 1, phường 6</t>
  </si>
  <si>
    <t>Ngọc Thảo sale</t>
  </si>
  <si>
    <t>HD050215</t>
  </si>
  <si>
    <t>525/134 Huỳnh Văn Bánh, Phường Phú Nhuận</t>
  </si>
  <si>
    <t>Cẩm Hiền Nguyễn</t>
  </si>
  <si>
    <t>HD049917</t>
  </si>
  <si>
    <t>466 Nguyễn Kiệm, Phường Đức Nhuận</t>
  </si>
  <si>
    <t>Nhi Le sale</t>
  </si>
  <si>
    <t>HD050195</t>
  </si>
  <si>
    <t>167 Ký Con phường bến thành</t>
  </si>
  <si>
    <t>giảm kh 10k</t>
  </si>
  <si>
    <t>Đinh Thảo-sale</t>
  </si>
  <si>
    <t>HD050923</t>
  </si>
  <si>
    <t>Vân Thân P. Bình Tiên</t>
  </si>
  <si>
    <t>AT 27-08</t>
  </si>
  <si>
    <t>27-08-2026</t>
  </si>
  <si>
    <t>Thân Thu Ha sale</t>
  </si>
  <si>
    <t>HD050318</t>
  </si>
  <si>
    <t>491A/33 Lê Văn Sỹ</t>
  </si>
  <si>
    <t>Huyền Lê-sale</t>
  </si>
  <si>
    <t>HD050892</t>
  </si>
  <si>
    <t>303 Trường Chinh, Phường Đông Hưng Thuận</t>
  </si>
  <si>
    <t>Yang HaNj sale</t>
  </si>
  <si>
    <t>HD050612</t>
  </si>
  <si>
    <t>Chung cư chương dương home 34 đường 12, block C1.1202, phường Trường Thọ</t>
  </si>
  <si>
    <t>Thư Lý sale</t>
  </si>
  <si>
    <t>HD050272</t>
  </si>
  <si>
    <t>269 Gia phú p1</t>
  </si>
  <si>
    <t>Mai Nguyễn-sale</t>
  </si>
  <si>
    <t>HD050366</t>
  </si>
  <si>
    <t>945/63/9 Lễ đức thọ p an hội đông</t>
  </si>
  <si>
    <t>Nguyễn Thanh Nhàn-sale</t>
  </si>
  <si>
    <t>HD050902</t>
  </si>
  <si>
    <t>53/12 đường số 5, phường Bình Hưng Hòa</t>
  </si>
  <si>
    <t>Huỳnh Như sale</t>
  </si>
  <si>
    <t>HD050485</t>
  </si>
  <si>
    <t>73a nguyễn thị minh khai phường bến thành</t>
  </si>
  <si>
    <t>(LOAN) fb Hoang Tran sale</t>
  </si>
  <si>
    <t>HD050458</t>
  </si>
  <si>
    <t>554/1/5 ng đinh chiểu, p4</t>
  </si>
  <si>
    <t>Nguyễn Châu Mai Linh sale</t>
  </si>
  <si>
    <t>HD049045</t>
  </si>
  <si>
    <t>29 đường tam hà, tam phú</t>
  </si>
  <si>
    <t>Bích Phượng sale</t>
  </si>
  <si>
    <t>HD048281</t>
  </si>
  <si>
    <t>305/13/10 Lê Văn Quới, p Bình Trị Đông</t>
  </si>
  <si>
    <t>Huệ Trần sale</t>
  </si>
  <si>
    <t>HD050483</t>
  </si>
  <si>
    <t>148/2 đường số 1, An Hội Đông</t>
  </si>
  <si>
    <t>Nguyễn Thủy</t>
  </si>
  <si>
    <t>HD050566</t>
  </si>
  <si>
    <t>71/46 gò xoài p bình hưng hòa a</t>
  </si>
  <si>
    <t>Phạm Quyên sale</t>
  </si>
  <si>
    <t>HD049901</t>
  </si>
  <si>
    <t>The Tresor - Building AP1 39 Bến Vân Đồn</t>
  </si>
  <si>
    <t>Trang Phan sale</t>
  </si>
  <si>
    <t>HD050735</t>
  </si>
  <si>
    <t>162/25, Đường Nguyễn Văn Khối, Phường 8</t>
  </si>
  <si>
    <t>Yến Nhi ( chị thảo ) SALE</t>
  </si>
  <si>
    <t>HD050764</t>
  </si>
  <si>
    <t>406/8 Cộng Hoà, phường 13</t>
  </si>
  <si>
    <t>an nhiên sale</t>
  </si>
  <si>
    <t>HD050364</t>
  </si>
  <si>
    <t>35A1 Lý Phục Man, p Bình Thuận</t>
  </si>
  <si>
    <t>Trần Diễm Uyên sale</t>
  </si>
  <si>
    <t>HD050625</t>
  </si>
  <si>
    <t>448/56/12 Phan Huy Ích, P12</t>
  </si>
  <si>
    <t>Anh Thư sale</t>
  </si>
  <si>
    <t>HD050627</t>
  </si>
  <si>
    <t>2 đường C1, phường Tân Bình</t>
  </si>
  <si>
    <t>Thúy Anh sale</t>
  </si>
  <si>
    <t>HD050917</t>
  </si>
  <si>
    <t>685/75 Xô viết nghệ tĩnh</t>
  </si>
  <si>
    <t>Trinh Diem-sale</t>
  </si>
  <si>
    <t>HD050717</t>
  </si>
  <si>
    <t>233 nguyễn văn luông p11</t>
  </si>
  <si>
    <t>Phan Gia Quyen sale</t>
  </si>
  <si>
    <t>HD050451</t>
  </si>
  <si>
    <t>168/12 bạch đằng, p24</t>
  </si>
  <si>
    <t>Thanh Phương-sale</t>
  </si>
  <si>
    <t>HD049590</t>
  </si>
  <si>
    <t>354D Toà nhà đất xanh, nguyễn xí, phường bình lợi trung</t>
  </si>
  <si>
    <t>HD048466</t>
  </si>
  <si>
    <t>Ngoc Ng sale</t>
  </si>
  <si>
    <t>HD050526</t>
  </si>
  <si>
    <t>115/8/2a phạm hữu lầu</t>
  </si>
  <si>
    <t>Thu Trang-sale</t>
  </si>
  <si>
    <t>HD050645</t>
  </si>
  <si>
    <t>75, Đường số 1, KDC Khang An, Khu phố 10, Phường Long Trường</t>
  </si>
  <si>
    <t>Cadie Doan-sale</t>
  </si>
  <si>
    <t>HD050866</t>
  </si>
  <si>
    <t>159 Điện Biên Phủ, Phường 15</t>
  </si>
  <si>
    <t>HD050417</t>
  </si>
  <si>
    <t>Thuý Suri-sale</t>
  </si>
  <si>
    <t>HD050847</t>
  </si>
  <si>
    <t>29/8/25H bến Bình Đông p15</t>
  </si>
  <si>
    <t>meomeo-sale</t>
  </si>
  <si>
    <t>HD050916</t>
  </si>
  <si>
    <t>216/1 Nguyễn Văn Nghi, Phường Hạnh Thông</t>
  </si>
  <si>
    <t>Chị Tú sale</t>
  </si>
  <si>
    <t>HD050549</t>
  </si>
  <si>
    <t>321 An Dương Vương, an lạc</t>
  </si>
  <si>
    <t>Hisu Suong sale</t>
  </si>
  <si>
    <t>HD050476</t>
  </si>
  <si>
    <t>157/28 Nguyễn Gia Trí</t>
  </si>
  <si>
    <t>Giang Thi sale</t>
  </si>
  <si>
    <t>HD050621</t>
  </si>
  <si>
    <t>454 lý thường kiệt phường bẩy</t>
  </si>
  <si>
    <t>Huynh (SALE WEB)</t>
  </si>
  <si>
    <t>HD050731</t>
  </si>
  <si>
    <t>38 Huynh Lan Khanh, Phường 2</t>
  </si>
  <si>
    <t>Hân Bùi</t>
  </si>
  <si>
    <t>HD050157</t>
  </si>
  <si>
    <t>Số 1 phú mỹ phường 22</t>
  </si>
  <si>
    <t>Ba Quang fb Kim Anh</t>
  </si>
  <si>
    <t>HD050503</t>
  </si>
  <si>
    <t>226/17/14J Nguyễn Văn Lượng F17</t>
  </si>
  <si>
    <t>Xuyen Nguyen sale</t>
  </si>
  <si>
    <t>HD050355</t>
  </si>
  <si>
    <t>2143/14 Phạm Thế Hiển p6</t>
  </si>
  <si>
    <t>tăng ngọc mỹ</t>
  </si>
  <si>
    <t>HD050623</t>
  </si>
  <si>
    <t>số 124 đường số 24b, p an lạc</t>
  </si>
  <si>
    <t>Thanh Tuyền-sale</t>
  </si>
  <si>
    <t>HD050900</t>
  </si>
  <si>
    <t>14/10b văn chung p13</t>
  </si>
  <si>
    <t>Thục Linh sale</t>
  </si>
  <si>
    <t>HD050444</t>
  </si>
  <si>
    <t>Nguyễn Thiên Lý sale</t>
  </si>
  <si>
    <t>HD050614</t>
  </si>
  <si>
    <t>Tháp T1, Toà Nhà Masteri, Số 159 Block A, Xa Lộ Hà Nội, Phường Thảo Điền</t>
  </si>
  <si>
    <t>Hạnh Hạnh-sale</t>
  </si>
  <si>
    <t>HD050823</t>
  </si>
  <si>
    <t>57/6/24, Điện Biên Phủ, Phường Gia Định</t>
  </si>
  <si>
    <t>Thu Hien sale</t>
  </si>
  <si>
    <t>HD048743</t>
  </si>
  <si>
    <t>Block D, Cc Ecogreen, 39b Nguyễn Văn Linh p. tân thuận tây</t>
  </si>
  <si>
    <t>Nhi Tuyết</t>
  </si>
  <si>
    <t>HD048691</t>
  </si>
  <si>
    <t>68 đường A4 phường Bảy Hiền</t>
  </si>
  <si>
    <t>diễm my sale</t>
  </si>
  <si>
    <t>HD050468</t>
  </si>
  <si>
    <t>26 Huỳnh Đình Hai, Phường Bình Thạnh</t>
  </si>
  <si>
    <t>Huỳnh Quế Trinh</t>
  </si>
  <si>
    <t>HD050469</t>
  </si>
  <si>
    <t>166 đường số 1, khu phố 25, phường Bình Hưng Hòa</t>
  </si>
  <si>
    <t>Thanh Thư sale</t>
  </si>
  <si>
    <t>HD050406</t>
  </si>
  <si>
    <t>18 Trịnh Văn Cẩn, phường ông lãnh</t>
  </si>
  <si>
    <t>Thảo Nguyễn sale</t>
  </si>
  <si>
    <t>HD050537</t>
  </si>
  <si>
    <t>21 đường số 8 - Hà Đô Centrosa - Phường 12</t>
  </si>
  <si>
    <t>Dieu Thao Nguyen sale</t>
  </si>
  <si>
    <t>HD050213</t>
  </si>
  <si>
    <t>50 Trần Não, p An Khánh</t>
  </si>
  <si>
    <t>Nguyễn Đào sale</t>
  </si>
  <si>
    <t>HD050770</t>
  </si>
  <si>
    <t>670/59/16 đoàn văn bơ p16</t>
  </si>
  <si>
    <t>Châu Tường Vy-sale</t>
  </si>
  <si>
    <t>HD050751</t>
  </si>
  <si>
    <t>1002 Tạ Quang Bửu, p6, Cc the pegasuit</t>
  </si>
  <si>
    <t>Ngọc Trân</t>
  </si>
  <si>
    <t>HD050577</t>
  </si>
  <si>
    <t>333 Tân Hoà Đông Phường Bình Trị Đông</t>
  </si>
  <si>
    <t>Ánh Thư Trịnh Trương sale</t>
  </si>
  <si>
    <t>HD050055</t>
  </si>
  <si>
    <t>Căn TM05 block A Lavita garden số 17 đường số 3 phường Trường Thọ</t>
  </si>
  <si>
    <t>Yin Nguyễn-sale</t>
  </si>
  <si>
    <t>HD050821</t>
  </si>
  <si>
    <t>116a đường số 16 p tân quy</t>
  </si>
  <si>
    <t>Thảo Ly sale</t>
  </si>
  <si>
    <t>HD048991</t>
  </si>
  <si>
    <t>78/33 Trần Thị Trọng p15</t>
  </si>
  <si>
    <t>Nguyễn Nhị Quỳnh sale</t>
  </si>
  <si>
    <t>HD048544</t>
  </si>
  <si>
    <t>Hạ Lâm-sale</t>
  </si>
  <si>
    <t>HD050754</t>
  </si>
  <si>
    <t>1 đường số 8 khu dân cư Hai Thành phường An Lạc</t>
  </si>
  <si>
    <t>Đại Ngọc-sale</t>
  </si>
  <si>
    <t>HD049439</t>
  </si>
  <si>
    <t>94 Nguyễn Cửu Vân</t>
  </si>
  <si>
    <t>Lương Trà An sale</t>
  </si>
  <si>
    <t>HD050316</t>
  </si>
  <si>
    <t>Chung cư Emerald 2, đường N4 phường Sơn Kỳ</t>
  </si>
  <si>
    <t>Kelly Vo sale</t>
  </si>
  <si>
    <t>HD049765</t>
  </si>
  <si>
    <t>128/50 Lê Van Duyệt phường 1</t>
  </si>
  <si>
    <t>Phạm Dung sale</t>
  </si>
  <si>
    <t>HD050183</t>
  </si>
  <si>
    <t>208 Nguyễn Hữu Cảnh, phường 22, Chung cư Vinhome Toà Landmark 5</t>
  </si>
  <si>
    <t>HD050296</t>
  </si>
  <si>
    <t>82 Trần Hưng Đạo p an đông</t>
  </si>
  <si>
    <t>Hanh Hong Vo-sale</t>
  </si>
  <si>
    <t>HD050596</t>
  </si>
  <si>
    <t>137 Hà Huy Giáp p Thạnh Lộc</t>
  </si>
  <si>
    <t>Thu Ngân sale</t>
  </si>
  <si>
    <t>HD050619</t>
  </si>
  <si>
    <t>D3/22 Nguyễn Thị Tú, Ấp 4, Xã Tân Vĩnh Lộc</t>
  </si>
  <si>
    <t>Đặng Bảo Hân</t>
  </si>
  <si>
    <t>HD049335</t>
  </si>
  <si>
    <t>Toà E Chung cư Masteri Centre Point, đường D1, phường Long Bình</t>
  </si>
  <si>
    <t>Trần Hương sale</t>
  </si>
  <si>
    <t>HD050135</t>
  </si>
  <si>
    <t>422 Đào Trí, Phú Thuận</t>
  </si>
  <si>
    <t>Vân Thi sale</t>
  </si>
  <si>
    <t>HD049960</t>
  </si>
  <si>
    <t>89/25 phùng hưng, phường 12</t>
  </si>
  <si>
    <t>My Sa sale</t>
  </si>
  <si>
    <t>HD050389</t>
  </si>
  <si>
    <t>71/2/99 Nguyễn Bặc, p3</t>
  </si>
  <si>
    <t>Heo Nè sale</t>
  </si>
  <si>
    <t>HD050427</t>
  </si>
  <si>
    <t>51/5 Thành Thái p. diên hồng</t>
  </si>
  <si>
    <t>Lương Mỹ Duyên sale8</t>
  </si>
  <si>
    <t>HD050344</t>
  </si>
  <si>
    <t>08 Lỗ Giáng 22 Hoà Xuân</t>
  </si>
  <si>
    <t>Khoa Nguyễn</t>
  </si>
  <si>
    <t>HD050736</t>
  </si>
  <si>
    <t>998/42/11u1 Quang Trung</t>
  </si>
  <si>
    <t>Nguyễn Ngọc Mẫn sale</t>
  </si>
  <si>
    <t>HD050657</t>
  </si>
  <si>
    <t>1319/1D1 Lê Đức Thọ, P13</t>
  </si>
  <si>
    <t>HD050216</t>
  </si>
  <si>
    <t>186 Nguyễn Hữu Tiến, p. tây thạnh</t>
  </si>
  <si>
    <t>Trân Trân-sale</t>
  </si>
  <si>
    <t>HD050758</t>
  </si>
  <si>
    <t>111 Lý Chính Thắng phường Xuân Hòa</t>
  </si>
  <si>
    <t>Kiều Diễm sale</t>
  </si>
  <si>
    <t>HD050498</t>
  </si>
  <si>
    <t>36A Đường số 81, phường Tân Hưng</t>
  </si>
  <si>
    <t>Nguyễn Thùy Dung (SALE WEB)</t>
  </si>
  <si>
    <t>HD050644</t>
  </si>
  <si>
    <t>106A cư xá Nguyễn Văn Trỗi, Phường 17</t>
  </si>
  <si>
    <t>Ngọc Nguyễn sale</t>
  </si>
  <si>
    <t>HD050496</t>
  </si>
  <si>
    <t>Kelly Hoang sale</t>
  </si>
  <si>
    <t>HD050787</t>
  </si>
  <si>
    <t>29/4 Tran Huu Trang f11</t>
  </si>
  <si>
    <t>Khả Hân-sale web</t>
  </si>
  <si>
    <t>HD050638</t>
  </si>
  <si>
    <t>60 Phan Bá Vành</t>
  </si>
  <si>
    <t>Nguyễn Hải Yến (sale web)</t>
  </si>
  <si>
    <t>HD048992</t>
  </si>
  <si>
    <t>Bệnh Viện Hà Thành 57-59 Vũ Thạnh</t>
  </si>
  <si>
    <t>Trang Trần sale</t>
  </si>
  <si>
    <t>HD048584</t>
  </si>
  <si>
    <t>79 Lê Quyên phường 5</t>
  </si>
  <si>
    <t>Vy sale wed t8</t>
  </si>
  <si>
    <t>HD050101</t>
  </si>
  <si>
    <t>341/2A Lưu Hữu Phước Phường Phú Định</t>
  </si>
  <si>
    <t>Mỹ Hằng (Chị Ngân)</t>
  </si>
  <si>
    <t>HD050553</t>
  </si>
  <si>
    <t>154/4/7 Nguyễn Phúc Chu, P.15</t>
  </si>
  <si>
    <t>Nguyen Nguyen sale</t>
  </si>
  <si>
    <t>HD049288</t>
  </si>
  <si>
    <t>Chung cu sunrise riverise phước kiểng</t>
  </si>
  <si>
    <t>Đinh Thị Kim Lan sale</t>
  </si>
  <si>
    <t>HD049317</t>
  </si>
  <si>
    <t>Thảo Vy sale</t>
  </si>
  <si>
    <t>HD049683</t>
  </si>
  <si>
    <t>28/20 đường số 11, phường An Phú</t>
  </si>
  <si>
    <t>Thủy Phạm sale</t>
  </si>
  <si>
    <t>HD048746</t>
  </si>
  <si>
    <t>62B Trần Bình Trọng, Bình Lợi Trung</t>
  </si>
  <si>
    <t>Vani Vani sale</t>
  </si>
  <si>
    <t>HD047298</t>
  </si>
  <si>
    <t>81 Trường Chinh, phường Bảy Hiền</t>
  </si>
  <si>
    <t>Yến Nhi sale wed t8</t>
  </si>
  <si>
    <t>HD050011</t>
  </si>
  <si>
    <t>69/27/2 Lê Văn Thọ, phường Thông Tây Hội</t>
  </si>
  <si>
    <t>Hương Ngô sale</t>
  </si>
  <si>
    <t>HD050286</t>
  </si>
  <si>
    <t>Chung cư Lumiere Boulevard Toà B vinhomes grand park phường long bình</t>
  </si>
  <si>
    <t>Vũ Chi SALE WED T8</t>
  </si>
  <si>
    <t>HD050569</t>
  </si>
  <si>
    <t>HD050357</t>
  </si>
  <si>
    <t>số 600, nguyễn lương bằng, p. Phú Mỹ</t>
  </si>
  <si>
    <t>mỹ duyên..-sale</t>
  </si>
  <si>
    <t>HD049908</t>
  </si>
  <si>
    <t>32 Thi Sách phường Sài Gòn</t>
  </si>
  <si>
    <t>HD050429</t>
  </si>
  <si>
    <t>2348 Huỳnh Tấn Phát</t>
  </si>
  <si>
    <t>Beatrice ng Hui xian</t>
  </si>
  <si>
    <t>HD048059</t>
  </si>
  <si>
    <t>339/25A Đ. Lê Văn Sỹ, Nhiêu Lộc</t>
  </si>
  <si>
    <t>chị dâu (SALE WEB)</t>
  </si>
  <si>
    <t>HD048985</t>
  </si>
  <si>
    <t>534-536 Điện Biên Phủ (phường Vườn Lài)</t>
  </si>
  <si>
    <t>Linh Linh sale</t>
  </si>
  <si>
    <t>HD050200</t>
  </si>
  <si>
    <t>54/3s ấp mỹ hoà 1, xã trung chánh</t>
  </si>
  <si>
    <t>Hà An sale</t>
  </si>
  <si>
    <t>HD050270</t>
  </si>
  <si>
    <t>81/8 Bùi Ngọc Thu, P. Chánh Hiệp</t>
  </si>
  <si>
    <t>Như Loan sale</t>
  </si>
  <si>
    <t>HD049613</t>
  </si>
  <si>
    <t>108 Đặng Văn Bi, Phường Thủ Đức</t>
  </si>
  <si>
    <t>HD050201</t>
  </si>
  <si>
    <t>Nguyễn Mỹ Hiền sale</t>
  </si>
  <si>
    <t>HD050734</t>
  </si>
  <si>
    <t>The Gold Coffee&amp;Tea, đường DE4, phường thới hòa</t>
  </si>
  <si>
    <t>Nguyễn Thị Ngọc Hường SALE</t>
  </si>
  <si>
    <t>HD050467</t>
  </si>
  <si>
    <t>1418 Vĩnh Lộc, ấp 6 xã vĩnh lộc b</t>
  </si>
  <si>
    <t>Nguyễn Thị Thúy salw</t>
  </si>
  <si>
    <t>HD050204</t>
  </si>
  <si>
    <t>382 Nguyễn Văn Luông, Phú Lâm</t>
  </si>
  <si>
    <t>Cao Cam Tuyen sale wed</t>
  </si>
  <si>
    <t>HD050280</t>
  </si>
  <si>
    <t>363 Kênh Tân Hoá, Hòa Thạnh</t>
  </si>
  <si>
    <t>Kim Hân sale</t>
  </si>
  <si>
    <t>HD050436</t>
  </si>
  <si>
    <t>Vinhome Grand Park s8.02 Nguyễn Xiển</t>
  </si>
  <si>
    <t>Thảo Nguyên sale</t>
  </si>
  <si>
    <t>HD050441</t>
  </si>
  <si>
    <t>34 - 36 Đ. Nguyễn Thị Thập, Khu đô thị mới, Khu đô thị Him Lam, Tân Hưng</t>
  </si>
  <si>
    <t>Nguyễn Hân (SALE WEB)</t>
  </si>
  <si>
    <t>HD050599</t>
  </si>
  <si>
    <t>C10-e24 đường Phạm Hùng xã bình hưng</t>
  </si>
  <si>
    <t>Yến Phạm sale</t>
  </si>
  <si>
    <t>HD050199</t>
  </si>
  <si>
    <t>90/45 Dương Bá Trạc, Chánh Hưng</t>
  </si>
  <si>
    <t>Sophia Huynh sale</t>
  </si>
  <si>
    <t>HD050517</t>
  </si>
  <si>
    <t>936 Nguyễn Trãi, phường 14</t>
  </si>
  <si>
    <t>HD050335</t>
  </si>
  <si>
    <t>2/1 Lê Thúc Hoạch p phú thọ hòa</t>
  </si>
  <si>
    <t>Hoàng Thụy Yến sale</t>
  </si>
  <si>
    <t>HD049504</t>
  </si>
  <si>
    <t>Chung cư The Privia Khang Điền, 321 An Dương Vương, Phường an lạc, Block C, C12-06</t>
  </si>
  <si>
    <t>Mie Mie</t>
  </si>
  <si>
    <t>HD050424</t>
  </si>
  <si>
    <t>108 đường 85 tân hưng</t>
  </si>
  <si>
    <t>Lin Bi sale</t>
  </si>
  <si>
    <t>HD050438</t>
  </si>
  <si>
    <t>Chung cư Nam Khang, Nguyễn Lương Bằng, Phường Tân Phú</t>
  </si>
  <si>
    <t>Phương Uyên sale</t>
  </si>
  <si>
    <t>HD050385</t>
  </si>
  <si>
    <t>12 võ công tồn, phú thọ hòa</t>
  </si>
  <si>
    <t>HD048801</t>
  </si>
  <si>
    <t>50 đường 18 khu dân cư phong Phú 4 xã Phong Phú</t>
  </si>
  <si>
    <t>Trang Thùy Nguyễn sale</t>
  </si>
  <si>
    <t>HD048106</t>
  </si>
  <si>
    <t>9 Đường số 4 kp4 An Khánh</t>
  </si>
  <si>
    <t>Na sale</t>
  </si>
  <si>
    <t>HD050223</t>
  </si>
  <si>
    <t>002 tạ quang bửu</t>
  </si>
  <si>
    <t>Trang sale wed t8</t>
  </si>
  <si>
    <t>HD050255</t>
  </si>
  <si>
    <t>259 Trần Hưng Đạo p Cô Giang</t>
  </si>
  <si>
    <t>Ngọc Dung sale</t>
  </si>
  <si>
    <t>HD049028</t>
  </si>
  <si>
    <t>2581/79a Huỳnh Tấn Phát</t>
  </si>
  <si>
    <t>Ngọc Trinh-sale web</t>
  </si>
  <si>
    <t>HD047775</t>
  </si>
  <si>
    <t>Hẻm 1190 Lê Văn Lương, Phước Kiển</t>
  </si>
  <si>
    <t>m.leakhena</t>
  </si>
  <si>
    <t>HD050211</t>
  </si>
  <si>
    <t>536 Lê Thị Riêng</t>
  </si>
  <si>
    <t>HD049745</t>
  </si>
  <si>
    <t>Chung cư Tecco, block C, đường Nguyễn Cửu Phú, phường Tân Tạo</t>
  </si>
  <si>
    <t>Thắm Phan sale</t>
  </si>
  <si>
    <t>HD050289</t>
  </si>
  <si>
    <t>16/6 Nguyễn Văn Nghi - Phường An Nhơn</t>
  </si>
  <si>
    <t>Hoàng Oanh sale</t>
  </si>
  <si>
    <t>HD050484</t>
  </si>
  <si>
    <t>125/11D ấp Tân Thới 2</t>
  </si>
  <si>
    <t>Vương Diễm sale</t>
  </si>
  <si>
    <t>HD049904</t>
  </si>
  <si>
    <t>1321/3C Huỳnh Tấn Phát phường phú thuận</t>
  </si>
  <si>
    <t>Tâm sale</t>
  </si>
  <si>
    <t>HD050381</t>
  </si>
  <si>
    <t>10 đường DD4, lô E4, kdc An Sương, p. Đông Hưng Thuận</t>
  </si>
  <si>
    <t>Khánh Ly sale</t>
  </si>
  <si>
    <t>HD049821</t>
  </si>
  <si>
    <t>Tòa D (Căn D2.19.08), Lumiere Boulevard, Vinhomes Grand Park, Phường Long Bình</t>
  </si>
  <si>
    <t>Hà Trần sale</t>
  </si>
  <si>
    <t>HD048201</t>
  </si>
  <si>
    <t>65 Linh Đông, phường hiệp bình</t>
  </si>
  <si>
    <t>Kim Mai sale</t>
  </si>
  <si>
    <t>HD050502</t>
  </si>
  <si>
    <t>69 đường 29 phường an lạc</t>
  </si>
  <si>
    <t>HD049911</t>
  </si>
  <si>
    <t>15b/18 Lê Thánh Tôn bến nghé</t>
  </si>
  <si>
    <t>Tuyên Bùi sale</t>
  </si>
  <si>
    <t>HD050046</t>
  </si>
  <si>
    <t>170C Quang Trung, P. 10</t>
  </si>
  <si>
    <t>Ngọc Nhi sale</t>
  </si>
  <si>
    <t>HD050187</t>
  </si>
  <si>
    <t>47/7, Đường Số 10, Trường Thọ</t>
  </si>
  <si>
    <t>Hoài Thư (SALE WEB)</t>
  </si>
  <si>
    <t>HD049920</t>
  </si>
  <si>
    <t>Chung cư Hạnh Phúc, đường Nguyễn Văn Linh, Xã Bình Hưng</t>
  </si>
  <si>
    <t>Le Thuy Tien sale</t>
  </si>
  <si>
    <t>HD049682</t>
  </si>
  <si>
    <t>Nguyễn Ảnh Thủ, phường Tân Phước</t>
  </si>
  <si>
    <t>Võ Hồng sale</t>
  </si>
  <si>
    <t>HD049875</t>
  </si>
  <si>
    <t>96 Ung Văn Khiêm phường thạnh mỹ tây</t>
  </si>
  <si>
    <t>Ly Lin sale</t>
  </si>
  <si>
    <t>HD0049703</t>
  </si>
  <si>
    <t>490/37/37 Hương lộ 2 phường Bình Trị Đông</t>
  </si>
  <si>
    <t>Trần Đặng Mỹ Chung sale</t>
  </si>
  <si>
    <t>HD049792</t>
  </si>
  <si>
    <t>502/63 Huỳnh Tấn Phát p bình thuận</t>
  </si>
  <si>
    <t>Hiền Như sale</t>
  </si>
  <si>
    <t>HD050063</t>
  </si>
  <si>
    <t>181 đường số 5, phường gò vấp</t>
  </si>
  <si>
    <t>Ai Thien Tran sale</t>
  </si>
  <si>
    <t>HD049588</t>
  </si>
  <si>
    <t>41A Nguyễn Phi Khanh, P. Tân Định</t>
  </si>
  <si>
    <t>Duyên Dịu Dàng sale</t>
  </si>
  <si>
    <t>HD049923</t>
  </si>
  <si>
    <t>111/37A Lê Đình Cẩn, Tân Tạo</t>
  </si>
  <si>
    <t>Hương Nguyên sale</t>
  </si>
  <si>
    <t>HD050305</t>
  </si>
  <si>
    <t>Tháp S4, The Sun Avenue, 28 Mai Chí Thọ, phường bình trưng</t>
  </si>
  <si>
    <t>Nguyễn Thúy Hằng sale</t>
  </si>
  <si>
    <t>HD050006</t>
  </si>
  <si>
    <t>47 đường 281 Lý thường kiệt, p15</t>
  </si>
  <si>
    <t>Nguyễn Thị Hồng Vân sale</t>
  </si>
  <si>
    <t>HD049698</t>
  </si>
  <si>
    <t>86/10/23 võ thị thừa p. An Phú Đông</t>
  </si>
  <si>
    <t>Phương Mi sale</t>
  </si>
  <si>
    <t>HD049685</t>
  </si>
  <si>
    <t>346B ấp chiến lược (nhà kế bên 346), phường bình hưng hòa</t>
  </si>
  <si>
    <t>Kim Ngân SALE</t>
  </si>
  <si>
    <t>HD0049950</t>
  </si>
  <si>
    <t>A5/18E đường 1C vĩnh lộc</t>
  </si>
  <si>
    <t>Út Vinh sale</t>
  </si>
  <si>
    <t>HD049684</t>
  </si>
  <si>
    <t>Lô 3-3A CN1 Tây Thạnh</t>
  </si>
  <si>
    <t>Tên Thư_FB: Tracy Trang sale</t>
  </si>
  <si>
    <t>HD049512</t>
  </si>
  <si>
    <t>695 Phạm Văn Chiêu phường 13</t>
  </si>
  <si>
    <t>Nguyen An sale</t>
  </si>
  <si>
    <t>HD049836</t>
  </si>
  <si>
    <t>05 Trương Quốc Dung, Phường Phú Nhuận</t>
  </si>
  <si>
    <t>Loan Lương</t>
  </si>
  <si>
    <t>HD050152</t>
  </si>
  <si>
    <t>Chung cư Richstar 2, toà RS7, 239-241 Hoà Bình, Hiệp Tân</t>
  </si>
  <si>
    <t>Hứa Hân sale</t>
  </si>
  <si>
    <t>HD050050</t>
  </si>
  <si>
    <t>31/15/1 Ung Văn Khiêm</t>
  </si>
  <si>
    <t>Nguyễn Thúy sale</t>
  </si>
  <si>
    <t>HD050146</t>
  </si>
  <si>
    <t>230 đại lộ bình dương khách sạn Becamex Phú lợi</t>
  </si>
  <si>
    <t>Phụng Nguyễn sale</t>
  </si>
  <si>
    <t>HD050044</t>
  </si>
  <si>
    <t>33/4 đường tx52 phường thới an</t>
  </si>
  <si>
    <t>Hồ Nguyễn Quỳnh Như sale</t>
  </si>
  <si>
    <t>HD049697</t>
  </si>
  <si>
    <t>Thuỳ Nguyễn sale</t>
  </si>
  <si>
    <t>HD049839</t>
  </si>
  <si>
    <t>Cty sb Sài Gòn đường số 8, khu chế xuất tân thuận, phường tân thuận đông</t>
  </si>
  <si>
    <t>Phạm Thư sale</t>
  </si>
  <si>
    <t>HD049957</t>
  </si>
  <si>
    <t>33 dd2 kdc An Sương - Đông Hưng Thuận</t>
  </si>
  <si>
    <t>Thuỷ Hằng sale</t>
  </si>
  <si>
    <t>HD050126</t>
  </si>
  <si>
    <t>Tòa Nhà 81, Sảnh Cư Dân Tòa Nhà Landmark 81, Đường Nguyễn Hữu Cảnh, Phường Thạnh Mỹ Tây</t>
  </si>
  <si>
    <t>Huyền Trân sale</t>
  </si>
  <si>
    <t>HD050182</t>
  </si>
  <si>
    <t>37 An Phú Đông 10 phường An Phú Đông</t>
  </si>
  <si>
    <t>Quỳnh Hương Nguyễn sale</t>
  </si>
  <si>
    <t>HD050100</t>
  </si>
  <si>
    <t>97i Nguyễn Duy Dương p9</t>
  </si>
  <si>
    <t>Thủy Ngân sale</t>
  </si>
  <si>
    <t>HD049690</t>
  </si>
  <si>
    <t>51/5 Phan văn hớn, bà điểm</t>
  </si>
  <si>
    <t>Vo Lam Xuan Thao</t>
  </si>
  <si>
    <t>HD049526</t>
  </si>
  <si>
    <t>643/67B Xô Viết Nghệ Tĩnh, P. Bình Thạnh</t>
  </si>
  <si>
    <t>Hương Dung sale</t>
  </si>
  <si>
    <t>HD050173</t>
  </si>
  <si>
    <t>Số 8 đường D1 (Toà Lumiere Erica - vinhome grandpark), p. Long Bình</t>
  </si>
  <si>
    <t>Hoài Nari sale</t>
  </si>
  <si>
    <t>HD049763</t>
  </si>
  <si>
    <t>19r4 đường Nguyễn Hữu Cảnh, thạnh mỹ tây</t>
  </si>
  <si>
    <t>Yến Oanh sale</t>
  </si>
  <si>
    <t>HD050171</t>
  </si>
  <si>
    <t>c10/33, đường Nguyễn Văn Linh, xã Bình Hưng</t>
  </si>
  <si>
    <t>8/1 Nguyễn Ảnh Thủ, trung chánh</t>
  </si>
  <si>
    <t>MIEW2</t>
  </si>
  <si>
    <t>275/14B1 Đặng Nguyễn Cẩn, Phường Phú Lâm</t>
  </si>
  <si>
    <t>HUONG DUONG TROI</t>
  </si>
  <si>
    <t>37 Thích Minh Nguyệt, phường 2</t>
  </si>
  <si>
    <t>EM NA</t>
  </si>
  <si>
    <t>16/2 THÁI THỊ NHẠN P10</t>
  </si>
  <si>
    <t>MAI TRẦN</t>
  </si>
  <si>
    <t>135 hải thượng lãn ông P10</t>
  </si>
  <si>
    <t>at 27-08</t>
  </si>
  <si>
    <t>Pham Trang sale</t>
  </si>
  <si>
    <t>HD049828</t>
  </si>
  <si>
    <t>343/68 phan xích long phường 1 (vào hẻm 3 căn nhà là tới- cty BF)</t>
  </si>
  <si>
    <t>Trương Mộc Nghị</t>
  </si>
  <si>
    <t>HD051200</t>
  </si>
  <si>
    <t>241a/11 Huỳnh Văn bánh</t>
  </si>
  <si>
    <t>Trâm fb Duy N Le sale cọc 200</t>
  </si>
  <si>
    <t>HD050682</t>
  </si>
  <si>
    <t>192 trần bá giao p5</t>
  </si>
  <si>
    <t>Hoàng phương VI (SALE WEB)</t>
  </si>
  <si>
    <t>HD049514</t>
  </si>
  <si>
    <t>83 Trương Văn Bang p Thạnh Mỹ Lợi</t>
  </si>
  <si>
    <t>Bảo Trâm Tôn Nữ sale</t>
  </si>
  <si>
    <t>HD051515</t>
  </si>
  <si>
    <t>198/9 nguyễn văn khối p9</t>
  </si>
  <si>
    <t>Trần Lê Thi Thiên sale wed t8</t>
  </si>
  <si>
    <t>HD051430</t>
  </si>
  <si>
    <t>380/16/9 lê văn lương Phường tân hưng</t>
  </si>
  <si>
    <t>Ánh Hoàng-sale</t>
  </si>
  <si>
    <t>HD048916</t>
  </si>
  <si>
    <t>Stown tham lương sảnh B đường C phường tân thới nhất</t>
  </si>
  <si>
    <t>HD051233</t>
  </si>
  <si>
    <t>222 Pasteur, phường Xuân Hòa</t>
  </si>
  <si>
    <t>HD050260</t>
  </si>
  <si>
    <t>Trúc Linh sale</t>
  </si>
  <si>
    <t>HD051015</t>
  </si>
  <si>
    <t>55 tăng nhơn phú, phước long b</t>
  </si>
  <si>
    <t>HD050962</t>
  </si>
  <si>
    <t>Trần Mỹ Nhi sale</t>
  </si>
  <si>
    <t>HD048514</t>
  </si>
  <si>
    <t>408 nguyễn tri phương vườn lài</t>
  </si>
  <si>
    <t>HD050850</t>
  </si>
  <si>
    <t>Gemma Nguyen sale</t>
  </si>
  <si>
    <t>HD050124</t>
  </si>
  <si>
    <t>198/42 đường số 8 phường bình hưng hòa</t>
  </si>
  <si>
    <t>tram</t>
  </si>
  <si>
    <t>HD049489</t>
  </si>
  <si>
    <t>Chung cư sinh lợi duong 18 bình hưng</t>
  </si>
  <si>
    <t>Thanh Ngoc sale</t>
  </si>
  <si>
    <t>HD051203</t>
  </si>
  <si>
    <t>160/27d nguyễn duy dương p2</t>
  </si>
  <si>
    <t>Lý Huỳnh Lam-sale</t>
  </si>
  <si>
    <t>HD051232</t>
  </si>
  <si>
    <t>132-134 đường 6A KDC ĐẠI PHÚC, BÌNH HƯNG</t>
  </si>
  <si>
    <t>Nguyễn Ngọc Linh sale</t>
  </si>
  <si>
    <t>HD050925</t>
  </si>
  <si>
    <t>134/5 đường số 8, phường thông tây hội (phường 11 cũ)</t>
  </si>
  <si>
    <t>HD051254</t>
  </si>
  <si>
    <t>Hữu Tuấn - FB Tram Van SALE</t>
  </si>
  <si>
    <t>HD051204</t>
  </si>
  <si>
    <t>339/31 Le Van Sy, Phuong 13</t>
  </si>
  <si>
    <t>HD051163</t>
  </si>
  <si>
    <t>87/5 Nguyễn Sỹ Sách p. 15</t>
  </si>
  <si>
    <t>Hoài Thanh sale wed t8</t>
  </si>
  <si>
    <t>HD051321</t>
  </si>
  <si>
    <t>110/9/2 đường số 1, phường an hội đông</t>
  </si>
  <si>
    <t>Trinh Võ</t>
  </si>
  <si>
    <t>HD051322</t>
  </si>
  <si>
    <t>119b/60 Nguyễn thị Tân p2</t>
  </si>
  <si>
    <t>Tiểu Cường (giao chiều)-sale</t>
  </si>
  <si>
    <t>HD050242</t>
  </si>
  <si>
    <t>199/10A Bạch Đằng, phường 2</t>
  </si>
  <si>
    <t>Nguyễn Hằng (sale)</t>
  </si>
  <si>
    <t>HD048235</t>
  </si>
  <si>
    <t>92/5 ds 10 Bình hưng hoà B</t>
  </si>
  <si>
    <t>Tú Nhi sale</t>
  </si>
  <si>
    <t>HD051099</t>
  </si>
  <si>
    <t>295 Tân Kỳ Tân Quý, p tân sơn nhì</t>
  </si>
  <si>
    <t>HD050894</t>
  </si>
  <si>
    <t>Ngô Diễm sale</t>
  </si>
  <si>
    <t>HD050413</t>
  </si>
  <si>
    <t>10/4 kỳ đồng</t>
  </si>
  <si>
    <t>HD051333</t>
  </si>
  <si>
    <t>Ngọc Thăm-sale</t>
  </si>
  <si>
    <t>HD050877</t>
  </si>
  <si>
    <t>19 Ngụy Như KonTum, Hiệp Tân</t>
  </si>
  <si>
    <t>Vy Vy SALE</t>
  </si>
  <si>
    <t>HD048591</t>
  </si>
  <si>
    <t>416/15/75A Dương Quảng Hàm, phường 5</t>
  </si>
  <si>
    <t>Loan Anla sale</t>
  </si>
  <si>
    <t>HD049671</t>
  </si>
  <si>
    <t>chung cư vivaplaza 15b nguyễn lương bằng phú mỹ</t>
  </si>
  <si>
    <t>trâm fb Hàn Tĩnh Chi-sale</t>
  </si>
  <si>
    <t>HD050913</t>
  </si>
  <si>
    <t>Cảnh viên 3 pmh, block A, p tân phú</t>
  </si>
  <si>
    <t>Thanh Ý sale</t>
  </si>
  <si>
    <t>HD048187</t>
  </si>
  <si>
    <t>377/21 CMT8, p12</t>
  </si>
  <si>
    <t>Thuy Tien sale</t>
  </si>
  <si>
    <t>HD050942</t>
  </si>
  <si>
    <t>Sảnh B2-B3 chung cu Diamond Brilliant Celadon, phường Tân Sơn Nhì</t>
  </si>
  <si>
    <t>Huỳnh Ngọc Gia Linh sale wed t8</t>
  </si>
  <si>
    <t>HD051454</t>
  </si>
  <si>
    <t>106/3 Hòa Bình, phường Hòa Thạnh</t>
  </si>
  <si>
    <t>Trần Phươnh Nhi (SALE WEB)</t>
  </si>
  <si>
    <t>HD049748</t>
  </si>
  <si>
    <t>Toà Camellia, Thap C Lumiere, Vinhomes Grand Park, Nguyễn Xiển, Long Bình</t>
  </si>
  <si>
    <t>Thu (SALE VIEB)</t>
  </si>
  <si>
    <t>HD050414</t>
  </si>
  <si>
    <t>177/90 đường linh trung, phương linh xuân</t>
  </si>
  <si>
    <t>Trinh Nguyễn Ngọc sale</t>
  </si>
  <si>
    <t>HD051101</t>
  </si>
  <si>
    <t>44 đường số 5, khu phố 5, phường Hiệp Bình</t>
  </si>
  <si>
    <t>Trang Nguyễn sale</t>
  </si>
  <si>
    <t>HD051141</t>
  </si>
  <si>
    <t>491/24/195 nguyễn đình chiểu bàn cờ</t>
  </si>
  <si>
    <t>Kim Oanh</t>
  </si>
  <si>
    <t>HD049935</t>
  </si>
  <si>
    <t>Nhà công vụ trường quân sự Quân khu 7, đường Tô Ký, phường Trung Mỹ Tây</t>
  </si>
  <si>
    <t>Lê thị Hồng Nhung sale</t>
  </si>
  <si>
    <t>HD051073</t>
  </si>
  <si>
    <t>382 Quốc lộ 1A, phường Bình Hưng Hoà B</t>
  </si>
  <si>
    <t>Nhã Lam sale</t>
  </si>
  <si>
    <t>HD048547</t>
  </si>
  <si>
    <t>220/50A/85E XVNT, Phường 21</t>
  </si>
  <si>
    <t>Sue Sue sale</t>
  </si>
  <si>
    <t>HD051433</t>
  </si>
  <si>
    <t>Lê Quỳnh Giao-sale</t>
  </si>
  <si>
    <t>HD051188</t>
  </si>
  <si>
    <t>526 điện biên phủ</t>
  </si>
  <si>
    <t>Nguyễn Hương Quỳnh sale</t>
  </si>
  <si>
    <t>HD049223</t>
  </si>
  <si>
    <t>Hẻm 638/21 Quốc Lộ 50, Ấp 2, Xã Bình Hưng</t>
  </si>
  <si>
    <t>HD051064</t>
  </si>
  <si>
    <t>Chung cư Tân Mỹ, đường số 8, Tân Mỹ</t>
  </si>
  <si>
    <t>Như Ý Nguyễn</t>
  </si>
  <si>
    <t>HD050267</t>
  </si>
  <si>
    <t>4 Đào Trí phường Phú thuận</t>
  </si>
  <si>
    <t>Người nhận tên: Plmvipa fb Nguyễn Phạm Bích Tuyền</t>
  </si>
  <si>
    <t>HD051124</t>
  </si>
  <si>
    <t>275/11 đặng nguyên cẩn, p14</t>
  </si>
  <si>
    <t>Trúc Thanh Võ sale</t>
  </si>
  <si>
    <t>HD050479</t>
  </si>
  <si>
    <t>4/6/29 đường tân thới nhất 1 phường tân thới nhất</t>
  </si>
  <si>
    <t>Phương Hảo</t>
  </si>
  <si>
    <t>HD049408</t>
  </si>
  <si>
    <t>Dragon 1A topaz, Tạ Quang Bửu, Chánh Hưng</t>
  </si>
  <si>
    <t>HD050933</t>
  </si>
  <si>
    <t>Trân sale</t>
  </si>
  <si>
    <t>HD050475</t>
  </si>
  <si>
    <t>Lê Trang sale</t>
  </si>
  <si>
    <t>HD051559</t>
  </si>
  <si>
    <t>368/35/14 ẤP 1 XÃ ĐÔNG THẠNH</t>
  </si>
  <si>
    <t>Thắm Nguyễn sale</t>
  </si>
  <si>
    <t>HD049298</t>
  </si>
  <si>
    <t>145/79 Lê văn quới p bình trị đông</t>
  </si>
  <si>
    <t>Iris Nguyen-sale</t>
  </si>
  <si>
    <t>HD050534</t>
  </si>
  <si>
    <t>2/11 thiên phước f9</t>
  </si>
  <si>
    <t>Võ Thị Yến Linh-sale</t>
  </si>
  <si>
    <t>HD048682</t>
  </si>
  <si>
    <t>Cổng đông 3, chung cư sky garden 2, đường phạm văn nghị, phường tân phong</t>
  </si>
  <si>
    <t>Nguyễn Huỳnh Ánh Nhung sale</t>
  </si>
  <si>
    <t>HD051139</t>
  </si>
  <si>
    <t>62 đường 79, phường Tân Hưng</t>
  </si>
  <si>
    <t>Trần Tố Vinh-sale</t>
  </si>
  <si>
    <t>HD051152</t>
  </si>
  <si>
    <t>368/35/14 ấp 5 mới, xã Đông thạnh</t>
  </si>
  <si>
    <t>Đỗ Nghi-sale</t>
  </si>
  <si>
    <t>HD050833</t>
  </si>
  <si>
    <t>384 Hoàng Diệu</t>
  </si>
  <si>
    <t>selectedstuffpt</t>
  </si>
  <si>
    <t>HD045788</t>
  </si>
  <si>
    <t>giữ hàng</t>
  </si>
  <si>
    <t>Nguyễn Ngọc Anh Thi sale</t>
  </si>
  <si>
    <t>HD050652</t>
  </si>
  <si>
    <t>Chung cư Sài Gòn MIA block A, đường 9A, KDC Trung sơn Bình Hưng</t>
  </si>
  <si>
    <t>Anh Lan</t>
  </si>
  <si>
    <t>HD051128</t>
  </si>
  <si>
    <t>532/3/6 Kinh Dương Vương, Phường An Lạc</t>
  </si>
  <si>
    <t>Yến Lê</t>
  </si>
  <si>
    <t>HD047464</t>
  </si>
  <si>
    <t>78-89 nam kỳ khởi nghĩa p bến thành</t>
  </si>
  <si>
    <t>Nhân sale wed t8</t>
  </si>
  <si>
    <t>HD050989</t>
  </si>
  <si>
    <t>Hẻm 54/64 Tân Thới Hiệp 29, p, tân thới hiệp</t>
  </si>
  <si>
    <t>Nguyễn Ngọc Tố Nga SALE WED</t>
  </si>
  <si>
    <t>HD049347</t>
  </si>
  <si>
    <t>Amioda</t>
  </si>
  <si>
    <t>HD049301</t>
  </si>
  <si>
    <t>Số 3 Đường 3 tân tạo</t>
  </si>
  <si>
    <t>Nhung sale wed t8</t>
  </si>
  <si>
    <t>HD050274</t>
  </si>
  <si>
    <t>134 phổ quang</t>
  </si>
  <si>
    <t>Ngọc Bích- sale</t>
  </si>
  <si>
    <t>HD051379</t>
  </si>
  <si>
    <t>90 Pasteur, phường Bến Nghé</t>
  </si>
  <si>
    <t>fb Phan Thanh Thúy Vân sale</t>
  </si>
  <si>
    <t>HD051245</t>
  </si>
  <si>
    <t>535 điện biên phủ, phường 25</t>
  </si>
  <si>
    <t>Vũ Tường Vy - giao giờ hành chính</t>
  </si>
  <si>
    <t>HD050257</t>
  </si>
  <si>
    <t>Somerset The Vista, số 628C đường Võ Nguyên Giáp, Phường An Phú</t>
  </si>
  <si>
    <t>HD049815</t>
  </si>
  <si>
    <t>22 Đường 3, khu đô Thị Vạn Phúc, Phường Hiệp Bình Phước</t>
  </si>
  <si>
    <t>Ry Ry sale</t>
  </si>
  <si>
    <t>HD051165</t>
  </si>
  <si>
    <t>Block D chung cư Ecogreen (39B Nguyễn Văn Linh, Phường Tân Thuận Tây)</t>
  </si>
  <si>
    <t>Huyền Mini sale</t>
  </si>
  <si>
    <t>HD050746</t>
  </si>
  <si>
    <t>141 tam hà phường tam phú</t>
  </si>
  <si>
    <t>Phạm Thủy-sale</t>
  </si>
  <si>
    <t>HD050988</t>
  </si>
  <si>
    <t>74/14 nguyễn thái sơn, phường hạnh thông</t>
  </si>
  <si>
    <t>Kim Long</t>
  </si>
  <si>
    <t>HD049530</t>
  </si>
  <si>
    <t>32 tên lửa phường An Lạc ( hớt tóc Lý Thiết )</t>
  </si>
  <si>
    <t>Ánh Ngọc SALE WED</t>
  </si>
  <si>
    <t>HD049326</t>
  </si>
  <si>
    <t>176 phan văn trị, phường 12</t>
  </si>
  <si>
    <t>Thảo Ly (SALE WEB)</t>
  </si>
  <si>
    <t>HD050951</t>
  </si>
  <si>
    <t>78/33 trần thị trọng, phường tân sơn</t>
  </si>
  <si>
    <t>Bông Bông sale</t>
  </si>
  <si>
    <t>HD051286</t>
  </si>
  <si>
    <t>Hang Moon sale wed t8</t>
  </si>
  <si>
    <t>HD051446</t>
  </si>
  <si>
    <t>71 nguyễn Bá tuyến p12</t>
  </si>
  <si>
    <t>Mai Diệu sale wed t8</t>
  </si>
  <si>
    <t>HD050979</t>
  </si>
  <si>
    <t>k626/20 trưng nữ vương, phương hoa cường, quận Hải Châu, đà nẵng</t>
  </si>
  <si>
    <t>My Nguyễn sale</t>
  </si>
  <si>
    <t>HD050333</t>
  </si>
  <si>
    <t>76/52 Nguyễn Sơn, Phú Thọ Hoà</t>
  </si>
  <si>
    <t>Thanh Thanh sale</t>
  </si>
  <si>
    <t>HD051219</t>
  </si>
  <si>
    <t>106/4d đường tân hiệp 16 ( kế trà sữa moon )</t>
  </si>
  <si>
    <t>Heo Mắt Hí sale</t>
  </si>
  <si>
    <t>HD051132</t>
  </si>
  <si>
    <t>94/12a ấp 57 xã Xuân thới Sơn</t>
  </si>
  <si>
    <t>Thao Ngoc sale</t>
  </si>
  <si>
    <t>HD051196</t>
  </si>
  <si>
    <t>21 đường 12, Kp1, phường linh tây</t>
  </si>
  <si>
    <t>Chang Chang-sale</t>
  </si>
  <si>
    <t>HD051395</t>
  </si>
  <si>
    <t>Diamond Alnata Plus - Block A8, Tân Sơn Nhì</t>
  </si>
  <si>
    <t>Huỳnh Thuyên sale</t>
  </si>
  <si>
    <t>HD050066</t>
  </si>
  <si>
    <t>189/14/20 Hoàng Hoa Thám, phường Bình Lợi Trung</t>
  </si>
  <si>
    <t>Trang</t>
  </si>
  <si>
    <t>HD051179</t>
  </si>
  <si>
    <t>12/4/8 Nguyễn Cảnh Dị, P. Tân Sơn Nhất</t>
  </si>
  <si>
    <t>Ji Ah (sale web)</t>
  </si>
  <si>
    <t>HD049520</t>
  </si>
  <si>
    <t>89 lê thị chợ phú thuận chung cư an gia skyline</t>
  </si>
  <si>
    <t>nguyễn chu khánh</t>
  </si>
  <si>
    <t>HD051408</t>
  </si>
  <si>
    <t>CÔNG TY TNHH THẾ GIỚI EXPRESS - A75/6B/2 Bạch Đằng, Phường 2</t>
  </si>
  <si>
    <t>Hậu (SALE WEB)</t>
  </si>
  <si>
    <t>HD051007</t>
  </si>
  <si>
    <t>72/2 làng tăng phu tăng nhơn phú a</t>
  </si>
  <si>
    <t>Kim Chi sale</t>
  </si>
  <si>
    <t>HD050922</t>
  </si>
  <si>
    <t>485 Phạm Văn Bạch P15</t>
  </si>
  <si>
    <t>Dương Hằng sale</t>
  </si>
  <si>
    <t>HD051416</t>
  </si>
  <si>
    <t>45b đường 28, long thanh my</t>
  </si>
  <si>
    <t>Ivy Thuy Pham sale</t>
  </si>
  <si>
    <t>HD050977</t>
  </si>
  <si>
    <t>Công ty TNHH Thiết Bị Y Tế Sơn Hương, 351/126 Lê Đại Hành, Phường Phú Thọ</t>
  </si>
  <si>
    <t>Kiều Linh-sate</t>
  </si>
  <si>
    <t>HD051537</t>
  </si>
  <si>
    <t>2867/68 khu phố 6A, đường TTN02, phường Tân Thới Nhất</t>
  </si>
  <si>
    <t>Nguyễn Hồng Ngọc sale</t>
  </si>
  <si>
    <t>HD051234</t>
  </si>
  <si>
    <t>168 Trần Lựu, phường An Phú</t>
  </si>
  <si>
    <t>Nguyễn Lâm Thái Chăm (SALE WEB)</t>
  </si>
  <si>
    <t>HD049746</t>
  </si>
  <si>
    <t>172/16 Đặng Văn Ngữ, P13</t>
  </si>
  <si>
    <t>trang pham sale wed t8</t>
  </si>
  <si>
    <t>HD051462</t>
  </si>
  <si>
    <t>Thu Thủy (SALE WEB)</t>
  </si>
  <si>
    <t>HD050843</t>
  </si>
  <si>
    <t>23 thái văn lung, phường bến nghé</t>
  </si>
  <si>
    <t>HD050317</t>
  </si>
  <si>
    <t>31 vườn lài phú thọ hòa</t>
  </si>
  <si>
    <t>Ngọc Hoàng (sale web)</t>
  </si>
  <si>
    <t>HD049219</t>
  </si>
  <si>
    <t>Lô C, Green Valley, Nguyễn Đổng Chi</t>
  </si>
  <si>
    <t>Minh Anh Huynh sale SHIP GIỜ HÀNG CHÍNH</t>
  </si>
  <si>
    <t>HD051186</t>
  </si>
  <si>
    <t>25/1A Thăng Long, P. Tân Sơn Nhất</t>
  </si>
  <si>
    <t>Ngọc Nhung sale</t>
  </si>
  <si>
    <t>HD050572</t>
  </si>
  <si>
    <t>147 nguyễn hồng đào</t>
  </si>
  <si>
    <t>Quê Trân sale</t>
  </si>
  <si>
    <t>HD049272</t>
  </si>
  <si>
    <t>69/2b đường 6 phường Tăng Nhơn Phú B</t>
  </si>
  <si>
    <t>HD051325</t>
  </si>
  <si>
    <t>Cẩm Phúc sale</t>
  </si>
  <si>
    <t>HD050411</t>
  </si>
  <si>
    <t>14 đường 98, phường Thạnh Mỹ Lợi</t>
  </si>
  <si>
    <t>Mai Quyên (SALE WEB)</t>
  </si>
  <si>
    <t>HD050077</t>
  </si>
  <si>
    <t>36/46A Mễ Cốc, Phú Định</t>
  </si>
  <si>
    <t>Na Na Trần sale</t>
  </si>
  <si>
    <t>HD050720</t>
  </si>
  <si>
    <t>458/1 nguyễn văn khối thông tây hội</t>
  </si>
  <si>
    <t>Thư Thư</t>
  </si>
  <si>
    <t>HD051382</t>
  </si>
  <si>
    <t>57/25 đình Tân Khai Binh trị đông</t>
  </si>
  <si>
    <t>Le Quynh sale</t>
  </si>
  <si>
    <t>HD050080</t>
  </si>
  <si>
    <t>11 phạm văn hai, phường 1</t>
  </si>
  <si>
    <t>đơn chuyển AT tối 27-08</t>
  </si>
  <si>
    <t>AT 28-08</t>
  </si>
  <si>
    <t>28-08-2026</t>
  </si>
  <si>
    <t>Phạm Liễu sale</t>
  </si>
  <si>
    <t>HD051301</t>
  </si>
  <si>
    <t>152/24 Thành Thái, P. Hoà Hưng</t>
  </si>
  <si>
    <t>Kym Pu sale</t>
  </si>
  <si>
    <t>HD050778</t>
  </si>
  <si>
    <t>68 cô bắc f cầu ông lãnh</t>
  </si>
  <si>
    <t>Anh Lan sale</t>
  </si>
  <si>
    <t>HD051053</t>
  </si>
  <si>
    <t>90a/8 nội hoá 2, phường Đông Hòa</t>
  </si>
  <si>
    <t>Bảo Trâm sale</t>
  </si>
  <si>
    <t>HD050797</t>
  </si>
  <si>
    <t>40/15 Nguyễn Hới, An Lạc</t>
  </si>
  <si>
    <t>Huỳnh Thanh Huyền sale</t>
  </si>
  <si>
    <t>HD050696</t>
  </si>
  <si>
    <t>66 nguyễn ngọc phương, phường 19 Chung cư Nguyễn Ngọc Phương</t>
  </si>
  <si>
    <t>Mỹ Ngọc sale</t>
  </si>
  <si>
    <t>HD051342</t>
  </si>
  <si>
    <t>242 Nguyễn oanh, phường gò vấp</t>
  </si>
  <si>
    <t>Nguyen Quyen Quyen sale</t>
  </si>
  <si>
    <t>HD051226</t>
  </si>
  <si>
    <t>117 trần thủ độ phu thạnh</t>
  </si>
  <si>
    <t>HD050810</t>
  </si>
  <si>
    <t>Lê Thanh Thủy sale</t>
  </si>
  <si>
    <t>HD050706</t>
  </si>
  <si>
    <t>Chung cư Lavita Garden (block A) đường số 3-phường trường thọ</t>
  </si>
  <si>
    <t>Trần Lê Trâm Anh sale</t>
  </si>
  <si>
    <t>HD048628</t>
  </si>
  <si>
    <t>179/13A hoà bình Phường Hiệp Tân</t>
  </si>
  <si>
    <t>Lê Thị Ngọc Hà sale</t>
  </si>
  <si>
    <t>HD048888</t>
  </si>
  <si>
    <t>25E/2 TỔ 1, KHU PHỐ 1B, PHƯỜNG AN PHÚ</t>
  </si>
  <si>
    <t>Nhi Đại Vương sale</t>
  </si>
  <si>
    <t>HD050714</t>
  </si>
  <si>
    <t>143/7 Phan Huy Ích, P Tân sơn (mới)</t>
  </si>
  <si>
    <t>Rachel Tran sale</t>
  </si>
  <si>
    <t>HD050803</t>
  </si>
  <si>
    <t>số 125/10 nguyễn đức thuận, khu phố 6, phường phú lợi</t>
  </si>
  <si>
    <t>Vũ Thị Thanh Trúc sale</t>
  </si>
  <si>
    <t>HD048871</t>
  </si>
  <si>
    <t>Hẻm 50/10 đường 79, phước long b</t>
  </si>
  <si>
    <t>Nguyễn Mỹ Hạnh sale</t>
  </si>
  <si>
    <t>HD050703</t>
  </si>
  <si>
    <t>65/20 Huỳnh Văn Bánh, phường Cầu Kiệu</t>
  </si>
  <si>
    <t>Mi Tran sale</t>
  </si>
  <si>
    <t>HD051243</t>
  </si>
  <si>
    <t>Blook B Chung cư eco ,39B Đường Nguyễn Văn Linh, Tân Thuận Tây, Tân Thuận</t>
  </si>
  <si>
    <t>Nguyễn Yến Khoa</t>
  </si>
  <si>
    <t>HD051105</t>
  </si>
  <si>
    <t>55 Nguyễn Đình Chiểu, Phường Xuân Hòa</t>
  </si>
  <si>
    <t>Kieu Phuong Thao sale</t>
  </si>
  <si>
    <t>HD050525</t>
  </si>
  <si>
    <t>290/6/15 No Trang Long, P Bình Thạnh</t>
  </si>
  <si>
    <t>Nguyễn Khánh Hằng sale</t>
  </si>
  <si>
    <t>HD050775</t>
  </si>
  <si>
    <t>100 đường 30/4, p rạch dừa</t>
  </si>
  <si>
    <t>Lục Nhi sale</t>
  </si>
  <si>
    <t>HD051197</t>
  </si>
  <si>
    <t>173/15/5A Khuông Việt phường phú trung</t>
  </si>
  <si>
    <t>Mai Hân Huỳnh sale</t>
  </si>
  <si>
    <t>HD051046</t>
  </si>
  <si>
    <t>34 Đông Du, P Sài Gòn</t>
  </si>
  <si>
    <t>Angela Nguyen sale</t>
  </si>
  <si>
    <t>HD050727</t>
  </si>
  <si>
    <t>tòa b2, chung cư lavida plus, số 1181 nguyễn văn linh, phường tân phong</t>
  </si>
  <si>
    <t>Trúc Nguyễn sale</t>
  </si>
  <si>
    <t>HD051102</t>
  </si>
  <si>
    <t>496/39 Dương Quảng Hàm, An Nhơn</t>
  </si>
  <si>
    <t>Mai Thị Tuyết Nữ sale</t>
  </si>
  <si>
    <t>HD051275</t>
  </si>
  <si>
    <t>240/2 CMT8</t>
  </si>
  <si>
    <t>Thúy Nhỏ sale</t>
  </si>
  <si>
    <t>HD051072</t>
  </si>
  <si>
    <t>Nhi Pham sale</t>
  </si>
  <si>
    <t>HD050828</t>
  </si>
  <si>
    <t>205 tân hương, phú thọ hoà</t>
  </si>
  <si>
    <t>My Le Nguyen</t>
  </si>
  <si>
    <t>HD051296</t>
  </si>
  <si>
    <t>Block a3 - era town - Phú mỹ</t>
  </si>
  <si>
    <t>Như Quỳnhh sale</t>
  </si>
  <si>
    <t>HD050539</t>
  </si>
  <si>
    <t>135 cao đạt phuong chợ quán</t>
  </si>
  <si>
    <t>Hồ Y Trân sale</t>
  </si>
  <si>
    <t>HD050704</t>
  </si>
  <si>
    <t>260A nguyễn thái sơn p4</t>
  </si>
  <si>
    <t>HD051294</t>
  </si>
  <si>
    <t>2/16 hồng hà p2</t>
  </si>
  <si>
    <t>HD051619</t>
  </si>
  <si>
    <t>Yến Nhi sale</t>
  </si>
  <si>
    <t>HD050487</t>
  </si>
  <si>
    <t>59/1E Tiền Lân 13, Bà Điểm</t>
  </si>
  <si>
    <t>Trần Nguyễn Thanh Trúc sale</t>
  </si>
  <si>
    <t>HD050726</t>
  </si>
  <si>
    <t>03 đường D1 đông an tân đông hiệp</t>
  </si>
  <si>
    <t>Thuý Hạnh</t>
  </si>
  <si>
    <t>HD050722</t>
  </si>
  <si>
    <t>1059/3 Nguyễn Trãi p. chợ Lớn</t>
  </si>
  <si>
    <t>Min Ng sale</t>
  </si>
  <si>
    <t>HD051122</t>
  </si>
  <si>
    <t>78/h5 cộng hoà p4</t>
  </si>
  <si>
    <t>HD051111</t>
  </si>
  <si>
    <t>Thu Hồng sale</t>
  </si>
  <si>
    <t>HD051304</t>
  </si>
  <si>
    <t>shop donna lái thiêu 17, lái thiêu</t>
  </si>
  <si>
    <t>HD050519</t>
  </si>
  <si>
    <t>131 Nguyễn Thái Bình</t>
  </si>
  <si>
    <t>Nitaya Nhi Nguyen sale</t>
  </si>
  <si>
    <t>HD050600</t>
  </si>
  <si>
    <t>92/22/8c tôn thất thuyết,khu phố 14, phường xóm chiếu</t>
  </si>
  <si>
    <t>Thảo Ken sale</t>
  </si>
  <si>
    <t>HD051134</t>
  </si>
  <si>
    <t>26 lê văn lương, phước kiếng, Goldora plaza</t>
  </si>
  <si>
    <t>Ngô Bảo Nhi sale</t>
  </si>
  <si>
    <t>HD050808</t>
  </si>
  <si>
    <t>150bis Lê Thị Hồng Gấm, phường Bến Thành</t>
  </si>
  <si>
    <t>Hồng Ruby sale</t>
  </si>
  <si>
    <t>HD048762</t>
  </si>
  <si>
    <t>382-384-386 Võ Văn Kiệt, P. Cầu Ông Lãnh</t>
  </si>
  <si>
    <t>Ngọc Thiên Thanh sale</t>
  </si>
  <si>
    <t>HD051264</t>
  </si>
  <si>
    <t>832 tỉnh lộ 43, bình chiểu</t>
  </si>
  <si>
    <t>Hevy Lê sale</t>
  </si>
  <si>
    <t>HD051309</t>
  </si>
  <si>
    <t>Trúc Trúc sale</t>
  </si>
  <si>
    <t>HD050697</t>
  </si>
  <si>
    <t>168 trần hưng đạo, p cầu ông lãnh</t>
  </si>
  <si>
    <t>Đoàn Trọng Nhân sale</t>
  </si>
  <si>
    <t>HD051147</t>
  </si>
  <si>
    <t>209 Lê Văn Lương, phường Tân Hưng</t>
  </si>
  <si>
    <t>Vân Nguyễn sale</t>
  </si>
  <si>
    <t>HD050745</t>
  </si>
  <si>
    <t>11-D5 KBT Thảo Nguyên, Long Bình</t>
  </si>
  <si>
    <t>fb Bun Bò</t>
  </si>
  <si>
    <t>HD050757</t>
  </si>
  <si>
    <t>57 đường 42 P Bình Phú</t>
  </si>
  <si>
    <t>Ngọc Vân sale</t>
  </si>
  <si>
    <t>HD051553</t>
  </si>
  <si>
    <t>Ô 16 tổ 11 đường chu văn an phường an phú</t>
  </si>
  <si>
    <t>HD050855</t>
  </si>
  <si>
    <t>172/16 Đặng Văn Ngữ, P.13</t>
  </si>
  <si>
    <t>HD052080</t>
  </si>
  <si>
    <t>64 hoa hồng phường cầu kiệu</t>
  </si>
  <si>
    <t>Anh Ngoc sale cọc 200</t>
  </si>
  <si>
    <t>HD051548</t>
  </si>
  <si>
    <t>chung cư Feliz en Vista (Cổng Số 4, cột số 57-58), Trương Văn Bang, Cát Lái</t>
  </si>
  <si>
    <t>Nga Nguyen sale</t>
  </si>
  <si>
    <t>HD050629</t>
  </si>
  <si>
    <t>197/4 tân thới hiệp 21</t>
  </si>
  <si>
    <t>Nicky Nguyễn (SALE WEB)</t>
  </si>
  <si>
    <t>HD050993</t>
  </si>
  <si>
    <t>418-420 Nguyễn Thị Minh Khai P. Bàn Cờ</t>
  </si>
  <si>
    <t>Trinh sale wed</t>
  </si>
  <si>
    <t>HD050279</t>
  </si>
  <si>
    <t>block C20.01, sunrise riverside, nguyễn hữu thọ, phước kiển</t>
  </si>
  <si>
    <t>HD051621</t>
  </si>
  <si>
    <t>6a thi sách</t>
  </si>
  <si>
    <t>Thanh Lam</t>
  </si>
  <si>
    <t>HD050882</t>
  </si>
  <si>
    <t>951 phạm văn bạch p an hội tây</t>
  </si>
  <si>
    <t>HD051920</t>
  </si>
  <si>
    <t>Phương Bùi sale</t>
  </si>
  <si>
    <t>HD051213</t>
  </si>
  <si>
    <t>291 đường 9A KDC trung sơn - xã bình hưng</t>
  </si>
  <si>
    <t>Chị Nhi fb Lee Le sale</t>
  </si>
  <si>
    <t>HD051865</t>
  </si>
  <si>
    <t>1/1A Cầu Xéo Tân Sơn Nhì</t>
  </si>
  <si>
    <t>Như Huỳnh sale</t>
  </si>
  <si>
    <t>HD051953</t>
  </si>
  <si>
    <t>16 đường 69 Tân Hưng</t>
  </si>
  <si>
    <t>Nhung Tran sale</t>
  </si>
  <si>
    <t>HD051744</t>
  </si>
  <si>
    <t>3/19 Hoàng Xuân Nhị - Phú Trung</t>
  </si>
  <si>
    <t>Quỳnh Võ</t>
  </si>
  <si>
    <t>HD051798</t>
  </si>
  <si>
    <t>140 phó cơ điều p6</t>
  </si>
  <si>
    <t>Hồ Thanh Phương sale</t>
  </si>
  <si>
    <t>HD051545</t>
  </si>
  <si>
    <t>158/56/21 Phạm Văn Chiêu, phường 8</t>
  </si>
  <si>
    <t>Diễm Mi sale wed t8</t>
  </si>
  <si>
    <t>HD051915</t>
  </si>
  <si>
    <t>302 Lê Văn Sỹ, phường Tân Sơn Hòa</t>
  </si>
  <si>
    <t>Dương Hà Như Tuyết wed</t>
  </si>
  <si>
    <t>HD051699</t>
  </si>
  <si>
    <t>566/137/68B Nguyễn Thái Sơn, phường 5</t>
  </si>
  <si>
    <t>Cẩm Nhung sale</t>
  </si>
  <si>
    <t>HD051716</t>
  </si>
  <si>
    <t>26/24/5 thạnh lộc 26, thạnh lộc</t>
  </si>
  <si>
    <t>Van Tran sale wed t8</t>
  </si>
  <si>
    <t>HD051858</t>
  </si>
  <si>
    <t>03 Trần Nhật Duật, P. Tân Định</t>
  </si>
  <si>
    <t>Thanh Hà sale</t>
  </si>
  <si>
    <t>HD051911</t>
  </si>
  <si>
    <t>Akari City Giai Đoạn 2 - 75 Võ Văn Kiệt, An Lạc (AK9 - 15.01)</t>
  </si>
  <si>
    <t>HD049938</t>
  </si>
  <si>
    <t>bảo trân (SALE WEB)</t>
  </si>
  <si>
    <t>HD051774</t>
  </si>
  <si>
    <t>orchid 1 hà đô centrosa phường 12 ( hoà hưng )</t>
  </si>
  <si>
    <t>gộp, shop chịu ship</t>
  </si>
  <si>
    <t>Nguyễn Kiều sale</t>
  </si>
  <si>
    <t>HD051790</t>
  </si>
  <si>
    <t>157 đào duy anh, phường 9</t>
  </si>
  <si>
    <t>Tố Uyên</t>
  </si>
  <si>
    <t>HD051498</t>
  </si>
  <si>
    <t>79B đường 15, phưởng phước long</t>
  </si>
  <si>
    <t>Dương Thanh Sang - Thao Tran sale</t>
  </si>
  <si>
    <t>HD051526</t>
  </si>
  <si>
    <t>70/17 đường số 17, phường tân thuận tây</t>
  </si>
  <si>
    <t>Ngọc Nương sale</t>
  </si>
  <si>
    <t>HD051951</t>
  </si>
  <si>
    <t>HD051588</t>
  </si>
  <si>
    <t>Lk7-39 khu biệt thự sài gòn Mystery phường Bình trưng Tây</t>
  </si>
  <si>
    <t>Kim Vận sale</t>
  </si>
  <si>
    <t>HD051572</t>
  </si>
  <si>
    <t>77/50 tân lập 2, phường tăng nhơn phú</t>
  </si>
  <si>
    <t>Uyếnn My (SALE WEB)</t>
  </si>
  <si>
    <t>HD050851</t>
  </si>
  <si>
    <t>401/3 Bình Lợi p13</t>
  </si>
  <si>
    <t>Trần Thị Ngọc Hương sale</t>
  </si>
  <si>
    <t>HD051554</t>
  </si>
  <si>
    <t>41 Giải Phóng Phường 4</t>
  </si>
  <si>
    <t>Hồ Mộng Như Thường SALE</t>
  </si>
  <si>
    <t>HD050779</t>
  </si>
  <si>
    <t>33 Võ Văn Ngân, p.Linh Chiểu</t>
  </si>
  <si>
    <t>HD051845</t>
  </si>
  <si>
    <t>Nguyễn Thị Trúc Uyên sale</t>
  </si>
  <si>
    <t>HD051934</t>
  </si>
  <si>
    <t>21/24 phan huy ích phường tân sơn</t>
  </si>
  <si>
    <t>thanh lan fb Hạt Dẻ Cười SALE WED</t>
  </si>
  <si>
    <t>HD049282</t>
  </si>
  <si>
    <t>283/19/30 Nơ Trang Long, Khu Phố 24, P. Bình Lợi Trung</t>
  </si>
  <si>
    <t>võ thúy an boutique</t>
  </si>
  <si>
    <t>HD050856</t>
  </si>
  <si>
    <t>sky draden2 block Sa cổng o tô căn 5a4 tân phong</t>
  </si>
  <si>
    <t>HD051982</t>
  </si>
  <si>
    <t>137 hà huy giáp p thạnh Lộc</t>
  </si>
  <si>
    <t>Ruby sale wed t8</t>
  </si>
  <si>
    <t>HD051993</t>
  </si>
  <si>
    <t>80/15 Dương Văn Dương Phường Phú Thọ Hoà</t>
  </si>
  <si>
    <t>Đăng Khoa fb Trần Thị Thu Thảo SALE</t>
  </si>
  <si>
    <t>HD051963</t>
  </si>
  <si>
    <t>Công ty Intel, lô I2, Khu công nghệ cao, phường Tân Phú</t>
  </si>
  <si>
    <t>Bảo Trâm (SALE WEB)</t>
  </si>
  <si>
    <t>HD051029</t>
  </si>
  <si>
    <t>Toà nhà Sonatus, 15 Lê Thánh Tôn Bến Nghé</t>
  </si>
  <si>
    <t>Diễm My sale</t>
  </si>
  <si>
    <t>HD051880</t>
  </si>
  <si>
    <t>82 lý phục man phường bình thuận (giao cho phòng 714)</t>
  </si>
  <si>
    <t>Kim Loan sale</t>
  </si>
  <si>
    <t>HD051815</t>
  </si>
  <si>
    <t>Chợ Tân Định ( cổng số 1 ) đường Hai Bà Trưng</t>
  </si>
  <si>
    <t>Cát Tường sale</t>
  </si>
  <si>
    <t>HD051803</t>
  </si>
  <si>
    <t>71 đường 13, phường tân thuận tây</t>
  </si>
  <si>
    <t>Yumi Tran</t>
  </si>
  <si>
    <t>HD052053</t>
  </si>
  <si>
    <t>283 bến Vân đồn f2</t>
  </si>
  <si>
    <t>Hồng Nhung</t>
  </si>
  <si>
    <t>HD051528</t>
  </si>
  <si>
    <t>17 nguyễn văn tăng, Long Bình</t>
  </si>
  <si>
    <t>Như sale wed t8</t>
  </si>
  <si>
    <t>HD051671</t>
  </si>
  <si>
    <t>Nhà 14 đường số 7 Lavila Phước Kiển</t>
  </si>
  <si>
    <t>Hoàng phạm ngọc trâm sale wed t8</t>
  </si>
  <si>
    <t>HD051596</t>
  </si>
  <si>
    <t>76/52 Đường Tân Thới Nhất 8, Khu Phố 6, Phường Tân Thới Nhất</t>
  </si>
  <si>
    <t>HD051818</t>
  </si>
  <si>
    <t>12 Phước Hưng, p.7</t>
  </si>
  <si>
    <t>Han Han Yen-sale</t>
  </si>
  <si>
    <t>HD051651</t>
  </si>
  <si>
    <t>S501 - Vinhome Grand Park - LTM</t>
  </si>
  <si>
    <t>Thanh Xuân-sale</t>
  </si>
  <si>
    <t>HD051721</t>
  </si>
  <si>
    <t>Bal605 toà Bahamas chung cư Diamond island, p bình trưng</t>
  </si>
  <si>
    <t>Sally Nguyen sALE đổi</t>
  </si>
  <si>
    <t>HD051843</t>
  </si>
  <si>
    <t>HD051530</t>
  </si>
  <si>
    <t>125 HT06 phường tân thới hiệp</t>
  </si>
  <si>
    <t>Thu Hằng sale</t>
  </si>
  <si>
    <t>HD051847</t>
  </si>
  <si>
    <t>71 nguyễn văn lượng, P.17</t>
  </si>
  <si>
    <t>Ngọc Như</t>
  </si>
  <si>
    <t>HD051293</t>
  </si>
  <si>
    <t>743/31L hồng bàng phường 6 (PHƯỜNG MỚI - Phường Bình Tây)</t>
  </si>
  <si>
    <t>Thu Hang Pham</t>
  </si>
  <si>
    <t>HD051413</t>
  </si>
  <si>
    <t>160/29/19D đs 11,Bình Hưng Hoà</t>
  </si>
  <si>
    <t>Nguyễn Ngọc Hân sale</t>
  </si>
  <si>
    <t>HD050454</t>
  </si>
  <si>
    <t>25/7 đường số 44 phường 14</t>
  </si>
  <si>
    <t>HD051819</t>
  </si>
  <si>
    <t>Hồng Phượng sale wed t8</t>
  </si>
  <si>
    <t>HD049996</t>
  </si>
  <si>
    <t>92 Nguyễn Hữu Cảnh ( toà nhà Đại Dũng ) Phường Thạnh Mỹ Tây</t>
  </si>
  <si>
    <t>HD051807</t>
  </si>
  <si>
    <t>Hải Quỳnh fb Luci Lu-sale</t>
  </si>
  <si>
    <t>HD051556</t>
  </si>
  <si>
    <t>B22 Bạch Đằng, P2</t>
  </si>
  <si>
    <t>Linh P Phạm (SALE WEB)</t>
  </si>
  <si>
    <t>HD051614</t>
  </si>
  <si>
    <t>Landmark 5, Vinh omes Central Park, Thạnh Mỹ Tây</t>
  </si>
  <si>
    <t>Võ Thị Thanh Thúy sale wed t8</t>
  </si>
  <si>
    <t>HD051864</t>
  </si>
  <si>
    <t>76/3/2 Là Văn Phan Phường Phú Thọ Hòa</t>
  </si>
  <si>
    <t>Quynh Nguyen sale</t>
  </si>
  <si>
    <t>HD051092</t>
  </si>
  <si>
    <t>85/3 Nguyễn Cửu Đàm P.tân Sơn Nhì</t>
  </si>
  <si>
    <t>HD049913</t>
  </si>
  <si>
    <t>41/60 phạm ngũ lão, phuog Hạnh Thông</t>
  </si>
  <si>
    <t>Ngọc Ngọc SALE</t>
  </si>
  <si>
    <t>HD048593</t>
  </si>
  <si>
    <t>34 nguyễn đình chi, p.9</t>
  </si>
  <si>
    <t>Ms Kim sale wed t8</t>
  </si>
  <si>
    <t>HD051809</t>
  </si>
  <si>
    <t>Chung cư Đức Khải lô A đường Đặng Đình Tướng p An Khánh</t>
  </si>
  <si>
    <t>Ngọc Kiều Oanh sale wed t8</t>
  </si>
  <si>
    <t>HD050452</t>
  </si>
  <si>
    <t>chung cư duso lock B, bình trưng</t>
  </si>
  <si>
    <t>Thanh Long Ruột Đỏ sale</t>
  </si>
  <si>
    <t>HD050323</t>
  </si>
  <si>
    <t>2172/7/5 Quốc Lộ 1A, Tân Chánh Hiệp</t>
  </si>
  <si>
    <t>Nhung Nhung-sale</t>
  </si>
  <si>
    <t>HD051794</t>
  </si>
  <si>
    <t>6 cù lao, phường 2</t>
  </si>
  <si>
    <t>Hương Đỗ-sale</t>
  </si>
  <si>
    <t>HD051757</t>
  </si>
  <si>
    <t>39 tân lập 2 p.tăng nhơn phú</t>
  </si>
  <si>
    <t>My Haribo sale</t>
  </si>
  <si>
    <t>HD051558</t>
  </si>
  <si>
    <t>215/15 Phan Huy Ích</t>
  </si>
  <si>
    <t>Thuy Nguyen sale</t>
  </si>
  <si>
    <t>HD051850</t>
  </si>
  <si>
    <t>1/15 Võ Danh, P Thạnh Mỹ Tây</t>
  </si>
  <si>
    <t>HD050899</t>
  </si>
  <si>
    <t>33 đường bình trưng p bình trưng đông</t>
  </si>
  <si>
    <t>Nguyễn Lê Tường Vi sale wed t8</t>
  </si>
  <si>
    <t>HD051961</t>
  </si>
  <si>
    <t>Thu Vo web sale + page</t>
  </si>
  <si>
    <t>HD051999</t>
  </si>
  <si>
    <t>10, đường 1D phường An Lạc</t>
  </si>
  <si>
    <t>Trang Huyền-sale</t>
  </si>
  <si>
    <t>HD051464</t>
  </si>
  <si>
    <t>16 Đường số 3, khu dân cư sông giông, phường an phú</t>
  </si>
  <si>
    <t>nguyễn kiều diễm sale</t>
  </si>
  <si>
    <t>HD050796</t>
  </si>
  <si>
    <t>1335 Lê văn Lương</t>
  </si>
  <si>
    <t>người nhận: Thanh Phương sale</t>
  </si>
  <si>
    <t>HD051785</t>
  </si>
  <si>
    <t>HD051990</t>
  </si>
  <si>
    <t>Uyển My (SALE WEB)</t>
  </si>
  <si>
    <t>HD049679</t>
  </si>
  <si>
    <t>Nguyễn Thuý Vy</t>
  </si>
  <si>
    <t>HD051629</t>
  </si>
  <si>
    <t>2 đường số 5 KDC bình đăng p.bình đông</t>
  </si>
  <si>
    <t>Hieu Trung sale</t>
  </si>
  <si>
    <t>HD051192</t>
  </si>
  <si>
    <t>SỐ 58, ĐƯỜNG SỐ 2, KDC CITY LAND GARDEN HILLS, PHƯỜNG 5</t>
  </si>
  <si>
    <t>Minh Hang Pham sale</t>
  </si>
  <si>
    <t>HD049781</t>
  </si>
  <si>
    <t>Hẻm 154/9 Hẻm 152 Nguyễn Trọng Tuyển</t>
  </si>
  <si>
    <t>HD049953</t>
  </si>
  <si>
    <t>59/54/23 đường số 8 phường trường thọ</t>
  </si>
  <si>
    <t>Đào Thía SALE</t>
  </si>
  <si>
    <t>HD051280</t>
  </si>
  <si>
    <t>4832 đường DD7-1 khu dân cư An sương, Phường Đông Hưng Thuận</t>
  </si>
  <si>
    <t>Phuong fb Ruby Nguyen sale</t>
  </si>
  <si>
    <t>HD052035</t>
  </si>
  <si>
    <t>377/8/11E bạch đằng.9 gia định</t>
  </si>
  <si>
    <t>Quỳnh Anh Nguyễn sale</t>
  </si>
  <si>
    <t>HD052063</t>
  </si>
  <si>
    <t>52 đường số 1, chu văn an p26</t>
  </si>
  <si>
    <t>Bui Trang sale wed t8</t>
  </si>
  <si>
    <t>HD051601</t>
  </si>
  <si>
    <t>544/25/16 ql 1a an phú đông</t>
  </si>
  <si>
    <t>HD051945</t>
  </si>
  <si>
    <t>652/14b cộng hoà, phường 13</t>
  </si>
  <si>
    <t>at 28-08</t>
  </si>
  <si>
    <t>3 đơn</t>
  </si>
  <si>
    <t>7 đơn</t>
  </si>
  <si>
    <t>giảm kh 80k</t>
  </si>
  <si>
    <t>Nguyễn Thị Thu Quy sale</t>
  </si>
  <si>
    <t>HD049227</t>
  </si>
  <si>
    <t>28 cao bá quát p bến nghé</t>
  </si>
  <si>
    <t>Nhã Uyên sale</t>
  </si>
  <si>
    <t>HD051968</t>
  </si>
  <si>
    <t>hẻm 159/61 Bạch Đằng, p hạnh thông ( phường 2 )</t>
  </si>
  <si>
    <t>HD052264</t>
  </si>
  <si>
    <t>HD049077</t>
  </si>
  <si>
    <t>Sky garden 2 phường Tân Hưng</t>
  </si>
  <si>
    <t>Mỹ Phương sale wed t8</t>
  </si>
  <si>
    <t>HD051422</t>
  </si>
  <si>
    <t>25 Kinh Dương Vương, P.Phú Lâm</t>
  </si>
  <si>
    <t>Thuý Vy SALE WED</t>
  </si>
  <si>
    <t>HD052061</t>
  </si>
  <si>
    <t>975/5b hưng phú phường chánh hưng</t>
  </si>
  <si>
    <t>Kim Vân</t>
  </si>
  <si>
    <t>HD051314</t>
  </si>
  <si>
    <t>B3/77 ấp 55 xã Bình Hưng</t>
  </si>
  <si>
    <t>HD052177</t>
  </si>
  <si>
    <t>1243 Hoàng Sa,Phường Tân Sơn Nhất</t>
  </si>
  <si>
    <t>Teresa Nguyen sale</t>
  </si>
  <si>
    <t>HD051878</t>
  </si>
  <si>
    <t>số 5 Công trường mê linh, P bến nghé</t>
  </si>
  <si>
    <t>HD052359</t>
  </si>
  <si>
    <t>Nguyễn Hoàng Van Anh sale</t>
  </si>
  <si>
    <t>HD051907</t>
  </si>
  <si>
    <t>3643 sn 74 p7 pham the hien</t>
  </si>
  <si>
    <t>PHAN THỊ DIỂM THUÝ</t>
  </si>
  <si>
    <t>HD051358</t>
  </si>
  <si>
    <t>De La Sol, 1 Tôn Thất Thuyết, Phường Vĩnh Hội</t>
  </si>
  <si>
    <t>Bao Tram sale</t>
  </si>
  <si>
    <t>HD051471</t>
  </si>
  <si>
    <t>Mai Huyền My-sale</t>
  </si>
  <si>
    <t>HD051838</t>
  </si>
  <si>
    <t>419 hậu giang chung cư him lam chợ lớn</t>
  </si>
  <si>
    <t>Trang Đỗ sale</t>
  </si>
  <si>
    <t>HD052136</t>
  </si>
  <si>
    <t>Căn A2.1311 Diamond alnata đường N1 phường cập nhật sơn kỳ, Phường Tân Sơn Nhì</t>
  </si>
  <si>
    <t>Nguyễn Tuyền sale wed</t>
  </si>
  <si>
    <t>HD051292</t>
  </si>
  <si>
    <t>120/12 Tôn Thất Hiệp, Phường Phú Thọ</t>
  </si>
  <si>
    <t>HD052319</t>
  </si>
  <si>
    <t>Thảo Vy SALE</t>
  </si>
  <si>
    <t>HD050239</t>
  </si>
  <si>
    <t>59/20 Nguyễn Bỉnh Khiêm, Tân Định</t>
  </si>
  <si>
    <t>Hằng Hằng sale</t>
  </si>
  <si>
    <t>HD051638</t>
  </si>
  <si>
    <t>18A Cộng Hòa (bưu cục ems) p12</t>
  </si>
  <si>
    <t>Thư Moon sale</t>
  </si>
  <si>
    <t>HD051783</t>
  </si>
  <si>
    <t>230 cao thắng phường hòa hưng</t>
  </si>
  <si>
    <t>hồng ngọc sale wed t8</t>
  </si>
  <si>
    <t>HD052009</t>
  </si>
  <si>
    <t>98 phùng văn cung, p7</t>
  </si>
  <si>
    <t>Tu Duong sale</t>
  </si>
  <si>
    <t>HD052097</t>
  </si>
  <si>
    <t>A15 Tô Ký Tân Chánh Hiệp</t>
  </si>
  <si>
    <t>HD052384</t>
  </si>
  <si>
    <t>Quỳnh Hương sale</t>
  </si>
  <si>
    <t>HD050349</t>
  </si>
  <si>
    <t>70/21 đình nghi xuân, P bình trị đông</t>
  </si>
  <si>
    <t>Trần Thanh Huyền sale</t>
  </si>
  <si>
    <t>HD050875</t>
  </si>
  <si>
    <t>Số 3 đống đa, phường 2</t>
  </si>
  <si>
    <t>hoàng loan sale wed t8</t>
  </si>
  <si>
    <t>HD051363</t>
  </si>
  <si>
    <t>108/81 trận văn quang Phường bảy hiền</t>
  </si>
  <si>
    <t>Nguyễn Quỳnh-sale</t>
  </si>
  <si>
    <t>HD051643</t>
  </si>
  <si>
    <t>45/31/3 Trường Lưu, Phường Long Trường</t>
  </si>
  <si>
    <t>Huỳnh GT Ngọc SALE</t>
  </si>
  <si>
    <t>HD052268</t>
  </si>
  <si>
    <t>21/8/45 lê công phép, p an lạc</t>
  </si>
  <si>
    <t>La Liên sale</t>
  </si>
  <si>
    <t>HD050398</t>
  </si>
  <si>
    <t>17-19-21 Nguyễn Văn Trỗi, phường Phú Nhuận</t>
  </si>
  <si>
    <t>Thúy Nguyễn</t>
  </si>
  <si>
    <t>HD052034</t>
  </si>
  <si>
    <t>Lô K, Cc Bàu Cát 2, P. 10</t>
  </si>
  <si>
    <t>Thư Lê sale</t>
  </si>
  <si>
    <t>HD049407</t>
  </si>
  <si>
    <t>325/35/22 Tân Hương, Phường phú thọ hòa</t>
  </si>
  <si>
    <t>Tường Vii Trương sale</t>
  </si>
  <si>
    <t>HD049986</t>
  </si>
  <si>
    <t>876/29 Hà Huy Giáp, Thạnh Lộc</t>
  </si>
  <si>
    <t>Amy Luu</t>
  </si>
  <si>
    <t>HD050233</t>
  </si>
  <si>
    <t>8/12 trịnh đình thảo hoà thạnh</t>
  </si>
  <si>
    <t>Kim Vân sale wed t8</t>
  </si>
  <si>
    <t>HD051958</t>
  </si>
  <si>
    <t>Thuỷ Bé sale</t>
  </si>
  <si>
    <t>HD052220</t>
  </si>
  <si>
    <t>92/5 đường số 10 BHH B</t>
  </si>
  <si>
    <t>Bạch Vân</t>
  </si>
  <si>
    <t>HD051051</t>
  </si>
  <si>
    <t>42/13 Trần Hưng Đạo, P. Tân Sơn Nhì</t>
  </si>
  <si>
    <t>Kim Bibi-sale</t>
  </si>
  <si>
    <t>HD051816</t>
  </si>
  <si>
    <t>147/5c đường bình trị đông, phường Bình trị Đông a</t>
  </si>
  <si>
    <t>HD051975</t>
  </si>
  <si>
    <t>Vân Nguyễn sale wed t8</t>
  </si>
  <si>
    <t>HD051707</t>
  </si>
  <si>
    <t>11-D5 KBT Thảo Nguyên Long Bình</t>
  </si>
  <si>
    <t>Vy Nguyen sale</t>
  </si>
  <si>
    <t>HD052199</t>
  </si>
  <si>
    <t>thy (Xá Lị) sale</t>
  </si>
  <si>
    <t>HD052111</t>
  </si>
  <si>
    <t>Chung cư Saigon Asiana 336/20 Nguyễn Văn Luông p12</t>
  </si>
  <si>
    <t>Phùng Ngọc Anh sale</t>
  </si>
  <si>
    <t>HD051241</t>
  </si>
  <si>
    <t>215 Hồng Bàng</t>
  </si>
  <si>
    <t>HOAN - fb Linh Đan</t>
  </si>
  <si>
    <t>HD052354</t>
  </si>
  <si>
    <t>1/2 lê thúc hoạch phú thọ hoà</t>
  </si>
  <si>
    <t>Nguyễn Tuyền SALE WED T8</t>
  </si>
  <si>
    <t>HD050845</t>
  </si>
  <si>
    <t>40 Kim Bien, p13</t>
  </si>
  <si>
    <t>Thiên Tú sale</t>
  </si>
  <si>
    <t>HD052330</t>
  </si>
  <si>
    <t>59 sương nguyệt ánh phường bến thành</t>
  </si>
  <si>
    <t>Brian Dang</t>
  </si>
  <si>
    <t>HD052182</t>
  </si>
  <si>
    <t>79-81-83 Hoàng Văn Thái</t>
  </si>
  <si>
    <t>Ty Na Nguyễn sale 8</t>
  </si>
  <si>
    <t>HD052245</t>
  </si>
  <si>
    <t>TK 14/5A Võ Văn Kiệt p Cầu Ông Lãnh</t>
  </si>
  <si>
    <t>HD051994</t>
  </si>
  <si>
    <t>HD052321</t>
  </si>
  <si>
    <t>84 Huỳnh Văn Bánh</t>
  </si>
  <si>
    <t>Đi Hi sale</t>
  </si>
  <si>
    <t>HD051668</t>
  </si>
  <si>
    <t>195 Trương Văn Bang, P.Thạnh Mỹ Lợi</t>
  </si>
  <si>
    <t>HD050522</t>
  </si>
  <si>
    <t>HD051336</t>
  </si>
  <si>
    <t>278 Lê văn thọ p11</t>
  </si>
  <si>
    <t>Thiên Trang Phạm sale 8</t>
  </si>
  <si>
    <t>HD052261</t>
  </si>
  <si>
    <t>Block B CC Dlusso số 9 Nguyễn Thị Định Phường Bình Trưng</t>
  </si>
  <si>
    <t>Ánh Ngô sale</t>
  </si>
  <si>
    <t>HD052005</t>
  </si>
  <si>
    <t>25/6/1 TA16 Thới An</t>
  </si>
  <si>
    <t>Lan Thanh sale</t>
  </si>
  <si>
    <t>HD051649</t>
  </si>
  <si>
    <t>92 nguyễn hữu cảnh, p22</t>
  </si>
  <si>
    <t>HD051206</t>
  </si>
  <si>
    <t>Số 58, ĐƯỜNG SỐ 2, KDC CTY LAND GARDEN HILLS, PHƯỜNG 5</t>
  </si>
  <si>
    <t>Xuân An sale</t>
  </si>
  <si>
    <t>HD052279</t>
  </si>
  <si>
    <t>Kiều Thu sale</t>
  </si>
  <si>
    <t>HD051754</t>
  </si>
  <si>
    <t>979 Phan Văn Trị, Phường 1</t>
  </si>
  <si>
    <t>HDO1787801498940_472547</t>
  </si>
  <si>
    <t>206/10 đồng đen phường tân bình</t>
  </si>
  <si>
    <t>đổi hàng, shop chịu ship</t>
  </si>
  <si>
    <t>Đào Thái Phương Trang SALE WED T8</t>
  </si>
  <si>
    <t>HD050848</t>
  </si>
  <si>
    <t>819 quang trung p12</t>
  </si>
  <si>
    <t>Kỳ Duyên sale</t>
  </si>
  <si>
    <t>HD052040</t>
  </si>
  <si>
    <t>89/15a phan huy ích phường tân sơn</t>
  </si>
  <si>
    <t>HD048851</t>
  </si>
  <si>
    <t>47/6 Nguyen Trung Ngan Phuong Sai Gon</t>
  </si>
  <si>
    <t>Ngọc Huyền ( grab ) sale</t>
  </si>
  <si>
    <t>HD051992</t>
  </si>
  <si>
    <t>234/55/47 Lê Đức thọ, phường an nhơn</t>
  </si>
  <si>
    <t>Thubk Nguyenngocanhthu sale</t>
  </si>
  <si>
    <t>HD052183</t>
  </si>
  <si>
    <t>80 Nguyễn duy trinh phường bình trưng tây</t>
  </si>
  <si>
    <t>Mỹ Huyền Sale</t>
  </si>
  <si>
    <t>HD051238</t>
  </si>
  <si>
    <t>284/24 phan huy ích, Phường an hội tây</t>
  </si>
  <si>
    <t>HD048655</t>
  </si>
  <si>
    <t>Park 5, vinhomes Central Park, 208 Nguyễn Hữu Cảnh P22</t>
  </si>
  <si>
    <t>Trang nguyên-sale</t>
  </si>
  <si>
    <t>HD052077</t>
  </si>
  <si>
    <t>29/1a2 đường 36 p hiệp bình chánh</t>
  </si>
  <si>
    <t>HD052017</t>
  </si>
  <si>
    <t>Quỳnh Như Basic sale</t>
  </si>
  <si>
    <t>HD050263</t>
  </si>
  <si>
    <t>Ngọc Diệp-sale</t>
  </si>
  <si>
    <t>HD052096</t>
  </si>
  <si>
    <t>23 đường số 2 phường Hạnh Thông</t>
  </si>
  <si>
    <t>Ngô Thuy Linh sale</t>
  </si>
  <si>
    <t>HD051373</t>
  </si>
  <si>
    <t>37 Nguyễn Văn Hưởng thảo điền</t>
  </si>
  <si>
    <t>Lê Tuyet Trinh</t>
  </si>
  <si>
    <t>HD051946</t>
  </si>
  <si>
    <t>13.04 S6, The Sun Anenue, 28 Đ. Mai Chí Thọ, An Phú</t>
  </si>
  <si>
    <t>HD051172</t>
  </si>
  <si>
    <t>195 Trương Văn Bang, P.Cát Lái (sau sáp nhập)</t>
  </si>
  <si>
    <t>5</t>
  </si>
  <si>
    <t>đơn chuyển AT tối 28-08</t>
  </si>
  <si>
    <t>giảm kh 220k</t>
  </si>
  <si>
    <t>HD048858</t>
  </si>
  <si>
    <t>17 Đường Số 13 Bình Hưng Hòa</t>
  </si>
  <si>
    <t>AT 29-08</t>
  </si>
  <si>
    <t>29-08-2026</t>
  </si>
  <si>
    <t>Xu Xu</t>
  </si>
  <si>
    <t>2b ba gia khu phố 23 phường tân sơn nhất</t>
  </si>
  <si>
    <t>BOS BMB</t>
  </si>
  <si>
    <t>119 Hoàng Diệu 2 linh trung</t>
  </si>
  <si>
    <t>KIM NGỌC</t>
  </si>
  <si>
    <t>20 tân thành p.tân thành</t>
  </si>
  <si>
    <t>THƯƠNG 1994</t>
  </si>
  <si>
    <t>Tòa S501, Vinhome Grand Park, Long Thạnh Mỹ</t>
  </si>
  <si>
    <t>Nguyễn Trang sale</t>
  </si>
  <si>
    <t>HD048781</t>
  </si>
  <si>
    <t>89 đường số 6 bình chiểu</t>
  </si>
  <si>
    <t>HD052808</t>
  </si>
  <si>
    <t>Quỳnh Anh Lưu sale</t>
  </si>
  <si>
    <t>HD053149</t>
  </si>
  <si>
    <t>tk14/27 nguyễn cảnh chân</t>
  </si>
  <si>
    <t>Xuân Nguyễn sale</t>
  </si>
  <si>
    <t>HD051016</t>
  </si>
  <si>
    <t>17 đường 2C.An Lạc</t>
  </si>
  <si>
    <t>Phương Thảo Mai sale</t>
  </si>
  <si>
    <t>HD052910</t>
  </si>
  <si>
    <t>2/61 song hành - phường đông hưng thuận</t>
  </si>
  <si>
    <t>HD053255</t>
  </si>
  <si>
    <t>Thảo Ròm sale</t>
  </si>
  <si>
    <t>HD053162</t>
  </si>
  <si>
    <t>26 ung văn khiêm, p25</t>
  </si>
  <si>
    <t>Thanh Tâm sale</t>
  </si>
  <si>
    <t>HD052723</t>
  </si>
  <si>
    <t>70/28 lê văn thọ p thông tây hội</t>
  </si>
  <si>
    <t>HD052492</t>
  </si>
  <si>
    <t>1002 tạ Quang bửu phường 6</t>
  </si>
  <si>
    <t>Hoa Nguyen sale</t>
  </si>
  <si>
    <t>HD052751</t>
  </si>
  <si>
    <t>904/19 Nguyễn Duy P12</t>
  </si>
  <si>
    <t>thyBi Phan sale wed</t>
  </si>
  <si>
    <t>HD051617</t>
  </si>
  <si>
    <t>205/47 Liên khu 4-5, phường Bình Tân</t>
  </si>
  <si>
    <t>Trần Yến sale</t>
  </si>
  <si>
    <t>HD053009</t>
  </si>
  <si>
    <t>khách sạn Cosini Côn Đảo - khu 7 đường Hồ Thanh Tòng đặc khu Côn Đảo</t>
  </si>
  <si>
    <t>Ms Yến sale</t>
  </si>
  <si>
    <t>HD051925</t>
  </si>
  <si>
    <t>25 đường 61 Thạnh Mỹ Lợi</t>
  </si>
  <si>
    <t>Hyang Trần</t>
  </si>
  <si>
    <t>HD047842</t>
  </si>
  <si>
    <t>Chung cư lavida plus</t>
  </si>
  <si>
    <t>Hoàng phương Vi (SALE WEB)</t>
  </si>
  <si>
    <t>HD052933</t>
  </si>
  <si>
    <t>163 Trương Văn Bang p Thạnh Mỹ Lợi</t>
  </si>
  <si>
    <t>Ngọc Thuý sale</t>
  </si>
  <si>
    <t>HD050153</t>
  </si>
  <si>
    <t>822/89 Hương Lộ 2</t>
  </si>
  <si>
    <t>Hạ fb Kathy Nhung-sale</t>
  </si>
  <si>
    <t>HD052810</t>
  </si>
  <si>
    <t>38 Đ. Kha Vạn Cân, Hiệp Bình Chánh</t>
  </si>
  <si>
    <t>Anh Thư sale wed t8</t>
  </si>
  <si>
    <t>HD052524</t>
  </si>
  <si>
    <t>151 đỗ pháp thuận, phường bình trưng</t>
  </si>
  <si>
    <t>HD052795</t>
  </si>
  <si>
    <t>đối diện 210/12 trịnh đình trọng, p tân phú</t>
  </si>
  <si>
    <t>Trâm sale wed t8</t>
  </si>
  <si>
    <t>HD053128</t>
  </si>
  <si>
    <t>A4.23 kdc cotec phú xuân</t>
  </si>
  <si>
    <t>Lê Liễu-sale</t>
  </si>
  <si>
    <t>HD052423</t>
  </si>
  <si>
    <t>307 Bùi Hữu Nghĩa p Gia Định</t>
  </si>
  <si>
    <t>Tường Vy sale</t>
  </si>
  <si>
    <t>HD052289</t>
  </si>
  <si>
    <t>141 Lưu Hữu Phước p15</t>
  </si>
  <si>
    <t>Bánh tiêu (Mon) SALE WEB</t>
  </si>
  <si>
    <t>HD052616</t>
  </si>
  <si>
    <t>111/36 đặng thuy trâm</t>
  </si>
  <si>
    <t>HD052617</t>
  </si>
  <si>
    <t>Tháp E Mastrise, Vinhomes Grand Park, Nguyễn Xiển, Long Bình</t>
  </si>
  <si>
    <t>Ngoc Bich Vy Nguyen sale</t>
  </si>
  <si>
    <t>HD052780</t>
  </si>
  <si>
    <t>17/7 D ấp Hưng lân xã bà điểm</t>
  </si>
  <si>
    <t>Lê Minh Thùy sale</t>
  </si>
  <si>
    <t>HD050620</t>
  </si>
  <si>
    <t>24/8 Nguyễn Lâm, Phường Gia Định</t>
  </si>
  <si>
    <t>HD051799</t>
  </si>
  <si>
    <t>Linh Nguyễn sale wed t8</t>
  </si>
  <si>
    <t>HD052265</t>
  </si>
  <si>
    <t>20 Hoàng Minh Giám Phường Đức Nhuận</t>
  </si>
  <si>
    <t>Quỳnh Như sale</t>
  </si>
  <si>
    <t>HD051597</t>
  </si>
  <si>
    <t>148/72 trường lưu, long trường</t>
  </si>
  <si>
    <t>HD053175</t>
  </si>
  <si>
    <t>29 đường tam là, tam phú</t>
  </si>
  <si>
    <t>Nguyên Lê sale cọc 200</t>
  </si>
  <si>
    <t>HD052822</t>
  </si>
  <si>
    <t>151 Nguyễn Đình Chiếu, Phường 6</t>
  </si>
  <si>
    <t>cát tiên sale wed t8</t>
  </si>
  <si>
    <t>HD053025</t>
  </si>
  <si>
    <t>854/73 Đ. Thống Nhất, An Hội Đông</t>
  </si>
  <si>
    <t>Ngọc Trinh sale</t>
  </si>
  <si>
    <t>HD052912</t>
  </si>
  <si>
    <t>Thẩm mỹ viện Haberi: 715 lê hồng phong</t>
  </si>
  <si>
    <t>Tú sale wed t8</t>
  </si>
  <si>
    <t>HD052588</t>
  </si>
  <si>
    <t>45/11 lê cơ An lạc</t>
  </si>
  <si>
    <t>HD052972</t>
  </si>
  <si>
    <t>5 hoa huệ phường cầu kiệu</t>
  </si>
  <si>
    <t>Quành Kiêu</t>
  </si>
  <si>
    <t>HD052390</t>
  </si>
  <si>
    <t>76 ngô tất tố p19</t>
  </si>
  <si>
    <t>Kawalin sale</t>
  </si>
  <si>
    <t>HD048124</t>
  </si>
  <si>
    <t>Thu Thiem Zeit River tower 1 number T1.08.03, Floor 08</t>
  </si>
  <si>
    <t>hương phạm - fb Tổng Dạ Uyên sale</t>
  </si>
  <si>
    <t>HD052234</t>
  </si>
  <si>
    <t>Mp7 căn 8-11 Mizuki park, Bình Hưng</t>
  </si>
  <si>
    <t>Hiền Nguyễn-sale</t>
  </si>
  <si>
    <t>HD051611</t>
  </si>
  <si>
    <t>30/1e tô ký đông thạnh</t>
  </si>
  <si>
    <t>chị trang sale wed t8</t>
  </si>
  <si>
    <t>HD051417</t>
  </si>
  <si>
    <t>91 nguyễn hữu cảnh phường 22</t>
  </si>
  <si>
    <t>PHAN THỊ DIỄM THÚY SALE WED</t>
  </si>
  <si>
    <t>HD053003</t>
  </si>
  <si>
    <t>HD052436</t>
  </si>
  <si>
    <t>Lê Uyên Thư sale wed t8</t>
  </si>
  <si>
    <t>HD052951</t>
  </si>
  <si>
    <t>765/71/35 Xô Viết Nghệ Tĩnh</t>
  </si>
  <si>
    <t>Nhu Thao sale</t>
  </si>
  <si>
    <t>HD052891</t>
  </si>
  <si>
    <t>280/126A Bùi Hữu Nghĩa</t>
  </si>
  <si>
    <t>HD052752</t>
  </si>
  <si>
    <t>Mai Trinh sale</t>
  </si>
  <si>
    <t>HD052705</t>
  </si>
  <si>
    <t>432A/40/2G Dương Bá Trạc, Phường Rạch Ông</t>
  </si>
  <si>
    <t>Hồng Phạm fb Thy Thy Trần</t>
  </si>
  <si>
    <t>HD052142</t>
  </si>
  <si>
    <t>148/14 Đường số 1, An Hội Đông (Phường 16 cũ)</t>
  </si>
  <si>
    <t>Lâm Yến Vi sale</t>
  </si>
  <si>
    <t>HD052681</t>
  </si>
  <si>
    <t>Bs11 vinhome grand park</t>
  </si>
  <si>
    <t>Trần Thị Thanh Chúc sale</t>
  </si>
  <si>
    <t>HD052576</t>
  </si>
  <si>
    <t>5 Trần Quang Long, phường Thạnh Mỹ Tây</t>
  </si>
  <si>
    <t>Ngoc Tram-sale</t>
  </si>
  <si>
    <t>HD052833</t>
  </si>
  <si>
    <t>27/1 Điện Biên Phủ p15</t>
  </si>
  <si>
    <t>HD051753</t>
  </si>
  <si>
    <t>1321/3c huỳnh tấn phát phường phú thuận</t>
  </si>
  <si>
    <t>HD052117</t>
  </si>
  <si>
    <t>156/5/27 tô hiến thành</t>
  </si>
  <si>
    <t>Trang Angels SALE</t>
  </si>
  <si>
    <t>HD053058</t>
  </si>
  <si>
    <t>Trần Lê Thi Thiên slae wed t8</t>
  </si>
  <si>
    <t>HD052499</t>
  </si>
  <si>
    <t>Quyên Phan sale</t>
  </si>
  <si>
    <t>HD049741</t>
  </si>
  <si>
    <t>269 âu dương lân phường 2</t>
  </si>
  <si>
    <t>Ánh Hồng-sale</t>
  </si>
  <si>
    <t>HD052439</t>
  </si>
  <si>
    <t>482 minh phụng p9</t>
  </si>
  <si>
    <t>Minh Minh</t>
  </si>
  <si>
    <t>HD053296</t>
  </si>
  <si>
    <t>Be1 Vinhomes Grand Park, p.Long Binh</t>
  </si>
  <si>
    <t>Tina Trần sale</t>
  </si>
  <si>
    <t>HD051980</t>
  </si>
  <si>
    <t>156 LÊ LAI PHƯỜNG BẾN THÀNH</t>
  </si>
  <si>
    <t>Diễm fb Lillian Nguyễn SALE wed t8</t>
  </si>
  <si>
    <t>HD052515</t>
  </si>
  <si>
    <t>Trinh Pé sale</t>
  </si>
  <si>
    <t>HD053079</t>
  </si>
  <si>
    <t>21 Lạc Long Quân, Phường Hoà Bình</t>
  </si>
  <si>
    <t>Hương Giang sale wed t8</t>
  </si>
  <si>
    <t>HD052765</t>
  </si>
  <si>
    <t>163/30 nguyễn phúc chu phường 15</t>
  </si>
  <si>
    <t>ThuHa Dang-sale</t>
  </si>
  <si>
    <t>HD052730</t>
  </si>
  <si>
    <t>Cc skyway lock G, 13B Nguyễn Văn Linh, Xã Phong Phú</t>
  </si>
  <si>
    <t>HD052085</t>
  </si>
  <si>
    <t>Khánh Ngọc sale wed t8</t>
  </si>
  <si>
    <t>HD051347</t>
  </si>
  <si>
    <t>Số 8 Bùi Thị Xuân, P. Bến Thành</t>
  </si>
  <si>
    <t>HD052759</t>
  </si>
  <si>
    <t>Truc Xinh sale</t>
  </si>
  <si>
    <t>HD051666</t>
  </si>
  <si>
    <t>320 nguyễn trọng tuyển</t>
  </si>
  <si>
    <t>Hoàng Thanh Hiền sale</t>
  </si>
  <si>
    <t>HD048134</t>
  </si>
  <si>
    <t>5 đường số 8 bình thuận</t>
  </si>
  <si>
    <t>Ngọc Phương-sale</t>
  </si>
  <si>
    <t>HD052577</t>
  </si>
  <si>
    <t>290 An Dương Vương p4</t>
  </si>
  <si>
    <t>HD052694</t>
  </si>
  <si>
    <t>793/58/5 trần xuân soạn</t>
  </si>
  <si>
    <t>kim ngân sale</t>
  </si>
  <si>
    <t>HD052285</t>
  </si>
  <si>
    <t>Công ty May Mặc Bowker Việt Nam (Đường số 6, KCN Đồng An, P. Bình Hòa)</t>
  </si>
  <si>
    <t>HD052932</t>
  </si>
  <si>
    <t>chị kim chi sale</t>
  </si>
  <si>
    <t>HD053215</t>
  </si>
  <si>
    <t>93 Lê Quốc Hưng, phường Xóm Chiếu</t>
  </si>
  <si>
    <t>Phương Trinh</t>
  </si>
  <si>
    <t>HD050455</t>
  </si>
  <si>
    <t>Toà B masteri centre point, long bình</t>
  </si>
  <si>
    <t>HD052179</t>
  </si>
  <si>
    <t>Cà phê Trung Nguyên, 178 Đường III, Khu dân cư Khang Điền, Phường Phước Long</t>
  </si>
  <si>
    <t>Hà Thị sale</t>
  </si>
  <si>
    <t>HD052502</t>
  </si>
  <si>
    <t>114/19 Tô Ngọc Vân, Thanh Xuân</t>
  </si>
  <si>
    <t>Mỹ Dung SALE WED + PAGE</t>
  </si>
  <si>
    <t>HD052776</t>
  </si>
  <si>
    <t>số 22, đường số 68-TML, Phường Cát Lái</t>
  </si>
  <si>
    <t>HD049554</t>
  </si>
  <si>
    <t>94 đường số 3, phường Thông Tây Hội (p9 cũ)</t>
  </si>
  <si>
    <t>HD052483</t>
  </si>
  <si>
    <t>Ly Ly-sale</t>
  </si>
  <si>
    <t>HD052383</t>
  </si>
  <si>
    <t>Bảo Trâm sale GỘP</t>
  </si>
  <si>
    <t>HD052148</t>
  </si>
  <si>
    <t>807B Hùng Vương, TT Chư Sê, H Chư Sê, T Gia Lai</t>
  </si>
  <si>
    <t>HD052526</t>
  </si>
  <si>
    <t>Nguyễn Thùy Linh sale</t>
  </si>
  <si>
    <t>HD052962</t>
  </si>
  <si>
    <t>25A 25a Mai Thị Lựu, Đa Kao</t>
  </si>
  <si>
    <t>Cherry</t>
  </si>
  <si>
    <t>HD052556</t>
  </si>
  <si>
    <t>babylon 1 new city, 17 mai chi tho</t>
  </si>
  <si>
    <t>HD053148</t>
  </si>
  <si>
    <t>Vinhome grand park s8.02 Nguyễn xiển</t>
  </si>
  <si>
    <t>Nguyễn vi sale wed t8</t>
  </si>
  <si>
    <t>HD051110</t>
  </si>
  <si>
    <t>60B Tản Đà p11 62 Tản Đà p Chợ Lớn</t>
  </si>
  <si>
    <t>Như Lê sale</t>
  </si>
  <si>
    <t>HD053045</t>
  </si>
  <si>
    <t>14/2 Trần Quang Long F19</t>
  </si>
  <si>
    <t>Trần Thị Kim Yến sale</t>
  </si>
  <si>
    <t>HD051882</t>
  </si>
  <si>
    <t>bida ox, lý chính thắng</t>
  </si>
  <si>
    <t>Trang Lê sale</t>
  </si>
  <si>
    <t>HD051665</t>
  </si>
  <si>
    <t>13A Đào Duy Anh, p9</t>
  </si>
  <si>
    <t>Nguyễn Bích Trâm SALE</t>
  </si>
  <si>
    <t>HD052442</t>
  </si>
  <si>
    <t>22/6 tân thuận tây phường Tân Thuận Tây</t>
  </si>
  <si>
    <t>Nguyễn Thảo sale</t>
  </si>
  <si>
    <t>HD052849</t>
  </si>
  <si>
    <t>171/25 đường gò xoài, F. Bình Hưng Hòa</t>
  </si>
  <si>
    <t>Phẩm Huỳnh SALE wed t8</t>
  </si>
  <si>
    <t>HD052306</t>
  </si>
  <si>
    <t>84 phạm Hồng thái phường bến thành</t>
  </si>
  <si>
    <t>Tâm Yoga sale</t>
  </si>
  <si>
    <t>HD051661</t>
  </si>
  <si>
    <t>52 Yên Thế p. Tân Sơn Hòa (Lava 25Fit)</t>
  </si>
  <si>
    <t>An Phuong sale</t>
  </si>
  <si>
    <t>HD051634</t>
  </si>
  <si>
    <t>Chung sunrise city south v4 tan hưng</t>
  </si>
  <si>
    <t>HD052174</t>
  </si>
  <si>
    <t>Qua chung cư Filhouse số 1 đường 34 p. bình trị đông b</t>
  </si>
  <si>
    <t>thúy- fb Hony Nguyen sale</t>
  </si>
  <si>
    <t>HD052489</t>
  </si>
  <si>
    <t>151/39/8 lũy bán bích phường tân thới hòa</t>
  </si>
  <si>
    <t>Hiền Bùi sale</t>
  </si>
  <si>
    <t>HD052907</t>
  </si>
  <si>
    <t>47/24/8 bùi đình túy</t>
  </si>
  <si>
    <t>Nguyễn Như Ýy sale</t>
  </si>
  <si>
    <t>HD052823</t>
  </si>
  <si>
    <t>CC Hiệp Bình Chánh - P Hiệp Bình</t>
  </si>
  <si>
    <t>Ngọc Thanh Hương Đặng-sale</t>
  </si>
  <si>
    <t>HD052850</t>
  </si>
  <si>
    <t>4M/40 đường 827, phường long trường</t>
  </si>
  <si>
    <t>Fb: An An sale</t>
  </si>
  <si>
    <t>HD049283</t>
  </si>
  <si>
    <t>Cty Thế Long Express 27/5 Quách Văn Tuấn, f12</t>
  </si>
  <si>
    <t>HD052375</t>
  </si>
  <si>
    <t>Park 6A Vinhome Central Park,P.Thạnh Mỹ Tây</t>
  </si>
  <si>
    <t>Mimi sale</t>
  </si>
  <si>
    <t>HD051910</t>
  </si>
  <si>
    <t>Lầu 2, toà Mi chung cư Tôn Thất Thuyết P1</t>
  </si>
  <si>
    <t>Trang Nabie (SALE WEB)</t>
  </si>
  <si>
    <t>HD051792</t>
  </si>
  <si>
    <t>Sảnh V6 23 nguyễn hữu thọ tân hưng</t>
  </si>
  <si>
    <t>HD051928</t>
  </si>
  <si>
    <t>Li Li sale</t>
  </si>
  <si>
    <t>HD052344</t>
  </si>
  <si>
    <t>Vinhomes Grand Park - Khu The Orginami - Sảnh 57.02A, Nguyễn Xiển, P. Long Bình</t>
  </si>
  <si>
    <t>HD052819</t>
  </si>
  <si>
    <t>Thảo Nguyễn sale wed t8</t>
  </si>
  <si>
    <t>HD053125</t>
  </si>
  <si>
    <t>B2/24C Võ Văn Vân, xã Tân Vĩnh Lộc</t>
  </si>
  <si>
    <t>Phạm Thị Thảo Nguyên sale wed t8</t>
  </si>
  <si>
    <t>HD052956</t>
  </si>
  <si>
    <t>27 me linh phường Thạnh Mỹ Tây</t>
  </si>
  <si>
    <t>Phương Trang sale wed t8</t>
  </si>
  <si>
    <t>HD052459</t>
  </si>
  <si>
    <t>611/23 Lê Hồng Phong, Phường Vườn Lài</t>
  </si>
  <si>
    <t>Thúy hồng (SALE WEB)</t>
  </si>
  <si>
    <t>HD052888</t>
  </si>
  <si>
    <t>Chung cư samland (căn 7.7) - 178/6 nguyễn văn thương, phường 25</t>
  </si>
  <si>
    <t>Hoàng Thị Thùy Dương sale</t>
  </si>
  <si>
    <t>HD051682</t>
  </si>
  <si>
    <t>79 nguyễn trãi p bến thành</t>
  </si>
  <si>
    <t>Nhiên Bình sale</t>
  </si>
  <si>
    <t>HD052611</t>
  </si>
  <si>
    <t>425 Nơ Trang Long, phường Bình Lợi Trung</t>
  </si>
  <si>
    <t>Anh Ngoc sale</t>
  </si>
  <si>
    <t>HD051769</t>
  </si>
  <si>
    <t>chị ngân fb Thúy Ngân sale</t>
  </si>
  <si>
    <t>HD052277</t>
  </si>
  <si>
    <t>666/46/29E đường 3/2 P.14</t>
  </si>
  <si>
    <t>HD052686</t>
  </si>
  <si>
    <t>HD051214</t>
  </si>
  <si>
    <t>4529 Nguyễn Cửu Phú, Tân Tạo A</t>
  </si>
  <si>
    <t>Nguyễn Thư SALE WED</t>
  </si>
  <si>
    <t>HD052773</t>
  </si>
  <si>
    <t>e8/28/12a ấp 5a thới hoà vĩnh lộc a</t>
  </si>
  <si>
    <t>Ngọc Trương sale</t>
  </si>
  <si>
    <t>HD052873</t>
  </si>
  <si>
    <t>29 huỳnh văn bánh phường cầu kiệu</t>
  </si>
  <si>
    <t>Hồng (sale web)</t>
  </si>
  <si>
    <t>HD052259</t>
  </si>
  <si>
    <t>690/2K Nguyễn Duy Phường 12</t>
  </si>
  <si>
    <t>Hương Chuột sale</t>
  </si>
  <si>
    <t>HD052184</t>
  </si>
  <si>
    <t>84A Bà Huyện Thanh Quân, Phường 09</t>
  </si>
  <si>
    <t>Pé Thỏ sale 08</t>
  </si>
  <si>
    <t>HD049863</t>
  </si>
  <si>
    <t>5/4a hẻm 118 Nguyễn thị thập phường bình thuận</t>
  </si>
  <si>
    <t>HD052360</t>
  </si>
  <si>
    <t>Tóc Lê Khôi sale</t>
  </si>
  <si>
    <t>HD052806</t>
  </si>
  <si>
    <t>1019,tl43,p.bình chiểu</t>
  </si>
  <si>
    <t>chị thảo (đã ghé shop sale)</t>
  </si>
  <si>
    <t>HD051485</t>
  </si>
  <si>
    <t>4 Hát Giang P2</t>
  </si>
  <si>
    <t>HD051317</t>
  </si>
  <si>
    <t>382-384-386 Võ Văn Kiệt, P cầu Ông Lãnh</t>
  </si>
  <si>
    <t>HD051310</t>
  </si>
  <si>
    <t>2143/14 phạm thế hiển p6</t>
  </si>
  <si>
    <t>HD051897</t>
  </si>
  <si>
    <t>HD052800</t>
  </si>
  <si>
    <t>Daisy Daisy sale</t>
  </si>
  <si>
    <t>HD050446</t>
  </si>
  <si>
    <t>488/1/17 Phạm Văn Chiêu, phường 16</t>
  </si>
  <si>
    <t>kh ck shop 2330k</t>
  </si>
  <si>
    <t>Tú Hoàng sale</t>
  </si>
  <si>
    <t>HD050590</t>
  </si>
  <si>
    <t>29/11 đ22 kp1 p.bình chiểu</t>
  </si>
  <si>
    <t>mimi (giao cho lễ tân báo hàng của Mimi)</t>
  </si>
  <si>
    <t>HD052923</t>
  </si>
  <si>
    <t>339/24B Đ. Lê Văn Sỹ, Phường 13</t>
  </si>
  <si>
    <t>Trâm Lương sale</t>
  </si>
  <si>
    <t>HD048160</t>
  </si>
  <si>
    <t>7a trần lựu, an khánh</t>
  </si>
  <si>
    <t>Trân (SALE WEB)</t>
  </si>
  <si>
    <t>HD049726</t>
  </si>
  <si>
    <t>227/9 Gò Dầu, Tân Quý</t>
  </si>
  <si>
    <t>HD051573</t>
  </si>
  <si>
    <t>Trúc Ly (SALE WEB)</t>
  </si>
  <si>
    <t>HD052814</t>
  </si>
  <si>
    <t>240/1/34 hiệp thành 13</t>
  </si>
  <si>
    <t>HD051038</t>
  </si>
  <si>
    <t>508/1 Tô ngọc vân,p. Tam bình</t>
  </si>
  <si>
    <t>Nguyễn Chi sale</t>
  </si>
  <si>
    <t>HD052971</t>
  </si>
  <si>
    <t>185 Nguyễn Kim p7</t>
  </si>
  <si>
    <t>Ni sale wed t8</t>
  </si>
  <si>
    <t>HD050002</t>
  </si>
  <si>
    <t>Toà viettel-sảnh A1- số 285 cmt8 p12</t>
  </si>
  <si>
    <t>Đỗ Hoài sale</t>
  </si>
  <si>
    <t>HD051044</t>
  </si>
  <si>
    <t>F4/2A, ấp 6A, xã Vĩnh Lộc B</t>
  </si>
  <si>
    <t>ala trần sale</t>
  </si>
  <si>
    <t>HD050570</t>
  </si>
  <si>
    <t>103/2 lê lợi p hạnh thông</t>
  </si>
  <si>
    <t>HD052777</t>
  </si>
  <si>
    <t>176/1 Nguyễn Văn Thương, phường Thạnh Mỹ</t>
  </si>
  <si>
    <t>Ni Ni (SALE WEB)</t>
  </si>
  <si>
    <t>HD051499</t>
  </si>
  <si>
    <t>44 đường số 1, phường An Khánh</t>
  </si>
  <si>
    <t>HD050418</t>
  </si>
  <si>
    <t>Nguyễn Thị Kim Thoa sale</t>
  </si>
  <si>
    <t>HD050971</t>
  </si>
  <si>
    <t>HD050609</t>
  </si>
  <si>
    <t>Đinh Thiên Kim sale</t>
  </si>
  <si>
    <t>HD050540</t>
  </si>
  <si>
    <t>35 Nguyễn trọng trí phường an lạc</t>
  </si>
  <si>
    <t>Loan (Trân) sale</t>
  </si>
  <si>
    <t>HD052835</t>
  </si>
  <si>
    <t>Chung Cư Hoàng Kim, Số 573, Đường Huỳnh Tấn Phát &gt; Phường Tân Thuận</t>
  </si>
  <si>
    <t>Mai Thảo sale</t>
  </si>
  <si>
    <t>HD050205</t>
  </si>
  <si>
    <t>Vincom megamall thảo điền 161 võ nguyên giáp phường an khánh</t>
  </si>
  <si>
    <t>HD050072</t>
  </si>
  <si>
    <t>652/14b cộng hoà, phường13</t>
  </si>
  <si>
    <t>Thảo (SALE WEB)</t>
  </si>
  <si>
    <t>HD052340</t>
  </si>
  <si>
    <t>1/12/19 Võ Oanh, Phường 25</t>
  </si>
  <si>
    <t>Thúy Suri-sale</t>
  </si>
  <si>
    <t>HD051103</t>
  </si>
  <si>
    <t>HD053113</t>
  </si>
  <si>
    <t>Võ Thị Ngọc Bích sale</t>
  </si>
  <si>
    <t>HD050437</t>
  </si>
  <si>
    <t>Chung Cư Linh Trung . 6 - 8 . Đường Số 16 . Linh Trung</t>
  </si>
  <si>
    <t>HD050268</t>
  </si>
  <si>
    <t>Le Thuy Hoa sale</t>
  </si>
  <si>
    <t>HD051060</t>
  </si>
  <si>
    <t>70/6 huỳnh thiện lộc phường hòa thạnh</t>
  </si>
  <si>
    <t>HD051813</t>
  </si>
  <si>
    <t>79B đường 15, phường phước long</t>
  </si>
  <si>
    <t>chị thanh tuyền sale</t>
  </si>
  <si>
    <t>HD050914</t>
  </si>
  <si>
    <t>cao ốc Phú Nhuận số 20 Hoàng Minh Giám, phường Đức Nhuận (p9)</t>
  </si>
  <si>
    <t>HD049592</t>
  </si>
  <si>
    <t>Morning Saigon coffee, 148 Đ. 51, P.An Khánh</t>
  </si>
  <si>
    <t>Nguyễn Phấn sale</t>
  </si>
  <si>
    <t>HD052228</t>
  </si>
  <si>
    <t>Chung cư H1 hoàng diệu p.khánh hội</t>
  </si>
  <si>
    <t>HDO1787910676705_472524</t>
  </si>
  <si>
    <t>Yến Kim sale</t>
  </si>
  <si>
    <t>HD052043</t>
  </si>
  <si>
    <t>Lô B chung cư Chợ Quán, phường Chợ Quán</t>
  </si>
  <si>
    <t>Vy Nguyễn sale wed t8</t>
  </si>
  <si>
    <t>HD052401</t>
  </si>
  <si>
    <t>252 lê thánh tôn, phường bến thành</t>
  </si>
  <si>
    <t>Thủy Vân sale</t>
  </si>
  <si>
    <t>HD052409</t>
  </si>
  <si>
    <t>71/2/13, Nguyễn Bặc, Phường Tân Sơn Hòa</t>
  </si>
  <si>
    <t>Trương Thùy Trang</t>
  </si>
  <si>
    <t>HD052372</t>
  </si>
  <si>
    <t>666/44 ba tháng hai</t>
  </si>
  <si>
    <t>Thuy An Dao sale</t>
  </si>
  <si>
    <t>HD052876</t>
  </si>
  <si>
    <t>HD053040</t>
  </si>
  <si>
    <t>128/50 lê van duyệt phương 1</t>
  </si>
  <si>
    <t>Trinh Trần-sale</t>
  </si>
  <si>
    <t>HD052252</t>
  </si>
  <si>
    <t>33 lê duẩn, bến nghé</t>
  </si>
  <si>
    <t>Đỗ Trần Thiên Trang sale</t>
  </si>
  <si>
    <t>HD051340</t>
  </si>
  <si>
    <t>263-265 đường 3 tháng 2, f.10</t>
  </si>
  <si>
    <t>Đông Thị Thu Võ SALE</t>
  </si>
  <si>
    <t>HD052253</t>
  </si>
  <si>
    <t>382/33 Nguyễn Thái Sơn, phường An Nhơn</t>
  </si>
  <si>
    <t>Ha Pham sale</t>
  </si>
  <si>
    <t>HD052451</t>
  </si>
  <si>
    <t>116 Nguyễn Văn Hưởng, Thảo điền</t>
  </si>
  <si>
    <t>Nguyễn Ngọc Phương Trang sale</t>
  </si>
  <si>
    <t>HD048206</t>
  </si>
  <si>
    <t>B58/9 Nguyễn Trần Hiến,phường Xóm Chiếu</t>
  </si>
  <si>
    <t>Mỹ Linh-sale</t>
  </si>
  <si>
    <t>HD051058</t>
  </si>
  <si>
    <t>74C Hai Bà Trưng, P bến nghé</t>
  </si>
  <si>
    <t>Dien (SALE WEB)</t>
  </si>
  <si>
    <t>HD052338</t>
  </si>
  <si>
    <t>305/13 trường chinh</t>
  </si>
  <si>
    <t>Chan Vin-sale</t>
  </si>
  <si>
    <t>HD051057</t>
  </si>
  <si>
    <t>LIBERTY CENTRAL SAIGON RIVERSIDE HOTEL - 17 Ton Duc Thang St</t>
  </si>
  <si>
    <t>Lê Phương Chuyên sale</t>
  </si>
  <si>
    <t>HD052237</t>
  </si>
  <si>
    <t>362A Nguyễn Văn Nghi</t>
  </si>
  <si>
    <t>Như Ngọc sale</t>
  </si>
  <si>
    <t>HD052322</t>
  </si>
  <si>
    <t>20 đường 10 phuong tăng nhơn phú B</t>
  </si>
  <si>
    <t>HD052466</t>
  </si>
  <si>
    <t>945/63/9 lê đức thọ p an hội đông</t>
  </si>
  <si>
    <t>Linh Phương-sale</t>
  </si>
  <si>
    <t>HD051631</t>
  </si>
  <si>
    <t>98/20 đường số 1, an hội đông</t>
  </si>
  <si>
    <t>Nguyễn Hàng Ý Nhi sale</t>
  </si>
  <si>
    <t>HD052862</t>
  </si>
  <si>
    <t>3B Tân hóa p14</t>
  </si>
  <si>
    <t>Kiều Khiết Tâm SALE</t>
  </si>
  <si>
    <t>HD049675</t>
  </si>
  <si>
    <t>Số 2 đường số 3 tân kiểng</t>
  </si>
  <si>
    <t>Võ Thanh Quỳnh Trâm sale wed t8</t>
  </si>
  <si>
    <t>HD052596</t>
  </si>
  <si>
    <t>CC GOLDVIEW 346 bến văn đồn f1</t>
  </si>
  <si>
    <t>ng nhận Kỳ Anh sale</t>
  </si>
  <si>
    <t>HD052664</t>
  </si>
  <si>
    <t>114/79/8 tô ngọc vân f15</t>
  </si>
  <si>
    <t>Quang Phương Anh (SALE WEB)</t>
  </si>
  <si>
    <t>HD052408</t>
  </si>
  <si>
    <t>256/8 Phan Huy Ích P. An Hội Tây</t>
  </si>
  <si>
    <t>HD052348</t>
  </si>
  <si>
    <t>Đảo Kim Cương - Tháp Canary 1104 Đường Đảo Kim Cương, Phường Bình Trưng Tây</t>
  </si>
  <si>
    <t>HD052968</t>
  </si>
  <si>
    <t>Trang Le sale</t>
  </si>
  <si>
    <t>HD051228</t>
  </si>
  <si>
    <t>285/94a cmt8</t>
  </si>
  <si>
    <t>Huỳnh YMinh sale</t>
  </si>
  <si>
    <t>HD050392</t>
  </si>
  <si>
    <t>532 phạm thế hiển p4</t>
  </si>
  <si>
    <t>Phương Hà- sale</t>
  </si>
  <si>
    <t>HD052877</t>
  </si>
  <si>
    <t>Chung cư nhất lan block A đường 57 p tân tạo</t>
  </si>
  <si>
    <t>Trần Ngọc Bích SALE</t>
  </si>
  <si>
    <t>HD052507</t>
  </si>
  <si>
    <t>43/3 Cửu Long p2</t>
  </si>
  <si>
    <t>Khánh Linh (SALE WEB)</t>
  </si>
  <si>
    <t>HD052018</t>
  </si>
  <si>
    <t>224/4/1 Hà Huy Giáp, Phường Thạnh Lộc (Phường An Phú Đông mới)</t>
  </si>
  <si>
    <t>Van San SALE WED</t>
  </si>
  <si>
    <t>HD052328</t>
  </si>
  <si>
    <t>63/25 Lý Chiêu Hoàng p.10</t>
  </si>
  <si>
    <t>Dương Thị Thanh Phương (SALE WEB)</t>
  </si>
  <si>
    <t>HD053133</t>
  </si>
  <si>
    <t>59/8 trường sơn thường Hoà Hưng</t>
  </si>
  <si>
    <t>Lan Hương ( gửi cho Mai Linh ở Đức ) sale</t>
  </si>
  <si>
    <t>HD052798</t>
  </si>
  <si>
    <t>230/18/38 Trường Chinh, P Tân Bình</t>
  </si>
  <si>
    <t>Kim Quyên sale</t>
  </si>
  <si>
    <t>HD050426</t>
  </si>
  <si>
    <t>Trần Minh Kiều-sale</t>
  </si>
  <si>
    <t>HD052622</t>
  </si>
  <si>
    <t>53 Hoàng Diệu, Phường Xóm Chiếu</t>
  </si>
  <si>
    <t>Tú Tú-sale</t>
  </si>
  <si>
    <t>HD052856</t>
  </si>
  <si>
    <t>Chung cư Grand Riverside P5.16 278-283 Bến Vân Đồn P. Vĩnh Hội</t>
  </si>
  <si>
    <t>Ho huynh trục linh sale wed t8</t>
  </si>
  <si>
    <t>HD053090</t>
  </si>
  <si>
    <t>566/105/38E nguyễn thái sơn phường an nhơn</t>
  </si>
  <si>
    <t>Nguyễn Châu Như Phương-sale</t>
  </si>
  <si>
    <t>HD052741</t>
  </si>
  <si>
    <t>masteri an phú toà sol 179 xa lộ hà nội</t>
  </si>
  <si>
    <t>Trần Uyên sale</t>
  </si>
  <si>
    <t>HD051903</t>
  </si>
  <si>
    <t>68/73 trận quang khải</t>
  </si>
  <si>
    <t>Khánh Chi-sale</t>
  </si>
  <si>
    <t>HD050694</t>
  </si>
  <si>
    <t>Chung cư An Hoà Đường Trần Lựu p. bình trưng</t>
  </si>
  <si>
    <t>Tuyền-sale</t>
  </si>
  <si>
    <t>HD050883</t>
  </si>
  <si>
    <t>HD052750</t>
  </si>
  <si>
    <t>77/3a đông kim,gia kiệm, thống nhất,đồng nai</t>
  </si>
  <si>
    <t>Như Triệu sale</t>
  </si>
  <si>
    <t>HD052538</t>
  </si>
  <si>
    <t>98/10 năm châu p11</t>
  </si>
  <si>
    <t>Đỗ Trinh-sale</t>
  </si>
  <si>
    <t>HD053211</t>
  </si>
  <si>
    <t>343/4 sư vạn hạnh phường 12</t>
  </si>
  <si>
    <t>Chu Thanh Quỳnh sale</t>
  </si>
  <si>
    <t>HD053144</t>
  </si>
  <si>
    <t>161/4 Trương Phước Phan, Bình Trị Đông</t>
  </si>
  <si>
    <t>HD051327</t>
  </si>
  <si>
    <t>Phúc Minh sale wed t8</t>
  </si>
  <si>
    <t>HD051965</t>
  </si>
  <si>
    <t>81 Nguyễn Văn Công, Khu Phố 50, phường Hạnh Thông</t>
  </si>
  <si>
    <t>Ha Nguyen SALE</t>
  </si>
  <si>
    <t>HD053071</t>
  </si>
  <si>
    <t>A12-15 Chung cư moonlight 102 đặng văn bi, block a</t>
  </si>
  <si>
    <t>HD051663</t>
  </si>
  <si>
    <t>Đinh Cẩm Vương SALE</t>
  </si>
  <si>
    <t>HD052406</t>
  </si>
  <si>
    <t>11 đường 79 p tân quy</t>
  </si>
  <si>
    <t>HD051345</t>
  </si>
  <si>
    <t>Bin Bông sale</t>
  </si>
  <si>
    <t>HD052836</t>
  </si>
  <si>
    <t>3/114T đường TTN 28, ấp Nhị Tân 1, xã Tân Thới Nhì</t>
  </si>
  <si>
    <t>HD052902</t>
  </si>
  <si>
    <t>440/5 Nơ Trang Long phường Bình Lợi Trung</t>
  </si>
  <si>
    <t>Ngô Hoàng Ánh-sale</t>
  </si>
  <si>
    <t>HD052646</t>
  </si>
  <si>
    <t>235 QL13 CŨ, HBP</t>
  </si>
  <si>
    <t>c Hường_FB: Nguyễn Khanh sale</t>
  </si>
  <si>
    <t>HD051427</t>
  </si>
  <si>
    <t>48/9 Trường Sa p17</t>
  </si>
  <si>
    <t>Tran Nguyen-sale</t>
  </si>
  <si>
    <t>HD052764</t>
  </si>
  <si>
    <t>33/38/3 Cống Lờ, P. tân sơn</t>
  </si>
  <si>
    <t>NgocThao Bui sale</t>
  </si>
  <si>
    <t>HD052520</t>
  </si>
  <si>
    <t>383 nguyễn duy trinh</t>
  </si>
  <si>
    <t>HD052608</t>
  </si>
  <si>
    <t>Hồng Nhung sale</t>
  </si>
  <si>
    <t>HD050338</t>
  </si>
  <si>
    <t>chung cư river panorama, đường lê thị chợ, phú thuận</t>
  </si>
  <si>
    <t>HD052308</t>
  </si>
  <si>
    <t>189 Dương bá trạc, p1</t>
  </si>
  <si>
    <t>Bích Nhật-sale</t>
  </si>
  <si>
    <t>HD052655</t>
  </si>
  <si>
    <t>72-74 nguyễn thị minh khai, phường xuân hòa</t>
  </si>
  <si>
    <t>Oanh Ngọc sale wed t8</t>
  </si>
  <si>
    <t>HD052215</t>
  </si>
  <si>
    <t>HD052620</t>
  </si>
  <si>
    <t>đặng trâm (SALE WEB)</t>
  </si>
  <si>
    <t>HD052385</t>
  </si>
  <si>
    <t>214/C53 nguyễn trãi, phường cầu ông lãnh</t>
  </si>
  <si>
    <t>Thùy Võ sale</t>
  </si>
  <si>
    <t>HD052712</t>
  </si>
  <si>
    <t>Khoa Nguyễn sale</t>
  </si>
  <si>
    <t>HD051705</t>
  </si>
  <si>
    <t>998/42/11u1 quang trung</t>
  </si>
  <si>
    <t>Nguyễn Thị Thúy Tiên sale</t>
  </si>
  <si>
    <t>HD053146</t>
  </si>
  <si>
    <t>18/8 tổ 49 - khu phố 4 trung mỹ tây</t>
  </si>
  <si>
    <t>Nguyễn Phương Giang sale</t>
  </si>
  <si>
    <t>HD053016</t>
  </si>
  <si>
    <t>A5/45 (ngay chợ qui đức) xã hưng long</t>
  </si>
  <si>
    <t>Thanh Hương sale</t>
  </si>
  <si>
    <t>HD052992</t>
  </si>
  <si>
    <t>254 Điện Biên Phủ, phường Xuân Hoà (nha khoa TRUE DENTA)</t>
  </si>
  <si>
    <t>HD053209</t>
  </si>
  <si>
    <t>thap S4,the sun avenue 28 mai chí thọ, phường bình trưng</t>
  </si>
  <si>
    <t>HD051670</t>
  </si>
  <si>
    <t>PH Thương sale</t>
  </si>
  <si>
    <t>HD052841</t>
  </si>
  <si>
    <t>544/12 hương lộ 2 bình trị đông</t>
  </si>
  <si>
    <t>HD052633</t>
  </si>
  <si>
    <t>B16.17 CC Dlusso số 9 Nguyễn Thị Định Phường Bình Trưng</t>
  </si>
  <si>
    <t>HD052070</t>
  </si>
  <si>
    <t>36 đường số 12, khu đô thị Vạn Phúc, Phường Hiệp Bình Phước</t>
  </si>
  <si>
    <t>Hoàng Lê Tú Quỳnh</t>
  </si>
  <si>
    <t>HD052161</t>
  </si>
  <si>
    <t>37 Tôn Đức Thắng, P Sài Gòn</t>
  </si>
  <si>
    <t>HD052099</t>
  </si>
  <si>
    <t>An Nhien ( khách còn nợ phí grab 54k )</t>
  </si>
  <si>
    <t>HD051869</t>
  </si>
  <si>
    <t>F1/30 ấp 6 xã lê minh xuân ( địa chỉ mới sau sát nhập F1/30 ấp 6 xã bình lợi )</t>
  </si>
  <si>
    <t>Hanh Truong sale</t>
  </si>
  <si>
    <t>HD051904</t>
  </si>
  <si>
    <t>E26, đường Phú Thuận, Khu dân cư Nam Long, Phường Phú Thuận</t>
  </si>
  <si>
    <t>Nguyễn Duyên sale</t>
  </si>
  <si>
    <t>HD052803</t>
  </si>
  <si>
    <t>72 đường 339 phước long B</t>
  </si>
  <si>
    <t>HD052657</t>
  </si>
  <si>
    <t>Tên: Nguyên Lê</t>
  </si>
  <si>
    <t>HD051936</t>
  </si>
  <si>
    <t>151 Nguyễn Đình Chiểu, Phường 6</t>
  </si>
  <si>
    <t>Hồng Trần sale</t>
  </si>
  <si>
    <t>HD052044</t>
  </si>
  <si>
    <t>24B Phan Đăng Lưu phường Gia Định</t>
  </si>
  <si>
    <t>Mỹ Hằng sale</t>
  </si>
  <si>
    <t>HD052158</t>
  </si>
  <si>
    <t>860 Hưng Phú P10</t>
  </si>
  <si>
    <t>HD051987</t>
  </si>
  <si>
    <t>491A/33 Lê văn sỹ</t>
  </si>
  <si>
    <t>HD052037</t>
  </si>
  <si>
    <t>GS25, Cộng Hoà Garden, Số 20 Cộng Hoà, P. Bảy Hiền</t>
  </si>
  <si>
    <t>HD052160</t>
  </si>
  <si>
    <t>Minh Phương</t>
  </si>
  <si>
    <t>HD052550</t>
  </si>
  <si>
    <t>Đến 57 đất mới phường bình trị đông a</t>
  </si>
  <si>
    <t>Hồng Thủy sale</t>
  </si>
  <si>
    <t>HD052024</t>
  </si>
  <si>
    <t>246/14 đường 26/3, p.bình hưng hoà</t>
  </si>
  <si>
    <t>Yến Vy sale</t>
  </si>
  <si>
    <t>HD049674</t>
  </si>
  <si>
    <t>159/42/1 tân sơn hoà bạch đằng</t>
  </si>
  <si>
    <t>HD051338</t>
  </si>
  <si>
    <t>Chung cư Nam khang,Nguyễn Lương Bằng, Phường Tân phú</t>
  </si>
  <si>
    <t>Lan Anh sale</t>
  </si>
  <si>
    <t>HD051991</t>
  </si>
  <si>
    <t>31 Trần Hữu Trang phường 11</t>
  </si>
  <si>
    <t>Út Bê sale</t>
  </si>
  <si>
    <t>HD052797</t>
  </si>
  <si>
    <t>72/18 đường số 4 Hiệp Bình</t>
  </si>
  <si>
    <t>Mai Anh-sale</t>
  </si>
  <si>
    <t>HD051561</t>
  </si>
  <si>
    <t>229 nguyễn trãi, nguyễn cư trinh</t>
  </si>
  <si>
    <t>Ngụ Thanh Sen sale</t>
  </si>
  <si>
    <t>HD051989</t>
  </si>
  <si>
    <t>16/2/1 Đường Số 2 Phường 11</t>
  </si>
  <si>
    <t>Lê Thanh Tuyên sale</t>
  </si>
  <si>
    <t>HD052314</t>
  </si>
  <si>
    <t>406/68 cộng hòa p13</t>
  </si>
  <si>
    <t>Ngọc Bùi sale</t>
  </si>
  <si>
    <t>HD052673</t>
  </si>
  <si>
    <t>Chung Cư Flemington Số 184 Lê Đại Hành P15. Mặt sau trung tâm tiêm chủng</t>
  </si>
  <si>
    <t>Đặng Dung sale</t>
  </si>
  <si>
    <t>HD050670</t>
  </si>
  <si>
    <t>Bitexco Nam Long 63A Võ Văn Tần F Xuân Hòa</t>
  </si>
  <si>
    <t>Nguyễn Hà Phương Uyên sale</t>
  </si>
  <si>
    <t>HD052153</t>
  </si>
  <si>
    <t>275 Võ Nguyên Giáp An Khánh</t>
  </si>
  <si>
    <t>Minh Thu Tran sale</t>
  </si>
  <si>
    <t>HD052074</t>
  </si>
  <si>
    <t>57/7X nguyễn thị huê, bà điểm</t>
  </si>
  <si>
    <t>Thanh Trà sale</t>
  </si>
  <si>
    <t>HD052512</t>
  </si>
  <si>
    <t>175 đường số 5 p17</t>
  </si>
  <si>
    <t>HD052349</t>
  </si>
  <si>
    <t>32/4 lê văn huân</t>
  </si>
  <si>
    <t>Thao Trinh Nguyen Le</t>
  </si>
  <si>
    <t>HD051900</t>
  </si>
  <si>
    <t>Toà nhà H3 384 đường hoàng diệu, phường 6</t>
  </si>
  <si>
    <t>HD050750</t>
  </si>
  <si>
    <t>Khánh My sale</t>
  </si>
  <si>
    <t>HD051569</t>
  </si>
  <si>
    <t>44/1 đường số 24, phường linh đông</t>
  </si>
  <si>
    <t>THU TRANG</t>
  </si>
  <si>
    <t>S7.03 (Dự án khu dân cư và Công viên Phước Thiện)-88 đường Phước Thiện, Khu Phố 19, Phường Long Bình</t>
  </si>
  <si>
    <t>FB Thanh Thanh - Yến Như sale</t>
  </si>
  <si>
    <t>HD052498</t>
  </si>
  <si>
    <t>607/2/23 Tân Sơn, P An Hội Tây</t>
  </si>
  <si>
    <t>Tiên Tiên sale</t>
  </si>
  <si>
    <t>HD052014</t>
  </si>
  <si>
    <t>Kế Bên 17/28/10, Trần Văn Mười, Tổ 2 Ấp 7, xã Bà Điểm (xã cũ trước sáp nhập là Xã Xuân Thới Thượng)</t>
  </si>
  <si>
    <t>Loan Luong sale</t>
  </si>
  <si>
    <t>HD052211</t>
  </si>
  <si>
    <t>Chung cư richstar 2, toà RS7, 239-241 Hoà Bình, Hiệp Tân</t>
  </si>
  <si>
    <t>Nguyễn thị hương</t>
  </si>
  <si>
    <t>HD052296</t>
  </si>
  <si>
    <t>284 Lê văn việt, tăng Nhơn Phú</t>
  </si>
  <si>
    <t>Minh Châu sale</t>
  </si>
  <si>
    <t>HD052066</t>
  </si>
  <si>
    <t>125 Tân Mỹ, phường Tân Thuận Tây</t>
  </si>
  <si>
    <t>Trần Thanh Thuỷ sale</t>
  </si>
  <si>
    <t>HD050939</t>
  </si>
  <si>
    <t>2549/29 pham the hien p7</t>
  </si>
  <si>
    <t>Giang Thạch Thảo sale</t>
  </si>
  <si>
    <t>HD051905</t>
  </si>
  <si>
    <t>24 đường 10 Thảo Điền</t>
  </si>
  <si>
    <t>Nguyễn Mỹ Nhi sale</t>
  </si>
  <si>
    <t>HD052267</t>
  </si>
  <si>
    <t>(The Gold view) 346 Bến Vân Đồn, Phường 1</t>
  </si>
  <si>
    <t>Linh Vuong sale</t>
  </si>
  <si>
    <t>HD052725</t>
  </si>
  <si>
    <t>869 âu cơ, tân sơn nhì</t>
  </si>
  <si>
    <t>Hương Ly sale</t>
  </si>
  <si>
    <t>HD052246</t>
  </si>
  <si>
    <t>Block B, Chung cư The Antonia, Đường số 19, P. Tân Phú</t>
  </si>
  <si>
    <t>Nguyễn Hà sale</t>
  </si>
  <si>
    <t>HD052019</t>
  </si>
  <si>
    <t>chung cư TOPAZ HOME 102 Phan Văn Hớn, Tân Thới Nhất ( ngay COOPMART )</t>
  </si>
  <si>
    <t>HD051825</t>
  </si>
  <si>
    <t>Cyn Nguyen sale</t>
  </si>
  <si>
    <t>HD052517</t>
  </si>
  <si>
    <t>103 đường 19, Kp 36 phường Tam Bình</t>
  </si>
  <si>
    <t>HD052377</t>
  </si>
  <si>
    <t>32 Thi sách phường sài gòn</t>
  </si>
  <si>
    <t>HD051830</t>
  </si>
  <si>
    <t>54b nguyễn văn trỗi p15</t>
  </si>
  <si>
    <t>Hoa Ban Mai sale</t>
  </si>
  <si>
    <t>HD051193</t>
  </si>
  <si>
    <t>Số 12 đường 51 Bình Trưng Đông cũ</t>
  </si>
  <si>
    <t>Phan Thị Thùy Dương sale</t>
  </si>
  <si>
    <t>HD051532</t>
  </si>
  <si>
    <t>160/84/46 đường số 1 phường long trường</t>
  </si>
  <si>
    <t>HD052006</t>
  </si>
  <si>
    <t>Minh Minh sale</t>
  </si>
  <si>
    <t>HD052173</t>
  </si>
  <si>
    <t>Xí nghiệp In Tài chính, Lô A1-A2, Đường A, Cụm Công nghiệp - Khu dân cư Nhị Xuân, Ấp 25, Xã Xuân Thới Sơn</t>
  </si>
  <si>
    <t>Khoai Tây</t>
  </si>
  <si>
    <t>HD052141</t>
  </si>
  <si>
    <t>102 đường số 53 tân hưng</t>
  </si>
  <si>
    <t>at 29-08</t>
  </si>
  <si>
    <t>15 đơn</t>
  </si>
  <si>
    <t>Linh Tran sale</t>
  </si>
  <si>
    <t>HD052323</t>
  </si>
  <si>
    <t>48/255 Hoàng Hoa Thám, Phú Lợi</t>
  </si>
  <si>
    <t>kh ck shop 1515k</t>
  </si>
  <si>
    <t>12</t>
  </si>
  <si>
    <t>8 đơn</t>
  </si>
  <si>
    <t>HD048900</t>
  </si>
  <si>
    <t>CHU NHAT</t>
  </si>
  <si>
    <t>NGAY 30-8</t>
  </si>
  <si>
    <t>MINH TUỆ</t>
  </si>
  <si>
    <t>30-08-2026</t>
  </si>
  <si>
    <t>Thúy Stella sale</t>
  </si>
  <si>
    <t>HD053897</t>
  </si>
  <si>
    <t>68/25 tran quang khải p tân định</t>
  </si>
  <si>
    <t>Miew 2</t>
  </si>
  <si>
    <t>AT 30-08</t>
  </si>
  <si>
    <t>Quỳnh Trâm</t>
  </si>
  <si>
    <t>HD053833</t>
  </si>
  <si>
    <t>17 đường 892 tạ quang bửu, p bình đông</t>
  </si>
  <si>
    <t>THÙY TRÂM sale</t>
  </si>
  <si>
    <t>HD053904</t>
  </si>
  <si>
    <t>2/61b đông hưng thuận 06</t>
  </si>
  <si>
    <t>Khai Nguyen Nguyen - Thảo Nguyên</t>
  </si>
  <si>
    <t>HD053795</t>
  </si>
  <si>
    <t>chung cư Garden Court 2, đ.Tôn Dật Tiên</t>
  </si>
  <si>
    <t>Ngọc Hảo sale</t>
  </si>
  <si>
    <t>HD053649</t>
  </si>
  <si>
    <t>HD053894</t>
  </si>
  <si>
    <t>100/36 lê quang định, P. bình thạnh</t>
  </si>
  <si>
    <t>HD053837</t>
  </si>
  <si>
    <t>339 huỳnh văn bánh</t>
  </si>
  <si>
    <t>SREY</t>
  </si>
  <si>
    <t>428/ 3 QL1A, Bình Hưng Hòa B</t>
  </si>
  <si>
    <t>A75/6B/2 Bạch Đằng,Phường 2</t>
  </si>
  <si>
    <t>HD053863</t>
  </si>
  <si>
    <t>HD053825</t>
  </si>
  <si>
    <t>75 Huỳnh Tịnh Của Phường Xuân Hòa</t>
  </si>
  <si>
    <t>PA</t>
  </si>
  <si>
    <t>8A Sông Thương, Phường 2</t>
  </si>
  <si>
    <t>Hiền - FB Chieu Pham sale</t>
  </si>
  <si>
    <t>HD052560</t>
  </si>
  <si>
    <t>Vinschool cống B, Số 2 Tôn Đức Thắng, phường Sài Gòn</t>
  </si>
  <si>
    <t>trâm lê sale</t>
  </si>
  <si>
    <t>HD053898</t>
  </si>
  <si>
    <t>14/2 Trän Quang Long F19</t>
  </si>
  <si>
    <t>Quế Annh sale</t>
  </si>
  <si>
    <t>HD052726</t>
  </si>
  <si>
    <t>739 Lê Đức Thọ p16</t>
  </si>
  <si>
    <t>Uyển Nhi (SALLE WEB)</t>
  </si>
  <si>
    <t>HD051504</t>
  </si>
  <si>
    <t>43 mạc đỉnh chi, đakao</t>
  </si>
  <si>
    <t>HD052950</t>
  </si>
  <si>
    <t>536/43/18/23 Âu Cơ P10</t>
  </si>
  <si>
    <t>HD052601</t>
  </si>
  <si>
    <t>265 lý tự trọng</t>
  </si>
  <si>
    <t>HD051693</t>
  </si>
  <si>
    <t>1237/22 hoàng sa P. Tân Sơn Nhất</t>
  </si>
  <si>
    <t>Phạm Thu Hương sale</t>
  </si>
  <si>
    <t>HD053878</t>
  </si>
  <si>
    <t>chung cư Dreamhome2, đường số 59, phường An Hội Tây</t>
  </si>
  <si>
    <t>Như Lê</t>
  </si>
  <si>
    <t>HD053303</t>
  </si>
  <si>
    <t>Nguyen Nhu Quynh sale</t>
  </si>
  <si>
    <t>HD053334</t>
  </si>
  <si>
    <t>227/1, 16 Nguyễn Tư Giản, An Hội Tây</t>
  </si>
  <si>
    <t>Thanh Vy-sale</t>
  </si>
  <si>
    <t>HD053221</t>
  </si>
  <si>
    <t>26/51 đường số 7, phường Hạnh Thông</t>
  </si>
  <si>
    <t>tên Xuân (nhan gium Nhi Doan) khách còn dư 74k</t>
  </si>
  <si>
    <t>HD053357</t>
  </si>
  <si>
    <t>33/9 Quách Văn Tuấn phuong 12</t>
  </si>
  <si>
    <t>Đào Lê Phương Trinh sale</t>
  </si>
  <si>
    <t>HD053308</t>
  </si>
  <si>
    <t>91 phạm viết chánh p19</t>
  </si>
  <si>
    <t>Kim Dung-sale</t>
  </si>
  <si>
    <t>HD053670</t>
  </si>
  <si>
    <t>227/7 nguyên tự giản p12</t>
  </si>
  <si>
    <t>Nguyễn thị như hiền sale</t>
  </si>
  <si>
    <t>HD050990</t>
  </si>
  <si>
    <t>7 đường số 46 kp3 an khánh</t>
  </si>
  <si>
    <t>Hồ YTrần sale</t>
  </si>
  <si>
    <t>HD051972</t>
  </si>
  <si>
    <t>260A nguyễn trái sơn p4</t>
  </si>
  <si>
    <t>Hà Vy-sale</t>
  </si>
  <si>
    <t>HD053023</t>
  </si>
  <si>
    <t>31 Nguyễn Đình Chiểu, phường Sài Gòn</t>
  </si>
  <si>
    <t>Thao Vy (SALE WEB)</t>
  </si>
  <si>
    <t>HD053743</t>
  </si>
  <si>
    <t>83 bàu cát 3 phường Bảy Hiền</t>
  </si>
  <si>
    <t>Yen Xury-sale</t>
  </si>
  <si>
    <t>HD053583</t>
  </si>
  <si>
    <t>576 cộng hoà f13</t>
  </si>
  <si>
    <t>Tường Vi sale</t>
  </si>
  <si>
    <t>HD051714</t>
  </si>
  <si>
    <t>3 Đường C3 F13</t>
  </si>
  <si>
    <t>tên Xuân (nhan gium Nhi Loan) khách còn dư 74k</t>
  </si>
  <si>
    <t>HD053360</t>
  </si>
  <si>
    <t>HD053452</t>
  </si>
  <si>
    <t>Tran Thi Thuy Trang sale</t>
  </si>
  <si>
    <t>HD052592</t>
  </si>
  <si>
    <t>184 nguyễn xi- cc Bắc Đinh Bộ Lĩnh - lô A82 cần cầu thang cuối cùng, Phường 26</t>
  </si>
  <si>
    <t>Võ Thùy Linh</t>
  </si>
  <si>
    <t>HD052796</t>
  </si>
  <si>
    <t>269/8 phan huy ích p. An Hội Tây</t>
  </si>
  <si>
    <t>HD052987</t>
  </si>
  <si>
    <t>Hoàng Gia Hân sale</t>
  </si>
  <si>
    <t>HD052880</t>
  </si>
  <si>
    <t>VPbank Văn Thánh, 68-70 Nguyễn Gia Trí, Phường Thạnh Mỹ Tây</t>
  </si>
  <si>
    <t>HD053132</t>
  </si>
  <si>
    <t>Kim Bảo- sale</t>
  </si>
  <si>
    <t>HD052263</t>
  </si>
  <si>
    <t>24/20 Nguyễn Thái Bình Phường Tân Sơn Nhất</t>
  </si>
  <si>
    <t>HD050556</t>
  </si>
  <si>
    <t>3G phổ quang p2</t>
  </si>
  <si>
    <t>Nguyễn Kim</t>
  </si>
  <si>
    <t>HD049193</t>
  </si>
  <si>
    <t>118/43 bạch đằng p24</t>
  </si>
  <si>
    <t>Thùy Linh Vũ sale</t>
  </si>
  <si>
    <t>HD053529</t>
  </si>
  <si>
    <t>166/50 Thích Quảng Đức, phường 4</t>
  </si>
  <si>
    <t>HD053455</t>
  </si>
  <si>
    <t>71/54 đường số 6, phường 15</t>
  </si>
  <si>
    <t>Như lê sale wed t8</t>
  </si>
  <si>
    <t>HD053997</t>
  </si>
  <si>
    <t>huyền trâm sale</t>
  </si>
  <si>
    <t>HD053384</t>
  </si>
  <si>
    <t>139 Trần Thị Trọng p15</t>
  </si>
  <si>
    <t>HD053379</t>
  </si>
  <si>
    <t>71 nguyễn Bá tuyển p12</t>
  </si>
  <si>
    <t>Bích Phượng sale wed t8</t>
  </si>
  <si>
    <t>HD053304</t>
  </si>
  <si>
    <t>536 Quang Trung, Phường 11</t>
  </si>
  <si>
    <t>HD053106</t>
  </si>
  <si>
    <t>158/65/28 phạm văn chiêu p8</t>
  </si>
  <si>
    <t>Jenny Nguyen sale</t>
  </si>
  <si>
    <t>HD048259</t>
  </si>
  <si>
    <t>377/43 lê quang định,phường bình lợi trung</t>
  </si>
  <si>
    <t>hồng nhung. sale</t>
  </si>
  <si>
    <t>HD052064</t>
  </si>
  <si>
    <t>313/1 Nguyễn Trọng Tuyển P10</t>
  </si>
  <si>
    <t>Hoàng Thuý Vy sale</t>
  </si>
  <si>
    <t>HD053250</t>
  </si>
  <si>
    <t>362/22 nguyễn thái sơn f5</t>
  </si>
  <si>
    <t>HD050448</t>
  </si>
  <si>
    <t>20 hoàng mình giám,p9</t>
  </si>
  <si>
    <t>Huỳnh Nga sale</t>
  </si>
  <si>
    <t>HD053780</t>
  </si>
  <si>
    <t>79 Ngô Thời Nhiệm, P Võ Thị Sáu</t>
  </si>
  <si>
    <t>Mộng Pretty sale</t>
  </si>
  <si>
    <t>HD052744</t>
  </si>
  <si>
    <t>số 9a Ba Vì, phường 4</t>
  </si>
  <si>
    <t>Nguyễn Thị Phương Thảo sale</t>
  </si>
  <si>
    <t>HD053729</t>
  </si>
  <si>
    <t>villa pearl, đường Đ9, saigon pearl, 92 nguyễn hữu cảnh</t>
  </si>
  <si>
    <t>536 Lê Thị Riêng, Thới An</t>
  </si>
  <si>
    <t>Huỳnh Thị Kiều Như (sale web)</t>
  </si>
  <si>
    <t>HD048576</t>
  </si>
  <si>
    <t>48 lê thị riêng phường bến thành</t>
  </si>
  <si>
    <t>Ruby Doan sale</t>
  </si>
  <si>
    <t>HD052654</t>
  </si>
  <si>
    <t>122/6/20 phan văn hân, phường 17</t>
  </si>
  <si>
    <t>HD053298</t>
  </si>
  <si>
    <t>Trâm Trần sale</t>
  </si>
  <si>
    <t>HD052756</t>
  </si>
  <si>
    <t>82/2F bình quới, phường bình quới</t>
  </si>
  <si>
    <t>Ami Vo sale</t>
  </si>
  <si>
    <t>HD053383</t>
  </si>
  <si>
    <t>Số 30E, Phan Văn Sửu phường tân bình</t>
  </si>
  <si>
    <t>HD050635</t>
  </si>
  <si>
    <t>78 đường số 7 phường Bình Hưng Hòa</t>
  </si>
  <si>
    <t>HD052274</t>
  </si>
  <si>
    <t>Nguyễn Uyên (SALE WEB)</t>
  </si>
  <si>
    <t>HD052569</t>
  </si>
  <si>
    <t>Khu Chung Cư Lê Thành, Hẻm 113 An Dương Vương, Phường An Lạc, Nhà số 7 đường số 5</t>
  </si>
  <si>
    <t>Lê Nhã An (SALE WEB)</t>
  </si>
  <si>
    <t>HD049558</t>
  </si>
  <si>
    <t>21 Lê Văn Thịnh, phường Bình Trưng</t>
  </si>
  <si>
    <t>Ho huynh truc linh sale wed t8</t>
  </si>
  <si>
    <t>HD053096</t>
  </si>
  <si>
    <t>quỳnh anh fbCatherine Phạm -sale</t>
  </si>
  <si>
    <t>HD053138</t>
  </si>
  <si>
    <t>91/18/5 Lê Văn Duyệt, P.1</t>
  </si>
  <si>
    <t>Truc Huyen Nguyen-sale</t>
  </si>
  <si>
    <t>HD053258</t>
  </si>
  <si>
    <t>14/27 hoàng dư khương, p12</t>
  </si>
  <si>
    <t>Kim Yến sale</t>
  </si>
  <si>
    <t>HD052857</t>
  </si>
  <si>
    <t>69/55/6 Nguyễn Cửu Đàm</t>
  </si>
  <si>
    <t>Nguyễn Thùy Trang sale</t>
  </si>
  <si>
    <t>HD052519</t>
  </si>
  <si>
    <t>262/3 luỹ bán bích</t>
  </si>
  <si>
    <t>HD052909</t>
  </si>
  <si>
    <t>114/6 Hoàng Diệu P13</t>
  </si>
  <si>
    <t>HD053348</t>
  </si>
  <si>
    <t>Ngoc Huyen Le sale</t>
  </si>
  <si>
    <t>HD053367</t>
  </si>
  <si>
    <t>12 Quốc Hương, P An Khánh</t>
  </si>
  <si>
    <t>HD053234</t>
  </si>
  <si>
    <t>Tran thuý (SALE WEB)</t>
  </si>
  <si>
    <t>HD052007</t>
  </si>
  <si>
    <t>69 trần thiện chánh phường hòa hưng</t>
  </si>
  <si>
    <t>Trâm Nguyễn sale</t>
  </si>
  <si>
    <t>HD053249</t>
  </si>
  <si>
    <t>765 ấp mỹ hoà xã nhơn mỹ huyện chợ mới tỉnh an giang</t>
  </si>
  <si>
    <t>Bao nhi (SALE WEB)</t>
  </si>
  <si>
    <t>HD049527</t>
  </si>
  <si>
    <t>63/2a, Đường Số 36</t>
  </si>
  <si>
    <t>HD051425</t>
  </si>
  <si>
    <t>113/49/4 làm thị hồ, tổ 6, k910, phường trung mỹ tây</t>
  </si>
  <si>
    <t>HD054221</t>
  </si>
  <si>
    <t>275/1431 Đặng Nguyên Cần, Phường Phú Lâm</t>
  </si>
  <si>
    <t>HD053002</t>
  </si>
  <si>
    <t>Nguyên An sale</t>
  </si>
  <si>
    <t>HD052843</t>
  </si>
  <si>
    <t>Lạc tánh, tánh linh, Bình Thuận</t>
  </si>
  <si>
    <t>Phan Hồng Duyên (SALE WEB)</t>
  </si>
  <si>
    <t>HD051826</t>
  </si>
  <si>
    <t>27B Nguyễn Đình Chiểu, ĐaKao</t>
  </si>
  <si>
    <t>Trà Tiny (SALE WEB)</t>
  </si>
  <si>
    <t>HD052293</t>
  </si>
  <si>
    <t>Tháp 12 master thảo điền phường thảo điền</t>
  </si>
  <si>
    <t>HD051130</t>
  </si>
  <si>
    <t>Ngọc Quyên sale</t>
  </si>
  <si>
    <t>HD049330</t>
  </si>
  <si>
    <t>cty tiền tiến, đường DH410/788 ấp 6, vĩnh tân</t>
  </si>
  <si>
    <t>HD051863</t>
  </si>
  <si>
    <t>Nguyễn Thị Hoài Phương (SALE WEB)</t>
  </si>
  <si>
    <t>HD053493</t>
  </si>
  <si>
    <t>16A đường số 16 Linh Trung</t>
  </si>
  <si>
    <t>Phạm Thị Việt Hoa sale</t>
  </si>
  <si>
    <t>HD051161</t>
  </si>
  <si>
    <t>266-268 nam kỳ khơit nghĩa, P. võ thị sáu</t>
  </si>
  <si>
    <t>Diễm Diễm-sale</t>
  </si>
  <si>
    <t>HD053191</t>
  </si>
  <si>
    <t>TGDĐ 202 Xô Viết Nghệ Tĩnh phường Thạnh Mỹ Tây</t>
  </si>
  <si>
    <t>Đăng thị mai phương sale</t>
  </si>
  <si>
    <t>HD053735</t>
  </si>
  <si>
    <t>208 nguyễn hữu cảnh phường thạch mỹ tây vinhome plus</t>
  </si>
  <si>
    <t>Mỹ Quyên cọc 200</t>
  </si>
  <si>
    <t>HD053046</t>
  </si>
  <si>
    <t>203/2b quốc lộ 1a đông Hưng thuận</t>
  </si>
  <si>
    <t>Vân Nhi-sale</t>
  </si>
  <si>
    <t>HD054119</t>
  </si>
  <si>
    <t>295 tân kỳ tân quý, p. tân sơn nhì Lô C21</t>
  </si>
  <si>
    <t>tran Ngoc Huyen sale wed t8</t>
  </si>
  <si>
    <t>HD051956</t>
  </si>
  <si>
    <t>132 bến vân đồn p. khánh hội</t>
  </si>
  <si>
    <t>HD054097</t>
  </si>
  <si>
    <t>Su Su sale</t>
  </si>
  <si>
    <t>HD053225</t>
  </si>
  <si>
    <t>141/37 đường tám danh p4</t>
  </si>
  <si>
    <t>Thu Hien</t>
  </si>
  <si>
    <t>HD051032</t>
  </si>
  <si>
    <t>Block D cc ecogreen p tân thuận tây</t>
  </si>
  <si>
    <t>Thục Hiền-sale</t>
  </si>
  <si>
    <t>HD053645</t>
  </si>
  <si>
    <t>32 Tân Thắng Tân Sơn Nhì</t>
  </si>
  <si>
    <t>đơn chuyển AT tối 30-08</t>
  </si>
  <si>
    <t>Vân Khanh Võ sale</t>
  </si>
  <si>
    <t>HD051949</t>
  </si>
  <si>
    <t>1646a võ văn kiệt phường bình phú, chung cư diamond riverside block B</t>
  </si>
  <si>
    <t>at 30-08</t>
  </si>
  <si>
    <t>4 đơn</t>
  </si>
  <si>
    <t>2 đơn</t>
  </si>
  <si>
    <t>HD048818</t>
  </si>
  <si>
    <t>kh ck shop 505k</t>
  </si>
  <si>
    <t>AT 31-08</t>
  </si>
  <si>
    <t>HD054074</t>
  </si>
  <si>
    <t>31-08-2026</t>
  </si>
  <si>
    <t>tuyền sale wed t8</t>
  </si>
  <si>
    <t>HD052929</t>
  </si>
  <si>
    <t>1/12A calmette phường nguyễn thái bình</t>
  </si>
  <si>
    <t>Nguyễn Thị Trúc Nhã (SALE WEB)</t>
  </si>
  <si>
    <t>HD054365</t>
  </si>
  <si>
    <t>10/1 đường số 7, phường 3</t>
  </si>
  <si>
    <t>Hoàng Thị Bảo Uyên sale</t>
  </si>
  <si>
    <t>HD053465</t>
  </si>
  <si>
    <t>29/41A Nguyễn Văn Khối phường 11</t>
  </si>
  <si>
    <t>177 Đường Số 1, Khu Phố 5</t>
  </si>
  <si>
    <t>HD049535</t>
  </si>
  <si>
    <t>Bé Hân</t>
  </si>
  <si>
    <t>HD052996</t>
  </si>
  <si>
    <t>357/3 Trần Phú, phường 8</t>
  </si>
  <si>
    <t>Phương Uyên sale wed t8</t>
  </si>
  <si>
    <t>HD049978</t>
  </si>
  <si>
    <t>78/6u4 đường 17 lâm văn bền phường tân thuận</t>
  </si>
  <si>
    <t>Lợi Lợi sale t8</t>
  </si>
  <si>
    <t>HD054334</t>
  </si>
  <si>
    <t>123/17/3 đường số 2 p.an hội đông</t>
  </si>
  <si>
    <t>Phương Quỳnh-sale</t>
  </si>
  <si>
    <t>HD053620</t>
  </si>
  <si>
    <t>21C Nguyễn hữu cảnh p19</t>
  </si>
  <si>
    <t>HD054173</t>
  </si>
  <si>
    <t>Thu Phước Nguyễn sale</t>
  </si>
  <si>
    <t>HD051712</t>
  </si>
  <si>
    <t>Đường 14, KP4, P. Linh Trung</t>
  </si>
  <si>
    <t>HD053134</t>
  </si>
  <si>
    <t>13-15 đường 79 kdc tân quy đông, tân hưng</t>
  </si>
  <si>
    <t>Trang nguyen-sale</t>
  </si>
  <si>
    <t>HD053647</t>
  </si>
  <si>
    <t>114/95/3 Tô Ngọc Vân, P. An Hội Đông</t>
  </si>
  <si>
    <t>như quỳnh sale</t>
  </si>
  <si>
    <t>HD053606</t>
  </si>
  <si>
    <t>Cổng 2, Tòa nhà Tech Velly - CVPM Quang Trung – Số 49, Tô Ký, phường Trung Mỹ Tây</t>
  </si>
  <si>
    <t>Ngọc Ngọc Sale</t>
  </si>
  <si>
    <t>HD054095</t>
  </si>
  <si>
    <t>Thanh Hoài sale</t>
  </si>
  <si>
    <t>HD054225</t>
  </si>
  <si>
    <t>41/2 Phan văn Sửu phường Tân bình</t>
  </si>
  <si>
    <t>Quế Trân sale</t>
  </si>
  <si>
    <t>HD050433</t>
  </si>
  <si>
    <t>chung cư ehome 3, 103 hồ học lãm, phường an lạc</t>
  </si>
  <si>
    <t>Phan Hoàng Phương sale</t>
  </si>
  <si>
    <t>HD054027</t>
  </si>
  <si>
    <t>Lô A-590 CMT8, P11</t>
  </si>
  <si>
    <t>(Tiến) fb Vân Lời sale</t>
  </si>
  <si>
    <t>HD053418</t>
  </si>
  <si>
    <t>003 lô B chung cư Trần quốc Thảo P9</t>
  </si>
  <si>
    <t>nguyen bui thien duy (SALE WEB)</t>
  </si>
  <si>
    <t>HD050862</t>
  </si>
  <si>
    <t>154a Trần Quang Khải tân định</t>
  </si>
  <si>
    <t>Thi Nguyễn sale</t>
  </si>
  <si>
    <t>HD054336</t>
  </si>
  <si>
    <t>39/4/34 Huỳnh Văn Bánh phường 17</t>
  </si>
  <si>
    <t>HD052871</t>
  </si>
  <si>
    <t>HD053877</t>
  </si>
  <si>
    <t>HD054254</t>
  </si>
  <si>
    <t>Làm Nail Tại Nhà sale</t>
  </si>
  <si>
    <t>HD054159</t>
  </si>
  <si>
    <t>279/11/7 lâm văn bền tân hưng</t>
  </si>
  <si>
    <t>HD052649</t>
  </si>
  <si>
    <t>Út Yang sale</t>
  </si>
  <si>
    <t>HD054331</t>
  </si>
  <si>
    <t>12 nguyễn duy Cung, an hội tây</t>
  </si>
  <si>
    <t>Nguyễn Khánh Hiền (SALE WEB)</t>
  </si>
  <si>
    <t>HD050723</t>
  </si>
  <si>
    <t>146/7 kênh tân hoá</t>
  </si>
  <si>
    <t>Phương liên (jun đặng) sale</t>
  </si>
  <si>
    <t>HD054228</t>
  </si>
  <si>
    <t>241 đông Hưng Thuận 2 phường Tân Hưng Thuận</t>
  </si>
  <si>
    <t>Huynh Tra sale</t>
  </si>
  <si>
    <t>HD053797</t>
  </si>
  <si>
    <t>93/26/4 duong so 9 phuong 16</t>
  </si>
  <si>
    <t>Lam Kim Oanh sale</t>
  </si>
  <si>
    <t>HD054291</t>
  </si>
  <si>
    <t>103 đường số 14 p8</t>
  </si>
  <si>
    <t>Ngọc Diễm sale</t>
  </si>
  <si>
    <t>HD053866</t>
  </si>
  <si>
    <t>số 6 đường số 14 p5</t>
  </si>
  <si>
    <t>Trương Ngọc Diệu</t>
  </si>
  <si>
    <t>HD054259</t>
  </si>
  <si>
    <t>383 nguyễn duy trinh, phường bình trưng tây</t>
  </si>
  <si>
    <t>Lynh Nhiii</t>
  </si>
  <si>
    <t>HD053687</t>
  </si>
  <si>
    <t>230/8/28A . Đường lò ku . Khu phố ích thạch . Phường long phước</t>
  </si>
  <si>
    <t>Mỹ Tiên sale</t>
  </si>
  <si>
    <t>HD052059</t>
  </si>
  <si>
    <t>31/10/18 Lê Văn Sỹ, p Nhiêu Lộc</t>
  </si>
  <si>
    <t>Hảo Nguyễn sale wed t8</t>
  </si>
  <si>
    <t>HD051341</t>
  </si>
  <si>
    <t>B20 Bạch Đằng, Phường Tân Sơn Hoà</t>
  </si>
  <si>
    <t>chị ngân sale</t>
  </si>
  <si>
    <t>HD051873</t>
  </si>
  <si>
    <t>26 Trần Thị Vững, Linh Tây</t>
  </si>
  <si>
    <t>HD053212</t>
  </si>
  <si>
    <t>HD053875</t>
  </si>
  <si>
    <t>HD049942</t>
  </si>
  <si>
    <t>Chung cư Iha, đường lương định của phường bình trưng</t>
  </si>
  <si>
    <t>Nguyễn Thanh Trúc sale</t>
  </si>
  <si>
    <t>HD053887</t>
  </si>
  <si>
    <t>71/18 Phan Đình Phùng, phường 17</t>
  </si>
  <si>
    <t>HD054195</t>
  </si>
  <si>
    <t>Nguyễn T.Như Quỳnh-sale</t>
  </si>
  <si>
    <t>HD050648</t>
  </si>
  <si>
    <t>2a phan chu trinh hiệp phú</t>
  </si>
  <si>
    <t>HD054085</t>
  </si>
  <si>
    <t>HD053796</t>
  </si>
  <si>
    <t>16. Đường số 3, khu dân cư sông giông, phường an phú</t>
  </si>
  <si>
    <t>HD052000</t>
  </si>
  <si>
    <t>29/11 đ22 kp1 p.binh chiểu</t>
  </si>
  <si>
    <t>PHAN THỊ DIỄM THUÝ SALE WED</t>
  </si>
  <si>
    <t>HD051659</t>
  </si>
  <si>
    <t>HD054267</t>
  </si>
  <si>
    <t>Thể Phụng sale</t>
  </si>
  <si>
    <t>HD054059</t>
  </si>
  <si>
    <t>Chung cư Tecco Felice home đường Lê Thị Trung Phường An Phú</t>
  </si>
  <si>
    <t>Vân Anh-sale</t>
  </si>
  <si>
    <t>HD054289</t>
  </si>
  <si>
    <t>679/5/34 Quang Trung, phường Thông Tây Hội (phường 11)</t>
  </si>
  <si>
    <t>TiTi Nguyen sale</t>
  </si>
  <si>
    <t>HD054208</t>
  </si>
  <si>
    <t>764 võ văn kiệt p1</t>
  </si>
  <si>
    <t>HD054031</t>
  </si>
  <si>
    <t>108/81 trần văn quang Phường bảy hiền</t>
  </si>
  <si>
    <t>Ánh sale wed t8</t>
  </si>
  <si>
    <t>HD051698</t>
  </si>
  <si>
    <t>Chân Cầu Thang block b3_3, Khu Nhà Ở Becamex Định Hòa, Phường Chánh Hiệp</t>
  </si>
  <si>
    <t>Đoan Mai Thỳ sale</t>
  </si>
  <si>
    <t>HD054375</t>
  </si>
  <si>
    <t>111/54 đặng thuỳ trâm, P bình lợi trung</t>
  </si>
  <si>
    <t>Thao Nguyen-sale</t>
  </si>
  <si>
    <t>HD054199</t>
  </si>
  <si>
    <t>343N Lạc Long Quân P5 ( Phường Hòa Bình )</t>
  </si>
  <si>
    <t>Tran Thi Thu Hien (SALE WEB)</t>
  </si>
  <si>
    <t>HD054060</t>
  </si>
  <si>
    <t>2A Nguyễn Sỹ Sách, Phường 15</t>
  </si>
  <si>
    <t>Thân Thu Hà sale</t>
  </si>
  <si>
    <t>HD053663</t>
  </si>
  <si>
    <t>491A/33 lê văn sỹ phường 12</t>
  </si>
  <si>
    <t>Ri Ri sale</t>
  </si>
  <si>
    <t>HD054327</t>
  </si>
  <si>
    <t>114/4 hương lộ 80b,kp7, phường Hiệp Thành</t>
  </si>
  <si>
    <t>Mai Hoàng Phúc (SALE WEB)</t>
  </si>
  <si>
    <t>HD054258</t>
  </si>
  <si>
    <t>49-51-53 đường số 3, Phường An Lạc</t>
  </si>
  <si>
    <t>Nhã Trần sale</t>
  </si>
  <si>
    <t>HD054297</t>
  </si>
  <si>
    <t>74a1 nguyễn văn cừ, cầu ông lãnh</t>
  </si>
  <si>
    <t>LUCKY2 (Fb Bao Bei)</t>
  </si>
  <si>
    <t>HD053444</t>
  </si>
  <si>
    <t>532/2/6 Kinh Dương Vương, Khu phố 4, Phường An Lạc</t>
  </si>
  <si>
    <t>Trang Do sale</t>
  </si>
  <si>
    <t>HD052661</t>
  </si>
  <si>
    <t>79/25 phú định p16</t>
  </si>
  <si>
    <t>borameyyy 015738168</t>
  </si>
  <si>
    <t>HD053405</t>
  </si>
  <si>
    <t>Khai nam</t>
  </si>
  <si>
    <t>HD054341</t>
  </si>
  <si>
    <t>Lợi Lợi sale</t>
  </si>
  <si>
    <t>HD054303</t>
  </si>
  <si>
    <t>Mỹ Lan sale</t>
  </si>
  <si>
    <t>HD054246</t>
  </si>
  <si>
    <t>chung cư thạnh mỹ lợi lô a2 phường cát lái</t>
  </si>
  <si>
    <t>Thùy Thùy sale</t>
  </si>
  <si>
    <t>HD054171</t>
  </si>
  <si>
    <t>638/72/17 Lê Trọng Tấn Bình Hưng Hoà</t>
  </si>
  <si>
    <t>Tô Xíu sale</t>
  </si>
  <si>
    <t>HD052668</t>
  </si>
  <si>
    <t>30 đường số 12, KP5, Phường Bình Trị Đông</t>
  </si>
  <si>
    <t>My SoNa sale</t>
  </si>
  <si>
    <t>HD053989</t>
  </si>
  <si>
    <t>345 Minh phụng p2</t>
  </si>
  <si>
    <t>YURI</t>
  </si>
  <si>
    <t>SỐ 66 ĐƯỜNG 17 PHƯỜNG BÌNH PHÚ</t>
  </si>
  <si>
    <t>64 đường số 1A bình hưng hòa a</t>
  </si>
  <si>
    <t>Puno Phạm sale</t>
  </si>
  <si>
    <t>HD053856</t>
  </si>
  <si>
    <t>Số 39, đường số 57 - tml, phường cát lái</t>
  </si>
  <si>
    <t>Thúy Nguyễn sale</t>
  </si>
  <si>
    <t>HD054266</t>
  </si>
  <si>
    <t>598/10 điện biên phủ, p.22</t>
  </si>
  <si>
    <t>at 31-08</t>
  </si>
  <si>
    <t>HD053489</t>
  </si>
  <si>
    <t>Hảo Nguyễn sale xài t8</t>
  </si>
  <si>
    <t>HD054019</t>
  </si>
  <si>
    <t>Phan Nhi sale</t>
  </si>
  <si>
    <t>HD054481</t>
  </si>
  <si>
    <t>HD054537</t>
  </si>
  <si>
    <t>Nu Nguyen sale</t>
  </si>
  <si>
    <t>HD054584</t>
  </si>
  <si>
    <t>55 trần văn quang p10</t>
  </si>
  <si>
    <t>HD054547</t>
  </si>
  <si>
    <t>HD054513</t>
  </si>
  <si>
    <t>HD054626</t>
  </si>
  <si>
    <t>Pé Thỏ sale</t>
  </si>
  <si>
    <t>HD054565</t>
  </si>
  <si>
    <t>5/4a hèm 118 Nguyễn thị thập phường bình thuận</t>
  </si>
  <si>
    <t>Nguyen Hoang-sale</t>
  </si>
  <si>
    <t>HD054383</t>
  </si>
  <si>
    <t>18/2a trần quang diệu phường 14</t>
  </si>
  <si>
    <t>HD054544</t>
  </si>
  <si>
    <t>18A cộng hoà( bưu cục ems) p12</t>
  </si>
  <si>
    <t>Huyền Anh SALE WED T8</t>
  </si>
  <si>
    <t>HD050488</t>
  </si>
  <si>
    <t>2/76 cô giang, phường cầu kiệu</t>
  </si>
  <si>
    <t>Nguyễn hồng nhi sale wed t8</t>
  </si>
  <si>
    <t>HD054604</t>
  </si>
  <si>
    <t>06 nguyễn thượng hiền Phường hạnh thông</t>
  </si>
  <si>
    <t>Dương AnAn sale</t>
  </si>
  <si>
    <t>HD053899</t>
  </si>
  <si>
    <t>Jasmen 1, Chung Cư Hà Đô 200 đường 3/2, Phường 12 (Đổi Phường Hòa Hưng sau xác nhập)</t>
  </si>
  <si>
    <t>HD054624</t>
  </si>
  <si>
    <t>Ốc Em sale</t>
  </si>
  <si>
    <t>HD054139</t>
  </si>
  <si>
    <t>Chung cư Delasol, block C Số 1 Tôn Thất Thuyết, phường Vĩnh Hội</t>
  </si>
  <si>
    <t>HD054245</t>
  </si>
  <si>
    <t>HD053072</t>
  </si>
  <si>
    <t>380/169 lê văn lương Phường tân hưng</t>
  </si>
  <si>
    <t>Lữ Mỹ Nữ</t>
  </si>
  <si>
    <t>HD054451</t>
  </si>
  <si>
    <t>362A Nguyễn văn nghi p.hạnh thông</t>
  </si>
  <si>
    <t>Thảo (e gái Phương) sale</t>
  </si>
  <si>
    <t>HD054441</t>
  </si>
  <si>
    <t>2/13B đường số 12, P. Linh chiểu</t>
  </si>
  <si>
    <t>Ngọc Anh Can Vu sale</t>
  </si>
  <si>
    <t>HD054578</t>
  </si>
  <si>
    <t>291 doan van bo p Xom Chieu</t>
  </si>
  <si>
    <t>HD054424</t>
  </si>
  <si>
    <t>Nói giao đồ cho Nguyễn Lona sale</t>
  </si>
  <si>
    <t>HD053937</t>
  </si>
  <si>
    <t>194/50/30 bạch đằng f24</t>
  </si>
  <si>
    <t>Minh Hải (trang hồ)</t>
  </si>
  <si>
    <t>HD054370</t>
  </si>
  <si>
    <t>Áii Vii sale</t>
  </si>
  <si>
    <t>HD054543</t>
  </si>
  <si>
    <t>Vincom Đồng Khởi,72 Lê Thánh Tôn, phường Sài Gòn</t>
  </si>
  <si>
    <t>Khánh Ngân</t>
  </si>
  <si>
    <t>HD054444</t>
  </si>
  <si>
    <t>183/58 đường số 28 An Nhơn</t>
  </si>
  <si>
    <t>Nguyễn Thị Trúc Nhã sale t8</t>
  </si>
  <si>
    <t>HD054367</t>
  </si>
  <si>
    <t>Thiên Di (SALE WEB)</t>
  </si>
  <si>
    <t>HD054493</t>
  </si>
  <si>
    <t>133c nguyễn đình chính phường 8</t>
  </si>
  <si>
    <t>Ha Nguyen sale</t>
  </si>
  <si>
    <t>HD054026</t>
  </si>
  <si>
    <t>154/9 nguyễn trọng tuyến p phú nhuận</t>
  </si>
  <si>
    <t>Trần Thị Trang</t>
  </si>
  <si>
    <t>HD054574</t>
  </si>
  <si>
    <t>Thế Giới Di Động, Đường Dt 746, Kp. Long Bình Phường Tân Hiệp</t>
  </si>
  <si>
    <t>chiến wed t8 sale</t>
  </si>
  <si>
    <t>HD053103</t>
  </si>
  <si>
    <t>143/17 Phan Huy Ích-Phường 15</t>
  </si>
  <si>
    <t>Chị Trinh</t>
  </si>
  <si>
    <t>HD054408</t>
  </si>
  <si>
    <t>407 Tân sơn, ở. an hội Tây</t>
  </si>
  <si>
    <t>HD054582</t>
  </si>
  <si>
    <t>Do Huyền sale</t>
  </si>
  <si>
    <t>HD054617</t>
  </si>
  <si>
    <t>3 hoa lan phường cầu kiệu</t>
  </si>
  <si>
    <t>HD054613</t>
  </si>
  <si>
    <t>kh ck shop 1570k</t>
  </si>
  <si>
    <t>kh ck shop 1275k</t>
  </si>
  <si>
    <t>giảm kh 350k</t>
  </si>
  <si>
    <t>giảm kh 100k</t>
  </si>
  <si>
    <t>kh ck shop 965k</t>
  </si>
  <si>
    <t>căn B3.0608, chung cư the Marq, 29b nguyễn đình chiểu, phường sài gòn (p đakao)</t>
  </si>
  <si>
    <t>kh ck shop 3320k</t>
  </si>
  <si>
    <t>shop chịu ship, giảm kh 48k</t>
  </si>
  <si>
    <t>giảm kh 60k</t>
  </si>
  <si>
    <t>kh ck shop 1005k</t>
  </si>
  <si>
    <t>kh ck shop 1188k</t>
  </si>
  <si>
    <t>giảm kh 360k</t>
  </si>
  <si>
    <t>giảm kh 180k</t>
  </si>
  <si>
    <t>kh ck shop 1930k</t>
  </si>
  <si>
    <t>shop chịu ship, giảm kh 120k</t>
  </si>
  <si>
    <t>shop chịu ship, giảm kh 500k</t>
  </si>
  <si>
    <t>giảm kh 30k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</si>
</sst>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Border="0"/>
    <xf numFmtId="0" fontId="3" fillId="0" borderId="0"/>
  </cellStyleXfs>
  <cellXfs count="63">
    <xf numFmtId="0" fontId="0" fillId="0" borderId="0" xfId="0"/>
    <xf numFmtId="0" fontId="5" fillId="5" borderId="0" xfId="0" applyFont="1" applyFill="1"/>
    <xf numFmtId="0" fontId="6" fillId="0" borderId="0" xfId="0" applyFont="1"/>
    <xf numFmtId="0" fontId="0" fillId="5" borderId="0" xfId="0" applyFill="1"/>
    <xf numFmtId="0" fontId="5" fillId="0" borderId="0" xfId="0" applyFont="1"/>
    <xf numFmtId="3" fontId="0" fillId="0" borderId="0" xfId="0" applyNumberFormat="1"/>
    <xf numFmtId="0" fontId="5" fillId="6" borderId="0" xfId="0" applyFont="1" applyFill="1"/>
    <xf numFmtId="0" fontId="6" fillId="0" borderId="0" xfId="0" applyFont="1" applyAlignment="1">
      <alignment horizontal="left"/>
    </xf>
    <xf numFmtId="0" fontId="0" fillId="7" borderId="0" xfId="0" applyFill="1"/>
    <xf numFmtId="0" fontId="5" fillId="8" borderId="0" xfId="0" applyFont="1" applyFill="1"/>
    <xf numFmtId="0" fontId="5" fillId="4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0" fontId="6" fillId="0" borderId="1" xfId="0" applyFont="1" applyBorder="1"/>
    <xf numFmtId="3" fontId="6" fillId="0" borderId="1" xfId="0" applyNumberFormat="1" applyFont="1" applyBorder="1"/>
    <xf numFmtId="0" fontId="6" fillId="0" borderId="0" xfId="0" applyFont="1" applyAlignment="1">
      <alignment horizontal="right"/>
    </xf>
    <xf numFmtId="3" fontId="0" fillId="9" borderId="0" xfId="0" applyNumberFormat="1" applyFill="1"/>
    <xf numFmtId="0" fontId="2" fillId="0" borderId="0" xfId="1" applyFont="1"/>
    <xf numFmtId="0" fontId="2" fillId="2" borderId="1" xfId="0" applyFont="1" applyFill="1" applyBorder="1"/>
    <xf numFmtId="0" fontId="2" fillId="0" borderId="1" xfId="0" applyFont="1" applyBorder="1"/>
    <xf numFmtId="0" fontId="2" fillId="3" borderId="0" xfId="0" applyFont="1" applyFill="1"/>
    <xf numFmtId="0" fontId="6" fillId="2" borderId="1" xfId="0" applyFont="1" applyFill="1" applyBorder="1"/>
    <xf numFmtId="0" fontId="7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1" fillId="0" borderId="1" xfId="0" applyFont="1" applyBorder="1"/>
    <xf numFmtId="0" fontId="6" fillId="2" borderId="0" xfId="0" applyFont="1" applyFill="1"/>
    <xf numFmtId="0" fontId="8" fillId="10" borderId="0" xfId="0" applyFont="1" applyFill="1"/>
    <xf numFmtId="0" fontId="8" fillId="10" borderId="1" xfId="0" applyFont="1" applyFill="1" applyBorder="1"/>
    <xf numFmtId="49" fontId="8" fillId="10" borderId="1" xfId="0" applyNumberFormat="1" applyFont="1" applyFill="1" applyBorder="1" applyAlignment="1">
      <alignment horizontal="right"/>
    </xf>
    <xf numFmtId="0" fontId="0" fillId="10" borderId="0" xfId="0" applyFill="1"/>
    <xf numFmtId="0" fontId="0" fillId="10" borderId="1" xfId="0" applyFill="1" applyBorder="1"/>
    <xf numFmtId="0" fontId="9" fillId="9" borderId="1" xfId="0" applyFont="1" applyFill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0" borderId="0" xfId="0" applyFont="1"/>
    <xf numFmtId="0" fontId="12" fillId="10" borderId="0" xfId="0" applyFont="1" applyFill="1"/>
    <xf numFmtId="0" fontId="12" fillId="10" borderId="1" xfId="0" applyFont="1" applyFill="1" applyBorder="1"/>
    <xf numFmtId="49" fontId="12" fillId="10" borderId="1" xfId="0" applyNumberFormat="1" applyFont="1" applyFill="1" applyBorder="1"/>
    <xf numFmtId="3" fontId="11" fillId="0" borderId="0" xfId="0" applyNumberFormat="1" applyFont="1"/>
    <xf numFmtId="0" fontId="6" fillId="11" borderId="0" xfId="0" applyFont="1" applyFill="1"/>
    <xf numFmtId="0" fontId="0" fillId="0" borderId="2" xfId="0" applyBorder="1"/>
    <xf numFmtId="0" fontId="0" fillId="9" borderId="2" xfId="0" applyFill="1" applyBorder="1"/>
    <xf numFmtId="0" fontId="6" fillId="0" borderId="2" xfId="0" applyFont="1" applyBorder="1"/>
    <xf numFmtId="0" fontId="12" fillId="10" borderId="2" xfId="0" applyFont="1" applyFill="1" applyBorder="1"/>
    <xf numFmtId="0" fontId="10" fillId="0" borderId="2" xfId="0" applyFont="1" applyBorder="1"/>
    <xf numFmtId="0" fontId="0" fillId="0" borderId="3" xfId="0" applyBorder="1"/>
    <xf numFmtId="3" fontId="0" fillId="0" borderId="3" xfId="0" applyNumberFormat="1" applyBorder="1"/>
    <xf numFmtId="3" fontId="0" fillId="9" borderId="3" xfId="0" applyNumberFormat="1" applyFill="1" applyBorder="1"/>
    <xf numFmtId="0" fontId="6" fillId="0" borderId="3" xfId="0" applyFont="1" applyBorder="1"/>
    <xf numFmtId="0" fontId="12" fillId="10" borderId="3" xfId="0" applyFont="1" applyFill="1" applyBorder="1"/>
    <xf numFmtId="0" fontId="10" fillId="0" borderId="3" xfId="0" applyFont="1" applyBorder="1"/>
    <xf numFmtId="3" fontId="6" fillId="0" borderId="3" xfId="0" applyNumberFormat="1" applyFont="1" applyBorder="1"/>
    <xf numFmtId="0" fontId="1" fillId="0" borderId="0" xfId="0" applyFont="1" applyBorder="1"/>
    <xf numFmtId="0" fontId="2" fillId="0" borderId="0" xfId="0" applyFont="1" applyBorder="1"/>
    <xf numFmtId="0" fontId="0" fillId="0" borderId="0" xfId="0"/>
    <xf numFmtId="0" fontId="5" fillId="5" borderId="0" xfId="0" applyFont="1" applyFill="1"/>
    <xf numFmtId="0" fontId="5" fillId="0" borderId="0" xfId="0" applyFont="1"/>
    <xf numFmtId="0" fontId="0" fillId="5" borderId="0" xfId="0" applyFill="1"/>
    <xf numFmtId="0" fontId="6" fillId="0" borderId="0" xfId="0" applyFont="1"/>
  </cellXfs>
  <cellStyles count="2">
    <cellStyle name="Normal" xfId="0" builtinId="0"/>
    <cellStyle name="Normal 2" xfId="1" xr:uid="{DB72F213-3AF7-4618-B5B3-4068D3F972D7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982-EAEB-4F31-86BF-4D059AFDEA27}">
  <sheetPr>
    <tabColor rgb="FF0070C0"/>
  </sheetPr>
  <dimension ref="A1:E40"/>
  <sheetViews>
    <sheetView tabSelected="1" zoomScale="85" zoomScaleNormal="85" workbookViewId="0">
      <selection activeCell="N26" sqref="N26"/>
    </sheetView>
  </sheetViews>
  <sheetFormatPr defaultColWidth="9.140625" defaultRowHeight="15" x14ac:dyDescent="0.25"/>
  <cols>
    <col min="1" max="1" width="14.28515625" style="20" bestFit="1" customWidth="1"/>
    <col min="2" max="2" width="10.85546875" style="20" bestFit="1" customWidth="1"/>
    <col min="3" max="3" width="9.42578125" style="20" bestFit="1" customWidth="1"/>
    <col min="4" max="4" width="17.5703125" style="20" bestFit="1" customWidth="1"/>
    <col min="5" max="5" width="15.85546875" style="20" bestFit="1" customWidth="1"/>
    <col min="6" max="6" width="9.140625" style="20" customWidth="1"/>
    <col min="7" max="16384" width="9.140625" style="20"/>
  </cols>
  <sheetData>
    <row r="1" spans="1:5" x14ac:dyDescent="0.25">
      <c r="A1" s="20" t="s">
        <v>0</v>
      </c>
      <c r="B1" s="20">
        <v>2026</v>
      </c>
    </row>
    <row r="2" spans="1:5" x14ac:dyDescent="0.2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</row>
    <row r="3" spans="1:5" x14ac:dyDescent="0.25">
      <c r="A3" s="28" t="str" cm="1">
        <f t="array" aca="1" ref="A3:A35" ca="1">_xlfn.LET(
    _xlpm.start,DATE(B1,--_xlfn.TEXTAFTER(A1," "),1),
    _xlpm.d,_xlfn.SEQUENCE(DAY(EOMONTH(_xlpm.start,0)),,_xlpm.start),
    _xlpm.x,TEXT(_xlpm.d,"dd-mm"),
    _xlpm.result,_xlfn.DROP(
        _xlfn.REDUCE("",_xlpm.x,_xlfn.LAMBDA(_xlpm.a,_xlpm.s,
            _xlfn.VSTACK(
                _xlpm.a,
                IF(ISREF(INDIRECT("'"&amp;_xlpm.s&amp;"'!A1")),_xlpm.s,""),
                IF(ISREF(INDIRECT("'"&amp;_xlpm.s&amp;"_Morning'!A1")),_xlpm.s&amp;"_Morning",""),
                IF(ISREF(INDIRECT("'"&amp;_xlpm.s&amp;"_Night'!A1")),_xlpm.s&amp;"_Night","")
            )
        )),
        1
    ),
    _xlfn._xlws.FILTER(_xlpm.result,_xlpm.result&lt;&gt;"")
)</f>
        <v>01-08</v>
      </c>
      <c r="B3" s="22">
        <f ca="1">IFERROR(COUNTIF(INDIRECT("'"&amp;A3&amp;"'!L3:L200"),LEFT(A3,FIND("_",A3&amp;"_")-1)&amp;"-"&amp;B$1),0)</f>
        <v>38</v>
      </c>
      <c r="C3" s="22">
        <f ca="1">IFERROR(COUNTIF(INDIRECT("'"&amp;A3&amp;"'!M3:M200"),"*gộp*")/2,0)</f>
        <v>0</v>
      </c>
      <c r="D3" s="22" cm="1">
        <f t="array" aca="1" ref="D3" ca="1">IFERROR(SUM(COUNTIF(INDIRECT("'"&amp;A3&amp;"'!M3:M1000"),{"*đơn trả*","*hàng tỉnh*"})),0)</f>
        <v>1</v>
      </c>
      <c r="E3" s="22">
        <f t="shared" ref="E3" ca="1" si="0">B3-C3-D3</f>
        <v>37</v>
      </c>
    </row>
    <row r="4" spans="1:5" x14ac:dyDescent="0.25">
      <c r="A4" s="28" t="str">
        <f ca="1"/>
        <v>03-08</v>
      </c>
      <c r="B4" s="22">
        <f t="shared" ref="B4:B35" ca="1" si="1">IFERROR(COUNTIF(INDIRECT("'"&amp;A4&amp;"'!L3:L200"),LEFT(A4,FIND("_",A4&amp;"_")-1)&amp;"-"&amp;B$1),0)</f>
        <v>44</v>
      </c>
      <c r="C4" s="22">
        <f t="shared" ref="C4:C30" ca="1" si="2">IFERROR(COUNTIF(INDIRECT("'"&amp;A4&amp;"'!M3:M200"),"*gộp*")/2,0)</f>
        <v>0</v>
      </c>
      <c r="D4" s="22" cm="1">
        <f t="array" aca="1" ref="D4" ca="1">IFERROR(SUM(COUNTIF(INDIRECT("'"&amp;A4&amp;"'!M3:M1000"),{"*đơn trả*","*hàng tỉnh*"})),0)</f>
        <v>1</v>
      </c>
      <c r="E4" s="22">
        <f t="shared" ref="E4:E31" ca="1" si="3">B4-C4-D4</f>
        <v>43</v>
      </c>
    </row>
    <row r="5" spans="1:5" x14ac:dyDescent="0.25">
      <c r="A5" s="28" t="str">
        <f ca="1"/>
        <v>04-08</v>
      </c>
      <c r="B5" s="22">
        <f t="shared" ca="1" si="1"/>
        <v>23</v>
      </c>
      <c r="C5" s="22">
        <f t="shared" ca="1" si="2"/>
        <v>0</v>
      </c>
      <c r="D5" s="22" cm="1">
        <f t="array" aca="1" ref="D5" ca="1">IFERROR(SUM(COUNTIF(INDIRECT("'"&amp;A5&amp;"'!M3:M1000"),{"*đơn trả*","*hàng tỉnh*"})),0)</f>
        <v>0</v>
      </c>
      <c r="E5" s="22">
        <f t="shared" ca="1" si="3"/>
        <v>23</v>
      </c>
    </row>
    <row r="6" spans="1:5" x14ac:dyDescent="0.25">
      <c r="A6" s="28" t="str">
        <f ca="1"/>
        <v>05-08</v>
      </c>
      <c r="B6" s="22">
        <f t="shared" ca="1" si="1"/>
        <v>23</v>
      </c>
      <c r="C6" s="22">
        <f t="shared" ca="1" si="2"/>
        <v>0</v>
      </c>
      <c r="D6" s="22" cm="1">
        <f t="array" aca="1" ref="D6" ca="1">IFERROR(SUM(COUNTIF(INDIRECT("'"&amp;A6&amp;"'!M3:M1000"),{"*đơn trả*","*hàng tỉnh*"})),0)</f>
        <v>1</v>
      </c>
      <c r="E6" s="22">
        <f t="shared" ca="1" si="3"/>
        <v>22</v>
      </c>
    </row>
    <row r="7" spans="1:5" x14ac:dyDescent="0.25">
      <c r="A7" s="28" t="str">
        <f ca="1"/>
        <v>06-08</v>
      </c>
      <c r="B7" s="22">
        <f t="shared" ca="1" si="1"/>
        <v>33</v>
      </c>
      <c r="C7" s="22">
        <f t="shared" ca="1" si="2"/>
        <v>0</v>
      </c>
      <c r="D7" s="22" cm="1">
        <f t="array" aca="1" ref="D7" ca="1">IFERROR(SUM(COUNTIF(INDIRECT("'"&amp;A7&amp;"'!M3:M1000"),{"*đơn trả*","*hàng tỉnh*"})),0)</f>
        <v>0</v>
      </c>
      <c r="E7" s="22">
        <f t="shared" ca="1" si="3"/>
        <v>33</v>
      </c>
    </row>
    <row r="8" spans="1:5" x14ac:dyDescent="0.25">
      <c r="A8" s="28" t="str">
        <f ca="1"/>
        <v>07-08</v>
      </c>
      <c r="B8" s="22">
        <f t="shared" ca="1" si="1"/>
        <v>20</v>
      </c>
      <c r="C8" s="22">
        <f t="shared" ca="1" si="2"/>
        <v>0</v>
      </c>
      <c r="D8" s="22" cm="1">
        <f t="array" aca="1" ref="D8" ca="1">IFERROR(SUM(COUNTIF(INDIRECT("'"&amp;A8&amp;"'!M3:M1000"),{"*đơn trả*","*hàng tỉnh*"})),0)</f>
        <v>1</v>
      </c>
      <c r="E8" s="22">
        <f t="shared" ca="1" si="3"/>
        <v>19</v>
      </c>
    </row>
    <row r="9" spans="1:5" x14ac:dyDescent="0.25">
      <c r="A9" s="28" t="str">
        <f ca="1"/>
        <v>08-08</v>
      </c>
      <c r="B9" s="22">
        <f t="shared" ca="1" si="1"/>
        <v>19</v>
      </c>
      <c r="C9" s="22">
        <f t="shared" ca="1" si="2"/>
        <v>0</v>
      </c>
      <c r="D9" s="22" cm="1">
        <f t="array" aca="1" ref="D9" ca="1">IFERROR(SUM(COUNTIF(INDIRECT("'"&amp;A9&amp;"'!M3:M1000"),{"*đơn trả*","*hàng tỉnh*"})),0)</f>
        <v>0</v>
      </c>
      <c r="E9" s="22">
        <f t="shared" ca="1" si="3"/>
        <v>19</v>
      </c>
    </row>
    <row r="10" spans="1:5" x14ac:dyDescent="0.25">
      <c r="A10" s="28" t="str">
        <f ca="1"/>
        <v>10-08</v>
      </c>
      <c r="B10" s="22">
        <f t="shared" ca="1" si="1"/>
        <v>55</v>
      </c>
      <c r="C10" s="22">
        <f t="shared" ca="1" si="2"/>
        <v>0</v>
      </c>
      <c r="D10" s="22" cm="1">
        <f t="array" aca="1" ref="D10" ca="1">IFERROR(SUM(COUNTIF(INDIRECT("'"&amp;A10&amp;"'!M3:M1000"),{"*đơn trả*","*hàng tỉnh*"})),0)</f>
        <v>0</v>
      </c>
      <c r="E10" s="22">
        <f t="shared" ca="1" si="3"/>
        <v>55</v>
      </c>
    </row>
    <row r="11" spans="1:5" x14ac:dyDescent="0.25">
      <c r="A11" s="28" t="str">
        <f ca="1"/>
        <v>11-08</v>
      </c>
      <c r="B11" s="22">
        <f t="shared" ca="1" si="1"/>
        <v>16</v>
      </c>
      <c r="C11" s="22">
        <f t="shared" ca="1" si="2"/>
        <v>0</v>
      </c>
      <c r="D11" s="22" cm="1">
        <f t="array" aca="1" ref="D11" ca="1">IFERROR(SUM(COUNTIF(INDIRECT("'"&amp;A11&amp;"'!M3:M1000"),{"*đơn trả*","*hàng tỉnh*"})),0)</f>
        <v>0</v>
      </c>
      <c r="E11" s="22">
        <f t="shared" ca="1" si="3"/>
        <v>16</v>
      </c>
    </row>
    <row r="12" spans="1:5" x14ac:dyDescent="0.25">
      <c r="A12" s="28" t="str">
        <f ca="1"/>
        <v>12-08</v>
      </c>
      <c r="B12" s="22">
        <f t="shared" ca="1" si="1"/>
        <v>35</v>
      </c>
      <c r="C12" s="22">
        <f t="shared" ca="1" si="2"/>
        <v>0</v>
      </c>
      <c r="D12" s="22" cm="1">
        <f t="array" aca="1" ref="D12" ca="1">IFERROR(SUM(COUNTIF(INDIRECT("'"&amp;A12&amp;"'!M3:M1000"),{"*đơn trả*","*hàng tỉnh*"})),0)</f>
        <v>1</v>
      </c>
      <c r="E12" s="22">
        <f t="shared" ca="1" si="3"/>
        <v>34</v>
      </c>
    </row>
    <row r="13" spans="1:5" x14ac:dyDescent="0.25">
      <c r="A13" s="28" t="str">
        <f ca="1"/>
        <v>13-08</v>
      </c>
      <c r="B13" s="22">
        <f t="shared" ca="1" si="1"/>
        <v>37</v>
      </c>
      <c r="C13" s="22">
        <f t="shared" ca="1" si="2"/>
        <v>0</v>
      </c>
      <c r="D13" s="22" cm="1">
        <f t="array" aca="1" ref="D13" ca="1">IFERROR(SUM(COUNTIF(INDIRECT("'"&amp;A13&amp;"'!M3:M1000"),{"*đơn trả*","*hàng tỉnh*"})),0)</f>
        <v>1</v>
      </c>
      <c r="E13" s="22">
        <f t="shared" ca="1" si="3"/>
        <v>36</v>
      </c>
    </row>
    <row r="14" spans="1:5" x14ac:dyDescent="0.25">
      <c r="A14" s="28" t="str">
        <f ca="1"/>
        <v>14-08</v>
      </c>
      <c r="B14" s="22">
        <f t="shared" ca="1" si="1"/>
        <v>38</v>
      </c>
      <c r="C14" s="22">
        <f t="shared" ca="1" si="2"/>
        <v>0</v>
      </c>
      <c r="D14" s="22" cm="1">
        <f t="array" aca="1" ref="D14" ca="1">IFERROR(SUM(COUNTIF(INDIRECT("'"&amp;A14&amp;"'!M3:M1000"),{"*đơn trả*","*hàng tỉnh*"})),0)</f>
        <v>0</v>
      </c>
      <c r="E14" s="22">
        <f t="shared" ca="1" si="3"/>
        <v>38</v>
      </c>
    </row>
    <row r="15" spans="1:5" x14ac:dyDescent="0.25">
      <c r="A15" s="28" t="str">
        <f ca="1"/>
        <v>15-08</v>
      </c>
      <c r="B15" s="22">
        <f t="shared" ca="1" si="1"/>
        <v>33</v>
      </c>
      <c r="C15" s="22">
        <f t="shared" ca="1" si="2"/>
        <v>0</v>
      </c>
      <c r="D15" s="22" cm="1">
        <f t="array" aca="1" ref="D15" ca="1">IFERROR(SUM(COUNTIF(INDIRECT("'"&amp;A15&amp;"'!M3:M1000"),{"*đơn trả*","*hàng tỉnh*"})),0)</f>
        <v>1</v>
      </c>
      <c r="E15" s="22">
        <f t="shared" ca="1" si="3"/>
        <v>32</v>
      </c>
    </row>
    <row r="16" spans="1:5" x14ac:dyDescent="0.25">
      <c r="A16" s="28" t="str">
        <f ca="1"/>
        <v>17-08</v>
      </c>
      <c r="B16" s="22">
        <f t="shared" ca="1" si="1"/>
        <v>71</v>
      </c>
      <c r="C16" s="22">
        <f t="shared" ca="1" si="2"/>
        <v>2</v>
      </c>
      <c r="D16" s="22" cm="1">
        <f t="array" aca="1" ref="D16" ca="1">IFERROR(SUM(COUNTIF(INDIRECT("'"&amp;A16&amp;"'!M3:M1000"),{"*đơn trả*","*hàng tỉnh*"})),0)</f>
        <v>1</v>
      </c>
      <c r="E16" s="22">
        <f t="shared" ca="1" si="3"/>
        <v>68</v>
      </c>
    </row>
    <row r="17" spans="1:5" x14ac:dyDescent="0.25">
      <c r="A17" s="28" t="str">
        <f ca="1"/>
        <v>18-08</v>
      </c>
      <c r="B17" s="22">
        <f t="shared" ca="1" si="1"/>
        <v>38</v>
      </c>
      <c r="C17" s="22">
        <f t="shared" ca="1" si="2"/>
        <v>1</v>
      </c>
      <c r="D17" s="22" cm="1">
        <f t="array" aca="1" ref="D17" ca="1">IFERROR(SUM(COUNTIF(INDIRECT("'"&amp;A17&amp;"'!M3:M1000"),{"*đơn trả*","*hàng tỉnh*"})),0)</f>
        <v>0</v>
      </c>
      <c r="E17" s="22">
        <f t="shared" ca="1" si="3"/>
        <v>37</v>
      </c>
    </row>
    <row r="18" spans="1:5" x14ac:dyDescent="0.25">
      <c r="A18" s="28" t="str">
        <f ca="1"/>
        <v>19-08</v>
      </c>
      <c r="B18" s="22">
        <f t="shared" ca="1" si="1"/>
        <v>42</v>
      </c>
      <c r="C18" s="22">
        <f t="shared" ca="1" si="2"/>
        <v>0</v>
      </c>
      <c r="D18" s="22" cm="1">
        <f t="array" aca="1" ref="D18" ca="1">IFERROR(SUM(COUNTIF(INDIRECT("'"&amp;A18&amp;"'!M3:M1000"),{"*đơn trả*","*hàng tỉnh*"})),0)</f>
        <v>0</v>
      </c>
      <c r="E18" s="22">
        <f t="shared" ca="1" si="3"/>
        <v>42</v>
      </c>
    </row>
    <row r="19" spans="1:5" x14ac:dyDescent="0.25">
      <c r="A19" s="28" t="str">
        <f ca="1"/>
        <v>20-08</v>
      </c>
      <c r="B19" s="22">
        <f t="shared" ca="1" si="1"/>
        <v>42</v>
      </c>
      <c r="C19" s="22">
        <f t="shared" ca="1" si="2"/>
        <v>0</v>
      </c>
      <c r="D19" s="22" cm="1">
        <f t="array" aca="1" ref="D19" ca="1">IFERROR(SUM(COUNTIF(INDIRECT("'"&amp;A19&amp;"'!M3:M1000"),{"*đơn trả*","*hàng tỉnh*"})),0)</f>
        <v>1</v>
      </c>
      <c r="E19" s="22">
        <f t="shared" ca="1" si="3"/>
        <v>41</v>
      </c>
    </row>
    <row r="20" spans="1:5" x14ac:dyDescent="0.25">
      <c r="A20" s="28" t="str">
        <f ca="1"/>
        <v>21-08</v>
      </c>
      <c r="B20" s="22">
        <f t="shared" ca="1" si="1"/>
        <v>35</v>
      </c>
      <c r="C20" s="22">
        <f t="shared" ca="1" si="2"/>
        <v>1</v>
      </c>
      <c r="D20" s="22" cm="1">
        <f t="array" aca="1" ref="D20" ca="1">IFERROR(SUM(COUNTIF(INDIRECT("'"&amp;A20&amp;"'!M3:M1000"),{"*đơn trả*","*hàng tỉnh*"})),0)</f>
        <v>0</v>
      </c>
      <c r="E20" s="22">
        <f t="shared" ca="1" si="3"/>
        <v>34</v>
      </c>
    </row>
    <row r="21" spans="1:5" x14ac:dyDescent="0.25">
      <c r="A21" s="28" t="str">
        <f ca="1"/>
        <v>22-08</v>
      </c>
      <c r="B21" s="22">
        <f t="shared" ca="1" si="1"/>
        <v>31</v>
      </c>
      <c r="C21" s="22">
        <f t="shared" ca="1" si="2"/>
        <v>0</v>
      </c>
      <c r="D21" s="22" cm="1">
        <f t="array" aca="1" ref="D21" ca="1">IFERROR(SUM(COUNTIF(INDIRECT("'"&amp;A21&amp;"'!M3:M1000"),{"*đơn trả*","*hàng tỉnh*"})),0)</f>
        <v>1</v>
      </c>
      <c r="E21" s="22">
        <f t="shared" ca="1" si="3"/>
        <v>30</v>
      </c>
    </row>
    <row r="22" spans="1:5" x14ac:dyDescent="0.25">
      <c r="A22" s="28" t="str">
        <f ca="1"/>
        <v>24-08_Morning</v>
      </c>
      <c r="B22" s="22">
        <f t="shared" ca="1" si="1"/>
        <v>42</v>
      </c>
      <c r="C22" s="22">
        <f t="shared" ca="1" si="2"/>
        <v>0</v>
      </c>
      <c r="D22" s="22" cm="1">
        <f t="array" aca="1" ref="D22" ca="1">IFERROR(SUM(COUNTIF(INDIRECT("'"&amp;A22&amp;"'!M3:M1000"),{"*đơn trả*","*hàng tỉnh*"})),0)</f>
        <v>0</v>
      </c>
      <c r="E22" s="22">
        <f t="shared" ca="1" si="3"/>
        <v>42</v>
      </c>
    </row>
    <row r="23" spans="1:5" x14ac:dyDescent="0.25">
      <c r="A23" s="28" t="str">
        <f ca="1"/>
        <v>24-08_Night</v>
      </c>
      <c r="B23" s="22">
        <f t="shared" ca="1" si="1"/>
        <v>60</v>
      </c>
      <c r="C23" s="22">
        <f t="shared" ca="1" si="2"/>
        <v>0</v>
      </c>
      <c r="D23" s="22" cm="1">
        <f t="array" aca="1" ref="D23" ca="1">IFERROR(SUM(COUNTIF(INDIRECT("'"&amp;A23&amp;"'!M3:M1000"),{"*đơn trả*","*hàng tỉnh*"})),0)</f>
        <v>0</v>
      </c>
      <c r="E23" s="22">
        <f t="shared" ca="1" si="3"/>
        <v>60</v>
      </c>
    </row>
    <row r="24" spans="1:5" x14ac:dyDescent="0.25">
      <c r="A24" s="28" t="str">
        <f ca="1"/>
        <v>25-08_Morning</v>
      </c>
      <c r="B24" s="22">
        <f t="shared" ca="1" si="1"/>
        <v>73</v>
      </c>
      <c r="C24" s="22">
        <f t="shared" ca="1" si="2"/>
        <v>0</v>
      </c>
      <c r="D24" s="22" cm="1">
        <f t="array" aca="1" ref="D24" ca="1">IFERROR(SUM(COUNTIF(INDIRECT("'"&amp;A24&amp;"'!M3:M1000"),{"*đơn trả*","*hàng tỉnh*"})),0)</f>
        <v>0</v>
      </c>
      <c r="E24" s="22">
        <f t="shared" ca="1" si="3"/>
        <v>73</v>
      </c>
    </row>
    <row r="25" spans="1:5" x14ac:dyDescent="0.25">
      <c r="A25" s="28" t="str">
        <f ca="1"/>
        <v>25-08_Night</v>
      </c>
      <c r="B25" s="22">
        <f t="shared" ca="1" si="1"/>
        <v>114</v>
      </c>
      <c r="C25" s="22">
        <f t="shared" ca="1" si="2"/>
        <v>1</v>
      </c>
      <c r="D25" s="22" cm="1">
        <f t="array" aca="1" ref="D25" ca="1">IFERROR(SUM(COUNTIF(INDIRECT("'"&amp;A25&amp;"'!M3:M1000"),{"*đơn trả*","*hàng tỉnh*"})),0)</f>
        <v>5</v>
      </c>
      <c r="E25" s="22">
        <f t="shared" ca="1" si="3"/>
        <v>108</v>
      </c>
    </row>
    <row r="26" spans="1:5" x14ac:dyDescent="0.25">
      <c r="A26" s="28" t="str">
        <f ca="1"/>
        <v>26-08_Morning</v>
      </c>
      <c r="B26" s="22">
        <f t="shared" ca="1" si="1"/>
        <v>184</v>
      </c>
      <c r="C26" s="22">
        <f t="shared" ca="1" si="2"/>
        <v>1</v>
      </c>
      <c r="D26" s="22" cm="1">
        <f t="array" aca="1" ref="D26" ca="1">IFERROR(SUM(COUNTIF(INDIRECT("'"&amp;A26&amp;"'!M3:M1000"),{"*đơn trả*","*hàng tỉnh*"})),0)</f>
        <v>4</v>
      </c>
      <c r="E26" s="22">
        <f t="shared" ca="1" si="3"/>
        <v>179</v>
      </c>
    </row>
    <row r="27" spans="1:5" x14ac:dyDescent="0.25">
      <c r="A27" s="28" t="str">
        <f ca="1"/>
        <v>26-08_Night</v>
      </c>
      <c r="B27" s="22">
        <f t="shared" ca="1" si="1"/>
        <v>83</v>
      </c>
      <c r="C27" s="22">
        <f t="shared" ca="1" si="2"/>
        <v>0</v>
      </c>
      <c r="D27" s="22" cm="1">
        <f t="array" aca="1" ref="D27" ca="1">IFERROR(SUM(COUNTIF(INDIRECT("'"&amp;A27&amp;"'!M3:M1000"),{"*đơn trả*","*hàng tỉnh*"})),0)</f>
        <v>0</v>
      </c>
      <c r="E27" s="22">
        <f t="shared" ca="1" si="3"/>
        <v>83</v>
      </c>
    </row>
    <row r="28" spans="1:5" x14ac:dyDescent="0.25">
      <c r="A28" s="28" t="str">
        <f ca="1"/>
        <v>27-08_Morning</v>
      </c>
      <c r="B28" s="22">
        <f t="shared" ca="1" si="1"/>
        <v>169</v>
      </c>
      <c r="C28" s="22">
        <f t="shared" ca="1" si="2"/>
        <v>0</v>
      </c>
      <c r="D28" s="22" cm="1">
        <f t="array" aca="1" ref="D28" ca="1">IFERROR(SUM(COUNTIF(INDIRECT("'"&amp;A28&amp;"'!M3:M1000"),{"*đơn trả*","*hàng tỉnh*"})),0)</f>
        <v>4</v>
      </c>
      <c r="E28" s="22">
        <f t="shared" ca="1" si="3"/>
        <v>165</v>
      </c>
    </row>
    <row r="29" spans="1:5" x14ac:dyDescent="0.25">
      <c r="A29" s="28" t="str">
        <f ca="1"/>
        <v>27-08_Night</v>
      </c>
      <c r="B29" s="22">
        <f t="shared" ca="1" si="1"/>
        <v>110</v>
      </c>
      <c r="C29" s="22">
        <f t="shared" ca="1" si="2"/>
        <v>1</v>
      </c>
      <c r="D29" s="22" cm="1">
        <f t="array" aca="1" ref="D29" ca="1">IFERROR(SUM(COUNTIF(INDIRECT("'"&amp;A29&amp;"'!M3:M1000"),{"*đơn trả*","*hàng tỉnh*"})),0)</f>
        <v>2</v>
      </c>
      <c r="E29" s="22">
        <f t="shared" ca="1" si="3"/>
        <v>107</v>
      </c>
    </row>
    <row r="30" spans="1:5" x14ac:dyDescent="0.25">
      <c r="A30" s="28" t="str">
        <f ca="1"/>
        <v>28-08_Morning</v>
      </c>
      <c r="B30" s="22">
        <f t="shared" ca="1" si="1"/>
        <v>139</v>
      </c>
      <c r="C30" s="22">
        <f t="shared" ca="1" si="2"/>
        <v>2</v>
      </c>
      <c r="D30" s="22" cm="1">
        <f t="array" aca="1" ref="D30" ca="1">IFERROR(SUM(COUNTIF(INDIRECT("'"&amp;A30&amp;"'!M3:M1000"),{"*đơn trả*","*hàng tỉnh*"})),0)</f>
        <v>16</v>
      </c>
      <c r="E30" s="22">
        <f t="shared" ca="1" si="3"/>
        <v>121</v>
      </c>
    </row>
    <row r="31" spans="1:5" x14ac:dyDescent="0.25">
      <c r="A31" s="28" t="str">
        <f ca="1"/>
        <v>28-08_Night</v>
      </c>
      <c r="B31" s="22">
        <f ca="1">IFERROR(COUNTIF(INDIRECT("'"&amp;A31&amp;"'!L3:L200"),LEFT(A31,FIND("_",A31&amp;"_")-1)&amp;"-"&amp;B$1),0)</f>
        <v>74</v>
      </c>
      <c r="C31" s="22">
        <f ca="1">IFERROR(COUNTIF(INDIRECT("'"&amp;A31&amp;"'!M3:M200"),"*gộp*")/2,0)</f>
        <v>3</v>
      </c>
      <c r="D31" s="22" cm="1">
        <f t="array" aca="1" ref="D31" ca="1">IFERROR(SUM(COUNTIF(INDIRECT("'"&amp;A31&amp;"'!M3:M1000"),{"*đơn trả*","*hàng tỉnh*"})),0)</f>
        <v>1</v>
      </c>
      <c r="E31" s="22">
        <f t="shared" ca="1" si="3"/>
        <v>70</v>
      </c>
    </row>
    <row r="32" spans="1:5" x14ac:dyDescent="0.25">
      <c r="A32" s="28" t="str">
        <f ca="1"/>
        <v>29-08</v>
      </c>
      <c r="B32" s="22">
        <f t="shared" ca="1" si="1"/>
        <v>198</v>
      </c>
      <c r="C32" s="22">
        <f t="shared" ref="C32:C35" ca="1" si="4">IFERROR(COUNTIF(INDIRECT("'"&amp;A32&amp;"'!M3:M200"),"*gộp*")/2,0)</f>
        <v>5</v>
      </c>
      <c r="D32" s="22" cm="1">
        <f t="array" aca="1" ref="D32" ca="1">IFERROR(SUM(COUNTIF(INDIRECT("'"&amp;A32&amp;"'!M3:M1000"),{"*đơn trả*","*hàng tỉnh*"})),0)</f>
        <v>29</v>
      </c>
      <c r="E32" s="22">
        <f t="shared" ref="E32:E35" ca="1" si="5">B32-C32-D32</f>
        <v>164</v>
      </c>
    </row>
    <row r="33" spans="1:5" x14ac:dyDescent="0.25">
      <c r="A33" s="28" t="str">
        <f ca="1"/>
        <v>30-08</v>
      </c>
      <c r="B33" s="22">
        <f t="shared" ca="1" si="1"/>
        <v>104</v>
      </c>
      <c r="C33" s="22">
        <f t="shared" ca="1" si="4"/>
        <v>1</v>
      </c>
      <c r="D33" s="22" cm="1">
        <f t="array" aca="1" ref="D33" ca="1">IFERROR(SUM(COUNTIF(INDIRECT("'"&amp;A33&amp;"'!M3:M1000"),{"*đơn trả*","*hàng tỉnh*"})),0)</f>
        <v>10</v>
      </c>
      <c r="E33" s="22">
        <f t="shared" ca="1" si="5"/>
        <v>93</v>
      </c>
    </row>
    <row r="34" spans="1:5" x14ac:dyDescent="0.25">
      <c r="A34" s="28" t="str">
        <f ca="1"/>
        <v>31-08_Morning</v>
      </c>
      <c r="B34" s="22">
        <f t="shared" ca="1" si="1"/>
        <v>75</v>
      </c>
      <c r="C34" s="22">
        <f t="shared" ca="1" si="4"/>
        <v>0</v>
      </c>
      <c r="D34" s="22" cm="1">
        <f t="array" aca="1" ref="D34" ca="1">IFERROR(SUM(COUNTIF(INDIRECT("'"&amp;A34&amp;"'!M3:M1000"),{"*đơn trả*","*hàng tỉnh*"})),0)</f>
        <v>1</v>
      </c>
      <c r="E34" s="22">
        <f t="shared" ca="1" si="5"/>
        <v>74</v>
      </c>
    </row>
    <row r="35" spans="1:5" x14ac:dyDescent="0.25">
      <c r="A35" s="28" t="str">
        <f ca="1"/>
        <v>31-08_Night</v>
      </c>
      <c r="B35" s="22">
        <f t="shared" ca="1" si="1"/>
        <v>35</v>
      </c>
      <c r="C35" s="22">
        <f t="shared" ca="1" si="4"/>
        <v>0</v>
      </c>
      <c r="D35" s="22" cm="1">
        <f t="array" aca="1" ref="D35" ca="1">IFERROR(SUM(COUNTIF(INDIRECT("'"&amp;A35&amp;"'!M3:M1000"),{"*đơn trả*","*hàng tỉnh*"})),0)</f>
        <v>0</v>
      </c>
      <c r="E35" s="22">
        <f t="shared" ca="1" si="5"/>
        <v>35</v>
      </c>
    </row>
    <row r="36" spans="1:5" x14ac:dyDescent="0.25">
      <c r="A36" s="56"/>
      <c r="B36" s="57">
        <f ca="1">SUM(B3:B35)</f>
        <v>2133</v>
      </c>
      <c r="C36" s="57">
        <f t="shared" ref="C36:D36" ca="1" si="6">SUM(C3:C35)</f>
        <v>18</v>
      </c>
      <c r="D36" s="57">
        <f t="shared" ca="1" si="6"/>
        <v>82</v>
      </c>
      <c r="E36" s="57">
        <f ca="1">SUM(E3:E35)</f>
        <v>2033</v>
      </c>
    </row>
    <row r="37" spans="1:5" x14ac:dyDescent="0.25">
      <c r="D37" s="23" t="s">
        <v>6</v>
      </c>
      <c r="E37" s="23">
        <f ca="1">SUBTOTAL(9,E3:E35)</f>
        <v>2033</v>
      </c>
    </row>
    <row r="38" spans="1:5" x14ac:dyDescent="0.25">
      <c r="D38" s="23" t="s">
        <v>7</v>
      </c>
      <c r="E38" s="23" cm="1">
        <f t="array" aca="1" ref="E38" ca="1">SUMPRODUCT(
    IFERROR(
        SUMIF(
            INDIRECT("'"&amp;A3:A35&amp;"'!O:O"),
            "tổng",
            INDIRECT("'"&amp;A3:A35&amp;"'!P:P")
        ),
    0)
)</f>
        <v>9281</v>
      </c>
    </row>
    <row r="39" spans="1:5" x14ac:dyDescent="0.25">
      <c r="D39" s="23" t="s">
        <v>8</v>
      </c>
      <c r="E39" s="23">
        <f ca="1">-E37*2</f>
        <v>-4066</v>
      </c>
    </row>
    <row r="40" spans="1:5" x14ac:dyDescent="0.25">
      <c r="D40" s="23" t="s">
        <v>9</v>
      </c>
      <c r="E40" s="23">
        <f ca="1">SUBTOTAL(9,E38:E39)</f>
        <v>5215</v>
      </c>
    </row>
  </sheetData>
  <autoFilter ref="A2:E35" xr:uid="{00000000-0009-0000-0000-000000000000}"/>
  <phoneticPr fontId="4" type="noConversion"/>
  <conditionalFormatting sqref="C3:D35">
    <cfRule type="expression" dxfId="0" priority="2">
      <formula>C3&lt;&gt;0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67"/>
  <sheetViews>
    <sheetView topLeftCell="A31" workbookViewId="0">
      <selection activeCell="A34" sqref="A34"/>
    </sheetView>
  </sheetViews>
  <sheetFormatPr defaultRowHeight="15" x14ac:dyDescent="0.25"/>
  <cols>
    <col min="1" max="1" width="12.7109375" customWidth="1"/>
    <col min="2" max="2" width="9" customWidth="1"/>
    <col min="3" max="3" width="21.85546875" customWidth="1"/>
    <col min="4" max="4" width="9.85546875" customWidth="1"/>
    <col min="5" max="5" width="73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26</v>
      </c>
    </row>
    <row r="3" spans="1:18" x14ac:dyDescent="0.25">
      <c r="A3" s="11"/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G3" s="12">
        <v>715</v>
      </c>
      <c r="H3" s="12">
        <v>25</v>
      </c>
      <c r="I3" s="12">
        <f t="shared" ref="I3:I41" si="0">G3-H3</f>
        <v>690</v>
      </c>
      <c r="J3" s="11" t="s">
        <v>32</v>
      </c>
      <c r="K3" s="11" t="s">
        <v>33</v>
      </c>
      <c r="L3" s="11" t="s">
        <v>34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35</v>
      </c>
      <c r="D4" s="11" t="s">
        <v>36</v>
      </c>
      <c r="E4" s="11" t="s">
        <v>37</v>
      </c>
      <c r="F4" s="12">
        <v>8</v>
      </c>
      <c r="G4" s="12">
        <v>920</v>
      </c>
      <c r="H4" s="12">
        <v>30</v>
      </c>
      <c r="I4" s="12">
        <f t="shared" si="0"/>
        <v>890</v>
      </c>
      <c r="J4" s="11" t="s">
        <v>32</v>
      </c>
      <c r="K4" s="11" t="s">
        <v>33</v>
      </c>
      <c r="L4" s="11" t="s">
        <v>34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38</v>
      </c>
      <c r="D5" s="11" t="s">
        <v>39</v>
      </c>
      <c r="E5" s="11" t="s">
        <v>40</v>
      </c>
      <c r="F5" s="12">
        <v>8</v>
      </c>
      <c r="G5" s="12">
        <v>920</v>
      </c>
      <c r="H5" s="12">
        <v>30</v>
      </c>
      <c r="I5" s="12">
        <f t="shared" si="0"/>
        <v>890</v>
      </c>
      <c r="J5" s="11" t="s">
        <v>32</v>
      </c>
      <c r="K5" s="11" t="s">
        <v>33</v>
      </c>
      <c r="L5" s="11" t="s">
        <v>34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41</v>
      </c>
      <c r="D6" s="11" t="s">
        <v>42</v>
      </c>
      <c r="E6" s="11" t="s">
        <v>43</v>
      </c>
      <c r="F6" s="11" t="s">
        <v>44</v>
      </c>
      <c r="G6" s="12">
        <v>0</v>
      </c>
      <c r="H6" s="12">
        <v>25</v>
      </c>
      <c r="I6" s="12">
        <f t="shared" si="0"/>
        <v>-25</v>
      </c>
      <c r="J6" s="11" t="s">
        <v>32</v>
      </c>
      <c r="K6" s="11" t="s">
        <v>33</v>
      </c>
      <c r="L6" s="11" t="s">
        <v>34</v>
      </c>
      <c r="M6" s="11"/>
      <c r="N6" s="11"/>
      <c r="O6" s="11"/>
      <c r="P6" s="11"/>
      <c r="Q6" s="11">
        <v>1</v>
      </c>
      <c r="R6" s="5">
        <f>H6</f>
        <v>25</v>
      </c>
    </row>
    <row r="7" spans="1:18" x14ac:dyDescent="0.25">
      <c r="A7" s="11"/>
      <c r="B7" s="11" t="s">
        <v>27</v>
      </c>
      <c r="C7" s="11" t="s">
        <v>45</v>
      </c>
      <c r="D7" s="11" t="s">
        <v>46</v>
      </c>
      <c r="E7" s="11" t="s">
        <v>47</v>
      </c>
      <c r="F7" s="11" t="s">
        <v>48</v>
      </c>
      <c r="G7" s="12">
        <v>940</v>
      </c>
      <c r="H7" s="12">
        <v>30</v>
      </c>
      <c r="I7" s="12">
        <f t="shared" si="0"/>
        <v>910</v>
      </c>
      <c r="J7" s="11" t="s">
        <v>32</v>
      </c>
      <c r="K7" s="11" t="s">
        <v>33</v>
      </c>
      <c r="L7" s="11" t="s">
        <v>34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49</v>
      </c>
      <c r="D8" s="11" t="s">
        <v>50</v>
      </c>
      <c r="E8" s="11" t="s">
        <v>51</v>
      </c>
      <c r="F8" s="12">
        <v>11</v>
      </c>
      <c r="G8" s="12">
        <v>715</v>
      </c>
      <c r="H8" s="12">
        <v>25</v>
      </c>
      <c r="I8" s="12">
        <f t="shared" si="0"/>
        <v>690</v>
      </c>
      <c r="J8" s="11" t="s">
        <v>32</v>
      </c>
      <c r="K8" s="11" t="s">
        <v>33</v>
      </c>
      <c r="L8" s="11" t="s">
        <v>34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52</v>
      </c>
      <c r="D9" s="11" t="s">
        <v>53</v>
      </c>
      <c r="E9" s="11" t="s">
        <v>54</v>
      </c>
      <c r="F9" s="11" t="s">
        <v>55</v>
      </c>
      <c r="G9" s="12">
        <v>925</v>
      </c>
      <c r="H9" s="12">
        <v>35</v>
      </c>
      <c r="I9" s="12">
        <f t="shared" si="0"/>
        <v>890</v>
      </c>
      <c r="J9" s="11" t="s">
        <v>32</v>
      </c>
      <c r="K9" s="11" t="s">
        <v>33</v>
      </c>
      <c r="L9" s="11" t="s">
        <v>34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56</v>
      </c>
      <c r="D10" s="11" t="s">
        <v>57</v>
      </c>
      <c r="E10" s="11" t="s">
        <v>58</v>
      </c>
      <c r="F10" s="12">
        <v>8</v>
      </c>
      <c r="G10" s="12">
        <v>710</v>
      </c>
      <c r="H10" s="12">
        <v>30</v>
      </c>
      <c r="I10" s="12">
        <f t="shared" si="0"/>
        <v>680</v>
      </c>
      <c r="J10" s="11" t="s">
        <v>32</v>
      </c>
      <c r="K10" s="11" t="s">
        <v>33</v>
      </c>
      <c r="L10" s="11" t="s">
        <v>34</v>
      </c>
      <c r="M10" s="11"/>
      <c r="N10" s="11"/>
      <c r="O10" s="11"/>
      <c r="P10" s="11"/>
      <c r="Q10" s="11">
        <v>1</v>
      </c>
    </row>
    <row r="11" spans="1:18" x14ac:dyDescent="0.25">
      <c r="A11" s="11" t="s">
        <v>59</v>
      </c>
      <c r="B11" s="11" t="s">
        <v>27</v>
      </c>
      <c r="C11" s="11" t="s">
        <v>60</v>
      </c>
      <c r="D11" s="11"/>
      <c r="E11" s="11" t="s">
        <v>61</v>
      </c>
      <c r="F11" s="11" t="s">
        <v>48</v>
      </c>
      <c r="G11" s="12">
        <v>0</v>
      </c>
      <c r="H11" s="12">
        <v>35</v>
      </c>
      <c r="I11" s="12">
        <f t="shared" si="0"/>
        <v>-35</v>
      </c>
      <c r="J11" s="11" t="s">
        <v>32</v>
      </c>
      <c r="K11" s="11" t="s">
        <v>33</v>
      </c>
      <c r="L11" s="11" t="s">
        <v>34</v>
      </c>
      <c r="M11" s="11"/>
      <c r="N11" s="11"/>
      <c r="O11" s="11"/>
      <c r="P11" s="11"/>
      <c r="Q11" s="11">
        <v>1</v>
      </c>
      <c r="R11" s="5">
        <f>H11</f>
        <v>35</v>
      </c>
    </row>
    <row r="12" spans="1:18" x14ac:dyDescent="0.25">
      <c r="A12" s="11"/>
      <c r="B12" s="11" t="s">
        <v>27</v>
      </c>
      <c r="C12" s="11" t="s">
        <v>62</v>
      </c>
      <c r="D12" s="11" t="s">
        <v>63</v>
      </c>
      <c r="E12" s="11" t="s">
        <v>64</v>
      </c>
      <c r="F12" s="12">
        <v>2</v>
      </c>
      <c r="G12" s="12">
        <v>940</v>
      </c>
      <c r="H12" s="12">
        <v>30</v>
      </c>
      <c r="I12" s="12">
        <f t="shared" si="0"/>
        <v>910</v>
      </c>
      <c r="J12" s="11" t="s">
        <v>33</v>
      </c>
      <c r="K12" s="11" t="s">
        <v>33</v>
      </c>
      <c r="L12" s="11" t="s">
        <v>34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65</v>
      </c>
      <c r="D13" s="11" t="s">
        <v>66</v>
      </c>
      <c r="E13" s="11" t="s">
        <v>67</v>
      </c>
      <c r="F13" s="11" t="s">
        <v>68</v>
      </c>
      <c r="G13" s="12">
        <v>915</v>
      </c>
      <c r="H13" s="12">
        <v>25</v>
      </c>
      <c r="I13" s="12">
        <f t="shared" si="0"/>
        <v>890</v>
      </c>
      <c r="J13" s="11" t="s">
        <v>33</v>
      </c>
      <c r="K13" s="11" t="s">
        <v>33</v>
      </c>
      <c r="L13" s="11" t="s">
        <v>34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69</v>
      </c>
      <c r="D14" s="11" t="s">
        <v>70</v>
      </c>
      <c r="E14" s="11" t="s">
        <v>71</v>
      </c>
      <c r="F14" s="12">
        <v>9</v>
      </c>
      <c r="G14" s="12">
        <v>1080</v>
      </c>
      <c r="H14" s="12">
        <v>30</v>
      </c>
      <c r="I14" s="12">
        <f t="shared" si="0"/>
        <v>1050</v>
      </c>
      <c r="J14" s="11" t="s">
        <v>33</v>
      </c>
      <c r="K14" s="11" t="s">
        <v>33</v>
      </c>
      <c r="L14" s="11" t="s">
        <v>34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72</v>
      </c>
      <c r="D15" s="11" t="s">
        <v>73</v>
      </c>
      <c r="E15" s="11" t="s">
        <v>74</v>
      </c>
      <c r="F15" s="11" t="s">
        <v>68</v>
      </c>
      <c r="G15" s="12">
        <v>1005</v>
      </c>
      <c r="H15" s="12">
        <v>25</v>
      </c>
      <c r="I15" s="12">
        <f t="shared" si="0"/>
        <v>980</v>
      </c>
      <c r="J15" s="11" t="s">
        <v>33</v>
      </c>
      <c r="K15" s="11" t="s">
        <v>33</v>
      </c>
      <c r="L15" s="11" t="s">
        <v>34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75</v>
      </c>
      <c r="D16" s="11" t="s">
        <v>76</v>
      </c>
      <c r="E16" s="11" t="s">
        <v>77</v>
      </c>
      <c r="F16" s="11" t="s">
        <v>78</v>
      </c>
      <c r="G16" s="12">
        <v>0</v>
      </c>
      <c r="H16" s="12">
        <v>20</v>
      </c>
      <c r="I16" s="12">
        <f t="shared" si="0"/>
        <v>-20</v>
      </c>
      <c r="J16" s="11" t="s">
        <v>33</v>
      </c>
      <c r="K16" s="11" t="s">
        <v>33</v>
      </c>
      <c r="L16" s="11" t="s">
        <v>34</v>
      </c>
      <c r="M16" s="11"/>
      <c r="N16" s="11"/>
      <c r="O16" s="11"/>
      <c r="P16" s="11"/>
      <c r="Q16" s="11">
        <v>1</v>
      </c>
      <c r="R16" s="5">
        <f>H16</f>
        <v>20</v>
      </c>
    </row>
    <row r="17" spans="1:18" x14ac:dyDescent="0.25">
      <c r="A17" s="11"/>
      <c r="B17" s="11" t="s">
        <v>27</v>
      </c>
      <c r="C17" s="11" t="s">
        <v>79</v>
      </c>
      <c r="D17" s="11" t="s">
        <v>80</v>
      </c>
      <c r="E17" s="11" t="s">
        <v>81</v>
      </c>
      <c r="F17" s="11" t="s">
        <v>68</v>
      </c>
      <c r="G17" s="12">
        <v>515</v>
      </c>
      <c r="H17" s="12">
        <v>25</v>
      </c>
      <c r="I17" s="12">
        <f t="shared" si="0"/>
        <v>490</v>
      </c>
      <c r="J17" s="11" t="s">
        <v>33</v>
      </c>
      <c r="K17" s="11" t="s">
        <v>33</v>
      </c>
      <c r="L17" s="11" t="s">
        <v>34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82</v>
      </c>
      <c r="D18" s="11" t="s">
        <v>83</v>
      </c>
      <c r="E18" s="11" t="s">
        <v>84</v>
      </c>
      <c r="F18" s="11" t="s">
        <v>68</v>
      </c>
      <c r="G18" s="12">
        <v>0</v>
      </c>
      <c r="H18" s="12">
        <v>25</v>
      </c>
      <c r="I18" s="12">
        <f t="shared" si="0"/>
        <v>-25</v>
      </c>
      <c r="J18" s="11" t="s">
        <v>33</v>
      </c>
      <c r="K18" s="11" t="s">
        <v>33</v>
      </c>
      <c r="L18" s="11" t="s">
        <v>34</v>
      </c>
      <c r="M18" s="11"/>
      <c r="N18" s="11"/>
      <c r="O18" s="11"/>
      <c r="P18" s="11"/>
      <c r="Q18" s="11">
        <v>1</v>
      </c>
      <c r="R18" s="5">
        <f>H18</f>
        <v>25</v>
      </c>
    </row>
    <row r="19" spans="1:18" x14ac:dyDescent="0.25">
      <c r="A19" s="11"/>
      <c r="B19" s="11" t="s">
        <v>27</v>
      </c>
      <c r="C19" s="11" t="s">
        <v>85</v>
      </c>
      <c r="D19" s="11" t="s">
        <v>86</v>
      </c>
      <c r="E19" s="11" t="s">
        <v>87</v>
      </c>
      <c r="F19" s="12">
        <v>9</v>
      </c>
      <c r="G19" s="12">
        <v>890</v>
      </c>
      <c r="H19" s="12">
        <v>30</v>
      </c>
      <c r="I19" s="12">
        <f t="shared" si="0"/>
        <v>860</v>
      </c>
      <c r="J19" s="11" t="s">
        <v>33</v>
      </c>
      <c r="K19" s="11" t="s">
        <v>33</v>
      </c>
      <c r="L19" s="11" t="s">
        <v>34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88</v>
      </c>
      <c r="D20" s="11" t="s">
        <v>89</v>
      </c>
      <c r="E20" s="11" t="s">
        <v>90</v>
      </c>
      <c r="F20" s="11" t="s">
        <v>68</v>
      </c>
      <c r="G20" s="12">
        <v>915</v>
      </c>
      <c r="H20" s="12">
        <v>25</v>
      </c>
      <c r="I20" s="12">
        <f t="shared" si="0"/>
        <v>890</v>
      </c>
      <c r="J20" s="11" t="s">
        <v>33</v>
      </c>
      <c r="K20" s="11" t="s">
        <v>33</v>
      </c>
      <c r="L20" s="11" t="s">
        <v>34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91</v>
      </c>
      <c r="D21" s="11" t="s">
        <v>92</v>
      </c>
      <c r="E21" s="11" t="s">
        <v>93</v>
      </c>
      <c r="F21" s="12">
        <v>12</v>
      </c>
      <c r="G21" s="12">
        <v>0</v>
      </c>
      <c r="H21" s="12">
        <v>30</v>
      </c>
      <c r="I21" s="12">
        <f t="shared" si="0"/>
        <v>-30</v>
      </c>
      <c r="J21" s="11" t="s">
        <v>33</v>
      </c>
      <c r="K21" s="11" t="s">
        <v>33</v>
      </c>
      <c r="L21" s="11" t="s">
        <v>34</v>
      </c>
      <c r="M21" s="11"/>
      <c r="N21" s="11"/>
      <c r="O21" s="11"/>
      <c r="P21" s="11"/>
      <c r="Q21" s="11">
        <v>1</v>
      </c>
      <c r="R21" s="5">
        <f>H21</f>
        <v>30</v>
      </c>
    </row>
    <row r="22" spans="1:18" x14ac:dyDescent="0.25">
      <c r="A22" s="11"/>
      <c r="B22" s="11" t="s">
        <v>27</v>
      </c>
      <c r="C22" s="11" t="s">
        <v>94</v>
      </c>
      <c r="D22" s="11" t="s">
        <v>95</v>
      </c>
      <c r="E22" s="11" t="s">
        <v>96</v>
      </c>
      <c r="F22" s="11" t="s">
        <v>78</v>
      </c>
      <c r="G22" s="12">
        <v>510</v>
      </c>
      <c r="H22" s="12">
        <v>20</v>
      </c>
      <c r="I22" s="12">
        <f t="shared" si="0"/>
        <v>490</v>
      </c>
      <c r="J22" s="11" t="s">
        <v>33</v>
      </c>
      <c r="K22" s="11" t="s">
        <v>33</v>
      </c>
      <c r="L22" s="11" t="s">
        <v>34</v>
      </c>
      <c r="M22" s="11"/>
      <c r="N22" s="11"/>
      <c r="O22" s="11"/>
      <c r="P22" s="11"/>
      <c r="Q22" s="11">
        <v>1</v>
      </c>
    </row>
    <row r="23" spans="1:18" s="15" customFormat="1" x14ac:dyDescent="0.25">
      <c r="A23" s="13"/>
      <c r="B23" s="13" t="s">
        <v>27</v>
      </c>
      <c r="C23" s="13" t="s">
        <v>97</v>
      </c>
      <c r="D23" s="13" t="s">
        <v>98</v>
      </c>
      <c r="E23" s="13" t="s">
        <v>99</v>
      </c>
      <c r="F23" s="14">
        <v>2</v>
      </c>
      <c r="G23" s="14">
        <v>30</v>
      </c>
      <c r="H23" s="14">
        <v>30</v>
      </c>
      <c r="I23" s="14">
        <f t="shared" si="0"/>
        <v>0</v>
      </c>
      <c r="J23" s="13" t="s">
        <v>33</v>
      </c>
      <c r="K23" s="13" t="s">
        <v>33</v>
      </c>
      <c r="L23" s="13" t="s">
        <v>34</v>
      </c>
      <c r="M23" s="13" t="s">
        <v>100</v>
      </c>
      <c r="N23" s="13"/>
      <c r="O23" s="13"/>
      <c r="P23" s="13"/>
      <c r="Q23" s="13">
        <v>1</v>
      </c>
    </row>
    <row r="24" spans="1:18" x14ac:dyDescent="0.25">
      <c r="A24" s="11"/>
      <c r="B24" s="11" t="s">
        <v>27</v>
      </c>
      <c r="C24" s="11" t="s">
        <v>101</v>
      </c>
      <c r="D24" s="11" t="s">
        <v>102</v>
      </c>
      <c r="E24" s="11" t="s">
        <v>103</v>
      </c>
      <c r="F24" s="11" t="s">
        <v>104</v>
      </c>
      <c r="G24" s="12">
        <v>920</v>
      </c>
      <c r="H24" s="12">
        <v>30</v>
      </c>
      <c r="I24" s="12">
        <f t="shared" si="0"/>
        <v>890</v>
      </c>
      <c r="J24" s="11" t="s">
        <v>33</v>
      </c>
      <c r="K24" s="11" t="s">
        <v>33</v>
      </c>
      <c r="L24" s="11" t="s">
        <v>34</v>
      </c>
      <c r="M24" s="11"/>
      <c r="N24" s="11"/>
      <c r="O24" s="11"/>
      <c r="P24" s="11"/>
      <c r="Q24" s="11">
        <v>1</v>
      </c>
    </row>
    <row r="25" spans="1:18" x14ac:dyDescent="0.25">
      <c r="A25" s="11" t="s">
        <v>59</v>
      </c>
      <c r="B25" s="11" t="s">
        <v>27</v>
      </c>
      <c r="C25" s="11" t="s">
        <v>105</v>
      </c>
      <c r="D25" s="11"/>
      <c r="E25" s="11" t="s">
        <v>106</v>
      </c>
      <c r="F25" s="11" t="s">
        <v>68</v>
      </c>
      <c r="G25" s="12">
        <v>2485</v>
      </c>
      <c r="H25" s="12">
        <v>35</v>
      </c>
      <c r="I25" s="12">
        <f t="shared" si="0"/>
        <v>2450</v>
      </c>
      <c r="J25" s="11" t="s">
        <v>33</v>
      </c>
      <c r="K25" s="11" t="s">
        <v>33</v>
      </c>
      <c r="L25" s="11" t="s">
        <v>34</v>
      </c>
      <c r="M25" s="11"/>
      <c r="N25" s="11"/>
      <c r="O25" s="11"/>
      <c r="P25" s="11"/>
      <c r="Q25" s="11">
        <v>1</v>
      </c>
    </row>
    <row r="26" spans="1:18" x14ac:dyDescent="0.25">
      <c r="A26" s="11" t="s">
        <v>59</v>
      </c>
      <c r="B26" s="11" t="s">
        <v>27</v>
      </c>
      <c r="C26" s="11" t="s">
        <v>107</v>
      </c>
      <c r="D26" s="11"/>
      <c r="E26" s="11" t="s">
        <v>108</v>
      </c>
      <c r="F26" s="11" t="s">
        <v>68</v>
      </c>
      <c r="G26" s="12">
        <v>3155</v>
      </c>
      <c r="H26" s="12">
        <v>35</v>
      </c>
      <c r="I26" s="12">
        <f t="shared" si="0"/>
        <v>3120</v>
      </c>
      <c r="J26" s="11" t="s">
        <v>33</v>
      </c>
      <c r="K26" s="11" t="s">
        <v>33</v>
      </c>
      <c r="L26" s="11" t="s">
        <v>34</v>
      </c>
      <c r="M26" s="11"/>
      <c r="N26" s="11"/>
      <c r="O26" s="11"/>
      <c r="P26" s="11"/>
      <c r="Q26" s="11">
        <v>1</v>
      </c>
    </row>
    <row r="27" spans="1:18" x14ac:dyDescent="0.25">
      <c r="A27" s="11" t="s">
        <v>59</v>
      </c>
      <c r="B27" s="11" t="s">
        <v>27</v>
      </c>
      <c r="C27" s="11" t="s">
        <v>109</v>
      </c>
      <c r="D27" s="11"/>
      <c r="E27" s="11" t="s">
        <v>110</v>
      </c>
      <c r="F27" s="11" t="s">
        <v>68</v>
      </c>
      <c r="G27" s="12">
        <v>35</v>
      </c>
      <c r="H27" s="12">
        <v>35</v>
      </c>
      <c r="I27" s="12">
        <f t="shared" si="0"/>
        <v>0</v>
      </c>
      <c r="J27" s="11" t="s">
        <v>33</v>
      </c>
      <c r="K27" s="11" t="s">
        <v>33</v>
      </c>
      <c r="L27" s="11" t="s">
        <v>34</v>
      </c>
      <c r="M27" s="11"/>
      <c r="N27" s="11"/>
      <c r="O27" s="11"/>
      <c r="P27" s="11"/>
      <c r="Q27" s="11">
        <v>1</v>
      </c>
    </row>
    <row r="28" spans="1:18" x14ac:dyDescent="0.25">
      <c r="A28" s="11" t="s">
        <v>59</v>
      </c>
      <c r="B28" s="11" t="s">
        <v>27</v>
      </c>
      <c r="C28" s="11" t="s">
        <v>111</v>
      </c>
      <c r="D28" s="11"/>
      <c r="E28" s="11" t="s">
        <v>112</v>
      </c>
      <c r="F28" s="11" t="s">
        <v>78</v>
      </c>
      <c r="G28" s="12">
        <v>30</v>
      </c>
      <c r="H28" s="12">
        <v>30</v>
      </c>
      <c r="I28" s="12">
        <f t="shared" si="0"/>
        <v>0</v>
      </c>
      <c r="J28" s="11" t="s">
        <v>33</v>
      </c>
      <c r="K28" s="11" t="s">
        <v>33</v>
      </c>
      <c r="L28" s="11" t="s">
        <v>34</v>
      </c>
      <c r="M28" s="11"/>
      <c r="N28" s="11"/>
      <c r="O28" s="11"/>
      <c r="P28" s="11"/>
      <c r="Q28" s="11">
        <v>1</v>
      </c>
    </row>
    <row r="29" spans="1:18" x14ac:dyDescent="0.25">
      <c r="A29" s="11" t="s">
        <v>59</v>
      </c>
      <c r="B29" s="11" t="s">
        <v>27</v>
      </c>
      <c r="C29" s="11" t="s">
        <v>113</v>
      </c>
      <c r="D29" s="11"/>
      <c r="E29" s="11" t="s">
        <v>114</v>
      </c>
      <c r="F29" s="11" t="s">
        <v>68</v>
      </c>
      <c r="G29" s="12">
        <v>30</v>
      </c>
      <c r="H29" s="12">
        <v>30</v>
      </c>
      <c r="I29" s="12">
        <f t="shared" si="0"/>
        <v>0</v>
      </c>
      <c r="J29" s="11" t="s">
        <v>33</v>
      </c>
      <c r="K29" s="11" t="s">
        <v>33</v>
      </c>
      <c r="L29" s="11" t="s">
        <v>34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115</v>
      </c>
      <c r="D30" s="11" t="s">
        <v>116</v>
      </c>
      <c r="E30" s="11" t="s">
        <v>117</v>
      </c>
      <c r="F30" s="11" t="s">
        <v>118</v>
      </c>
      <c r="G30" s="12">
        <v>1735</v>
      </c>
      <c r="H30" s="12">
        <v>25</v>
      </c>
      <c r="I30" s="12">
        <f t="shared" si="0"/>
        <v>1710</v>
      </c>
      <c r="J30" s="11" t="s">
        <v>119</v>
      </c>
      <c r="K30" s="11" t="s">
        <v>33</v>
      </c>
      <c r="L30" s="11" t="s">
        <v>34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120</v>
      </c>
      <c r="D31" s="11" t="s">
        <v>121</v>
      </c>
      <c r="E31" s="11" t="s">
        <v>122</v>
      </c>
      <c r="F31" s="12">
        <v>5</v>
      </c>
      <c r="G31" s="12">
        <v>0</v>
      </c>
      <c r="H31" s="12">
        <v>25</v>
      </c>
      <c r="I31" s="12">
        <f t="shared" si="0"/>
        <v>-25</v>
      </c>
      <c r="J31" s="11" t="s">
        <v>119</v>
      </c>
      <c r="K31" s="11" t="s">
        <v>33</v>
      </c>
      <c r="L31" s="11" t="s">
        <v>34</v>
      </c>
      <c r="M31" s="11"/>
      <c r="N31" s="11"/>
      <c r="O31" s="11"/>
      <c r="P31" s="11"/>
      <c r="Q31" s="11">
        <v>1</v>
      </c>
      <c r="R31" s="5">
        <f>H31</f>
        <v>25</v>
      </c>
    </row>
    <row r="32" spans="1:18" x14ac:dyDescent="0.25">
      <c r="A32" s="11"/>
      <c r="B32" s="11" t="s">
        <v>27</v>
      </c>
      <c r="C32" s="11" t="s">
        <v>123</v>
      </c>
      <c r="D32" s="11" t="s">
        <v>124</v>
      </c>
      <c r="E32" s="11" t="s">
        <v>125</v>
      </c>
      <c r="F32" s="11" t="s">
        <v>44</v>
      </c>
      <c r="G32" s="12">
        <v>1835</v>
      </c>
      <c r="H32" s="12">
        <v>25</v>
      </c>
      <c r="I32" s="12">
        <f t="shared" si="0"/>
        <v>1810</v>
      </c>
      <c r="J32" s="11" t="s">
        <v>119</v>
      </c>
      <c r="K32" s="11" t="s">
        <v>33</v>
      </c>
      <c r="L32" s="11" t="s">
        <v>34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126</v>
      </c>
      <c r="D33" s="11" t="s">
        <v>127</v>
      </c>
      <c r="E33" s="11" t="s">
        <v>128</v>
      </c>
      <c r="F33" s="12">
        <v>1</v>
      </c>
      <c r="G33" s="12">
        <v>495</v>
      </c>
      <c r="H33" s="12">
        <v>25</v>
      </c>
      <c r="I33" s="12">
        <f t="shared" si="0"/>
        <v>470</v>
      </c>
      <c r="J33" s="11" t="s">
        <v>119</v>
      </c>
      <c r="K33" s="11" t="s">
        <v>33</v>
      </c>
      <c r="L33" s="11" t="s">
        <v>34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129</v>
      </c>
      <c r="D34" s="11" t="s">
        <v>130</v>
      </c>
      <c r="E34" s="11" t="s">
        <v>131</v>
      </c>
      <c r="F34" s="12">
        <v>7</v>
      </c>
      <c r="G34" s="12">
        <v>720</v>
      </c>
      <c r="H34" s="12">
        <v>30</v>
      </c>
      <c r="I34" s="12">
        <f t="shared" si="0"/>
        <v>690</v>
      </c>
      <c r="J34" s="11" t="s">
        <v>119</v>
      </c>
      <c r="K34" s="11" t="s">
        <v>33</v>
      </c>
      <c r="L34" s="11" t="s">
        <v>34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132</v>
      </c>
      <c r="D35" s="11" t="s">
        <v>133</v>
      </c>
      <c r="E35" s="11" t="s">
        <v>134</v>
      </c>
      <c r="F35" s="12">
        <v>8</v>
      </c>
      <c r="G35" s="12">
        <v>940</v>
      </c>
      <c r="H35" s="12">
        <v>30</v>
      </c>
      <c r="I35" s="12">
        <f t="shared" si="0"/>
        <v>910</v>
      </c>
      <c r="J35" s="11" t="s">
        <v>119</v>
      </c>
      <c r="K35" s="11" t="s">
        <v>33</v>
      </c>
      <c r="L35" s="11" t="s">
        <v>34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135</v>
      </c>
      <c r="D36" s="11" t="s">
        <v>136</v>
      </c>
      <c r="E36" s="11" t="s">
        <v>137</v>
      </c>
      <c r="F36" s="12">
        <v>10</v>
      </c>
      <c r="G36" s="12">
        <v>715</v>
      </c>
      <c r="H36" s="12">
        <v>25</v>
      </c>
      <c r="I36" s="12">
        <f t="shared" si="0"/>
        <v>690</v>
      </c>
      <c r="J36" s="11" t="s">
        <v>119</v>
      </c>
      <c r="K36" s="11" t="s">
        <v>33</v>
      </c>
      <c r="L36" s="11" t="s">
        <v>34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138</v>
      </c>
      <c r="D37" s="11" t="s">
        <v>139</v>
      </c>
      <c r="E37" s="11" t="s">
        <v>140</v>
      </c>
      <c r="F37" s="12">
        <v>4</v>
      </c>
      <c r="G37" s="12">
        <v>1825</v>
      </c>
      <c r="H37" s="12">
        <v>25</v>
      </c>
      <c r="I37" s="12">
        <f t="shared" si="0"/>
        <v>1800</v>
      </c>
      <c r="J37" s="11" t="s">
        <v>119</v>
      </c>
      <c r="K37" s="11" t="s">
        <v>33</v>
      </c>
      <c r="L37" s="11" t="s">
        <v>34</v>
      </c>
      <c r="M37" s="11"/>
      <c r="N37" s="11"/>
      <c r="O37" s="11"/>
      <c r="P37" s="11"/>
      <c r="Q37" s="11">
        <v>1</v>
      </c>
    </row>
    <row r="38" spans="1:18" s="15" customFormat="1" x14ac:dyDescent="0.25">
      <c r="A38" s="13"/>
      <c r="B38" s="13" t="s">
        <v>27</v>
      </c>
      <c r="C38" s="13" t="s">
        <v>141</v>
      </c>
      <c r="D38" s="13" t="s">
        <v>142</v>
      </c>
      <c r="E38" s="13" t="s">
        <v>143</v>
      </c>
      <c r="F38" s="14">
        <v>10</v>
      </c>
      <c r="G38" s="14">
        <v>25</v>
      </c>
      <c r="H38" s="14">
        <v>25</v>
      </c>
      <c r="I38" s="14">
        <f t="shared" si="0"/>
        <v>0</v>
      </c>
      <c r="J38" s="13" t="s">
        <v>119</v>
      </c>
      <c r="K38" s="13" t="s">
        <v>33</v>
      </c>
      <c r="L38" s="13" t="s">
        <v>34</v>
      </c>
      <c r="M38" s="13" t="s">
        <v>100</v>
      </c>
      <c r="N38" s="13"/>
      <c r="O38" s="13"/>
      <c r="P38" s="13"/>
      <c r="Q38" s="13">
        <v>1</v>
      </c>
    </row>
    <row r="39" spans="1:18" x14ac:dyDescent="0.25">
      <c r="A39" s="11"/>
      <c r="B39" s="11" t="s">
        <v>27</v>
      </c>
      <c r="C39" s="11" t="s">
        <v>144</v>
      </c>
      <c r="D39" s="11" t="s">
        <v>145</v>
      </c>
      <c r="E39" s="11" t="s">
        <v>146</v>
      </c>
      <c r="F39" s="12">
        <v>10</v>
      </c>
      <c r="G39" s="12">
        <v>795</v>
      </c>
      <c r="H39" s="12">
        <v>25</v>
      </c>
      <c r="I39" s="12">
        <f t="shared" si="0"/>
        <v>770</v>
      </c>
      <c r="J39" s="11" t="s">
        <v>119</v>
      </c>
      <c r="K39" s="11" t="s">
        <v>33</v>
      </c>
      <c r="L39" s="11" t="s">
        <v>34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147</v>
      </c>
      <c r="D40" s="11" t="s">
        <v>148</v>
      </c>
      <c r="E40" s="11" t="s">
        <v>149</v>
      </c>
      <c r="F40" s="11" t="s">
        <v>44</v>
      </c>
      <c r="G40" s="12">
        <v>0</v>
      </c>
      <c r="H40" s="12">
        <v>25</v>
      </c>
      <c r="I40" s="12">
        <f t="shared" si="0"/>
        <v>-25</v>
      </c>
      <c r="J40" s="11" t="s">
        <v>119</v>
      </c>
      <c r="K40" s="11" t="s">
        <v>33</v>
      </c>
      <c r="L40" s="11" t="s">
        <v>34</v>
      </c>
      <c r="M40" s="11"/>
      <c r="N40" s="11"/>
      <c r="O40" s="11"/>
      <c r="P40" s="11"/>
      <c r="Q40" s="11">
        <v>1</v>
      </c>
      <c r="R40" s="5">
        <f>H40</f>
        <v>25</v>
      </c>
    </row>
    <row r="41" spans="1:18" s="2" customFormat="1" x14ac:dyDescent="0.25">
      <c r="A41" s="16"/>
      <c r="B41" s="16" t="s">
        <v>27</v>
      </c>
      <c r="C41" s="16" t="s">
        <v>150</v>
      </c>
      <c r="D41" s="16" t="s">
        <v>151</v>
      </c>
      <c r="E41" s="16" t="s">
        <v>152</v>
      </c>
      <c r="F41" s="17">
        <v>1</v>
      </c>
      <c r="G41" s="17">
        <v>935</v>
      </c>
      <c r="H41" s="17">
        <v>25</v>
      </c>
      <c r="I41" s="17">
        <f t="shared" si="0"/>
        <v>910</v>
      </c>
      <c r="J41" s="16" t="s">
        <v>153</v>
      </c>
      <c r="K41" s="16" t="s">
        <v>33</v>
      </c>
      <c r="L41" s="16" t="s">
        <v>154</v>
      </c>
      <c r="M41" s="16" t="s">
        <v>155</v>
      </c>
      <c r="N41" s="16" t="s">
        <v>156</v>
      </c>
      <c r="O41" s="16" t="s">
        <v>156</v>
      </c>
      <c r="P41" s="16" t="s">
        <v>157</v>
      </c>
      <c r="Q41" s="17">
        <v>1</v>
      </c>
    </row>
    <row r="43" spans="1:18" x14ac:dyDescent="0.25">
      <c r="D43" s="1">
        <f>COUNTA(D3:D41)</f>
        <v>33</v>
      </c>
      <c r="G43" s="1">
        <f t="shared" ref="G43:Q43" si="1">SUBTOTAL(9,G3:G41)</f>
        <v>29320</v>
      </c>
      <c r="H43" s="1">
        <f t="shared" si="1"/>
        <v>1085</v>
      </c>
      <c r="I43" s="1">
        <f t="shared" si="1"/>
        <v>28235</v>
      </c>
      <c r="J43" s="1">
        <f t="shared" si="1"/>
        <v>0</v>
      </c>
      <c r="K43" s="1">
        <f t="shared" si="1"/>
        <v>0</v>
      </c>
      <c r="L43" s="1">
        <f t="shared" si="1"/>
        <v>0</v>
      </c>
      <c r="M43" s="1">
        <f t="shared" si="1"/>
        <v>0</v>
      </c>
      <c r="N43" s="1">
        <f t="shared" si="1"/>
        <v>0</v>
      </c>
      <c r="O43" s="1">
        <f t="shared" si="1"/>
        <v>0</v>
      </c>
      <c r="P43" s="1">
        <f t="shared" si="1"/>
        <v>0</v>
      </c>
      <c r="Q43" s="1">
        <f t="shared" si="1"/>
        <v>39</v>
      </c>
    </row>
    <row r="44" spans="1:18" x14ac:dyDescent="0.25">
      <c r="H44">
        <f>-6*17</f>
        <v>-102</v>
      </c>
    </row>
    <row r="45" spans="1:18" x14ac:dyDescent="0.25">
      <c r="A45" s="1" t="s">
        <v>27</v>
      </c>
      <c r="C45" s="60" t="s">
        <v>158</v>
      </c>
      <c r="D45" s="60"/>
      <c r="E45" s="4" t="s">
        <v>159</v>
      </c>
      <c r="H45">
        <f>-2*25</f>
        <v>-50</v>
      </c>
      <c r="K45" s="6" t="s">
        <v>32</v>
      </c>
      <c r="L45" s="6" t="s">
        <v>160</v>
      </c>
      <c r="M45" s="6" t="s">
        <v>159</v>
      </c>
      <c r="O45" s="4" t="s">
        <v>161</v>
      </c>
    </row>
    <row r="46" spans="1:18" x14ac:dyDescent="0.25">
      <c r="A46" t="s">
        <v>34</v>
      </c>
      <c r="B46" s="3" t="s">
        <v>162</v>
      </c>
      <c r="C46" s="61">
        <f>SUMIFS(I$3:I$41,B$3:B$41,A$45,L$3:L$41,A$46)</f>
        <v>27325</v>
      </c>
      <c r="D46" s="61"/>
      <c r="E46" s="3">
        <f>SUMIFS(Q$3:Q$41,B$3:B$41,A$45,L$3:L$41,A$46)</f>
        <v>38</v>
      </c>
      <c r="F46" t="s">
        <v>163</v>
      </c>
      <c r="H46">
        <f>-1*30</f>
        <v>-30</v>
      </c>
      <c r="K46" t="s">
        <v>164</v>
      </c>
      <c r="L46">
        <f>SUMIFS(G$3:G$41,J$3:J$41,K$45)</f>
        <v>5845</v>
      </c>
      <c r="M46">
        <f>SUMIFS(Q$3:Q$41,J$3:J$41,K$45)-INT(COUNTIFS(J$3:J$41,K$45,M$3:M$41,"*gộp*")/2)</f>
        <v>9</v>
      </c>
      <c r="O46" t="s">
        <v>165</v>
      </c>
      <c r="P46">
        <f>L51</f>
        <v>5663</v>
      </c>
    </row>
    <row r="47" spans="1:18" x14ac:dyDescent="0.25">
      <c r="B47" s="2" t="s">
        <v>166</v>
      </c>
      <c r="C47" s="62">
        <v>0</v>
      </c>
      <c r="D47" s="62"/>
      <c r="K47" t="s">
        <v>167</v>
      </c>
      <c r="L47">
        <f>SUM(H44:H46)</f>
        <v>-182</v>
      </c>
      <c r="M47">
        <f>SUMIFS(Q$3:Q$41,J$3:J$41,K$45)-INT(COUNTIFS(J$3:J$41,K$45,M$3:M$41,"*gộp*")/2)</f>
        <v>9</v>
      </c>
      <c r="O47" t="s">
        <v>33</v>
      </c>
      <c r="P47">
        <f>L59</f>
        <v>12961</v>
      </c>
    </row>
    <row r="48" spans="1:18" x14ac:dyDescent="0.25">
      <c r="B48" s="2" t="s">
        <v>168</v>
      </c>
      <c r="C48" s="62">
        <f>-SUMIFS(I$3:I$41,B$3:B$41,A$45,P$3:P$41,"xx",N$3:N$41,"x")</f>
        <v>-910</v>
      </c>
      <c r="D48" s="62"/>
      <c r="E48" s="2">
        <f>SUMIFS(Q$3:Q$41,B$3:B$41,A$45,P$3:P$41,"xx",N$3:N$41,"x")</f>
        <v>1</v>
      </c>
      <c r="K48" t="s">
        <v>169</v>
      </c>
      <c r="O48" t="s">
        <v>119</v>
      </c>
      <c r="P48">
        <f>L67</f>
        <v>7940</v>
      </c>
    </row>
    <row r="49" spans="2:16" x14ac:dyDescent="0.25">
      <c r="B49" s="4" t="s">
        <v>170</v>
      </c>
      <c r="C49" s="60">
        <f>SUBTOTAL(9,C46:C48)</f>
        <v>26415</v>
      </c>
      <c r="D49" s="60"/>
      <c r="E49">
        <f>E46</f>
        <v>38</v>
      </c>
      <c r="K49" s="7" t="s">
        <v>155</v>
      </c>
      <c r="O49" t="s">
        <v>171</v>
      </c>
      <c r="P49">
        <f>-C53</f>
        <v>-26415</v>
      </c>
    </row>
    <row r="50" spans="2:16" x14ac:dyDescent="0.25">
      <c r="B50" s="2" t="s">
        <v>172</v>
      </c>
      <c r="C50" s="58"/>
      <c r="D50" s="58"/>
      <c r="K50" s="2" t="s">
        <v>173</v>
      </c>
      <c r="O50" s="4" t="s">
        <v>174</v>
      </c>
      <c r="P50" s="4">
        <f>SUBTOTAL(9,P46:P49)</f>
        <v>149</v>
      </c>
    </row>
    <row r="51" spans="2:16" x14ac:dyDescent="0.25">
      <c r="B51" s="8" t="s">
        <v>175</v>
      </c>
      <c r="C51" s="58"/>
      <c r="D51" s="58"/>
      <c r="L51" s="9">
        <f>SUBTOTAL(9,L46:L50)</f>
        <v>5663</v>
      </c>
      <c r="M51" s="9">
        <f>M46</f>
        <v>9</v>
      </c>
    </row>
    <row r="53" spans="2:16" x14ac:dyDescent="0.25">
      <c r="B53" s="1" t="s">
        <v>176</v>
      </c>
      <c r="C53" s="59">
        <f>C49+C50+C51</f>
        <v>26415</v>
      </c>
      <c r="D53" s="59"/>
      <c r="E53" s="1" t="s">
        <v>177</v>
      </c>
      <c r="K53" s="6" t="s">
        <v>33</v>
      </c>
      <c r="L53" s="6" t="s">
        <v>160</v>
      </c>
      <c r="M53" s="6" t="s">
        <v>159</v>
      </c>
    </row>
    <row r="54" spans="2:16" x14ac:dyDescent="0.25">
      <c r="K54" t="s">
        <v>164</v>
      </c>
      <c r="L54">
        <f>SUMIFS(G$3:G$41,J$3:J$41,K$53)</f>
        <v>13455</v>
      </c>
      <c r="M54">
        <f>SUMIFS(Q$3:Q$41,J$3:J$41,K$53)-INT(COUNTIFS(J$3:J$41,K$53,M$3:M$41,"*gộp*")/2)</f>
        <v>18</v>
      </c>
    </row>
    <row r="55" spans="2:16" x14ac:dyDescent="0.25">
      <c r="K55" t="s">
        <v>167</v>
      </c>
      <c r="L55">
        <f>-SUMIFS(H$3:H$41,J$3:J$41,K$53)+M55*5</f>
        <v>-420</v>
      </c>
      <c r="M55">
        <f>SUMIFS(Q$3:Q$41,J$3:J$41,K$53)-INT(COUNTIFS(J$3:J$41,K$53,M$3:M$41,"*gộp*")/2)</f>
        <v>18</v>
      </c>
    </row>
    <row r="56" spans="2:16" x14ac:dyDescent="0.25">
      <c r="K56" t="s">
        <v>169</v>
      </c>
      <c r="L56">
        <f>-M56*2</f>
        <v>-74</v>
      </c>
      <c r="M56">
        <f>E49-(COUNTIFS(M$3:M$41,"*gộp*")/2)-COUNTIFS(M$3:M$41,"*đơn trả*")-COUNTIFS(M$3:M$41,"*hàng tỉnh*")</f>
        <v>37</v>
      </c>
    </row>
    <row r="57" spans="2:16" x14ac:dyDescent="0.25">
      <c r="K57" s="7" t="s">
        <v>155</v>
      </c>
    </row>
    <row r="58" spans="2:16" x14ac:dyDescent="0.25">
      <c r="K58" s="2" t="s">
        <v>173</v>
      </c>
    </row>
    <row r="59" spans="2:16" x14ac:dyDescent="0.25">
      <c r="L59" s="9">
        <f>SUBTOTAL(9,L54:L58)</f>
        <v>12961</v>
      </c>
      <c r="M59" s="9">
        <f>M54</f>
        <v>18</v>
      </c>
    </row>
    <row r="61" spans="2:16" x14ac:dyDescent="0.25">
      <c r="K61" s="6" t="s">
        <v>119</v>
      </c>
      <c r="L61" s="6" t="s">
        <v>160</v>
      </c>
      <c r="M61" s="6" t="s">
        <v>159</v>
      </c>
    </row>
    <row r="62" spans="2:16" x14ac:dyDescent="0.25">
      <c r="K62" t="s">
        <v>164</v>
      </c>
      <c r="L62">
        <f>SUMIFS(G$3:G$41,J$3:J$41,K$61)</f>
        <v>9085</v>
      </c>
      <c r="M62">
        <f>SUMIFS(Q$3:Q$41,J$3:J$41,K$61)-INT(COUNTIFS(J$3:J$41,K$61,M$3:M$41,"*gộp*")/2)</f>
        <v>11</v>
      </c>
    </row>
    <row r="63" spans="2:16" x14ac:dyDescent="0.25">
      <c r="K63" t="s">
        <v>167</v>
      </c>
      <c r="L63">
        <f>-SUMIFS(H$3:H$41,J$3:J$41,K$61)+M63*5</f>
        <v>-230</v>
      </c>
      <c r="M63">
        <f>SUMIFS(Q$3:Q$41,J$3:J$41,K$61)-INT(COUNTIFS(J$3:J$41,K$61,M$3:M$41,"*gộp*")/2)</f>
        <v>11</v>
      </c>
    </row>
    <row r="64" spans="2:16" x14ac:dyDescent="0.25">
      <c r="K64" t="s">
        <v>169</v>
      </c>
    </row>
    <row r="65" spans="11:13" x14ac:dyDescent="0.25">
      <c r="K65" s="7" t="s">
        <v>155</v>
      </c>
      <c r="L65" s="18">
        <v>-915</v>
      </c>
      <c r="M65" s="18" t="s">
        <v>178</v>
      </c>
    </row>
    <row r="66" spans="11:13" x14ac:dyDescent="0.25">
      <c r="K66" s="2" t="s">
        <v>173</v>
      </c>
    </row>
    <row r="67" spans="11:13" x14ac:dyDescent="0.25">
      <c r="L67" s="9">
        <f>SUBTOTAL(9,L62:L66)</f>
        <v>7940</v>
      </c>
      <c r="M67" s="9">
        <f>M62</f>
        <v>11</v>
      </c>
    </row>
  </sheetData>
  <autoFilter ref="A2:P41" xr:uid="{00000000-0009-0000-0000-000001000000}">
    <sortState xmlns:xlrd2="http://schemas.microsoft.com/office/spreadsheetml/2017/richdata2" ref="A3:P41">
      <sortCondition ref="J2:J41"/>
    </sortState>
  </autoFilter>
  <mergeCells count="8">
    <mergeCell ref="C50:D50"/>
    <mergeCell ref="C51:D51"/>
    <mergeCell ref="C53:D53"/>
    <mergeCell ref="C45:D45"/>
    <mergeCell ref="C46:D46"/>
    <mergeCell ref="C47:D47"/>
    <mergeCell ref="C48:D48"/>
    <mergeCell ref="C49:D49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74"/>
  <sheetViews>
    <sheetView topLeftCell="A46" workbookViewId="0">
      <selection activeCell="A34" sqref="A34"/>
    </sheetView>
  </sheetViews>
  <sheetFormatPr defaultRowHeight="15" x14ac:dyDescent="0.25"/>
  <cols>
    <col min="1" max="1" width="12.7109375" customWidth="1"/>
    <col min="2" max="2" width="9" customWidth="1"/>
    <col min="3" max="3" width="26.5703125" customWidth="1"/>
    <col min="4" max="4" width="9.85546875" customWidth="1"/>
    <col min="5" max="5" width="62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2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26</v>
      </c>
    </row>
    <row r="3" spans="1:18" x14ac:dyDescent="0.25">
      <c r="A3" s="11"/>
      <c r="B3" s="11" t="s">
        <v>27</v>
      </c>
      <c r="C3" s="11" t="s">
        <v>179</v>
      </c>
      <c r="D3" s="11" t="s">
        <v>180</v>
      </c>
      <c r="E3" s="11" t="s">
        <v>181</v>
      </c>
      <c r="F3" s="12">
        <v>7</v>
      </c>
      <c r="G3" s="12">
        <v>850</v>
      </c>
      <c r="H3" s="12">
        <v>30</v>
      </c>
      <c r="I3" s="12">
        <f t="shared" ref="I3:I48" si="0">G3-H3</f>
        <v>820</v>
      </c>
      <c r="J3" s="11" t="s">
        <v>182</v>
      </c>
      <c r="K3" s="11" t="s">
        <v>33</v>
      </c>
      <c r="L3" s="11" t="s">
        <v>183</v>
      </c>
      <c r="M3" s="11"/>
      <c r="N3" s="11"/>
      <c r="O3" s="11"/>
      <c r="P3" s="11"/>
      <c r="Q3" s="11">
        <v>1</v>
      </c>
    </row>
    <row r="4" spans="1:18" s="15" customFormat="1" x14ac:dyDescent="0.25">
      <c r="A4" s="13"/>
      <c r="B4" s="13" t="s">
        <v>27</v>
      </c>
      <c r="C4" s="13" t="s">
        <v>184</v>
      </c>
      <c r="D4" s="13" t="s">
        <v>185</v>
      </c>
      <c r="E4" s="13" t="s">
        <v>186</v>
      </c>
      <c r="F4" s="13" t="s">
        <v>31</v>
      </c>
      <c r="G4" s="14">
        <v>105</v>
      </c>
      <c r="H4" s="14">
        <v>25</v>
      </c>
      <c r="I4" s="14">
        <f t="shared" si="0"/>
        <v>80</v>
      </c>
      <c r="J4" s="13" t="s">
        <v>182</v>
      </c>
      <c r="K4" s="13" t="s">
        <v>33</v>
      </c>
      <c r="L4" s="13" t="s">
        <v>183</v>
      </c>
      <c r="M4" s="13" t="s">
        <v>100</v>
      </c>
      <c r="N4" s="13"/>
      <c r="O4" s="13"/>
      <c r="P4" s="13"/>
      <c r="Q4" s="13">
        <v>1</v>
      </c>
    </row>
    <row r="5" spans="1:18" x14ac:dyDescent="0.25">
      <c r="A5" s="11"/>
      <c r="B5" s="11" t="s">
        <v>27</v>
      </c>
      <c r="C5" s="11" t="s">
        <v>187</v>
      </c>
      <c r="D5" s="11" t="s">
        <v>188</v>
      </c>
      <c r="E5" s="11" t="s">
        <v>189</v>
      </c>
      <c r="F5" s="11" t="s">
        <v>48</v>
      </c>
      <c r="G5" s="12">
        <v>0</v>
      </c>
      <c r="H5" s="12">
        <v>30</v>
      </c>
      <c r="I5" s="12">
        <f t="shared" si="0"/>
        <v>-30</v>
      </c>
      <c r="J5" s="11" t="s">
        <v>182</v>
      </c>
      <c r="K5" s="11" t="s">
        <v>33</v>
      </c>
      <c r="L5" s="11" t="s">
        <v>183</v>
      </c>
      <c r="M5" s="11"/>
      <c r="N5" s="11"/>
      <c r="O5" s="11"/>
      <c r="P5" s="11"/>
      <c r="Q5" s="11">
        <v>1</v>
      </c>
      <c r="R5" s="5">
        <f>H5</f>
        <v>30</v>
      </c>
    </row>
    <row r="6" spans="1:18" x14ac:dyDescent="0.25">
      <c r="A6" s="11"/>
      <c r="B6" s="11" t="s">
        <v>27</v>
      </c>
      <c r="C6" s="11" t="s">
        <v>190</v>
      </c>
      <c r="D6" s="11" t="s">
        <v>191</v>
      </c>
      <c r="E6" s="11" t="s">
        <v>192</v>
      </c>
      <c r="F6" s="12">
        <v>7</v>
      </c>
      <c r="G6" s="12">
        <v>1830</v>
      </c>
      <c r="H6" s="12">
        <v>30</v>
      </c>
      <c r="I6" s="12">
        <f t="shared" si="0"/>
        <v>1800</v>
      </c>
      <c r="J6" s="11" t="s">
        <v>182</v>
      </c>
      <c r="K6" s="11" t="s">
        <v>33</v>
      </c>
      <c r="L6" s="11" t="s">
        <v>183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193</v>
      </c>
      <c r="D7" s="11" t="s">
        <v>194</v>
      </c>
      <c r="E7" s="11" t="s">
        <v>195</v>
      </c>
      <c r="F7" s="12">
        <v>7</v>
      </c>
      <c r="G7" s="12">
        <v>0</v>
      </c>
      <c r="H7" s="12">
        <v>30</v>
      </c>
      <c r="I7" s="12">
        <f t="shared" si="0"/>
        <v>-30</v>
      </c>
      <c r="J7" s="11" t="s">
        <v>182</v>
      </c>
      <c r="K7" s="11" t="s">
        <v>33</v>
      </c>
      <c r="L7" s="11" t="s">
        <v>183</v>
      </c>
      <c r="M7" s="11"/>
      <c r="N7" s="11"/>
      <c r="O7" s="11"/>
      <c r="P7" s="11"/>
      <c r="Q7" s="11">
        <v>1</v>
      </c>
      <c r="R7" s="5">
        <f>H7</f>
        <v>30</v>
      </c>
    </row>
    <row r="8" spans="1:18" x14ac:dyDescent="0.25">
      <c r="A8" s="11"/>
      <c r="B8" s="11" t="s">
        <v>27</v>
      </c>
      <c r="C8" s="11" t="s">
        <v>196</v>
      </c>
      <c r="D8" s="11" t="s">
        <v>197</v>
      </c>
      <c r="E8" s="11" t="s">
        <v>198</v>
      </c>
      <c r="F8" s="12">
        <v>6</v>
      </c>
      <c r="G8" s="12">
        <v>715</v>
      </c>
      <c r="H8" s="12">
        <v>25</v>
      </c>
      <c r="I8" s="12">
        <f t="shared" si="0"/>
        <v>690</v>
      </c>
      <c r="J8" s="11" t="s">
        <v>182</v>
      </c>
      <c r="K8" s="11" t="s">
        <v>33</v>
      </c>
      <c r="L8" s="11" t="s">
        <v>183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199</v>
      </c>
      <c r="D9" s="11" t="s">
        <v>200</v>
      </c>
      <c r="E9" s="11" t="s">
        <v>201</v>
      </c>
      <c r="F9" s="11" t="s">
        <v>202</v>
      </c>
      <c r="G9" s="12">
        <v>945</v>
      </c>
      <c r="H9" s="12">
        <v>35</v>
      </c>
      <c r="I9" s="12">
        <f t="shared" si="0"/>
        <v>910</v>
      </c>
      <c r="J9" s="11" t="s">
        <v>182</v>
      </c>
      <c r="K9" s="11" t="s">
        <v>33</v>
      </c>
      <c r="L9" s="11" t="s">
        <v>183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203</v>
      </c>
      <c r="D10" s="11" t="s">
        <v>204</v>
      </c>
      <c r="E10" s="11" t="s">
        <v>205</v>
      </c>
      <c r="F10" s="12">
        <v>7</v>
      </c>
      <c r="G10" s="12">
        <v>940</v>
      </c>
      <c r="H10" s="12">
        <v>30</v>
      </c>
      <c r="I10" s="12">
        <f t="shared" si="0"/>
        <v>910</v>
      </c>
      <c r="J10" s="11" t="s">
        <v>182</v>
      </c>
      <c r="K10" s="11" t="s">
        <v>33</v>
      </c>
      <c r="L10" s="11" t="s">
        <v>183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206</v>
      </c>
      <c r="D11" s="11" t="s">
        <v>207</v>
      </c>
      <c r="E11" s="11" t="s">
        <v>208</v>
      </c>
      <c r="F11" s="11" t="s">
        <v>55</v>
      </c>
      <c r="G11" s="12">
        <v>815</v>
      </c>
      <c r="H11" s="12">
        <v>35</v>
      </c>
      <c r="I11" s="12">
        <f t="shared" si="0"/>
        <v>780</v>
      </c>
      <c r="J11" s="11" t="s">
        <v>182</v>
      </c>
      <c r="K11" s="11" t="s">
        <v>33</v>
      </c>
      <c r="L11" s="11" t="s">
        <v>183</v>
      </c>
      <c r="M11" s="11"/>
      <c r="N11" s="11"/>
      <c r="O11" s="11"/>
      <c r="P11" s="11"/>
      <c r="Q11" s="11">
        <v>1</v>
      </c>
    </row>
    <row r="12" spans="1:18" x14ac:dyDescent="0.25">
      <c r="A12" s="11" t="s">
        <v>59</v>
      </c>
      <c r="B12" s="11" t="s">
        <v>27</v>
      </c>
      <c r="C12" s="11" t="s">
        <v>209</v>
      </c>
      <c r="D12" s="11"/>
      <c r="E12" s="11" t="s">
        <v>210</v>
      </c>
      <c r="F12" s="12">
        <v>6</v>
      </c>
      <c r="G12" s="12">
        <v>35</v>
      </c>
      <c r="H12" s="12">
        <v>35</v>
      </c>
      <c r="I12" s="12">
        <f t="shared" si="0"/>
        <v>0</v>
      </c>
      <c r="J12" s="11" t="s">
        <v>182</v>
      </c>
      <c r="K12" s="11" t="s">
        <v>33</v>
      </c>
      <c r="L12" s="11" t="s">
        <v>183</v>
      </c>
      <c r="M12" s="11"/>
      <c r="N12" s="11"/>
      <c r="O12" s="11"/>
      <c r="P12" s="11"/>
      <c r="Q12" s="11">
        <v>1</v>
      </c>
    </row>
    <row r="13" spans="1:18" x14ac:dyDescent="0.25">
      <c r="A13" s="11" t="s">
        <v>59</v>
      </c>
      <c r="B13" s="11" t="s">
        <v>27</v>
      </c>
      <c r="C13" s="11" t="s">
        <v>211</v>
      </c>
      <c r="D13" s="11"/>
      <c r="E13" s="11" t="s">
        <v>212</v>
      </c>
      <c r="F13" s="11" t="s">
        <v>44</v>
      </c>
      <c r="G13" s="12">
        <v>6460</v>
      </c>
      <c r="H13" s="12">
        <v>50</v>
      </c>
      <c r="I13" s="12">
        <f t="shared" si="0"/>
        <v>6410</v>
      </c>
      <c r="J13" s="11" t="s">
        <v>182</v>
      </c>
      <c r="K13" s="11" t="s">
        <v>33</v>
      </c>
      <c r="L13" s="11"/>
      <c r="M13" s="16" t="s">
        <v>213</v>
      </c>
      <c r="N13" s="11"/>
      <c r="O13" s="11"/>
      <c r="P13" s="11"/>
      <c r="Q13" s="11">
        <v>1</v>
      </c>
    </row>
    <row r="14" spans="1:18" x14ac:dyDescent="0.25">
      <c r="A14" s="11" t="s">
        <v>59</v>
      </c>
      <c r="B14" s="11" t="s">
        <v>27</v>
      </c>
      <c r="C14" s="11" t="s">
        <v>214</v>
      </c>
      <c r="D14" s="11"/>
      <c r="E14" s="11" t="s">
        <v>215</v>
      </c>
      <c r="F14" s="12">
        <v>6</v>
      </c>
      <c r="G14" s="12">
        <v>0</v>
      </c>
      <c r="H14" s="12">
        <v>30</v>
      </c>
      <c r="I14" s="12">
        <f t="shared" si="0"/>
        <v>-30</v>
      </c>
      <c r="J14" s="11" t="s">
        <v>182</v>
      </c>
      <c r="K14" s="11" t="s">
        <v>33</v>
      </c>
      <c r="L14" s="11" t="s">
        <v>183</v>
      </c>
      <c r="M14" s="11"/>
      <c r="N14" s="11"/>
      <c r="O14" s="11"/>
      <c r="P14" s="11"/>
      <c r="Q14" s="11">
        <v>1</v>
      </c>
      <c r="R14" s="5">
        <f>H14</f>
        <v>30</v>
      </c>
    </row>
    <row r="15" spans="1:18" x14ac:dyDescent="0.25">
      <c r="A15" s="11"/>
      <c r="B15" s="11" t="s">
        <v>27</v>
      </c>
      <c r="C15" s="11" t="s">
        <v>216</v>
      </c>
      <c r="D15" s="11" t="s">
        <v>217</v>
      </c>
      <c r="E15" s="11" t="s">
        <v>218</v>
      </c>
      <c r="F15" s="12">
        <v>9</v>
      </c>
      <c r="G15" s="12">
        <v>950</v>
      </c>
      <c r="H15" s="12">
        <v>30</v>
      </c>
      <c r="I15" s="12">
        <f t="shared" si="0"/>
        <v>920</v>
      </c>
      <c r="J15" s="11" t="s">
        <v>33</v>
      </c>
      <c r="K15" s="11" t="s">
        <v>33</v>
      </c>
      <c r="L15" s="11" t="s">
        <v>183</v>
      </c>
      <c r="M15" s="11"/>
      <c r="N15" s="11"/>
      <c r="O15" s="11"/>
      <c r="P15" s="11"/>
      <c r="Q15" s="11">
        <v>1</v>
      </c>
    </row>
    <row r="16" spans="1:18" s="15" customFormat="1" x14ac:dyDescent="0.25">
      <c r="A16" s="13"/>
      <c r="B16" s="13" t="s">
        <v>27</v>
      </c>
      <c r="C16" s="13" t="s">
        <v>85</v>
      </c>
      <c r="D16" s="13" t="s">
        <v>219</v>
      </c>
      <c r="E16" s="13" t="s">
        <v>220</v>
      </c>
      <c r="F16" s="14">
        <v>9</v>
      </c>
      <c r="G16" s="14">
        <v>30</v>
      </c>
      <c r="H16" s="14">
        <v>30</v>
      </c>
      <c r="I16" s="14">
        <f t="shared" si="0"/>
        <v>0</v>
      </c>
      <c r="J16" s="13" t="s">
        <v>33</v>
      </c>
      <c r="K16" s="13" t="s">
        <v>33</v>
      </c>
      <c r="L16" s="13" t="s">
        <v>183</v>
      </c>
      <c r="M16" s="13" t="s">
        <v>100</v>
      </c>
      <c r="N16" s="13"/>
      <c r="O16" s="13"/>
      <c r="P16" s="13"/>
      <c r="Q16" s="13">
        <v>1</v>
      </c>
    </row>
    <row r="17" spans="1:18" x14ac:dyDescent="0.25">
      <c r="A17" s="11"/>
      <c r="B17" s="11" t="s">
        <v>27</v>
      </c>
      <c r="C17" s="11" t="s">
        <v>221</v>
      </c>
      <c r="D17" s="11" t="s">
        <v>222</v>
      </c>
      <c r="E17" s="11" t="s">
        <v>223</v>
      </c>
      <c r="F17" s="11" t="s">
        <v>104</v>
      </c>
      <c r="G17" s="12">
        <v>880</v>
      </c>
      <c r="H17" s="12">
        <v>30</v>
      </c>
      <c r="I17" s="12">
        <f t="shared" si="0"/>
        <v>850</v>
      </c>
      <c r="J17" s="11" t="s">
        <v>33</v>
      </c>
      <c r="K17" s="11" t="s">
        <v>33</v>
      </c>
      <c r="L17" s="11" t="s">
        <v>183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224</v>
      </c>
      <c r="D18" s="11" t="s">
        <v>225</v>
      </c>
      <c r="E18" s="11" t="s">
        <v>226</v>
      </c>
      <c r="F18" s="11" t="s">
        <v>104</v>
      </c>
      <c r="G18" s="12">
        <v>940</v>
      </c>
      <c r="H18" s="12">
        <v>30</v>
      </c>
      <c r="I18" s="12">
        <f t="shared" si="0"/>
        <v>910</v>
      </c>
      <c r="J18" s="11" t="s">
        <v>33</v>
      </c>
      <c r="K18" s="11" t="s">
        <v>33</v>
      </c>
      <c r="L18" s="11" t="s">
        <v>183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227</v>
      </c>
      <c r="D19" s="11" t="s">
        <v>228</v>
      </c>
      <c r="E19" s="11" t="s">
        <v>229</v>
      </c>
      <c r="F19" s="12">
        <v>9</v>
      </c>
      <c r="G19" s="12">
        <v>850</v>
      </c>
      <c r="H19" s="12">
        <v>30</v>
      </c>
      <c r="I19" s="12">
        <f t="shared" si="0"/>
        <v>820</v>
      </c>
      <c r="J19" s="11" t="s">
        <v>33</v>
      </c>
      <c r="K19" s="11" t="s">
        <v>33</v>
      </c>
      <c r="L19" s="11" t="s">
        <v>183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230</v>
      </c>
      <c r="D20" s="11" t="s">
        <v>231</v>
      </c>
      <c r="E20" s="11" t="s">
        <v>232</v>
      </c>
      <c r="F20" s="11" t="s">
        <v>68</v>
      </c>
      <c r="G20" s="12">
        <v>1865</v>
      </c>
      <c r="H20" s="12">
        <v>25</v>
      </c>
      <c r="I20" s="12">
        <f t="shared" si="0"/>
        <v>1840</v>
      </c>
      <c r="J20" s="11" t="s">
        <v>33</v>
      </c>
      <c r="K20" s="11" t="s">
        <v>33</v>
      </c>
      <c r="L20" s="11" t="s">
        <v>183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233</v>
      </c>
      <c r="D21" s="11" t="s">
        <v>234</v>
      </c>
      <c r="E21" s="11" t="s">
        <v>235</v>
      </c>
      <c r="F21" s="12">
        <v>9</v>
      </c>
      <c r="G21" s="12">
        <v>940</v>
      </c>
      <c r="H21" s="12">
        <v>30</v>
      </c>
      <c r="I21" s="12">
        <f t="shared" si="0"/>
        <v>910</v>
      </c>
      <c r="J21" s="11" t="s">
        <v>33</v>
      </c>
      <c r="K21" s="11" t="s">
        <v>33</v>
      </c>
      <c r="L21" s="11" t="s">
        <v>183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236</v>
      </c>
      <c r="D22" s="11" t="s">
        <v>237</v>
      </c>
      <c r="E22" s="11" t="s">
        <v>238</v>
      </c>
      <c r="F22" s="12">
        <v>12</v>
      </c>
      <c r="G22" s="12">
        <v>0</v>
      </c>
      <c r="H22" s="12">
        <v>30</v>
      </c>
      <c r="I22" s="12">
        <f t="shared" si="0"/>
        <v>-30</v>
      </c>
      <c r="J22" s="11" t="s">
        <v>33</v>
      </c>
      <c r="K22" s="11" t="s">
        <v>33</v>
      </c>
      <c r="L22" s="11" t="s">
        <v>183</v>
      </c>
      <c r="M22" s="11"/>
      <c r="N22" s="11"/>
      <c r="O22" s="11"/>
      <c r="P22" s="11"/>
      <c r="Q22" s="11">
        <v>1</v>
      </c>
      <c r="R22" s="5">
        <f>H22</f>
        <v>30</v>
      </c>
    </row>
    <row r="23" spans="1:18" x14ac:dyDescent="0.25">
      <c r="A23" s="11"/>
      <c r="B23" s="11" t="s">
        <v>27</v>
      </c>
      <c r="C23" s="11" t="s">
        <v>239</v>
      </c>
      <c r="D23" s="11" t="s">
        <v>240</v>
      </c>
      <c r="E23" s="11" t="s">
        <v>241</v>
      </c>
      <c r="F23" s="11" t="s">
        <v>78</v>
      </c>
      <c r="G23" s="12">
        <v>0</v>
      </c>
      <c r="H23" s="12">
        <v>20</v>
      </c>
      <c r="I23" s="12">
        <f t="shared" si="0"/>
        <v>-20</v>
      </c>
      <c r="J23" s="11" t="s">
        <v>33</v>
      </c>
      <c r="K23" s="11" t="s">
        <v>33</v>
      </c>
      <c r="L23" s="11" t="s">
        <v>183</v>
      </c>
      <c r="M23" s="11"/>
      <c r="N23" s="11"/>
      <c r="O23" s="11"/>
      <c r="P23" s="11"/>
      <c r="Q23" s="11">
        <v>1</v>
      </c>
      <c r="R23" s="5">
        <f>H23</f>
        <v>20</v>
      </c>
    </row>
    <row r="24" spans="1:18" s="15" customFormat="1" x14ac:dyDescent="0.25">
      <c r="A24" s="13"/>
      <c r="B24" s="13" t="s">
        <v>27</v>
      </c>
      <c r="C24" s="13" t="s">
        <v>242</v>
      </c>
      <c r="D24" s="13" t="s">
        <v>243</v>
      </c>
      <c r="E24" s="13" t="s">
        <v>244</v>
      </c>
      <c r="F24" s="14">
        <v>12</v>
      </c>
      <c r="G24" s="14">
        <v>0</v>
      </c>
      <c r="H24" s="14">
        <v>30</v>
      </c>
      <c r="I24" s="14">
        <f t="shared" si="0"/>
        <v>-30</v>
      </c>
      <c r="J24" s="13" t="s">
        <v>33</v>
      </c>
      <c r="K24" s="13" t="s">
        <v>33</v>
      </c>
      <c r="L24" s="13" t="s">
        <v>183</v>
      </c>
      <c r="M24" s="13" t="s">
        <v>100</v>
      </c>
      <c r="N24" s="13"/>
      <c r="O24" s="13"/>
      <c r="P24" s="13"/>
      <c r="Q24" s="13">
        <v>1</v>
      </c>
      <c r="R24" s="19">
        <f>H24</f>
        <v>30</v>
      </c>
    </row>
    <row r="25" spans="1:18" x14ac:dyDescent="0.25">
      <c r="A25" s="11"/>
      <c r="B25" s="11" t="s">
        <v>27</v>
      </c>
      <c r="C25" s="11" t="s">
        <v>245</v>
      </c>
      <c r="D25" s="11" t="s">
        <v>246</v>
      </c>
      <c r="E25" s="11" t="s">
        <v>247</v>
      </c>
      <c r="F25" s="11" t="s">
        <v>104</v>
      </c>
      <c r="G25" s="12">
        <v>720</v>
      </c>
      <c r="H25" s="12">
        <v>30</v>
      </c>
      <c r="I25" s="12">
        <f t="shared" si="0"/>
        <v>690</v>
      </c>
      <c r="J25" s="11" t="s">
        <v>33</v>
      </c>
      <c r="K25" s="11" t="s">
        <v>33</v>
      </c>
      <c r="L25" s="11" t="s">
        <v>183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248</v>
      </c>
      <c r="D26" s="11" t="s">
        <v>249</v>
      </c>
      <c r="E26" s="11" t="s">
        <v>250</v>
      </c>
      <c r="F26" s="11" t="s">
        <v>78</v>
      </c>
      <c r="G26" s="12">
        <v>0</v>
      </c>
      <c r="H26" s="12">
        <v>20</v>
      </c>
      <c r="I26" s="12">
        <f t="shared" si="0"/>
        <v>-20</v>
      </c>
      <c r="J26" s="11" t="s">
        <v>33</v>
      </c>
      <c r="K26" s="11" t="s">
        <v>33</v>
      </c>
      <c r="L26" s="11" t="s">
        <v>183</v>
      </c>
      <c r="M26" s="11"/>
      <c r="N26" s="11"/>
      <c r="O26" s="11"/>
      <c r="P26" s="11"/>
      <c r="Q26" s="11">
        <v>1</v>
      </c>
      <c r="R26" s="5">
        <f>H26</f>
        <v>20</v>
      </c>
    </row>
    <row r="27" spans="1:18" x14ac:dyDescent="0.25">
      <c r="A27" s="11"/>
      <c r="B27" s="11" t="s">
        <v>27</v>
      </c>
      <c r="C27" s="11" t="s">
        <v>251</v>
      </c>
      <c r="D27" s="11" t="s">
        <v>252</v>
      </c>
      <c r="E27" s="11" t="s">
        <v>253</v>
      </c>
      <c r="F27" s="12">
        <v>12</v>
      </c>
      <c r="G27" s="12">
        <v>520</v>
      </c>
      <c r="H27" s="12">
        <v>30</v>
      </c>
      <c r="I27" s="12">
        <f t="shared" si="0"/>
        <v>490</v>
      </c>
      <c r="J27" s="11" t="s">
        <v>33</v>
      </c>
      <c r="K27" s="11" t="s">
        <v>33</v>
      </c>
      <c r="L27" s="11" t="s">
        <v>183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254</v>
      </c>
      <c r="D28" s="11" t="s">
        <v>255</v>
      </c>
      <c r="E28" s="11" t="s">
        <v>256</v>
      </c>
      <c r="F28" s="11" t="s">
        <v>104</v>
      </c>
      <c r="G28" s="12">
        <v>520</v>
      </c>
      <c r="H28" s="12">
        <v>30</v>
      </c>
      <c r="I28" s="12">
        <f t="shared" si="0"/>
        <v>490</v>
      </c>
      <c r="J28" s="11" t="s">
        <v>33</v>
      </c>
      <c r="K28" s="11" t="s">
        <v>33</v>
      </c>
      <c r="L28" s="11" t="s">
        <v>183</v>
      </c>
      <c r="M28" s="11"/>
      <c r="N28" s="11"/>
      <c r="O28" s="11"/>
      <c r="P28" s="11"/>
      <c r="Q28" s="11">
        <v>1</v>
      </c>
    </row>
    <row r="29" spans="1:18" x14ac:dyDescent="0.25">
      <c r="A29" s="11" t="s">
        <v>59</v>
      </c>
      <c r="B29" s="11" t="s">
        <v>27</v>
      </c>
      <c r="C29" s="11" t="s">
        <v>105</v>
      </c>
      <c r="D29" s="11"/>
      <c r="E29" s="11" t="s">
        <v>106</v>
      </c>
      <c r="F29" s="11" t="s">
        <v>68</v>
      </c>
      <c r="G29" s="12">
        <v>30</v>
      </c>
      <c r="H29" s="12">
        <v>30</v>
      </c>
      <c r="I29" s="12">
        <f t="shared" si="0"/>
        <v>0</v>
      </c>
      <c r="J29" s="11" t="s">
        <v>33</v>
      </c>
      <c r="K29" s="11" t="s">
        <v>33</v>
      </c>
      <c r="L29" s="11" t="s">
        <v>183</v>
      </c>
      <c r="M29" s="11"/>
      <c r="N29" s="11"/>
      <c r="O29" s="11"/>
      <c r="P29" s="11"/>
      <c r="Q29" s="11">
        <v>1</v>
      </c>
    </row>
    <row r="30" spans="1:18" x14ac:dyDescent="0.25">
      <c r="A30" s="11" t="s">
        <v>59</v>
      </c>
      <c r="B30" s="11" t="s">
        <v>27</v>
      </c>
      <c r="C30" s="11" t="s">
        <v>113</v>
      </c>
      <c r="D30" s="11"/>
      <c r="E30" s="11" t="s">
        <v>114</v>
      </c>
      <c r="F30" s="11" t="s">
        <v>68</v>
      </c>
      <c r="G30" s="12">
        <v>0</v>
      </c>
      <c r="H30" s="12">
        <v>30</v>
      </c>
      <c r="I30" s="12">
        <f t="shared" si="0"/>
        <v>-30</v>
      </c>
      <c r="J30" s="11" t="s">
        <v>33</v>
      </c>
      <c r="K30" s="11" t="s">
        <v>33</v>
      </c>
      <c r="L30" s="11" t="s">
        <v>183</v>
      </c>
      <c r="M30" s="11"/>
      <c r="N30" s="11"/>
      <c r="O30" s="11"/>
      <c r="P30" s="11"/>
      <c r="Q30" s="11">
        <v>1</v>
      </c>
      <c r="R30" s="5">
        <f>H30</f>
        <v>30</v>
      </c>
    </row>
    <row r="31" spans="1:18" x14ac:dyDescent="0.25">
      <c r="A31" s="11"/>
      <c r="B31" s="11" t="s">
        <v>27</v>
      </c>
      <c r="C31" s="11" t="s">
        <v>257</v>
      </c>
      <c r="D31" s="11" t="s">
        <v>258</v>
      </c>
      <c r="E31" s="11" t="s">
        <v>259</v>
      </c>
      <c r="F31" s="11" t="s">
        <v>44</v>
      </c>
      <c r="G31" s="12">
        <v>935</v>
      </c>
      <c r="H31" s="12">
        <v>25</v>
      </c>
      <c r="I31" s="12">
        <f t="shared" si="0"/>
        <v>910</v>
      </c>
      <c r="J31" s="11" t="s">
        <v>119</v>
      </c>
      <c r="K31" s="11" t="s">
        <v>33</v>
      </c>
      <c r="L31" s="11" t="s">
        <v>183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260</v>
      </c>
      <c r="D32" s="11" t="s">
        <v>261</v>
      </c>
      <c r="E32" s="11" t="s">
        <v>262</v>
      </c>
      <c r="F32" s="12">
        <v>1</v>
      </c>
      <c r="G32" s="12">
        <v>0</v>
      </c>
      <c r="H32" s="12">
        <v>25</v>
      </c>
      <c r="I32" s="12">
        <f t="shared" si="0"/>
        <v>-25</v>
      </c>
      <c r="J32" s="11" t="s">
        <v>119</v>
      </c>
      <c r="K32" s="11" t="s">
        <v>33</v>
      </c>
      <c r="L32" s="11" t="s">
        <v>183</v>
      </c>
      <c r="M32" s="11"/>
      <c r="N32" s="11"/>
      <c r="O32" s="11"/>
      <c r="P32" s="11"/>
      <c r="Q32" s="11">
        <v>1</v>
      </c>
      <c r="R32" s="5">
        <f>H32</f>
        <v>25</v>
      </c>
    </row>
    <row r="33" spans="1:18" x14ac:dyDescent="0.25">
      <c r="A33" s="11"/>
      <c r="B33" s="11" t="s">
        <v>27</v>
      </c>
      <c r="C33" s="11" t="s">
        <v>263</v>
      </c>
      <c r="D33" s="11" t="s">
        <v>264</v>
      </c>
      <c r="E33" s="11" t="s">
        <v>265</v>
      </c>
      <c r="F33" s="12">
        <v>10</v>
      </c>
      <c r="G33" s="12">
        <v>755</v>
      </c>
      <c r="H33" s="12">
        <v>25</v>
      </c>
      <c r="I33" s="12">
        <f t="shared" si="0"/>
        <v>730</v>
      </c>
      <c r="J33" s="11" t="s">
        <v>119</v>
      </c>
      <c r="K33" s="11" t="s">
        <v>33</v>
      </c>
      <c r="L33" s="11" t="s">
        <v>183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266</v>
      </c>
      <c r="D34" s="11" t="s">
        <v>267</v>
      </c>
      <c r="E34" s="11" t="s">
        <v>268</v>
      </c>
      <c r="F34" s="12">
        <v>1</v>
      </c>
      <c r="G34" s="12">
        <v>0</v>
      </c>
      <c r="H34" s="12">
        <v>25</v>
      </c>
      <c r="I34" s="12">
        <f t="shared" si="0"/>
        <v>-25</v>
      </c>
      <c r="J34" s="11" t="s">
        <v>119</v>
      </c>
      <c r="K34" s="11" t="s">
        <v>33</v>
      </c>
      <c r="L34" s="11" t="s">
        <v>183</v>
      </c>
      <c r="M34" s="11"/>
      <c r="N34" s="11"/>
      <c r="O34" s="11"/>
      <c r="P34" s="11"/>
      <c r="Q34" s="11">
        <v>1</v>
      </c>
      <c r="R34" s="5">
        <f>H34</f>
        <v>25</v>
      </c>
    </row>
    <row r="35" spans="1:18" x14ac:dyDescent="0.25">
      <c r="A35" s="11"/>
      <c r="B35" s="11" t="s">
        <v>27</v>
      </c>
      <c r="C35" s="11" t="s">
        <v>269</v>
      </c>
      <c r="D35" s="11" t="s">
        <v>270</v>
      </c>
      <c r="E35" s="11" t="s">
        <v>271</v>
      </c>
      <c r="F35" s="11" t="s">
        <v>44</v>
      </c>
      <c r="G35" s="12">
        <v>915</v>
      </c>
      <c r="H35" s="12">
        <v>25</v>
      </c>
      <c r="I35" s="12">
        <f t="shared" si="0"/>
        <v>890</v>
      </c>
      <c r="J35" s="11" t="s">
        <v>119</v>
      </c>
      <c r="K35" s="11" t="s">
        <v>33</v>
      </c>
      <c r="L35" s="11" t="s">
        <v>183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272</v>
      </c>
      <c r="D36" s="11" t="s">
        <v>273</v>
      </c>
      <c r="E36" s="11" t="s">
        <v>274</v>
      </c>
      <c r="F36" s="11" t="s">
        <v>48</v>
      </c>
      <c r="G36" s="12">
        <v>0</v>
      </c>
      <c r="H36" s="12">
        <v>30</v>
      </c>
      <c r="I36" s="12">
        <f t="shared" si="0"/>
        <v>-30</v>
      </c>
      <c r="J36" s="11" t="s">
        <v>119</v>
      </c>
      <c r="K36" s="11" t="s">
        <v>33</v>
      </c>
      <c r="L36" s="11" t="s">
        <v>183</v>
      </c>
      <c r="M36" s="11"/>
      <c r="N36" s="11"/>
      <c r="O36" s="11"/>
      <c r="P36" s="11"/>
      <c r="Q36" s="11">
        <v>1</v>
      </c>
      <c r="R36" s="5">
        <f>H36</f>
        <v>30</v>
      </c>
    </row>
    <row r="37" spans="1:18" x14ac:dyDescent="0.25">
      <c r="A37" s="11"/>
      <c r="B37" s="11" t="s">
        <v>27</v>
      </c>
      <c r="C37" s="11" t="s">
        <v>275</v>
      </c>
      <c r="D37" s="11" t="s">
        <v>276</v>
      </c>
      <c r="E37" s="11" t="s">
        <v>277</v>
      </c>
      <c r="F37" s="11" t="s">
        <v>44</v>
      </c>
      <c r="G37" s="12">
        <v>855</v>
      </c>
      <c r="H37" s="12">
        <v>25</v>
      </c>
      <c r="I37" s="12">
        <f t="shared" si="0"/>
        <v>830</v>
      </c>
      <c r="J37" s="11" t="s">
        <v>119</v>
      </c>
      <c r="K37" s="11" t="s">
        <v>33</v>
      </c>
      <c r="L37" s="11" t="s">
        <v>183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278</v>
      </c>
      <c r="D38" s="11" t="s">
        <v>279</v>
      </c>
      <c r="E38" s="11" t="s">
        <v>280</v>
      </c>
      <c r="F38" s="12">
        <v>5</v>
      </c>
      <c r="G38" s="12">
        <v>0</v>
      </c>
      <c r="H38" s="12">
        <v>25</v>
      </c>
      <c r="I38" s="12">
        <f t="shared" si="0"/>
        <v>-25</v>
      </c>
      <c r="J38" s="11" t="s">
        <v>119</v>
      </c>
      <c r="K38" s="11" t="s">
        <v>33</v>
      </c>
      <c r="L38" s="11" t="s">
        <v>183</v>
      </c>
      <c r="M38" s="11"/>
      <c r="N38" s="11"/>
      <c r="O38" s="11"/>
      <c r="P38" s="11"/>
      <c r="Q38" s="11">
        <v>1</v>
      </c>
      <c r="R38" s="5">
        <f>H38</f>
        <v>25</v>
      </c>
    </row>
    <row r="39" spans="1:18" x14ac:dyDescent="0.25">
      <c r="A39" s="11"/>
      <c r="B39" s="11" t="s">
        <v>27</v>
      </c>
      <c r="C39" s="11" t="s">
        <v>281</v>
      </c>
      <c r="D39" s="11" t="s">
        <v>282</v>
      </c>
      <c r="E39" s="11" t="s">
        <v>283</v>
      </c>
      <c r="F39" s="11" t="s">
        <v>44</v>
      </c>
      <c r="G39" s="12">
        <v>995</v>
      </c>
      <c r="H39" s="12">
        <v>25</v>
      </c>
      <c r="I39" s="12">
        <f t="shared" si="0"/>
        <v>970</v>
      </c>
      <c r="J39" s="11" t="s">
        <v>119</v>
      </c>
      <c r="K39" s="11" t="s">
        <v>33</v>
      </c>
      <c r="L39" s="11" t="s">
        <v>183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284</v>
      </c>
      <c r="D40" s="11" t="s">
        <v>285</v>
      </c>
      <c r="E40" s="11" t="s">
        <v>286</v>
      </c>
      <c r="F40" s="12">
        <v>4</v>
      </c>
      <c r="G40" s="12">
        <v>945</v>
      </c>
      <c r="H40" s="12">
        <v>25</v>
      </c>
      <c r="I40" s="12">
        <f t="shared" si="0"/>
        <v>920</v>
      </c>
      <c r="J40" s="11" t="s">
        <v>119</v>
      </c>
      <c r="K40" s="11" t="s">
        <v>33</v>
      </c>
      <c r="L40" s="11" t="s">
        <v>183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287</v>
      </c>
      <c r="D41" s="11" t="s">
        <v>288</v>
      </c>
      <c r="E41" s="11" t="s">
        <v>289</v>
      </c>
      <c r="F41" s="11" t="s">
        <v>44</v>
      </c>
      <c r="G41" s="12">
        <v>1955</v>
      </c>
      <c r="H41" s="12">
        <v>25</v>
      </c>
      <c r="I41" s="12">
        <f t="shared" si="0"/>
        <v>1930</v>
      </c>
      <c r="J41" s="11" t="s">
        <v>119</v>
      </c>
      <c r="K41" s="11" t="s">
        <v>33</v>
      </c>
      <c r="L41" s="11" t="s">
        <v>183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290</v>
      </c>
      <c r="D42" s="11" t="s">
        <v>291</v>
      </c>
      <c r="E42" s="11" t="s">
        <v>292</v>
      </c>
      <c r="F42" s="12">
        <v>5</v>
      </c>
      <c r="G42" s="12">
        <v>885</v>
      </c>
      <c r="H42" s="12">
        <v>25</v>
      </c>
      <c r="I42" s="12">
        <f t="shared" si="0"/>
        <v>860</v>
      </c>
      <c r="J42" s="11" t="s">
        <v>119</v>
      </c>
      <c r="K42" s="11" t="s">
        <v>33</v>
      </c>
      <c r="L42" s="11" t="s">
        <v>183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293</v>
      </c>
      <c r="D43" s="11" t="s">
        <v>294</v>
      </c>
      <c r="E43" s="11" t="s">
        <v>295</v>
      </c>
      <c r="F43" s="12">
        <v>3</v>
      </c>
      <c r="G43" s="12">
        <v>865</v>
      </c>
      <c r="H43" s="12">
        <v>25</v>
      </c>
      <c r="I43" s="12">
        <f t="shared" si="0"/>
        <v>840</v>
      </c>
      <c r="J43" s="11" t="s">
        <v>119</v>
      </c>
      <c r="K43" s="11" t="s">
        <v>33</v>
      </c>
      <c r="L43" s="11" t="s">
        <v>183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296</v>
      </c>
      <c r="D44" s="11" t="s">
        <v>297</v>
      </c>
      <c r="E44" s="11" t="s">
        <v>298</v>
      </c>
      <c r="F44" s="11" t="s">
        <v>44</v>
      </c>
      <c r="G44" s="12">
        <v>0</v>
      </c>
      <c r="H44" s="12">
        <v>25</v>
      </c>
      <c r="I44" s="12">
        <f t="shared" si="0"/>
        <v>-25</v>
      </c>
      <c r="J44" s="11" t="s">
        <v>119</v>
      </c>
      <c r="K44" s="11" t="s">
        <v>33</v>
      </c>
      <c r="L44" s="11" t="s">
        <v>183</v>
      </c>
      <c r="M44" s="11"/>
      <c r="N44" s="11"/>
      <c r="O44" s="11"/>
      <c r="P44" s="11"/>
      <c r="Q44" s="11">
        <v>1</v>
      </c>
      <c r="R44" s="5">
        <f>H44</f>
        <v>25</v>
      </c>
    </row>
    <row r="45" spans="1:18" x14ac:dyDescent="0.25">
      <c r="A45" s="11" t="s">
        <v>59</v>
      </c>
      <c r="B45" s="11" t="s">
        <v>27</v>
      </c>
      <c r="C45" s="11" t="s">
        <v>299</v>
      </c>
      <c r="D45" s="11"/>
      <c r="E45" s="11" t="s">
        <v>300</v>
      </c>
      <c r="F45" s="12">
        <v>5</v>
      </c>
      <c r="G45" s="12">
        <v>0</v>
      </c>
      <c r="H45" s="12">
        <v>30</v>
      </c>
      <c r="I45" s="12">
        <f t="shared" si="0"/>
        <v>-30</v>
      </c>
      <c r="J45" s="11" t="s">
        <v>119</v>
      </c>
      <c r="K45" s="11" t="s">
        <v>33</v>
      </c>
      <c r="L45" s="11" t="s">
        <v>183</v>
      </c>
      <c r="M45" s="11"/>
      <c r="N45" s="11"/>
      <c r="O45" s="11"/>
      <c r="P45" s="11"/>
      <c r="Q45" s="11">
        <v>1</v>
      </c>
      <c r="R45" s="5">
        <f>H45</f>
        <v>30</v>
      </c>
    </row>
    <row r="46" spans="1:18" x14ac:dyDescent="0.25">
      <c r="A46" s="11" t="s">
        <v>59</v>
      </c>
      <c r="B46" s="11" t="s">
        <v>27</v>
      </c>
      <c r="C46" s="11" t="s">
        <v>301</v>
      </c>
      <c r="D46" s="11"/>
      <c r="E46" s="11" t="s">
        <v>302</v>
      </c>
      <c r="F46" s="11" t="s">
        <v>44</v>
      </c>
      <c r="G46" s="12">
        <v>40</v>
      </c>
      <c r="H46" s="12">
        <v>40</v>
      </c>
      <c r="I46" s="12">
        <f t="shared" si="0"/>
        <v>0</v>
      </c>
      <c r="J46" s="11" t="s">
        <v>119</v>
      </c>
      <c r="K46" s="11" t="s">
        <v>33</v>
      </c>
      <c r="L46" s="11" t="s">
        <v>183</v>
      </c>
      <c r="M46" s="11"/>
      <c r="N46" s="11"/>
      <c r="O46" s="11"/>
      <c r="P46" s="11"/>
      <c r="Q46" s="11">
        <v>1</v>
      </c>
    </row>
    <row r="47" spans="1:18" x14ac:dyDescent="0.25">
      <c r="A47" s="11" t="s">
        <v>59</v>
      </c>
      <c r="B47" s="11" t="s">
        <v>27</v>
      </c>
      <c r="C47" s="11" t="s">
        <v>303</v>
      </c>
      <c r="D47" s="11"/>
      <c r="E47" s="11" t="s">
        <v>304</v>
      </c>
      <c r="F47" s="11" t="s">
        <v>44</v>
      </c>
      <c r="G47" s="12">
        <v>30</v>
      </c>
      <c r="H47" s="12">
        <v>30</v>
      </c>
      <c r="I47" s="12">
        <f t="shared" si="0"/>
        <v>0</v>
      </c>
      <c r="J47" s="11" t="s">
        <v>119</v>
      </c>
      <c r="K47" s="11" t="s">
        <v>33</v>
      </c>
      <c r="L47" s="11" t="s">
        <v>183</v>
      </c>
      <c r="M47" s="11"/>
      <c r="N47" s="11"/>
      <c r="O47" s="11"/>
      <c r="P47" s="11"/>
      <c r="Q47" s="11">
        <v>1</v>
      </c>
    </row>
    <row r="48" spans="1:18" s="2" customFormat="1" x14ac:dyDescent="0.25">
      <c r="A48" s="16"/>
      <c r="B48" s="16" t="s">
        <v>27</v>
      </c>
      <c r="C48" s="16" t="s">
        <v>305</v>
      </c>
      <c r="D48" s="16" t="s">
        <v>306</v>
      </c>
      <c r="E48" s="16" t="s">
        <v>307</v>
      </c>
      <c r="F48" s="16" t="s">
        <v>78</v>
      </c>
      <c r="G48" s="17">
        <v>1790</v>
      </c>
      <c r="H48" s="17">
        <v>20</v>
      </c>
      <c r="I48" s="17">
        <f t="shared" si="0"/>
        <v>1770</v>
      </c>
      <c r="J48" s="16" t="s">
        <v>153</v>
      </c>
      <c r="K48" s="16" t="s">
        <v>33</v>
      </c>
      <c r="L48" s="16" t="s">
        <v>154</v>
      </c>
      <c r="M48" s="16" t="s">
        <v>155</v>
      </c>
      <c r="N48" s="16" t="s">
        <v>156</v>
      </c>
      <c r="O48" s="16" t="s">
        <v>156</v>
      </c>
      <c r="P48" s="16" t="s">
        <v>157</v>
      </c>
      <c r="Q48" s="17">
        <v>1</v>
      </c>
    </row>
    <row r="50" spans="1:17" x14ac:dyDescent="0.25">
      <c r="D50" s="1">
        <f>COUNTA(D3:D48)</f>
        <v>38</v>
      </c>
      <c r="G50" s="1">
        <f t="shared" ref="G50:Q50" si="1">SUBTOTAL(9,G3:G48)</f>
        <v>31905</v>
      </c>
      <c r="H50" s="1">
        <f t="shared" si="1"/>
        <v>1315</v>
      </c>
      <c r="I50" s="1">
        <f t="shared" si="1"/>
        <v>30590</v>
      </c>
      <c r="J50" s="1">
        <f t="shared" si="1"/>
        <v>0</v>
      </c>
      <c r="K50" s="1">
        <f t="shared" si="1"/>
        <v>0</v>
      </c>
      <c r="L50" s="1">
        <f t="shared" si="1"/>
        <v>0</v>
      </c>
      <c r="M50" s="1">
        <f t="shared" si="1"/>
        <v>0</v>
      </c>
      <c r="N50" s="1">
        <f t="shared" si="1"/>
        <v>0</v>
      </c>
      <c r="O50" s="1">
        <f t="shared" si="1"/>
        <v>0</v>
      </c>
      <c r="P50" s="1">
        <f t="shared" si="1"/>
        <v>0</v>
      </c>
      <c r="Q50" s="1">
        <f t="shared" si="1"/>
        <v>46</v>
      </c>
    </row>
    <row r="51" spans="1:17" x14ac:dyDescent="0.25">
      <c r="H51">
        <f>-9*17</f>
        <v>-153</v>
      </c>
    </row>
    <row r="52" spans="1:17" x14ac:dyDescent="0.25">
      <c r="A52" s="1" t="s">
        <v>27</v>
      </c>
      <c r="C52" s="60" t="s">
        <v>158</v>
      </c>
      <c r="D52" s="60"/>
      <c r="E52" s="4" t="s">
        <v>159</v>
      </c>
      <c r="H52">
        <f>-1*25</f>
        <v>-25</v>
      </c>
      <c r="K52" s="6" t="s">
        <v>33</v>
      </c>
      <c r="L52" s="6" t="s">
        <v>160</v>
      </c>
      <c r="M52" s="6" t="s">
        <v>159</v>
      </c>
      <c r="O52" s="4" t="s">
        <v>161</v>
      </c>
    </row>
    <row r="53" spans="1:17" x14ac:dyDescent="0.25">
      <c r="A53" t="s">
        <v>183</v>
      </c>
      <c r="B53" s="3" t="s">
        <v>162</v>
      </c>
      <c r="C53" s="61">
        <f>SUMIFS(I$3:I$48,B$3:B$48,A$52,L$3:L$48,A$53)</f>
        <v>22410</v>
      </c>
      <c r="D53" s="61"/>
      <c r="E53" s="3">
        <f>SUMIFS(Q$3:Q$48,B$3:B$48,A$52,L$3:L$48,A$53)</f>
        <v>44</v>
      </c>
      <c r="F53" t="s">
        <v>163</v>
      </c>
      <c r="H53">
        <f>-2*30</f>
        <v>-60</v>
      </c>
      <c r="K53" t="s">
        <v>164</v>
      </c>
      <c r="L53">
        <f>SUMIFS(G$3:G$48,J$3:J$48,K$52)</f>
        <v>8245</v>
      </c>
      <c r="M53">
        <f>SUMIFS(Q$3:Q$48,J$3:J$48,K$52)-INT(COUNTIFS(J$3:J$48,K$52,M$3:M$48,"*gộp*")/2)</f>
        <v>16</v>
      </c>
      <c r="O53" t="s">
        <v>33</v>
      </c>
      <c r="P53">
        <f>L58</f>
        <v>6007</v>
      </c>
    </row>
    <row r="54" spans="1:17" x14ac:dyDescent="0.25">
      <c r="B54" s="2" t="s">
        <v>166</v>
      </c>
      <c r="C54" s="62">
        <v>0</v>
      </c>
      <c r="D54" s="62"/>
      <c r="K54" t="s">
        <v>167</v>
      </c>
      <c r="L54">
        <f>-SUMIFS(H$3:H$48,J$3:J$48,K$52)+M54*5</f>
        <v>-375</v>
      </c>
      <c r="M54">
        <f>SUMIFS(Q$3:Q$48,J$3:J$48,K$52)-INT(COUNTIFS(J$3:J$48,K$52,M$3:M$48,"*gộp*")/2)</f>
        <v>16</v>
      </c>
      <c r="O54" t="s">
        <v>119</v>
      </c>
      <c r="P54">
        <f>L66</f>
        <v>8805</v>
      </c>
    </row>
    <row r="55" spans="1:17" x14ac:dyDescent="0.25">
      <c r="B55" s="2" t="s">
        <v>168</v>
      </c>
      <c r="C55" s="62">
        <f>-SUMIFS(I$3:I$48,B$3:B$48,A$52,P$3:P$48,"xx",N$3:N$48,"x")</f>
        <v>-1770</v>
      </c>
      <c r="D55" s="62"/>
      <c r="E55" s="2">
        <f>SUMIFS(Q$3:Q$48,B$3:B$48,A$52,P$3:P$48,"xx",N$3:N$48,"x")</f>
        <v>1</v>
      </c>
      <c r="K55" t="s">
        <v>169</v>
      </c>
      <c r="L55">
        <f>-M55*2</f>
        <v>-88</v>
      </c>
      <c r="M55">
        <f>E56-(COUNTIFS(M$3:M$48,"*gộp*")/2)-COUNTIFS(M$3:M$48,"*đơn trả*")-COUNTIFS(M$3:M$48,"*hàng tỉnh*")+1</f>
        <v>44</v>
      </c>
      <c r="O55" t="s">
        <v>308</v>
      </c>
      <c r="P55">
        <f>L74</f>
        <v>12457</v>
      </c>
    </row>
    <row r="56" spans="1:17" x14ac:dyDescent="0.25">
      <c r="B56" s="4" t="s">
        <v>170</v>
      </c>
      <c r="C56" s="60">
        <f>SUBTOTAL(9,C53:C55)</f>
        <v>20640</v>
      </c>
      <c r="D56" s="60"/>
      <c r="E56">
        <f>E53</f>
        <v>44</v>
      </c>
      <c r="K56" s="7" t="s">
        <v>155</v>
      </c>
      <c r="L56" s="18">
        <v>-1775</v>
      </c>
      <c r="M56" s="18" t="s">
        <v>178</v>
      </c>
      <c r="O56" t="s">
        <v>171</v>
      </c>
      <c r="P56">
        <f>-C60</f>
        <v>-20640</v>
      </c>
    </row>
    <row r="57" spans="1:17" x14ac:dyDescent="0.25">
      <c r="B57" s="2" t="s">
        <v>172</v>
      </c>
      <c r="C57" s="58"/>
      <c r="D57" s="58"/>
      <c r="K57" s="2" t="s">
        <v>173</v>
      </c>
      <c r="O57" t="s">
        <v>309</v>
      </c>
      <c r="P57">
        <v>-6410</v>
      </c>
    </row>
    <row r="58" spans="1:17" x14ac:dyDescent="0.25">
      <c r="B58" s="8" t="s">
        <v>175</v>
      </c>
      <c r="C58" s="58"/>
      <c r="D58" s="58"/>
      <c r="L58" s="9">
        <f>SUBTOTAL(9,L53:L57)</f>
        <v>6007</v>
      </c>
      <c r="M58" s="9">
        <f>M53</f>
        <v>16</v>
      </c>
      <c r="O58" s="4" t="s">
        <v>174</v>
      </c>
      <c r="P58" s="4">
        <f>SUBTOTAL(9,P53:P57)</f>
        <v>219</v>
      </c>
    </row>
    <row r="60" spans="1:17" x14ac:dyDescent="0.25">
      <c r="B60" s="1" t="s">
        <v>176</v>
      </c>
      <c r="C60" s="59">
        <f>C56+C57+C58</f>
        <v>20640</v>
      </c>
      <c r="D60" s="59"/>
      <c r="E60" s="1" t="s">
        <v>177</v>
      </c>
      <c r="K60" s="6" t="s">
        <v>119</v>
      </c>
      <c r="L60" s="6" t="s">
        <v>160</v>
      </c>
      <c r="M60" s="6" t="s">
        <v>159</v>
      </c>
    </row>
    <row r="61" spans="1:17" x14ac:dyDescent="0.25">
      <c r="K61" t="s">
        <v>164</v>
      </c>
      <c r="L61">
        <f>SUMIFS(G$3:G$48,J$3:J$48,K$60)</f>
        <v>9175</v>
      </c>
      <c r="M61">
        <f>SUMIFS(Q$3:Q$48,J$3:J$48,K$60)-INT(COUNTIFS(J$3:J$48,K$60,M$3:M$48,"*gộp*")/2)</f>
        <v>17</v>
      </c>
    </row>
    <row r="62" spans="1:17" x14ac:dyDescent="0.25">
      <c r="K62" t="s">
        <v>167</v>
      </c>
      <c r="L62">
        <f>-SUMIFS(H$3:H$48,J$3:J$48,K$60)+M62*5</f>
        <v>-370</v>
      </c>
      <c r="M62">
        <f>SUMIFS(Q$3:Q$48,J$3:J$48,K$60)-INT(COUNTIFS(J$3:J$48,K$60,M$3:M$48,"*gộp*")/2)</f>
        <v>17</v>
      </c>
    </row>
    <row r="63" spans="1:17" x14ac:dyDescent="0.25">
      <c r="K63" t="s">
        <v>169</v>
      </c>
    </row>
    <row r="64" spans="1:17" x14ac:dyDescent="0.25">
      <c r="K64" s="7" t="s">
        <v>155</v>
      </c>
    </row>
    <row r="65" spans="11:13" x14ac:dyDescent="0.25">
      <c r="K65" s="2" t="s">
        <v>173</v>
      </c>
    </row>
    <row r="66" spans="11:13" x14ac:dyDescent="0.25">
      <c r="L66" s="9">
        <f>SUBTOTAL(9,L61:L65)</f>
        <v>8805</v>
      </c>
      <c r="M66" s="9">
        <f>M61</f>
        <v>17</v>
      </c>
    </row>
    <row r="68" spans="11:13" x14ac:dyDescent="0.25">
      <c r="K68" s="6" t="s">
        <v>182</v>
      </c>
      <c r="L68" s="6" t="s">
        <v>160</v>
      </c>
      <c r="M68" s="6" t="s">
        <v>159</v>
      </c>
    </row>
    <row r="69" spans="11:13" x14ac:dyDescent="0.25">
      <c r="K69" t="s">
        <v>164</v>
      </c>
      <c r="L69">
        <f>SUMIFS(G$3:G$48,J$3:J$48,K$68)</f>
        <v>12695</v>
      </c>
      <c r="M69">
        <f>SUMIFS(Q$3:Q$48,J$3:J$48,K$68)-INT(COUNTIFS(J$3:J$48,K$68,M$3:M$48,"*gộp*")/2)</f>
        <v>12</v>
      </c>
    </row>
    <row r="70" spans="11:13" x14ac:dyDescent="0.25">
      <c r="K70" t="s">
        <v>167</v>
      </c>
      <c r="L70">
        <f>SUM(H51:H53)</f>
        <v>-238</v>
      </c>
      <c r="M70">
        <f>SUMIFS(Q$3:Q$48,J$3:J$48,K$68)-INT(COUNTIFS(J$3:J$48,K$68,M$3:M$48,"*gộp*")/2)</f>
        <v>12</v>
      </c>
    </row>
    <row r="71" spans="11:13" x14ac:dyDescent="0.25">
      <c r="K71" t="s">
        <v>169</v>
      </c>
    </row>
    <row r="72" spans="11:13" x14ac:dyDescent="0.25">
      <c r="K72" s="7" t="s">
        <v>155</v>
      </c>
    </row>
    <row r="73" spans="11:13" x14ac:dyDescent="0.25">
      <c r="K73" s="2" t="s">
        <v>173</v>
      </c>
    </row>
    <row r="74" spans="11:13" x14ac:dyDescent="0.25">
      <c r="L74" s="9">
        <f>SUBTOTAL(9,L69:L73)</f>
        <v>12457</v>
      </c>
      <c r="M74" s="9">
        <f>M69</f>
        <v>12</v>
      </c>
    </row>
  </sheetData>
  <autoFilter ref="A2:P48" xr:uid="{00000000-0009-0000-0000-000002000000}">
    <sortState xmlns:xlrd2="http://schemas.microsoft.com/office/spreadsheetml/2017/richdata2" ref="A3:P48">
      <sortCondition ref="J2:J48"/>
    </sortState>
  </autoFilter>
  <mergeCells count="8">
    <mergeCell ref="C57:D57"/>
    <mergeCell ref="C58:D58"/>
    <mergeCell ref="C60:D60"/>
    <mergeCell ref="C52:D52"/>
    <mergeCell ref="C53:D53"/>
    <mergeCell ref="C54:D54"/>
    <mergeCell ref="C55:D55"/>
    <mergeCell ref="C56:D56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51"/>
  <sheetViews>
    <sheetView topLeftCell="A19" zoomScale="85" zoomScaleNormal="85" workbookViewId="0">
      <selection activeCell="A10" sqref="A10"/>
    </sheetView>
  </sheetViews>
  <sheetFormatPr defaultRowHeight="15" x14ac:dyDescent="0.25"/>
  <cols>
    <col min="1" max="1" width="12.7109375" customWidth="1"/>
    <col min="2" max="2" width="9" customWidth="1"/>
    <col min="3" max="3" width="35.7109375" customWidth="1"/>
    <col min="4" max="4" width="9.85546875" customWidth="1"/>
    <col min="5" max="5" width="85.85546875" customWidth="1"/>
    <col min="6" max="6" width="8.4257812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.42578125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310</v>
      </c>
      <c r="D3" s="11" t="s">
        <v>311</v>
      </c>
      <c r="E3" s="11" t="s">
        <v>312</v>
      </c>
      <c r="F3" s="12">
        <v>7</v>
      </c>
      <c r="G3" s="12">
        <v>780</v>
      </c>
      <c r="H3" s="12">
        <v>30</v>
      </c>
      <c r="I3" s="12">
        <f t="shared" ref="I3:I25" si="0">G3-H3</f>
        <v>750</v>
      </c>
      <c r="J3" s="11" t="s">
        <v>313</v>
      </c>
      <c r="K3" s="11" t="s">
        <v>33</v>
      </c>
      <c r="L3" s="11" t="s">
        <v>314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315</v>
      </c>
      <c r="D4" s="11" t="s">
        <v>316</v>
      </c>
      <c r="E4" s="11" t="s">
        <v>317</v>
      </c>
      <c r="F4" s="11" t="s">
        <v>48</v>
      </c>
      <c r="G4" s="12">
        <v>0</v>
      </c>
      <c r="H4" s="12">
        <v>30</v>
      </c>
      <c r="I4" s="12">
        <f t="shared" si="0"/>
        <v>-30</v>
      </c>
      <c r="J4" s="11" t="s">
        <v>313</v>
      </c>
      <c r="K4" s="11" t="s">
        <v>33</v>
      </c>
      <c r="L4" s="11" t="s">
        <v>314</v>
      </c>
      <c r="M4" s="11"/>
      <c r="N4" s="11"/>
      <c r="O4" s="11"/>
      <c r="P4" s="11"/>
      <c r="Q4" s="11">
        <v>1</v>
      </c>
      <c r="R4" s="5">
        <f>H4</f>
        <v>30</v>
      </c>
    </row>
    <row r="5" spans="1:18" x14ac:dyDescent="0.25">
      <c r="A5" s="11"/>
      <c r="B5" s="11" t="s">
        <v>27</v>
      </c>
      <c r="C5" s="11" t="s">
        <v>318</v>
      </c>
      <c r="D5" s="11" t="s">
        <v>319</v>
      </c>
      <c r="E5" s="11" t="s">
        <v>320</v>
      </c>
      <c r="F5" s="11" t="s">
        <v>48</v>
      </c>
      <c r="G5" s="12">
        <v>0</v>
      </c>
      <c r="H5" s="12">
        <v>30</v>
      </c>
      <c r="I5" s="12">
        <f t="shared" si="0"/>
        <v>-30</v>
      </c>
      <c r="J5" s="11" t="s">
        <v>313</v>
      </c>
      <c r="K5" s="11" t="s">
        <v>33</v>
      </c>
      <c r="L5" s="11" t="s">
        <v>314</v>
      </c>
      <c r="M5" s="11"/>
      <c r="N5" s="11"/>
      <c r="O5" s="11"/>
      <c r="P5" s="11"/>
      <c r="Q5" s="11">
        <v>1</v>
      </c>
      <c r="R5" s="5">
        <f>H5</f>
        <v>30</v>
      </c>
    </row>
    <row r="6" spans="1:18" x14ac:dyDescent="0.25">
      <c r="A6" s="11"/>
      <c r="B6" s="11" t="s">
        <v>27</v>
      </c>
      <c r="C6" s="11" t="s">
        <v>321</v>
      </c>
      <c r="D6" s="11" t="s">
        <v>322</v>
      </c>
      <c r="E6" s="11" t="s">
        <v>323</v>
      </c>
      <c r="F6" s="12">
        <v>12</v>
      </c>
      <c r="G6" s="12">
        <v>0</v>
      </c>
      <c r="H6" s="12">
        <v>30</v>
      </c>
      <c r="I6" s="12">
        <f t="shared" si="0"/>
        <v>-30</v>
      </c>
      <c r="J6" s="11" t="s">
        <v>313</v>
      </c>
      <c r="K6" s="11" t="s">
        <v>33</v>
      </c>
      <c r="L6" s="11" t="s">
        <v>314</v>
      </c>
      <c r="M6" s="11"/>
      <c r="N6" s="11"/>
      <c r="O6" s="11"/>
      <c r="P6" s="11"/>
      <c r="Q6" s="11">
        <v>1</v>
      </c>
      <c r="R6" s="5">
        <f>H6</f>
        <v>30</v>
      </c>
    </row>
    <row r="7" spans="1:18" x14ac:dyDescent="0.25">
      <c r="A7" s="11"/>
      <c r="B7" s="11" t="s">
        <v>27</v>
      </c>
      <c r="C7" s="11" t="s">
        <v>324</v>
      </c>
      <c r="D7" s="11" t="s">
        <v>325</v>
      </c>
      <c r="E7" s="11" t="s">
        <v>326</v>
      </c>
      <c r="F7" s="11" t="s">
        <v>48</v>
      </c>
      <c r="G7" s="12">
        <v>320</v>
      </c>
      <c r="H7" s="12">
        <v>30</v>
      </c>
      <c r="I7" s="12">
        <f t="shared" si="0"/>
        <v>290</v>
      </c>
      <c r="J7" s="11" t="s">
        <v>313</v>
      </c>
      <c r="K7" s="11" t="s">
        <v>33</v>
      </c>
      <c r="L7" s="11" t="s">
        <v>314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327</v>
      </c>
      <c r="D8" s="11" t="s">
        <v>328</v>
      </c>
      <c r="E8" s="11" t="s">
        <v>329</v>
      </c>
      <c r="F8" s="12">
        <v>8</v>
      </c>
      <c r="G8" s="12">
        <v>1410</v>
      </c>
      <c r="H8" s="12">
        <v>30</v>
      </c>
      <c r="I8" s="12">
        <f t="shared" si="0"/>
        <v>1380</v>
      </c>
      <c r="J8" s="11" t="s">
        <v>313</v>
      </c>
      <c r="K8" s="11" t="s">
        <v>33</v>
      </c>
      <c r="L8" s="11" t="s">
        <v>314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330</v>
      </c>
      <c r="D9" s="11" t="s">
        <v>331</v>
      </c>
      <c r="E9" s="11" t="s">
        <v>332</v>
      </c>
      <c r="F9" s="12">
        <v>7</v>
      </c>
      <c r="G9" s="12">
        <v>1080</v>
      </c>
      <c r="H9" s="12">
        <v>30</v>
      </c>
      <c r="I9" s="12">
        <f t="shared" si="0"/>
        <v>1050</v>
      </c>
      <c r="J9" s="11" t="s">
        <v>313</v>
      </c>
      <c r="K9" s="11" t="s">
        <v>33</v>
      </c>
      <c r="L9" s="11" t="s">
        <v>314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129</v>
      </c>
      <c r="D10" s="11" t="s">
        <v>130</v>
      </c>
      <c r="E10" s="11" t="s">
        <v>333</v>
      </c>
      <c r="F10" s="12">
        <v>7</v>
      </c>
      <c r="G10" s="12">
        <v>720</v>
      </c>
      <c r="H10" s="12">
        <v>30</v>
      </c>
      <c r="I10" s="12">
        <f t="shared" si="0"/>
        <v>690</v>
      </c>
      <c r="J10" s="11" t="s">
        <v>313</v>
      </c>
      <c r="K10" s="11" t="s">
        <v>33</v>
      </c>
      <c r="L10" s="11" t="s">
        <v>314</v>
      </c>
      <c r="M10" s="11"/>
      <c r="N10" s="11"/>
      <c r="O10" s="11"/>
      <c r="P10" s="11"/>
      <c r="Q10" s="11">
        <v>1</v>
      </c>
    </row>
    <row r="11" spans="1:18" x14ac:dyDescent="0.25">
      <c r="A11" s="11" t="s">
        <v>59</v>
      </c>
      <c r="B11" s="11" t="s">
        <v>27</v>
      </c>
      <c r="C11" s="11" t="s">
        <v>334</v>
      </c>
      <c r="D11" s="11"/>
      <c r="E11" s="11" t="s">
        <v>335</v>
      </c>
      <c r="F11" s="11" t="s">
        <v>31</v>
      </c>
      <c r="G11" s="12">
        <v>4360</v>
      </c>
      <c r="H11" s="12">
        <v>40</v>
      </c>
      <c r="I11" s="12">
        <f t="shared" si="0"/>
        <v>4320</v>
      </c>
      <c r="J11" s="11" t="s">
        <v>33</v>
      </c>
      <c r="K11" s="11" t="s">
        <v>33</v>
      </c>
      <c r="L11" s="11" t="s">
        <v>314</v>
      </c>
      <c r="M11" s="11"/>
      <c r="N11" s="11"/>
      <c r="O11" s="11"/>
      <c r="P11" s="11"/>
      <c r="Q11" s="11">
        <v>1</v>
      </c>
    </row>
    <row r="12" spans="1:18" x14ac:dyDescent="0.25">
      <c r="A12" s="11" t="s">
        <v>59</v>
      </c>
      <c r="B12" s="11" t="s">
        <v>27</v>
      </c>
      <c r="C12" s="11" t="s">
        <v>113</v>
      </c>
      <c r="D12" s="11"/>
      <c r="E12" s="11" t="s">
        <v>114</v>
      </c>
      <c r="F12" s="11" t="s">
        <v>68</v>
      </c>
      <c r="G12" s="12">
        <v>0</v>
      </c>
      <c r="H12" s="12">
        <v>30</v>
      </c>
      <c r="I12" s="12">
        <f t="shared" si="0"/>
        <v>-30</v>
      </c>
      <c r="J12" s="11" t="s">
        <v>33</v>
      </c>
      <c r="K12" s="11" t="s">
        <v>33</v>
      </c>
      <c r="L12" s="11" t="s">
        <v>314</v>
      </c>
      <c r="M12" s="11"/>
      <c r="N12" s="11"/>
      <c r="O12" s="11"/>
      <c r="P12" s="11"/>
      <c r="Q12" s="11">
        <v>1</v>
      </c>
      <c r="R12" s="5">
        <f>H12</f>
        <v>30</v>
      </c>
    </row>
    <row r="13" spans="1:18" x14ac:dyDescent="0.25">
      <c r="A13" s="11" t="s">
        <v>59</v>
      </c>
      <c r="B13" s="11" t="s">
        <v>27</v>
      </c>
      <c r="C13" s="11" t="s">
        <v>107</v>
      </c>
      <c r="D13" s="11"/>
      <c r="E13" s="11" t="s">
        <v>336</v>
      </c>
      <c r="F13" s="11" t="s">
        <v>68</v>
      </c>
      <c r="G13" s="12">
        <v>8630</v>
      </c>
      <c r="H13" s="12">
        <v>50</v>
      </c>
      <c r="I13" s="12">
        <f t="shared" si="0"/>
        <v>8580</v>
      </c>
      <c r="J13" s="11" t="s">
        <v>33</v>
      </c>
      <c r="K13" s="11" t="s">
        <v>33</v>
      </c>
      <c r="L13" s="11" t="s">
        <v>314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337</v>
      </c>
      <c r="D14" s="11" t="s">
        <v>338</v>
      </c>
      <c r="E14" s="11" t="s">
        <v>339</v>
      </c>
      <c r="F14" s="12">
        <v>12</v>
      </c>
      <c r="G14" s="12">
        <v>2500</v>
      </c>
      <c r="H14" s="12">
        <v>35</v>
      </c>
      <c r="I14" s="12">
        <f t="shared" si="0"/>
        <v>2465</v>
      </c>
      <c r="J14" s="11" t="s">
        <v>33</v>
      </c>
      <c r="K14" s="11" t="s">
        <v>33</v>
      </c>
      <c r="L14" s="11" t="s">
        <v>314</v>
      </c>
      <c r="M14" s="24" t="s">
        <v>340</v>
      </c>
      <c r="N14" s="11"/>
      <c r="O14" s="11"/>
      <c r="P14" s="11"/>
      <c r="Q14" s="11">
        <v>1</v>
      </c>
      <c r="R14" s="5">
        <f>H14</f>
        <v>35</v>
      </c>
    </row>
    <row r="15" spans="1:18" x14ac:dyDescent="0.25">
      <c r="A15" s="11"/>
      <c r="B15" s="11" t="s">
        <v>27</v>
      </c>
      <c r="C15" s="11" t="s">
        <v>341</v>
      </c>
      <c r="D15" s="11" t="s">
        <v>342</v>
      </c>
      <c r="E15" s="11" t="s">
        <v>343</v>
      </c>
      <c r="F15" s="12">
        <v>9</v>
      </c>
      <c r="G15" s="12">
        <v>1850</v>
      </c>
      <c r="H15" s="12">
        <v>30</v>
      </c>
      <c r="I15" s="12">
        <f t="shared" si="0"/>
        <v>1820</v>
      </c>
      <c r="J15" s="11" t="s">
        <v>33</v>
      </c>
      <c r="K15" s="11" t="s">
        <v>33</v>
      </c>
      <c r="L15" s="11" t="s">
        <v>314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344</v>
      </c>
      <c r="D16" s="11" t="s">
        <v>345</v>
      </c>
      <c r="E16" s="11" t="s">
        <v>346</v>
      </c>
      <c r="F16" s="11" t="s">
        <v>68</v>
      </c>
      <c r="G16" s="12">
        <v>945</v>
      </c>
      <c r="H16" s="12">
        <v>25</v>
      </c>
      <c r="I16" s="12">
        <f t="shared" si="0"/>
        <v>920</v>
      </c>
      <c r="J16" s="11" t="s">
        <v>33</v>
      </c>
      <c r="K16" s="11" t="s">
        <v>33</v>
      </c>
      <c r="L16" s="11" t="s">
        <v>314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347</v>
      </c>
      <c r="D17" s="11" t="s">
        <v>348</v>
      </c>
      <c r="E17" s="11" t="s">
        <v>349</v>
      </c>
      <c r="F17" s="11" t="s">
        <v>68</v>
      </c>
      <c r="G17" s="12">
        <v>1845</v>
      </c>
      <c r="H17" s="12">
        <v>25</v>
      </c>
      <c r="I17" s="12">
        <f t="shared" si="0"/>
        <v>1820</v>
      </c>
      <c r="J17" s="11" t="s">
        <v>33</v>
      </c>
      <c r="K17" s="11" t="s">
        <v>33</v>
      </c>
      <c r="L17" s="11" t="s">
        <v>314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350</v>
      </c>
      <c r="D18" s="11" t="s">
        <v>351</v>
      </c>
      <c r="E18" s="11" t="s">
        <v>352</v>
      </c>
      <c r="F18" s="12">
        <v>9</v>
      </c>
      <c r="G18" s="12">
        <v>1290</v>
      </c>
      <c r="H18" s="12">
        <v>30</v>
      </c>
      <c r="I18" s="12">
        <f t="shared" si="0"/>
        <v>1260</v>
      </c>
      <c r="J18" s="11" t="s">
        <v>33</v>
      </c>
      <c r="K18" s="11" t="s">
        <v>33</v>
      </c>
      <c r="L18" s="11" t="s">
        <v>314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353</v>
      </c>
      <c r="D19" s="11" t="s">
        <v>354</v>
      </c>
      <c r="E19" s="11" t="s">
        <v>355</v>
      </c>
      <c r="F19" s="12">
        <v>2</v>
      </c>
      <c r="G19" s="12">
        <v>920</v>
      </c>
      <c r="H19" s="12">
        <v>30</v>
      </c>
      <c r="I19" s="12">
        <f t="shared" si="0"/>
        <v>890</v>
      </c>
      <c r="J19" s="11" t="s">
        <v>33</v>
      </c>
      <c r="K19" s="11" t="s">
        <v>33</v>
      </c>
      <c r="L19" s="11" t="s">
        <v>314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356</v>
      </c>
      <c r="D20" s="11" t="s">
        <v>357</v>
      </c>
      <c r="E20" s="11" t="s">
        <v>358</v>
      </c>
      <c r="F20" s="11" t="s">
        <v>68</v>
      </c>
      <c r="G20" s="12">
        <v>885</v>
      </c>
      <c r="H20" s="12">
        <v>25</v>
      </c>
      <c r="I20" s="12">
        <f t="shared" si="0"/>
        <v>860</v>
      </c>
      <c r="J20" s="11" t="s">
        <v>33</v>
      </c>
      <c r="K20" s="11" t="s">
        <v>33</v>
      </c>
      <c r="L20" s="11" t="s">
        <v>314</v>
      </c>
      <c r="M20" s="11"/>
      <c r="N20" s="11"/>
      <c r="O20" s="11"/>
      <c r="P20" s="11"/>
      <c r="Q20" s="11">
        <v>1</v>
      </c>
    </row>
    <row r="21" spans="1:18" x14ac:dyDescent="0.25">
      <c r="A21" s="11" t="s">
        <v>59</v>
      </c>
      <c r="B21" s="11" t="s">
        <v>27</v>
      </c>
      <c r="C21" s="11" t="s">
        <v>359</v>
      </c>
      <c r="D21" s="11"/>
      <c r="E21" s="11" t="s">
        <v>360</v>
      </c>
      <c r="F21" s="11" t="s">
        <v>44</v>
      </c>
      <c r="G21" s="12">
        <v>0</v>
      </c>
      <c r="H21" s="12">
        <v>30</v>
      </c>
      <c r="I21" s="12">
        <f t="shared" si="0"/>
        <v>-30</v>
      </c>
      <c r="J21" s="11" t="s">
        <v>119</v>
      </c>
      <c r="K21" s="11" t="s">
        <v>33</v>
      </c>
      <c r="L21" s="11" t="s">
        <v>314</v>
      </c>
      <c r="M21" s="11"/>
      <c r="N21" s="11"/>
      <c r="O21" s="11"/>
      <c r="P21" s="11"/>
      <c r="Q21" s="11">
        <v>1</v>
      </c>
      <c r="R21" s="5">
        <f>H21</f>
        <v>30</v>
      </c>
    </row>
    <row r="22" spans="1:18" x14ac:dyDescent="0.25">
      <c r="A22" s="11"/>
      <c r="B22" s="11" t="s">
        <v>27</v>
      </c>
      <c r="C22" s="11" t="s">
        <v>361</v>
      </c>
      <c r="D22" s="11" t="s">
        <v>362</v>
      </c>
      <c r="E22" s="11" t="s">
        <v>363</v>
      </c>
      <c r="F22" s="12">
        <v>1</v>
      </c>
      <c r="G22" s="12">
        <v>0</v>
      </c>
      <c r="H22" s="12">
        <v>25</v>
      </c>
      <c r="I22" s="12">
        <f t="shared" si="0"/>
        <v>-25</v>
      </c>
      <c r="J22" s="11" t="s">
        <v>119</v>
      </c>
      <c r="K22" s="11" t="s">
        <v>33</v>
      </c>
      <c r="L22" s="11" t="s">
        <v>314</v>
      </c>
      <c r="M22" s="11"/>
      <c r="N22" s="11"/>
      <c r="O22" s="11"/>
      <c r="P22" s="11"/>
      <c r="Q22" s="11">
        <v>1</v>
      </c>
      <c r="R22" s="5">
        <f>H22</f>
        <v>25</v>
      </c>
    </row>
    <row r="23" spans="1:18" x14ac:dyDescent="0.25">
      <c r="A23" s="11"/>
      <c r="B23" s="11" t="s">
        <v>27</v>
      </c>
      <c r="C23" s="11" t="s">
        <v>364</v>
      </c>
      <c r="D23" s="11" t="s">
        <v>365</v>
      </c>
      <c r="E23" s="11" t="s">
        <v>366</v>
      </c>
      <c r="F23" s="12">
        <v>3</v>
      </c>
      <c r="G23" s="12">
        <v>805</v>
      </c>
      <c r="H23" s="12">
        <v>25</v>
      </c>
      <c r="I23" s="12">
        <f t="shared" si="0"/>
        <v>780</v>
      </c>
      <c r="J23" s="11" t="s">
        <v>119</v>
      </c>
      <c r="K23" s="11" t="s">
        <v>33</v>
      </c>
      <c r="L23" s="11" t="s">
        <v>314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367</v>
      </c>
      <c r="D24" s="11" t="s">
        <v>368</v>
      </c>
      <c r="E24" s="11" t="s">
        <v>369</v>
      </c>
      <c r="F24" s="11" t="s">
        <v>44</v>
      </c>
      <c r="G24" s="12">
        <v>1645</v>
      </c>
      <c r="H24" s="12">
        <v>25</v>
      </c>
      <c r="I24" s="12">
        <f t="shared" si="0"/>
        <v>1620</v>
      </c>
      <c r="J24" s="11" t="s">
        <v>119</v>
      </c>
      <c r="K24" s="11" t="s">
        <v>33</v>
      </c>
      <c r="L24" s="11" t="s">
        <v>314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370</v>
      </c>
      <c r="D25" s="11" t="s">
        <v>371</v>
      </c>
      <c r="E25" s="11" t="s">
        <v>372</v>
      </c>
      <c r="F25" s="11" t="s">
        <v>44</v>
      </c>
      <c r="G25" s="12">
        <v>845</v>
      </c>
      <c r="H25" s="12">
        <v>25</v>
      </c>
      <c r="I25" s="12">
        <f t="shared" si="0"/>
        <v>820</v>
      </c>
      <c r="J25" s="11" t="s">
        <v>119</v>
      </c>
      <c r="K25" s="11" t="s">
        <v>33</v>
      </c>
      <c r="L25" s="11" t="s">
        <v>314</v>
      </c>
      <c r="M25" s="11"/>
      <c r="N25" s="11"/>
      <c r="O25" s="11"/>
      <c r="P25" s="11"/>
      <c r="Q25" s="11">
        <v>1</v>
      </c>
    </row>
    <row r="27" spans="1:18" x14ac:dyDescent="0.25">
      <c r="D27" s="1">
        <f>COUNTA(D3:D25)</f>
        <v>19</v>
      </c>
      <c r="G27" s="1">
        <f t="shared" ref="G27:Q27" si="1">SUBTOTAL(9,G3:G25)</f>
        <v>30830</v>
      </c>
      <c r="H27" s="1">
        <f t="shared" si="1"/>
        <v>690</v>
      </c>
      <c r="I27" s="1">
        <f t="shared" si="1"/>
        <v>30140</v>
      </c>
      <c r="J27" s="1">
        <f t="shared" si="1"/>
        <v>0</v>
      </c>
      <c r="K27" s="1">
        <f t="shared" si="1"/>
        <v>0</v>
      </c>
      <c r="L27" s="1">
        <f t="shared" si="1"/>
        <v>0</v>
      </c>
      <c r="M27" s="1">
        <f t="shared" si="1"/>
        <v>0</v>
      </c>
      <c r="N27" s="1">
        <f t="shared" si="1"/>
        <v>0</v>
      </c>
      <c r="O27" s="1">
        <f t="shared" si="1"/>
        <v>0</v>
      </c>
      <c r="P27" s="1">
        <f t="shared" si="1"/>
        <v>0</v>
      </c>
      <c r="Q27" s="1">
        <f t="shared" si="1"/>
        <v>23</v>
      </c>
    </row>
    <row r="28" spans="1:18" x14ac:dyDescent="0.25">
      <c r="H28">
        <f>-4*17</f>
        <v>-68</v>
      </c>
    </row>
    <row r="29" spans="1:18" x14ac:dyDescent="0.25">
      <c r="A29" s="1" t="s">
        <v>27</v>
      </c>
      <c r="C29" s="60" t="s">
        <v>158</v>
      </c>
      <c r="D29" s="60"/>
      <c r="E29" s="4" t="s">
        <v>159</v>
      </c>
      <c r="H29">
        <f>-4*25</f>
        <v>-100</v>
      </c>
      <c r="K29" s="6" t="s">
        <v>33</v>
      </c>
      <c r="L29" s="6" t="s">
        <v>160</v>
      </c>
      <c r="M29" s="6" t="s">
        <v>159</v>
      </c>
      <c r="O29" s="4" t="s">
        <v>161</v>
      </c>
    </row>
    <row r="30" spans="1:18" x14ac:dyDescent="0.25">
      <c r="A30" t="s">
        <v>314</v>
      </c>
      <c r="B30" s="3" t="s">
        <v>162</v>
      </c>
      <c r="C30" s="61">
        <f>SUMIFS(I$3:I$25,B$3:B$25,A$29,L$3:L$25,A$30)</f>
        <v>30140</v>
      </c>
      <c r="D30" s="61"/>
      <c r="E30" s="3">
        <f>SUMIFS(Q$3:Q$25,B$3:B$25,A$29,L$3:L$25,A$30)</f>
        <v>23</v>
      </c>
      <c r="F30" t="s">
        <v>163</v>
      </c>
      <c r="K30" t="s">
        <v>164</v>
      </c>
      <c r="L30">
        <f>SUMIFS(G$3:G$25,J$3:J$25,K$29)</f>
        <v>23225</v>
      </c>
      <c r="M30">
        <f>SUMIFS(Q$3:Q$25,J$3:J$25,K$29)-INT(COUNTIFS(J$3:J$25,K$29,M$3:M$25,"*gộp*")/2)</f>
        <v>10</v>
      </c>
      <c r="O30" t="s">
        <v>33</v>
      </c>
      <c r="P30">
        <f>L35</f>
        <v>22909</v>
      </c>
    </row>
    <row r="31" spans="1:18" x14ac:dyDescent="0.25">
      <c r="B31" s="2" t="s">
        <v>166</v>
      </c>
      <c r="C31" s="62">
        <v>0</v>
      </c>
      <c r="D31" s="62"/>
      <c r="K31" t="s">
        <v>167</v>
      </c>
      <c r="L31">
        <f>-SUMIFS(H$3:H$25,J$3:J$25,K$29)+M31*5</f>
        <v>-270</v>
      </c>
      <c r="M31">
        <f>SUMIFS(Q$3:Q$25,J$3:J$25,K$29)-INT(COUNTIFS(J$3:J$25,K$29,M$3:M$25,"*gộp*")/2)</f>
        <v>10</v>
      </c>
      <c r="O31" t="s">
        <v>119</v>
      </c>
      <c r="P31">
        <f>L43</f>
        <v>3190</v>
      </c>
    </row>
    <row r="32" spans="1:18" x14ac:dyDescent="0.25">
      <c r="B32" s="2" t="s">
        <v>168</v>
      </c>
      <c r="C32" s="62">
        <f>-SUMIFS(I$3:I$25,B$3:B$25,A$29,P$3:P$25,"xx",N$3:N$25,"x")</f>
        <v>0</v>
      </c>
      <c r="D32" s="62"/>
      <c r="E32" s="2">
        <f>SUMIFS(Q$3:Q$25,B$3:B$25,A$29,P$3:P$25,"xx",N$3:N$25,"x")</f>
        <v>0</v>
      </c>
      <c r="K32" t="s">
        <v>169</v>
      </c>
      <c r="L32">
        <f>-M32*2</f>
        <v>-46</v>
      </c>
      <c r="M32">
        <f>E33-(COUNTIFS(M$3:M$25,"*gộp*")/2)-COUNTIFS(M$3:M$25,"*đơn trả*")-COUNTIFS(M$3:M$25,"*hàng tỉnh*")</f>
        <v>23</v>
      </c>
      <c r="O32" t="s">
        <v>373</v>
      </c>
      <c r="P32">
        <f>L51</f>
        <v>4142</v>
      </c>
    </row>
    <row r="33" spans="2:16" x14ac:dyDescent="0.25">
      <c r="B33" s="4" t="s">
        <v>170</v>
      </c>
      <c r="C33" s="60">
        <f>SUBTOTAL(9,C30:C32)</f>
        <v>30140</v>
      </c>
      <c r="D33" s="60"/>
      <c r="E33">
        <f>E30</f>
        <v>23</v>
      </c>
      <c r="K33" s="7" t="s">
        <v>155</v>
      </c>
      <c r="O33" t="s">
        <v>171</v>
      </c>
      <c r="P33">
        <f>-C37</f>
        <v>-30140</v>
      </c>
    </row>
    <row r="34" spans="2:16" x14ac:dyDescent="0.25">
      <c r="B34" s="2" t="s">
        <v>172</v>
      </c>
      <c r="C34" s="58"/>
      <c r="D34" s="58"/>
      <c r="K34" s="2" t="s">
        <v>173</v>
      </c>
      <c r="O34" s="4" t="s">
        <v>174</v>
      </c>
      <c r="P34" s="4">
        <f>SUBTOTAL(9,P30:P33)</f>
        <v>101</v>
      </c>
    </row>
    <row r="35" spans="2:16" x14ac:dyDescent="0.25">
      <c r="B35" s="8" t="s">
        <v>175</v>
      </c>
      <c r="C35" s="58"/>
      <c r="D35" s="58"/>
      <c r="L35" s="9">
        <f>SUBTOTAL(9,L30:L34)</f>
        <v>22909</v>
      </c>
      <c r="M35" s="9">
        <f>M30</f>
        <v>10</v>
      </c>
    </row>
    <row r="37" spans="2:16" x14ac:dyDescent="0.25">
      <c r="B37" s="1" t="s">
        <v>176</v>
      </c>
      <c r="C37" s="59">
        <f>C33+C34+C35</f>
        <v>30140</v>
      </c>
      <c r="D37" s="59"/>
      <c r="E37" s="1" t="s">
        <v>177</v>
      </c>
      <c r="K37" s="6" t="s">
        <v>119</v>
      </c>
      <c r="L37" s="6" t="s">
        <v>160</v>
      </c>
      <c r="M37" s="6" t="s">
        <v>159</v>
      </c>
    </row>
    <row r="38" spans="2:16" x14ac:dyDescent="0.25">
      <c r="K38" t="s">
        <v>164</v>
      </c>
      <c r="L38">
        <f>SUMIFS(G$3:G$25,J$3:J$25,K$37)</f>
        <v>3295</v>
      </c>
      <c r="M38">
        <f>SUMIFS(Q$3:Q$25,J$3:J$25,K$37)-INT(COUNTIFS(J$3:J$25,K$37,M$3:M$25,"*gộp*")/2)</f>
        <v>5</v>
      </c>
    </row>
    <row r="39" spans="2:16" x14ac:dyDescent="0.25">
      <c r="K39" t="s">
        <v>167</v>
      </c>
      <c r="L39">
        <f>-SUMIFS(H$3:H$25,J$3:J$25,K$37)+M39*5</f>
        <v>-105</v>
      </c>
      <c r="M39">
        <f>SUMIFS(Q$3:Q$25,J$3:J$25,K$37)-INT(COUNTIFS(J$3:J$25,K$37,M$3:M$25,"*gộp*")/2)</f>
        <v>5</v>
      </c>
    </row>
    <row r="40" spans="2:16" x14ac:dyDescent="0.25">
      <c r="K40" t="s">
        <v>169</v>
      </c>
    </row>
    <row r="41" spans="2:16" x14ac:dyDescent="0.25">
      <c r="K41" s="7" t="s">
        <v>155</v>
      </c>
    </row>
    <row r="42" spans="2:16" x14ac:dyDescent="0.25">
      <c r="K42" s="2" t="s">
        <v>173</v>
      </c>
    </row>
    <row r="43" spans="2:16" x14ac:dyDescent="0.25">
      <c r="L43" s="9">
        <f>SUBTOTAL(9,L38:L42)</f>
        <v>3190</v>
      </c>
      <c r="M43" s="9">
        <f>M38</f>
        <v>5</v>
      </c>
    </row>
    <row r="45" spans="2:16" x14ac:dyDescent="0.25">
      <c r="K45" s="6" t="s">
        <v>313</v>
      </c>
      <c r="L45" s="6" t="s">
        <v>160</v>
      </c>
      <c r="M45" s="6" t="s">
        <v>159</v>
      </c>
    </row>
    <row r="46" spans="2:16" x14ac:dyDescent="0.25">
      <c r="K46" t="s">
        <v>164</v>
      </c>
      <c r="L46">
        <f>SUMIFS(G$3:G$25,J$3:J$25,K$45)</f>
        <v>4310</v>
      </c>
      <c r="M46">
        <f>SUMIFS(Q$3:Q$25,J$3:J$25,K$45)-INT(COUNTIFS(J$3:J$25,K$45,M$3:M$25,"*gộp*")/2)</f>
        <v>8</v>
      </c>
    </row>
    <row r="47" spans="2:16" x14ac:dyDescent="0.25">
      <c r="K47" t="s">
        <v>167</v>
      </c>
      <c r="L47">
        <f>SUM(H28:H29)</f>
        <v>-168</v>
      </c>
      <c r="M47">
        <f>SUMIFS(Q$3:Q$25,J$3:J$25,K$45)-INT(COUNTIFS(J$3:J$25,K$45,M$3:M$25,"*gộp*")/2)</f>
        <v>8</v>
      </c>
    </row>
    <row r="48" spans="2:16" x14ac:dyDescent="0.25">
      <c r="K48" t="s">
        <v>169</v>
      </c>
    </row>
    <row r="49" spans="11:13" x14ac:dyDescent="0.25">
      <c r="K49" s="7" t="s">
        <v>155</v>
      </c>
    </row>
    <row r="50" spans="11:13" x14ac:dyDescent="0.25">
      <c r="K50" s="2" t="s">
        <v>173</v>
      </c>
    </row>
    <row r="51" spans="11:13" x14ac:dyDescent="0.25">
      <c r="L51" s="9">
        <f>SUBTOTAL(9,L46:L50)</f>
        <v>4142</v>
      </c>
      <c r="M51" s="9">
        <f>M46</f>
        <v>8</v>
      </c>
    </row>
  </sheetData>
  <autoFilter ref="A2:P25" xr:uid="{00000000-0009-0000-0000-000003000000}">
    <sortState xmlns:xlrd2="http://schemas.microsoft.com/office/spreadsheetml/2017/richdata2" ref="A3:P25">
      <sortCondition ref="J2:J25"/>
    </sortState>
  </autoFilter>
  <mergeCells count="8">
    <mergeCell ref="C34:D34"/>
    <mergeCell ref="C35:D35"/>
    <mergeCell ref="C37:D37"/>
    <mergeCell ref="C29:D29"/>
    <mergeCell ref="C30:D30"/>
    <mergeCell ref="C31:D31"/>
    <mergeCell ref="C32:D32"/>
    <mergeCell ref="C33:D33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52"/>
  <sheetViews>
    <sheetView topLeftCell="A8" workbookViewId="0">
      <selection activeCell="C8" sqref="C8"/>
    </sheetView>
  </sheetViews>
  <sheetFormatPr defaultRowHeight="15" x14ac:dyDescent="0.25"/>
  <cols>
    <col min="1" max="1" width="12.7109375" customWidth="1"/>
    <col min="2" max="2" width="8.7109375" customWidth="1"/>
    <col min="3" max="3" width="29.85546875" customWidth="1"/>
    <col min="4" max="4" width="9.85546875" customWidth="1"/>
    <col min="5" max="5" width="70.5703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26</v>
      </c>
    </row>
    <row r="3" spans="1:17" x14ac:dyDescent="0.25">
      <c r="A3" s="11"/>
      <c r="B3" s="11" t="s">
        <v>27</v>
      </c>
      <c r="C3" s="11" t="s">
        <v>374</v>
      </c>
      <c r="D3" s="11" t="s">
        <v>375</v>
      </c>
      <c r="E3" s="11" t="s">
        <v>376</v>
      </c>
      <c r="F3" s="12">
        <v>8</v>
      </c>
      <c r="G3" s="12">
        <v>0</v>
      </c>
      <c r="H3" s="12">
        <v>30</v>
      </c>
      <c r="I3" s="12">
        <f t="shared" ref="I3:I26" si="0">G3-H3</f>
        <v>-30</v>
      </c>
      <c r="J3" s="11" t="s">
        <v>377</v>
      </c>
      <c r="K3" s="11" t="s">
        <v>33</v>
      </c>
      <c r="L3" s="11" t="s">
        <v>378</v>
      </c>
      <c r="M3" s="11"/>
      <c r="N3" s="11"/>
      <c r="O3" s="11"/>
      <c r="P3" s="11"/>
      <c r="Q3" s="11">
        <v>1</v>
      </c>
    </row>
    <row r="4" spans="1:17" x14ac:dyDescent="0.25">
      <c r="A4" s="11"/>
      <c r="B4" s="11" t="s">
        <v>27</v>
      </c>
      <c r="C4" s="11" t="s">
        <v>379</v>
      </c>
      <c r="D4" s="11" t="s">
        <v>380</v>
      </c>
      <c r="E4" s="11" t="s">
        <v>381</v>
      </c>
      <c r="F4" s="12">
        <v>6</v>
      </c>
      <c r="G4" s="12">
        <v>665</v>
      </c>
      <c r="H4" s="12">
        <v>25</v>
      </c>
      <c r="I4" s="12">
        <f t="shared" si="0"/>
        <v>640</v>
      </c>
      <c r="J4" s="11" t="s">
        <v>377</v>
      </c>
      <c r="K4" s="11" t="s">
        <v>33</v>
      </c>
      <c r="L4" s="11" t="s">
        <v>378</v>
      </c>
      <c r="M4" s="11"/>
      <c r="N4" s="11"/>
      <c r="O4" s="11"/>
      <c r="P4" s="11"/>
      <c r="Q4" s="11">
        <v>1</v>
      </c>
    </row>
    <row r="5" spans="1:17" s="15" customFormat="1" x14ac:dyDescent="0.25">
      <c r="A5" s="13"/>
      <c r="B5" s="13" t="s">
        <v>27</v>
      </c>
      <c r="C5" s="13" t="s">
        <v>179</v>
      </c>
      <c r="D5" s="13" t="s">
        <v>382</v>
      </c>
      <c r="E5" s="13" t="s">
        <v>181</v>
      </c>
      <c r="F5" s="14">
        <v>7</v>
      </c>
      <c r="G5" s="14">
        <v>0</v>
      </c>
      <c r="H5" s="14">
        <v>30</v>
      </c>
      <c r="I5" s="14">
        <f t="shared" si="0"/>
        <v>-30</v>
      </c>
      <c r="J5" s="13" t="s">
        <v>377</v>
      </c>
      <c r="K5" s="13" t="s">
        <v>33</v>
      </c>
      <c r="L5" s="13" t="s">
        <v>378</v>
      </c>
      <c r="M5" s="13" t="s">
        <v>100</v>
      </c>
      <c r="N5" s="13"/>
      <c r="O5" s="13"/>
      <c r="P5" s="13"/>
      <c r="Q5" s="13">
        <v>1</v>
      </c>
    </row>
    <row r="6" spans="1:17" x14ac:dyDescent="0.25">
      <c r="A6" s="11"/>
      <c r="B6" s="11" t="s">
        <v>27</v>
      </c>
      <c r="C6" s="11" t="s">
        <v>383</v>
      </c>
      <c r="D6" s="11" t="s">
        <v>384</v>
      </c>
      <c r="E6" s="11" t="s">
        <v>385</v>
      </c>
      <c r="F6" s="12">
        <v>8</v>
      </c>
      <c r="G6" s="12">
        <v>820</v>
      </c>
      <c r="H6" s="12">
        <v>30</v>
      </c>
      <c r="I6" s="12">
        <f t="shared" si="0"/>
        <v>790</v>
      </c>
      <c r="J6" s="11" t="s">
        <v>377</v>
      </c>
      <c r="K6" s="11" t="s">
        <v>33</v>
      </c>
      <c r="L6" s="11" t="s">
        <v>378</v>
      </c>
      <c r="M6" s="11"/>
      <c r="N6" s="11"/>
      <c r="O6" s="11"/>
      <c r="P6" s="11"/>
      <c r="Q6" s="11">
        <v>1</v>
      </c>
    </row>
    <row r="7" spans="1:17" x14ac:dyDescent="0.25">
      <c r="A7" s="11"/>
      <c r="B7" s="11" t="s">
        <v>27</v>
      </c>
      <c r="C7" s="11" t="s">
        <v>386</v>
      </c>
      <c r="D7" s="11" t="s">
        <v>387</v>
      </c>
      <c r="E7" s="11" t="s">
        <v>388</v>
      </c>
      <c r="F7" s="12">
        <v>7</v>
      </c>
      <c r="G7" s="12">
        <v>950</v>
      </c>
      <c r="H7" s="12">
        <v>30</v>
      </c>
      <c r="I7" s="12">
        <f t="shared" si="0"/>
        <v>920</v>
      </c>
      <c r="J7" s="11" t="s">
        <v>377</v>
      </c>
      <c r="K7" s="11" t="s">
        <v>33</v>
      </c>
      <c r="L7" s="11" t="s">
        <v>378</v>
      </c>
      <c r="M7" s="11"/>
      <c r="N7" s="11"/>
      <c r="O7" s="11"/>
      <c r="P7" s="11"/>
      <c r="Q7" s="11">
        <v>1</v>
      </c>
    </row>
    <row r="8" spans="1:17" x14ac:dyDescent="0.25">
      <c r="A8" s="11"/>
      <c r="B8" s="11" t="s">
        <v>27</v>
      </c>
      <c r="C8" s="11" t="s">
        <v>389</v>
      </c>
      <c r="D8" s="11" t="s">
        <v>390</v>
      </c>
      <c r="E8" s="11" t="s">
        <v>391</v>
      </c>
      <c r="F8" s="12">
        <v>8</v>
      </c>
      <c r="G8" s="12">
        <v>0</v>
      </c>
      <c r="H8" s="12">
        <v>30</v>
      </c>
      <c r="I8" s="12">
        <f t="shared" si="0"/>
        <v>-30</v>
      </c>
      <c r="J8" s="11" t="s">
        <v>377</v>
      </c>
      <c r="K8" s="11" t="s">
        <v>33</v>
      </c>
      <c r="L8" s="11" t="s">
        <v>378</v>
      </c>
      <c r="M8" s="11"/>
      <c r="N8" s="11"/>
      <c r="O8" s="11"/>
      <c r="P8" s="11"/>
      <c r="Q8" s="11">
        <v>1</v>
      </c>
    </row>
    <row r="9" spans="1:17" x14ac:dyDescent="0.25">
      <c r="A9" s="11" t="s">
        <v>59</v>
      </c>
      <c r="B9" s="11" t="s">
        <v>27</v>
      </c>
      <c r="C9" s="11" t="s">
        <v>113</v>
      </c>
      <c r="D9" s="11"/>
      <c r="E9" s="11" t="s">
        <v>114</v>
      </c>
      <c r="F9" s="11" t="s">
        <v>68</v>
      </c>
      <c r="G9" s="12">
        <v>0</v>
      </c>
      <c r="H9" s="12">
        <v>30</v>
      </c>
      <c r="I9" s="12">
        <f t="shared" si="0"/>
        <v>-30</v>
      </c>
      <c r="J9" s="11" t="s">
        <v>33</v>
      </c>
      <c r="K9" s="11" t="s">
        <v>33</v>
      </c>
      <c r="L9" s="11" t="s">
        <v>378</v>
      </c>
      <c r="M9" s="11"/>
      <c r="N9" s="11"/>
      <c r="O9" s="11"/>
      <c r="P9" s="11"/>
      <c r="Q9" s="11">
        <v>1</v>
      </c>
    </row>
    <row r="10" spans="1:17" x14ac:dyDescent="0.25">
      <c r="A10" s="11"/>
      <c r="B10" s="11" t="s">
        <v>27</v>
      </c>
      <c r="C10" s="11" t="s">
        <v>392</v>
      </c>
      <c r="D10" s="11" t="s">
        <v>393</v>
      </c>
      <c r="E10" s="11" t="s">
        <v>394</v>
      </c>
      <c r="F10" s="12">
        <v>12</v>
      </c>
      <c r="G10" s="12">
        <v>0</v>
      </c>
      <c r="H10" s="12">
        <v>30</v>
      </c>
      <c r="I10" s="12">
        <f t="shared" si="0"/>
        <v>-30</v>
      </c>
      <c r="J10" s="11" t="s">
        <v>33</v>
      </c>
      <c r="K10" s="11" t="s">
        <v>33</v>
      </c>
      <c r="L10" s="11" t="s">
        <v>378</v>
      </c>
      <c r="M10" s="11"/>
      <c r="N10" s="11"/>
      <c r="O10" s="11"/>
      <c r="P10" s="11"/>
      <c r="Q10" s="11">
        <v>1</v>
      </c>
    </row>
    <row r="11" spans="1:17" x14ac:dyDescent="0.25">
      <c r="A11" s="11"/>
      <c r="B11" s="11" t="s">
        <v>27</v>
      </c>
      <c r="C11" s="11" t="s">
        <v>395</v>
      </c>
      <c r="D11" s="11" t="s">
        <v>396</v>
      </c>
      <c r="E11" s="11" t="s">
        <v>397</v>
      </c>
      <c r="F11" s="12">
        <v>12</v>
      </c>
      <c r="G11" s="12">
        <v>1200</v>
      </c>
      <c r="H11" s="12">
        <v>30</v>
      </c>
      <c r="I11" s="12">
        <f t="shared" si="0"/>
        <v>1170</v>
      </c>
      <c r="J11" s="11" t="s">
        <v>33</v>
      </c>
      <c r="K11" s="11" t="s">
        <v>33</v>
      </c>
      <c r="L11" s="11" t="s">
        <v>378</v>
      </c>
      <c r="M11" s="11"/>
      <c r="N11" s="11"/>
      <c r="O11" s="11"/>
      <c r="P11" s="11"/>
      <c r="Q11" s="11">
        <v>1</v>
      </c>
    </row>
    <row r="12" spans="1:17" x14ac:dyDescent="0.25">
      <c r="A12" s="11"/>
      <c r="B12" s="11" t="s">
        <v>27</v>
      </c>
      <c r="C12" s="11" t="s">
        <v>398</v>
      </c>
      <c r="D12" s="11" t="s">
        <v>399</v>
      </c>
      <c r="E12" s="11" t="s">
        <v>400</v>
      </c>
      <c r="F12" s="12">
        <v>12</v>
      </c>
      <c r="G12" s="12">
        <v>1160</v>
      </c>
      <c r="H12" s="12">
        <v>30</v>
      </c>
      <c r="I12" s="12">
        <f t="shared" si="0"/>
        <v>1130</v>
      </c>
      <c r="J12" s="11" t="s">
        <v>33</v>
      </c>
      <c r="K12" s="11" t="s">
        <v>33</v>
      </c>
      <c r="L12" s="11" t="s">
        <v>378</v>
      </c>
      <c r="M12" s="11"/>
      <c r="N12" s="11"/>
      <c r="O12" s="11"/>
      <c r="P12" s="11"/>
      <c r="Q12" s="11">
        <v>1</v>
      </c>
    </row>
    <row r="13" spans="1:17" x14ac:dyDescent="0.25">
      <c r="A13" s="11"/>
      <c r="B13" s="11" t="s">
        <v>27</v>
      </c>
      <c r="C13" s="11" t="s">
        <v>401</v>
      </c>
      <c r="D13" s="11" t="s">
        <v>402</v>
      </c>
      <c r="E13" s="11" t="s">
        <v>403</v>
      </c>
      <c r="F13" s="11" t="s">
        <v>78</v>
      </c>
      <c r="G13" s="12">
        <v>1760</v>
      </c>
      <c r="H13" s="12">
        <v>20</v>
      </c>
      <c r="I13" s="12">
        <f t="shared" si="0"/>
        <v>1740</v>
      </c>
      <c r="J13" s="11" t="s">
        <v>33</v>
      </c>
      <c r="K13" s="11" t="s">
        <v>33</v>
      </c>
      <c r="L13" s="11" t="s">
        <v>378</v>
      </c>
      <c r="M13" s="11"/>
      <c r="N13" s="11"/>
      <c r="O13" s="11"/>
      <c r="P13" s="11"/>
      <c r="Q13" s="11">
        <v>1</v>
      </c>
    </row>
    <row r="14" spans="1:17" x14ac:dyDescent="0.25">
      <c r="A14" s="11"/>
      <c r="B14" s="11" t="s">
        <v>27</v>
      </c>
      <c r="C14" s="11" t="s">
        <v>404</v>
      </c>
      <c r="D14" s="11" t="s">
        <v>405</v>
      </c>
      <c r="E14" s="11" t="s">
        <v>406</v>
      </c>
      <c r="F14" s="12">
        <v>2</v>
      </c>
      <c r="G14" s="12">
        <v>1630</v>
      </c>
      <c r="H14" s="12">
        <v>30</v>
      </c>
      <c r="I14" s="12">
        <f t="shared" si="0"/>
        <v>1600</v>
      </c>
      <c r="J14" s="11" t="s">
        <v>33</v>
      </c>
      <c r="K14" s="11" t="s">
        <v>33</v>
      </c>
      <c r="L14" s="11" t="s">
        <v>378</v>
      </c>
      <c r="M14" s="11"/>
      <c r="N14" s="11"/>
      <c r="O14" s="11"/>
      <c r="P14" s="11"/>
      <c r="Q14" s="11">
        <v>1</v>
      </c>
    </row>
    <row r="15" spans="1:17" x14ac:dyDescent="0.25">
      <c r="A15" s="11"/>
      <c r="B15" s="11" t="s">
        <v>27</v>
      </c>
      <c r="C15" s="11" t="s">
        <v>407</v>
      </c>
      <c r="D15" s="11" t="s">
        <v>408</v>
      </c>
      <c r="E15" s="11" t="s">
        <v>409</v>
      </c>
      <c r="F15" s="12">
        <v>12</v>
      </c>
      <c r="G15" s="12">
        <v>790</v>
      </c>
      <c r="H15" s="12">
        <v>30</v>
      </c>
      <c r="I15" s="12">
        <f t="shared" si="0"/>
        <v>760</v>
      </c>
      <c r="J15" s="11" t="s">
        <v>33</v>
      </c>
      <c r="K15" s="11" t="s">
        <v>33</v>
      </c>
      <c r="L15" s="11" t="s">
        <v>378</v>
      </c>
      <c r="M15" s="11"/>
      <c r="N15" s="11"/>
      <c r="O15" s="11"/>
      <c r="P15" s="11"/>
      <c r="Q15" s="11">
        <v>1</v>
      </c>
    </row>
    <row r="16" spans="1:17" x14ac:dyDescent="0.25">
      <c r="A16" s="11"/>
      <c r="B16" s="11" t="s">
        <v>27</v>
      </c>
      <c r="C16" s="11" t="s">
        <v>410</v>
      </c>
      <c r="D16" s="11" t="s">
        <v>411</v>
      </c>
      <c r="E16" s="11" t="s">
        <v>412</v>
      </c>
      <c r="F16" s="11" t="s">
        <v>68</v>
      </c>
      <c r="G16" s="12">
        <v>935</v>
      </c>
      <c r="H16" s="12">
        <v>25</v>
      </c>
      <c r="I16" s="12">
        <f t="shared" si="0"/>
        <v>910</v>
      </c>
      <c r="J16" s="11" t="s">
        <v>33</v>
      </c>
      <c r="K16" s="11" t="s">
        <v>33</v>
      </c>
      <c r="L16" s="11" t="s">
        <v>378</v>
      </c>
      <c r="M16" s="11"/>
      <c r="N16" s="11"/>
      <c r="O16" s="11"/>
      <c r="P16" s="11"/>
      <c r="Q16" s="11">
        <v>1</v>
      </c>
    </row>
    <row r="17" spans="1:17" x14ac:dyDescent="0.25">
      <c r="A17" s="11"/>
      <c r="B17" s="11" t="s">
        <v>27</v>
      </c>
      <c r="C17" s="11" t="s">
        <v>413</v>
      </c>
      <c r="D17" s="11" t="s">
        <v>414</v>
      </c>
      <c r="E17" s="11" t="s">
        <v>415</v>
      </c>
      <c r="F17" s="11" t="s">
        <v>44</v>
      </c>
      <c r="G17" s="12">
        <v>1565</v>
      </c>
      <c r="H17" s="12">
        <v>25</v>
      </c>
      <c r="I17" s="12">
        <f t="shared" si="0"/>
        <v>1540</v>
      </c>
      <c r="J17" s="11" t="s">
        <v>33</v>
      </c>
      <c r="K17" s="11" t="s">
        <v>33</v>
      </c>
      <c r="L17" s="11" t="s">
        <v>378</v>
      </c>
      <c r="M17" s="11"/>
      <c r="N17" s="11"/>
      <c r="O17" s="11"/>
      <c r="P17" s="11"/>
      <c r="Q17" s="11">
        <v>1</v>
      </c>
    </row>
    <row r="18" spans="1:17" x14ac:dyDescent="0.25">
      <c r="A18" s="11"/>
      <c r="B18" s="11" t="s">
        <v>27</v>
      </c>
      <c r="C18" s="11" t="s">
        <v>416</v>
      </c>
      <c r="D18" s="11" t="s">
        <v>417</v>
      </c>
      <c r="E18" s="11" t="s">
        <v>418</v>
      </c>
      <c r="F18" s="12">
        <v>12</v>
      </c>
      <c r="G18" s="12">
        <v>0</v>
      </c>
      <c r="H18" s="12">
        <v>30</v>
      </c>
      <c r="I18" s="12">
        <f t="shared" si="0"/>
        <v>-30</v>
      </c>
      <c r="J18" s="11" t="s">
        <v>33</v>
      </c>
      <c r="K18" s="11" t="s">
        <v>33</v>
      </c>
      <c r="L18" s="11" t="s">
        <v>378</v>
      </c>
      <c r="M18" s="11"/>
      <c r="N18" s="11"/>
      <c r="O18" s="11"/>
      <c r="P18" s="11"/>
      <c r="Q18" s="11">
        <v>1</v>
      </c>
    </row>
    <row r="19" spans="1:17" x14ac:dyDescent="0.25">
      <c r="A19" s="11"/>
      <c r="B19" s="11" t="s">
        <v>27</v>
      </c>
      <c r="C19" s="11" t="s">
        <v>419</v>
      </c>
      <c r="D19" s="11" t="s">
        <v>420</v>
      </c>
      <c r="E19" s="11" t="s">
        <v>421</v>
      </c>
      <c r="F19" s="11" t="s">
        <v>78</v>
      </c>
      <c r="G19" s="12">
        <v>0</v>
      </c>
      <c r="H19" s="12">
        <v>20</v>
      </c>
      <c r="I19" s="12">
        <f t="shared" si="0"/>
        <v>-20</v>
      </c>
      <c r="J19" s="11" t="s">
        <v>33</v>
      </c>
      <c r="K19" s="11" t="s">
        <v>33</v>
      </c>
      <c r="L19" s="11" t="s">
        <v>378</v>
      </c>
      <c r="M19" s="11"/>
      <c r="N19" s="11"/>
      <c r="O19" s="11"/>
      <c r="P19" s="11"/>
      <c r="Q19" s="11">
        <v>1</v>
      </c>
    </row>
    <row r="20" spans="1:17" x14ac:dyDescent="0.25">
      <c r="A20" s="11"/>
      <c r="B20" s="11" t="s">
        <v>27</v>
      </c>
      <c r="C20" s="11" t="s">
        <v>422</v>
      </c>
      <c r="D20" s="11" t="s">
        <v>423</v>
      </c>
      <c r="E20" s="11" t="s">
        <v>424</v>
      </c>
      <c r="F20" s="11" t="s">
        <v>44</v>
      </c>
      <c r="G20" s="12">
        <v>2290</v>
      </c>
      <c r="H20" s="12">
        <v>30</v>
      </c>
      <c r="I20" s="12">
        <f t="shared" si="0"/>
        <v>2260</v>
      </c>
      <c r="J20" s="11" t="s">
        <v>119</v>
      </c>
      <c r="K20" s="11" t="s">
        <v>33</v>
      </c>
      <c r="L20" s="11" t="s">
        <v>378</v>
      </c>
      <c r="M20" s="24" t="s">
        <v>340</v>
      </c>
      <c r="N20" s="11"/>
      <c r="O20" s="11"/>
      <c r="P20" s="11"/>
      <c r="Q20" s="11">
        <v>1</v>
      </c>
    </row>
    <row r="21" spans="1:17" x14ac:dyDescent="0.25">
      <c r="A21" s="11"/>
      <c r="B21" s="11" t="s">
        <v>27</v>
      </c>
      <c r="C21" s="11" t="s">
        <v>425</v>
      </c>
      <c r="D21" s="11" t="s">
        <v>426</v>
      </c>
      <c r="E21" s="11" t="s">
        <v>427</v>
      </c>
      <c r="F21" s="12">
        <v>8</v>
      </c>
      <c r="G21" s="12">
        <v>0</v>
      </c>
      <c r="H21" s="12">
        <v>30</v>
      </c>
      <c r="I21" s="12">
        <f t="shared" si="0"/>
        <v>-30</v>
      </c>
      <c r="J21" s="11" t="s">
        <v>119</v>
      </c>
      <c r="K21" s="11" t="s">
        <v>33</v>
      </c>
      <c r="L21" s="11" t="s">
        <v>378</v>
      </c>
      <c r="M21" s="11"/>
      <c r="N21" s="11"/>
      <c r="O21" s="11"/>
      <c r="P21" s="11"/>
      <c r="Q21" s="11">
        <v>1</v>
      </c>
    </row>
    <row r="22" spans="1:17" x14ac:dyDescent="0.25">
      <c r="A22" s="11"/>
      <c r="B22" s="11" t="s">
        <v>27</v>
      </c>
      <c r="C22" s="11" t="s">
        <v>428</v>
      </c>
      <c r="D22" s="11" t="s">
        <v>429</v>
      </c>
      <c r="E22" s="11" t="s">
        <v>430</v>
      </c>
      <c r="F22" s="12">
        <v>10</v>
      </c>
      <c r="G22" s="12">
        <v>895</v>
      </c>
      <c r="H22" s="12">
        <v>25</v>
      </c>
      <c r="I22" s="12">
        <f t="shared" si="0"/>
        <v>870</v>
      </c>
      <c r="J22" s="11" t="s">
        <v>119</v>
      </c>
      <c r="K22" s="11" t="s">
        <v>33</v>
      </c>
      <c r="L22" s="11" t="s">
        <v>378</v>
      </c>
      <c r="M22" s="11"/>
      <c r="N22" s="11"/>
      <c r="O22" s="11"/>
      <c r="P22" s="11"/>
      <c r="Q22" s="11">
        <v>1</v>
      </c>
    </row>
    <row r="23" spans="1:17" x14ac:dyDescent="0.25">
      <c r="A23" s="11"/>
      <c r="B23" s="11" t="s">
        <v>27</v>
      </c>
      <c r="C23" s="11" t="s">
        <v>431</v>
      </c>
      <c r="D23" s="11" t="s">
        <v>432</v>
      </c>
      <c r="E23" s="11" t="s">
        <v>433</v>
      </c>
      <c r="F23" s="12">
        <v>4</v>
      </c>
      <c r="G23" s="12">
        <v>0</v>
      </c>
      <c r="H23" s="12">
        <v>25</v>
      </c>
      <c r="I23" s="12">
        <f t="shared" si="0"/>
        <v>-25</v>
      </c>
      <c r="J23" s="11" t="s">
        <v>119</v>
      </c>
      <c r="K23" s="11" t="s">
        <v>33</v>
      </c>
      <c r="L23" s="11" t="s">
        <v>378</v>
      </c>
      <c r="M23" s="11"/>
      <c r="N23" s="11"/>
      <c r="O23" s="11"/>
      <c r="P23" s="11"/>
      <c r="Q23" s="11">
        <v>1</v>
      </c>
    </row>
    <row r="24" spans="1:17" x14ac:dyDescent="0.25">
      <c r="A24" s="11"/>
      <c r="B24" s="11" t="s">
        <v>27</v>
      </c>
      <c r="C24" s="11" t="s">
        <v>434</v>
      </c>
      <c r="D24" s="11" t="s">
        <v>435</v>
      </c>
      <c r="E24" s="11" t="s">
        <v>436</v>
      </c>
      <c r="F24" s="12">
        <v>1</v>
      </c>
      <c r="G24" s="12">
        <v>0</v>
      </c>
      <c r="H24" s="12">
        <v>25</v>
      </c>
      <c r="I24" s="12">
        <f t="shared" si="0"/>
        <v>-25</v>
      </c>
      <c r="J24" s="11" t="s">
        <v>119</v>
      </c>
      <c r="K24" s="11" t="s">
        <v>33</v>
      </c>
      <c r="L24" s="11" t="s">
        <v>378</v>
      </c>
      <c r="M24" s="11"/>
      <c r="N24" s="11"/>
      <c r="O24" s="11"/>
      <c r="P24" s="11"/>
      <c r="Q24" s="11">
        <v>1</v>
      </c>
    </row>
    <row r="25" spans="1:17" x14ac:dyDescent="0.25">
      <c r="A25" s="11"/>
      <c r="B25" s="11" t="s">
        <v>27</v>
      </c>
      <c r="C25" s="11" t="s">
        <v>437</v>
      </c>
      <c r="D25" s="11" t="s">
        <v>438</v>
      </c>
      <c r="E25" s="11" t="s">
        <v>439</v>
      </c>
      <c r="F25" s="12">
        <v>10</v>
      </c>
      <c r="G25" s="12">
        <v>785</v>
      </c>
      <c r="H25" s="12">
        <v>25</v>
      </c>
      <c r="I25" s="12">
        <f t="shared" si="0"/>
        <v>760</v>
      </c>
      <c r="J25" s="11" t="s">
        <v>119</v>
      </c>
      <c r="K25" s="11" t="s">
        <v>33</v>
      </c>
      <c r="L25" s="11" t="s">
        <v>378</v>
      </c>
      <c r="M25" s="11"/>
      <c r="N25" s="11"/>
      <c r="O25" s="11"/>
      <c r="P25" s="11"/>
      <c r="Q25" s="11">
        <v>1</v>
      </c>
    </row>
    <row r="26" spans="1:17" s="2" customFormat="1" x14ac:dyDescent="0.25">
      <c r="A26" s="16"/>
      <c r="B26" s="16" t="s">
        <v>27</v>
      </c>
      <c r="C26" s="16" t="s">
        <v>266</v>
      </c>
      <c r="D26" s="16" t="s">
        <v>267</v>
      </c>
      <c r="E26" s="16" t="s">
        <v>268</v>
      </c>
      <c r="F26" s="17">
        <v>1</v>
      </c>
      <c r="G26" s="17">
        <v>0</v>
      </c>
      <c r="H26" s="17">
        <v>25</v>
      </c>
      <c r="I26" s="17">
        <f t="shared" si="0"/>
        <v>-25</v>
      </c>
      <c r="J26" s="16" t="s">
        <v>153</v>
      </c>
      <c r="K26" s="16" t="s">
        <v>33</v>
      </c>
      <c r="L26" s="16" t="s">
        <v>183</v>
      </c>
      <c r="M26" s="16" t="s">
        <v>155</v>
      </c>
      <c r="N26" s="16" t="s">
        <v>156</v>
      </c>
      <c r="O26" s="16" t="s">
        <v>156</v>
      </c>
      <c r="P26" s="16" t="s">
        <v>157</v>
      </c>
      <c r="Q26" s="17">
        <v>1</v>
      </c>
    </row>
    <row r="28" spans="1:17" x14ac:dyDescent="0.25">
      <c r="D28" s="1">
        <f>COUNTA(D3:D26)</f>
        <v>23</v>
      </c>
      <c r="G28" s="1">
        <f t="shared" ref="G28:Q28" si="1">SUBTOTAL(9,G3:G26)</f>
        <v>15445</v>
      </c>
      <c r="H28" s="1">
        <f t="shared" si="1"/>
        <v>660</v>
      </c>
      <c r="I28" s="1">
        <f t="shared" si="1"/>
        <v>14785</v>
      </c>
      <c r="J28" s="1">
        <f t="shared" si="1"/>
        <v>0</v>
      </c>
      <c r="K28" s="1">
        <f t="shared" si="1"/>
        <v>0</v>
      </c>
      <c r="L28" s="1">
        <f t="shared" si="1"/>
        <v>0</v>
      </c>
      <c r="M28" s="1">
        <f t="shared" si="1"/>
        <v>0</v>
      </c>
      <c r="N28" s="1">
        <f t="shared" si="1"/>
        <v>0</v>
      </c>
      <c r="O28" s="1">
        <f t="shared" si="1"/>
        <v>0</v>
      </c>
      <c r="P28" s="1">
        <f t="shared" si="1"/>
        <v>0</v>
      </c>
      <c r="Q28" s="1">
        <f t="shared" si="1"/>
        <v>24</v>
      </c>
    </row>
    <row r="29" spans="1:17" x14ac:dyDescent="0.25">
      <c r="H29">
        <f>-6*17</f>
        <v>-102</v>
      </c>
    </row>
    <row r="30" spans="1:17" x14ac:dyDescent="0.25">
      <c r="A30" s="1" t="s">
        <v>27</v>
      </c>
      <c r="C30" s="60" t="s">
        <v>158</v>
      </c>
      <c r="D30" s="60"/>
      <c r="E30" s="4" t="s">
        <v>159</v>
      </c>
      <c r="K30" s="6" t="s">
        <v>33</v>
      </c>
      <c r="L30" s="6" t="s">
        <v>160</v>
      </c>
      <c r="M30" s="6" t="s">
        <v>159</v>
      </c>
      <c r="O30" s="4" t="s">
        <v>161</v>
      </c>
    </row>
    <row r="31" spans="1:17" x14ac:dyDescent="0.25">
      <c r="A31" t="s">
        <v>378</v>
      </c>
      <c r="B31" s="3" t="s">
        <v>162</v>
      </c>
      <c r="C31" s="61">
        <f>SUMIFS(I$3:I$26,B$3:B$26,A$30,L$3:L$26,A$31)</f>
        <v>14810</v>
      </c>
      <c r="D31" s="61"/>
      <c r="E31" s="3">
        <f>SUMIFS(Q$3:Q$26,B$3:B$26,A$30,L$3:L$26,A$31)</f>
        <v>23</v>
      </c>
      <c r="F31" t="s">
        <v>163</v>
      </c>
      <c r="K31" t="s">
        <v>164</v>
      </c>
      <c r="L31">
        <f>SUMIFS(G$3:G$26,J$3:J$26,K$30)</f>
        <v>9040</v>
      </c>
      <c r="M31">
        <f>SUMIFS(Q$3:Q$26,J$3:J$26,K$30)-INT(COUNTIFS(J$3:J$26,K$30,M$3:M$26,"*gộp*")/2)</f>
        <v>11</v>
      </c>
      <c r="O31" t="s">
        <v>33</v>
      </c>
      <c r="P31">
        <f>L36</f>
        <v>8751</v>
      </c>
    </row>
    <row r="32" spans="1:17" x14ac:dyDescent="0.25">
      <c r="B32" s="2" t="s">
        <v>166</v>
      </c>
      <c r="C32" s="62">
        <v>0</v>
      </c>
      <c r="D32" s="62"/>
      <c r="K32" t="s">
        <v>167</v>
      </c>
      <c r="L32">
        <f>-SUMIFS(H$3:H$26,J$3:J$26,K$30)+M32*5</f>
        <v>-245</v>
      </c>
      <c r="M32">
        <f>SUMIFS(Q$3:Q$26,J$3:J$26,K$30)-INT(COUNTIFS(J$3:J$26,K$30,M$3:M$26,"*gộp*")/2)</f>
        <v>11</v>
      </c>
      <c r="O32" t="s">
        <v>119</v>
      </c>
      <c r="P32">
        <f>L44</f>
        <v>3860</v>
      </c>
    </row>
    <row r="33" spans="2:16" x14ac:dyDescent="0.25">
      <c r="B33" s="2" t="s">
        <v>168</v>
      </c>
      <c r="C33" s="62">
        <f>-SUMIFS(I$3:I$26,B$3:B$26,A$30,P$3:P$26,"xx",N$3:N$26,"x")</f>
        <v>25</v>
      </c>
      <c r="D33" s="62"/>
      <c r="E33" s="2">
        <f>SUMIFS(Q$3:Q$26,B$3:B$26,A$30,P$3:P$26,"xx",N$3:N$26,"x")</f>
        <v>1</v>
      </c>
      <c r="K33" t="s">
        <v>169</v>
      </c>
      <c r="L33">
        <f>-M33*2</f>
        <v>-44</v>
      </c>
      <c r="M33">
        <f>E34-(COUNTIFS(M$3:M$26,"*gộp*")/2)-COUNTIFS(M$3:M$26,"*đơn trả*")-COUNTIFS(M$3:M$26,"*hàng tỉnh*")</f>
        <v>22</v>
      </c>
      <c r="O33" t="s">
        <v>440</v>
      </c>
      <c r="P33">
        <f>L52</f>
        <v>2333</v>
      </c>
    </row>
    <row r="34" spans="2:16" x14ac:dyDescent="0.25">
      <c r="B34" s="4" t="s">
        <v>170</v>
      </c>
      <c r="C34" s="60">
        <f>SUBTOTAL(9,C31:C33)</f>
        <v>14835</v>
      </c>
      <c r="D34" s="60"/>
      <c r="E34">
        <f>E31</f>
        <v>23</v>
      </c>
      <c r="K34" s="7" t="s">
        <v>155</v>
      </c>
      <c r="O34" t="s">
        <v>171</v>
      </c>
      <c r="P34">
        <f>-C38</f>
        <v>-14835</v>
      </c>
    </row>
    <row r="35" spans="2:16" x14ac:dyDescent="0.25">
      <c r="B35" s="2" t="s">
        <v>172</v>
      </c>
      <c r="C35" s="58"/>
      <c r="D35" s="58"/>
      <c r="K35" s="2" t="s">
        <v>173</v>
      </c>
      <c r="O35" s="4" t="s">
        <v>174</v>
      </c>
      <c r="P35" s="4">
        <f>SUBTOTAL(9,P31:P34)</f>
        <v>109</v>
      </c>
    </row>
    <row r="36" spans="2:16" x14ac:dyDescent="0.25">
      <c r="B36" s="8" t="s">
        <v>175</v>
      </c>
      <c r="C36" s="58"/>
      <c r="D36" s="58"/>
      <c r="L36" s="9">
        <f>SUBTOTAL(9,L31:L35)</f>
        <v>8751</v>
      </c>
      <c r="M36" s="9">
        <f>M31</f>
        <v>11</v>
      </c>
    </row>
    <row r="38" spans="2:16" x14ac:dyDescent="0.25">
      <c r="B38" s="1" t="s">
        <v>176</v>
      </c>
      <c r="C38" s="59">
        <f>C34+C35+C36</f>
        <v>14835</v>
      </c>
      <c r="D38" s="59"/>
      <c r="E38" s="1" t="s">
        <v>177</v>
      </c>
      <c r="K38" s="6" t="s">
        <v>119</v>
      </c>
      <c r="L38" s="6" t="s">
        <v>160</v>
      </c>
      <c r="M38" s="6" t="s">
        <v>159</v>
      </c>
    </row>
    <row r="39" spans="2:16" x14ac:dyDescent="0.25">
      <c r="K39" t="s">
        <v>164</v>
      </c>
      <c r="L39">
        <f>SUMIFS(G$3:G$26,J$3:J$26,K$38)</f>
        <v>3970</v>
      </c>
      <c r="M39">
        <f>SUMIFS(Q$3:Q$26,J$3:J$26,K$38)-INT(COUNTIFS(J$3:J$26,K$38,M$3:M$26,"*gộp*")/2)</f>
        <v>6</v>
      </c>
    </row>
    <row r="40" spans="2:16" x14ac:dyDescent="0.25">
      <c r="K40" t="s">
        <v>167</v>
      </c>
      <c r="L40">
        <f>-SUMIFS(H$3:H$26,J$3:J$26,K$38)+M40*5</f>
        <v>-130</v>
      </c>
      <c r="M40">
        <f>SUMIFS(Q$3:Q$26,J$3:J$26,K$38)-INT(COUNTIFS(J$3:J$26,K$38,M$3:M$26,"*gộp*")/2)</f>
        <v>6</v>
      </c>
    </row>
    <row r="41" spans="2:16" x14ac:dyDescent="0.25">
      <c r="K41" t="s">
        <v>169</v>
      </c>
    </row>
    <row r="42" spans="2:16" x14ac:dyDescent="0.25">
      <c r="K42" s="7" t="s">
        <v>155</v>
      </c>
      <c r="L42" s="18">
        <v>20</v>
      </c>
      <c r="M42" s="18" t="s">
        <v>178</v>
      </c>
    </row>
    <row r="43" spans="2:16" x14ac:dyDescent="0.25">
      <c r="K43" s="2" t="s">
        <v>173</v>
      </c>
    </row>
    <row r="44" spans="2:16" x14ac:dyDescent="0.25">
      <c r="L44" s="9">
        <f>SUBTOTAL(9,L39:L43)</f>
        <v>3860</v>
      </c>
      <c r="M44" s="9">
        <f>M39</f>
        <v>6</v>
      </c>
    </row>
    <row r="46" spans="2:16" x14ac:dyDescent="0.25">
      <c r="K46" s="6" t="s">
        <v>377</v>
      </c>
      <c r="L46" s="6" t="s">
        <v>160</v>
      </c>
      <c r="M46" s="6" t="s">
        <v>159</v>
      </c>
    </row>
    <row r="47" spans="2:16" x14ac:dyDescent="0.25">
      <c r="K47" t="s">
        <v>164</v>
      </c>
      <c r="L47">
        <f>SUMIFS(G$3:G$26,J$3:J$26,K$46)</f>
        <v>2435</v>
      </c>
      <c r="M47">
        <f>SUMIFS(Q$3:Q$26,J$3:J$26,K$46)-INT(COUNTIFS(J$3:J$26,K$46,M$3:M$26,"*gộp*")/2)</f>
        <v>6</v>
      </c>
    </row>
    <row r="48" spans="2:16" x14ac:dyDescent="0.25">
      <c r="K48" t="s">
        <v>167</v>
      </c>
      <c r="L48">
        <f>SUM(H29:H29)</f>
        <v>-102</v>
      </c>
      <c r="M48">
        <f>SUMIFS(Q$3:Q$26,J$3:J$26,K$46)-INT(COUNTIFS(J$3:J$26,K$46,M$3:M$26,"*gộp*")/2)</f>
        <v>6</v>
      </c>
    </row>
    <row r="49" spans="11:13" x14ac:dyDescent="0.25">
      <c r="K49" t="s">
        <v>169</v>
      </c>
    </row>
    <row r="50" spans="11:13" x14ac:dyDescent="0.25">
      <c r="K50" s="7" t="s">
        <v>155</v>
      </c>
    </row>
    <row r="51" spans="11:13" x14ac:dyDescent="0.25">
      <c r="K51" s="2" t="s">
        <v>173</v>
      </c>
    </row>
    <row r="52" spans="11:13" x14ac:dyDescent="0.25">
      <c r="L52" s="9">
        <f>SUBTOTAL(9,L47:L51)</f>
        <v>2333</v>
      </c>
      <c r="M52" s="9">
        <f>M47</f>
        <v>6</v>
      </c>
    </row>
  </sheetData>
  <autoFilter ref="A2:P26" xr:uid="{00000000-0009-0000-0000-000004000000}">
    <sortState xmlns:xlrd2="http://schemas.microsoft.com/office/spreadsheetml/2017/richdata2" ref="A3:P26">
      <sortCondition ref="J2:J26"/>
    </sortState>
  </autoFilter>
  <mergeCells count="8">
    <mergeCell ref="C35:D35"/>
    <mergeCell ref="C36:D36"/>
    <mergeCell ref="C38:D38"/>
    <mergeCell ref="C30:D30"/>
    <mergeCell ref="C31:D31"/>
    <mergeCell ref="C32:D32"/>
    <mergeCell ref="C33:D33"/>
    <mergeCell ref="C34:D34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61"/>
  <sheetViews>
    <sheetView topLeftCell="A28" zoomScale="90" zoomScaleNormal="90" workbookViewId="0">
      <selection activeCell="C8" sqref="C8"/>
    </sheetView>
  </sheetViews>
  <sheetFormatPr defaultRowHeight="15" x14ac:dyDescent="0.25"/>
  <cols>
    <col min="1" max="1" width="12.7109375" customWidth="1"/>
    <col min="2" max="2" width="8.7109375" customWidth="1"/>
    <col min="3" max="3" width="28.140625" customWidth="1"/>
    <col min="4" max="4" width="9.85546875" customWidth="1"/>
    <col min="5" max="5" width="69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4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441</v>
      </c>
      <c r="D3" s="11" t="s">
        <v>442</v>
      </c>
      <c r="E3" s="11" t="s">
        <v>443</v>
      </c>
      <c r="F3" s="11" t="s">
        <v>444</v>
      </c>
      <c r="G3" s="12">
        <v>3270</v>
      </c>
      <c r="H3" s="12">
        <v>45</v>
      </c>
      <c r="I3" s="12">
        <f t="shared" ref="I3:I35" si="0">G3-H3</f>
        <v>3225</v>
      </c>
      <c r="J3" s="11" t="s">
        <v>445</v>
      </c>
      <c r="K3" s="11" t="s">
        <v>33</v>
      </c>
      <c r="L3" s="11" t="s">
        <v>446</v>
      </c>
      <c r="M3" s="24" t="s">
        <v>340</v>
      </c>
      <c r="N3" s="11"/>
      <c r="O3" s="11"/>
      <c r="P3" s="11"/>
      <c r="Q3" s="11">
        <v>1</v>
      </c>
      <c r="R3" s="5">
        <f>H3</f>
        <v>45</v>
      </c>
    </row>
    <row r="4" spans="1:18" x14ac:dyDescent="0.25">
      <c r="A4" s="11"/>
      <c r="B4" s="11" t="s">
        <v>27</v>
      </c>
      <c r="C4" s="11" t="s">
        <v>447</v>
      </c>
      <c r="D4" s="11" t="s">
        <v>448</v>
      </c>
      <c r="E4" s="11" t="s">
        <v>449</v>
      </c>
      <c r="F4" s="11" t="s">
        <v>48</v>
      </c>
      <c r="G4" s="12">
        <v>2650</v>
      </c>
      <c r="H4" s="12">
        <v>35</v>
      </c>
      <c r="I4" s="12">
        <f t="shared" si="0"/>
        <v>2615</v>
      </c>
      <c r="J4" s="11" t="s">
        <v>445</v>
      </c>
      <c r="K4" s="11" t="s">
        <v>33</v>
      </c>
      <c r="L4" s="11" t="s">
        <v>446</v>
      </c>
      <c r="M4" s="24" t="s">
        <v>340</v>
      </c>
      <c r="N4" s="11"/>
      <c r="O4" s="11"/>
      <c r="P4" s="11"/>
      <c r="Q4" s="11">
        <v>1</v>
      </c>
      <c r="R4" s="5">
        <f>H4</f>
        <v>35</v>
      </c>
    </row>
    <row r="5" spans="1:18" x14ac:dyDescent="0.25">
      <c r="A5" s="11"/>
      <c r="B5" s="11" t="s">
        <v>27</v>
      </c>
      <c r="C5" s="11" t="s">
        <v>450</v>
      </c>
      <c r="D5" s="11" t="s">
        <v>451</v>
      </c>
      <c r="E5" s="11" t="s">
        <v>452</v>
      </c>
      <c r="F5" s="11" t="s">
        <v>31</v>
      </c>
      <c r="G5" s="12">
        <v>805</v>
      </c>
      <c r="H5" s="12">
        <v>25</v>
      </c>
      <c r="I5" s="12">
        <f t="shared" si="0"/>
        <v>780</v>
      </c>
      <c r="J5" s="11" t="s">
        <v>445</v>
      </c>
      <c r="K5" s="11" t="s">
        <v>33</v>
      </c>
      <c r="L5" s="11" t="s">
        <v>446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453</v>
      </c>
      <c r="D6" s="11" t="s">
        <v>454</v>
      </c>
      <c r="E6" s="11" t="s">
        <v>455</v>
      </c>
      <c r="F6" s="11" t="s">
        <v>48</v>
      </c>
      <c r="G6" s="12">
        <v>0</v>
      </c>
      <c r="H6" s="12">
        <v>30</v>
      </c>
      <c r="I6" s="12">
        <f t="shared" si="0"/>
        <v>-30</v>
      </c>
      <c r="J6" s="11" t="s">
        <v>445</v>
      </c>
      <c r="K6" s="11" t="s">
        <v>33</v>
      </c>
      <c r="L6" s="11" t="s">
        <v>446</v>
      </c>
      <c r="M6" s="11"/>
      <c r="N6" s="11"/>
      <c r="O6" s="11"/>
      <c r="P6" s="11"/>
      <c r="Q6" s="11">
        <v>1</v>
      </c>
      <c r="R6" s="5">
        <f>H6</f>
        <v>30</v>
      </c>
    </row>
    <row r="7" spans="1:18" x14ac:dyDescent="0.25">
      <c r="A7" s="11"/>
      <c r="B7" s="11" t="s">
        <v>27</v>
      </c>
      <c r="C7" s="11" t="s">
        <v>456</v>
      </c>
      <c r="D7" s="11" t="s">
        <v>457</v>
      </c>
      <c r="E7" s="11" t="s">
        <v>458</v>
      </c>
      <c r="F7" s="12">
        <v>8</v>
      </c>
      <c r="G7" s="12">
        <v>790</v>
      </c>
      <c r="H7" s="12">
        <v>30</v>
      </c>
      <c r="I7" s="12">
        <f t="shared" si="0"/>
        <v>760</v>
      </c>
      <c r="J7" s="11" t="s">
        <v>445</v>
      </c>
      <c r="K7" s="11" t="s">
        <v>33</v>
      </c>
      <c r="L7" s="11" t="s">
        <v>446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459</v>
      </c>
      <c r="D8" s="11" t="s">
        <v>460</v>
      </c>
      <c r="E8" s="11" t="s">
        <v>461</v>
      </c>
      <c r="F8" s="12">
        <v>6</v>
      </c>
      <c r="G8" s="12">
        <v>465</v>
      </c>
      <c r="H8" s="12">
        <v>25</v>
      </c>
      <c r="I8" s="12">
        <f t="shared" si="0"/>
        <v>440</v>
      </c>
      <c r="J8" s="11" t="s">
        <v>445</v>
      </c>
      <c r="K8" s="11" t="s">
        <v>33</v>
      </c>
      <c r="L8" s="11" t="s">
        <v>446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462</v>
      </c>
      <c r="D9" s="11" t="s">
        <v>463</v>
      </c>
      <c r="E9" s="11" t="s">
        <v>464</v>
      </c>
      <c r="F9" s="12">
        <v>8</v>
      </c>
      <c r="G9" s="12">
        <v>910</v>
      </c>
      <c r="H9" s="12">
        <v>30</v>
      </c>
      <c r="I9" s="12">
        <f t="shared" si="0"/>
        <v>880</v>
      </c>
      <c r="J9" s="11" t="s">
        <v>445</v>
      </c>
      <c r="K9" s="11" t="s">
        <v>33</v>
      </c>
      <c r="L9" s="11" t="s">
        <v>446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465</v>
      </c>
      <c r="D10" s="11" t="s">
        <v>466</v>
      </c>
      <c r="E10" s="11" t="s">
        <v>467</v>
      </c>
      <c r="F10" s="11" t="s">
        <v>31</v>
      </c>
      <c r="G10" s="12">
        <v>805</v>
      </c>
      <c r="H10" s="12">
        <v>25</v>
      </c>
      <c r="I10" s="12">
        <f t="shared" si="0"/>
        <v>780</v>
      </c>
      <c r="J10" s="11" t="s">
        <v>445</v>
      </c>
      <c r="K10" s="11" t="s">
        <v>33</v>
      </c>
      <c r="L10" s="11" t="s">
        <v>446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41</v>
      </c>
      <c r="D11" s="11" t="s">
        <v>468</v>
      </c>
      <c r="E11" s="11" t="s">
        <v>43</v>
      </c>
      <c r="F11" s="11" t="s">
        <v>44</v>
      </c>
      <c r="G11" s="12">
        <v>0</v>
      </c>
      <c r="H11" s="12">
        <v>25</v>
      </c>
      <c r="I11" s="12">
        <f t="shared" si="0"/>
        <v>-25</v>
      </c>
      <c r="J11" s="11" t="s">
        <v>445</v>
      </c>
      <c r="K11" s="11" t="s">
        <v>33</v>
      </c>
      <c r="L11" s="11" t="s">
        <v>446</v>
      </c>
      <c r="M11" s="11"/>
      <c r="N11" s="11"/>
      <c r="O11" s="11"/>
      <c r="P11" s="11"/>
      <c r="Q11" s="11">
        <v>1</v>
      </c>
      <c r="R11" s="5">
        <f>H11</f>
        <v>25</v>
      </c>
    </row>
    <row r="12" spans="1:18" s="15" customFormat="1" x14ac:dyDescent="0.25">
      <c r="A12" s="13"/>
      <c r="B12" s="13" t="s">
        <v>27</v>
      </c>
      <c r="C12" s="13" t="s">
        <v>344</v>
      </c>
      <c r="D12" s="13" t="s">
        <v>469</v>
      </c>
      <c r="E12" s="13" t="s">
        <v>346</v>
      </c>
      <c r="F12" s="13" t="s">
        <v>68</v>
      </c>
      <c r="G12" s="14">
        <v>25</v>
      </c>
      <c r="H12" s="14">
        <v>25</v>
      </c>
      <c r="I12" s="14">
        <f t="shared" si="0"/>
        <v>0</v>
      </c>
      <c r="J12" s="13" t="s">
        <v>33</v>
      </c>
      <c r="K12" s="13" t="s">
        <v>33</v>
      </c>
      <c r="L12" s="13" t="s">
        <v>446</v>
      </c>
      <c r="M12" s="13" t="s">
        <v>100</v>
      </c>
      <c r="N12" s="13"/>
      <c r="O12" s="13"/>
      <c r="P12" s="13"/>
      <c r="Q12" s="13">
        <v>1</v>
      </c>
    </row>
    <row r="13" spans="1:18" x14ac:dyDescent="0.25">
      <c r="A13" s="11"/>
      <c r="B13" s="11" t="s">
        <v>27</v>
      </c>
      <c r="C13" s="11" t="s">
        <v>470</v>
      </c>
      <c r="D13" s="11" t="s">
        <v>471</v>
      </c>
      <c r="E13" s="11" t="s">
        <v>472</v>
      </c>
      <c r="F13" s="12">
        <v>2</v>
      </c>
      <c r="G13" s="12">
        <v>890</v>
      </c>
      <c r="H13" s="12">
        <v>30</v>
      </c>
      <c r="I13" s="12">
        <f t="shared" si="0"/>
        <v>860</v>
      </c>
      <c r="J13" s="11" t="s">
        <v>33</v>
      </c>
      <c r="K13" s="11" t="s">
        <v>33</v>
      </c>
      <c r="L13" s="11" t="s">
        <v>446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473</v>
      </c>
      <c r="D14" s="11" t="s">
        <v>442</v>
      </c>
      <c r="E14" s="11" t="s">
        <v>474</v>
      </c>
      <c r="F14" s="12">
        <v>12</v>
      </c>
      <c r="G14" s="12">
        <v>980</v>
      </c>
      <c r="H14" s="12">
        <v>30</v>
      </c>
      <c r="I14" s="12">
        <f t="shared" si="0"/>
        <v>950</v>
      </c>
      <c r="J14" s="11" t="s">
        <v>33</v>
      </c>
      <c r="K14" s="11" t="s">
        <v>33</v>
      </c>
      <c r="L14" s="11" t="s">
        <v>446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475</v>
      </c>
      <c r="D15" s="11" t="s">
        <v>476</v>
      </c>
      <c r="E15" s="11" t="s">
        <v>477</v>
      </c>
      <c r="F15" s="11" t="s">
        <v>104</v>
      </c>
      <c r="G15" s="12">
        <v>700</v>
      </c>
      <c r="H15" s="12">
        <v>30</v>
      </c>
      <c r="I15" s="12">
        <f t="shared" si="0"/>
        <v>670</v>
      </c>
      <c r="J15" s="11" t="s">
        <v>33</v>
      </c>
      <c r="K15" s="11" t="s">
        <v>33</v>
      </c>
      <c r="L15" s="11" t="s">
        <v>446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65</v>
      </c>
      <c r="D16" s="11" t="s">
        <v>478</v>
      </c>
      <c r="E16" s="11" t="s">
        <v>479</v>
      </c>
      <c r="F16" s="11" t="s">
        <v>68</v>
      </c>
      <c r="G16" s="12">
        <v>785</v>
      </c>
      <c r="H16" s="12">
        <v>25</v>
      </c>
      <c r="I16" s="12">
        <f t="shared" si="0"/>
        <v>760</v>
      </c>
      <c r="J16" s="11" t="s">
        <v>33</v>
      </c>
      <c r="K16" s="11" t="s">
        <v>33</v>
      </c>
      <c r="L16" s="11" t="s">
        <v>446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480</v>
      </c>
      <c r="D17" s="11" t="s">
        <v>481</v>
      </c>
      <c r="E17" s="11" t="s">
        <v>482</v>
      </c>
      <c r="F17" s="11" t="s">
        <v>44</v>
      </c>
      <c r="G17" s="12">
        <v>815</v>
      </c>
      <c r="H17" s="12">
        <v>25</v>
      </c>
      <c r="I17" s="12">
        <f t="shared" si="0"/>
        <v>790</v>
      </c>
      <c r="J17" s="11" t="s">
        <v>33</v>
      </c>
      <c r="K17" s="11" t="s">
        <v>33</v>
      </c>
      <c r="L17" s="11" t="s">
        <v>446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483</v>
      </c>
      <c r="D18" s="11" t="s">
        <v>484</v>
      </c>
      <c r="E18" s="11" t="s">
        <v>485</v>
      </c>
      <c r="F18" s="11" t="s">
        <v>44</v>
      </c>
      <c r="G18" s="12">
        <v>1865</v>
      </c>
      <c r="H18" s="12">
        <v>25</v>
      </c>
      <c r="I18" s="12">
        <f t="shared" si="0"/>
        <v>1840</v>
      </c>
      <c r="J18" s="11" t="s">
        <v>33</v>
      </c>
      <c r="K18" s="11" t="s">
        <v>33</v>
      </c>
      <c r="L18" s="11" t="s">
        <v>446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486</v>
      </c>
      <c r="D19" s="11" t="s">
        <v>487</v>
      </c>
      <c r="E19" s="11" t="s">
        <v>488</v>
      </c>
      <c r="F19" s="11" t="s">
        <v>78</v>
      </c>
      <c r="G19" s="12">
        <v>0</v>
      </c>
      <c r="H19" s="12">
        <v>20</v>
      </c>
      <c r="I19" s="12">
        <f t="shared" si="0"/>
        <v>-20</v>
      </c>
      <c r="J19" s="11" t="s">
        <v>33</v>
      </c>
      <c r="K19" s="11" t="s">
        <v>33</v>
      </c>
      <c r="L19" s="11" t="s">
        <v>446</v>
      </c>
      <c r="M19" s="11"/>
      <c r="N19" s="11"/>
      <c r="O19" s="11"/>
      <c r="P19" s="11"/>
      <c r="Q19" s="11">
        <v>1</v>
      </c>
      <c r="R19" s="5">
        <f>H19</f>
        <v>20</v>
      </c>
    </row>
    <row r="20" spans="1:18" x14ac:dyDescent="0.25">
      <c r="A20" s="11"/>
      <c r="B20" s="11" t="s">
        <v>27</v>
      </c>
      <c r="C20" s="11" t="s">
        <v>489</v>
      </c>
      <c r="D20" s="11" t="s">
        <v>490</v>
      </c>
      <c r="E20" s="11" t="s">
        <v>491</v>
      </c>
      <c r="F20" s="11" t="s">
        <v>104</v>
      </c>
      <c r="G20" s="12">
        <v>860</v>
      </c>
      <c r="H20" s="12">
        <v>30</v>
      </c>
      <c r="I20" s="12">
        <f t="shared" si="0"/>
        <v>830</v>
      </c>
      <c r="J20" s="11" t="s">
        <v>33</v>
      </c>
      <c r="K20" s="11" t="s">
        <v>33</v>
      </c>
      <c r="L20" s="11" t="s">
        <v>446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492</v>
      </c>
      <c r="D21" s="11" t="s">
        <v>493</v>
      </c>
      <c r="E21" s="11" t="s">
        <v>494</v>
      </c>
      <c r="F21" s="12">
        <v>2</v>
      </c>
      <c r="G21" s="12">
        <v>1160</v>
      </c>
      <c r="H21" s="12">
        <v>30</v>
      </c>
      <c r="I21" s="12">
        <f t="shared" si="0"/>
        <v>1130</v>
      </c>
      <c r="J21" s="11" t="s">
        <v>33</v>
      </c>
      <c r="K21" s="11" t="s">
        <v>33</v>
      </c>
      <c r="L21" s="11" t="s">
        <v>446</v>
      </c>
      <c r="M21" s="11"/>
      <c r="N21" s="11"/>
      <c r="O21" s="11"/>
      <c r="P21" s="11"/>
      <c r="Q21" s="11">
        <v>1</v>
      </c>
    </row>
    <row r="22" spans="1:18" x14ac:dyDescent="0.25">
      <c r="A22" s="11" t="s">
        <v>59</v>
      </c>
      <c r="B22" s="11" t="s">
        <v>27</v>
      </c>
      <c r="C22" s="11" t="s">
        <v>495</v>
      </c>
      <c r="D22" s="11"/>
      <c r="E22" s="11" t="s">
        <v>496</v>
      </c>
      <c r="F22" s="11" t="s">
        <v>78</v>
      </c>
      <c r="G22" s="12">
        <v>50</v>
      </c>
      <c r="H22" s="12">
        <v>50</v>
      </c>
      <c r="I22" s="12">
        <f t="shared" si="0"/>
        <v>0</v>
      </c>
      <c r="J22" s="11" t="s">
        <v>33</v>
      </c>
      <c r="K22" s="11" t="s">
        <v>33</v>
      </c>
      <c r="L22" s="11" t="s">
        <v>446</v>
      </c>
      <c r="M22" s="11"/>
      <c r="N22" s="11"/>
      <c r="O22" s="11"/>
      <c r="P22" s="11"/>
      <c r="Q22" s="11">
        <v>1</v>
      </c>
    </row>
    <row r="23" spans="1:18" x14ac:dyDescent="0.25">
      <c r="A23" s="11" t="s">
        <v>59</v>
      </c>
      <c r="B23" s="11" t="s">
        <v>27</v>
      </c>
      <c r="C23" s="11" t="s">
        <v>107</v>
      </c>
      <c r="D23" s="11"/>
      <c r="E23" s="11" t="s">
        <v>108</v>
      </c>
      <c r="F23" s="11" t="s">
        <v>68</v>
      </c>
      <c r="G23" s="12">
        <v>3880</v>
      </c>
      <c r="H23" s="12">
        <v>30</v>
      </c>
      <c r="I23" s="12">
        <f t="shared" si="0"/>
        <v>3850</v>
      </c>
      <c r="J23" s="11" t="s">
        <v>33</v>
      </c>
      <c r="K23" s="11" t="s">
        <v>33</v>
      </c>
      <c r="L23" s="11" t="s">
        <v>446</v>
      </c>
      <c r="M23" s="11"/>
      <c r="N23" s="11"/>
      <c r="O23" s="11"/>
      <c r="P23" s="11"/>
      <c r="Q23" s="11">
        <v>1</v>
      </c>
    </row>
    <row r="24" spans="1:18" x14ac:dyDescent="0.25">
      <c r="A24" s="11" t="s">
        <v>59</v>
      </c>
      <c r="B24" s="11" t="s">
        <v>27</v>
      </c>
      <c r="C24" s="11" t="s">
        <v>109</v>
      </c>
      <c r="D24" s="11"/>
      <c r="E24" s="11" t="s">
        <v>497</v>
      </c>
      <c r="F24" s="11" t="s">
        <v>68</v>
      </c>
      <c r="G24" s="12">
        <v>40</v>
      </c>
      <c r="H24" s="12">
        <v>40</v>
      </c>
      <c r="I24" s="12">
        <f t="shared" si="0"/>
        <v>0</v>
      </c>
      <c r="J24" s="11" t="s">
        <v>33</v>
      </c>
      <c r="K24" s="11" t="s">
        <v>33</v>
      </c>
      <c r="L24" s="11" t="s">
        <v>446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498</v>
      </c>
      <c r="D25" s="11" t="s">
        <v>499</v>
      </c>
      <c r="E25" s="11" t="s">
        <v>500</v>
      </c>
      <c r="F25" s="12">
        <v>10</v>
      </c>
      <c r="G25" s="12">
        <v>665</v>
      </c>
      <c r="H25" s="12">
        <v>25</v>
      </c>
      <c r="I25" s="12">
        <f t="shared" si="0"/>
        <v>640</v>
      </c>
      <c r="J25" s="11" t="s">
        <v>119</v>
      </c>
      <c r="K25" s="11" t="s">
        <v>33</v>
      </c>
      <c r="L25" s="11" t="s">
        <v>446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501</v>
      </c>
      <c r="D26" s="11" t="s">
        <v>502</v>
      </c>
      <c r="E26" s="11" t="s">
        <v>503</v>
      </c>
      <c r="F26" s="12">
        <v>1</v>
      </c>
      <c r="G26" s="12">
        <v>0</v>
      </c>
      <c r="H26" s="12">
        <v>25</v>
      </c>
      <c r="I26" s="12">
        <f t="shared" si="0"/>
        <v>-25</v>
      </c>
      <c r="J26" s="11" t="s">
        <v>119</v>
      </c>
      <c r="K26" s="11" t="s">
        <v>33</v>
      </c>
      <c r="L26" s="11" t="s">
        <v>446</v>
      </c>
      <c r="M26" s="11"/>
      <c r="N26" s="11"/>
      <c r="O26" s="11"/>
      <c r="P26" s="11"/>
      <c r="Q26" s="11">
        <v>1</v>
      </c>
      <c r="R26" s="5">
        <f>H26</f>
        <v>25</v>
      </c>
    </row>
    <row r="27" spans="1:18" x14ac:dyDescent="0.25">
      <c r="A27" s="11"/>
      <c r="B27" s="11" t="s">
        <v>27</v>
      </c>
      <c r="C27" s="11" t="s">
        <v>504</v>
      </c>
      <c r="D27" s="11" t="s">
        <v>505</v>
      </c>
      <c r="E27" s="11" t="s">
        <v>506</v>
      </c>
      <c r="F27" s="12">
        <v>4</v>
      </c>
      <c r="G27" s="12">
        <v>715</v>
      </c>
      <c r="H27" s="12">
        <v>25</v>
      </c>
      <c r="I27" s="12">
        <f t="shared" si="0"/>
        <v>690</v>
      </c>
      <c r="J27" s="11" t="s">
        <v>119</v>
      </c>
      <c r="K27" s="11" t="s">
        <v>33</v>
      </c>
      <c r="L27" s="11" t="s">
        <v>446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507</v>
      </c>
      <c r="D28" s="11" t="s">
        <v>508</v>
      </c>
      <c r="E28" s="11" t="s">
        <v>509</v>
      </c>
      <c r="F28" s="12">
        <v>4</v>
      </c>
      <c r="G28" s="12">
        <v>1155</v>
      </c>
      <c r="H28" s="12">
        <v>25</v>
      </c>
      <c r="I28" s="12">
        <f t="shared" si="0"/>
        <v>1130</v>
      </c>
      <c r="J28" s="11" t="s">
        <v>119</v>
      </c>
      <c r="K28" s="11" t="s">
        <v>33</v>
      </c>
      <c r="L28" s="11" t="s">
        <v>446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510</v>
      </c>
      <c r="D29" s="11" t="s">
        <v>511</v>
      </c>
      <c r="E29" s="11" t="s">
        <v>512</v>
      </c>
      <c r="F29" s="12">
        <v>3</v>
      </c>
      <c r="G29" s="12">
        <v>0</v>
      </c>
      <c r="H29" s="12">
        <v>25</v>
      </c>
      <c r="I29" s="12">
        <f t="shared" si="0"/>
        <v>-25</v>
      </c>
      <c r="J29" s="11" t="s">
        <v>119</v>
      </c>
      <c r="K29" s="11" t="s">
        <v>33</v>
      </c>
      <c r="L29" s="11" t="s">
        <v>446</v>
      </c>
      <c r="M29" s="11"/>
      <c r="N29" s="11"/>
      <c r="O29" s="11"/>
      <c r="P29" s="11"/>
      <c r="Q29" s="11">
        <v>1</v>
      </c>
      <c r="R29" s="5">
        <f>H29</f>
        <v>25</v>
      </c>
    </row>
    <row r="30" spans="1:18" x14ac:dyDescent="0.25">
      <c r="A30" s="11"/>
      <c r="B30" s="11" t="s">
        <v>27</v>
      </c>
      <c r="C30" s="11" t="s">
        <v>293</v>
      </c>
      <c r="D30" s="11" t="s">
        <v>513</v>
      </c>
      <c r="E30" s="11" t="s">
        <v>295</v>
      </c>
      <c r="F30" s="12">
        <v>3</v>
      </c>
      <c r="G30" s="12">
        <v>915</v>
      </c>
      <c r="H30" s="12">
        <v>25</v>
      </c>
      <c r="I30" s="12">
        <f t="shared" si="0"/>
        <v>890</v>
      </c>
      <c r="J30" s="11" t="s">
        <v>119</v>
      </c>
      <c r="K30" s="11" t="s">
        <v>33</v>
      </c>
      <c r="L30" s="11" t="s">
        <v>446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514</v>
      </c>
      <c r="D31" s="11" t="s">
        <v>515</v>
      </c>
      <c r="E31" s="11" t="s">
        <v>516</v>
      </c>
      <c r="F31" s="12">
        <v>1</v>
      </c>
      <c r="G31" s="12">
        <v>1915</v>
      </c>
      <c r="H31" s="12">
        <v>25</v>
      </c>
      <c r="I31" s="12">
        <f t="shared" si="0"/>
        <v>1890</v>
      </c>
      <c r="J31" s="11" t="s">
        <v>119</v>
      </c>
      <c r="K31" s="11" t="s">
        <v>33</v>
      </c>
      <c r="L31" s="11" t="s">
        <v>446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517</v>
      </c>
      <c r="D32" s="11" t="s">
        <v>518</v>
      </c>
      <c r="E32" s="11" t="s">
        <v>519</v>
      </c>
      <c r="F32" s="12">
        <v>4</v>
      </c>
      <c r="G32" s="12">
        <v>1155</v>
      </c>
      <c r="H32" s="12">
        <v>25</v>
      </c>
      <c r="I32" s="12">
        <f t="shared" si="0"/>
        <v>1130</v>
      </c>
      <c r="J32" s="11" t="s">
        <v>119</v>
      </c>
      <c r="K32" s="11" t="s">
        <v>33</v>
      </c>
      <c r="L32" s="11" t="s">
        <v>446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520</v>
      </c>
      <c r="D33" s="11" t="s">
        <v>521</v>
      </c>
      <c r="E33" s="11" t="s">
        <v>522</v>
      </c>
      <c r="F33" s="12">
        <v>1</v>
      </c>
      <c r="G33" s="12">
        <v>1105</v>
      </c>
      <c r="H33" s="12">
        <v>25</v>
      </c>
      <c r="I33" s="12">
        <f t="shared" si="0"/>
        <v>1080</v>
      </c>
      <c r="J33" s="11" t="s">
        <v>119</v>
      </c>
      <c r="K33" s="11" t="s">
        <v>33</v>
      </c>
      <c r="L33" s="11" t="s">
        <v>446</v>
      </c>
      <c r="M33" s="11"/>
      <c r="N33" s="11"/>
      <c r="O33" s="11"/>
      <c r="P33" s="11"/>
      <c r="Q33" s="11">
        <v>1</v>
      </c>
    </row>
    <row r="34" spans="1:18" x14ac:dyDescent="0.25">
      <c r="A34" s="11" t="s">
        <v>59</v>
      </c>
      <c r="B34" s="11" t="s">
        <v>27</v>
      </c>
      <c r="C34" s="11" t="s">
        <v>523</v>
      </c>
      <c r="D34" s="11"/>
      <c r="E34" s="11" t="s">
        <v>524</v>
      </c>
      <c r="F34" s="12">
        <v>5</v>
      </c>
      <c r="G34" s="12">
        <v>0</v>
      </c>
      <c r="H34" s="12">
        <v>30</v>
      </c>
      <c r="I34" s="12">
        <f t="shared" si="0"/>
        <v>-30</v>
      </c>
      <c r="J34" s="11" t="s">
        <v>119</v>
      </c>
      <c r="K34" s="11" t="s">
        <v>33</v>
      </c>
      <c r="L34" s="11" t="s">
        <v>446</v>
      </c>
      <c r="M34" s="11"/>
      <c r="N34" s="11"/>
      <c r="O34" s="11"/>
      <c r="P34" s="11"/>
      <c r="Q34" s="11">
        <v>1</v>
      </c>
      <c r="R34" s="5">
        <f>H34</f>
        <v>30</v>
      </c>
    </row>
    <row r="35" spans="1:18" x14ac:dyDescent="0.25">
      <c r="A35" s="11"/>
      <c r="B35" s="11" t="s">
        <v>27</v>
      </c>
      <c r="C35" s="11" t="s">
        <v>525</v>
      </c>
      <c r="D35" s="11" t="s">
        <v>526</v>
      </c>
      <c r="E35" s="11" t="s">
        <v>527</v>
      </c>
      <c r="F35" s="11" t="s">
        <v>118</v>
      </c>
      <c r="G35" s="12">
        <v>800</v>
      </c>
      <c r="H35" s="12">
        <v>20</v>
      </c>
      <c r="I35" s="12">
        <f t="shared" si="0"/>
        <v>780</v>
      </c>
      <c r="J35" s="11" t="s">
        <v>119</v>
      </c>
      <c r="K35" s="11" t="s">
        <v>33</v>
      </c>
      <c r="L35" s="11" t="s">
        <v>446</v>
      </c>
      <c r="M35" s="11"/>
      <c r="N35" s="11"/>
      <c r="O35" s="11"/>
      <c r="P35" s="11"/>
      <c r="Q35" s="11">
        <v>1</v>
      </c>
    </row>
    <row r="37" spans="1:18" x14ac:dyDescent="0.25">
      <c r="D37" s="1">
        <f>COUNTA(D3:D35)</f>
        <v>29</v>
      </c>
      <c r="G37" s="1">
        <f t="shared" ref="G37:Q37" si="1">SUBTOTAL(9,G3:G35)</f>
        <v>30170</v>
      </c>
      <c r="H37" s="1">
        <f t="shared" si="1"/>
        <v>935</v>
      </c>
      <c r="I37" s="1">
        <f t="shared" si="1"/>
        <v>29235</v>
      </c>
      <c r="J37" s="1">
        <f t="shared" si="1"/>
        <v>0</v>
      </c>
      <c r="K37" s="1">
        <f t="shared" si="1"/>
        <v>0</v>
      </c>
      <c r="L37" s="1">
        <f t="shared" si="1"/>
        <v>0</v>
      </c>
      <c r="M37" s="1">
        <f t="shared" si="1"/>
        <v>0</v>
      </c>
      <c r="N37" s="1">
        <f t="shared" si="1"/>
        <v>0</v>
      </c>
      <c r="O37" s="1">
        <f t="shared" si="1"/>
        <v>0</v>
      </c>
      <c r="P37" s="1">
        <f t="shared" si="1"/>
        <v>0</v>
      </c>
      <c r="Q37" s="1">
        <f t="shared" si="1"/>
        <v>33</v>
      </c>
    </row>
    <row r="38" spans="1:18" x14ac:dyDescent="0.25">
      <c r="H38">
        <f>-6*17</f>
        <v>-102</v>
      </c>
    </row>
    <row r="39" spans="1:18" x14ac:dyDescent="0.25">
      <c r="A39" s="1" t="s">
        <v>27</v>
      </c>
      <c r="C39" s="60" t="s">
        <v>158</v>
      </c>
      <c r="D39" s="60"/>
      <c r="E39" s="4" t="s">
        <v>159</v>
      </c>
      <c r="H39">
        <f>-2*25</f>
        <v>-50</v>
      </c>
      <c r="K39" s="6" t="s">
        <v>445</v>
      </c>
      <c r="L39" s="6" t="s">
        <v>160</v>
      </c>
      <c r="M39" s="6" t="s">
        <v>159</v>
      </c>
      <c r="O39" s="4" t="s">
        <v>161</v>
      </c>
    </row>
    <row r="40" spans="1:18" x14ac:dyDescent="0.25">
      <c r="A40" t="s">
        <v>446</v>
      </c>
      <c r="B40" s="3" t="s">
        <v>162</v>
      </c>
      <c r="C40" s="61">
        <f>SUMIFS(I$3:I$35,B$3:B$35,A$39,L$3:L$35,A$40)</f>
        <v>29235</v>
      </c>
      <c r="D40" s="61"/>
      <c r="E40" s="3">
        <f>SUMIFS(Q$3:Q$35,B$3:B$35,A$39,L$3:L$35,A$40)</f>
        <v>33</v>
      </c>
      <c r="F40" t="s">
        <v>163</v>
      </c>
      <c r="H40">
        <f>-1*30</f>
        <v>-30</v>
      </c>
      <c r="K40" t="s">
        <v>164</v>
      </c>
      <c r="L40">
        <f>SUMIFS(G$3:G$35,J$3:J$35,K$39)</f>
        <v>9695</v>
      </c>
      <c r="M40">
        <f>SUMIFS(Q$3:Q$35,J$3:J$35,K$39)-INT(COUNTIFS(J$3:J$35,K$39,M$3:M$35,"*gộp*")/2)</f>
        <v>9</v>
      </c>
      <c r="O40" t="s">
        <v>528</v>
      </c>
      <c r="P40">
        <f>L45</f>
        <v>9513</v>
      </c>
    </row>
    <row r="41" spans="1:18" x14ac:dyDescent="0.25">
      <c r="B41" s="2" t="s">
        <v>166</v>
      </c>
      <c r="C41" s="62">
        <v>0</v>
      </c>
      <c r="D41" s="62"/>
      <c r="K41" t="s">
        <v>167</v>
      </c>
      <c r="L41">
        <f>SUM(H38:H40)</f>
        <v>-182</v>
      </c>
      <c r="M41">
        <f>SUMIFS(Q$3:Q$35,J$3:J$35,K$39)-INT(COUNTIFS(J$3:J$35,K$39,M$3:M$35,"*gộp*")/2)</f>
        <v>9</v>
      </c>
      <c r="O41" t="s">
        <v>33</v>
      </c>
      <c r="P41">
        <f>L53</f>
        <v>11659</v>
      </c>
    </row>
    <row r="42" spans="1:18" x14ac:dyDescent="0.25">
      <c r="B42" s="2" t="s">
        <v>168</v>
      </c>
      <c r="C42" s="62">
        <f>-SUMIFS(I$3:I$35,B$3:B$35,A$39,P$3:P$35,"xx",N$3:N$35,"x")</f>
        <v>0</v>
      </c>
      <c r="D42" s="62"/>
      <c r="E42" s="2">
        <f>SUMIFS(Q$3:Q$35,B$3:B$35,A$39,P$3:P$35,"xx",N$3:N$35,"x")</f>
        <v>0</v>
      </c>
      <c r="K42" t="s">
        <v>169</v>
      </c>
      <c r="O42" t="s">
        <v>119</v>
      </c>
      <c r="P42">
        <f>L61</f>
        <v>8205</v>
      </c>
    </row>
    <row r="43" spans="1:18" x14ac:dyDescent="0.25">
      <c r="B43" s="4" t="s">
        <v>170</v>
      </c>
      <c r="C43" s="60">
        <f>SUBTOTAL(9,C40:C42)</f>
        <v>29235</v>
      </c>
      <c r="D43" s="60"/>
      <c r="E43">
        <f>E40</f>
        <v>33</v>
      </c>
      <c r="K43" s="7" t="s">
        <v>155</v>
      </c>
      <c r="O43" t="s">
        <v>171</v>
      </c>
      <c r="P43">
        <f>-C47</f>
        <v>-29235</v>
      </c>
    </row>
    <row r="44" spans="1:18" x14ac:dyDescent="0.25">
      <c r="B44" s="2" t="s">
        <v>172</v>
      </c>
      <c r="C44" s="58"/>
      <c r="D44" s="58"/>
      <c r="K44" s="2" t="s">
        <v>173</v>
      </c>
      <c r="O44" s="4" t="s">
        <v>174</v>
      </c>
      <c r="P44" s="4">
        <f>SUBTOTAL(9,P40:P43)</f>
        <v>142</v>
      </c>
    </row>
    <row r="45" spans="1:18" x14ac:dyDescent="0.25">
      <c r="B45" s="8" t="s">
        <v>175</v>
      </c>
      <c r="C45" s="58"/>
      <c r="D45" s="58"/>
      <c r="L45" s="9">
        <f>SUBTOTAL(9,L40:L44)</f>
        <v>9513</v>
      </c>
      <c r="M45" s="9">
        <f>M40</f>
        <v>9</v>
      </c>
    </row>
    <row r="47" spans="1:18" x14ac:dyDescent="0.25">
      <c r="B47" s="1" t="s">
        <v>176</v>
      </c>
      <c r="C47" s="59">
        <f>C43+C44+C45</f>
        <v>29235</v>
      </c>
      <c r="D47" s="59"/>
      <c r="E47" s="1" t="s">
        <v>177</v>
      </c>
      <c r="K47" s="6" t="s">
        <v>33</v>
      </c>
      <c r="L47" s="6" t="s">
        <v>160</v>
      </c>
      <c r="M47" s="6" t="s">
        <v>159</v>
      </c>
    </row>
    <row r="48" spans="1:18" x14ac:dyDescent="0.25">
      <c r="K48" t="s">
        <v>164</v>
      </c>
      <c r="L48">
        <f>SUMIFS(G$3:G$35,J$3:J$35,K$47)</f>
        <v>12050</v>
      </c>
      <c r="M48">
        <f>SUMIFS(Q$3:Q$35,J$3:J$35,K$47)-INT(COUNTIFS(J$3:J$35,K$47,M$3:M$35,"*gộp*")/2)</f>
        <v>13</v>
      </c>
    </row>
    <row r="49" spans="11:13" x14ac:dyDescent="0.25">
      <c r="K49" t="s">
        <v>167</v>
      </c>
      <c r="L49">
        <f>-SUMIFS(H$3:H$35,J$3:J$35,K$47)+M49*5</f>
        <v>-325</v>
      </c>
      <c r="M49">
        <f>SUMIFS(Q$3:Q$35,J$3:J$35,K$47)-INT(COUNTIFS(J$3:J$35,K$47,M$3:M$35,"*gộp*")/2)</f>
        <v>13</v>
      </c>
    </row>
    <row r="50" spans="11:13" x14ac:dyDescent="0.25">
      <c r="K50" t="s">
        <v>169</v>
      </c>
      <c r="L50">
        <f>-M50*2</f>
        <v>-66</v>
      </c>
      <c r="M50">
        <f>E43-(COUNTIFS(M$3:M$35,"*gộp*")/2)-COUNTIFS(M$3:M$35,"*đơn trả*")-COUNTIFS(M$3:M$35,"*hàng tỉnh*")</f>
        <v>33</v>
      </c>
    </row>
    <row r="51" spans="11:13" x14ac:dyDescent="0.25">
      <c r="K51" s="7" t="s">
        <v>155</v>
      </c>
    </row>
    <row r="52" spans="11:13" x14ac:dyDescent="0.25">
      <c r="K52" s="2" t="s">
        <v>173</v>
      </c>
    </row>
    <row r="53" spans="11:13" x14ac:dyDescent="0.25">
      <c r="L53" s="9">
        <f>SUBTOTAL(9,L48:L52)</f>
        <v>11659</v>
      </c>
      <c r="M53" s="9">
        <f>M48</f>
        <v>13</v>
      </c>
    </row>
    <row r="55" spans="11:13" x14ac:dyDescent="0.25">
      <c r="K55" s="6" t="s">
        <v>119</v>
      </c>
      <c r="L55" s="6" t="s">
        <v>160</v>
      </c>
      <c r="M55" s="6" t="s">
        <v>159</v>
      </c>
    </row>
    <row r="56" spans="11:13" x14ac:dyDescent="0.25">
      <c r="K56" t="s">
        <v>164</v>
      </c>
      <c r="L56">
        <f>SUMIFS(G$3:G$35,J$3:J$35,K$55)</f>
        <v>8425</v>
      </c>
      <c r="M56">
        <f>SUMIFS(Q$3:Q$35,J$3:J$35,K$55)-INT(COUNTIFS(J$3:J$35,K$55,M$3:M$35,"*gộp*")/2)</f>
        <v>11</v>
      </c>
    </row>
    <row r="57" spans="11:13" x14ac:dyDescent="0.25">
      <c r="K57" t="s">
        <v>167</v>
      </c>
      <c r="L57">
        <f>-SUMIFS(H$3:H$35,J$3:J$35,K$55)+M57*5</f>
        <v>-220</v>
      </c>
      <c r="M57">
        <f>SUMIFS(Q$3:Q$35,J$3:J$35,K$55)-INT(COUNTIFS(J$3:J$35,K$55,M$3:M$35,"*gộp*")/2)</f>
        <v>11</v>
      </c>
    </row>
    <row r="58" spans="11:13" x14ac:dyDescent="0.25">
      <c r="K58" t="s">
        <v>169</v>
      </c>
    </row>
    <row r="59" spans="11:13" x14ac:dyDescent="0.25">
      <c r="K59" s="7" t="s">
        <v>155</v>
      </c>
    </row>
    <row r="60" spans="11:13" x14ac:dyDescent="0.25">
      <c r="K60" s="2" t="s">
        <v>173</v>
      </c>
    </row>
    <row r="61" spans="11:13" x14ac:dyDescent="0.25">
      <c r="L61" s="9">
        <f>SUBTOTAL(9,L56:L60)</f>
        <v>8205</v>
      </c>
      <c r="M61" s="9">
        <f>M56</f>
        <v>11</v>
      </c>
    </row>
  </sheetData>
  <autoFilter ref="A2:P35" xr:uid="{00000000-0009-0000-0000-000005000000}">
    <sortState xmlns:xlrd2="http://schemas.microsoft.com/office/spreadsheetml/2017/richdata2" ref="A3:P35">
      <sortCondition ref="J2:J35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48"/>
  <sheetViews>
    <sheetView topLeftCell="A19" workbookViewId="0">
      <selection activeCell="R4" sqref="R4"/>
    </sheetView>
  </sheetViews>
  <sheetFormatPr defaultRowHeight="15" x14ac:dyDescent="0.25"/>
  <cols>
    <col min="1" max="1" width="12.7109375" customWidth="1"/>
    <col min="2" max="2" width="9.28515625" customWidth="1"/>
    <col min="3" max="3" width="20.5703125" customWidth="1"/>
    <col min="4" max="4" width="9.85546875" customWidth="1"/>
    <col min="5" max="5" width="60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529</v>
      </c>
      <c r="D3" s="11" t="s">
        <v>530</v>
      </c>
      <c r="E3" s="11" t="s">
        <v>531</v>
      </c>
      <c r="F3" s="12">
        <v>6</v>
      </c>
      <c r="G3" s="12">
        <v>0</v>
      </c>
      <c r="H3" s="12">
        <v>25</v>
      </c>
      <c r="I3" s="12">
        <f t="shared" ref="I3:I22" si="0">G3-H3</f>
        <v>-25</v>
      </c>
      <c r="J3" s="11" t="s">
        <v>532</v>
      </c>
      <c r="K3" s="11" t="s">
        <v>33</v>
      </c>
      <c r="L3" s="11" t="s">
        <v>533</v>
      </c>
      <c r="M3" s="24" t="s">
        <v>534</v>
      </c>
      <c r="N3" s="11"/>
      <c r="O3" s="11"/>
      <c r="P3" s="11"/>
      <c r="Q3" s="11">
        <v>1</v>
      </c>
      <c r="R3" s="5">
        <f>H3</f>
        <v>25</v>
      </c>
    </row>
    <row r="4" spans="1:18" x14ac:dyDescent="0.25">
      <c r="A4" s="11"/>
      <c r="B4" s="11" t="s">
        <v>27</v>
      </c>
      <c r="C4" s="11" t="s">
        <v>535</v>
      </c>
      <c r="D4" s="11" t="s">
        <v>536</v>
      </c>
      <c r="E4" s="11" t="s">
        <v>537</v>
      </c>
      <c r="F4" s="12">
        <v>7</v>
      </c>
      <c r="G4" s="12">
        <v>1110</v>
      </c>
      <c r="H4" s="12">
        <v>30</v>
      </c>
      <c r="I4" s="12">
        <f t="shared" si="0"/>
        <v>1080</v>
      </c>
      <c r="J4" s="11" t="s">
        <v>532</v>
      </c>
      <c r="K4" s="11" t="s">
        <v>33</v>
      </c>
      <c r="L4" s="11" t="s">
        <v>533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538</v>
      </c>
      <c r="D5" s="11" t="s">
        <v>539</v>
      </c>
      <c r="E5" s="11" t="s">
        <v>540</v>
      </c>
      <c r="F5" s="12">
        <v>7</v>
      </c>
      <c r="G5" s="12">
        <v>820</v>
      </c>
      <c r="H5" s="12">
        <v>30</v>
      </c>
      <c r="I5" s="12">
        <f t="shared" si="0"/>
        <v>790</v>
      </c>
      <c r="J5" s="11" t="s">
        <v>532</v>
      </c>
      <c r="K5" s="11" t="s">
        <v>33</v>
      </c>
      <c r="L5" s="11" t="s">
        <v>533</v>
      </c>
      <c r="M5" s="11"/>
      <c r="N5" s="11"/>
      <c r="O5" s="11"/>
      <c r="P5" s="11"/>
      <c r="Q5" s="11">
        <v>1</v>
      </c>
    </row>
    <row r="6" spans="1:18" s="15" customFormat="1" x14ac:dyDescent="0.25">
      <c r="A6" s="13"/>
      <c r="B6" s="13" t="s">
        <v>27</v>
      </c>
      <c r="C6" s="13" t="s">
        <v>41</v>
      </c>
      <c r="D6" s="13" t="s">
        <v>541</v>
      </c>
      <c r="E6" s="13" t="s">
        <v>43</v>
      </c>
      <c r="F6" s="13" t="s">
        <v>44</v>
      </c>
      <c r="G6" s="14">
        <v>0</v>
      </c>
      <c r="H6" s="14">
        <v>25</v>
      </c>
      <c r="I6" s="14">
        <f t="shared" si="0"/>
        <v>-25</v>
      </c>
      <c r="J6" s="13" t="s">
        <v>532</v>
      </c>
      <c r="K6" s="13" t="s">
        <v>33</v>
      </c>
      <c r="L6" s="13" t="s">
        <v>533</v>
      </c>
      <c r="M6" s="13" t="s">
        <v>100</v>
      </c>
      <c r="N6" s="13"/>
      <c r="O6" s="13"/>
      <c r="P6" s="13"/>
      <c r="Q6" s="13">
        <v>1</v>
      </c>
      <c r="R6" s="19">
        <f>H6</f>
        <v>25</v>
      </c>
    </row>
    <row r="7" spans="1:18" x14ac:dyDescent="0.25">
      <c r="A7" s="11"/>
      <c r="B7" s="11" t="s">
        <v>27</v>
      </c>
      <c r="C7" s="11" t="s">
        <v>542</v>
      </c>
      <c r="D7" s="11" t="s">
        <v>543</v>
      </c>
      <c r="E7" s="11" t="s">
        <v>238</v>
      </c>
      <c r="F7" s="12">
        <v>12</v>
      </c>
      <c r="G7" s="12">
        <v>0</v>
      </c>
      <c r="H7" s="12">
        <v>30</v>
      </c>
      <c r="I7" s="12">
        <f t="shared" si="0"/>
        <v>-30</v>
      </c>
      <c r="J7" s="11" t="s">
        <v>33</v>
      </c>
      <c r="K7" s="11" t="s">
        <v>33</v>
      </c>
      <c r="L7" s="11" t="s">
        <v>533</v>
      </c>
      <c r="M7" s="11"/>
      <c r="N7" s="11"/>
      <c r="O7" s="11"/>
      <c r="P7" s="11"/>
      <c r="Q7" s="11">
        <v>1</v>
      </c>
      <c r="R7" s="5">
        <f>H7</f>
        <v>30</v>
      </c>
    </row>
    <row r="8" spans="1:18" x14ac:dyDescent="0.25">
      <c r="A8" s="11"/>
      <c r="B8" s="11" t="s">
        <v>27</v>
      </c>
      <c r="C8" s="11" t="s">
        <v>544</v>
      </c>
      <c r="D8" s="11" t="s">
        <v>545</v>
      </c>
      <c r="E8" s="11" t="s">
        <v>546</v>
      </c>
      <c r="F8" s="11" t="s">
        <v>104</v>
      </c>
      <c r="G8" s="12">
        <v>1530</v>
      </c>
      <c r="H8" s="12">
        <v>30</v>
      </c>
      <c r="I8" s="12">
        <f t="shared" si="0"/>
        <v>1500</v>
      </c>
      <c r="J8" s="11" t="s">
        <v>33</v>
      </c>
      <c r="K8" s="11" t="s">
        <v>33</v>
      </c>
      <c r="L8" s="11" t="s">
        <v>533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547</v>
      </c>
      <c r="D9" s="11" t="s">
        <v>548</v>
      </c>
      <c r="E9" s="11" t="s">
        <v>549</v>
      </c>
      <c r="F9" s="11" t="s">
        <v>78</v>
      </c>
      <c r="G9" s="12">
        <v>1720</v>
      </c>
      <c r="H9" s="12">
        <v>20</v>
      </c>
      <c r="I9" s="12">
        <f t="shared" si="0"/>
        <v>1700</v>
      </c>
      <c r="J9" s="11" t="s">
        <v>33</v>
      </c>
      <c r="K9" s="11" t="s">
        <v>33</v>
      </c>
      <c r="L9" s="11" t="s">
        <v>533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550</v>
      </c>
      <c r="D10" s="11" t="s">
        <v>551</v>
      </c>
      <c r="E10" s="11" t="s">
        <v>552</v>
      </c>
      <c r="F10" s="11" t="s">
        <v>78</v>
      </c>
      <c r="G10" s="12">
        <v>1000</v>
      </c>
      <c r="H10" s="12">
        <v>20</v>
      </c>
      <c r="I10" s="12">
        <f t="shared" si="0"/>
        <v>980</v>
      </c>
      <c r="J10" s="11" t="s">
        <v>33</v>
      </c>
      <c r="K10" s="11" t="s">
        <v>33</v>
      </c>
      <c r="L10" s="11" t="s">
        <v>533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553</v>
      </c>
      <c r="D11" s="11" t="s">
        <v>554</v>
      </c>
      <c r="E11" s="11" t="s">
        <v>555</v>
      </c>
      <c r="F11" s="12">
        <v>2</v>
      </c>
      <c r="G11" s="12">
        <v>0</v>
      </c>
      <c r="H11" s="12">
        <v>30</v>
      </c>
      <c r="I11" s="12">
        <f t="shared" si="0"/>
        <v>-30</v>
      </c>
      <c r="J11" s="11" t="s">
        <v>33</v>
      </c>
      <c r="K11" s="11" t="s">
        <v>33</v>
      </c>
      <c r="L11" s="11" t="s">
        <v>533</v>
      </c>
      <c r="M11" s="24" t="s">
        <v>556</v>
      </c>
      <c r="N11" s="11"/>
      <c r="O11" s="11"/>
      <c r="P11" s="11"/>
      <c r="Q11" s="11">
        <v>1</v>
      </c>
      <c r="R11" s="5">
        <f>H11</f>
        <v>30</v>
      </c>
    </row>
    <row r="12" spans="1:18" x14ac:dyDescent="0.25">
      <c r="A12" s="11"/>
      <c r="B12" s="11" t="s">
        <v>27</v>
      </c>
      <c r="C12" s="11" t="s">
        <v>557</v>
      </c>
      <c r="D12" s="11" t="s">
        <v>558</v>
      </c>
      <c r="E12" s="11" t="s">
        <v>559</v>
      </c>
      <c r="F12" s="12">
        <v>9</v>
      </c>
      <c r="G12" s="12">
        <v>1700</v>
      </c>
      <c r="H12" s="12">
        <v>30</v>
      </c>
      <c r="I12" s="12">
        <f t="shared" si="0"/>
        <v>1670</v>
      </c>
      <c r="J12" s="11" t="s">
        <v>33</v>
      </c>
      <c r="K12" s="11" t="s">
        <v>33</v>
      </c>
      <c r="L12" s="11" t="s">
        <v>533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560</v>
      </c>
      <c r="D13" s="11" t="s">
        <v>561</v>
      </c>
      <c r="E13" s="11" t="s">
        <v>418</v>
      </c>
      <c r="F13" s="12">
        <v>12</v>
      </c>
      <c r="G13" s="12">
        <v>0</v>
      </c>
      <c r="H13" s="12">
        <v>30</v>
      </c>
      <c r="I13" s="12">
        <f t="shared" si="0"/>
        <v>-30</v>
      </c>
      <c r="J13" s="11" t="s">
        <v>33</v>
      </c>
      <c r="K13" s="11" t="s">
        <v>33</v>
      </c>
      <c r="L13" s="11" t="s">
        <v>533</v>
      </c>
      <c r="M13" s="11"/>
      <c r="N13" s="11"/>
      <c r="O13" s="11"/>
      <c r="P13" s="11"/>
      <c r="Q13" s="11">
        <v>1</v>
      </c>
      <c r="R13" s="5">
        <f>H13</f>
        <v>30</v>
      </c>
    </row>
    <row r="14" spans="1:18" x14ac:dyDescent="0.25">
      <c r="A14" s="11"/>
      <c r="B14" s="11" t="s">
        <v>27</v>
      </c>
      <c r="C14" s="11" t="s">
        <v>562</v>
      </c>
      <c r="D14" s="11" t="s">
        <v>563</v>
      </c>
      <c r="E14" s="11" t="s">
        <v>564</v>
      </c>
      <c r="F14" s="12">
        <v>9</v>
      </c>
      <c r="G14" s="12">
        <v>920</v>
      </c>
      <c r="H14" s="12">
        <v>30</v>
      </c>
      <c r="I14" s="12">
        <f t="shared" si="0"/>
        <v>890</v>
      </c>
      <c r="J14" s="11" t="s">
        <v>33</v>
      </c>
      <c r="K14" s="11" t="s">
        <v>33</v>
      </c>
      <c r="L14" s="11" t="s">
        <v>533</v>
      </c>
      <c r="M14" s="11"/>
      <c r="N14" s="11"/>
      <c r="O14" s="11"/>
      <c r="P14" s="11"/>
      <c r="Q14" s="11">
        <v>1</v>
      </c>
    </row>
    <row r="15" spans="1:18" x14ac:dyDescent="0.25">
      <c r="A15" s="11" t="s">
        <v>59</v>
      </c>
      <c r="B15" s="11" t="s">
        <v>27</v>
      </c>
      <c r="C15" s="11" t="s">
        <v>565</v>
      </c>
      <c r="D15" s="11"/>
      <c r="E15" s="11" t="s">
        <v>566</v>
      </c>
      <c r="F15" s="11" t="s">
        <v>78</v>
      </c>
      <c r="G15" s="12">
        <v>2140</v>
      </c>
      <c r="H15" s="12">
        <v>30</v>
      </c>
      <c r="I15" s="12">
        <f t="shared" si="0"/>
        <v>2110</v>
      </c>
      <c r="J15" s="11" t="s">
        <v>33</v>
      </c>
      <c r="K15" s="11" t="s">
        <v>33</v>
      </c>
      <c r="L15" s="11" t="s">
        <v>533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567</v>
      </c>
      <c r="D16" s="11" t="s">
        <v>568</v>
      </c>
      <c r="E16" s="11" t="s">
        <v>569</v>
      </c>
      <c r="F16" s="12">
        <v>1</v>
      </c>
      <c r="G16" s="12">
        <v>0</v>
      </c>
      <c r="H16" s="12">
        <v>25</v>
      </c>
      <c r="I16" s="12">
        <f t="shared" si="0"/>
        <v>-25</v>
      </c>
      <c r="J16" s="11" t="s">
        <v>119</v>
      </c>
      <c r="K16" s="11" t="s">
        <v>33</v>
      </c>
      <c r="L16" s="11" t="s">
        <v>533</v>
      </c>
      <c r="M16" s="11"/>
      <c r="N16" s="11"/>
      <c r="O16" s="11"/>
      <c r="P16" s="11"/>
      <c r="Q16" s="11">
        <v>1</v>
      </c>
      <c r="R16" s="5">
        <f>H16</f>
        <v>25</v>
      </c>
    </row>
    <row r="17" spans="1:18" x14ac:dyDescent="0.25">
      <c r="A17" s="11"/>
      <c r="B17" s="11" t="s">
        <v>27</v>
      </c>
      <c r="C17" s="11" t="s">
        <v>570</v>
      </c>
      <c r="D17" s="11" t="s">
        <v>571</v>
      </c>
      <c r="E17" s="11" t="s">
        <v>572</v>
      </c>
      <c r="F17" s="11" t="s">
        <v>44</v>
      </c>
      <c r="G17" s="12">
        <v>1475</v>
      </c>
      <c r="H17" s="12">
        <v>25</v>
      </c>
      <c r="I17" s="12">
        <f t="shared" si="0"/>
        <v>1450</v>
      </c>
      <c r="J17" s="11" t="s">
        <v>119</v>
      </c>
      <c r="K17" s="11" t="s">
        <v>33</v>
      </c>
      <c r="L17" s="11" t="s">
        <v>533</v>
      </c>
      <c r="M17" s="11"/>
      <c r="N17" s="11"/>
      <c r="O17" s="11"/>
      <c r="P17" s="11"/>
      <c r="Q17" s="11">
        <v>1</v>
      </c>
    </row>
    <row r="18" spans="1:18" s="15" customFormat="1" x14ac:dyDescent="0.25">
      <c r="A18" s="13"/>
      <c r="B18" s="13" t="s">
        <v>27</v>
      </c>
      <c r="C18" s="13" t="s">
        <v>520</v>
      </c>
      <c r="D18" s="13" t="s">
        <v>573</v>
      </c>
      <c r="E18" s="13" t="s">
        <v>522</v>
      </c>
      <c r="F18" s="14">
        <v>1</v>
      </c>
      <c r="G18" s="14">
        <v>25</v>
      </c>
      <c r="H18" s="14">
        <v>25</v>
      </c>
      <c r="I18" s="14">
        <f t="shared" si="0"/>
        <v>0</v>
      </c>
      <c r="J18" s="13" t="s">
        <v>119</v>
      </c>
      <c r="K18" s="13" t="s">
        <v>33</v>
      </c>
      <c r="L18" s="13" t="s">
        <v>533</v>
      </c>
      <c r="M18" s="13" t="s">
        <v>100</v>
      </c>
      <c r="N18" s="13"/>
      <c r="O18" s="13"/>
      <c r="P18" s="13"/>
      <c r="Q18" s="13">
        <v>1</v>
      </c>
    </row>
    <row r="19" spans="1:18" x14ac:dyDescent="0.25">
      <c r="A19" s="11"/>
      <c r="B19" s="11" t="s">
        <v>27</v>
      </c>
      <c r="C19" s="11" t="s">
        <v>574</v>
      </c>
      <c r="D19" s="11" t="s">
        <v>575</v>
      </c>
      <c r="E19" s="11" t="s">
        <v>576</v>
      </c>
      <c r="F19" s="12">
        <v>5</v>
      </c>
      <c r="G19" s="12">
        <v>0</v>
      </c>
      <c r="H19" s="12">
        <v>25</v>
      </c>
      <c r="I19" s="12">
        <f t="shared" si="0"/>
        <v>-25</v>
      </c>
      <c r="J19" s="11" t="s">
        <v>119</v>
      </c>
      <c r="K19" s="11" t="s">
        <v>33</v>
      </c>
      <c r="L19" s="11" t="s">
        <v>533</v>
      </c>
      <c r="M19" s="11"/>
      <c r="N19" s="11"/>
      <c r="O19" s="11"/>
      <c r="P19" s="11"/>
      <c r="Q19" s="11">
        <v>1</v>
      </c>
      <c r="R19" s="5">
        <f>H19</f>
        <v>25</v>
      </c>
    </row>
    <row r="20" spans="1:18" x14ac:dyDescent="0.25">
      <c r="A20" s="11"/>
      <c r="B20" s="11" t="s">
        <v>27</v>
      </c>
      <c r="C20" s="11" t="s">
        <v>287</v>
      </c>
      <c r="D20" s="11" t="s">
        <v>577</v>
      </c>
      <c r="E20" s="11" t="s">
        <v>289</v>
      </c>
      <c r="F20" s="11" t="s">
        <v>44</v>
      </c>
      <c r="G20" s="12">
        <v>775</v>
      </c>
      <c r="H20" s="12">
        <v>25</v>
      </c>
      <c r="I20" s="12">
        <f t="shared" si="0"/>
        <v>750</v>
      </c>
      <c r="J20" s="11" t="s">
        <v>119</v>
      </c>
      <c r="K20" s="11" t="s">
        <v>33</v>
      </c>
      <c r="L20" s="11" t="s">
        <v>533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578</v>
      </c>
      <c r="D21" s="11" t="s">
        <v>579</v>
      </c>
      <c r="E21" s="11" t="s">
        <v>580</v>
      </c>
      <c r="F21" s="12">
        <v>3</v>
      </c>
      <c r="G21" s="12">
        <v>945</v>
      </c>
      <c r="H21" s="12">
        <v>25</v>
      </c>
      <c r="I21" s="12">
        <f t="shared" si="0"/>
        <v>920</v>
      </c>
      <c r="J21" s="11" t="s">
        <v>119</v>
      </c>
      <c r="K21" s="11" t="s">
        <v>33</v>
      </c>
      <c r="L21" s="11" t="s">
        <v>533</v>
      </c>
      <c r="M21" s="11"/>
      <c r="N21" s="11"/>
      <c r="O21" s="11"/>
      <c r="P21" s="11"/>
      <c r="Q21" s="11">
        <v>1</v>
      </c>
    </row>
    <row r="22" spans="1:18" s="2" customFormat="1" x14ac:dyDescent="0.25">
      <c r="A22" s="16"/>
      <c r="B22" s="16" t="s">
        <v>27</v>
      </c>
      <c r="C22" s="16" t="s">
        <v>504</v>
      </c>
      <c r="D22" s="16" t="s">
        <v>581</v>
      </c>
      <c r="E22" s="16" t="s">
        <v>506</v>
      </c>
      <c r="F22" s="17">
        <v>4</v>
      </c>
      <c r="G22" s="17">
        <v>690</v>
      </c>
      <c r="H22" s="17">
        <v>0</v>
      </c>
      <c r="I22" s="17">
        <f t="shared" si="0"/>
        <v>690</v>
      </c>
      <c r="J22" s="16" t="s">
        <v>153</v>
      </c>
      <c r="K22" s="16" t="s">
        <v>33</v>
      </c>
      <c r="L22" s="16" t="s">
        <v>533</v>
      </c>
      <c r="M22" s="16" t="s">
        <v>155</v>
      </c>
      <c r="N22" s="16" t="s">
        <v>156</v>
      </c>
      <c r="O22" s="16"/>
      <c r="P22" s="16" t="s">
        <v>157</v>
      </c>
      <c r="Q22" s="16">
        <v>1</v>
      </c>
    </row>
    <row r="24" spans="1:18" x14ac:dyDescent="0.25">
      <c r="D24" s="1">
        <f>COUNTA(D3:D22)</f>
        <v>19</v>
      </c>
      <c r="G24" s="1">
        <f t="shared" ref="G24:Q24" si="1">SUBTOTAL(9,G3:G22)</f>
        <v>14850</v>
      </c>
      <c r="H24" s="1">
        <f t="shared" si="1"/>
        <v>510</v>
      </c>
      <c r="I24" s="1">
        <f t="shared" si="1"/>
        <v>14340</v>
      </c>
      <c r="J24" s="1">
        <f t="shared" si="1"/>
        <v>0</v>
      </c>
      <c r="K24" s="1">
        <f t="shared" si="1"/>
        <v>0</v>
      </c>
      <c r="L24" s="1">
        <f t="shared" si="1"/>
        <v>0</v>
      </c>
      <c r="M24" s="1">
        <f t="shared" si="1"/>
        <v>0</v>
      </c>
      <c r="N24" s="1">
        <f t="shared" si="1"/>
        <v>0</v>
      </c>
      <c r="O24" s="1">
        <f t="shared" si="1"/>
        <v>0</v>
      </c>
      <c r="P24" s="1">
        <f t="shared" si="1"/>
        <v>0</v>
      </c>
      <c r="Q24" s="1">
        <f t="shared" si="1"/>
        <v>20</v>
      </c>
    </row>
    <row r="25" spans="1:18" x14ac:dyDescent="0.25">
      <c r="H25">
        <f>-4*17</f>
        <v>-68</v>
      </c>
    </row>
    <row r="26" spans="1:18" x14ac:dyDescent="0.25">
      <c r="A26" s="1" t="s">
        <v>27</v>
      </c>
      <c r="C26" s="60" t="s">
        <v>158</v>
      </c>
      <c r="D26" s="60"/>
      <c r="E26" s="4" t="s">
        <v>159</v>
      </c>
      <c r="K26" s="6" t="s">
        <v>532</v>
      </c>
      <c r="L26" s="6" t="s">
        <v>160</v>
      </c>
      <c r="M26" s="6" t="s">
        <v>159</v>
      </c>
      <c r="O26" s="4" t="s">
        <v>161</v>
      </c>
    </row>
    <row r="27" spans="1:18" x14ac:dyDescent="0.25">
      <c r="A27" t="s">
        <v>533</v>
      </c>
      <c r="B27" s="3" t="s">
        <v>162</v>
      </c>
      <c r="C27" s="61">
        <f>SUMIFS(I$3:I$22,B$3:B$22,A$26,L$3:L$22,A$27)</f>
        <v>14340</v>
      </c>
      <c r="D27" s="61"/>
      <c r="E27" s="3">
        <f>SUMIFS(Q$3:Q$22,B$3:B$22,A$26,L$3:L$22,A$27)</f>
        <v>20</v>
      </c>
      <c r="F27" t="s">
        <v>163</v>
      </c>
      <c r="K27" t="s">
        <v>164</v>
      </c>
      <c r="L27">
        <f>SUMIFS(G$3:G$22,J$3:J$22,K$26)</f>
        <v>1930</v>
      </c>
      <c r="M27">
        <f>SUMIFS(Q$3:Q$22,J$3:J$22,K$26)-INT(COUNTIFS(J$3:J$22,K$26,M$3:M$22,"*gộp*")/2)</f>
        <v>4</v>
      </c>
      <c r="O27" t="s">
        <v>582</v>
      </c>
      <c r="P27">
        <f>L32</f>
        <v>1862</v>
      </c>
    </row>
    <row r="28" spans="1:18" x14ac:dyDescent="0.25">
      <c r="B28" s="2" t="s">
        <v>166</v>
      </c>
      <c r="C28" s="62">
        <v>0</v>
      </c>
      <c r="D28" s="62"/>
      <c r="K28" t="s">
        <v>167</v>
      </c>
      <c r="L28">
        <f>SUM(H25:H25)</f>
        <v>-68</v>
      </c>
      <c r="M28">
        <f>SUMIFS(Q$3:Q$22,J$3:J$22,K$26)-INT(COUNTIFS(J$3:J$22,K$26,M$3:M$22,"*gộp*")/2)</f>
        <v>4</v>
      </c>
      <c r="O28" t="s">
        <v>33</v>
      </c>
      <c r="P28">
        <f>L40</f>
        <v>8767</v>
      </c>
    </row>
    <row r="29" spans="1:18" x14ac:dyDescent="0.25">
      <c r="B29" s="2" t="s">
        <v>168</v>
      </c>
      <c r="C29" s="62">
        <f>-SUMIFS(I$3:I$22,B$3:B$22,A$26,P$3:P$22,"xx",N$3:N$22,"x")</f>
        <v>-690</v>
      </c>
      <c r="D29" s="62"/>
      <c r="E29" s="2">
        <f>SUMIFS(Q$3:Q$22,B$3:B$22,A$26,P$3:P$22,"xx",N$3:N$22,"x")</f>
        <v>1</v>
      </c>
      <c r="K29" t="s">
        <v>169</v>
      </c>
      <c r="O29" t="s">
        <v>119</v>
      </c>
      <c r="P29">
        <f>L48</f>
        <v>3100</v>
      </c>
    </row>
    <row r="30" spans="1:18" x14ac:dyDescent="0.25">
      <c r="B30" s="4" t="s">
        <v>170</v>
      </c>
      <c r="C30" s="60">
        <f>SUBTOTAL(9,C27:C29)</f>
        <v>13650</v>
      </c>
      <c r="D30" s="60"/>
      <c r="E30">
        <f>E27</f>
        <v>20</v>
      </c>
      <c r="K30" s="7" t="s">
        <v>155</v>
      </c>
      <c r="O30" t="s">
        <v>171</v>
      </c>
      <c r="P30">
        <f>-C34</f>
        <v>-13650</v>
      </c>
    </row>
    <row r="31" spans="1:18" x14ac:dyDescent="0.25">
      <c r="B31" s="2" t="s">
        <v>172</v>
      </c>
      <c r="C31" s="58"/>
      <c r="D31" s="58"/>
      <c r="K31" s="2" t="s">
        <v>173</v>
      </c>
      <c r="O31" s="4" t="s">
        <v>174</v>
      </c>
      <c r="P31" s="4">
        <f>SUBTOTAL(9,P27:P30)</f>
        <v>79</v>
      </c>
    </row>
    <row r="32" spans="1:18" x14ac:dyDescent="0.25">
      <c r="B32" s="8" t="s">
        <v>175</v>
      </c>
      <c r="C32" s="58"/>
      <c r="D32" s="58"/>
      <c r="L32" s="9">
        <f>SUBTOTAL(9,L27:L31)</f>
        <v>1862</v>
      </c>
      <c r="M32" s="9">
        <f>M27</f>
        <v>4</v>
      </c>
    </row>
    <row r="34" spans="2:13" x14ac:dyDescent="0.25">
      <c r="B34" s="1" t="s">
        <v>176</v>
      </c>
      <c r="C34" s="59">
        <f>C30+C31+C32</f>
        <v>13650</v>
      </c>
      <c r="D34" s="59"/>
      <c r="E34" s="1" t="s">
        <v>177</v>
      </c>
      <c r="K34" s="6" t="s">
        <v>33</v>
      </c>
      <c r="L34" s="6" t="s">
        <v>160</v>
      </c>
      <c r="M34" s="6" t="s">
        <v>159</v>
      </c>
    </row>
    <row r="35" spans="2:13" x14ac:dyDescent="0.25">
      <c r="K35" t="s">
        <v>164</v>
      </c>
      <c r="L35">
        <f>SUMIFS(G$3:G$22,J$3:J$22,K$34)</f>
        <v>9010</v>
      </c>
      <c r="M35">
        <f>SUMIFS(Q$3:Q$22,J$3:J$22,K$34)-INT(COUNTIFS(J$3:J$22,K$34,M$3:M$22,"*gộp*")/2)</f>
        <v>9</v>
      </c>
    </row>
    <row r="36" spans="2:13" x14ac:dyDescent="0.25">
      <c r="K36" t="s">
        <v>167</v>
      </c>
      <c r="L36">
        <f>-SUMIFS(H$3:H$22,J$3:J$22,K$34)+M36*5</f>
        <v>-205</v>
      </c>
      <c r="M36">
        <f>SUMIFS(Q$3:Q$22,J$3:J$22,K$34)-INT(COUNTIFS(J$3:J$22,K$34,M$3:M$22,"*gộp*")/2)</f>
        <v>9</v>
      </c>
    </row>
    <row r="37" spans="2:13" x14ac:dyDescent="0.25">
      <c r="K37" t="s">
        <v>169</v>
      </c>
      <c r="L37">
        <f>-M37*2</f>
        <v>-38</v>
      </c>
      <c r="M37">
        <f>E30-(COUNTIFS(M$3:M$22,"*gộp*")/2)-COUNTIFS(M$3:M$22,"*đơn trả*")-COUNTIFS(M$3:M$22,"*hàng tỉnh*")</f>
        <v>19</v>
      </c>
    </row>
    <row r="38" spans="2:13" x14ac:dyDescent="0.25">
      <c r="K38" s="7" t="s">
        <v>155</v>
      </c>
    </row>
    <row r="39" spans="2:13" x14ac:dyDescent="0.25">
      <c r="K39" s="2" t="s">
        <v>173</v>
      </c>
    </row>
    <row r="40" spans="2:13" x14ac:dyDescent="0.25">
      <c r="L40" s="9">
        <f>SUBTOTAL(9,L35:L39)</f>
        <v>8767</v>
      </c>
      <c r="M40" s="9">
        <f>M35</f>
        <v>9</v>
      </c>
    </row>
    <row r="42" spans="2:13" x14ac:dyDescent="0.25">
      <c r="K42" s="6" t="s">
        <v>119</v>
      </c>
      <c r="L42" s="6" t="s">
        <v>160</v>
      </c>
      <c r="M42" s="6" t="s">
        <v>159</v>
      </c>
    </row>
    <row r="43" spans="2:13" x14ac:dyDescent="0.25">
      <c r="K43" t="s">
        <v>164</v>
      </c>
      <c r="L43">
        <f>SUMIFS(G$3:G$22,J$3:J$22,K$42)</f>
        <v>3220</v>
      </c>
      <c r="M43">
        <f>SUMIFS(Q$3:Q$22,J$3:J$22,K$42)-INT(COUNTIFS(J$3:J$22,K$42,M$3:M$22,"*gộp*")/2)</f>
        <v>6</v>
      </c>
    </row>
    <row r="44" spans="2:13" x14ac:dyDescent="0.25">
      <c r="K44" t="s">
        <v>167</v>
      </c>
      <c r="L44">
        <f>-SUMIFS(H$3:H$22,J$3:J$22,K$42)+M44*5</f>
        <v>-120</v>
      </c>
      <c r="M44">
        <f>SUMIFS(Q$3:Q$22,J$3:J$22,K$42)-INT(COUNTIFS(J$3:J$22,K$42,M$3:M$22,"*gộp*")/2)</f>
        <v>6</v>
      </c>
    </row>
    <row r="45" spans="2:13" x14ac:dyDescent="0.25">
      <c r="K45" t="s">
        <v>169</v>
      </c>
    </row>
    <row r="46" spans="2:13" x14ac:dyDescent="0.25">
      <c r="K46" s="7" t="s">
        <v>155</v>
      </c>
    </row>
    <row r="47" spans="2:13" x14ac:dyDescent="0.25">
      <c r="K47" s="2" t="s">
        <v>173</v>
      </c>
    </row>
    <row r="48" spans="2:13" x14ac:dyDescent="0.25">
      <c r="L48" s="9">
        <f>SUBTOTAL(9,L43:L47)</f>
        <v>3100</v>
      </c>
      <c r="M48" s="9">
        <f>M43</f>
        <v>6</v>
      </c>
    </row>
  </sheetData>
  <autoFilter ref="A2:P22" xr:uid="{00000000-0009-0000-0000-000006000000}">
    <sortState xmlns:xlrd2="http://schemas.microsoft.com/office/spreadsheetml/2017/richdata2" ref="A3:P22">
      <sortCondition ref="J2:J22"/>
    </sortState>
  </autoFilter>
  <mergeCells count="8">
    <mergeCell ref="C31:D31"/>
    <mergeCell ref="C32:D32"/>
    <mergeCell ref="C34:D34"/>
    <mergeCell ref="C26:D26"/>
    <mergeCell ref="C27:D27"/>
    <mergeCell ref="C28:D28"/>
    <mergeCell ref="C29:D29"/>
    <mergeCell ref="C30:D30"/>
  </mergeCells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48"/>
  <sheetViews>
    <sheetView topLeftCell="A19" workbookViewId="0"/>
  </sheetViews>
  <sheetFormatPr defaultRowHeight="15" x14ac:dyDescent="0.25"/>
  <cols>
    <col min="1" max="1" width="12.7109375" customWidth="1"/>
    <col min="2" max="2" width="8.85546875" customWidth="1"/>
    <col min="3" max="3" width="26.5703125" customWidth="1"/>
    <col min="4" max="4" width="9.85546875" customWidth="1"/>
    <col min="5" max="5" width="65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6.7109375" bestFit="1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583</v>
      </c>
      <c r="D3" s="11" t="s">
        <v>584</v>
      </c>
      <c r="E3" s="11" t="s">
        <v>585</v>
      </c>
      <c r="F3" s="11" t="s">
        <v>31</v>
      </c>
      <c r="G3" s="12">
        <v>1665</v>
      </c>
      <c r="H3" s="12">
        <v>25</v>
      </c>
      <c r="I3" s="12">
        <f t="shared" ref="I3:I21" si="0">G3-H3</f>
        <v>1640</v>
      </c>
      <c r="J3" s="11" t="s">
        <v>586</v>
      </c>
      <c r="K3" s="11" t="s">
        <v>33</v>
      </c>
      <c r="L3" s="11" t="s">
        <v>587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588</v>
      </c>
      <c r="D4" s="11" t="s">
        <v>589</v>
      </c>
      <c r="E4" s="11" t="s">
        <v>590</v>
      </c>
      <c r="F4" s="12">
        <v>7</v>
      </c>
      <c r="G4" s="12">
        <v>920</v>
      </c>
      <c r="H4" s="12">
        <v>30</v>
      </c>
      <c r="I4" s="12">
        <f t="shared" si="0"/>
        <v>890</v>
      </c>
      <c r="J4" s="11" t="s">
        <v>586</v>
      </c>
      <c r="K4" s="11" t="s">
        <v>33</v>
      </c>
      <c r="L4" s="11" t="s">
        <v>587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591</v>
      </c>
      <c r="D5" s="11" t="s">
        <v>592</v>
      </c>
      <c r="E5" s="11" t="s">
        <v>593</v>
      </c>
      <c r="F5" s="12">
        <v>6</v>
      </c>
      <c r="G5" s="12">
        <v>665</v>
      </c>
      <c r="H5" s="12">
        <v>25</v>
      </c>
      <c r="I5" s="12">
        <f t="shared" si="0"/>
        <v>640</v>
      </c>
      <c r="J5" s="11" t="s">
        <v>586</v>
      </c>
      <c r="K5" s="11" t="s">
        <v>33</v>
      </c>
      <c r="L5" s="11" t="s">
        <v>587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594</v>
      </c>
      <c r="D6" s="11" t="s">
        <v>595</v>
      </c>
      <c r="E6" s="11" t="s">
        <v>596</v>
      </c>
      <c r="F6" s="11" t="s">
        <v>68</v>
      </c>
      <c r="G6" s="12">
        <v>715</v>
      </c>
      <c r="H6" s="12">
        <v>25</v>
      </c>
      <c r="I6" s="12">
        <f t="shared" si="0"/>
        <v>690</v>
      </c>
      <c r="J6" s="11" t="s">
        <v>33</v>
      </c>
      <c r="K6" s="11" t="s">
        <v>33</v>
      </c>
      <c r="L6" s="11" t="s">
        <v>587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597</v>
      </c>
      <c r="D7" s="11" t="s">
        <v>598</v>
      </c>
      <c r="E7" s="11" t="s">
        <v>599</v>
      </c>
      <c r="F7" s="11" t="s">
        <v>104</v>
      </c>
      <c r="G7" s="12">
        <v>1200</v>
      </c>
      <c r="H7" s="12">
        <v>30</v>
      </c>
      <c r="I7" s="12">
        <f t="shared" si="0"/>
        <v>1170</v>
      </c>
      <c r="J7" s="11" t="s">
        <v>33</v>
      </c>
      <c r="K7" s="11" t="s">
        <v>33</v>
      </c>
      <c r="L7" s="11" t="s">
        <v>587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600</v>
      </c>
      <c r="D8" s="11" t="s">
        <v>601</v>
      </c>
      <c r="E8" s="11" t="s">
        <v>602</v>
      </c>
      <c r="F8" s="11" t="s">
        <v>104</v>
      </c>
      <c r="G8" s="12">
        <v>520</v>
      </c>
      <c r="H8" s="12">
        <v>30</v>
      </c>
      <c r="I8" s="12">
        <f t="shared" si="0"/>
        <v>490</v>
      </c>
      <c r="J8" s="11" t="s">
        <v>33</v>
      </c>
      <c r="K8" s="11" t="s">
        <v>33</v>
      </c>
      <c r="L8" s="11" t="s">
        <v>587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251</v>
      </c>
      <c r="D9" s="11" t="s">
        <v>603</v>
      </c>
      <c r="E9" s="11" t="s">
        <v>604</v>
      </c>
      <c r="F9" s="12">
        <v>12</v>
      </c>
      <c r="G9" s="12">
        <v>1160</v>
      </c>
      <c r="H9" s="12">
        <v>30</v>
      </c>
      <c r="I9" s="12">
        <f t="shared" si="0"/>
        <v>1130</v>
      </c>
      <c r="J9" s="11" t="s">
        <v>33</v>
      </c>
      <c r="K9" s="11" t="s">
        <v>33</v>
      </c>
      <c r="L9" s="11" t="s">
        <v>587</v>
      </c>
      <c r="M9" s="11"/>
      <c r="N9" s="11"/>
      <c r="O9" s="11"/>
      <c r="P9" s="11"/>
      <c r="Q9" s="11">
        <v>1</v>
      </c>
    </row>
    <row r="10" spans="1:18" x14ac:dyDescent="0.25">
      <c r="A10" s="11" t="s">
        <v>59</v>
      </c>
      <c r="B10" s="11" t="s">
        <v>27</v>
      </c>
      <c r="C10" s="11" t="s">
        <v>605</v>
      </c>
      <c r="D10" s="11"/>
      <c r="E10" s="11" t="s">
        <v>606</v>
      </c>
      <c r="F10" s="12">
        <v>12</v>
      </c>
      <c r="G10" s="12">
        <v>0</v>
      </c>
      <c r="H10" s="12">
        <v>35</v>
      </c>
      <c r="I10" s="12">
        <f t="shared" si="0"/>
        <v>-35</v>
      </c>
      <c r="J10" s="11" t="s">
        <v>33</v>
      </c>
      <c r="K10" s="11" t="s">
        <v>33</v>
      </c>
      <c r="L10" s="11" t="s">
        <v>587</v>
      </c>
      <c r="M10" s="11"/>
      <c r="N10" s="11"/>
      <c r="O10" s="11"/>
      <c r="P10" s="11"/>
      <c r="Q10" s="11">
        <v>1</v>
      </c>
      <c r="R10" s="5">
        <f>H10</f>
        <v>35</v>
      </c>
    </row>
    <row r="11" spans="1:18" x14ac:dyDescent="0.25">
      <c r="A11" s="11" t="s">
        <v>59</v>
      </c>
      <c r="B11" s="11" t="s">
        <v>27</v>
      </c>
      <c r="C11" s="11" t="s">
        <v>107</v>
      </c>
      <c r="D11" s="11"/>
      <c r="E11" s="11" t="s">
        <v>108</v>
      </c>
      <c r="F11" s="11" t="s">
        <v>68</v>
      </c>
      <c r="G11" s="12">
        <v>2280</v>
      </c>
      <c r="H11" s="12">
        <v>30</v>
      </c>
      <c r="I11" s="12">
        <f t="shared" si="0"/>
        <v>2250</v>
      </c>
      <c r="J11" s="11" t="s">
        <v>33</v>
      </c>
      <c r="K11" s="11" t="s">
        <v>33</v>
      </c>
      <c r="L11" s="11" t="s">
        <v>587</v>
      </c>
      <c r="M11" s="11"/>
      <c r="N11" s="11"/>
      <c r="O11" s="11"/>
      <c r="P11" s="11"/>
      <c r="Q11" s="11">
        <v>1</v>
      </c>
    </row>
    <row r="12" spans="1:18" x14ac:dyDescent="0.25">
      <c r="A12" s="11" t="s">
        <v>59</v>
      </c>
      <c r="B12" s="11" t="s">
        <v>27</v>
      </c>
      <c r="C12" s="11" t="s">
        <v>607</v>
      </c>
      <c r="D12" s="11"/>
      <c r="E12" s="11" t="s">
        <v>608</v>
      </c>
      <c r="F12" s="11" t="s">
        <v>44</v>
      </c>
      <c r="G12" s="12">
        <v>1570</v>
      </c>
      <c r="H12" s="12">
        <v>30</v>
      </c>
      <c r="I12" s="12">
        <f t="shared" si="0"/>
        <v>1540</v>
      </c>
      <c r="J12" s="11" t="s">
        <v>33</v>
      </c>
      <c r="K12" s="11" t="s">
        <v>33</v>
      </c>
      <c r="L12" s="11" t="s">
        <v>587</v>
      </c>
      <c r="M12" s="11"/>
      <c r="N12" s="11"/>
      <c r="O12" s="11"/>
      <c r="P12" s="11"/>
      <c r="Q12" s="11">
        <v>1</v>
      </c>
    </row>
    <row r="13" spans="1:18" x14ac:dyDescent="0.25">
      <c r="A13" s="11" t="s">
        <v>59</v>
      </c>
      <c r="B13" s="11" t="s">
        <v>27</v>
      </c>
      <c r="C13" s="11" t="s">
        <v>609</v>
      </c>
      <c r="D13" s="11"/>
      <c r="E13" s="11" t="s">
        <v>610</v>
      </c>
      <c r="F13" s="11" t="s">
        <v>44</v>
      </c>
      <c r="G13" s="12">
        <v>0</v>
      </c>
      <c r="H13" s="12">
        <v>30</v>
      </c>
      <c r="I13" s="12">
        <f t="shared" si="0"/>
        <v>-30</v>
      </c>
      <c r="J13" s="11" t="s">
        <v>33</v>
      </c>
      <c r="K13" s="11" t="s">
        <v>33</v>
      </c>
      <c r="L13" s="11" t="s">
        <v>587</v>
      </c>
      <c r="M13" s="11"/>
      <c r="N13" s="11"/>
      <c r="O13" s="11"/>
      <c r="P13" s="11"/>
      <c r="Q13" s="11">
        <v>1</v>
      </c>
      <c r="R13" s="5">
        <f>H13</f>
        <v>30</v>
      </c>
    </row>
    <row r="14" spans="1:18" x14ac:dyDescent="0.25">
      <c r="A14" s="11"/>
      <c r="B14" s="11" t="s">
        <v>27</v>
      </c>
      <c r="C14" s="11" t="s">
        <v>611</v>
      </c>
      <c r="D14" s="11" t="s">
        <v>612</v>
      </c>
      <c r="E14" s="11" t="s">
        <v>613</v>
      </c>
      <c r="F14" s="11" t="s">
        <v>118</v>
      </c>
      <c r="G14" s="12">
        <v>3190</v>
      </c>
      <c r="H14" s="12">
        <v>30</v>
      </c>
      <c r="I14" s="12">
        <f t="shared" si="0"/>
        <v>3160</v>
      </c>
      <c r="J14" s="11" t="s">
        <v>119</v>
      </c>
      <c r="K14" s="11" t="s">
        <v>33</v>
      </c>
      <c r="L14" s="11" t="s">
        <v>587</v>
      </c>
      <c r="M14" s="24" t="s">
        <v>340</v>
      </c>
      <c r="N14" s="11"/>
      <c r="O14" s="11"/>
      <c r="P14" s="11"/>
      <c r="Q14" s="11">
        <v>1</v>
      </c>
      <c r="R14" s="5">
        <f>H14</f>
        <v>30</v>
      </c>
    </row>
    <row r="15" spans="1:18" x14ac:dyDescent="0.25">
      <c r="A15" s="11"/>
      <c r="B15" s="11" t="s">
        <v>27</v>
      </c>
      <c r="C15" s="11" t="s">
        <v>614</v>
      </c>
      <c r="D15" s="11" t="s">
        <v>615</v>
      </c>
      <c r="E15" s="11" t="s">
        <v>616</v>
      </c>
      <c r="F15" s="12">
        <v>5</v>
      </c>
      <c r="G15" s="12">
        <v>815</v>
      </c>
      <c r="H15" s="12">
        <v>25</v>
      </c>
      <c r="I15" s="12">
        <f t="shared" si="0"/>
        <v>790</v>
      </c>
      <c r="J15" s="11" t="s">
        <v>119</v>
      </c>
      <c r="K15" s="11" t="s">
        <v>33</v>
      </c>
      <c r="L15" s="11" t="s">
        <v>587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617</v>
      </c>
      <c r="D16" s="11" t="s">
        <v>618</v>
      </c>
      <c r="E16" s="11" t="s">
        <v>619</v>
      </c>
      <c r="F16" s="12">
        <v>4</v>
      </c>
      <c r="G16" s="12">
        <v>805</v>
      </c>
      <c r="H16" s="12">
        <v>25</v>
      </c>
      <c r="I16" s="12">
        <f t="shared" si="0"/>
        <v>780</v>
      </c>
      <c r="J16" s="11" t="s">
        <v>119</v>
      </c>
      <c r="K16" s="11" t="s">
        <v>33</v>
      </c>
      <c r="L16" s="11" t="s">
        <v>587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620</v>
      </c>
      <c r="D17" s="11" t="s">
        <v>621</v>
      </c>
      <c r="E17" s="11" t="s">
        <v>622</v>
      </c>
      <c r="F17" s="12">
        <v>4</v>
      </c>
      <c r="G17" s="12">
        <v>1775</v>
      </c>
      <c r="H17" s="12">
        <v>25</v>
      </c>
      <c r="I17" s="12">
        <f t="shared" si="0"/>
        <v>1750</v>
      </c>
      <c r="J17" s="11" t="s">
        <v>119</v>
      </c>
      <c r="K17" s="11" t="s">
        <v>33</v>
      </c>
      <c r="L17" s="11" t="s">
        <v>587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623</v>
      </c>
      <c r="D18" s="11" t="s">
        <v>624</v>
      </c>
      <c r="E18" s="11" t="s">
        <v>625</v>
      </c>
      <c r="F18" s="11" t="s">
        <v>118</v>
      </c>
      <c r="G18" s="12">
        <v>0</v>
      </c>
      <c r="H18" s="12">
        <v>20</v>
      </c>
      <c r="I18" s="12">
        <f t="shared" si="0"/>
        <v>-20</v>
      </c>
      <c r="J18" s="11" t="s">
        <v>119</v>
      </c>
      <c r="K18" s="11" t="s">
        <v>33</v>
      </c>
      <c r="L18" s="11" t="s">
        <v>587</v>
      </c>
      <c r="M18" s="11"/>
      <c r="N18" s="11"/>
      <c r="O18" s="11"/>
      <c r="P18" s="11"/>
      <c r="Q18" s="11">
        <v>1</v>
      </c>
      <c r="R18" s="5">
        <f>H18</f>
        <v>20</v>
      </c>
    </row>
    <row r="19" spans="1:18" x14ac:dyDescent="0.25">
      <c r="A19" s="11"/>
      <c r="B19" s="11" t="s">
        <v>27</v>
      </c>
      <c r="C19" s="11" t="s">
        <v>626</v>
      </c>
      <c r="D19" s="11" t="s">
        <v>627</v>
      </c>
      <c r="E19" s="11" t="s">
        <v>628</v>
      </c>
      <c r="F19" s="12">
        <v>1</v>
      </c>
      <c r="G19" s="12">
        <v>935</v>
      </c>
      <c r="H19" s="12">
        <v>25</v>
      </c>
      <c r="I19" s="12">
        <f t="shared" si="0"/>
        <v>910</v>
      </c>
      <c r="J19" s="11" t="s">
        <v>119</v>
      </c>
      <c r="K19" s="11" t="s">
        <v>33</v>
      </c>
      <c r="L19" s="11" t="s">
        <v>587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629</v>
      </c>
      <c r="D20" s="11" t="s">
        <v>630</v>
      </c>
      <c r="E20" s="11" t="s">
        <v>631</v>
      </c>
      <c r="F20" s="12">
        <v>10</v>
      </c>
      <c r="G20" s="12">
        <v>5580</v>
      </c>
      <c r="H20" s="12">
        <v>45</v>
      </c>
      <c r="I20" s="12">
        <f t="shared" si="0"/>
        <v>5535</v>
      </c>
      <c r="J20" s="11" t="s">
        <v>119</v>
      </c>
      <c r="K20" s="11" t="s">
        <v>33</v>
      </c>
      <c r="L20" s="11" t="s">
        <v>587</v>
      </c>
      <c r="M20" s="24" t="s">
        <v>340</v>
      </c>
      <c r="N20" s="11"/>
      <c r="O20" s="11"/>
      <c r="P20" s="11"/>
      <c r="Q20" s="11">
        <v>1</v>
      </c>
      <c r="R20" s="5">
        <f>H20</f>
        <v>45</v>
      </c>
    </row>
    <row r="21" spans="1:18" x14ac:dyDescent="0.25">
      <c r="A21" s="11" t="s">
        <v>59</v>
      </c>
      <c r="B21" s="11" t="s">
        <v>27</v>
      </c>
      <c r="C21" s="11" t="s">
        <v>632</v>
      </c>
      <c r="D21" s="11"/>
      <c r="E21" s="11" t="s">
        <v>569</v>
      </c>
      <c r="F21" s="12">
        <v>1</v>
      </c>
      <c r="G21" s="12">
        <v>0</v>
      </c>
      <c r="H21" s="12">
        <v>30</v>
      </c>
      <c r="I21" s="12">
        <f t="shared" si="0"/>
        <v>-30</v>
      </c>
      <c r="J21" s="11" t="s">
        <v>119</v>
      </c>
      <c r="K21" s="11" t="s">
        <v>33</v>
      </c>
      <c r="L21" s="11" t="s">
        <v>587</v>
      </c>
      <c r="M21" s="11"/>
      <c r="N21" s="11"/>
      <c r="O21" s="11"/>
      <c r="P21" s="11"/>
      <c r="Q21" s="11">
        <v>1</v>
      </c>
      <c r="R21" s="5">
        <f>H21</f>
        <v>30</v>
      </c>
    </row>
    <row r="23" spans="1:18" x14ac:dyDescent="0.25">
      <c r="D23" s="1">
        <f>COUNTA(D3:D21)</f>
        <v>14</v>
      </c>
      <c r="G23" s="1">
        <f t="shared" ref="G23:Q23" si="1">SUBTOTAL(9,G3:G21)</f>
        <v>23795</v>
      </c>
      <c r="H23" s="1">
        <f t="shared" si="1"/>
        <v>545</v>
      </c>
      <c r="I23" s="1">
        <f t="shared" si="1"/>
        <v>23250</v>
      </c>
      <c r="J23" s="1">
        <f t="shared" si="1"/>
        <v>0</v>
      </c>
      <c r="K23" s="1">
        <f t="shared" si="1"/>
        <v>0</v>
      </c>
      <c r="L23" s="1">
        <f t="shared" si="1"/>
        <v>0</v>
      </c>
      <c r="M23" s="1">
        <f t="shared" si="1"/>
        <v>0</v>
      </c>
      <c r="N23" s="1">
        <f t="shared" si="1"/>
        <v>0</v>
      </c>
      <c r="O23" s="1">
        <f t="shared" si="1"/>
        <v>0</v>
      </c>
      <c r="P23" s="1">
        <f t="shared" si="1"/>
        <v>0</v>
      </c>
      <c r="Q23" s="1">
        <f t="shared" si="1"/>
        <v>19</v>
      </c>
    </row>
    <row r="24" spans="1:18" x14ac:dyDescent="0.25">
      <c r="H24">
        <f>-3*17</f>
        <v>-51</v>
      </c>
    </row>
    <row r="25" spans="1:18" x14ac:dyDescent="0.25">
      <c r="A25" s="1" t="s">
        <v>27</v>
      </c>
      <c r="C25" s="60" t="s">
        <v>158</v>
      </c>
      <c r="D25" s="60"/>
      <c r="E25" s="4" t="s">
        <v>159</v>
      </c>
      <c r="K25" s="6" t="s">
        <v>119</v>
      </c>
      <c r="L25" s="6" t="s">
        <v>160</v>
      </c>
      <c r="M25" s="6" t="s">
        <v>159</v>
      </c>
      <c r="O25" s="4" t="s">
        <v>161</v>
      </c>
    </row>
    <row r="26" spans="1:18" x14ac:dyDescent="0.25">
      <c r="A26" t="s">
        <v>587</v>
      </c>
      <c r="B26" s="3" t="s">
        <v>162</v>
      </c>
      <c r="C26" s="61">
        <f>SUMIFS(I$3:I$21,B$3:B$21,A$25,L$3:L$21,A$26)</f>
        <v>23250</v>
      </c>
      <c r="D26" s="61"/>
      <c r="E26" s="3">
        <f>SUMIFS(Q$3:Q$21,B$3:B$21,A$25,L$3:L$21,A$26)</f>
        <v>19</v>
      </c>
      <c r="F26" t="s">
        <v>163</v>
      </c>
      <c r="K26" t="s">
        <v>164</v>
      </c>
      <c r="L26">
        <f>SUMIFS(G$3:G$21,J$3:J$21,K$25)</f>
        <v>13100</v>
      </c>
      <c r="M26">
        <f>SUMIFS(Q$3:Q$21,J$3:J$21,K$25)-INT(COUNTIFS(J$3:J$21,K$25,M$3:M$21,"*gộp*")/2)</f>
        <v>8</v>
      </c>
      <c r="O26" t="s">
        <v>119</v>
      </c>
      <c r="P26">
        <f>L31</f>
        <v>12915</v>
      </c>
    </row>
    <row r="27" spans="1:18" x14ac:dyDescent="0.25">
      <c r="B27" s="2" t="s">
        <v>166</v>
      </c>
      <c r="C27" s="62">
        <v>0</v>
      </c>
      <c r="D27" s="62"/>
      <c r="K27" t="s">
        <v>167</v>
      </c>
      <c r="L27">
        <f>-SUMIFS(H$3:H$21,J$3:J$21,K$25)+M27*5</f>
        <v>-185</v>
      </c>
      <c r="M27">
        <f>SUMIFS(Q$3:Q$21,J$3:J$21,K$25)-INT(COUNTIFS(J$3:J$21,K$25,M$3:M$21,"*gộp*")/2)</f>
        <v>8</v>
      </c>
      <c r="O27" t="s">
        <v>633</v>
      </c>
      <c r="P27">
        <f>L40</f>
        <v>3174</v>
      </c>
    </row>
    <row r="28" spans="1:18" x14ac:dyDescent="0.25">
      <c r="B28" s="2" t="s">
        <v>168</v>
      </c>
      <c r="C28" s="62">
        <f>-SUMIFS(I$3:I$21,B$3:B$21,A$25,P$3:P$21,"xx",N$3:N$21,"x")</f>
        <v>0</v>
      </c>
      <c r="D28" s="62"/>
      <c r="E28" s="2">
        <f>SUMIFS(Q$3:Q$21,B$3:B$21,A$25,P$3:P$21,"xx",N$3:N$21,"x")</f>
        <v>0</v>
      </c>
      <c r="K28" t="s">
        <v>169</v>
      </c>
      <c r="O28" t="s">
        <v>33</v>
      </c>
      <c r="P28">
        <f>L48</f>
        <v>7207</v>
      </c>
    </row>
    <row r="29" spans="1:18" x14ac:dyDescent="0.25">
      <c r="B29" s="4" t="s">
        <v>170</v>
      </c>
      <c r="C29" s="60">
        <f>SUBTOTAL(9,C26:C28)</f>
        <v>23250</v>
      </c>
      <c r="D29" s="60"/>
      <c r="E29">
        <f>E26</f>
        <v>19</v>
      </c>
      <c r="K29" s="7" t="s">
        <v>155</v>
      </c>
      <c r="O29" t="s">
        <v>171</v>
      </c>
      <c r="P29">
        <f>-C33</f>
        <v>-23250</v>
      </c>
    </row>
    <row r="30" spans="1:18" x14ac:dyDescent="0.25">
      <c r="B30" s="2" t="s">
        <v>172</v>
      </c>
      <c r="C30" s="58"/>
      <c r="D30" s="58"/>
      <c r="K30" s="2" t="s">
        <v>173</v>
      </c>
      <c r="O30" s="4" t="s">
        <v>174</v>
      </c>
      <c r="P30" s="4">
        <f>SUBTOTAL(9,P26:P29)</f>
        <v>46</v>
      </c>
    </row>
    <row r="31" spans="1:18" x14ac:dyDescent="0.25">
      <c r="B31" s="8" t="s">
        <v>175</v>
      </c>
      <c r="C31" s="58"/>
      <c r="D31" s="58"/>
      <c r="L31" s="9">
        <f>SUBTOTAL(9,L26:L30)</f>
        <v>12915</v>
      </c>
      <c r="M31" s="9">
        <f>M26</f>
        <v>8</v>
      </c>
    </row>
    <row r="33" spans="2:13" x14ac:dyDescent="0.25">
      <c r="B33" s="1" t="s">
        <v>176</v>
      </c>
      <c r="C33" s="59">
        <f>C29+C30+C31</f>
        <v>23250</v>
      </c>
      <c r="D33" s="59"/>
      <c r="E33" s="1" t="s">
        <v>177</v>
      </c>
      <c r="K33" s="6" t="s">
        <v>586</v>
      </c>
      <c r="L33" s="6" t="s">
        <v>160</v>
      </c>
      <c r="M33" s="6" t="s">
        <v>159</v>
      </c>
    </row>
    <row r="34" spans="2:13" x14ac:dyDescent="0.25">
      <c r="K34" t="s">
        <v>164</v>
      </c>
      <c r="L34">
        <f>SUMIFS(G$3:G$21,J$3:J$21,K$33)</f>
        <v>3250</v>
      </c>
      <c r="M34">
        <f>SUMIFS(Q$3:Q$21,J$3:J$21,K$33)-INT(COUNTIFS(J$3:J$21,K$33,M$3:M$21,"*gộp*")/2)</f>
        <v>3</v>
      </c>
    </row>
    <row r="35" spans="2:13" x14ac:dyDescent="0.25">
      <c r="K35" t="s">
        <v>167</v>
      </c>
      <c r="L35">
        <f>SUM(H24:H24)</f>
        <v>-51</v>
      </c>
      <c r="M35">
        <f>SUMIFS(Q$3:Q$21,J$3:J$21,K$33)-INT(COUNTIFS(J$3:J$21,K$33,M$3:M$21,"*gộp*")/2)</f>
        <v>3</v>
      </c>
    </row>
    <row r="36" spans="2:13" x14ac:dyDescent="0.25">
      <c r="K36" t="s">
        <v>169</v>
      </c>
    </row>
    <row r="37" spans="2:13" x14ac:dyDescent="0.25">
      <c r="K37" s="7" t="s">
        <v>155</v>
      </c>
    </row>
    <row r="38" spans="2:13" x14ac:dyDescent="0.25">
      <c r="K38" s="2" t="s">
        <v>173</v>
      </c>
    </row>
    <row r="39" spans="2:13" x14ac:dyDescent="0.25">
      <c r="K39" s="2" t="s">
        <v>634</v>
      </c>
      <c r="L39" s="2">
        <v>-25</v>
      </c>
    </row>
    <row r="40" spans="2:13" x14ac:dyDescent="0.25">
      <c r="L40" s="9">
        <f>SUBTOTAL(9,L34:L39)</f>
        <v>3174</v>
      </c>
      <c r="M40" s="9">
        <f>M34</f>
        <v>3</v>
      </c>
    </row>
    <row r="42" spans="2:13" x14ac:dyDescent="0.25">
      <c r="K42" s="6" t="s">
        <v>33</v>
      </c>
      <c r="L42" s="6" t="s">
        <v>160</v>
      </c>
      <c r="M42" s="6" t="s">
        <v>159</v>
      </c>
    </row>
    <row r="43" spans="2:13" x14ac:dyDescent="0.25">
      <c r="K43" t="s">
        <v>164</v>
      </c>
      <c r="L43">
        <f>SUMIFS(G$3:G$21,J$3:J$21,K$42)</f>
        <v>7445</v>
      </c>
      <c r="M43">
        <f>SUMIFS(Q$3:Q$21,J$3:J$21,K$42)-INT(COUNTIFS(J$3:J$21,K$42,M$3:M$21,"*gộp*")/2)</f>
        <v>8</v>
      </c>
    </row>
    <row r="44" spans="2:13" x14ac:dyDescent="0.25">
      <c r="K44" t="s">
        <v>167</v>
      </c>
      <c r="L44">
        <f>-SUMIFS(H$3:H$21,J$3:J$21,K$42)+M44*5</f>
        <v>-200</v>
      </c>
      <c r="M44">
        <f>SUMIFS(Q$3:Q$21,J$3:J$21,K$42)-INT(COUNTIFS(J$3:J$21,K$42,M$3:M$21,"*gộp*")/2)</f>
        <v>8</v>
      </c>
    </row>
    <row r="45" spans="2:13" x14ac:dyDescent="0.25">
      <c r="K45" t="s">
        <v>169</v>
      </c>
      <c r="L45">
        <f>-M45*2</f>
        <v>-38</v>
      </c>
      <c r="M45">
        <f>E29-(COUNTIFS(M$3:M$21,"*gộp*")/2)-COUNTIFS(M$3:M$21,"*đơn trả*")-COUNTIFS(M$3:M$21,"*hàng tỉnh*")</f>
        <v>19</v>
      </c>
    </row>
    <row r="46" spans="2:13" x14ac:dyDescent="0.25">
      <c r="K46" s="7" t="s">
        <v>155</v>
      </c>
    </row>
    <row r="47" spans="2:13" x14ac:dyDescent="0.25">
      <c r="K47" s="2" t="s">
        <v>173</v>
      </c>
    </row>
    <row r="48" spans="2:13" x14ac:dyDescent="0.25">
      <c r="L48" s="9">
        <f>SUBTOTAL(9,L43:L47)</f>
        <v>7207</v>
      </c>
      <c r="M48" s="9">
        <f>M43</f>
        <v>8</v>
      </c>
    </row>
  </sheetData>
  <autoFilter ref="A2:P21" xr:uid="{00000000-0009-0000-0000-000007000000}">
    <sortState xmlns:xlrd2="http://schemas.microsoft.com/office/spreadsheetml/2017/richdata2" ref="A3:P21">
      <sortCondition ref="J2:J21"/>
    </sortState>
  </autoFilter>
  <mergeCells count="8">
    <mergeCell ref="C30:D30"/>
    <mergeCell ref="C31:D31"/>
    <mergeCell ref="C33:D33"/>
    <mergeCell ref="C25:D25"/>
    <mergeCell ref="C26:D26"/>
    <mergeCell ref="C27:D27"/>
    <mergeCell ref="C28:D28"/>
    <mergeCell ref="C29:D29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84"/>
  <sheetViews>
    <sheetView topLeftCell="B58" workbookViewId="0">
      <selection activeCell="M56" sqref="M56"/>
    </sheetView>
  </sheetViews>
  <sheetFormatPr defaultRowHeight="15" x14ac:dyDescent="0.25"/>
  <cols>
    <col min="1" max="1" width="12.7109375" customWidth="1"/>
    <col min="2" max="2" width="9" customWidth="1"/>
    <col min="3" max="3" width="29.28515625" customWidth="1"/>
    <col min="4" max="4" width="9.85546875" customWidth="1"/>
    <col min="5" max="5" width="68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9.85546875" bestFit="1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635</v>
      </c>
      <c r="D3" s="11" t="s">
        <v>636</v>
      </c>
      <c r="E3" s="11" t="s">
        <v>637</v>
      </c>
      <c r="F3" s="12">
        <v>8</v>
      </c>
      <c r="G3" s="12">
        <v>820</v>
      </c>
      <c r="H3" s="12">
        <v>30</v>
      </c>
      <c r="I3" s="12">
        <f t="shared" ref="I3:I34" si="0">G3-H3</f>
        <v>790</v>
      </c>
      <c r="J3" s="11" t="s">
        <v>638</v>
      </c>
      <c r="K3" s="11" t="s">
        <v>33</v>
      </c>
      <c r="L3" s="11" t="s">
        <v>639</v>
      </c>
      <c r="M3" s="11"/>
      <c r="N3" s="11"/>
      <c r="O3" s="11"/>
      <c r="P3" s="11"/>
      <c r="Q3" s="11">
        <v>1</v>
      </c>
    </row>
    <row r="4" spans="1:18" s="15" customFormat="1" x14ac:dyDescent="0.25">
      <c r="A4" s="13"/>
      <c r="B4" s="13" t="s">
        <v>27</v>
      </c>
      <c r="C4" s="13" t="s">
        <v>514</v>
      </c>
      <c r="D4" s="13" t="s">
        <v>640</v>
      </c>
      <c r="E4" s="13" t="s">
        <v>641</v>
      </c>
      <c r="F4" s="13" t="s">
        <v>55</v>
      </c>
      <c r="G4" s="14">
        <v>65</v>
      </c>
      <c r="H4" s="14">
        <v>35</v>
      </c>
      <c r="I4" s="14">
        <f t="shared" si="0"/>
        <v>30</v>
      </c>
      <c r="J4" s="13" t="s">
        <v>638</v>
      </c>
      <c r="K4" s="13" t="s">
        <v>33</v>
      </c>
      <c r="L4" s="13" t="s">
        <v>639</v>
      </c>
      <c r="M4" s="13" t="s">
        <v>100</v>
      </c>
      <c r="N4" s="13"/>
      <c r="O4" s="13"/>
      <c r="P4" s="13"/>
      <c r="Q4" s="13">
        <v>1</v>
      </c>
    </row>
    <row r="5" spans="1:18" x14ac:dyDescent="0.25">
      <c r="A5" s="11"/>
      <c r="B5" s="11" t="s">
        <v>27</v>
      </c>
      <c r="C5" s="11" t="s">
        <v>642</v>
      </c>
      <c r="D5" s="11" t="s">
        <v>643</v>
      </c>
      <c r="E5" s="11" t="s">
        <v>644</v>
      </c>
      <c r="F5" s="11" t="s">
        <v>55</v>
      </c>
      <c r="G5" s="12">
        <v>865</v>
      </c>
      <c r="H5" s="12">
        <v>35</v>
      </c>
      <c r="I5" s="12">
        <f t="shared" si="0"/>
        <v>830</v>
      </c>
      <c r="J5" s="11" t="s">
        <v>638</v>
      </c>
      <c r="K5" s="11" t="s">
        <v>33</v>
      </c>
      <c r="L5" s="11" t="s">
        <v>639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645</v>
      </c>
      <c r="D6" s="11" t="s">
        <v>646</v>
      </c>
      <c r="E6" s="11" t="s">
        <v>647</v>
      </c>
      <c r="F6" s="12">
        <v>7</v>
      </c>
      <c r="G6" s="12">
        <v>390</v>
      </c>
      <c r="H6" s="12">
        <v>30</v>
      </c>
      <c r="I6" s="12">
        <f t="shared" si="0"/>
        <v>360</v>
      </c>
      <c r="J6" s="11" t="s">
        <v>638</v>
      </c>
      <c r="K6" s="11" t="s">
        <v>33</v>
      </c>
      <c r="L6" s="11" t="s">
        <v>639</v>
      </c>
      <c r="M6" s="11"/>
      <c r="N6" s="11"/>
      <c r="O6" s="11"/>
      <c r="P6" s="11"/>
      <c r="Q6" s="11">
        <v>1</v>
      </c>
    </row>
    <row r="7" spans="1:18" s="15" customFormat="1" x14ac:dyDescent="0.25">
      <c r="A7" s="13"/>
      <c r="B7" s="13" t="s">
        <v>27</v>
      </c>
      <c r="C7" s="13" t="s">
        <v>591</v>
      </c>
      <c r="D7" s="13" t="s">
        <v>648</v>
      </c>
      <c r="E7" s="13" t="s">
        <v>593</v>
      </c>
      <c r="F7" s="14">
        <v>6</v>
      </c>
      <c r="G7" s="14">
        <v>265</v>
      </c>
      <c r="H7" s="14">
        <v>25</v>
      </c>
      <c r="I7" s="14">
        <f t="shared" si="0"/>
        <v>240</v>
      </c>
      <c r="J7" s="13" t="s">
        <v>638</v>
      </c>
      <c r="K7" s="13" t="s">
        <v>33</v>
      </c>
      <c r="L7" s="13" t="s">
        <v>639</v>
      </c>
      <c r="M7" s="13" t="s">
        <v>100</v>
      </c>
      <c r="N7" s="13"/>
      <c r="O7" s="13"/>
      <c r="P7" s="13"/>
      <c r="Q7" s="13">
        <v>1</v>
      </c>
    </row>
    <row r="8" spans="1:18" x14ac:dyDescent="0.25">
      <c r="A8" s="11"/>
      <c r="B8" s="11" t="s">
        <v>27</v>
      </c>
      <c r="C8" s="11" t="s">
        <v>649</v>
      </c>
      <c r="D8" s="11" t="s">
        <v>650</v>
      </c>
      <c r="E8" s="11" t="s">
        <v>651</v>
      </c>
      <c r="F8" s="12">
        <v>8</v>
      </c>
      <c r="G8" s="12">
        <v>0</v>
      </c>
      <c r="H8" s="12">
        <v>30</v>
      </c>
      <c r="I8" s="12">
        <f t="shared" si="0"/>
        <v>-30</v>
      </c>
      <c r="J8" s="11" t="s">
        <v>638</v>
      </c>
      <c r="K8" s="11" t="s">
        <v>33</v>
      </c>
      <c r="L8" s="11" t="s">
        <v>639</v>
      </c>
      <c r="M8" s="11"/>
      <c r="N8" s="11"/>
      <c r="O8" s="11"/>
      <c r="P8" s="11"/>
      <c r="Q8" s="11">
        <v>1</v>
      </c>
      <c r="R8" s="5">
        <f>H8</f>
        <v>30</v>
      </c>
    </row>
    <row r="9" spans="1:18" x14ac:dyDescent="0.25">
      <c r="A9" s="11"/>
      <c r="B9" s="11" t="s">
        <v>27</v>
      </c>
      <c r="C9" s="11" t="s">
        <v>652</v>
      </c>
      <c r="D9" s="11" t="s">
        <v>653</v>
      </c>
      <c r="E9" s="11" t="s">
        <v>215</v>
      </c>
      <c r="F9" s="12">
        <v>6</v>
      </c>
      <c r="G9" s="12">
        <v>0</v>
      </c>
      <c r="H9" s="12">
        <v>25</v>
      </c>
      <c r="I9" s="12">
        <f t="shared" si="0"/>
        <v>-25</v>
      </c>
      <c r="J9" s="11" t="s">
        <v>638</v>
      </c>
      <c r="K9" s="11" t="s">
        <v>33</v>
      </c>
      <c r="L9" s="11" t="s">
        <v>639</v>
      </c>
      <c r="M9" s="11"/>
      <c r="N9" s="11"/>
      <c r="O9" s="11"/>
      <c r="P9" s="11"/>
      <c r="Q9" s="11">
        <v>1</v>
      </c>
      <c r="R9" s="5">
        <f>H9</f>
        <v>25</v>
      </c>
    </row>
    <row r="10" spans="1:18" x14ac:dyDescent="0.25">
      <c r="A10" s="11"/>
      <c r="B10" s="11" t="s">
        <v>27</v>
      </c>
      <c r="C10" s="11" t="s">
        <v>654</v>
      </c>
      <c r="D10" s="11" t="s">
        <v>655</v>
      </c>
      <c r="E10" s="11" t="s">
        <v>61</v>
      </c>
      <c r="F10" s="11" t="s">
        <v>48</v>
      </c>
      <c r="G10" s="12">
        <v>910</v>
      </c>
      <c r="H10" s="12">
        <v>30</v>
      </c>
      <c r="I10" s="12">
        <f t="shared" si="0"/>
        <v>880</v>
      </c>
      <c r="J10" s="11" t="s">
        <v>638</v>
      </c>
      <c r="K10" s="11" t="s">
        <v>33</v>
      </c>
      <c r="L10" s="11" t="s">
        <v>639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656</v>
      </c>
      <c r="D11" s="11" t="s">
        <v>657</v>
      </c>
      <c r="E11" s="11" t="s">
        <v>658</v>
      </c>
      <c r="F11" s="11" t="s">
        <v>48</v>
      </c>
      <c r="G11" s="12">
        <v>820</v>
      </c>
      <c r="H11" s="12">
        <v>30</v>
      </c>
      <c r="I11" s="12">
        <f t="shared" si="0"/>
        <v>790</v>
      </c>
      <c r="J11" s="11" t="s">
        <v>638</v>
      </c>
      <c r="K11" s="11" t="s">
        <v>33</v>
      </c>
      <c r="L11" s="11" t="s">
        <v>639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659</v>
      </c>
      <c r="D12" s="11" t="s">
        <v>660</v>
      </c>
      <c r="E12" s="11" t="s">
        <v>661</v>
      </c>
      <c r="F12" s="12">
        <v>8</v>
      </c>
      <c r="G12" s="12">
        <v>770</v>
      </c>
      <c r="H12" s="12">
        <v>30</v>
      </c>
      <c r="I12" s="12">
        <f t="shared" si="0"/>
        <v>740</v>
      </c>
      <c r="J12" s="11" t="s">
        <v>638</v>
      </c>
      <c r="K12" s="11" t="s">
        <v>33</v>
      </c>
      <c r="L12" s="11" t="s">
        <v>639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662</v>
      </c>
      <c r="D13" s="11" t="s">
        <v>663</v>
      </c>
      <c r="E13" s="11" t="s">
        <v>664</v>
      </c>
      <c r="F13" s="12">
        <v>9</v>
      </c>
      <c r="G13" s="12">
        <v>810</v>
      </c>
      <c r="H13" s="12">
        <v>30</v>
      </c>
      <c r="I13" s="12">
        <f t="shared" si="0"/>
        <v>780</v>
      </c>
      <c r="J13" s="11" t="s">
        <v>638</v>
      </c>
      <c r="K13" s="11" t="s">
        <v>33</v>
      </c>
      <c r="L13" s="11" t="s">
        <v>639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665</v>
      </c>
      <c r="D14" s="11" t="s">
        <v>666</v>
      </c>
      <c r="E14" s="11" t="s">
        <v>667</v>
      </c>
      <c r="F14" s="12">
        <v>9</v>
      </c>
      <c r="G14" s="12">
        <v>1380</v>
      </c>
      <c r="H14" s="12">
        <v>30</v>
      </c>
      <c r="I14" s="12">
        <f t="shared" si="0"/>
        <v>1350</v>
      </c>
      <c r="J14" s="11" t="s">
        <v>638</v>
      </c>
      <c r="K14" s="11" t="s">
        <v>33</v>
      </c>
      <c r="L14" s="11" t="s">
        <v>639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668</v>
      </c>
      <c r="D15" s="11" t="s">
        <v>669</v>
      </c>
      <c r="E15" s="11" t="s">
        <v>670</v>
      </c>
      <c r="F15" s="12">
        <v>6</v>
      </c>
      <c r="G15" s="12">
        <v>805</v>
      </c>
      <c r="H15" s="12">
        <v>25</v>
      </c>
      <c r="I15" s="12">
        <f t="shared" si="0"/>
        <v>780</v>
      </c>
      <c r="J15" s="11" t="s">
        <v>638</v>
      </c>
      <c r="K15" s="11" t="s">
        <v>33</v>
      </c>
      <c r="L15" s="11" t="s">
        <v>639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671</v>
      </c>
      <c r="D16" s="11" t="s">
        <v>672</v>
      </c>
      <c r="E16" s="11" t="s">
        <v>673</v>
      </c>
      <c r="F16" s="11" t="s">
        <v>31</v>
      </c>
      <c r="G16" s="12">
        <v>665</v>
      </c>
      <c r="H16" s="12">
        <v>25</v>
      </c>
      <c r="I16" s="12">
        <f t="shared" si="0"/>
        <v>640</v>
      </c>
      <c r="J16" s="11" t="s">
        <v>638</v>
      </c>
      <c r="K16" s="11" t="s">
        <v>33</v>
      </c>
      <c r="L16" s="11" t="s">
        <v>639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674</v>
      </c>
      <c r="D17" s="11" t="s">
        <v>675</v>
      </c>
      <c r="E17" s="11" t="s">
        <v>676</v>
      </c>
      <c r="F17" s="11" t="s">
        <v>55</v>
      </c>
      <c r="G17" s="12">
        <v>0</v>
      </c>
      <c r="H17" s="12">
        <v>35</v>
      </c>
      <c r="I17" s="12">
        <f t="shared" si="0"/>
        <v>-35</v>
      </c>
      <c r="J17" s="11" t="s">
        <v>638</v>
      </c>
      <c r="K17" s="11" t="s">
        <v>33</v>
      </c>
      <c r="L17" s="11" t="s">
        <v>639</v>
      </c>
      <c r="M17" s="11"/>
      <c r="N17" s="11"/>
      <c r="O17" s="11"/>
      <c r="P17" s="11"/>
      <c r="Q17" s="11">
        <v>1</v>
      </c>
      <c r="R17" s="5">
        <f>H17</f>
        <v>35</v>
      </c>
    </row>
    <row r="18" spans="1:18" x14ac:dyDescent="0.25">
      <c r="A18" s="11"/>
      <c r="B18" s="11" t="s">
        <v>27</v>
      </c>
      <c r="C18" s="11" t="s">
        <v>203</v>
      </c>
      <c r="D18" s="11" t="s">
        <v>677</v>
      </c>
      <c r="E18" s="11" t="s">
        <v>678</v>
      </c>
      <c r="F18" s="12">
        <v>7</v>
      </c>
      <c r="G18" s="12">
        <v>820</v>
      </c>
      <c r="H18" s="12">
        <v>30</v>
      </c>
      <c r="I18" s="12">
        <f t="shared" si="0"/>
        <v>790</v>
      </c>
      <c r="J18" s="11" t="s">
        <v>638</v>
      </c>
      <c r="K18" s="11" t="s">
        <v>33</v>
      </c>
      <c r="L18" s="11" t="s">
        <v>639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679</v>
      </c>
      <c r="D19" s="11" t="s">
        <v>680</v>
      </c>
      <c r="E19" s="11" t="s">
        <v>681</v>
      </c>
      <c r="F19" s="12">
        <v>9</v>
      </c>
      <c r="G19" s="12">
        <v>810</v>
      </c>
      <c r="H19" s="12">
        <v>30</v>
      </c>
      <c r="I19" s="12">
        <f t="shared" si="0"/>
        <v>780</v>
      </c>
      <c r="J19" s="11" t="s">
        <v>638</v>
      </c>
      <c r="K19" s="11" t="s">
        <v>33</v>
      </c>
      <c r="L19" s="11" t="s">
        <v>639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682</v>
      </c>
      <c r="D20" s="11" t="s">
        <v>683</v>
      </c>
      <c r="E20" s="11" t="s">
        <v>684</v>
      </c>
      <c r="F20" s="11" t="s">
        <v>48</v>
      </c>
      <c r="G20" s="12">
        <v>1480</v>
      </c>
      <c r="H20" s="12">
        <v>30</v>
      </c>
      <c r="I20" s="12">
        <f t="shared" si="0"/>
        <v>1450</v>
      </c>
      <c r="J20" s="11" t="s">
        <v>638</v>
      </c>
      <c r="K20" s="11" t="s">
        <v>33</v>
      </c>
      <c r="L20" s="11" t="s">
        <v>639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685</v>
      </c>
      <c r="D21" s="11" t="s">
        <v>686</v>
      </c>
      <c r="E21" s="11" t="s">
        <v>687</v>
      </c>
      <c r="F21" s="11" t="s">
        <v>55</v>
      </c>
      <c r="G21" s="12">
        <v>975</v>
      </c>
      <c r="H21" s="12">
        <v>35</v>
      </c>
      <c r="I21" s="12">
        <f t="shared" si="0"/>
        <v>940</v>
      </c>
      <c r="J21" s="11" t="s">
        <v>638</v>
      </c>
      <c r="K21" s="11" t="s">
        <v>33</v>
      </c>
      <c r="L21" s="11" t="s">
        <v>639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588</v>
      </c>
      <c r="D22" s="11" t="s">
        <v>688</v>
      </c>
      <c r="E22" s="11" t="s">
        <v>689</v>
      </c>
      <c r="F22" s="12">
        <v>7</v>
      </c>
      <c r="G22" s="12">
        <v>810</v>
      </c>
      <c r="H22" s="12">
        <v>30</v>
      </c>
      <c r="I22" s="12">
        <f t="shared" si="0"/>
        <v>780</v>
      </c>
      <c r="J22" s="11" t="s">
        <v>638</v>
      </c>
      <c r="K22" s="11" t="s">
        <v>33</v>
      </c>
      <c r="L22" s="11" t="s">
        <v>639</v>
      </c>
      <c r="M22" s="11"/>
      <c r="N22" s="11"/>
      <c r="O22" s="11"/>
      <c r="P22" s="11"/>
      <c r="Q22" s="11">
        <v>1</v>
      </c>
    </row>
    <row r="23" spans="1:18" x14ac:dyDescent="0.25">
      <c r="A23" s="11" t="s">
        <v>59</v>
      </c>
      <c r="B23" s="11" t="s">
        <v>27</v>
      </c>
      <c r="C23" s="11" t="s">
        <v>690</v>
      </c>
      <c r="D23" s="11"/>
      <c r="E23" s="11" t="s">
        <v>215</v>
      </c>
      <c r="F23" s="12">
        <v>6</v>
      </c>
      <c r="G23" s="12">
        <v>0</v>
      </c>
      <c r="H23" s="12">
        <v>30</v>
      </c>
      <c r="I23" s="12">
        <f t="shared" si="0"/>
        <v>-30</v>
      </c>
      <c r="J23" s="11" t="s">
        <v>638</v>
      </c>
      <c r="K23" s="11" t="s">
        <v>33</v>
      </c>
      <c r="L23" s="11" t="s">
        <v>639</v>
      </c>
      <c r="M23" s="11"/>
      <c r="N23" s="11"/>
      <c r="O23" s="11"/>
      <c r="P23" s="11"/>
      <c r="Q23" s="11">
        <v>1</v>
      </c>
      <c r="R23" s="5">
        <f>H23</f>
        <v>30</v>
      </c>
    </row>
    <row r="24" spans="1:18" x14ac:dyDescent="0.25">
      <c r="A24" s="11" t="s">
        <v>59</v>
      </c>
      <c r="B24" s="11" t="s">
        <v>27</v>
      </c>
      <c r="C24" s="11" t="s">
        <v>209</v>
      </c>
      <c r="D24" s="11"/>
      <c r="E24" s="11" t="s">
        <v>691</v>
      </c>
      <c r="F24" s="12">
        <v>6</v>
      </c>
      <c r="G24" s="12">
        <v>35</v>
      </c>
      <c r="H24" s="12">
        <v>35</v>
      </c>
      <c r="I24" s="12">
        <f t="shared" si="0"/>
        <v>0</v>
      </c>
      <c r="J24" s="11" t="s">
        <v>638</v>
      </c>
      <c r="K24" s="11" t="s">
        <v>33</v>
      </c>
      <c r="L24" s="11" t="s">
        <v>639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692</v>
      </c>
      <c r="D25" s="11" t="s">
        <v>693</v>
      </c>
      <c r="E25" s="11" t="s">
        <v>694</v>
      </c>
      <c r="F25" s="11" t="s">
        <v>68</v>
      </c>
      <c r="G25" s="12">
        <v>0</v>
      </c>
      <c r="H25" s="12">
        <v>25</v>
      </c>
      <c r="I25" s="12">
        <f t="shared" si="0"/>
        <v>-25</v>
      </c>
      <c r="J25" s="11" t="s">
        <v>33</v>
      </c>
      <c r="K25" s="11" t="s">
        <v>33</v>
      </c>
      <c r="L25" s="11" t="s">
        <v>639</v>
      </c>
      <c r="M25" s="11"/>
      <c r="N25" s="11"/>
      <c r="O25" s="11"/>
      <c r="P25" s="11"/>
      <c r="Q25" s="11">
        <v>1</v>
      </c>
      <c r="R25" s="5">
        <f>H25</f>
        <v>25</v>
      </c>
    </row>
    <row r="26" spans="1:18" x14ac:dyDescent="0.25">
      <c r="A26" s="11"/>
      <c r="B26" s="11" t="s">
        <v>27</v>
      </c>
      <c r="C26" s="11" t="s">
        <v>695</v>
      </c>
      <c r="D26" s="11" t="s">
        <v>696</v>
      </c>
      <c r="E26" s="11" t="s">
        <v>697</v>
      </c>
      <c r="F26" s="11" t="s">
        <v>78</v>
      </c>
      <c r="G26" s="12">
        <v>1540</v>
      </c>
      <c r="H26" s="12">
        <v>20</v>
      </c>
      <c r="I26" s="12">
        <f t="shared" si="0"/>
        <v>1520</v>
      </c>
      <c r="J26" s="11" t="s">
        <v>33</v>
      </c>
      <c r="K26" s="11" t="s">
        <v>33</v>
      </c>
      <c r="L26" s="11" t="s">
        <v>639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698</v>
      </c>
      <c r="D27" s="11" t="s">
        <v>699</v>
      </c>
      <c r="E27" s="11" t="s">
        <v>700</v>
      </c>
      <c r="F27" s="11" t="s">
        <v>104</v>
      </c>
      <c r="G27" s="12">
        <v>1700</v>
      </c>
      <c r="H27" s="12">
        <v>30</v>
      </c>
      <c r="I27" s="12">
        <f t="shared" si="0"/>
        <v>1670</v>
      </c>
      <c r="J27" s="11" t="s">
        <v>33</v>
      </c>
      <c r="K27" s="11" t="s">
        <v>33</v>
      </c>
      <c r="L27" s="11" t="s">
        <v>639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701</v>
      </c>
      <c r="D28" s="11" t="s">
        <v>702</v>
      </c>
      <c r="E28" s="11" t="s">
        <v>703</v>
      </c>
      <c r="F28" s="11" t="s">
        <v>78</v>
      </c>
      <c r="G28" s="12">
        <v>800</v>
      </c>
      <c r="H28" s="12">
        <v>20</v>
      </c>
      <c r="I28" s="12">
        <f t="shared" si="0"/>
        <v>780</v>
      </c>
      <c r="J28" s="11" t="s">
        <v>33</v>
      </c>
      <c r="K28" s="11" t="s">
        <v>33</v>
      </c>
      <c r="L28" s="11" t="s">
        <v>639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704</v>
      </c>
      <c r="D29" s="11" t="s">
        <v>705</v>
      </c>
      <c r="E29" s="11" t="s">
        <v>706</v>
      </c>
      <c r="F29" s="11" t="s">
        <v>68</v>
      </c>
      <c r="G29" s="12">
        <v>755</v>
      </c>
      <c r="H29" s="12">
        <v>25</v>
      </c>
      <c r="I29" s="12">
        <f t="shared" si="0"/>
        <v>730</v>
      </c>
      <c r="J29" s="11" t="s">
        <v>33</v>
      </c>
      <c r="K29" s="11" t="s">
        <v>33</v>
      </c>
      <c r="L29" s="11" t="s">
        <v>639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707</v>
      </c>
      <c r="D30" s="11" t="s">
        <v>708</v>
      </c>
      <c r="E30" s="11" t="s">
        <v>709</v>
      </c>
      <c r="F30" s="12">
        <v>2</v>
      </c>
      <c r="G30" s="12">
        <v>0</v>
      </c>
      <c r="H30" s="12">
        <v>30</v>
      </c>
      <c r="I30" s="12">
        <f t="shared" si="0"/>
        <v>-30</v>
      </c>
      <c r="J30" s="11" t="s">
        <v>33</v>
      </c>
      <c r="K30" s="11" t="s">
        <v>33</v>
      </c>
      <c r="L30" s="11" t="s">
        <v>639</v>
      </c>
      <c r="M30" s="11"/>
      <c r="N30" s="11"/>
      <c r="O30" s="11"/>
      <c r="P30" s="11"/>
      <c r="Q30" s="11">
        <v>1</v>
      </c>
      <c r="R30" s="5">
        <f>H30</f>
        <v>30</v>
      </c>
    </row>
    <row r="31" spans="1:18" x14ac:dyDescent="0.25">
      <c r="A31" s="11"/>
      <c r="B31" s="11" t="s">
        <v>27</v>
      </c>
      <c r="C31" s="11" t="s">
        <v>710</v>
      </c>
      <c r="D31" s="11" t="s">
        <v>711</v>
      </c>
      <c r="E31" s="11" t="s">
        <v>712</v>
      </c>
      <c r="F31" s="12">
        <v>2</v>
      </c>
      <c r="G31" s="12">
        <v>0</v>
      </c>
      <c r="H31" s="12">
        <v>30</v>
      </c>
      <c r="I31" s="12">
        <f t="shared" si="0"/>
        <v>-30</v>
      </c>
      <c r="J31" s="11" t="s">
        <v>33</v>
      </c>
      <c r="K31" s="11" t="s">
        <v>33</v>
      </c>
      <c r="L31" s="11" t="s">
        <v>639</v>
      </c>
      <c r="M31" s="11"/>
      <c r="N31" s="11"/>
      <c r="O31" s="11"/>
      <c r="P31" s="11"/>
      <c r="Q31" s="11">
        <v>1</v>
      </c>
      <c r="R31" s="5">
        <f>H31</f>
        <v>30</v>
      </c>
    </row>
    <row r="32" spans="1:18" x14ac:dyDescent="0.25">
      <c r="A32" s="11"/>
      <c r="B32" s="11" t="s">
        <v>27</v>
      </c>
      <c r="C32" s="11" t="s">
        <v>713</v>
      </c>
      <c r="D32" s="11" t="s">
        <v>714</v>
      </c>
      <c r="E32" s="11" t="s">
        <v>715</v>
      </c>
      <c r="F32" s="11" t="s">
        <v>68</v>
      </c>
      <c r="G32" s="12">
        <v>1105</v>
      </c>
      <c r="H32" s="12">
        <v>25</v>
      </c>
      <c r="I32" s="12">
        <f t="shared" si="0"/>
        <v>1080</v>
      </c>
      <c r="J32" s="11" t="s">
        <v>33</v>
      </c>
      <c r="K32" s="11" t="s">
        <v>33</v>
      </c>
      <c r="L32" s="11" t="s">
        <v>639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716</v>
      </c>
      <c r="D33" s="11" t="s">
        <v>717</v>
      </c>
      <c r="E33" s="11" t="s">
        <v>718</v>
      </c>
      <c r="F33" s="11" t="s">
        <v>68</v>
      </c>
      <c r="G33" s="12">
        <v>0</v>
      </c>
      <c r="H33" s="12">
        <v>25</v>
      </c>
      <c r="I33" s="12">
        <f t="shared" si="0"/>
        <v>-25</v>
      </c>
      <c r="J33" s="11" t="s">
        <v>33</v>
      </c>
      <c r="K33" s="11" t="s">
        <v>33</v>
      </c>
      <c r="L33" s="11" t="s">
        <v>639</v>
      </c>
      <c r="M33" s="11"/>
      <c r="N33" s="11"/>
      <c r="O33" s="11"/>
      <c r="P33" s="11"/>
      <c r="Q33" s="11">
        <v>1</v>
      </c>
      <c r="R33" s="5">
        <f>H33</f>
        <v>25</v>
      </c>
    </row>
    <row r="34" spans="1:18" x14ac:dyDescent="0.25">
      <c r="A34" s="11"/>
      <c r="B34" s="11" t="s">
        <v>27</v>
      </c>
      <c r="C34" s="11" t="s">
        <v>719</v>
      </c>
      <c r="D34" s="11" t="s">
        <v>720</v>
      </c>
      <c r="E34" s="11" t="s">
        <v>610</v>
      </c>
      <c r="F34" s="11" t="s">
        <v>44</v>
      </c>
      <c r="G34" s="12">
        <v>0</v>
      </c>
      <c r="H34" s="12">
        <v>25</v>
      </c>
      <c r="I34" s="12">
        <f t="shared" si="0"/>
        <v>-25</v>
      </c>
      <c r="J34" s="11" t="s">
        <v>33</v>
      </c>
      <c r="K34" s="11" t="s">
        <v>33</v>
      </c>
      <c r="L34" s="11" t="s">
        <v>639</v>
      </c>
      <c r="M34" s="11"/>
      <c r="N34" s="11"/>
      <c r="O34" s="11"/>
      <c r="P34" s="11"/>
      <c r="Q34" s="11">
        <v>1</v>
      </c>
      <c r="R34" s="5">
        <f>H34</f>
        <v>25</v>
      </c>
    </row>
    <row r="35" spans="1:18" x14ac:dyDescent="0.25">
      <c r="A35" s="11"/>
      <c r="B35" s="11" t="s">
        <v>27</v>
      </c>
      <c r="C35" s="11" t="s">
        <v>721</v>
      </c>
      <c r="D35" s="11" t="s">
        <v>722</v>
      </c>
      <c r="E35" s="11" t="s">
        <v>723</v>
      </c>
      <c r="F35" s="11" t="s">
        <v>78</v>
      </c>
      <c r="G35" s="12">
        <v>900</v>
      </c>
      <c r="H35" s="12">
        <v>20</v>
      </c>
      <c r="I35" s="12">
        <f t="shared" ref="I35:I57" si="1">G35-H35</f>
        <v>880</v>
      </c>
      <c r="J35" s="11" t="s">
        <v>33</v>
      </c>
      <c r="K35" s="11" t="s">
        <v>33</v>
      </c>
      <c r="L35" s="11" t="s">
        <v>639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251</v>
      </c>
      <c r="D36" s="11" t="s">
        <v>724</v>
      </c>
      <c r="E36" s="11" t="s">
        <v>604</v>
      </c>
      <c r="F36" s="12">
        <v>12</v>
      </c>
      <c r="G36" s="12">
        <v>920</v>
      </c>
      <c r="H36" s="12">
        <v>30</v>
      </c>
      <c r="I36" s="12">
        <f t="shared" si="1"/>
        <v>890</v>
      </c>
      <c r="J36" s="11" t="s">
        <v>33</v>
      </c>
      <c r="K36" s="11" t="s">
        <v>33</v>
      </c>
      <c r="L36" s="11" t="s">
        <v>639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725</v>
      </c>
      <c r="D37" s="11" t="s">
        <v>726</v>
      </c>
      <c r="E37" s="11" t="s">
        <v>727</v>
      </c>
      <c r="F37" s="11" t="s">
        <v>104</v>
      </c>
      <c r="G37" s="12">
        <v>900</v>
      </c>
      <c r="H37" s="12">
        <v>30</v>
      </c>
      <c r="I37" s="12">
        <f t="shared" si="1"/>
        <v>870</v>
      </c>
      <c r="J37" s="11" t="s">
        <v>33</v>
      </c>
      <c r="K37" s="11" t="s">
        <v>33</v>
      </c>
      <c r="L37" s="11" t="s">
        <v>639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239</v>
      </c>
      <c r="D38" s="11" t="s">
        <v>728</v>
      </c>
      <c r="E38" s="11" t="s">
        <v>241</v>
      </c>
      <c r="F38" s="11" t="s">
        <v>78</v>
      </c>
      <c r="G38" s="12">
        <v>0</v>
      </c>
      <c r="H38" s="12">
        <v>20</v>
      </c>
      <c r="I38" s="12">
        <f t="shared" si="1"/>
        <v>-20</v>
      </c>
      <c r="J38" s="11" t="s">
        <v>33</v>
      </c>
      <c r="K38" s="11" t="s">
        <v>33</v>
      </c>
      <c r="L38" s="11" t="s">
        <v>639</v>
      </c>
      <c r="M38" s="11"/>
      <c r="N38" s="11"/>
      <c r="O38" s="11"/>
      <c r="P38" s="11"/>
      <c r="Q38" s="11">
        <v>1</v>
      </c>
      <c r="R38" s="5">
        <f>H38</f>
        <v>20</v>
      </c>
    </row>
    <row r="39" spans="1:18" x14ac:dyDescent="0.25">
      <c r="A39" s="11"/>
      <c r="B39" s="11" t="s">
        <v>27</v>
      </c>
      <c r="C39" s="11" t="s">
        <v>486</v>
      </c>
      <c r="D39" s="11" t="s">
        <v>729</v>
      </c>
      <c r="E39" s="11" t="s">
        <v>488</v>
      </c>
      <c r="F39" s="11" t="s">
        <v>78</v>
      </c>
      <c r="G39" s="12">
        <v>0</v>
      </c>
      <c r="H39" s="12">
        <v>20</v>
      </c>
      <c r="I39" s="12">
        <f t="shared" si="1"/>
        <v>-20</v>
      </c>
      <c r="J39" s="11" t="s">
        <v>33</v>
      </c>
      <c r="K39" s="11" t="s">
        <v>33</v>
      </c>
      <c r="L39" s="11" t="s">
        <v>639</v>
      </c>
      <c r="M39" s="11"/>
      <c r="N39" s="11"/>
      <c r="O39" s="11"/>
      <c r="P39" s="11"/>
      <c r="Q39" s="11">
        <v>1</v>
      </c>
      <c r="R39" s="5">
        <f>H39</f>
        <v>20</v>
      </c>
    </row>
    <row r="40" spans="1:18" x14ac:dyDescent="0.25">
      <c r="A40" s="11" t="s">
        <v>59</v>
      </c>
      <c r="B40" s="11" t="s">
        <v>27</v>
      </c>
      <c r="C40" s="11" t="s">
        <v>107</v>
      </c>
      <c r="D40" s="11"/>
      <c r="E40" s="11" t="s">
        <v>108</v>
      </c>
      <c r="F40" s="11" t="s">
        <v>68</v>
      </c>
      <c r="G40" s="12">
        <v>1410</v>
      </c>
      <c r="H40" s="12">
        <v>30</v>
      </c>
      <c r="I40" s="12">
        <f t="shared" si="1"/>
        <v>1380</v>
      </c>
      <c r="J40" s="11" t="s">
        <v>33</v>
      </c>
      <c r="K40" s="11" t="s">
        <v>33</v>
      </c>
      <c r="L40" s="11" t="s">
        <v>639</v>
      </c>
      <c r="M40" s="11"/>
      <c r="N40" s="11"/>
      <c r="O40" s="11"/>
      <c r="P40" s="11"/>
      <c r="Q40" s="11">
        <v>1</v>
      </c>
    </row>
    <row r="41" spans="1:18" x14ac:dyDescent="0.25">
      <c r="A41" s="11" t="s">
        <v>59</v>
      </c>
      <c r="B41" s="11" t="s">
        <v>27</v>
      </c>
      <c r="C41" s="11" t="s">
        <v>113</v>
      </c>
      <c r="D41" s="11"/>
      <c r="E41" s="11" t="s">
        <v>114</v>
      </c>
      <c r="F41" s="11" t="s">
        <v>68</v>
      </c>
      <c r="G41" s="12">
        <v>0</v>
      </c>
      <c r="H41" s="12">
        <v>30</v>
      </c>
      <c r="I41" s="12">
        <f t="shared" si="1"/>
        <v>-30</v>
      </c>
      <c r="J41" s="11" t="s">
        <v>33</v>
      </c>
      <c r="K41" s="11" t="s">
        <v>33</v>
      </c>
      <c r="L41" s="11" t="s">
        <v>639</v>
      </c>
      <c r="M41" s="11"/>
      <c r="N41" s="11"/>
      <c r="O41" s="11"/>
      <c r="P41" s="11"/>
      <c r="Q41" s="11">
        <v>1</v>
      </c>
      <c r="R41" s="5">
        <f>H41</f>
        <v>30</v>
      </c>
    </row>
    <row r="42" spans="1:18" x14ac:dyDescent="0.25">
      <c r="A42" s="11" t="s">
        <v>59</v>
      </c>
      <c r="B42" s="11" t="s">
        <v>27</v>
      </c>
      <c r="C42" s="11" t="s">
        <v>109</v>
      </c>
      <c r="D42" s="11"/>
      <c r="E42" s="11" t="s">
        <v>730</v>
      </c>
      <c r="F42" s="11" t="s">
        <v>68</v>
      </c>
      <c r="G42" s="12">
        <v>40</v>
      </c>
      <c r="H42" s="12">
        <v>40</v>
      </c>
      <c r="I42" s="12">
        <f t="shared" si="1"/>
        <v>0</v>
      </c>
      <c r="J42" s="11" t="s">
        <v>33</v>
      </c>
      <c r="K42" s="11" t="s">
        <v>33</v>
      </c>
      <c r="L42" s="11" t="s">
        <v>639</v>
      </c>
      <c r="M42" s="11"/>
      <c r="N42" s="11"/>
      <c r="O42" s="11"/>
      <c r="P42" s="11"/>
      <c r="Q42" s="11">
        <v>1</v>
      </c>
    </row>
    <row r="43" spans="1:18" x14ac:dyDescent="0.25">
      <c r="A43" s="11" t="s">
        <v>59</v>
      </c>
      <c r="B43" s="11" t="s">
        <v>27</v>
      </c>
      <c r="C43" s="11" t="s">
        <v>105</v>
      </c>
      <c r="D43" s="11"/>
      <c r="E43" s="11" t="s">
        <v>106</v>
      </c>
      <c r="F43" s="11" t="s">
        <v>68</v>
      </c>
      <c r="G43" s="12">
        <v>30</v>
      </c>
      <c r="H43" s="12">
        <v>30</v>
      </c>
      <c r="I43" s="12">
        <f t="shared" si="1"/>
        <v>0</v>
      </c>
      <c r="J43" s="11" t="s">
        <v>33</v>
      </c>
      <c r="K43" s="11" t="s">
        <v>33</v>
      </c>
      <c r="L43" s="11" t="s">
        <v>639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731</v>
      </c>
      <c r="D44" s="11" t="s">
        <v>732</v>
      </c>
      <c r="E44" s="11" t="s">
        <v>733</v>
      </c>
      <c r="F44" s="12">
        <v>1</v>
      </c>
      <c r="G44" s="12">
        <v>0</v>
      </c>
      <c r="H44" s="12">
        <v>25</v>
      </c>
      <c r="I44" s="12">
        <f t="shared" si="1"/>
        <v>-25</v>
      </c>
      <c r="J44" s="11" t="s">
        <v>119</v>
      </c>
      <c r="K44" s="11" t="s">
        <v>33</v>
      </c>
      <c r="L44" s="11" t="s">
        <v>639</v>
      </c>
      <c r="M44" s="11"/>
      <c r="N44" s="11"/>
      <c r="O44" s="11"/>
      <c r="P44" s="11"/>
      <c r="Q44" s="11">
        <v>1</v>
      </c>
      <c r="R44" s="5">
        <f>H44</f>
        <v>25</v>
      </c>
    </row>
    <row r="45" spans="1:18" x14ac:dyDescent="0.25">
      <c r="A45" s="11"/>
      <c r="B45" s="11" t="s">
        <v>27</v>
      </c>
      <c r="C45" s="11" t="s">
        <v>734</v>
      </c>
      <c r="D45" s="11" t="s">
        <v>735</v>
      </c>
      <c r="E45" s="11" t="s">
        <v>736</v>
      </c>
      <c r="F45" s="12">
        <v>3</v>
      </c>
      <c r="G45" s="12">
        <v>0</v>
      </c>
      <c r="H45" s="12">
        <v>25</v>
      </c>
      <c r="I45" s="12">
        <f t="shared" si="1"/>
        <v>-25</v>
      </c>
      <c r="J45" s="11" t="s">
        <v>119</v>
      </c>
      <c r="K45" s="11" t="s">
        <v>33</v>
      </c>
      <c r="L45" s="11" t="s">
        <v>639</v>
      </c>
      <c r="M45" s="11"/>
      <c r="N45" s="11"/>
      <c r="O45" s="11"/>
      <c r="P45" s="11"/>
      <c r="Q45" s="11">
        <v>1</v>
      </c>
      <c r="R45" s="5">
        <f>H45</f>
        <v>25</v>
      </c>
    </row>
    <row r="46" spans="1:18" x14ac:dyDescent="0.25">
      <c r="A46" s="11"/>
      <c r="B46" s="11" t="s">
        <v>27</v>
      </c>
      <c r="C46" s="11" t="s">
        <v>737</v>
      </c>
      <c r="D46" s="11" t="s">
        <v>738</v>
      </c>
      <c r="E46" s="11" t="s">
        <v>739</v>
      </c>
      <c r="F46" s="11" t="s">
        <v>44</v>
      </c>
      <c r="G46" s="12">
        <v>1595</v>
      </c>
      <c r="H46" s="12">
        <v>25</v>
      </c>
      <c r="I46" s="12">
        <f t="shared" si="1"/>
        <v>1570</v>
      </c>
      <c r="J46" s="11" t="s">
        <v>119</v>
      </c>
      <c r="K46" s="11" t="s">
        <v>33</v>
      </c>
      <c r="L46" s="11" t="s">
        <v>639</v>
      </c>
      <c r="M46" s="11"/>
      <c r="N46" s="11"/>
      <c r="O46" s="11"/>
      <c r="P46" s="11"/>
      <c r="Q46" s="11">
        <v>1</v>
      </c>
    </row>
    <row r="47" spans="1:18" x14ac:dyDescent="0.25">
      <c r="A47" s="11"/>
      <c r="B47" s="11" t="s">
        <v>27</v>
      </c>
      <c r="C47" s="11" t="s">
        <v>740</v>
      </c>
      <c r="D47" s="11" t="s">
        <v>741</v>
      </c>
      <c r="E47" s="11" t="s">
        <v>742</v>
      </c>
      <c r="F47" s="12">
        <v>5</v>
      </c>
      <c r="G47" s="12">
        <v>715</v>
      </c>
      <c r="H47" s="12">
        <v>25</v>
      </c>
      <c r="I47" s="12">
        <f t="shared" si="1"/>
        <v>690</v>
      </c>
      <c r="J47" s="11" t="s">
        <v>119</v>
      </c>
      <c r="K47" s="11" t="s">
        <v>33</v>
      </c>
      <c r="L47" s="11" t="s">
        <v>639</v>
      </c>
      <c r="M47" s="11"/>
      <c r="N47" s="11"/>
      <c r="O47" s="11"/>
      <c r="P47" s="11"/>
      <c r="Q47" s="11">
        <v>1</v>
      </c>
    </row>
    <row r="48" spans="1:18" x14ac:dyDescent="0.25">
      <c r="A48" s="11"/>
      <c r="B48" s="11" t="s">
        <v>27</v>
      </c>
      <c r="C48" s="11" t="s">
        <v>743</v>
      </c>
      <c r="D48" s="11" t="s">
        <v>744</v>
      </c>
      <c r="E48" s="11" t="s">
        <v>745</v>
      </c>
      <c r="F48" s="12">
        <v>4</v>
      </c>
      <c r="G48" s="12">
        <v>875</v>
      </c>
      <c r="H48" s="12">
        <v>25</v>
      </c>
      <c r="I48" s="12">
        <f t="shared" si="1"/>
        <v>850</v>
      </c>
      <c r="J48" s="11" t="s">
        <v>119</v>
      </c>
      <c r="K48" s="11" t="s">
        <v>33</v>
      </c>
      <c r="L48" s="11" t="s">
        <v>639</v>
      </c>
      <c r="M48" s="11"/>
      <c r="N48" s="11"/>
      <c r="O48" s="11"/>
      <c r="P48" s="11"/>
      <c r="Q48" s="11">
        <v>1</v>
      </c>
    </row>
    <row r="49" spans="1:18" x14ac:dyDescent="0.25">
      <c r="A49" s="11"/>
      <c r="B49" s="11" t="s">
        <v>27</v>
      </c>
      <c r="C49" s="11" t="s">
        <v>746</v>
      </c>
      <c r="D49" s="11" t="s">
        <v>747</v>
      </c>
      <c r="E49" s="11" t="s">
        <v>748</v>
      </c>
      <c r="F49" s="12">
        <v>5</v>
      </c>
      <c r="G49" s="12">
        <v>1165</v>
      </c>
      <c r="H49" s="12">
        <v>25</v>
      </c>
      <c r="I49" s="12">
        <f t="shared" si="1"/>
        <v>1140</v>
      </c>
      <c r="J49" s="11" t="s">
        <v>119</v>
      </c>
      <c r="K49" s="11" t="s">
        <v>33</v>
      </c>
      <c r="L49" s="11" t="s">
        <v>639</v>
      </c>
      <c r="M49" s="11"/>
      <c r="N49" s="11"/>
      <c r="O49" s="11"/>
      <c r="P49" s="11"/>
      <c r="Q49" s="11">
        <v>1</v>
      </c>
    </row>
    <row r="50" spans="1:18" x14ac:dyDescent="0.25">
      <c r="A50" s="11"/>
      <c r="B50" s="11" t="s">
        <v>27</v>
      </c>
      <c r="C50" s="11" t="s">
        <v>749</v>
      </c>
      <c r="D50" s="11" t="s">
        <v>750</v>
      </c>
      <c r="E50" s="11" t="s">
        <v>751</v>
      </c>
      <c r="F50" s="11" t="s">
        <v>44</v>
      </c>
      <c r="G50" s="12">
        <v>1195</v>
      </c>
      <c r="H50" s="12">
        <v>25</v>
      </c>
      <c r="I50" s="12">
        <f t="shared" si="1"/>
        <v>1170</v>
      </c>
      <c r="J50" s="11" t="s">
        <v>119</v>
      </c>
      <c r="K50" s="11" t="s">
        <v>33</v>
      </c>
      <c r="L50" s="11" t="s">
        <v>639</v>
      </c>
      <c r="M50" s="11"/>
      <c r="N50" s="11"/>
      <c r="O50" s="11"/>
      <c r="P50" s="11"/>
      <c r="Q50" s="11">
        <v>1</v>
      </c>
    </row>
    <row r="51" spans="1:18" x14ac:dyDescent="0.25">
      <c r="A51" s="11"/>
      <c r="B51" s="11" t="s">
        <v>27</v>
      </c>
      <c r="C51" s="11" t="s">
        <v>752</v>
      </c>
      <c r="D51" s="11" t="s">
        <v>753</v>
      </c>
      <c r="E51" s="11" t="s">
        <v>754</v>
      </c>
      <c r="F51" s="12">
        <v>3</v>
      </c>
      <c r="G51" s="12">
        <v>715</v>
      </c>
      <c r="H51" s="12">
        <v>25</v>
      </c>
      <c r="I51" s="12">
        <f t="shared" si="1"/>
        <v>690</v>
      </c>
      <c r="J51" s="11" t="s">
        <v>119</v>
      </c>
      <c r="K51" s="11" t="s">
        <v>33</v>
      </c>
      <c r="L51" s="11" t="s">
        <v>639</v>
      </c>
      <c r="M51" s="11"/>
      <c r="N51" s="11"/>
      <c r="O51" s="11"/>
      <c r="P51" s="11"/>
      <c r="Q51" s="11">
        <v>1</v>
      </c>
    </row>
    <row r="52" spans="1:18" x14ac:dyDescent="0.25">
      <c r="A52" s="11"/>
      <c r="B52" s="11" t="s">
        <v>27</v>
      </c>
      <c r="C52" s="11" t="s">
        <v>755</v>
      </c>
      <c r="D52" s="11" t="s">
        <v>756</v>
      </c>
      <c r="E52" s="11" t="s">
        <v>757</v>
      </c>
      <c r="F52" s="11" t="s">
        <v>44</v>
      </c>
      <c r="G52" s="12">
        <v>1385</v>
      </c>
      <c r="H52" s="12">
        <v>25</v>
      </c>
      <c r="I52" s="12">
        <f t="shared" si="1"/>
        <v>1360</v>
      </c>
      <c r="J52" s="11" t="s">
        <v>119</v>
      </c>
      <c r="K52" s="11" t="s">
        <v>33</v>
      </c>
      <c r="L52" s="11" t="s">
        <v>639</v>
      </c>
      <c r="M52" s="11"/>
      <c r="N52" s="11"/>
      <c r="O52" s="11"/>
      <c r="P52" s="11"/>
      <c r="Q52" s="11">
        <v>1</v>
      </c>
    </row>
    <row r="53" spans="1:18" x14ac:dyDescent="0.25">
      <c r="A53" s="11"/>
      <c r="B53" s="11" t="s">
        <v>27</v>
      </c>
      <c r="C53" s="11" t="s">
        <v>758</v>
      </c>
      <c r="D53" s="11" t="s">
        <v>759</v>
      </c>
      <c r="E53" s="11" t="s">
        <v>760</v>
      </c>
      <c r="F53" s="12">
        <v>10</v>
      </c>
      <c r="G53" s="12">
        <v>805</v>
      </c>
      <c r="H53" s="12">
        <v>25</v>
      </c>
      <c r="I53" s="12">
        <f t="shared" si="1"/>
        <v>780</v>
      </c>
      <c r="J53" s="11" t="s">
        <v>119</v>
      </c>
      <c r="K53" s="11" t="s">
        <v>33</v>
      </c>
      <c r="L53" s="11" t="s">
        <v>639</v>
      </c>
      <c r="M53" s="11"/>
      <c r="N53" s="11"/>
      <c r="O53" s="11"/>
      <c r="P53" s="11"/>
      <c r="Q53" s="11">
        <v>1</v>
      </c>
    </row>
    <row r="54" spans="1:18" x14ac:dyDescent="0.25">
      <c r="A54" s="11"/>
      <c r="B54" s="11" t="s">
        <v>27</v>
      </c>
      <c r="C54" s="11" t="s">
        <v>287</v>
      </c>
      <c r="D54" s="11" t="s">
        <v>761</v>
      </c>
      <c r="E54" s="11" t="s">
        <v>289</v>
      </c>
      <c r="F54" s="11" t="s">
        <v>44</v>
      </c>
      <c r="G54" s="12">
        <v>815</v>
      </c>
      <c r="H54" s="12">
        <v>25</v>
      </c>
      <c r="I54" s="12">
        <f t="shared" si="1"/>
        <v>790</v>
      </c>
      <c r="J54" s="11" t="s">
        <v>119</v>
      </c>
      <c r="K54" s="11" t="s">
        <v>33</v>
      </c>
      <c r="L54" s="11" t="s">
        <v>639</v>
      </c>
      <c r="M54" s="11"/>
      <c r="N54" s="11"/>
      <c r="O54" s="11"/>
      <c r="P54" s="11"/>
      <c r="Q54" s="11">
        <v>1</v>
      </c>
    </row>
    <row r="55" spans="1:18" x14ac:dyDescent="0.25">
      <c r="A55" s="11"/>
      <c r="B55" s="11" t="s">
        <v>27</v>
      </c>
      <c r="C55" s="11" t="s">
        <v>762</v>
      </c>
      <c r="D55" s="11" t="s">
        <v>763</v>
      </c>
      <c r="E55" s="11" t="s">
        <v>764</v>
      </c>
      <c r="F55" s="11" t="s">
        <v>44</v>
      </c>
      <c r="G55" s="12">
        <v>0</v>
      </c>
      <c r="H55" s="12">
        <v>25</v>
      </c>
      <c r="I55" s="12">
        <f t="shared" si="1"/>
        <v>-25</v>
      </c>
      <c r="J55" s="11" t="s">
        <v>119</v>
      </c>
      <c r="K55" s="11" t="s">
        <v>33</v>
      </c>
      <c r="L55" s="11" t="s">
        <v>639</v>
      </c>
      <c r="M55" s="24" t="s">
        <v>765</v>
      </c>
      <c r="N55" s="11"/>
      <c r="O55" s="11"/>
      <c r="P55" s="11"/>
      <c r="Q55" s="11">
        <v>1</v>
      </c>
      <c r="R55" s="5">
        <f>H55</f>
        <v>25</v>
      </c>
    </row>
    <row r="56" spans="1:18" x14ac:dyDescent="0.25">
      <c r="A56" s="11"/>
      <c r="B56" s="11" t="s">
        <v>27</v>
      </c>
      <c r="C56" s="11" t="s">
        <v>766</v>
      </c>
      <c r="D56" s="11" t="s">
        <v>767</v>
      </c>
      <c r="E56" s="11" t="s">
        <v>768</v>
      </c>
      <c r="F56" s="11" t="s">
        <v>118</v>
      </c>
      <c r="G56" s="12">
        <v>880</v>
      </c>
      <c r="H56" s="12">
        <v>20</v>
      </c>
      <c r="I56" s="12">
        <f t="shared" si="1"/>
        <v>860</v>
      </c>
      <c r="J56" s="11" t="s">
        <v>119</v>
      </c>
      <c r="K56" s="11" t="s">
        <v>33</v>
      </c>
      <c r="L56" s="11" t="s">
        <v>639</v>
      </c>
      <c r="M56" s="11"/>
      <c r="N56" s="11"/>
      <c r="O56" s="11"/>
      <c r="P56" s="11"/>
      <c r="Q56" s="11">
        <v>1</v>
      </c>
    </row>
    <row r="57" spans="1:18" x14ac:dyDescent="0.25">
      <c r="A57" s="11"/>
      <c r="B57" s="11" t="s">
        <v>27</v>
      </c>
      <c r="C57" s="11" t="s">
        <v>769</v>
      </c>
      <c r="D57" s="11" t="s">
        <v>770</v>
      </c>
      <c r="E57" s="11" t="s">
        <v>771</v>
      </c>
      <c r="F57" s="12">
        <v>3</v>
      </c>
      <c r="G57" s="12">
        <v>815</v>
      </c>
      <c r="H57" s="12">
        <v>25</v>
      </c>
      <c r="I57" s="12">
        <f t="shared" si="1"/>
        <v>790</v>
      </c>
      <c r="J57" s="11" t="s">
        <v>119</v>
      </c>
      <c r="K57" s="11" t="s">
        <v>33</v>
      </c>
      <c r="L57" s="11" t="s">
        <v>639</v>
      </c>
      <c r="M57" s="11"/>
      <c r="N57" s="11"/>
      <c r="O57" s="11"/>
      <c r="P57" s="11"/>
      <c r="Q57" s="11">
        <v>1</v>
      </c>
    </row>
    <row r="59" spans="1:18" x14ac:dyDescent="0.25">
      <c r="D59" s="1">
        <f>COUNTA(D3:D57)</f>
        <v>49</v>
      </c>
      <c r="G59" s="1">
        <f t="shared" ref="G59:Q59" si="2">SUBTOTAL(9,G3:G57)</f>
        <v>34555</v>
      </c>
      <c r="H59" s="1">
        <f t="shared" si="2"/>
        <v>1515</v>
      </c>
      <c r="I59" s="1">
        <f t="shared" si="2"/>
        <v>33040</v>
      </c>
      <c r="J59" s="1">
        <f t="shared" si="2"/>
        <v>0</v>
      </c>
      <c r="K59" s="1">
        <f t="shared" si="2"/>
        <v>0</v>
      </c>
      <c r="L59" s="1">
        <f t="shared" si="2"/>
        <v>0</v>
      </c>
      <c r="M59" s="1">
        <f t="shared" si="2"/>
        <v>0</v>
      </c>
      <c r="N59" s="1">
        <f t="shared" si="2"/>
        <v>0</v>
      </c>
      <c r="O59" s="1">
        <f t="shared" si="2"/>
        <v>0</v>
      </c>
      <c r="P59" s="1">
        <f t="shared" si="2"/>
        <v>0</v>
      </c>
      <c r="Q59" s="1">
        <f t="shared" si="2"/>
        <v>55</v>
      </c>
    </row>
    <row r="60" spans="1:18" x14ac:dyDescent="0.25">
      <c r="H60">
        <f>-12*17</f>
        <v>-204</v>
      </c>
    </row>
    <row r="61" spans="1:18" x14ac:dyDescent="0.25">
      <c r="A61" s="1" t="s">
        <v>27</v>
      </c>
      <c r="C61" s="60" t="s">
        <v>158</v>
      </c>
      <c r="D61" s="60"/>
      <c r="E61" s="4" t="s">
        <v>159</v>
      </c>
      <c r="H61">
        <f>-6*25</f>
        <v>-150</v>
      </c>
      <c r="K61" s="6" t="s">
        <v>638</v>
      </c>
      <c r="L61" s="6" t="s">
        <v>160</v>
      </c>
      <c r="M61" s="6" t="s">
        <v>159</v>
      </c>
      <c r="O61" s="4" t="s">
        <v>161</v>
      </c>
    </row>
    <row r="62" spans="1:18" x14ac:dyDescent="0.25">
      <c r="A62" t="s">
        <v>639</v>
      </c>
      <c r="B62" s="3" t="s">
        <v>162</v>
      </c>
      <c r="C62" s="61">
        <f>SUMIFS(I$3:I$57,B$3:B$57,A$61,L$3:L$57,A$62)</f>
        <v>33040</v>
      </c>
      <c r="D62" s="61"/>
      <c r="E62" s="3">
        <f>SUMIFS(Q$3:Q$57,B$3:B$57,A$61,L$3:L$57,A$62)</f>
        <v>55</v>
      </c>
      <c r="F62" t="s">
        <v>163</v>
      </c>
      <c r="H62">
        <f>-4*30</f>
        <v>-120</v>
      </c>
      <c r="K62" t="s">
        <v>164</v>
      </c>
      <c r="L62">
        <f>SUMIFS(G$3:G$57,J$3:J$57,K$61)</f>
        <v>13495</v>
      </c>
      <c r="M62">
        <f>SUMIFS(Q$3:Q$57,J$3:J$57,K$61)-INT(COUNTIFS(J$3:J$57,K$61,M$3:M$57,"*gộp*")/2)</f>
        <v>22</v>
      </c>
      <c r="O62" t="s">
        <v>772</v>
      </c>
      <c r="P62">
        <f>L67</f>
        <v>13021</v>
      </c>
    </row>
    <row r="63" spans="1:18" x14ac:dyDescent="0.25">
      <c r="B63" s="2" t="s">
        <v>166</v>
      </c>
      <c r="C63" s="62">
        <v>0</v>
      </c>
      <c r="D63" s="62"/>
      <c r="K63" t="s">
        <v>167</v>
      </c>
      <c r="L63">
        <f>SUM(H60:H62)</f>
        <v>-474</v>
      </c>
      <c r="M63">
        <f>SUMIFS(Q$3:Q$57,J$3:J$57,K$61)-INT(COUNTIFS(J$3:J$57,K$61,M$3:M$57,"*gộp*")/2)</f>
        <v>22</v>
      </c>
      <c r="O63" t="s">
        <v>33</v>
      </c>
      <c r="P63">
        <f>L76</f>
        <v>9582</v>
      </c>
    </row>
    <row r="64" spans="1:18" x14ac:dyDescent="0.25">
      <c r="B64" s="2" t="s">
        <v>168</v>
      </c>
      <c r="C64" s="62">
        <v>-690</v>
      </c>
      <c r="D64" s="62"/>
      <c r="E64" s="2">
        <f>SUMIFS(Q$3:Q$57,B$3:B$57,A$61,P$3:P$57,"xx",N$3:N$57,"x")</f>
        <v>0</v>
      </c>
      <c r="K64" t="s">
        <v>169</v>
      </c>
      <c r="O64" t="s">
        <v>119</v>
      </c>
      <c r="P64">
        <f>L84</f>
        <v>10685</v>
      </c>
    </row>
    <row r="65" spans="2:16" x14ac:dyDescent="0.25">
      <c r="B65" s="4" t="s">
        <v>170</v>
      </c>
      <c r="C65" s="60">
        <f>SUBTOTAL(9,C62:C64)</f>
        <v>32350</v>
      </c>
      <c r="D65" s="60"/>
      <c r="E65">
        <f>E62</f>
        <v>55</v>
      </c>
      <c r="K65" s="7" t="s">
        <v>155</v>
      </c>
      <c r="O65" t="s">
        <v>171</v>
      </c>
      <c r="P65">
        <f>-C69</f>
        <v>-32350</v>
      </c>
    </row>
    <row r="66" spans="2:16" x14ac:dyDescent="0.25">
      <c r="B66" s="2" t="s">
        <v>172</v>
      </c>
      <c r="C66" s="58"/>
      <c r="D66" s="58"/>
      <c r="K66" s="2" t="s">
        <v>173</v>
      </c>
      <c r="O66" s="4" t="s">
        <v>174</v>
      </c>
      <c r="P66" s="4">
        <f>SUBTOTAL(9,P62:P65)</f>
        <v>938</v>
      </c>
    </row>
    <row r="67" spans="2:16" x14ac:dyDescent="0.25">
      <c r="B67" s="8" t="s">
        <v>175</v>
      </c>
      <c r="C67" s="58"/>
      <c r="D67" s="58"/>
      <c r="L67" s="9">
        <f>SUBTOTAL(9,L62:L66)</f>
        <v>13021</v>
      </c>
      <c r="M67" s="9">
        <f>M62</f>
        <v>22</v>
      </c>
    </row>
    <row r="69" spans="2:16" x14ac:dyDescent="0.25">
      <c r="B69" s="1" t="s">
        <v>176</v>
      </c>
      <c r="C69" s="59">
        <f>C65+C66+C67</f>
        <v>32350</v>
      </c>
      <c r="D69" s="59"/>
      <c r="E69" s="1" t="s">
        <v>177</v>
      </c>
      <c r="K69" s="6" t="s">
        <v>33</v>
      </c>
      <c r="L69" s="6" t="s">
        <v>160</v>
      </c>
      <c r="M69" s="6" t="s">
        <v>159</v>
      </c>
    </row>
    <row r="70" spans="2:16" x14ac:dyDescent="0.25">
      <c r="K70" t="s">
        <v>164</v>
      </c>
      <c r="L70">
        <f>SUMIFS(G$3:G$57,J$3:J$57,K$69)</f>
        <v>10100</v>
      </c>
      <c r="M70">
        <f>SUMIFS(Q$3:Q$57,J$3:J$57,K$69)-INT(COUNTIFS(J$3:J$57,K$69,M$3:M$57,"*gộp*")/2)</f>
        <v>19</v>
      </c>
    </row>
    <row r="71" spans="2:16" x14ac:dyDescent="0.25">
      <c r="K71" t="s">
        <v>167</v>
      </c>
      <c r="L71">
        <f>-SUMIFS(H$3:H$57,J$3:J$57,K$69)+M71*5</f>
        <v>-410</v>
      </c>
      <c r="M71">
        <f>SUMIFS(Q$3:Q$57,J$3:J$57,K$69)-INT(COUNTIFS(J$3:J$57,K$69,M$3:M$57,"*gộp*")/2)</f>
        <v>19</v>
      </c>
    </row>
    <row r="72" spans="2:16" x14ac:dyDescent="0.25">
      <c r="K72" t="s">
        <v>169</v>
      </c>
      <c r="L72">
        <f>-M72*2</f>
        <v>-110</v>
      </c>
      <c r="M72">
        <f>E65-(COUNTIFS(M$3:M$57,"*gộp*")/2)-COUNTIFS(M$3:M$57,"*đơn trả*")-COUNTIFS(M$3:M$57,"*hàng tỉnh*")</f>
        <v>55</v>
      </c>
    </row>
    <row r="73" spans="2:16" x14ac:dyDescent="0.25">
      <c r="K73" s="7" t="s">
        <v>155</v>
      </c>
    </row>
    <row r="74" spans="2:16" x14ac:dyDescent="0.25">
      <c r="K74" s="2" t="s">
        <v>173</v>
      </c>
    </row>
    <row r="75" spans="2:16" x14ac:dyDescent="0.25">
      <c r="K75" s="25" t="s">
        <v>773</v>
      </c>
      <c r="L75" s="25">
        <v>2</v>
      </c>
      <c r="M75" s="25">
        <v>1</v>
      </c>
    </row>
    <row r="76" spans="2:16" x14ac:dyDescent="0.25">
      <c r="L76" s="9">
        <f>SUBTOTAL(9,L70:L75)</f>
        <v>9582</v>
      </c>
      <c r="M76" s="9">
        <f>M70</f>
        <v>19</v>
      </c>
    </row>
    <row r="78" spans="2:16" x14ac:dyDescent="0.25">
      <c r="K78" s="6" t="s">
        <v>119</v>
      </c>
      <c r="L78" s="6" t="s">
        <v>160</v>
      </c>
      <c r="M78" s="6" t="s">
        <v>159</v>
      </c>
    </row>
    <row r="79" spans="2:16" x14ac:dyDescent="0.25">
      <c r="K79" t="s">
        <v>164</v>
      </c>
      <c r="L79">
        <f>SUMIFS(G$3:G$57,J$3:J$57,K$78)</f>
        <v>10960</v>
      </c>
      <c r="M79">
        <f>SUMIFS(Q$3:Q$57,J$3:J$57,K$78)-INT(COUNTIFS(J$3:J$57,K$78,M$3:M$57,"*gộp*")/2)</f>
        <v>14</v>
      </c>
    </row>
    <row r="80" spans="2:16" x14ac:dyDescent="0.25">
      <c r="K80" t="s">
        <v>167</v>
      </c>
      <c r="L80">
        <f>-SUMIFS(H$3:H$57,J$3:J$57,K$78)+M80*5</f>
        <v>-275</v>
      </c>
      <c r="M80">
        <f>SUMIFS(Q$3:Q$57,J$3:J$57,K$78)-INT(COUNTIFS(J$3:J$57,K$78,M$3:M$57,"*gộp*")/2)</f>
        <v>14</v>
      </c>
    </row>
    <row r="81" spans="11:13" x14ac:dyDescent="0.25">
      <c r="K81" t="s">
        <v>169</v>
      </c>
    </row>
    <row r="82" spans="11:13" x14ac:dyDescent="0.25">
      <c r="K82" s="7" t="s">
        <v>155</v>
      </c>
    </row>
    <row r="83" spans="11:13" x14ac:dyDescent="0.25">
      <c r="K83" s="2" t="s">
        <v>173</v>
      </c>
    </row>
    <row r="84" spans="11:13" x14ac:dyDescent="0.25">
      <c r="L84" s="9">
        <f>SUBTOTAL(9,L79:L83)</f>
        <v>10685</v>
      </c>
      <c r="M84" s="9">
        <f>M79</f>
        <v>14</v>
      </c>
    </row>
  </sheetData>
  <autoFilter ref="A2:P57" xr:uid="{00000000-0009-0000-0000-000008000000}">
    <sortState xmlns:xlrd2="http://schemas.microsoft.com/office/spreadsheetml/2017/richdata2" ref="A3:P57">
      <sortCondition ref="J2:J57"/>
    </sortState>
  </autoFilter>
  <mergeCells count="8">
    <mergeCell ref="C66:D66"/>
    <mergeCell ref="C67:D67"/>
    <mergeCell ref="C69:D69"/>
    <mergeCell ref="C61:D61"/>
    <mergeCell ref="C62:D62"/>
    <mergeCell ref="C63:D63"/>
    <mergeCell ref="C64:D64"/>
    <mergeCell ref="C65:D65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44"/>
  <sheetViews>
    <sheetView topLeftCell="A16" workbookViewId="0"/>
  </sheetViews>
  <sheetFormatPr defaultRowHeight="15" x14ac:dyDescent="0.25"/>
  <cols>
    <col min="1" max="1" width="12.7109375" customWidth="1"/>
    <col min="2" max="2" width="9.140625" customWidth="1"/>
    <col min="3" max="3" width="21.85546875" customWidth="1"/>
    <col min="4" max="4" width="9.85546875" customWidth="1"/>
    <col min="5" max="5" width="53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774</v>
      </c>
      <c r="D3" s="11" t="s">
        <v>775</v>
      </c>
      <c r="E3" s="11" t="s">
        <v>776</v>
      </c>
      <c r="F3" s="11" t="s">
        <v>202</v>
      </c>
      <c r="G3" s="12">
        <v>925</v>
      </c>
      <c r="H3" s="12">
        <v>35</v>
      </c>
      <c r="I3" s="12">
        <f t="shared" ref="I3:I18" si="0">G3-H3</f>
        <v>890</v>
      </c>
      <c r="J3" s="11" t="s">
        <v>777</v>
      </c>
      <c r="K3" s="11" t="s">
        <v>33</v>
      </c>
      <c r="L3" s="11" t="s">
        <v>778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779</v>
      </c>
      <c r="D4" s="11" t="s">
        <v>780</v>
      </c>
      <c r="E4" s="11" t="s">
        <v>781</v>
      </c>
      <c r="F4" s="11" t="s">
        <v>48</v>
      </c>
      <c r="G4" s="12">
        <v>470</v>
      </c>
      <c r="H4" s="12">
        <v>30</v>
      </c>
      <c r="I4" s="12">
        <f t="shared" si="0"/>
        <v>440</v>
      </c>
      <c r="J4" s="11" t="s">
        <v>777</v>
      </c>
      <c r="K4" s="11" t="s">
        <v>33</v>
      </c>
      <c r="L4" s="11" t="s">
        <v>778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374</v>
      </c>
      <c r="D5" s="11" t="s">
        <v>782</v>
      </c>
      <c r="E5" s="11" t="s">
        <v>376</v>
      </c>
      <c r="F5" s="12">
        <v>8</v>
      </c>
      <c r="G5" s="12">
        <v>880</v>
      </c>
      <c r="H5" s="12">
        <v>30</v>
      </c>
      <c r="I5" s="12">
        <f t="shared" si="0"/>
        <v>850</v>
      </c>
      <c r="J5" s="11" t="s">
        <v>777</v>
      </c>
      <c r="K5" s="11" t="s">
        <v>33</v>
      </c>
      <c r="L5" s="11" t="s">
        <v>778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783</v>
      </c>
      <c r="D6" s="11" t="s">
        <v>784</v>
      </c>
      <c r="E6" s="11" t="s">
        <v>785</v>
      </c>
      <c r="F6" s="12">
        <v>9</v>
      </c>
      <c r="G6" s="12">
        <v>510</v>
      </c>
      <c r="H6" s="12">
        <v>30</v>
      </c>
      <c r="I6" s="12">
        <f t="shared" si="0"/>
        <v>480</v>
      </c>
      <c r="J6" s="11" t="s">
        <v>777</v>
      </c>
      <c r="K6" s="11" t="s">
        <v>33</v>
      </c>
      <c r="L6" s="11" t="s">
        <v>778</v>
      </c>
      <c r="M6" s="11"/>
      <c r="N6" s="11"/>
      <c r="O6" s="11"/>
      <c r="P6" s="11"/>
      <c r="Q6" s="11">
        <v>1</v>
      </c>
    </row>
    <row r="7" spans="1:18" x14ac:dyDescent="0.25">
      <c r="A7" s="11" t="s">
        <v>59</v>
      </c>
      <c r="B7" s="11" t="s">
        <v>27</v>
      </c>
      <c r="C7" s="11" t="s">
        <v>60</v>
      </c>
      <c r="D7" s="11"/>
      <c r="E7" s="11" t="s">
        <v>61</v>
      </c>
      <c r="F7" s="11" t="s">
        <v>48</v>
      </c>
      <c r="G7" s="12">
        <v>0</v>
      </c>
      <c r="H7" s="12">
        <v>35</v>
      </c>
      <c r="I7" s="12">
        <f t="shared" si="0"/>
        <v>-35</v>
      </c>
      <c r="J7" s="11" t="s">
        <v>777</v>
      </c>
      <c r="K7" s="11" t="s">
        <v>33</v>
      </c>
      <c r="L7" s="11" t="s">
        <v>778</v>
      </c>
      <c r="M7" s="11"/>
      <c r="N7" s="11"/>
      <c r="O7" s="11"/>
      <c r="P7" s="11"/>
      <c r="Q7" s="11">
        <v>1</v>
      </c>
      <c r="R7" s="5">
        <f>H7</f>
        <v>35</v>
      </c>
    </row>
    <row r="8" spans="1:18" x14ac:dyDescent="0.25">
      <c r="A8" s="11"/>
      <c r="B8" s="11" t="s">
        <v>27</v>
      </c>
      <c r="C8" s="11" t="s">
        <v>550</v>
      </c>
      <c r="D8" s="11" t="s">
        <v>786</v>
      </c>
      <c r="E8" s="11" t="s">
        <v>552</v>
      </c>
      <c r="F8" s="11" t="s">
        <v>78</v>
      </c>
      <c r="G8" s="12">
        <v>1780</v>
      </c>
      <c r="H8" s="12">
        <v>20</v>
      </c>
      <c r="I8" s="12">
        <f t="shared" si="0"/>
        <v>1760</v>
      </c>
      <c r="J8" s="11" t="s">
        <v>33</v>
      </c>
      <c r="K8" s="11" t="s">
        <v>33</v>
      </c>
      <c r="L8" s="11" t="s">
        <v>778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787</v>
      </c>
      <c r="D9" s="11" t="s">
        <v>788</v>
      </c>
      <c r="E9" s="11" t="s">
        <v>789</v>
      </c>
      <c r="F9" s="12">
        <v>2</v>
      </c>
      <c r="G9" s="12">
        <v>1380</v>
      </c>
      <c r="H9" s="12">
        <v>30</v>
      </c>
      <c r="I9" s="12">
        <f t="shared" si="0"/>
        <v>1350</v>
      </c>
      <c r="J9" s="11" t="s">
        <v>33</v>
      </c>
      <c r="K9" s="11" t="s">
        <v>33</v>
      </c>
      <c r="L9" s="11" t="s">
        <v>778</v>
      </c>
      <c r="M9" s="11"/>
      <c r="N9" s="11"/>
      <c r="O9" s="11"/>
      <c r="P9" s="11"/>
      <c r="Q9" s="11">
        <v>1</v>
      </c>
    </row>
    <row r="10" spans="1:18" x14ac:dyDescent="0.25">
      <c r="A10" s="11" t="s">
        <v>59</v>
      </c>
      <c r="B10" s="11" t="s">
        <v>27</v>
      </c>
      <c r="C10" s="11" t="s">
        <v>105</v>
      </c>
      <c r="D10" s="11"/>
      <c r="E10" s="11" t="s">
        <v>106</v>
      </c>
      <c r="F10" s="11" t="s">
        <v>68</v>
      </c>
      <c r="G10" s="12">
        <v>30</v>
      </c>
      <c r="H10" s="12">
        <v>30</v>
      </c>
      <c r="I10" s="12">
        <f t="shared" si="0"/>
        <v>0</v>
      </c>
      <c r="J10" s="11" t="s">
        <v>33</v>
      </c>
      <c r="K10" s="11" t="s">
        <v>33</v>
      </c>
      <c r="L10" s="11" t="s">
        <v>778</v>
      </c>
      <c r="M10" s="11"/>
      <c r="N10" s="11"/>
      <c r="O10" s="11"/>
      <c r="P10" s="11"/>
      <c r="Q10" s="11">
        <v>1</v>
      </c>
    </row>
    <row r="11" spans="1:18" x14ac:dyDescent="0.25">
      <c r="A11" s="11" t="s">
        <v>59</v>
      </c>
      <c r="B11" s="11" t="s">
        <v>27</v>
      </c>
      <c r="C11" s="11" t="s">
        <v>107</v>
      </c>
      <c r="D11" s="11"/>
      <c r="E11" s="11" t="s">
        <v>108</v>
      </c>
      <c r="F11" s="11" t="s">
        <v>68</v>
      </c>
      <c r="G11" s="12">
        <v>4510</v>
      </c>
      <c r="H11" s="12">
        <v>40</v>
      </c>
      <c r="I11" s="12">
        <f t="shared" si="0"/>
        <v>4470</v>
      </c>
      <c r="J11" s="11" t="s">
        <v>33</v>
      </c>
      <c r="K11" s="11" t="s">
        <v>33</v>
      </c>
      <c r="L11" s="11" t="s">
        <v>778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790</v>
      </c>
      <c r="D12" s="11" t="s">
        <v>791</v>
      </c>
      <c r="E12" s="11" t="s">
        <v>792</v>
      </c>
      <c r="F12" s="12">
        <v>1</v>
      </c>
      <c r="G12" s="12">
        <v>515</v>
      </c>
      <c r="H12" s="12">
        <v>25</v>
      </c>
      <c r="I12" s="12">
        <f t="shared" si="0"/>
        <v>490</v>
      </c>
      <c r="J12" s="11" t="s">
        <v>119</v>
      </c>
      <c r="K12" s="11" t="s">
        <v>33</v>
      </c>
      <c r="L12" s="11" t="s">
        <v>778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793</v>
      </c>
      <c r="D13" s="11" t="s">
        <v>794</v>
      </c>
      <c r="E13" s="11" t="s">
        <v>795</v>
      </c>
      <c r="F13" s="11" t="s">
        <v>44</v>
      </c>
      <c r="G13" s="12">
        <v>915</v>
      </c>
      <c r="H13" s="12">
        <v>25</v>
      </c>
      <c r="I13" s="12">
        <f t="shared" si="0"/>
        <v>890</v>
      </c>
      <c r="J13" s="11" t="s">
        <v>119</v>
      </c>
      <c r="K13" s="11" t="s">
        <v>33</v>
      </c>
      <c r="L13" s="11" t="s">
        <v>778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796</v>
      </c>
      <c r="D14" s="11" t="s">
        <v>797</v>
      </c>
      <c r="E14" s="11" t="s">
        <v>798</v>
      </c>
      <c r="F14" s="11" t="s">
        <v>44</v>
      </c>
      <c r="G14" s="12">
        <v>1595</v>
      </c>
      <c r="H14" s="12">
        <v>25</v>
      </c>
      <c r="I14" s="12">
        <f t="shared" si="0"/>
        <v>1570</v>
      </c>
      <c r="J14" s="11" t="s">
        <v>119</v>
      </c>
      <c r="K14" s="11" t="s">
        <v>33</v>
      </c>
      <c r="L14" s="11" t="s">
        <v>778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428</v>
      </c>
      <c r="D15" s="11" t="s">
        <v>799</v>
      </c>
      <c r="E15" s="11" t="s">
        <v>430</v>
      </c>
      <c r="F15" s="12">
        <v>10</v>
      </c>
      <c r="G15" s="12">
        <v>815</v>
      </c>
      <c r="H15" s="12">
        <v>25</v>
      </c>
      <c r="I15" s="12">
        <f t="shared" si="0"/>
        <v>790</v>
      </c>
      <c r="J15" s="11" t="s">
        <v>119</v>
      </c>
      <c r="K15" s="11" t="s">
        <v>33</v>
      </c>
      <c r="L15" s="11" t="s">
        <v>778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800</v>
      </c>
      <c r="D16" s="11" t="s">
        <v>801</v>
      </c>
      <c r="E16" s="11" t="s">
        <v>433</v>
      </c>
      <c r="F16" s="12">
        <v>4</v>
      </c>
      <c r="G16" s="12">
        <v>0</v>
      </c>
      <c r="H16" s="12">
        <v>25</v>
      </c>
      <c r="I16" s="12">
        <f t="shared" si="0"/>
        <v>-25</v>
      </c>
      <c r="J16" s="11" t="s">
        <v>119</v>
      </c>
      <c r="K16" s="11" t="s">
        <v>33</v>
      </c>
      <c r="L16" s="11" t="s">
        <v>778</v>
      </c>
      <c r="M16" s="11"/>
      <c r="N16" s="11"/>
      <c r="O16" s="11"/>
      <c r="P16" s="11"/>
      <c r="Q16" s="11">
        <v>1</v>
      </c>
      <c r="R16" s="5">
        <f>H16</f>
        <v>25</v>
      </c>
    </row>
    <row r="17" spans="1:18" x14ac:dyDescent="0.25">
      <c r="A17" s="11" t="s">
        <v>59</v>
      </c>
      <c r="B17" s="11" t="s">
        <v>27</v>
      </c>
      <c r="C17" s="11" t="s">
        <v>802</v>
      </c>
      <c r="D17" s="11"/>
      <c r="E17" s="11" t="s">
        <v>803</v>
      </c>
      <c r="F17" s="11" t="s">
        <v>44</v>
      </c>
      <c r="G17" s="12">
        <v>30</v>
      </c>
      <c r="H17" s="12">
        <v>30</v>
      </c>
      <c r="I17" s="12">
        <f t="shared" si="0"/>
        <v>0</v>
      </c>
      <c r="J17" s="11" t="s">
        <v>119</v>
      </c>
      <c r="K17" s="11" t="s">
        <v>33</v>
      </c>
      <c r="L17" s="11" t="s">
        <v>778</v>
      </c>
      <c r="M17" s="11"/>
      <c r="N17" s="11"/>
      <c r="O17" s="11"/>
      <c r="P17" s="11"/>
      <c r="Q17" s="11">
        <v>1</v>
      </c>
    </row>
    <row r="18" spans="1:18" x14ac:dyDescent="0.25">
      <c r="A18" s="11" t="s">
        <v>59</v>
      </c>
      <c r="B18" s="11" t="s">
        <v>27</v>
      </c>
      <c r="C18" s="11" t="s">
        <v>804</v>
      </c>
      <c r="D18" s="11"/>
      <c r="E18" s="11" t="s">
        <v>805</v>
      </c>
      <c r="F18" s="11" t="s">
        <v>44</v>
      </c>
      <c r="G18" s="12">
        <v>0</v>
      </c>
      <c r="H18" s="12">
        <v>30</v>
      </c>
      <c r="I18" s="12">
        <f t="shared" si="0"/>
        <v>-30</v>
      </c>
      <c r="J18" s="11" t="s">
        <v>119</v>
      </c>
      <c r="K18" s="11" t="s">
        <v>33</v>
      </c>
      <c r="L18" s="11" t="s">
        <v>778</v>
      </c>
      <c r="M18" s="11"/>
      <c r="N18" s="11"/>
      <c r="O18" s="11"/>
      <c r="P18" s="11"/>
      <c r="Q18" s="11">
        <v>1</v>
      </c>
      <c r="R18" s="5">
        <f>H18</f>
        <v>30</v>
      </c>
    </row>
    <row r="20" spans="1:18" x14ac:dyDescent="0.25">
      <c r="D20" s="1">
        <f>COUNTA(D3:D18)</f>
        <v>11</v>
      </c>
      <c r="G20" s="1">
        <f t="shared" ref="G20:Q20" si="1">SUBTOTAL(9,G3:G18)</f>
        <v>14355</v>
      </c>
      <c r="H20" s="1">
        <f t="shared" si="1"/>
        <v>465</v>
      </c>
      <c r="I20" s="1">
        <f t="shared" si="1"/>
        <v>13890</v>
      </c>
      <c r="J20" s="1">
        <f t="shared" si="1"/>
        <v>0</v>
      </c>
      <c r="K20" s="1">
        <f t="shared" si="1"/>
        <v>0</v>
      </c>
      <c r="L20" s="1">
        <f t="shared" si="1"/>
        <v>0</v>
      </c>
      <c r="M20" s="1">
        <f t="shared" si="1"/>
        <v>0</v>
      </c>
      <c r="N20" s="1">
        <f t="shared" si="1"/>
        <v>0</v>
      </c>
      <c r="O20" s="1">
        <f t="shared" si="1"/>
        <v>0</v>
      </c>
      <c r="P20" s="1">
        <f t="shared" si="1"/>
        <v>0</v>
      </c>
      <c r="Q20" s="1">
        <f t="shared" si="1"/>
        <v>16</v>
      </c>
    </row>
    <row r="21" spans="1:18" x14ac:dyDescent="0.25">
      <c r="H21">
        <f>-1*17</f>
        <v>-17</v>
      </c>
    </row>
    <row r="22" spans="1:18" x14ac:dyDescent="0.25">
      <c r="A22" s="1" t="s">
        <v>27</v>
      </c>
      <c r="C22" s="60" t="s">
        <v>158</v>
      </c>
      <c r="D22" s="60"/>
      <c r="E22" s="4" t="s">
        <v>159</v>
      </c>
      <c r="H22">
        <f>-3*25</f>
        <v>-75</v>
      </c>
      <c r="K22" s="6" t="s">
        <v>119</v>
      </c>
      <c r="L22" s="6" t="s">
        <v>160</v>
      </c>
      <c r="M22" s="6" t="s">
        <v>159</v>
      </c>
      <c r="O22" s="4" t="s">
        <v>161</v>
      </c>
    </row>
    <row r="23" spans="1:18" x14ac:dyDescent="0.25">
      <c r="A23" t="s">
        <v>778</v>
      </c>
      <c r="B23" s="3" t="s">
        <v>162</v>
      </c>
      <c r="C23" s="61">
        <f>SUMIFS(I$3:I$18,B$3:B$18,A$22,L$3:L$18,A$23)</f>
        <v>13890</v>
      </c>
      <c r="D23" s="61"/>
      <c r="E23" s="3">
        <f>SUMIFS(Q$3:Q$18,B$3:B$18,A$22,L$3:L$18,A$23)</f>
        <v>16</v>
      </c>
      <c r="F23" t="s">
        <v>163</v>
      </c>
      <c r="H23">
        <f>-1*30</f>
        <v>-30</v>
      </c>
      <c r="K23" t="s">
        <v>164</v>
      </c>
      <c r="L23">
        <f>SUMIFS(G$3:G$18,J$3:J$18,K$22)</f>
        <v>3870</v>
      </c>
      <c r="M23">
        <f>SUMIFS(Q$3:Q$18,J$3:J$18,K$22)-INT(COUNTIFS(J$3:J$18,K$22,M$3:M$18,"*gộp*")/2)</f>
        <v>7</v>
      </c>
      <c r="O23" t="s">
        <v>119</v>
      </c>
      <c r="P23">
        <f>L28</f>
        <v>3720</v>
      </c>
    </row>
    <row r="24" spans="1:18" x14ac:dyDescent="0.25">
      <c r="B24" s="2" t="s">
        <v>166</v>
      </c>
      <c r="C24" s="62">
        <v>0</v>
      </c>
      <c r="D24" s="62"/>
      <c r="K24" t="s">
        <v>167</v>
      </c>
      <c r="L24">
        <f>-SUMIFS(H$3:H$18,J$3:J$18,K$22)+M24*5</f>
        <v>-150</v>
      </c>
      <c r="M24">
        <f>SUMIFS(Q$3:Q$18,J$3:J$18,K$22)-INT(COUNTIFS(J$3:J$18,K$22,M$3:M$18,"*gộp*")/2)</f>
        <v>7</v>
      </c>
      <c r="O24" t="s">
        <v>33</v>
      </c>
      <c r="P24">
        <f>L36</f>
        <v>7568</v>
      </c>
    </row>
    <row r="25" spans="1:18" x14ac:dyDescent="0.25">
      <c r="B25" s="2" t="s">
        <v>168</v>
      </c>
      <c r="C25" s="62">
        <f>-SUMIFS(I$3:I$18,B$3:B$18,A$22,P$3:P$18,"xx",N$3:N$18,"x")</f>
        <v>0</v>
      </c>
      <c r="D25" s="62"/>
      <c r="E25" s="2">
        <f>SUMIFS(Q$3:Q$18,B$3:B$18,A$22,P$3:P$18,"xx",N$3:N$18,"x")</f>
        <v>0</v>
      </c>
      <c r="K25" t="s">
        <v>169</v>
      </c>
      <c r="O25" t="s">
        <v>806</v>
      </c>
      <c r="P25">
        <f>L44</f>
        <v>2663</v>
      </c>
    </row>
    <row r="26" spans="1:18" x14ac:dyDescent="0.25">
      <c r="B26" s="4" t="s">
        <v>170</v>
      </c>
      <c r="C26" s="60">
        <f>SUBTOTAL(9,C23:C25)</f>
        <v>13890</v>
      </c>
      <c r="D26" s="60"/>
      <c r="E26">
        <f>E23</f>
        <v>16</v>
      </c>
      <c r="K26" s="7" t="s">
        <v>155</v>
      </c>
      <c r="O26" t="s">
        <v>171</v>
      </c>
      <c r="P26">
        <f>-C30</f>
        <v>-13890</v>
      </c>
    </row>
    <row r="27" spans="1:18" x14ac:dyDescent="0.25">
      <c r="B27" s="2" t="s">
        <v>172</v>
      </c>
      <c r="C27" s="58"/>
      <c r="D27" s="58"/>
      <c r="K27" s="2" t="s">
        <v>173</v>
      </c>
      <c r="O27" s="4" t="s">
        <v>174</v>
      </c>
      <c r="P27" s="4">
        <f>SUBTOTAL(9,P23:P26)</f>
        <v>61</v>
      </c>
    </row>
    <row r="28" spans="1:18" x14ac:dyDescent="0.25">
      <c r="B28" s="8" t="s">
        <v>175</v>
      </c>
      <c r="C28" s="58"/>
      <c r="D28" s="58"/>
      <c r="L28" s="9">
        <f>SUBTOTAL(9,L23:L27)</f>
        <v>3720</v>
      </c>
      <c r="M28" s="9">
        <f>M23</f>
        <v>7</v>
      </c>
    </row>
    <row r="30" spans="1:18" x14ac:dyDescent="0.25">
      <c r="B30" s="1" t="s">
        <v>176</v>
      </c>
      <c r="C30" s="59">
        <f>C26+C27+C28</f>
        <v>13890</v>
      </c>
      <c r="D30" s="59"/>
      <c r="E30" s="1" t="s">
        <v>177</v>
      </c>
      <c r="K30" s="6" t="s">
        <v>33</v>
      </c>
      <c r="L30" s="6" t="s">
        <v>160</v>
      </c>
      <c r="M30" s="6" t="s">
        <v>159</v>
      </c>
    </row>
    <row r="31" spans="1:18" x14ac:dyDescent="0.25">
      <c r="K31" t="s">
        <v>164</v>
      </c>
      <c r="L31">
        <f>SUMIFS(G$3:G$18,J$3:J$18,K$30)</f>
        <v>7700</v>
      </c>
      <c r="M31">
        <f>SUMIFS(Q$3:Q$18,J$3:J$18,K$30)-INT(COUNTIFS(J$3:J$18,K$30,M$3:M$18,"*gộp*")/2)</f>
        <v>4</v>
      </c>
    </row>
    <row r="32" spans="1:18" x14ac:dyDescent="0.25">
      <c r="K32" t="s">
        <v>167</v>
      </c>
      <c r="L32">
        <f>-SUMIFS(H$3:H$18,J$3:J$18,K$30)+M32*5</f>
        <v>-100</v>
      </c>
      <c r="M32">
        <f>SUMIFS(Q$3:Q$18,J$3:J$18,K$30)-INT(COUNTIFS(J$3:J$18,K$30,M$3:M$18,"*gộp*")/2)</f>
        <v>4</v>
      </c>
    </row>
    <row r="33" spans="11:13" x14ac:dyDescent="0.25">
      <c r="K33" t="s">
        <v>169</v>
      </c>
      <c r="L33">
        <f>-M33*2</f>
        <v>-32</v>
      </c>
      <c r="M33">
        <f>E26-(COUNTIFS(M$3:M$18,"*gộp*")/2)-COUNTIFS(M$3:M$18,"*đơn trả*")-COUNTIFS(M$3:M$18,"*hàng tỉnh*")</f>
        <v>16</v>
      </c>
    </row>
    <row r="34" spans="11:13" x14ac:dyDescent="0.25">
      <c r="K34" s="7" t="s">
        <v>155</v>
      </c>
    </row>
    <row r="35" spans="11:13" x14ac:dyDescent="0.25">
      <c r="K35" s="2" t="s">
        <v>173</v>
      </c>
    </row>
    <row r="36" spans="11:13" x14ac:dyDescent="0.25">
      <c r="L36" s="9">
        <f>SUBTOTAL(9,L31:L35)</f>
        <v>7568</v>
      </c>
      <c r="M36" s="9">
        <f>M31</f>
        <v>4</v>
      </c>
    </row>
    <row r="38" spans="11:13" x14ac:dyDescent="0.25">
      <c r="K38" s="6" t="s">
        <v>777</v>
      </c>
      <c r="L38" s="6" t="s">
        <v>160</v>
      </c>
      <c r="M38" s="6" t="s">
        <v>159</v>
      </c>
    </row>
    <row r="39" spans="11:13" x14ac:dyDescent="0.25">
      <c r="K39" t="s">
        <v>164</v>
      </c>
      <c r="L39">
        <f>SUMIFS(G$3:G$18,J$3:J$18,K$38)</f>
        <v>2785</v>
      </c>
      <c r="M39">
        <f>SUMIFS(Q$3:Q$18,J$3:J$18,K$38)-INT(COUNTIFS(J$3:J$18,K$38,M$3:M$18,"*gộp*")/2)</f>
        <v>5</v>
      </c>
    </row>
    <row r="40" spans="11:13" x14ac:dyDescent="0.25">
      <c r="K40" t="s">
        <v>167</v>
      </c>
      <c r="L40">
        <f>SUM(H21:H23)</f>
        <v>-122</v>
      </c>
      <c r="M40">
        <f>SUMIFS(Q$3:Q$18,J$3:J$18,K$38)-INT(COUNTIFS(J$3:J$18,K$38,M$3:M$18,"*gộp*")/2)</f>
        <v>5</v>
      </c>
    </row>
    <row r="41" spans="11:13" x14ac:dyDescent="0.25">
      <c r="K41" t="s">
        <v>169</v>
      </c>
    </row>
    <row r="42" spans="11:13" x14ac:dyDescent="0.25">
      <c r="K42" s="7" t="s">
        <v>155</v>
      </c>
    </row>
    <row r="43" spans="11:13" x14ac:dyDescent="0.25">
      <c r="K43" s="2" t="s">
        <v>173</v>
      </c>
    </row>
    <row r="44" spans="11:13" x14ac:dyDescent="0.25">
      <c r="L44" s="9">
        <f>SUBTOTAL(9,L39:L43)</f>
        <v>2663</v>
      </c>
      <c r="M44" s="9">
        <f>M39</f>
        <v>5</v>
      </c>
    </row>
  </sheetData>
  <autoFilter ref="A2:P18" xr:uid="{00000000-0009-0000-0000-000009000000}">
    <sortState xmlns:xlrd2="http://schemas.microsoft.com/office/spreadsheetml/2017/richdata2" ref="A3:P18">
      <sortCondition ref="J2:J18"/>
    </sortState>
  </autoFilter>
  <mergeCells count="8">
    <mergeCell ref="C27:D27"/>
    <mergeCell ref="C28:D28"/>
    <mergeCell ref="C30:D30"/>
    <mergeCell ref="C22:D22"/>
    <mergeCell ref="C23:D23"/>
    <mergeCell ref="C24:D24"/>
    <mergeCell ref="C25:D25"/>
    <mergeCell ref="C26:D26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R64"/>
  <sheetViews>
    <sheetView topLeftCell="A24" zoomScale="85" zoomScaleNormal="85" workbookViewId="0">
      <selection activeCell="P38" sqref="P38"/>
    </sheetView>
  </sheetViews>
  <sheetFormatPr defaultRowHeight="15" x14ac:dyDescent="0.25"/>
  <cols>
    <col min="1" max="1" width="12.7109375" customWidth="1"/>
    <col min="2" max="2" width="9.140625" customWidth="1"/>
    <col min="3" max="3" width="23.85546875" customWidth="1"/>
    <col min="4" max="4" width="9.85546875" customWidth="1"/>
    <col min="5" max="5" width="88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14062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26</v>
      </c>
    </row>
    <row r="3" spans="1:18" x14ac:dyDescent="0.25">
      <c r="A3" s="11"/>
      <c r="B3" s="11" t="s">
        <v>27</v>
      </c>
      <c r="C3" s="11" t="s">
        <v>807</v>
      </c>
      <c r="D3" s="11" t="s">
        <v>808</v>
      </c>
      <c r="E3" s="11" t="s">
        <v>809</v>
      </c>
      <c r="F3" s="11" t="s">
        <v>31</v>
      </c>
      <c r="G3" s="12">
        <v>0</v>
      </c>
      <c r="H3" s="12">
        <v>25</v>
      </c>
      <c r="I3" s="12">
        <f t="shared" ref="I3:I38" si="0">G3-H3</f>
        <v>-25</v>
      </c>
      <c r="J3" s="11" t="s">
        <v>810</v>
      </c>
      <c r="K3" s="11" t="s">
        <v>33</v>
      </c>
      <c r="L3" s="11" t="s">
        <v>811</v>
      </c>
      <c r="M3" s="11"/>
      <c r="N3" s="11"/>
      <c r="O3" s="11"/>
      <c r="P3" s="11"/>
      <c r="Q3" s="11">
        <v>1</v>
      </c>
      <c r="R3" s="5">
        <f>H3</f>
        <v>25</v>
      </c>
    </row>
    <row r="4" spans="1:18" x14ac:dyDescent="0.25">
      <c r="A4" s="11"/>
      <c r="B4" s="11" t="s">
        <v>27</v>
      </c>
      <c r="C4" s="11" t="s">
        <v>310</v>
      </c>
      <c r="D4" s="11" t="s">
        <v>812</v>
      </c>
      <c r="E4" s="11" t="s">
        <v>312</v>
      </c>
      <c r="F4" s="12">
        <v>7</v>
      </c>
      <c r="G4" s="12">
        <v>1380</v>
      </c>
      <c r="H4" s="12">
        <v>30</v>
      </c>
      <c r="I4" s="12">
        <f t="shared" si="0"/>
        <v>1350</v>
      </c>
      <c r="J4" s="11" t="s">
        <v>810</v>
      </c>
      <c r="K4" s="11" t="s">
        <v>33</v>
      </c>
      <c r="L4" s="11" t="s">
        <v>811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813</v>
      </c>
      <c r="D5" s="11" t="s">
        <v>814</v>
      </c>
      <c r="E5" s="11" t="s">
        <v>815</v>
      </c>
      <c r="F5" s="11" t="s">
        <v>55</v>
      </c>
      <c r="G5" s="12">
        <v>775</v>
      </c>
      <c r="H5" s="12">
        <v>35</v>
      </c>
      <c r="I5" s="12">
        <f t="shared" si="0"/>
        <v>740</v>
      </c>
      <c r="J5" s="11" t="s">
        <v>810</v>
      </c>
      <c r="K5" s="11" t="s">
        <v>33</v>
      </c>
      <c r="L5" s="11" t="s">
        <v>811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816</v>
      </c>
      <c r="D6" s="11" t="s">
        <v>817</v>
      </c>
      <c r="E6" s="11" t="s">
        <v>818</v>
      </c>
      <c r="F6" s="12">
        <v>9</v>
      </c>
      <c r="G6" s="12">
        <v>750</v>
      </c>
      <c r="H6" s="12">
        <v>30</v>
      </c>
      <c r="I6" s="12">
        <f t="shared" si="0"/>
        <v>720</v>
      </c>
      <c r="J6" s="11" t="s">
        <v>810</v>
      </c>
      <c r="K6" s="11" t="s">
        <v>33</v>
      </c>
      <c r="L6" s="11" t="s">
        <v>811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819</v>
      </c>
      <c r="D7" s="11" t="s">
        <v>820</v>
      </c>
      <c r="E7" s="11" t="s">
        <v>821</v>
      </c>
      <c r="F7" s="11" t="s">
        <v>48</v>
      </c>
      <c r="G7" s="12">
        <v>1110</v>
      </c>
      <c r="H7" s="12">
        <v>30</v>
      </c>
      <c r="I7" s="12">
        <f t="shared" si="0"/>
        <v>1080</v>
      </c>
      <c r="J7" s="11" t="s">
        <v>810</v>
      </c>
      <c r="K7" s="11" t="s">
        <v>33</v>
      </c>
      <c r="L7" s="11" t="s">
        <v>811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822</v>
      </c>
      <c r="D8" s="11" t="s">
        <v>823</v>
      </c>
      <c r="E8" s="11" t="s">
        <v>824</v>
      </c>
      <c r="F8" s="12">
        <v>8</v>
      </c>
      <c r="G8" s="12">
        <v>960</v>
      </c>
      <c r="H8" s="12">
        <v>30</v>
      </c>
      <c r="I8" s="12">
        <f t="shared" si="0"/>
        <v>930</v>
      </c>
      <c r="J8" s="11" t="s">
        <v>810</v>
      </c>
      <c r="K8" s="11" t="s">
        <v>33</v>
      </c>
      <c r="L8" s="11" t="s">
        <v>811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825</v>
      </c>
      <c r="D9" s="11" t="s">
        <v>826</v>
      </c>
      <c r="E9" s="11" t="s">
        <v>827</v>
      </c>
      <c r="F9" s="11" t="s">
        <v>48</v>
      </c>
      <c r="G9" s="12">
        <v>400</v>
      </c>
      <c r="H9" s="12">
        <v>30</v>
      </c>
      <c r="I9" s="12">
        <f t="shared" si="0"/>
        <v>370</v>
      </c>
      <c r="J9" s="11" t="s">
        <v>810</v>
      </c>
      <c r="K9" s="11" t="s">
        <v>33</v>
      </c>
      <c r="L9" s="11" t="s">
        <v>811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828</v>
      </c>
      <c r="D10" s="11" t="s">
        <v>829</v>
      </c>
      <c r="E10" s="11" t="s">
        <v>830</v>
      </c>
      <c r="F10" s="12">
        <v>7</v>
      </c>
      <c r="G10" s="12">
        <v>1530</v>
      </c>
      <c r="H10" s="12">
        <v>30</v>
      </c>
      <c r="I10" s="12">
        <f t="shared" si="0"/>
        <v>1500</v>
      </c>
      <c r="J10" s="11" t="s">
        <v>810</v>
      </c>
      <c r="K10" s="11" t="s">
        <v>33</v>
      </c>
      <c r="L10" s="11" t="s">
        <v>811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831</v>
      </c>
      <c r="D11" s="11" t="s">
        <v>832</v>
      </c>
      <c r="E11" s="11" t="s">
        <v>833</v>
      </c>
      <c r="F11" s="11" t="s">
        <v>55</v>
      </c>
      <c r="G11" s="12">
        <v>895</v>
      </c>
      <c r="H11" s="12">
        <v>35</v>
      </c>
      <c r="I11" s="12">
        <f t="shared" si="0"/>
        <v>860</v>
      </c>
      <c r="J11" s="11" t="s">
        <v>810</v>
      </c>
      <c r="K11" s="11" t="s">
        <v>33</v>
      </c>
      <c r="L11" s="11" t="s">
        <v>811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834</v>
      </c>
      <c r="D12" s="11" t="s">
        <v>835</v>
      </c>
      <c r="E12" s="11" t="s">
        <v>836</v>
      </c>
      <c r="F12" s="11" t="s">
        <v>48</v>
      </c>
      <c r="G12" s="12">
        <v>910</v>
      </c>
      <c r="H12" s="12">
        <v>30</v>
      </c>
      <c r="I12" s="12">
        <f t="shared" si="0"/>
        <v>880</v>
      </c>
      <c r="J12" s="11" t="s">
        <v>810</v>
      </c>
      <c r="K12" s="11" t="s">
        <v>33</v>
      </c>
      <c r="L12" s="11" t="s">
        <v>811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837</v>
      </c>
      <c r="D13" s="11" t="s">
        <v>838</v>
      </c>
      <c r="E13" s="11" t="s">
        <v>839</v>
      </c>
      <c r="F13" s="11" t="s">
        <v>48</v>
      </c>
      <c r="G13" s="12">
        <v>750</v>
      </c>
      <c r="H13" s="12">
        <v>30</v>
      </c>
      <c r="I13" s="12">
        <f t="shared" si="0"/>
        <v>720</v>
      </c>
      <c r="J13" s="11" t="s">
        <v>810</v>
      </c>
      <c r="K13" s="11" t="s">
        <v>33</v>
      </c>
      <c r="L13" s="11" t="s">
        <v>811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840</v>
      </c>
      <c r="D14" s="11" t="s">
        <v>841</v>
      </c>
      <c r="E14" s="11" t="s">
        <v>842</v>
      </c>
      <c r="F14" s="11" t="s">
        <v>202</v>
      </c>
      <c r="G14" s="12">
        <v>1715</v>
      </c>
      <c r="H14" s="12">
        <v>35</v>
      </c>
      <c r="I14" s="12">
        <f t="shared" si="0"/>
        <v>1680</v>
      </c>
      <c r="J14" s="11" t="s">
        <v>810</v>
      </c>
      <c r="K14" s="11" t="s">
        <v>33</v>
      </c>
      <c r="L14" s="11" t="s">
        <v>811</v>
      </c>
      <c r="M14" s="11"/>
      <c r="N14" s="11"/>
      <c r="O14" s="11"/>
      <c r="P14" s="11"/>
      <c r="Q14" s="11">
        <v>1</v>
      </c>
    </row>
    <row r="15" spans="1:18" x14ac:dyDescent="0.25">
      <c r="A15" s="11" t="s">
        <v>59</v>
      </c>
      <c r="B15" s="11" t="s">
        <v>27</v>
      </c>
      <c r="C15" s="11" t="s">
        <v>209</v>
      </c>
      <c r="D15" s="11"/>
      <c r="E15" s="11" t="s">
        <v>691</v>
      </c>
      <c r="F15" s="12">
        <v>6</v>
      </c>
      <c r="G15" s="12">
        <v>35</v>
      </c>
      <c r="H15" s="12">
        <v>35</v>
      </c>
      <c r="I15" s="12">
        <f t="shared" si="0"/>
        <v>0</v>
      </c>
      <c r="J15" s="11" t="s">
        <v>810</v>
      </c>
      <c r="K15" s="11" t="s">
        <v>33</v>
      </c>
      <c r="L15" s="11" t="s">
        <v>811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843</v>
      </c>
      <c r="D16" s="11" t="s">
        <v>844</v>
      </c>
      <c r="E16" s="11" t="s">
        <v>845</v>
      </c>
      <c r="F16" s="12">
        <v>2</v>
      </c>
      <c r="G16" s="12">
        <v>520</v>
      </c>
      <c r="H16" s="12">
        <v>30</v>
      </c>
      <c r="I16" s="12">
        <f t="shared" si="0"/>
        <v>490</v>
      </c>
      <c r="J16" s="11" t="s">
        <v>33</v>
      </c>
      <c r="K16" s="11" t="s">
        <v>33</v>
      </c>
      <c r="L16" s="11" t="s">
        <v>811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725</v>
      </c>
      <c r="D17" s="11" t="s">
        <v>846</v>
      </c>
      <c r="E17" s="11" t="s">
        <v>847</v>
      </c>
      <c r="F17" s="11" t="s">
        <v>104</v>
      </c>
      <c r="G17" s="12">
        <v>2010</v>
      </c>
      <c r="H17" s="12">
        <v>30</v>
      </c>
      <c r="I17" s="12">
        <f t="shared" si="0"/>
        <v>1980</v>
      </c>
      <c r="J17" s="11" t="s">
        <v>33</v>
      </c>
      <c r="K17" s="11" t="s">
        <v>33</v>
      </c>
      <c r="L17" s="11" t="s">
        <v>811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848</v>
      </c>
      <c r="D18" s="11" t="s">
        <v>849</v>
      </c>
      <c r="E18" s="11" t="s">
        <v>850</v>
      </c>
      <c r="F18" s="12">
        <v>12</v>
      </c>
      <c r="G18" s="12">
        <v>0</v>
      </c>
      <c r="H18" s="12">
        <v>30</v>
      </c>
      <c r="I18" s="12">
        <f t="shared" si="0"/>
        <v>-30</v>
      </c>
      <c r="J18" s="11" t="s">
        <v>33</v>
      </c>
      <c r="K18" s="11" t="s">
        <v>33</v>
      </c>
      <c r="L18" s="11" t="s">
        <v>811</v>
      </c>
      <c r="M18" s="11"/>
      <c r="N18" s="11"/>
      <c r="O18" s="11"/>
      <c r="P18" s="11"/>
      <c r="Q18" s="11">
        <v>1</v>
      </c>
      <c r="R18" s="5">
        <f>H18</f>
        <v>30</v>
      </c>
    </row>
    <row r="19" spans="1:18" x14ac:dyDescent="0.25">
      <c r="A19" s="11"/>
      <c r="B19" s="11" t="s">
        <v>27</v>
      </c>
      <c r="C19" s="11" t="s">
        <v>851</v>
      </c>
      <c r="D19" s="11" t="s">
        <v>852</v>
      </c>
      <c r="E19" s="11" t="s">
        <v>853</v>
      </c>
      <c r="F19" s="11" t="s">
        <v>104</v>
      </c>
      <c r="G19" s="12">
        <v>810</v>
      </c>
      <c r="H19" s="12">
        <v>30</v>
      </c>
      <c r="I19" s="12">
        <f t="shared" si="0"/>
        <v>780</v>
      </c>
      <c r="J19" s="11" t="s">
        <v>33</v>
      </c>
      <c r="K19" s="11" t="s">
        <v>33</v>
      </c>
      <c r="L19" s="11" t="s">
        <v>811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854</v>
      </c>
      <c r="D20" s="11" t="s">
        <v>855</v>
      </c>
      <c r="E20" s="11" t="s">
        <v>856</v>
      </c>
      <c r="F20" s="12">
        <v>2</v>
      </c>
      <c r="G20" s="12">
        <v>1770</v>
      </c>
      <c r="H20" s="12">
        <v>30</v>
      </c>
      <c r="I20" s="12">
        <f t="shared" si="0"/>
        <v>1740</v>
      </c>
      <c r="J20" s="11" t="s">
        <v>33</v>
      </c>
      <c r="K20" s="11" t="s">
        <v>33</v>
      </c>
      <c r="L20" s="11" t="s">
        <v>811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857</v>
      </c>
      <c r="D21" s="11" t="s">
        <v>858</v>
      </c>
      <c r="E21" s="11" t="s">
        <v>859</v>
      </c>
      <c r="F21" s="12">
        <v>2</v>
      </c>
      <c r="G21" s="12">
        <v>960</v>
      </c>
      <c r="H21" s="12">
        <v>30</v>
      </c>
      <c r="I21" s="12">
        <f t="shared" si="0"/>
        <v>930</v>
      </c>
      <c r="J21" s="11" t="s">
        <v>33</v>
      </c>
      <c r="K21" s="11" t="s">
        <v>33</v>
      </c>
      <c r="L21" s="11" t="s">
        <v>811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492</v>
      </c>
      <c r="D22" s="11" t="s">
        <v>860</v>
      </c>
      <c r="E22" s="11" t="s">
        <v>494</v>
      </c>
      <c r="F22" s="12">
        <v>2</v>
      </c>
      <c r="G22" s="12">
        <v>910</v>
      </c>
      <c r="H22" s="12">
        <v>30</v>
      </c>
      <c r="I22" s="12">
        <f t="shared" si="0"/>
        <v>880</v>
      </c>
      <c r="J22" s="11" t="s">
        <v>33</v>
      </c>
      <c r="K22" s="11" t="s">
        <v>33</v>
      </c>
      <c r="L22" s="11" t="s">
        <v>811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861</v>
      </c>
      <c r="D23" s="11" t="s">
        <v>862</v>
      </c>
      <c r="E23" s="11" t="s">
        <v>863</v>
      </c>
      <c r="F23" s="11" t="s">
        <v>104</v>
      </c>
      <c r="G23" s="12">
        <v>750</v>
      </c>
      <c r="H23" s="12">
        <v>30</v>
      </c>
      <c r="I23" s="12">
        <f t="shared" si="0"/>
        <v>720</v>
      </c>
      <c r="J23" s="11" t="s">
        <v>33</v>
      </c>
      <c r="K23" s="11" t="s">
        <v>33</v>
      </c>
      <c r="L23" s="11" t="s">
        <v>811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550</v>
      </c>
      <c r="D24" s="11" t="s">
        <v>864</v>
      </c>
      <c r="E24" s="11" t="s">
        <v>552</v>
      </c>
      <c r="F24" s="11" t="s">
        <v>78</v>
      </c>
      <c r="G24" s="12">
        <v>1780</v>
      </c>
      <c r="H24" s="12">
        <v>20</v>
      </c>
      <c r="I24" s="12">
        <f t="shared" si="0"/>
        <v>1760</v>
      </c>
      <c r="J24" s="11" t="s">
        <v>33</v>
      </c>
      <c r="K24" s="11" t="s">
        <v>33</v>
      </c>
      <c r="L24" s="11" t="s">
        <v>811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236</v>
      </c>
      <c r="D25" s="11" t="s">
        <v>865</v>
      </c>
      <c r="E25" s="11" t="s">
        <v>238</v>
      </c>
      <c r="F25" s="12">
        <v>12</v>
      </c>
      <c r="G25" s="12">
        <v>0</v>
      </c>
      <c r="H25" s="12">
        <v>30</v>
      </c>
      <c r="I25" s="12">
        <f t="shared" si="0"/>
        <v>-30</v>
      </c>
      <c r="J25" s="11" t="s">
        <v>33</v>
      </c>
      <c r="K25" s="11" t="s">
        <v>33</v>
      </c>
      <c r="L25" s="11" t="s">
        <v>811</v>
      </c>
      <c r="M25" s="11"/>
      <c r="N25" s="11"/>
      <c r="O25" s="11"/>
      <c r="P25" s="11"/>
      <c r="Q25" s="11">
        <v>1</v>
      </c>
      <c r="R25" s="5">
        <f>H25</f>
        <v>30</v>
      </c>
    </row>
    <row r="26" spans="1:18" x14ac:dyDescent="0.25">
      <c r="A26" s="11"/>
      <c r="B26" s="11" t="s">
        <v>27</v>
      </c>
      <c r="C26" s="11" t="s">
        <v>866</v>
      </c>
      <c r="D26" s="11" t="s">
        <v>867</v>
      </c>
      <c r="E26" s="11" t="s">
        <v>868</v>
      </c>
      <c r="F26" s="11" t="s">
        <v>78</v>
      </c>
      <c r="G26" s="12">
        <v>870</v>
      </c>
      <c r="H26" s="12">
        <v>20</v>
      </c>
      <c r="I26" s="12">
        <f t="shared" si="0"/>
        <v>850</v>
      </c>
      <c r="J26" s="11" t="s">
        <v>33</v>
      </c>
      <c r="K26" s="11" t="s">
        <v>33</v>
      </c>
      <c r="L26" s="11" t="s">
        <v>811</v>
      </c>
      <c r="M26" s="11"/>
      <c r="N26" s="11"/>
      <c r="O26" s="11"/>
      <c r="P26" s="11"/>
      <c r="Q26" s="11">
        <v>1</v>
      </c>
    </row>
    <row r="27" spans="1:18" x14ac:dyDescent="0.25">
      <c r="A27" s="11" t="s">
        <v>59</v>
      </c>
      <c r="B27" s="11" t="s">
        <v>27</v>
      </c>
      <c r="C27" s="11" t="s">
        <v>113</v>
      </c>
      <c r="D27" s="11"/>
      <c r="E27" s="11" t="s">
        <v>114</v>
      </c>
      <c r="F27" s="11" t="s">
        <v>68</v>
      </c>
      <c r="G27" s="12">
        <v>0</v>
      </c>
      <c r="H27" s="12">
        <v>35</v>
      </c>
      <c r="I27" s="12">
        <f t="shared" si="0"/>
        <v>-35</v>
      </c>
      <c r="J27" s="11" t="s">
        <v>33</v>
      </c>
      <c r="K27" s="11" t="s">
        <v>33</v>
      </c>
      <c r="L27" s="11" t="s">
        <v>811</v>
      </c>
      <c r="M27" s="11"/>
      <c r="N27" s="11"/>
      <c r="O27" s="11"/>
      <c r="P27" s="11"/>
      <c r="Q27" s="11">
        <v>1</v>
      </c>
      <c r="R27" s="5">
        <f>H27</f>
        <v>35</v>
      </c>
    </row>
    <row r="28" spans="1:18" x14ac:dyDescent="0.25">
      <c r="A28" s="11" t="s">
        <v>59</v>
      </c>
      <c r="B28" s="11" t="s">
        <v>27</v>
      </c>
      <c r="C28" s="11" t="s">
        <v>107</v>
      </c>
      <c r="D28" s="11"/>
      <c r="E28" s="11" t="s">
        <v>108</v>
      </c>
      <c r="F28" s="11" t="s">
        <v>68</v>
      </c>
      <c r="G28" s="12">
        <v>1210</v>
      </c>
      <c r="H28" s="12">
        <v>30</v>
      </c>
      <c r="I28" s="12">
        <f t="shared" si="0"/>
        <v>1180</v>
      </c>
      <c r="J28" s="11" t="s">
        <v>33</v>
      </c>
      <c r="K28" s="11" t="s">
        <v>33</v>
      </c>
      <c r="L28" s="11" t="s">
        <v>811</v>
      </c>
      <c r="M28" s="11"/>
      <c r="N28" s="11"/>
      <c r="O28" s="11"/>
      <c r="P28" s="11"/>
      <c r="Q28" s="11">
        <v>1</v>
      </c>
    </row>
    <row r="29" spans="1:18" x14ac:dyDescent="0.25">
      <c r="A29" s="11" t="s">
        <v>59</v>
      </c>
      <c r="B29" s="11" t="s">
        <v>27</v>
      </c>
      <c r="C29" s="11" t="s">
        <v>109</v>
      </c>
      <c r="D29" s="11"/>
      <c r="E29" s="11" t="s">
        <v>869</v>
      </c>
      <c r="F29" s="12">
        <v>12</v>
      </c>
      <c r="G29" s="12">
        <v>45</v>
      </c>
      <c r="H29" s="12">
        <v>45</v>
      </c>
      <c r="I29" s="12">
        <f t="shared" si="0"/>
        <v>0</v>
      </c>
      <c r="J29" s="11" t="s">
        <v>33</v>
      </c>
      <c r="K29" s="11" t="s">
        <v>33</v>
      </c>
      <c r="L29" s="11" t="s">
        <v>811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870</v>
      </c>
      <c r="D30" s="11" t="s">
        <v>871</v>
      </c>
      <c r="E30" s="11" t="s">
        <v>872</v>
      </c>
      <c r="F30" s="12">
        <v>11</v>
      </c>
      <c r="G30" s="12">
        <v>955</v>
      </c>
      <c r="H30" s="12">
        <v>25</v>
      </c>
      <c r="I30" s="12">
        <f t="shared" si="0"/>
        <v>930</v>
      </c>
      <c r="J30" s="11" t="s">
        <v>119</v>
      </c>
      <c r="K30" s="11" t="s">
        <v>33</v>
      </c>
      <c r="L30" s="11" t="s">
        <v>811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873</v>
      </c>
      <c r="D31" s="11" t="s">
        <v>874</v>
      </c>
      <c r="E31" s="11" t="s">
        <v>875</v>
      </c>
      <c r="F31" s="12">
        <v>5</v>
      </c>
      <c r="G31" s="12">
        <v>875</v>
      </c>
      <c r="H31" s="12">
        <v>25</v>
      </c>
      <c r="I31" s="12">
        <f t="shared" si="0"/>
        <v>850</v>
      </c>
      <c r="J31" s="11" t="s">
        <v>119</v>
      </c>
      <c r="K31" s="11" t="s">
        <v>33</v>
      </c>
      <c r="L31" s="11" t="s">
        <v>811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876</v>
      </c>
      <c r="D32" s="11" t="s">
        <v>877</v>
      </c>
      <c r="E32" s="11" t="s">
        <v>878</v>
      </c>
      <c r="F32" s="12">
        <v>10</v>
      </c>
      <c r="G32" s="12">
        <v>605</v>
      </c>
      <c r="H32" s="12">
        <v>25</v>
      </c>
      <c r="I32" s="12">
        <f t="shared" si="0"/>
        <v>580</v>
      </c>
      <c r="J32" s="11" t="s">
        <v>119</v>
      </c>
      <c r="K32" s="11" t="s">
        <v>33</v>
      </c>
      <c r="L32" s="11" t="s">
        <v>811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879</v>
      </c>
      <c r="D33" s="11" t="s">
        <v>880</v>
      </c>
      <c r="E33" s="11" t="s">
        <v>881</v>
      </c>
      <c r="F33" s="12">
        <v>11</v>
      </c>
      <c r="G33" s="12">
        <v>0</v>
      </c>
      <c r="H33" s="12">
        <v>25</v>
      </c>
      <c r="I33" s="12">
        <f t="shared" si="0"/>
        <v>-25</v>
      </c>
      <c r="J33" s="11" t="s">
        <v>119</v>
      </c>
      <c r="K33" s="11" t="s">
        <v>33</v>
      </c>
      <c r="L33" s="11" t="s">
        <v>811</v>
      </c>
      <c r="M33" s="24" t="s">
        <v>882</v>
      </c>
      <c r="N33" s="11"/>
      <c r="O33" s="11"/>
      <c r="P33" s="11"/>
      <c r="Q33" s="11">
        <v>1</v>
      </c>
      <c r="R33" s="5">
        <f>H33</f>
        <v>25</v>
      </c>
    </row>
    <row r="34" spans="1:18" x14ac:dyDescent="0.25">
      <c r="A34" s="11"/>
      <c r="B34" s="11" t="s">
        <v>27</v>
      </c>
      <c r="C34" s="11" t="s">
        <v>883</v>
      </c>
      <c r="D34" s="11" t="s">
        <v>884</v>
      </c>
      <c r="E34" s="11" t="s">
        <v>885</v>
      </c>
      <c r="F34" s="12">
        <v>3</v>
      </c>
      <c r="G34" s="12">
        <v>905</v>
      </c>
      <c r="H34" s="12">
        <v>25</v>
      </c>
      <c r="I34" s="12">
        <f t="shared" si="0"/>
        <v>880</v>
      </c>
      <c r="J34" s="11" t="s">
        <v>119</v>
      </c>
      <c r="K34" s="11" t="s">
        <v>33</v>
      </c>
      <c r="L34" s="11" t="s">
        <v>811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886</v>
      </c>
      <c r="D35" s="11" t="s">
        <v>887</v>
      </c>
      <c r="E35" s="11" t="s">
        <v>888</v>
      </c>
      <c r="F35" s="11" t="s">
        <v>44</v>
      </c>
      <c r="G35" s="12">
        <v>2870</v>
      </c>
      <c r="H35" s="12">
        <v>30</v>
      </c>
      <c r="I35" s="12">
        <f t="shared" si="0"/>
        <v>2840</v>
      </c>
      <c r="J35" s="11" t="s">
        <v>119</v>
      </c>
      <c r="K35" s="11" t="s">
        <v>33</v>
      </c>
      <c r="L35" s="11" t="s">
        <v>811</v>
      </c>
      <c r="M35" s="24" t="s">
        <v>340</v>
      </c>
      <c r="N35" s="11"/>
      <c r="O35" s="11"/>
      <c r="P35" s="11"/>
      <c r="Q35" s="11">
        <v>1</v>
      </c>
      <c r="R35" s="5">
        <f>H35</f>
        <v>30</v>
      </c>
    </row>
    <row r="36" spans="1:18" x14ac:dyDescent="0.25">
      <c r="A36" s="11"/>
      <c r="B36" s="11" t="s">
        <v>27</v>
      </c>
      <c r="C36" s="11" t="s">
        <v>889</v>
      </c>
      <c r="D36" s="11" t="s">
        <v>890</v>
      </c>
      <c r="E36" s="11" t="s">
        <v>891</v>
      </c>
      <c r="F36" s="12">
        <v>10</v>
      </c>
      <c r="G36" s="12">
        <v>795</v>
      </c>
      <c r="H36" s="12">
        <v>25</v>
      </c>
      <c r="I36" s="12">
        <f t="shared" si="0"/>
        <v>770</v>
      </c>
      <c r="J36" s="11" t="s">
        <v>119</v>
      </c>
      <c r="K36" s="11" t="s">
        <v>33</v>
      </c>
      <c r="L36" s="11" t="s">
        <v>811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892</v>
      </c>
      <c r="D37" s="11" t="s">
        <v>893</v>
      </c>
      <c r="E37" s="11" t="s">
        <v>894</v>
      </c>
      <c r="F37" s="12">
        <v>1</v>
      </c>
      <c r="G37" s="12">
        <v>765</v>
      </c>
      <c r="H37" s="12">
        <v>25</v>
      </c>
      <c r="I37" s="12">
        <f t="shared" si="0"/>
        <v>740</v>
      </c>
      <c r="J37" s="11" t="s">
        <v>119</v>
      </c>
      <c r="K37" s="11" t="s">
        <v>33</v>
      </c>
      <c r="L37" s="11" t="s">
        <v>811</v>
      </c>
      <c r="M37" s="11"/>
      <c r="N37" s="11"/>
      <c r="O37" s="11"/>
      <c r="P37" s="11"/>
      <c r="Q37" s="11">
        <v>1</v>
      </c>
    </row>
    <row r="38" spans="1:18" s="2" customFormat="1" x14ac:dyDescent="0.25">
      <c r="A38" s="16"/>
      <c r="B38" s="16" t="s">
        <v>27</v>
      </c>
      <c r="C38" s="16" t="s">
        <v>895</v>
      </c>
      <c r="D38" s="16" t="s">
        <v>896</v>
      </c>
      <c r="E38" s="16" t="s">
        <v>897</v>
      </c>
      <c r="F38" s="17">
        <v>10</v>
      </c>
      <c r="G38" s="17">
        <v>0</v>
      </c>
      <c r="H38" s="17">
        <v>25</v>
      </c>
      <c r="I38" s="17">
        <f t="shared" si="0"/>
        <v>-25</v>
      </c>
      <c r="J38" s="16" t="s">
        <v>153</v>
      </c>
      <c r="K38" s="16" t="s">
        <v>33</v>
      </c>
      <c r="L38" s="16" t="s">
        <v>898</v>
      </c>
      <c r="M38" s="16" t="s">
        <v>155</v>
      </c>
      <c r="N38" s="16" t="s">
        <v>156</v>
      </c>
      <c r="O38" s="16" t="s">
        <v>156</v>
      </c>
      <c r="P38" s="16"/>
      <c r="Q38" s="17">
        <v>1</v>
      </c>
    </row>
    <row r="40" spans="1:18" x14ac:dyDescent="0.25">
      <c r="D40" s="1">
        <f>COUNTA(D3:D38)</f>
        <v>32</v>
      </c>
      <c r="G40" s="1">
        <f t="shared" ref="G40:Q40" si="1">SUBTOTAL(9,G3:G38)</f>
        <v>30615</v>
      </c>
      <c r="H40" s="1">
        <f t="shared" si="1"/>
        <v>1055</v>
      </c>
      <c r="I40" s="1">
        <f t="shared" si="1"/>
        <v>29560</v>
      </c>
      <c r="J40" s="1">
        <f t="shared" si="1"/>
        <v>0</v>
      </c>
      <c r="K40" s="1">
        <f t="shared" si="1"/>
        <v>0</v>
      </c>
      <c r="L40" s="1">
        <f t="shared" si="1"/>
        <v>0</v>
      </c>
      <c r="M40" s="1">
        <f t="shared" si="1"/>
        <v>0</v>
      </c>
      <c r="N40" s="1">
        <f t="shared" si="1"/>
        <v>0</v>
      </c>
      <c r="O40" s="1">
        <f t="shared" si="1"/>
        <v>0</v>
      </c>
      <c r="P40" s="1">
        <f t="shared" si="1"/>
        <v>0</v>
      </c>
      <c r="Q40" s="1">
        <f t="shared" si="1"/>
        <v>36</v>
      </c>
    </row>
    <row r="41" spans="1:18" x14ac:dyDescent="0.25">
      <c r="H41">
        <f>-5*17</f>
        <v>-85</v>
      </c>
    </row>
    <row r="42" spans="1:18" x14ac:dyDescent="0.25">
      <c r="A42" s="1" t="s">
        <v>27</v>
      </c>
      <c r="C42" s="60" t="s">
        <v>158</v>
      </c>
      <c r="D42" s="60"/>
      <c r="E42" s="4" t="s">
        <v>159</v>
      </c>
      <c r="H42">
        <f>-5*25</f>
        <v>-125</v>
      </c>
      <c r="K42" s="6" t="s">
        <v>119</v>
      </c>
      <c r="L42" s="6" t="s">
        <v>160</v>
      </c>
      <c r="M42" s="6" t="s">
        <v>159</v>
      </c>
      <c r="O42" s="4" t="s">
        <v>161</v>
      </c>
    </row>
    <row r="43" spans="1:18" x14ac:dyDescent="0.25">
      <c r="A43" t="s">
        <v>811</v>
      </c>
      <c r="B43" s="3" t="s">
        <v>162</v>
      </c>
      <c r="C43" s="61">
        <f>SUMIFS(I$3:I$38,B$3:B$38,A$42,L$3:L$38,A$43)</f>
        <v>29585</v>
      </c>
      <c r="D43" s="61"/>
      <c r="E43" s="3">
        <f>SUMIFS(Q$3:Q$38,B$3:B$38,A$42,L$3:L$38,A$43)</f>
        <v>35</v>
      </c>
      <c r="F43" t="s">
        <v>163</v>
      </c>
      <c r="H43">
        <f>-3*30</f>
        <v>-90</v>
      </c>
      <c r="K43" t="s">
        <v>164</v>
      </c>
      <c r="L43">
        <f>SUMIFS(G$3:G$38,J$3:J$38,K$42)</f>
        <v>7770</v>
      </c>
      <c r="M43">
        <f>SUMIFS(Q$3:Q$38,J$3:J$38,K$42)-INT(COUNTIFS(J$3:J$38,K$42,M$3:M$38,"*gộp*")/2)</f>
        <v>8</v>
      </c>
      <c r="O43" t="s">
        <v>119</v>
      </c>
      <c r="P43">
        <f>L48</f>
        <v>7625</v>
      </c>
    </row>
    <row r="44" spans="1:18" x14ac:dyDescent="0.25">
      <c r="B44" s="2" t="s">
        <v>166</v>
      </c>
      <c r="C44" s="62">
        <v>0</v>
      </c>
      <c r="D44" s="62"/>
      <c r="K44" t="s">
        <v>167</v>
      </c>
      <c r="L44">
        <f>-SUMIFS(H$3:H$38,J$3:J$38,K$42)+M44*5</f>
        <v>-165</v>
      </c>
      <c r="M44">
        <f>SUMIFS(Q$3:Q$38,J$3:J$38,K$42)-INT(COUNTIFS(J$3:J$38,K$42,M$3:M$38,"*gộp*")/2)</f>
        <v>8</v>
      </c>
      <c r="O44" t="s">
        <v>33</v>
      </c>
      <c r="P44">
        <f>L56</f>
        <v>11217</v>
      </c>
    </row>
    <row r="45" spans="1:18" x14ac:dyDescent="0.25">
      <c r="B45" s="2" t="s">
        <v>168</v>
      </c>
      <c r="C45" s="62">
        <f>-SUMIFS(I$3:I$38,B$3:B$38,A$42,P$3:P$38,"xx",N$3:N$38,"x")</f>
        <v>0</v>
      </c>
      <c r="D45" s="62"/>
      <c r="E45" s="2">
        <f>SUMIFS(Q$3:Q$38,B$3:B$38,A$42,P$3:P$38,"xx",N$3:N$38,"x")</f>
        <v>0</v>
      </c>
      <c r="K45" t="s">
        <v>169</v>
      </c>
      <c r="O45" t="s">
        <v>899</v>
      </c>
      <c r="P45">
        <f>L64</f>
        <v>10910</v>
      </c>
    </row>
    <row r="46" spans="1:18" x14ac:dyDescent="0.25">
      <c r="B46" s="4" t="s">
        <v>170</v>
      </c>
      <c r="C46" s="60">
        <f>SUBTOTAL(9,C43:C45)</f>
        <v>29585</v>
      </c>
      <c r="D46" s="60"/>
      <c r="E46">
        <f>E43</f>
        <v>35</v>
      </c>
      <c r="K46" s="7" t="s">
        <v>155</v>
      </c>
      <c r="L46" s="18">
        <v>20</v>
      </c>
      <c r="M46" s="18" t="s">
        <v>178</v>
      </c>
      <c r="O46" t="s">
        <v>171</v>
      </c>
      <c r="P46">
        <f>-C50</f>
        <v>-29585</v>
      </c>
    </row>
    <row r="47" spans="1:18" x14ac:dyDescent="0.25">
      <c r="B47" s="2" t="s">
        <v>172</v>
      </c>
      <c r="C47" s="58"/>
      <c r="D47" s="58"/>
      <c r="K47" s="2" t="s">
        <v>173</v>
      </c>
      <c r="O47" s="4" t="s">
        <v>174</v>
      </c>
      <c r="P47" s="4">
        <f>SUBTOTAL(9,P43:P46)</f>
        <v>167</v>
      </c>
    </row>
    <row r="48" spans="1:18" x14ac:dyDescent="0.25">
      <c r="B48" s="8" t="s">
        <v>175</v>
      </c>
      <c r="C48" s="58"/>
      <c r="D48" s="58"/>
      <c r="L48" s="9">
        <f>SUBTOTAL(9,L43:L47)</f>
        <v>7625</v>
      </c>
      <c r="M48" s="9">
        <f>M43</f>
        <v>8</v>
      </c>
    </row>
    <row r="50" spans="2:13" x14ac:dyDescent="0.25">
      <c r="B50" s="1" t="s">
        <v>176</v>
      </c>
      <c r="C50" s="59">
        <f>C46+C47+C48</f>
        <v>29585</v>
      </c>
      <c r="D50" s="59"/>
      <c r="E50" s="1" t="s">
        <v>177</v>
      </c>
      <c r="K50" s="6" t="s">
        <v>33</v>
      </c>
      <c r="L50" s="6" t="s">
        <v>160</v>
      </c>
      <c r="M50" s="6" t="s">
        <v>159</v>
      </c>
    </row>
    <row r="51" spans="2:13" x14ac:dyDescent="0.25">
      <c r="K51" t="s">
        <v>164</v>
      </c>
      <c r="L51">
        <f>SUMIFS(G$3:G$38,J$3:J$38,K$50)</f>
        <v>11635</v>
      </c>
      <c r="M51">
        <f>SUMIFS(Q$3:Q$38,J$3:J$38,K$50)-INT(COUNTIFS(J$3:J$38,K$50,M$3:M$38,"*gộp*")/2)</f>
        <v>14</v>
      </c>
    </row>
    <row r="52" spans="2:13" x14ac:dyDescent="0.25">
      <c r="K52" t="s">
        <v>167</v>
      </c>
      <c r="L52">
        <f>-SUMIFS(H$3:H$38,J$3:J$38,K$50)+M52*5</f>
        <v>-350</v>
      </c>
      <c r="M52">
        <f>SUMIFS(Q$3:Q$38,J$3:J$38,K$50)-INT(COUNTIFS(J$3:J$38,K$50,M$3:M$38,"*gộp*")/2)</f>
        <v>14</v>
      </c>
    </row>
    <row r="53" spans="2:13" x14ac:dyDescent="0.25">
      <c r="K53" t="s">
        <v>169</v>
      </c>
      <c r="L53">
        <f>-M53*2</f>
        <v>-68</v>
      </c>
      <c r="M53">
        <f>E46-(COUNTIFS(M$3:M$38,"*gộp*")/2)-COUNTIFS(M$3:M$38,"*đơn trả*")-COUNTIFS(M$3:M$38,"*hàng tỉnh*")</f>
        <v>34</v>
      </c>
    </row>
    <row r="54" spans="2:13" x14ac:dyDescent="0.25">
      <c r="K54" s="7" t="s">
        <v>155</v>
      </c>
    </row>
    <row r="55" spans="2:13" x14ac:dyDescent="0.25">
      <c r="K55" s="2" t="s">
        <v>173</v>
      </c>
    </row>
    <row r="56" spans="2:13" x14ac:dyDescent="0.25">
      <c r="L56" s="9">
        <f>SUBTOTAL(9,L51:L55)</f>
        <v>11217</v>
      </c>
      <c r="M56" s="9">
        <f>M51</f>
        <v>14</v>
      </c>
    </row>
    <row r="58" spans="2:13" x14ac:dyDescent="0.25">
      <c r="K58" s="6" t="s">
        <v>810</v>
      </c>
      <c r="L58" s="6" t="s">
        <v>160</v>
      </c>
      <c r="M58" s="6" t="s">
        <v>159</v>
      </c>
    </row>
    <row r="59" spans="2:13" x14ac:dyDescent="0.25">
      <c r="K59" t="s">
        <v>164</v>
      </c>
      <c r="L59">
        <f>SUMIFS(G$3:G$38,J$3:J$38,K$58)</f>
        <v>11210</v>
      </c>
      <c r="M59">
        <f>SUMIFS(Q$3:Q$38,J$3:J$38,K$58)-INT(COUNTIFS(J$3:J$38,K$58,M$3:M$38,"*gộp*")/2)</f>
        <v>13</v>
      </c>
    </row>
    <row r="60" spans="2:13" x14ac:dyDescent="0.25">
      <c r="K60" t="s">
        <v>167</v>
      </c>
      <c r="L60">
        <f>SUM(H41:H43)</f>
        <v>-300</v>
      </c>
      <c r="M60">
        <f>SUMIFS(Q$3:Q$38,J$3:J$38,K$58)-INT(COUNTIFS(J$3:J$38,K$58,M$3:M$38,"*gộp*")/2)</f>
        <v>13</v>
      </c>
    </row>
    <row r="61" spans="2:13" x14ac:dyDescent="0.25">
      <c r="K61" t="s">
        <v>169</v>
      </c>
    </row>
    <row r="62" spans="2:13" x14ac:dyDescent="0.25">
      <c r="K62" s="7" t="s">
        <v>155</v>
      </c>
    </row>
    <row r="63" spans="2:13" x14ac:dyDescent="0.25">
      <c r="K63" s="2" t="s">
        <v>173</v>
      </c>
    </row>
    <row r="64" spans="2:13" x14ac:dyDescent="0.25">
      <c r="L64" s="9">
        <f>SUBTOTAL(9,L59:L63)</f>
        <v>10910</v>
      </c>
      <c r="M64" s="9">
        <f>M59</f>
        <v>13</v>
      </c>
    </row>
  </sheetData>
  <autoFilter ref="A2:P38" xr:uid="{00000000-0009-0000-0000-00000A000000}">
    <sortState xmlns:xlrd2="http://schemas.microsoft.com/office/spreadsheetml/2017/richdata2" ref="A3:P38">
      <sortCondition ref="J2:J38"/>
    </sortState>
  </autoFilter>
  <mergeCells count="8">
    <mergeCell ref="C47:D47"/>
    <mergeCell ref="C48:D48"/>
    <mergeCell ref="C50:D50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R67"/>
  <sheetViews>
    <sheetView topLeftCell="A2" workbookViewId="0">
      <selection activeCell="M11" sqref="M11"/>
    </sheetView>
  </sheetViews>
  <sheetFormatPr defaultRowHeight="15" x14ac:dyDescent="0.25"/>
  <cols>
    <col min="1" max="1" width="12.7109375" customWidth="1"/>
    <col min="2" max="2" width="8.28515625" customWidth="1"/>
    <col min="3" max="3" width="36.140625" customWidth="1"/>
    <col min="4" max="4" width="9.85546875" customWidth="1"/>
    <col min="5" max="5" width="52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9.5703125" bestFit="1" customWidth="1"/>
    <col min="12" max="12" width="10.42578125" customWidth="1"/>
    <col min="13" max="13" width="19.570312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s="15" customFormat="1" x14ac:dyDescent="0.25">
      <c r="A3" s="13"/>
      <c r="B3" s="13" t="s">
        <v>27</v>
      </c>
      <c r="C3" s="13" t="s">
        <v>819</v>
      </c>
      <c r="D3" s="13" t="s">
        <v>900</v>
      </c>
      <c r="E3" s="13" t="s">
        <v>821</v>
      </c>
      <c r="F3" s="13" t="s">
        <v>48</v>
      </c>
      <c r="G3" s="14">
        <v>30</v>
      </c>
      <c r="H3" s="14">
        <v>30</v>
      </c>
      <c r="I3" s="14">
        <f t="shared" ref="I3:I40" si="0">G3-H3</f>
        <v>0</v>
      </c>
      <c r="J3" s="13" t="s">
        <v>901</v>
      </c>
      <c r="K3" s="13" t="s">
        <v>33</v>
      </c>
      <c r="L3" s="13" t="s">
        <v>902</v>
      </c>
      <c r="M3" s="13" t="s">
        <v>100</v>
      </c>
      <c r="N3" s="13"/>
      <c r="O3" s="13"/>
      <c r="P3" s="13"/>
      <c r="Q3" s="13">
        <v>1</v>
      </c>
    </row>
    <row r="4" spans="1:18" x14ac:dyDescent="0.25">
      <c r="A4" s="11"/>
      <c r="B4" s="11" t="s">
        <v>27</v>
      </c>
      <c r="C4" s="11" t="s">
        <v>903</v>
      </c>
      <c r="D4" s="11" t="s">
        <v>904</v>
      </c>
      <c r="E4" s="11" t="s">
        <v>905</v>
      </c>
      <c r="F4" s="12">
        <v>6</v>
      </c>
      <c r="G4" s="12">
        <v>885</v>
      </c>
      <c r="H4" s="12">
        <v>25</v>
      </c>
      <c r="I4" s="12">
        <f t="shared" si="0"/>
        <v>860</v>
      </c>
      <c r="J4" s="11" t="s">
        <v>901</v>
      </c>
      <c r="K4" s="11" t="s">
        <v>33</v>
      </c>
      <c r="L4" s="11" t="s">
        <v>902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906</v>
      </c>
      <c r="D5" s="11" t="s">
        <v>907</v>
      </c>
      <c r="E5" s="11" t="s">
        <v>908</v>
      </c>
      <c r="F5" s="11" t="s">
        <v>48</v>
      </c>
      <c r="G5" s="12">
        <v>520</v>
      </c>
      <c r="H5" s="12">
        <v>30</v>
      </c>
      <c r="I5" s="12">
        <f t="shared" si="0"/>
        <v>490</v>
      </c>
      <c r="J5" s="11" t="s">
        <v>901</v>
      </c>
      <c r="K5" s="11" t="s">
        <v>33</v>
      </c>
      <c r="L5" s="11" t="s">
        <v>902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909</v>
      </c>
      <c r="D6" s="11" t="s">
        <v>910</v>
      </c>
      <c r="E6" s="11" t="s">
        <v>911</v>
      </c>
      <c r="F6" s="12">
        <v>8</v>
      </c>
      <c r="G6" s="12">
        <v>920</v>
      </c>
      <c r="H6" s="12">
        <v>30</v>
      </c>
      <c r="I6" s="12">
        <f t="shared" si="0"/>
        <v>890</v>
      </c>
      <c r="J6" s="11" t="s">
        <v>901</v>
      </c>
      <c r="K6" s="11" t="s">
        <v>33</v>
      </c>
      <c r="L6" s="11" t="s">
        <v>902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912</v>
      </c>
      <c r="D7" s="11" t="s">
        <v>913</v>
      </c>
      <c r="E7" s="11" t="s">
        <v>914</v>
      </c>
      <c r="F7" s="12">
        <v>7</v>
      </c>
      <c r="G7" s="12">
        <v>910</v>
      </c>
      <c r="H7" s="12">
        <v>30</v>
      </c>
      <c r="I7" s="12">
        <f t="shared" si="0"/>
        <v>880</v>
      </c>
      <c r="J7" s="11" t="s">
        <v>901</v>
      </c>
      <c r="K7" s="11" t="s">
        <v>33</v>
      </c>
      <c r="L7" s="11" t="s">
        <v>902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915</v>
      </c>
      <c r="D8" s="11" t="s">
        <v>916</v>
      </c>
      <c r="E8" s="11" t="s">
        <v>917</v>
      </c>
      <c r="F8" s="11" t="s">
        <v>48</v>
      </c>
      <c r="G8" s="12">
        <v>0</v>
      </c>
      <c r="H8" s="12">
        <v>30</v>
      </c>
      <c r="I8" s="12">
        <f t="shared" si="0"/>
        <v>-30</v>
      </c>
      <c r="J8" s="11" t="s">
        <v>901</v>
      </c>
      <c r="K8" s="11" t="s">
        <v>33</v>
      </c>
      <c r="L8" s="11" t="s">
        <v>902</v>
      </c>
      <c r="M8" s="11"/>
      <c r="N8" s="11"/>
      <c r="O8" s="11"/>
      <c r="P8" s="11"/>
      <c r="Q8" s="11">
        <v>1</v>
      </c>
      <c r="R8" s="5">
        <f>H8</f>
        <v>30</v>
      </c>
    </row>
    <row r="9" spans="1:18" x14ac:dyDescent="0.25">
      <c r="A9" s="11"/>
      <c r="B9" s="11" t="s">
        <v>27</v>
      </c>
      <c r="C9" s="11" t="s">
        <v>918</v>
      </c>
      <c r="D9" s="11" t="s">
        <v>919</v>
      </c>
      <c r="E9" s="11" t="s">
        <v>920</v>
      </c>
      <c r="F9" s="11" t="s">
        <v>55</v>
      </c>
      <c r="G9" s="12">
        <v>895</v>
      </c>
      <c r="H9" s="12">
        <v>35</v>
      </c>
      <c r="I9" s="12">
        <f t="shared" si="0"/>
        <v>860</v>
      </c>
      <c r="J9" s="11" t="s">
        <v>901</v>
      </c>
      <c r="K9" s="11" t="s">
        <v>33</v>
      </c>
      <c r="L9" s="11" t="s">
        <v>902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921</v>
      </c>
      <c r="D10" s="11" t="s">
        <v>922</v>
      </c>
      <c r="E10" s="11" t="s">
        <v>923</v>
      </c>
      <c r="F10" s="11" t="s">
        <v>48</v>
      </c>
      <c r="G10" s="12">
        <v>1580</v>
      </c>
      <c r="H10" s="12">
        <v>30</v>
      </c>
      <c r="I10" s="12">
        <f t="shared" si="0"/>
        <v>1550</v>
      </c>
      <c r="J10" s="11" t="s">
        <v>901</v>
      </c>
      <c r="K10" s="11" t="s">
        <v>33</v>
      </c>
      <c r="L10" s="11" t="s">
        <v>902</v>
      </c>
      <c r="M10" s="11"/>
      <c r="N10" s="11"/>
      <c r="O10" s="11"/>
      <c r="P10" s="11"/>
      <c r="Q10" s="11">
        <v>1</v>
      </c>
    </row>
    <row r="11" spans="1:18" s="25" customFormat="1" x14ac:dyDescent="0.25">
      <c r="A11" s="26"/>
      <c r="B11" s="26" t="s">
        <v>27</v>
      </c>
      <c r="C11" s="26" t="s">
        <v>886</v>
      </c>
      <c r="D11" s="26" t="s">
        <v>887</v>
      </c>
      <c r="E11" s="26" t="s">
        <v>888</v>
      </c>
      <c r="F11" s="26" t="s">
        <v>44</v>
      </c>
      <c r="G11" s="27">
        <v>2870</v>
      </c>
      <c r="H11" s="27">
        <v>30</v>
      </c>
      <c r="I11" s="27">
        <f t="shared" si="0"/>
        <v>2840</v>
      </c>
      <c r="J11" s="26" t="s">
        <v>901</v>
      </c>
      <c r="K11" s="26" t="s">
        <v>33</v>
      </c>
      <c r="L11" s="26" t="s">
        <v>811</v>
      </c>
      <c r="M11" s="26" t="s">
        <v>924</v>
      </c>
      <c r="N11" s="26"/>
      <c r="O11" s="26"/>
      <c r="P11" s="26"/>
      <c r="Q11" s="26">
        <v>1</v>
      </c>
    </row>
    <row r="12" spans="1:18" x14ac:dyDescent="0.25">
      <c r="A12" s="11" t="s">
        <v>59</v>
      </c>
      <c r="B12" s="11" t="s">
        <v>27</v>
      </c>
      <c r="C12" s="11" t="s">
        <v>925</v>
      </c>
      <c r="D12" s="11"/>
      <c r="E12" s="11" t="s">
        <v>926</v>
      </c>
      <c r="F12" s="12">
        <v>9</v>
      </c>
      <c r="G12" s="12">
        <v>355</v>
      </c>
      <c r="H12" s="12">
        <v>35</v>
      </c>
      <c r="I12" s="12">
        <f t="shared" si="0"/>
        <v>320</v>
      </c>
      <c r="J12" s="11" t="s">
        <v>33</v>
      </c>
      <c r="K12" s="11" t="s">
        <v>33</v>
      </c>
      <c r="L12" s="11" t="s">
        <v>902</v>
      </c>
      <c r="M12" s="11"/>
      <c r="N12" s="11"/>
      <c r="O12" s="11"/>
      <c r="P12" s="11"/>
      <c r="Q12" s="11">
        <v>1</v>
      </c>
    </row>
    <row r="13" spans="1:18" x14ac:dyDescent="0.25">
      <c r="A13" s="11" t="s">
        <v>59</v>
      </c>
      <c r="B13" s="11" t="s">
        <v>27</v>
      </c>
      <c r="C13" s="11" t="s">
        <v>927</v>
      </c>
      <c r="D13" s="11"/>
      <c r="E13" s="11" t="s">
        <v>928</v>
      </c>
      <c r="F13" s="11" t="s">
        <v>44</v>
      </c>
      <c r="G13" s="12">
        <v>30</v>
      </c>
      <c r="H13" s="12">
        <v>30</v>
      </c>
      <c r="I13" s="12">
        <f t="shared" si="0"/>
        <v>0</v>
      </c>
      <c r="J13" s="11" t="s">
        <v>33</v>
      </c>
      <c r="K13" s="11" t="s">
        <v>33</v>
      </c>
      <c r="L13" s="11" t="s">
        <v>902</v>
      </c>
      <c r="M13" s="11"/>
      <c r="N13" s="11"/>
      <c r="O13" s="11"/>
      <c r="P13" s="11"/>
      <c r="Q13" s="11">
        <v>1</v>
      </c>
    </row>
    <row r="14" spans="1:18" x14ac:dyDescent="0.25">
      <c r="A14" s="11" t="s">
        <v>59</v>
      </c>
      <c r="B14" s="11" t="s">
        <v>27</v>
      </c>
      <c r="C14" s="11" t="s">
        <v>107</v>
      </c>
      <c r="D14" s="11"/>
      <c r="E14" s="11" t="s">
        <v>108</v>
      </c>
      <c r="F14" s="11" t="s">
        <v>68</v>
      </c>
      <c r="G14" s="12">
        <v>1710</v>
      </c>
      <c r="H14" s="12">
        <v>30</v>
      </c>
      <c r="I14" s="12">
        <f t="shared" si="0"/>
        <v>1680</v>
      </c>
      <c r="J14" s="11" t="s">
        <v>33</v>
      </c>
      <c r="K14" s="11" t="s">
        <v>33</v>
      </c>
      <c r="L14" s="11" t="s">
        <v>902</v>
      </c>
      <c r="M14" s="11"/>
      <c r="N14" s="11"/>
      <c r="O14" s="11"/>
      <c r="P14" s="11"/>
      <c r="Q14" s="11">
        <v>1</v>
      </c>
    </row>
    <row r="15" spans="1:18" x14ac:dyDescent="0.25">
      <c r="A15" s="11" t="s">
        <v>59</v>
      </c>
      <c r="B15" s="11" t="s">
        <v>27</v>
      </c>
      <c r="C15" s="11" t="s">
        <v>105</v>
      </c>
      <c r="D15" s="11"/>
      <c r="E15" s="11" t="s">
        <v>106</v>
      </c>
      <c r="F15" s="11" t="s">
        <v>68</v>
      </c>
      <c r="G15" s="12">
        <v>30</v>
      </c>
      <c r="H15" s="12">
        <v>30</v>
      </c>
      <c r="I15" s="12">
        <f t="shared" si="0"/>
        <v>0</v>
      </c>
      <c r="J15" s="11" t="s">
        <v>33</v>
      </c>
      <c r="K15" s="11" t="s">
        <v>33</v>
      </c>
      <c r="L15" s="11" t="s">
        <v>902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557</v>
      </c>
      <c r="D16" s="11" t="s">
        <v>929</v>
      </c>
      <c r="E16" s="11" t="s">
        <v>559</v>
      </c>
      <c r="F16" s="12">
        <v>9</v>
      </c>
      <c r="G16" s="12">
        <v>960</v>
      </c>
      <c r="H16" s="12">
        <v>30</v>
      </c>
      <c r="I16" s="12">
        <f t="shared" si="0"/>
        <v>930</v>
      </c>
      <c r="J16" s="11" t="s">
        <v>33</v>
      </c>
      <c r="K16" s="11" t="s">
        <v>33</v>
      </c>
      <c r="L16" s="11" t="s">
        <v>902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930</v>
      </c>
      <c r="D17" s="11" t="s">
        <v>931</v>
      </c>
      <c r="E17" s="11" t="s">
        <v>932</v>
      </c>
      <c r="F17" s="11" t="s">
        <v>104</v>
      </c>
      <c r="G17" s="12">
        <v>0</v>
      </c>
      <c r="H17" s="12">
        <v>30</v>
      </c>
      <c r="I17" s="12">
        <f t="shared" si="0"/>
        <v>-30</v>
      </c>
      <c r="J17" s="11" t="s">
        <v>33</v>
      </c>
      <c r="K17" s="11" t="s">
        <v>33</v>
      </c>
      <c r="L17" s="11" t="s">
        <v>902</v>
      </c>
      <c r="M17" s="11"/>
      <c r="N17" s="11"/>
      <c r="O17" s="11"/>
      <c r="P17" s="11"/>
      <c r="Q17" s="11">
        <v>1</v>
      </c>
      <c r="R17" s="5">
        <f>H17</f>
        <v>30</v>
      </c>
    </row>
    <row r="18" spans="1:18" x14ac:dyDescent="0.25">
      <c r="A18" s="11"/>
      <c r="B18" s="11" t="s">
        <v>27</v>
      </c>
      <c r="C18" s="11" t="s">
        <v>933</v>
      </c>
      <c r="D18" s="11" t="s">
        <v>934</v>
      </c>
      <c r="E18" s="11" t="s">
        <v>935</v>
      </c>
      <c r="F18" s="11" t="s">
        <v>44</v>
      </c>
      <c r="G18" s="12">
        <v>815</v>
      </c>
      <c r="H18" s="12">
        <v>25</v>
      </c>
      <c r="I18" s="12">
        <f t="shared" si="0"/>
        <v>790</v>
      </c>
      <c r="J18" s="11" t="s">
        <v>33</v>
      </c>
      <c r="K18" s="11" t="s">
        <v>33</v>
      </c>
      <c r="L18" s="11" t="s">
        <v>902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936</v>
      </c>
      <c r="D19" s="11" t="s">
        <v>937</v>
      </c>
      <c r="E19" s="11" t="s">
        <v>938</v>
      </c>
      <c r="F19" s="12">
        <v>2</v>
      </c>
      <c r="G19" s="12">
        <v>0</v>
      </c>
      <c r="H19" s="12">
        <v>30</v>
      </c>
      <c r="I19" s="12">
        <f t="shared" si="0"/>
        <v>-30</v>
      </c>
      <c r="J19" s="11" t="s">
        <v>33</v>
      </c>
      <c r="K19" s="11" t="s">
        <v>33</v>
      </c>
      <c r="L19" s="11" t="s">
        <v>902</v>
      </c>
      <c r="M19" s="11"/>
      <c r="N19" s="11"/>
      <c r="O19" s="11"/>
      <c r="P19" s="11"/>
      <c r="Q19" s="11">
        <v>1</v>
      </c>
      <c r="R19" s="5">
        <f>H19</f>
        <v>30</v>
      </c>
    </row>
    <row r="20" spans="1:18" x14ac:dyDescent="0.25">
      <c r="A20" s="11"/>
      <c r="B20" s="11" t="s">
        <v>27</v>
      </c>
      <c r="C20" s="11" t="s">
        <v>939</v>
      </c>
      <c r="D20" s="11" t="s">
        <v>940</v>
      </c>
      <c r="E20" s="11" t="s">
        <v>941</v>
      </c>
      <c r="F20" s="12">
        <v>2</v>
      </c>
      <c r="G20" s="12">
        <v>920</v>
      </c>
      <c r="H20" s="12">
        <v>30</v>
      </c>
      <c r="I20" s="12">
        <f t="shared" si="0"/>
        <v>890</v>
      </c>
      <c r="J20" s="11" t="s">
        <v>33</v>
      </c>
      <c r="K20" s="11" t="s">
        <v>33</v>
      </c>
      <c r="L20" s="11" t="s">
        <v>902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486</v>
      </c>
      <c r="D21" s="11" t="s">
        <v>942</v>
      </c>
      <c r="E21" s="11" t="s">
        <v>488</v>
      </c>
      <c r="F21" s="11" t="s">
        <v>78</v>
      </c>
      <c r="G21" s="12">
        <v>0</v>
      </c>
      <c r="H21" s="12">
        <v>20</v>
      </c>
      <c r="I21" s="12">
        <f t="shared" si="0"/>
        <v>-20</v>
      </c>
      <c r="J21" s="11" t="s">
        <v>33</v>
      </c>
      <c r="K21" s="11" t="s">
        <v>33</v>
      </c>
      <c r="L21" s="11" t="s">
        <v>902</v>
      </c>
      <c r="M21" s="11"/>
      <c r="N21" s="11"/>
      <c r="O21" s="11"/>
      <c r="P21" s="11"/>
      <c r="Q21" s="11">
        <v>1</v>
      </c>
      <c r="R21" s="5">
        <f>H21</f>
        <v>20</v>
      </c>
    </row>
    <row r="22" spans="1:18" x14ac:dyDescent="0.25">
      <c r="A22" s="11"/>
      <c r="B22" s="11" t="s">
        <v>27</v>
      </c>
      <c r="C22" s="11" t="s">
        <v>943</v>
      </c>
      <c r="D22" s="11" t="s">
        <v>944</v>
      </c>
      <c r="E22" s="11" t="s">
        <v>945</v>
      </c>
      <c r="F22" s="11" t="s">
        <v>78</v>
      </c>
      <c r="G22" s="12">
        <v>0</v>
      </c>
      <c r="H22" s="12">
        <v>20</v>
      </c>
      <c r="I22" s="12">
        <f t="shared" si="0"/>
        <v>-20</v>
      </c>
      <c r="J22" s="11" t="s">
        <v>33</v>
      </c>
      <c r="K22" s="11" t="s">
        <v>33</v>
      </c>
      <c r="L22" s="11" t="s">
        <v>902</v>
      </c>
      <c r="M22" s="11"/>
      <c r="N22" s="11"/>
      <c r="O22" s="11"/>
      <c r="P22" s="11"/>
      <c r="Q22" s="11">
        <v>1</v>
      </c>
      <c r="R22" s="5">
        <f>H22</f>
        <v>20</v>
      </c>
    </row>
    <row r="23" spans="1:18" x14ac:dyDescent="0.25">
      <c r="A23" s="11"/>
      <c r="B23" s="11" t="s">
        <v>27</v>
      </c>
      <c r="C23" s="11" t="s">
        <v>473</v>
      </c>
      <c r="D23" s="11" t="s">
        <v>946</v>
      </c>
      <c r="E23" s="11" t="s">
        <v>947</v>
      </c>
      <c r="F23" s="11" t="s">
        <v>68</v>
      </c>
      <c r="G23" s="12">
        <v>715</v>
      </c>
      <c r="H23" s="12">
        <v>25</v>
      </c>
      <c r="I23" s="12">
        <f t="shared" si="0"/>
        <v>690</v>
      </c>
      <c r="J23" s="11" t="s">
        <v>33</v>
      </c>
      <c r="K23" s="11" t="s">
        <v>33</v>
      </c>
      <c r="L23" s="11" t="s">
        <v>902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948</v>
      </c>
      <c r="D24" s="11" t="s">
        <v>949</v>
      </c>
      <c r="E24" s="11" t="s">
        <v>950</v>
      </c>
      <c r="F24" s="12">
        <v>2</v>
      </c>
      <c r="G24" s="12">
        <v>30</v>
      </c>
      <c r="H24" s="12">
        <v>30</v>
      </c>
      <c r="I24" s="12">
        <f t="shared" si="0"/>
        <v>0</v>
      </c>
      <c r="J24" s="11" t="s">
        <v>33</v>
      </c>
      <c r="K24" s="11" t="s">
        <v>33</v>
      </c>
      <c r="L24" s="11" t="s">
        <v>902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951</v>
      </c>
      <c r="D25" s="11" t="s">
        <v>952</v>
      </c>
      <c r="E25" s="11" t="s">
        <v>953</v>
      </c>
      <c r="F25" s="11" t="s">
        <v>104</v>
      </c>
      <c r="G25" s="12">
        <v>920</v>
      </c>
      <c r="H25" s="12">
        <v>30</v>
      </c>
      <c r="I25" s="12">
        <f t="shared" si="0"/>
        <v>890</v>
      </c>
      <c r="J25" s="11" t="s">
        <v>33</v>
      </c>
      <c r="K25" s="11" t="s">
        <v>33</v>
      </c>
      <c r="L25" s="11" t="s">
        <v>902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954</v>
      </c>
      <c r="D26" s="11" t="s">
        <v>955</v>
      </c>
      <c r="E26" s="11" t="s">
        <v>956</v>
      </c>
      <c r="F26" s="12">
        <v>12</v>
      </c>
      <c r="G26" s="12">
        <v>820</v>
      </c>
      <c r="H26" s="12">
        <v>30</v>
      </c>
      <c r="I26" s="12">
        <f t="shared" si="0"/>
        <v>790</v>
      </c>
      <c r="J26" s="11" t="s">
        <v>33</v>
      </c>
      <c r="K26" s="11" t="s">
        <v>33</v>
      </c>
      <c r="L26" s="11" t="s">
        <v>902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957</v>
      </c>
      <c r="D27" s="11" t="s">
        <v>958</v>
      </c>
      <c r="E27" s="11" t="s">
        <v>959</v>
      </c>
      <c r="F27" s="12">
        <v>9</v>
      </c>
      <c r="G27" s="12">
        <v>920</v>
      </c>
      <c r="H27" s="12">
        <v>30</v>
      </c>
      <c r="I27" s="12">
        <f t="shared" si="0"/>
        <v>890</v>
      </c>
      <c r="J27" s="11" t="s">
        <v>33</v>
      </c>
      <c r="K27" s="11" t="s">
        <v>33</v>
      </c>
      <c r="L27" s="11" t="s">
        <v>902</v>
      </c>
      <c r="M27" s="11"/>
      <c r="N27" s="11"/>
      <c r="O27" s="11"/>
      <c r="P27" s="11"/>
      <c r="Q27" s="11">
        <v>1</v>
      </c>
    </row>
    <row r="28" spans="1:18" s="15" customFormat="1" x14ac:dyDescent="0.25">
      <c r="A28" s="13"/>
      <c r="B28" s="13" t="s">
        <v>27</v>
      </c>
      <c r="C28" s="13" t="s">
        <v>960</v>
      </c>
      <c r="D28" s="13" t="s">
        <v>961</v>
      </c>
      <c r="E28" s="13" t="s">
        <v>962</v>
      </c>
      <c r="F28" s="14">
        <v>2</v>
      </c>
      <c r="G28" s="14">
        <v>0</v>
      </c>
      <c r="H28" s="14">
        <v>30</v>
      </c>
      <c r="I28" s="14">
        <f t="shared" si="0"/>
        <v>-30</v>
      </c>
      <c r="J28" s="13" t="s">
        <v>33</v>
      </c>
      <c r="K28" s="13" t="s">
        <v>33</v>
      </c>
      <c r="L28" s="13" t="s">
        <v>902</v>
      </c>
      <c r="M28" s="13" t="s">
        <v>100</v>
      </c>
      <c r="N28" s="13"/>
      <c r="O28" s="13"/>
      <c r="P28" s="13"/>
      <c r="Q28" s="13">
        <v>1</v>
      </c>
      <c r="R28" s="19">
        <f>H28</f>
        <v>30</v>
      </c>
    </row>
    <row r="29" spans="1:18" x14ac:dyDescent="0.25">
      <c r="A29" s="11"/>
      <c r="B29" s="11" t="s">
        <v>27</v>
      </c>
      <c r="C29" s="11" t="s">
        <v>963</v>
      </c>
      <c r="D29" s="11" t="s">
        <v>964</v>
      </c>
      <c r="E29" s="11" t="s">
        <v>965</v>
      </c>
      <c r="F29" s="12">
        <v>3</v>
      </c>
      <c r="G29" s="12">
        <v>785</v>
      </c>
      <c r="H29" s="12">
        <v>25</v>
      </c>
      <c r="I29" s="12">
        <f t="shared" si="0"/>
        <v>760</v>
      </c>
      <c r="J29" s="11" t="s">
        <v>119</v>
      </c>
      <c r="K29" s="11" t="s">
        <v>33</v>
      </c>
      <c r="L29" s="11" t="s">
        <v>902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966</v>
      </c>
      <c r="D30" s="11" t="s">
        <v>967</v>
      </c>
      <c r="E30" s="11" t="s">
        <v>968</v>
      </c>
      <c r="F30" s="12">
        <v>5</v>
      </c>
      <c r="G30" s="12">
        <v>0</v>
      </c>
      <c r="H30" s="12">
        <v>25</v>
      </c>
      <c r="I30" s="12">
        <f t="shared" si="0"/>
        <v>-25</v>
      </c>
      <c r="J30" s="11" t="s">
        <v>119</v>
      </c>
      <c r="K30" s="11" t="s">
        <v>33</v>
      </c>
      <c r="L30" s="11" t="s">
        <v>902</v>
      </c>
      <c r="M30" s="11"/>
      <c r="N30" s="11"/>
      <c r="O30" s="11"/>
      <c r="P30" s="11"/>
      <c r="Q30" s="11">
        <v>1</v>
      </c>
      <c r="R30" s="5">
        <f>H30</f>
        <v>25</v>
      </c>
    </row>
    <row r="31" spans="1:18" x14ac:dyDescent="0.25">
      <c r="A31" s="11"/>
      <c r="B31" s="11" t="s">
        <v>27</v>
      </c>
      <c r="C31" s="11" t="s">
        <v>969</v>
      </c>
      <c r="D31" s="11" t="s">
        <v>970</v>
      </c>
      <c r="E31" s="11" t="s">
        <v>971</v>
      </c>
      <c r="F31" s="12">
        <v>5</v>
      </c>
      <c r="G31" s="12">
        <v>0</v>
      </c>
      <c r="H31" s="12">
        <v>25</v>
      </c>
      <c r="I31" s="12">
        <f t="shared" si="0"/>
        <v>-25</v>
      </c>
      <c r="J31" s="11" t="s">
        <v>119</v>
      </c>
      <c r="K31" s="11" t="s">
        <v>33</v>
      </c>
      <c r="L31" s="11" t="s">
        <v>902</v>
      </c>
      <c r="M31" s="11"/>
      <c r="N31" s="11"/>
      <c r="O31" s="11"/>
      <c r="P31" s="11"/>
      <c r="Q31" s="11">
        <v>1</v>
      </c>
      <c r="R31" s="5">
        <f>H31</f>
        <v>25</v>
      </c>
    </row>
    <row r="32" spans="1:18" x14ac:dyDescent="0.25">
      <c r="A32" s="11"/>
      <c r="B32" s="11" t="s">
        <v>27</v>
      </c>
      <c r="C32" s="11" t="s">
        <v>758</v>
      </c>
      <c r="D32" s="11" t="s">
        <v>972</v>
      </c>
      <c r="E32" s="11" t="s">
        <v>760</v>
      </c>
      <c r="F32" s="12">
        <v>10</v>
      </c>
      <c r="G32" s="12">
        <v>915</v>
      </c>
      <c r="H32" s="12">
        <v>25</v>
      </c>
      <c r="I32" s="12">
        <f t="shared" si="0"/>
        <v>890</v>
      </c>
      <c r="J32" s="11" t="s">
        <v>119</v>
      </c>
      <c r="K32" s="11" t="s">
        <v>33</v>
      </c>
      <c r="L32" s="11" t="s">
        <v>902</v>
      </c>
      <c r="M32" s="11"/>
      <c r="N32" s="11"/>
      <c r="O32" s="11"/>
      <c r="P32" s="11"/>
      <c r="Q32" s="11">
        <v>1</v>
      </c>
    </row>
    <row r="33" spans="1:17" x14ac:dyDescent="0.25">
      <c r="A33" s="11"/>
      <c r="B33" s="11" t="s">
        <v>27</v>
      </c>
      <c r="C33" s="11" t="s">
        <v>973</v>
      </c>
      <c r="D33" s="11" t="s">
        <v>974</v>
      </c>
      <c r="E33" s="11" t="s">
        <v>975</v>
      </c>
      <c r="F33" s="11" t="s">
        <v>44</v>
      </c>
      <c r="G33" s="12">
        <v>905</v>
      </c>
      <c r="H33" s="12">
        <v>25</v>
      </c>
      <c r="I33" s="12">
        <f t="shared" si="0"/>
        <v>880</v>
      </c>
      <c r="J33" s="11" t="s">
        <v>119</v>
      </c>
      <c r="K33" s="11" t="s">
        <v>33</v>
      </c>
      <c r="L33" s="11" t="s">
        <v>902</v>
      </c>
      <c r="M33" s="11"/>
      <c r="N33" s="11"/>
      <c r="O33" s="11"/>
      <c r="P33" s="11"/>
      <c r="Q33" s="11">
        <v>1</v>
      </c>
    </row>
    <row r="34" spans="1:17" x14ac:dyDescent="0.25">
      <c r="A34" s="11"/>
      <c r="B34" s="11" t="s">
        <v>27</v>
      </c>
      <c r="C34" s="11" t="s">
        <v>275</v>
      </c>
      <c r="D34" s="11" t="s">
        <v>976</v>
      </c>
      <c r="E34" s="11" t="s">
        <v>977</v>
      </c>
      <c r="F34" s="11" t="s">
        <v>44</v>
      </c>
      <c r="G34" s="12">
        <v>715</v>
      </c>
      <c r="H34" s="12">
        <v>25</v>
      </c>
      <c r="I34" s="12">
        <f t="shared" si="0"/>
        <v>690</v>
      </c>
      <c r="J34" s="11" t="s">
        <v>119</v>
      </c>
      <c r="K34" s="11" t="s">
        <v>33</v>
      </c>
      <c r="L34" s="11" t="s">
        <v>902</v>
      </c>
      <c r="M34" s="11"/>
      <c r="N34" s="11"/>
      <c r="O34" s="11"/>
      <c r="P34" s="11"/>
      <c r="Q34" s="11">
        <v>1</v>
      </c>
    </row>
    <row r="35" spans="1:17" x14ac:dyDescent="0.25">
      <c r="A35" s="11"/>
      <c r="B35" s="11" t="s">
        <v>27</v>
      </c>
      <c r="C35" s="11" t="s">
        <v>978</v>
      </c>
      <c r="D35" s="11" t="s">
        <v>979</v>
      </c>
      <c r="E35" s="11" t="s">
        <v>980</v>
      </c>
      <c r="F35" s="12">
        <v>4</v>
      </c>
      <c r="G35" s="12">
        <v>845</v>
      </c>
      <c r="H35" s="12">
        <v>25</v>
      </c>
      <c r="I35" s="12">
        <f t="shared" si="0"/>
        <v>820</v>
      </c>
      <c r="J35" s="11" t="s">
        <v>119</v>
      </c>
      <c r="K35" s="11" t="s">
        <v>33</v>
      </c>
      <c r="L35" s="11" t="s">
        <v>902</v>
      </c>
      <c r="M35" s="11"/>
      <c r="N35" s="11"/>
      <c r="O35" s="11"/>
      <c r="P35" s="11"/>
      <c r="Q35" s="11">
        <v>1</v>
      </c>
    </row>
    <row r="36" spans="1:17" x14ac:dyDescent="0.25">
      <c r="A36" s="11"/>
      <c r="B36" s="11" t="s">
        <v>27</v>
      </c>
      <c r="C36" s="11" t="s">
        <v>981</v>
      </c>
      <c r="D36" s="11" t="s">
        <v>982</v>
      </c>
      <c r="E36" s="11" t="s">
        <v>983</v>
      </c>
      <c r="F36" s="12">
        <v>5</v>
      </c>
      <c r="G36" s="12">
        <v>915</v>
      </c>
      <c r="H36" s="12">
        <v>25</v>
      </c>
      <c r="I36" s="12">
        <f t="shared" si="0"/>
        <v>890</v>
      </c>
      <c r="J36" s="11" t="s">
        <v>119</v>
      </c>
      <c r="K36" s="11" t="s">
        <v>33</v>
      </c>
      <c r="L36" s="11" t="s">
        <v>902</v>
      </c>
      <c r="M36" s="11"/>
      <c r="N36" s="11"/>
      <c r="O36" s="11"/>
      <c r="P36" s="11"/>
      <c r="Q36" s="11">
        <v>1</v>
      </c>
    </row>
    <row r="37" spans="1:17" x14ac:dyDescent="0.25">
      <c r="A37" s="11"/>
      <c r="B37" s="11" t="s">
        <v>27</v>
      </c>
      <c r="C37" s="11" t="s">
        <v>984</v>
      </c>
      <c r="D37" s="11" t="s">
        <v>985</v>
      </c>
      <c r="E37" s="11" t="s">
        <v>986</v>
      </c>
      <c r="F37" s="11" t="s">
        <v>118</v>
      </c>
      <c r="G37" s="12">
        <v>1100</v>
      </c>
      <c r="H37" s="12">
        <v>20</v>
      </c>
      <c r="I37" s="12">
        <f t="shared" si="0"/>
        <v>1080</v>
      </c>
      <c r="J37" s="11" t="s">
        <v>119</v>
      </c>
      <c r="K37" s="11" t="s">
        <v>33</v>
      </c>
      <c r="L37" s="11" t="s">
        <v>902</v>
      </c>
      <c r="M37" s="11"/>
      <c r="N37" s="11"/>
      <c r="O37" s="11"/>
      <c r="P37" s="11"/>
      <c r="Q37" s="11">
        <v>1</v>
      </c>
    </row>
    <row r="38" spans="1:17" x14ac:dyDescent="0.25">
      <c r="A38" s="11"/>
      <c r="B38" s="11" t="s">
        <v>27</v>
      </c>
      <c r="C38" s="11" t="s">
        <v>987</v>
      </c>
      <c r="D38" s="11" t="s">
        <v>988</v>
      </c>
      <c r="E38" s="11" t="s">
        <v>989</v>
      </c>
      <c r="F38" s="12">
        <v>10</v>
      </c>
      <c r="G38" s="12">
        <v>915</v>
      </c>
      <c r="H38" s="12">
        <v>25</v>
      </c>
      <c r="I38" s="12">
        <f t="shared" si="0"/>
        <v>890</v>
      </c>
      <c r="J38" s="11" t="s">
        <v>119</v>
      </c>
      <c r="K38" s="11" t="s">
        <v>33</v>
      </c>
      <c r="L38" s="11" t="s">
        <v>902</v>
      </c>
      <c r="M38" s="11"/>
      <c r="N38" s="11"/>
      <c r="O38" s="11"/>
      <c r="P38" s="11"/>
      <c r="Q38" s="11">
        <v>1</v>
      </c>
    </row>
    <row r="39" spans="1:17" x14ac:dyDescent="0.25">
      <c r="A39" s="11"/>
      <c r="B39" s="11" t="s">
        <v>27</v>
      </c>
      <c r="C39" s="11" t="s">
        <v>990</v>
      </c>
      <c r="D39" s="11" t="s">
        <v>991</v>
      </c>
      <c r="E39" s="11" t="s">
        <v>992</v>
      </c>
      <c r="F39" s="12">
        <v>5</v>
      </c>
      <c r="G39" s="12">
        <v>945</v>
      </c>
      <c r="H39" s="12">
        <v>25</v>
      </c>
      <c r="I39" s="12">
        <f t="shared" si="0"/>
        <v>920</v>
      </c>
      <c r="J39" s="11" t="s">
        <v>119</v>
      </c>
      <c r="K39" s="11" t="s">
        <v>33</v>
      </c>
      <c r="L39" s="11" t="s">
        <v>902</v>
      </c>
      <c r="M39" s="11"/>
      <c r="N39" s="11"/>
      <c r="O39" s="11"/>
      <c r="P39" s="11"/>
      <c r="Q39" s="11">
        <v>1</v>
      </c>
    </row>
    <row r="40" spans="1:17" s="2" customFormat="1" x14ac:dyDescent="0.25">
      <c r="A40" s="16"/>
      <c r="B40" s="16" t="s">
        <v>27</v>
      </c>
      <c r="C40" s="16" t="s">
        <v>993</v>
      </c>
      <c r="D40" s="16" t="s">
        <v>994</v>
      </c>
      <c r="E40" s="16" t="s">
        <v>995</v>
      </c>
      <c r="F40" s="16" t="s">
        <v>996</v>
      </c>
      <c r="G40" s="17">
        <v>930</v>
      </c>
      <c r="H40" s="17">
        <v>0</v>
      </c>
      <c r="I40" s="17">
        <f t="shared" si="0"/>
        <v>930</v>
      </c>
      <c r="J40" s="16" t="s">
        <v>153</v>
      </c>
      <c r="K40" s="16" t="s">
        <v>33</v>
      </c>
      <c r="L40" s="16" t="s">
        <v>902</v>
      </c>
      <c r="M40" s="16" t="s">
        <v>997</v>
      </c>
      <c r="N40" s="16" t="s">
        <v>156</v>
      </c>
      <c r="O40" s="16"/>
      <c r="P40" s="16" t="s">
        <v>157</v>
      </c>
      <c r="Q40" s="16">
        <v>1</v>
      </c>
    </row>
    <row r="42" spans="1:17" x14ac:dyDescent="0.25">
      <c r="D42" s="1">
        <f>COUNTA(D3:D40)</f>
        <v>34</v>
      </c>
      <c r="G42" s="1">
        <f t="shared" ref="G42:Q42" si="1">SUBTOTAL(9,G3:G40)</f>
        <v>25805</v>
      </c>
      <c r="H42" s="1">
        <f t="shared" si="1"/>
        <v>1025</v>
      </c>
      <c r="I42" s="1">
        <f t="shared" si="1"/>
        <v>24780</v>
      </c>
      <c r="J42" s="1">
        <f t="shared" si="1"/>
        <v>0</v>
      </c>
      <c r="K42" s="1">
        <f t="shared" si="1"/>
        <v>0</v>
      </c>
      <c r="L42" s="1">
        <f t="shared" si="1"/>
        <v>0</v>
      </c>
      <c r="M42" s="1">
        <f t="shared" si="1"/>
        <v>0</v>
      </c>
      <c r="N42" s="1">
        <f t="shared" si="1"/>
        <v>0</v>
      </c>
      <c r="O42" s="1">
        <f t="shared" si="1"/>
        <v>0</v>
      </c>
      <c r="P42" s="1">
        <f t="shared" si="1"/>
        <v>0</v>
      </c>
      <c r="Q42" s="1">
        <f t="shared" si="1"/>
        <v>38</v>
      </c>
    </row>
    <row r="43" spans="1:17" x14ac:dyDescent="0.25">
      <c r="H43">
        <f>-4*17</f>
        <v>-68</v>
      </c>
    </row>
    <row r="44" spans="1:17" x14ac:dyDescent="0.25">
      <c r="A44" s="1" t="s">
        <v>27</v>
      </c>
      <c r="C44" s="60" t="s">
        <v>158</v>
      </c>
      <c r="D44" s="60"/>
      <c r="E44" s="4" t="s">
        <v>159</v>
      </c>
      <c r="H44">
        <f>-4*25</f>
        <v>-100</v>
      </c>
      <c r="K44" s="6" t="s">
        <v>33</v>
      </c>
      <c r="L44" s="6" t="s">
        <v>160</v>
      </c>
      <c r="M44" s="6" t="s">
        <v>159</v>
      </c>
      <c r="O44" s="4" t="s">
        <v>161</v>
      </c>
    </row>
    <row r="45" spans="1:17" x14ac:dyDescent="0.25">
      <c r="A45" t="s">
        <v>902</v>
      </c>
      <c r="B45" s="3" t="s">
        <v>162</v>
      </c>
      <c r="C45" s="61">
        <f>SUMIFS(I$3:I$40,B$3:B$40,A$44,L$3:L$40,A$45)</f>
        <v>21940</v>
      </c>
      <c r="D45" s="61"/>
      <c r="E45" s="3">
        <f>SUMIFS(Q$3:Q$40,B$3:B$40,A$44,L$3:L$40,A$45)</f>
        <v>37</v>
      </c>
      <c r="F45" t="s">
        <v>163</v>
      </c>
      <c r="H45">
        <f>-1*30</f>
        <v>-30</v>
      </c>
      <c r="K45" t="s">
        <v>164</v>
      </c>
      <c r="L45">
        <f>SUMIFS(G$3:G$40,J$3:J$40,K$44)</f>
        <v>8225</v>
      </c>
      <c r="M45">
        <f>SUMIFS(Q$3:Q$40,J$3:J$40,K$44)-INT(COUNTIFS(J$3:J$40,K$44,M$3:M$40,"*gộp*")/2)</f>
        <v>17</v>
      </c>
      <c r="O45" t="s">
        <v>33</v>
      </c>
      <c r="P45">
        <f>L50</f>
        <v>7753</v>
      </c>
    </row>
    <row r="46" spans="1:17" x14ac:dyDescent="0.25">
      <c r="B46" s="2" t="s">
        <v>166</v>
      </c>
      <c r="C46" s="62">
        <v>0</v>
      </c>
      <c r="D46" s="62"/>
      <c r="K46" t="s">
        <v>167</v>
      </c>
      <c r="L46">
        <f>-SUMIFS(H$3:H$40,J$3:J$40,K$44)+M46*5</f>
        <v>-400</v>
      </c>
      <c r="M46">
        <f>SUMIFS(Q$3:Q$40,J$3:J$40,K$44)-INT(COUNTIFS(J$3:J$40,K$44,M$3:M$40,"*gộp*")/2)</f>
        <v>17</v>
      </c>
      <c r="O46" t="s">
        <v>119</v>
      </c>
      <c r="P46">
        <f>L59</f>
        <v>4980</v>
      </c>
    </row>
    <row r="47" spans="1:17" x14ac:dyDescent="0.25">
      <c r="B47" s="2" t="s">
        <v>168</v>
      </c>
      <c r="C47" s="62">
        <f>-SUMIFS(I$3:I$40,B$3:B$40,A$44,P$3:P$40,"xx",N$3:N$40,"x")</f>
        <v>-930</v>
      </c>
      <c r="D47" s="62"/>
      <c r="E47" s="2">
        <f>SUMIFS(Q$3:Q$40,B$3:B$40,A$44,P$3:P$40,"xx",N$3:N$40,"x")</f>
        <v>1</v>
      </c>
      <c r="K47" t="s">
        <v>169</v>
      </c>
      <c r="L47">
        <f>-M47*2</f>
        <v>-72</v>
      </c>
      <c r="M47">
        <f>E48-(COUNTIFS(M$3:M$40,"*gộp*")/2)-COUNTIFS(M$3:M$40,"*đơn trả*")-COUNTIFS(M$3:M$40,"*hàng tỉnh*")</f>
        <v>36</v>
      </c>
      <c r="O47" t="s">
        <v>998</v>
      </c>
      <c r="P47">
        <f>L67</f>
        <v>8412</v>
      </c>
    </row>
    <row r="48" spans="1:17" x14ac:dyDescent="0.25">
      <c r="B48" s="4" t="s">
        <v>170</v>
      </c>
      <c r="C48" s="60">
        <f>SUBTOTAL(9,C45:C47)</f>
        <v>21010</v>
      </c>
      <c r="D48" s="60"/>
      <c r="E48">
        <f>E45</f>
        <v>37</v>
      </c>
      <c r="K48" s="7" t="s">
        <v>155</v>
      </c>
      <c r="O48" t="s">
        <v>171</v>
      </c>
      <c r="P48">
        <f>-C52</f>
        <v>-21010</v>
      </c>
    </row>
    <row r="49" spans="2:16" x14ac:dyDescent="0.25">
      <c r="B49" s="2" t="s">
        <v>172</v>
      </c>
      <c r="C49" s="58"/>
      <c r="D49" s="58"/>
      <c r="K49" s="2" t="s">
        <v>173</v>
      </c>
      <c r="O49" s="4" t="s">
        <v>174</v>
      </c>
      <c r="P49" s="4">
        <f>SUBTOTAL(9,P45:P48)</f>
        <v>135</v>
      </c>
    </row>
    <row r="50" spans="2:16" x14ac:dyDescent="0.25">
      <c r="B50" s="8" t="s">
        <v>175</v>
      </c>
      <c r="C50" s="58"/>
      <c r="D50" s="58"/>
      <c r="L50" s="9">
        <f>SUBTOTAL(9,L45:L49)</f>
        <v>7753</v>
      </c>
      <c r="M50" s="9">
        <f>M45</f>
        <v>17</v>
      </c>
    </row>
    <row r="52" spans="2:16" x14ac:dyDescent="0.25">
      <c r="B52" s="1" t="s">
        <v>176</v>
      </c>
      <c r="C52" s="59">
        <f>C48+C49+C50</f>
        <v>21010</v>
      </c>
      <c r="D52" s="59"/>
      <c r="E52" s="1" t="s">
        <v>177</v>
      </c>
      <c r="K52" s="6" t="s">
        <v>119</v>
      </c>
      <c r="L52" s="6" t="s">
        <v>160</v>
      </c>
      <c r="M52" s="6" t="s">
        <v>159</v>
      </c>
    </row>
    <row r="53" spans="2:16" x14ac:dyDescent="0.25">
      <c r="K53" t="s">
        <v>164</v>
      </c>
      <c r="L53">
        <f>SUMIFS(G$3:G$40,J$3:J$40,K$52)</f>
        <v>8040</v>
      </c>
      <c r="M53">
        <f>SUMIFS(Q$3:Q$40,J$3:J$40,K$52)-INT(COUNTIFS(J$3:J$40,K$52,M$3:M$40,"*gộp*")/2)</f>
        <v>11</v>
      </c>
    </row>
    <row r="54" spans="2:16" x14ac:dyDescent="0.25">
      <c r="K54" t="s">
        <v>167</v>
      </c>
      <c r="L54">
        <f>-SUMIFS(H$3:H$40,J$3:J$40,K$52)+M54*5</f>
        <v>-215</v>
      </c>
      <c r="M54">
        <f>SUMIFS(Q$3:Q$40,J$3:J$40,K$52)-INT(COUNTIFS(J$3:J$40,K$52,M$3:M$40,"*gộp*")/2)</f>
        <v>11</v>
      </c>
    </row>
    <row r="55" spans="2:16" x14ac:dyDescent="0.25">
      <c r="K55" t="s">
        <v>169</v>
      </c>
    </row>
    <row r="56" spans="2:16" x14ac:dyDescent="0.25">
      <c r="K56" s="7" t="s">
        <v>155</v>
      </c>
    </row>
    <row r="57" spans="2:16" x14ac:dyDescent="0.25">
      <c r="K57" s="2" t="s">
        <v>173</v>
      </c>
    </row>
    <row r="58" spans="2:16" x14ac:dyDescent="0.25">
      <c r="K58" s="7" t="s">
        <v>924</v>
      </c>
      <c r="L58" s="18">
        <v>-2845</v>
      </c>
      <c r="M58" s="18" t="s">
        <v>178</v>
      </c>
    </row>
    <row r="59" spans="2:16" x14ac:dyDescent="0.25">
      <c r="L59" s="9">
        <f>SUBTOTAL(9,L53:L58)</f>
        <v>4980</v>
      </c>
      <c r="M59" s="9">
        <f>M54</f>
        <v>11</v>
      </c>
    </row>
    <row r="61" spans="2:16" x14ac:dyDescent="0.25">
      <c r="K61" s="6" t="s">
        <v>901</v>
      </c>
      <c r="L61" s="6" t="s">
        <v>160</v>
      </c>
      <c r="M61" s="6" t="s">
        <v>159</v>
      </c>
    </row>
    <row r="62" spans="2:16" x14ac:dyDescent="0.25">
      <c r="K62" t="s">
        <v>164</v>
      </c>
      <c r="L62">
        <f>SUMIFS(G$3:G$40,J$3:J$40,K$61)</f>
        <v>8610</v>
      </c>
      <c r="M62">
        <f>SUMIFS(Q$3:Q$40,J$3:J$40,K$61)-INT(COUNTIFS(J$3:J$40,K$61,M$3:M$40,"*gộp*")/2)</f>
        <v>9</v>
      </c>
    </row>
    <row r="63" spans="2:16" x14ac:dyDescent="0.25">
      <c r="K63" t="s">
        <v>167</v>
      </c>
      <c r="L63">
        <f>SUM(H43:H45)</f>
        <v>-198</v>
      </c>
      <c r="M63">
        <f>SUMIFS(Q$3:Q$40,J$3:J$40,K$61)-INT(COUNTIFS(J$3:J$40,K$61,M$3:M$40,"*gộp*")/2)</f>
        <v>9</v>
      </c>
    </row>
    <row r="64" spans="2:16" x14ac:dyDescent="0.25">
      <c r="K64" t="s">
        <v>169</v>
      </c>
    </row>
    <row r="65" spans="11:13" x14ac:dyDescent="0.25">
      <c r="K65" s="7" t="s">
        <v>155</v>
      </c>
    </row>
    <row r="66" spans="11:13" x14ac:dyDescent="0.25">
      <c r="K66" s="2" t="s">
        <v>173</v>
      </c>
    </row>
    <row r="67" spans="11:13" x14ac:dyDescent="0.25">
      <c r="L67" s="9">
        <f>SUBTOTAL(9,L62:L66)</f>
        <v>8412</v>
      </c>
      <c r="M67" s="9">
        <f>M62</f>
        <v>9</v>
      </c>
    </row>
  </sheetData>
  <autoFilter ref="A2:P40" xr:uid="{00000000-0009-0000-0000-00000B000000}">
    <sortState xmlns:xlrd2="http://schemas.microsoft.com/office/spreadsheetml/2017/richdata2" ref="A3:P40">
      <sortCondition ref="J2:J40"/>
    </sortState>
  </autoFilter>
  <mergeCells count="8">
    <mergeCell ref="C49:D49"/>
    <mergeCell ref="C50:D50"/>
    <mergeCell ref="C52:D52"/>
    <mergeCell ref="C44:D44"/>
    <mergeCell ref="C45:D45"/>
    <mergeCell ref="C46:D46"/>
    <mergeCell ref="C47:D47"/>
    <mergeCell ref="C48:D48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66"/>
  <sheetViews>
    <sheetView topLeftCell="A34" zoomScale="85" zoomScaleNormal="85" workbookViewId="0"/>
  </sheetViews>
  <sheetFormatPr defaultRowHeight="15" x14ac:dyDescent="0.25"/>
  <cols>
    <col min="1" max="1" width="12.7109375" customWidth="1"/>
    <col min="2" max="2" width="8.85546875" customWidth="1"/>
    <col min="3" max="3" width="22.5703125" customWidth="1"/>
    <col min="4" max="4" width="9.85546875" customWidth="1"/>
    <col min="5" max="5" width="105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20.42578125" bestFit="1" customWidth="1"/>
    <col min="14" max="14" width="9.7109375" customWidth="1"/>
    <col min="15" max="15" width="10.42578125" customWidth="1"/>
    <col min="16" max="16" width="7.42578125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591</v>
      </c>
      <c r="D3" s="11" t="s">
        <v>999</v>
      </c>
      <c r="E3" s="11" t="s">
        <v>1000</v>
      </c>
      <c r="F3" s="11" t="s">
        <v>48</v>
      </c>
      <c r="G3" s="12">
        <v>2970</v>
      </c>
      <c r="H3" s="12">
        <v>35</v>
      </c>
      <c r="I3" s="12">
        <f t="shared" ref="I3:I40" si="0">G3-H3</f>
        <v>2935</v>
      </c>
      <c r="J3" s="11" t="s">
        <v>1001</v>
      </c>
      <c r="K3" s="11" t="s">
        <v>33</v>
      </c>
      <c r="L3" s="11" t="s">
        <v>1002</v>
      </c>
      <c r="M3" s="24" t="s">
        <v>340</v>
      </c>
      <c r="N3" s="11"/>
      <c r="O3" s="11"/>
      <c r="P3" s="11"/>
      <c r="Q3" s="11">
        <v>1</v>
      </c>
      <c r="R3" s="5">
        <f>H3</f>
        <v>35</v>
      </c>
    </row>
    <row r="4" spans="1:18" x14ac:dyDescent="0.25">
      <c r="A4" s="11"/>
      <c r="B4" s="11" t="s">
        <v>27</v>
      </c>
      <c r="C4" s="11" t="s">
        <v>1003</v>
      </c>
      <c r="D4" s="11" t="s">
        <v>1004</v>
      </c>
      <c r="E4" s="11" t="s">
        <v>1005</v>
      </c>
      <c r="F4" s="12">
        <v>8</v>
      </c>
      <c r="G4" s="12">
        <v>670</v>
      </c>
      <c r="H4" s="12">
        <v>30</v>
      </c>
      <c r="I4" s="12">
        <f t="shared" si="0"/>
        <v>640</v>
      </c>
      <c r="J4" s="11" t="s">
        <v>1001</v>
      </c>
      <c r="K4" s="11" t="s">
        <v>33</v>
      </c>
      <c r="L4" s="11" t="s">
        <v>1002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1006</v>
      </c>
      <c r="D5" s="11" t="s">
        <v>1007</v>
      </c>
      <c r="E5" s="11" t="s">
        <v>1008</v>
      </c>
      <c r="F5" s="12">
        <v>6</v>
      </c>
      <c r="G5" s="12">
        <v>905</v>
      </c>
      <c r="H5" s="12">
        <v>25</v>
      </c>
      <c r="I5" s="12">
        <f t="shared" si="0"/>
        <v>880</v>
      </c>
      <c r="J5" s="11" t="s">
        <v>1001</v>
      </c>
      <c r="K5" s="11" t="s">
        <v>33</v>
      </c>
      <c r="L5" s="11" t="s">
        <v>1002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1009</v>
      </c>
      <c r="D6" s="11" t="s">
        <v>1010</v>
      </c>
      <c r="E6" s="11" t="s">
        <v>1011</v>
      </c>
      <c r="F6" s="11" t="s">
        <v>48</v>
      </c>
      <c r="G6" s="12">
        <v>950</v>
      </c>
      <c r="H6" s="12">
        <v>30</v>
      </c>
      <c r="I6" s="12">
        <f t="shared" si="0"/>
        <v>920</v>
      </c>
      <c r="J6" s="11" t="s">
        <v>1001</v>
      </c>
      <c r="K6" s="11" t="s">
        <v>33</v>
      </c>
      <c r="L6" s="11" t="s">
        <v>1002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374</v>
      </c>
      <c r="D7" s="11" t="s">
        <v>1012</v>
      </c>
      <c r="E7" s="11" t="s">
        <v>376</v>
      </c>
      <c r="F7" s="12">
        <v>8</v>
      </c>
      <c r="G7" s="12">
        <v>30</v>
      </c>
      <c r="H7" s="12">
        <v>30</v>
      </c>
      <c r="I7" s="12">
        <f t="shared" si="0"/>
        <v>0</v>
      </c>
      <c r="J7" s="11" t="s">
        <v>1001</v>
      </c>
      <c r="K7" s="11" t="s">
        <v>33</v>
      </c>
      <c r="L7" s="11" t="s">
        <v>1002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1013</v>
      </c>
      <c r="D8" s="11" t="s">
        <v>1014</v>
      </c>
      <c r="E8" s="11" t="s">
        <v>1015</v>
      </c>
      <c r="F8" s="11" t="s">
        <v>31</v>
      </c>
      <c r="G8" s="12">
        <v>1155</v>
      </c>
      <c r="H8" s="12">
        <v>25</v>
      </c>
      <c r="I8" s="12">
        <f t="shared" si="0"/>
        <v>1130</v>
      </c>
      <c r="J8" s="11" t="s">
        <v>1001</v>
      </c>
      <c r="K8" s="11" t="s">
        <v>33</v>
      </c>
      <c r="L8" s="11" t="s">
        <v>1002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1016</v>
      </c>
      <c r="D9" s="11" t="s">
        <v>1017</v>
      </c>
      <c r="E9" s="11" t="s">
        <v>1018</v>
      </c>
      <c r="F9" s="12">
        <v>12</v>
      </c>
      <c r="G9" s="12">
        <v>850</v>
      </c>
      <c r="H9" s="12">
        <v>30</v>
      </c>
      <c r="I9" s="12">
        <f t="shared" si="0"/>
        <v>820</v>
      </c>
      <c r="J9" s="11" t="s">
        <v>1001</v>
      </c>
      <c r="K9" s="11" t="s">
        <v>33</v>
      </c>
      <c r="L9" s="11" t="s">
        <v>1002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1019</v>
      </c>
      <c r="D10" s="11" t="s">
        <v>1020</v>
      </c>
      <c r="E10" s="11" t="s">
        <v>1021</v>
      </c>
      <c r="F10" s="12">
        <v>8</v>
      </c>
      <c r="G10" s="12">
        <v>960</v>
      </c>
      <c r="H10" s="12">
        <v>30</v>
      </c>
      <c r="I10" s="12">
        <f t="shared" si="0"/>
        <v>930</v>
      </c>
      <c r="J10" s="11" t="s">
        <v>1001</v>
      </c>
      <c r="K10" s="11" t="s">
        <v>33</v>
      </c>
      <c r="L10" s="11" t="s">
        <v>1002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1022</v>
      </c>
      <c r="D11" s="11" t="s">
        <v>1023</v>
      </c>
      <c r="E11" s="11" t="s">
        <v>1024</v>
      </c>
      <c r="F11" s="11" t="s">
        <v>444</v>
      </c>
      <c r="G11" s="12">
        <v>955</v>
      </c>
      <c r="H11" s="12">
        <v>35</v>
      </c>
      <c r="I11" s="12">
        <f t="shared" si="0"/>
        <v>920</v>
      </c>
      <c r="J11" s="11" t="s">
        <v>1001</v>
      </c>
      <c r="K11" s="11" t="s">
        <v>33</v>
      </c>
      <c r="L11" s="11" t="s">
        <v>1002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1025</v>
      </c>
      <c r="D12" s="11" t="s">
        <v>1026</v>
      </c>
      <c r="E12" s="11" t="s">
        <v>61</v>
      </c>
      <c r="F12" s="11" t="s">
        <v>48</v>
      </c>
      <c r="G12" s="12">
        <v>1250</v>
      </c>
      <c r="H12" s="12">
        <v>30</v>
      </c>
      <c r="I12" s="12">
        <f t="shared" si="0"/>
        <v>1220</v>
      </c>
      <c r="J12" s="11" t="s">
        <v>1001</v>
      </c>
      <c r="K12" s="11" t="s">
        <v>33</v>
      </c>
      <c r="L12" s="11" t="s">
        <v>1002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1027</v>
      </c>
      <c r="D13" s="11" t="s">
        <v>1028</v>
      </c>
      <c r="E13" s="11" t="s">
        <v>1029</v>
      </c>
      <c r="F13" s="12">
        <v>8</v>
      </c>
      <c r="G13" s="12">
        <v>3050</v>
      </c>
      <c r="H13" s="12">
        <v>40</v>
      </c>
      <c r="I13" s="12">
        <f t="shared" si="0"/>
        <v>3010</v>
      </c>
      <c r="J13" s="11" t="s">
        <v>1001</v>
      </c>
      <c r="K13" s="11" t="s">
        <v>33</v>
      </c>
      <c r="L13" s="11" t="s">
        <v>1002</v>
      </c>
      <c r="M13" s="24" t="s">
        <v>340</v>
      </c>
      <c r="N13" s="11"/>
      <c r="O13" s="11"/>
      <c r="P13" s="11"/>
      <c r="Q13" s="11">
        <v>1</v>
      </c>
      <c r="R13" s="5">
        <f>H13</f>
        <v>40</v>
      </c>
    </row>
    <row r="14" spans="1:18" x14ac:dyDescent="0.25">
      <c r="A14" s="11" t="s">
        <v>59</v>
      </c>
      <c r="B14" s="11" t="s">
        <v>27</v>
      </c>
      <c r="C14" s="11" t="s">
        <v>214</v>
      </c>
      <c r="D14" s="11"/>
      <c r="E14" s="11" t="s">
        <v>215</v>
      </c>
      <c r="F14" s="12">
        <v>6</v>
      </c>
      <c r="G14" s="12">
        <v>0</v>
      </c>
      <c r="H14" s="12">
        <v>30</v>
      </c>
      <c r="I14" s="12">
        <f t="shared" si="0"/>
        <v>-30</v>
      </c>
      <c r="J14" s="11" t="s">
        <v>1001</v>
      </c>
      <c r="K14" s="11" t="s">
        <v>33</v>
      </c>
      <c r="L14" s="11" t="s">
        <v>1002</v>
      </c>
      <c r="M14" s="11"/>
      <c r="N14" s="11"/>
      <c r="O14" s="11"/>
      <c r="P14" s="11"/>
      <c r="Q14" s="11">
        <v>1</v>
      </c>
      <c r="R14" s="5">
        <f>H14</f>
        <v>30</v>
      </c>
    </row>
    <row r="15" spans="1:18" x14ac:dyDescent="0.25">
      <c r="A15" s="11" t="s">
        <v>59</v>
      </c>
      <c r="B15" s="11" t="s">
        <v>27</v>
      </c>
      <c r="C15" s="11" t="s">
        <v>1030</v>
      </c>
      <c r="D15" s="11"/>
      <c r="E15" s="11" t="s">
        <v>1031</v>
      </c>
      <c r="F15" s="12">
        <v>6</v>
      </c>
      <c r="G15" s="12">
        <v>0</v>
      </c>
      <c r="H15" s="12">
        <v>30</v>
      </c>
      <c r="I15" s="12">
        <f t="shared" si="0"/>
        <v>-30</v>
      </c>
      <c r="J15" s="11" t="s">
        <v>1001</v>
      </c>
      <c r="K15" s="11" t="s">
        <v>33</v>
      </c>
      <c r="L15" s="11" t="s">
        <v>1002</v>
      </c>
      <c r="M15" s="11"/>
      <c r="N15" s="11"/>
      <c r="O15" s="11"/>
      <c r="P15" s="11"/>
      <c r="Q15" s="11">
        <v>1</v>
      </c>
      <c r="R15" s="5">
        <f>H15</f>
        <v>30</v>
      </c>
    </row>
    <row r="16" spans="1:18" s="15" customFormat="1" x14ac:dyDescent="0.25">
      <c r="A16" s="13" t="s">
        <v>59</v>
      </c>
      <c r="B16" s="13" t="s">
        <v>27</v>
      </c>
      <c r="C16" s="13" t="s">
        <v>1032</v>
      </c>
      <c r="D16" s="13"/>
      <c r="E16" s="13" t="s">
        <v>1033</v>
      </c>
      <c r="F16" s="14">
        <v>6</v>
      </c>
      <c r="G16" s="14">
        <v>0</v>
      </c>
      <c r="H16" s="14">
        <v>30</v>
      </c>
      <c r="I16" s="14">
        <f t="shared" si="0"/>
        <v>-30</v>
      </c>
      <c r="J16" s="13" t="s">
        <v>1001</v>
      </c>
      <c r="K16" s="13" t="s">
        <v>119</v>
      </c>
      <c r="L16" s="13" t="s">
        <v>1002</v>
      </c>
      <c r="M16" s="13" t="s">
        <v>1034</v>
      </c>
      <c r="N16" s="13"/>
      <c r="O16" s="13"/>
      <c r="P16" s="13"/>
      <c r="Q16" s="13">
        <v>1</v>
      </c>
      <c r="R16" s="19">
        <f>H16</f>
        <v>30</v>
      </c>
    </row>
    <row r="17" spans="1:18" x14ac:dyDescent="0.25">
      <c r="A17" s="11"/>
      <c r="B17" s="11" t="s">
        <v>27</v>
      </c>
      <c r="C17" s="11" t="s">
        <v>1035</v>
      </c>
      <c r="D17" s="11" t="s">
        <v>1036</v>
      </c>
      <c r="E17" s="11" t="s">
        <v>90</v>
      </c>
      <c r="F17" s="11" t="s">
        <v>68</v>
      </c>
      <c r="G17" s="12">
        <v>915</v>
      </c>
      <c r="H17" s="12">
        <v>25</v>
      </c>
      <c r="I17" s="12">
        <f t="shared" si="0"/>
        <v>890</v>
      </c>
      <c r="J17" s="11" t="s">
        <v>33</v>
      </c>
      <c r="K17" s="11" t="s">
        <v>33</v>
      </c>
      <c r="L17" s="11" t="s">
        <v>1002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1037</v>
      </c>
      <c r="D18" s="11" t="s">
        <v>1038</v>
      </c>
      <c r="E18" s="11" t="s">
        <v>1039</v>
      </c>
      <c r="F18" s="11" t="s">
        <v>68</v>
      </c>
      <c r="G18" s="12">
        <v>915</v>
      </c>
      <c r="H18" s="12">
        <v>25</v>
      </c>
      <c r="I18" s="12">
        <f t="shared" si="0"/>
        <v>890</v>
      </c>
      <c r="J18" s="11" t="s">
        <v>33</v>
      </c>
      <c r="K18" s="11" t="s">
        <v>33</v>
      </c>
      <c r="L18" s="11" t="s">
        <v>1002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1040</v>
      </c>
      <c r="D19" s="11" t="s">
        <v>1041</v>
      </c>
      <c r="E19" s="11" t="s">
        <v>1042</v>
      </c>
      <c r="F19" s="12">
        <v>2</v>
      </c>
      <c r="G19" s="12">
        <v>0</v>
      </c>
      <c r="H19" s="12">
        <v>30</v>
      </c>
      <c r="I19" s="12">
        <f t="shared" si="0"/>
        <v>-30</v>
      </c>
      <c r="J19" s="11" t="s">
        <v>33</v>
      </c>
      <c r="K19" s="11" t="s">
        <v>33</v>
      </c>
      <c r="L19" s="11" t="s">
        <v>1002</v>
      </c>
      <c r="M19" s="24" t="s">
        <v>1043</v>
      </c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1044</v>
      </c>
      <c r="D20" s="11" t="s">
        <v>1045</v>
      </c>
      <c r="E20" s="11" t="s">
        <v>1046</v>
      </c>
      <c r="F20" s="12">
        <v>2</v>
      </c>
      <c r="G20" s="12">
        <v>860</v>
      </c>
      <c r="H20" s="12">
        <v>30</v>
      </c>
      <c r="I20" s="12">
        <f t="shared" si="0"/>
        <v>830</v>
      </c>
      <c r="J20" s="11" t="s">
        <v>33</v>
      </c>
      <c r="K20" s="11" t="s">
        <v>33</v>
      </c>
      <c r="L20" s="11" t="s">
        <v>1002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1047</v>
      </c>
      <c r="D21" s="11" t="s">
        <v>1048</v>
      </c>
      <c r="E21" s="11" t="s">
        <v>1049</v>
      </c>
      <c r="F21" s="11" t="s">
        <v>78</v>
      </c>
      <c r="G21" s="12">
        <v>660</v>
      </c>
      <c r="H21" s="12">
        <v>20</v>
      </c>
      <c r="I21" s="12">
        <f t="shared" si="0"/>
        <v>640</v>
      </c>
      <c r="J21" s="11" t="s">
        <v>33</v>
      </c>
      <c r="K21" s="11" t="s">
        <v>33</v>
      </c>
      <c r="L21" s="11" t="s">
        <v>1002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1050</v>
      </c>
      <c r="D22" s="11" t="s">
        <v>1051</v>
      </c>
      <c r="E22" s="11" t="s">
        <v>1052</v>
      </c>
      <c r="F22" s="12">
        <v>12</v>
      </c>
      <c r="G22" s="12">
        <v>1260</v>
      </c>
      <c r="H22" s="12">
        <v>30</v>
      </c>
      <c r="I22" s="12">
        <f t="shared" si="0"/>
        <v>1230</v>
      </c>
      <c r="J22" s="11" t="s">
        <v>33</v>
      </c>
      <c r="K22" s="11" t="s">
        <v>33</v>
      </c>
      <c r="L22" s="11" t="s">
        <v>1002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1053</v>
      </c>
      <c r="D23" s="11" t="s">
        <v>1054</v>
      </c>
      <c r="E23" s="11" t="s">
        <v>1055</v>
      </c>
      <c r="F23" s="12">
        <v>2</v>
      </c>
      <c r="G23" s="12">
        <v>670</v>
      </c>
      <c r="H23" s="12">
        <v>30</v>
      </c>
      <c r="I23" s="12">
        <f t="shared" si="0"/>
        <v>640</v>
      </c>
      <c r="J23" s="11" t="s">
        <v>33</v>
      </c>
      <c r="K23" s="11" t="s">
        <v>33</v>
      </c>
      <c r="L23" s="11" t="s">
        <v>1002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1056</v>
      </c>
      <c r="D24" s="11" t="s">
        <v>1057</v>
      </c>
      <c r="E24" s="11" t="s">
        <v>1058</v>
      </c>
      <c r="F24" s="12">
        <v>2</v>
      </c>
      <c r="G24" s="12">
        <v>890</v>
      </c>
      <c r="H24" s="12">
        <v>30</v>
      </c>
      <c r="I24" s="12">
        <f t="shared" si="0"/>
        <v>860</v>
      </c>
      <c r="J24" s="11" t="s">
        <v>33</v>
      </c>
      <c r="K24" s="11" t="s">
        <v>33</v>
      </c>
      <c r="L24" s="11" t="s">
        <v>1002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1059</v>
      </c>
      <c r="D25" s="11" t="s">
        <v>1060</v>
      </c>
      <c r="E25" s="11" t="s">
        <v>1061</v>
      </c>
      <c r="F25" s="11" t="s">
        <v>104</v>
      </c>
      <c r="G25" s="12">
        <v>760</v>
      </c>
      <c r="H25" s="12">
        <v>30</v>
      </c>
      <c r="I25" s="12">
        <f t="shared" si="0"/>
        <v>730</v>
      </c>
      <c r="J25" s="11" t="s">
        <v>33</v>
      </c>
      <c r="K25" s="11" t="s">
        <v>33</v>
      </c>
      <c r="L25" s="11" t="s">
        <v>1002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1062</v>
      </c>
      <c r="D26" s="11" t="s">
        <v>1063</v>
      </c>
      <c r="E26" s="11" t="s">
        <v>1064</v>
      </c>
      <c r="F26" s="11" t="s">
        <v>78</v>
      </c>
      <c r="G26" s="12">
        <v>0</v>
      </c>
      <c r="H26" s="12">
        <v>20</v>
      </c>
      <c r="I26" s="12">
        <f t="shared" si="0"/>
        <v>-20</v>
      </c>
      <c r="J26" s="11" t="s">
        <v>33</v>
      </c>
      <c r="K26" s="11" t="s">
        <v>33</v>
      </c>
      <c r="L26" s="11" t="s">
        <v>1002</v>
      </c>
      <c r="M26" s="24" t="s">
        <v>1065</v>
      </c>
      <c r="N26" s="11"/>
      <c r="O26" s="11"/>
      <c r="P26" s="11"/>
      <c r="Q26" s="11">
        <v>1</v>
      </c>
    </row>
    <row r="27" spans="1:18" x14ac:dyDescent="0.25">
      <c r="A27" s="11" t="s">
        <v>59</v>
      </c>
      <c r="B27" s="11" t="s">
        <v>27</v>
      </c>
      <c r="C27" s="11" t="s">
        <v>1066</v>
      </c>
      <c r="D27" s="11"/>
      <c r="E27" s="11" t="s">
        <v>1067</v>
      </c>
      <c r="F27" s="11" t="s">
        <v>44</v>
      </c>
      <c r="G27" s="12">
        <v>45</v>
      </c>
      <c r="H27" s="12">
        <v>45</v>
      </c>
      <c r="I27" s="12">
        <f t="shared" si="0"/>
        <v>0</v>
      </c>
      <c r="J27" s="11" t="s">
        <v>33</v>
      </c>
      <c r="K27" s="11" t="s">
        <v>33</v>
      </c>
      <c r="L27" s="11" t="s">
        <v>1002</v>
      </c>
      <c r="M27" s="11"/>
      <c r="N27" s="11"/>
      <c r="O27" s="11"/>
      <c r="P27" s="11"/>
      <c r="Q27" s="11">
        <v>1</v>
      </c>
    </row>
    <row r="28" spans="1:18" x14ac:dyDescent="0.25">
      <c r="A28" s="11" t="s">
        <v>59</v>
      </c>
      <c r="B28" s="11" t="s">
        <v>27</v>
      </c>
      <c r="C28" s="11" t="s">
        <v>1068</v>
      </c>
      <c r="D28" s="11"/>
      <c r="E28" s="11" t="s">
        <v>418</v>
      </c>
      <c r="F28" s="12">
        <v>12</v>
      </c>
      <c r="G28" s="12">
        <v>0</v>
      </c>
      <c r="H28" s="12">
        <v>35</v>
      </c>
      <c r="I28" s="12">
        <f t="shared" si="0"/>
        <v>-35</v>
      </c>
      <c r="J28" s="11" t="s">
        <v>33</v>
      </c>
      <c r="K28" s="11" t="s">
        <v>33</v>
      </c>
      <c r="L28" s="11" t="s">
        <v>1002</v>
      </c>
      <c r="M28" s="11"/>
      <c r="N28" s="11"/>
      <c r="O28" s="11"/>
      <c r="P28" s="11"/>
      <c r="Q28" s="11">
        <v>1</v>
      </c>
      <c r="R28" s="5">
        <f>H28</f>
        <v>35</v>
      </c>
    </row>
    <row r="29" spans="1:18" x14ac:dyDescent="0.25">
      <c r="A29" s="11" t="s">
        <v>59</v>
      </c>
      <c r="B29" s="11" t="s">
        <v>27</v>
      </c>
      <c r="C29" s="11" t="s">
        <v>609</v>
      </c>
      <c r="D29" s="11"/>
      <c r="E29" s="11" t="s">
        <v>610</v>
      </c>
      <c r="F29" s="11" t="s">
        <v>44</v>
      </c>
      <c r="G29" s="12">
        <v>0</v>
      </c>
      <c r="H29" s="12">
        <v>30</v>
      </c>
      <c r="I29" s="12">
        <f t="shared" si="0"/>
        <v>-30</v>
      </c>
      <c r="J29" s="11" t="s">
        <v>33</v>
      </c>
      <c r="K29" s="11" t="s">
        <v>33</v>
      </c>
      <c r="L29" s="11" t="s">
        <v>1002</v>
      </c>
      <c r="M29" s="11"/>
      <c r="N29" s="11"/>
      <c r="O29" s="11"/>
      <c r="P29" s="11"/>
      <c r="Q29" s="11">
        <v>1</v>
      </c>
      <c r="R29" s="5">
        <f>H29</f>
        <v>30</v>
      </c>
    </row>
    <row r="30" spans="1:18" x14ac:dyDescent="0.25">
      <c r="A30" s="11" t="s">
        <v>59</v>
      </c>
      <c r="B30" s="11" t="s">
        <v>27</v>
      </c>
      <c r="C30" s="11" t="s">
        <v>1069</v>
      </c>
      <c r="D30" s="11"/>
      <c r="E30" s="11" t="s">
        <v>1070</v>
      </c>
      <c r="F30" s="11" t="s">
        <v>444</v>
      </c>
      <c r="G30" s="12">
        <v>0</v>
      </c>
      <c r="H30" s="12">
        <v>50</v>
      </c>
      <c r="I30" s="12">
        <f t="shared" si="0"/>
        <v>-50</v>
      </c>
      <c r="J30" s="11" t="s">
        <v>33</v>
      </c>
      <c r="K30" s="11" t="s">
        <v>33</v>
      </c>
      <c r="L30" s="11" t="s">
        <v>1002</v>
      </c>
      <c r="M30" s="11"/>
      <c r="N30" s="11"/>
      <c r="O30" s="11"/>
      <c r="P30" s="11"/>
      <c r="Q30" s="11">
        <v>1</v>
      </c>
      <c r="R30" s="5">
        <f>H30</f>
        <v>50</v>
      </c>
    </row>
    <row r="31" spans="1:18" x14ac:dyDescent="0.25">
      <c r="A31" s="11"/>
      <c r="B31" s="11" t="s">
        <v>27</v>
      </c>
      <c r="C31" s="11" t="s">
        <v>1071</v>
      </c>
      <c r="D31" s="11" t="s">
        <v>1072</v>
      </c>
      <c r="E31" s="11" t="s">
        <v>1073</v>
      </c>
      <c r="F31" s="12">
        <v>1</v>
      </c>
      <c r="G31" s="12">
        <v>365</v>
      </c>
      <c r="H31" s="12">
        <v>25</v>
      </c>
      <c r="I31" s="12">
        <f t="shared" si="0"/>
        <v>340</v>
      </c>
      <c r="J31" s="11" t="s">
        <v>119</v>
      </c>
      <c r="K31" s="11" t="s">
        <v>33</v>
      </c>
      <c r="L31" s="11" t="s">
        <v>1002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1074</v>
      </c>
      <c r="D32" s="11" t="s">
        <v>1075</v>
      </c>
      <c r="E32" s="11" t="s">
        <v>1076</v>
      </c>
      <c r="F32" s="12">
        <v>7</v>
      </c>
      <c r="G32" s="12">
        <v>770</v>
      </c>
      <c r="H32" s="12">
        <v>30</v>
      </c>
      <c r="I32" s="12">
        <f t="shared" si="0"/>
        <v>740</v>
      </c>
      <c r="J32" s="11" t="s">
        <v>119</v>
      </c>
      <c r="K32" s="11" t="s">
        <v>33</v>
      </c>
      <c r="L32" s="11" t="s">
        <v>1002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284</v>
      </c>
      <c r="D33" s="11" t="s">
        <v>1077</v>
      </c>
      <c r="E33" s="11" t="s">
        <v>286</v>
      </c>
      <c r="F33" s="12">
        <v>4</v>
      </c>
      <c r="G33" s="12">
        <v>565</v>
      </c>
      <c r="H33" s="12">
        <v>25</v>
      </c>
      <c r="I33" s="12">
        <f t="shared" si="0"/>
        <v>540</v>
      </c>
      <c r="J33" s="11" t="s">
        <v>119</v>
      </c>
      <c r="K33" s="11" t="s">
        <v>33</v>
      </c>
      <c r="L33" s="11" t="s">
        <v>1002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1078</v>
      </c>
      <c r="D34" s="11" t="s">
        <v>1079</v>
      </c>
      <c r="E34" s="11" t="s">
        <v>1080</v>
      </c>
      <c r="F34" s="11" t="s">
        <v>55</v>
      </c>
      <c r="G34" s="12">
        <v>725</v>
      </c>
      <c r="H34" s="12">
        <v>35</v>
      </c>
      <c r="I34" s="12">
        <f t="shared" si="0"/>
        <v>690</v>
      </c>
      <c r="J34" s="11" t="s">
        <v>119</v>
      </c>
      <c r="K34" s="11" t="s">
        <v>33</v>
      </c>
      <c r="L34" s="11" t="s">
        <v>1002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866</v>
      </c>
      <c r="D35" s="11" t="s">
        <v>1081</v>
      </c>
      <c r="E35" s="11" t="s">
        <v>1082</v>
      </c>
      <c r="F35" s="12">
        <v>7</v>
      </c>
      <c r="G35" s="12">
        <v>920</v>
      </c>
      <c r="H35" s="12">
        <v>30</v>
      </c>
      <c r="I35" s="12">
        <f t="shared" si="0"/>
        <v>890</v>
      </c>
      <c r="J35" s="11" t="s">
        <v>119</v>
      </c>
      <c r="K35" s="11" t="s">
        <v>33</v>
      </c>
      <c r="L35" s="11" t="s">
        <v>1002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1083</v>
      </c>
      <c r="D36" s="11" t="s">
        <v>1084</v>
      </c>
      <c r="E36" s="11" t="s">
        <v>1085</v>
      </c>
      <c r="F36" s="12">
        <v>7</v>
      </c>
      <c r="G36" s="12">
        <v>920</v>
      </c>
      <c r="H36" s="12">
        <v>30</v>
      </c>
      <c r="I36" s="12">
        <f t="shared" si="0"/>
        <v>890</v>
      </c>
      <c r="J36" s="11" t="s">
        <v>119</v>
      </c>
      <c r="K36" s="11" t="s">
        <v>33</v>
      </c>
      <c r="L36" s="11" t="s">
        <v>1002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1086</v>
      </c>
      <c r="D37" s="11" t="s">
        <v>1087</v>
      </c>
      <c r="E37" s="11" t="s">
        <v>1088</v>
      </c>
      <c r="F37" s="12">
        <v>7</v>
      </c>
      <c r="G37" s="12">
        <v>850</v>
      </c>
      <c r="H37" s="12">
        <v>30</v>
      </c>
      <c r="I37" s="12">
        <f t="shared" si="0"/>
        <v>820</v>
      </c>
      <c r="J37" s="11" t="s">
        <v>119</v>
      </c>
      <c r="K37" s="11" t="s">
        <v>33</v>
      </c>
      <c r="L37" s="11" t="s">
        <v>1002</v>
      </c>
      <c r="M37" s="11"/>
      <c r="N37" s="11"/>
      <c r="O37" s="11"/>
      <c r="P37" s="11"/>
      <c r="Q37" s="11">
        <v>1</v>
      </c>
    </row>
    <row r="38" spans="1:18" s="15" customFormat="1" x14ac:dyDescent="0.25">
      <c r="A38" s="13"/>
      <c r="B38" s="13" t="s">
        <v>27</v>
      </c>
      <c r="C38" s="13" t="s">
        <v>987</v>
      </c>
      <c r="D38" s="13" t="s">
        <v>1089</v>
      </c>
      <c r="E38" s="13" t="s">
        <v>1090</v>
      </c>
      <c r="F38" s="14">
        <v>10</v>
      </c>
      <c r="G38" s="14">
        <v>25</v>
      </c>
      <c r="H38" s="14">
        <v>25</v>
      </c>
      <c r="I38" s="14">
        <f t="shared" si="0"/>
        <v>0</v>
      </c>
      <c r="J38" s="13" t="s">
        <v>119</v>
      </c>
      <c r="K38" s="13" t="s">
        <v>33</v>
      </c>
      <c r="L38" s="13" t="s">
        <v>1002</v>
      </c>
      <c r="M38" s="13" t="s">
        <v>100</v>
      </c>
      <c r="N38" s="13"/>
      <c r="O38" s="13"/>
      <c r="P38" s="13"/>
      <c r="Q38" s="13">
        <v>1</v>
      </c>
    </row>
    <row r="39" spans="1:18" x14ac:dyDescent="0.25">
      <c r="A39" s="11" t="s">
        <v>59</v>
      </c>
      <c r="B39" s="11" t="s">
        <v>27</v>
      </c>
      <c r="C39" s="11" t="s">
        <v>1091</v>
      </c>
      <c r="D39" s="11"/>
      <c r="E39" s="11" t="s">
        <v>1092</v>
      </c>
      <c r="F39" s="12">
        <v>5</v>
      </c>
      <c r="G39" s="12">
        <v>1480</v>
      </c>
      <c r="H39" s="12">
        <v>30</v>
      </c>
      <c r="I39" s="12">
        <f t="shared" si="0"/>
        <v>1450</v>
      </c>
      <c r="J39" s="11" t="s">
        <v>119</v>
      </c>
      <c r="K39" s="11" t="s">
        <v>33</v>
      </c>
      <c r="L39" s="11" t="s">
        <v>1002</v>
      </c>
      <c r="M39" s="11"/>
      <c r="N39" s="11"/>
      <c r="O39" s="11"/>
      <c r="P39" s="11"/>
      <c r="Q39" s="11">
        <v>1</v>
      </c>
    </row>
    <row r="40" spans="1:18" x14ac:dyDescent="0.25">
      <c r="A40" s="11" t="s">
        <v>59</v>
      </c>
      <c r="B40" s="11" t="s">
        <v>27</v>
      </c>
      <c r="C40" s="11" t="s">
        <v>359</v>
      </c>
      <c r="D40" s="11"/>
      <c r="E40" s="11" t="s">
        <v>360</v>
      </c>
      <c r="F40" s="11" t="s">
        <v>44</v>
      </c>
      <c r="G40" s="12">
        <v>0</v>
      </c>
      <c r="H40" s="12">
        <v>40</v>
      </c>
      <c r="I40" s="12">
        <f t="shared" si="0"/>
        <v>-40</v>
      </c>
      <c r="J40" s="11" t="s">
        <v>119</v>
      </c>
      <c r="K40" s="11" t="s">
        <v>33</v>
      </c>
      <c r="L40" s="11" t="s">
        <v>1002</v>
      </c>
      <c r="M40" s="11"/>
      <c r="N40" s="11"/>
      <c r="O40" s="11"/>
      <c r="P40" s="11"/>
      <c r="Q40" s="11">
        <v>1</v>
      </c>
      <c r="R40" s="5">
        <f>H40</f>
        <v>40</v>
      </c>
    </row>
    <row r="42" spans="1:18" x14ac:dyDescent="0.25">
      <c r="D42" s="1">
        <f>COUNTA(D3:D40)</f>
        <v>29</v>
      </c>
      <c r="G42" s="1">
        <f t="shared" ref="G42:Q42" si="1">SUBTOTAL(9,G3:G40)</f>
        <v>27340</v>
      </c>
      <c r="H42" s="1">
        <f t="shared" si="1"/>
        <v>1160</v>
      </c>
      <c r="I42" s="1">
        <f t="shared" si="1"/>
        <v>26180</v>
      </c>
      <c r="J42" s="1">
        <f t="shared" si="1"/>
        <v>0</v>
      </c>
      <c r="K42" s="1">
        <f t="shared" si="1"/>
        <v>0</v>
      </c>
      <c r="L42" s="1">
        <f t="shared" si="1"/>
        <v>0</v>
      </c>
      <c r="M42" s="1">
        <f t="shared" si="1"/>
        <v>0</v>
      </c>
      <c r="N42" s="1">
        <f t="shared" si="1"/>
        <v>0</v>
      </c>
      <c r="O42" s="1">
        <f t="shared" si="1"/>
        <v>0</v>
      </c>
      <c r="P42" s="1">
        <f t="shared" si="1"/>
        <v>0</v>
      </c>
      <c r="Q42" s="1">
        <f t="shared" si="1"/>
        <v>38</v>
      </c>
    </row>
    <row r="43" spans="1:18" x14ac:dyDescent="0.25">
      <c r="H43">
        <f>-9*17</f>
        <v>-153</v>
      </c>
    </row>
    <row r="44" spans="1:18" x14ac:dyDescent="0.25">
      <c r="A44" s="1" t="s">
        <v>27</v>
      </c>
      <c r="C44" s="60" t="s">
        <v>158</v>
      </c>
      <c r="D44" s="60"/>
      <c r="E44" s="4" t="s">
        <v>159</v>
      </c>
      <c r="H44">
        <f>-4*25</f>
        <v>-100</v>
      </c>
      <c r="K44" s="6" t="s">
        <v>1001</v>
      </c>
      <c r="L44" s="6" t="s">
        <v>160</v>
      </c>
      <c r="M44" s="6" t="s">
        <v>159</v>
      </c>
      <c r="O44" s="4" t="s">
        <v>161</v>
      </c>
    </row>
    <row r="45" spans="1:18" x14ac:dyDescent="0.25">
      <c r="A45" t="s">
        <v>1002</v>
      </c>
      <c r="B45" s="3" t="s">
        <v>162</v>
      </c>
      <c r="C45" s="61">
        <f>SUMIFS(I$3:I$40,B$3:B$40,A$44,L$3:L$40,A$45)</f>
        <v>26180</v>
      </c>
      <c r="D45" s="61"/>
      <c r="E45" s="3">
        <f>SUMIFS(Q$3:Q$40,B$3:B$40,A$44,L$3:L$40,A$45)</f>
        <v>38</v>
      </c>
      <c r="F45" t="s">
        <v>163</v>
      </c>
      <c r="H45">
        <f>-1*30</f>
        <v>-30</v>
      </c>
      <c r="K45" t="s">
        <v>164</v>
      </c>
      <c r="L45">
        <f>SUMIFS(G$3:G$40,J$3:J$40,K$44)</f>
        <v>13745</v>
      </c>
      <c r="M45">
        <f>SUMIFS(Q$3:Q$40,J$3:J$40,K$44)-INT(COUNTIFS(J$3:J$40,K$44,M$3:M$40,"*gộp*")/2)</f>
        <v>14</v>
      </c>
      <c r="O45" t="s">
        <v>1093</v>
      </c>
      <c r="P45">
        <f>L50</f>
        <v>13462</v>
      </c>
    </row>
    <row r="46" spans="1:18" x14ac:dyDescent="0.25">
      <c r="B46" s="2" t="s">
        <v>166</v>
      </c>
      <c r="C46" s="62">
        <v>0</v>
      </c>
      <c r="D46" s="62"/>
      <c r="K46" t="s">
        <v>167</v>
      </c>
      <c r="L46">
        <f>SUM(H43:H45)</f>
        <v>-283</v>
      </c>
      <c r="M46">
        <f>SUMIFS(Q$3:Q$40,J$3:J$40,K$44)-INT(COUNTIFS(J$3:J$40,K$44,M$3:M$40,"*gộp*")/2)</f>
        <v>14</v>
      </c>
      <c r="O46" t="s">
        <v>119</v>
      </c>
      <c r="P46">
        <f>L58</f>
        <v>6368</v>
      </c>
    </row>
    <row r="47" spans="1:18" x14ac:dyDescent="0.25">
      <c r="B47" s="2" t="s">
        <v>168</v>
      </c>
      <c r="C47" s="62">
        <f>-SUMIFS(I$3:I$40,B$3:B$40,A$44,P$3:P$40,"xx",N$3:N$40,"x")</f>
        <v>0</v>
      </c>
      <c r="D47" s="62"/>
      <c r="E47" s="2">
        <f>SUMIFS(Q$3:Q$40,B$3:B$40,A$44,P$3:P$40,"xx",N$3:N$40,"x")</f>
        <v>0</v>
      </c>
      <c r="K47" t="s">
        <v>169</v>
      </c>
      <c r="O47" t="s">
        <v>33</v>
      </c>
      <c r="P47">
        <f>L66</f>
        <v>6541</v>
      </c>
    </row>
    <row r="48" spans="1:18" x14ac:dyDescent="0.25">
      <c r="B48" s="4" t="s">
        <v>170</v>
      </c>
      <c r="C48" s="60">
        <f>SUBTOTAL(9,C45:C47)</f>
        <v>26180</v>
      </c>
      <c r="D48" s="60"/>
      <c r="E48">
        <f>E45</f>
        <v>38</v>
      </c>
      <c r="K48" s="7" t="s">
        <v>155</v>
      </c>
      <c r="O48" t="s">
        <v>171</v>
      </c>
      <c r="P48">
        <f>-C52</f>
        <v>-26180</v>
      </c>
    </row>
    <row r="49" spans="2:16" x14ac:dyDescent="0.25">
      <c r="B49" s="2" t="s">
        <v>172</v>
      </c>
      <c r="C49" s="58"/>
      <c r="D49" s="58"/>
      <c r="K49" s="2" t="s">
        <v>173</v>
      </c>
      <c r="O49" s="4" t="s">
        <v>174</v>
      </c>
      <c r="P49" s="4">
        <f>SUBTOTAL(9,P45:P48)</f>
        <v>191</v>
      </c>
    </row>
    <row r="50" spans="2:16" x14ac:dyDescent="0.25">
      <c r="B50" s="8" t="s">
        <v>175</v>
      </c>
      <c r="C50" s="58"/>
      <c r="D50" s="58"/>
      <c r="L50" s="9">
        <f>SUBTOTAL(9,L45:L49)</f>
        <v>13462</v>
      </c>
      <c r="M50" s="9">
        <f>M45</f>
        <v>14</v>
      </c>
    </row>
    <row r="52" spans="2:16" x14ac:dyDescent="0.25">
      <c r="B52" s="1" t="s">
        <v>176</v>
      </c>
      <c r="C52" s="59">
        <f>C48+C49+C50</f>
        <v>26180</v>
      </c>
      <c r="D52" s="59"/>
      <c r="E52" s="1" t="s">
        <v>177</v>
      </c>
      <c r="K52" s="6" t="s">
        <v>119</v>
      </c>
      <c r="L52" s="6" t="s">
        <v>160</v>
      </c>
      <c r="M52" s="6" t="s">
        <v>159</v>
      </c>
    </row>
    <row r="53" spans="2:16" x14ac:dyDescent="0.25">
      <c r="K53" t="s">
        <v>164</v>
      </c>
      <c r="L53">
        <f>SUMIFS(G$3:G$40,J$3:J$40,K$52)</f>
        <v>6620</v>
      </c>
      <c r="M53">
        <f>SUMIFS(Q$3:Q$40,J$3:J$40,K$52)-INT(COUNTIFS(J$3:J$40,K$52,M$3:M$40,"*gộp*")/2)</f>
        <v>10</v>
      </c>
    </row>
    <row r="54" spans="2:16" x14ac:dyDescent="0.25">
      <c r="K54" t="s">
        <v>167</v>
      </c>
      <c r="L54">
        <f>-SUMIFS(H$3:H$40,J$3:J$40,K$52)+M54*5</f>
        <v>-250</v>
      </c>
      <c r="M54">
        <f>SUMIFS(Q$3:Q$40,J$3:J$40,K$52)-INT(COUNTIFS(J$3:J$40,K$52,M$3:M$40,"*gộp*")/2)</f>
        <v>10</v>
      </c>
    </row>
    <row r="55" spans="2:16" x14ac:dyDescent="0.25">
      <c r="K55" t="s">
        <v>169</v>
      </c>
      <c r="L55">
        <f>-M55*2</f>
        <v>-2</v>
      </c>
      <c r="M55">
        <v>1</v>
      </c>
    </row>
    <row r="56" spans="2:16" x14ac:dyDescent="0.25">
      <c r="K56" s="7" t="s">
        <v>155</v>
      </c>
    </row>
    <row r="57" spans="2:16" x14ac:dyDescent="0.25">
      <c r="K57" s="2" t="s">
        <v>173</v>
      </c>
    </row>
    <row r="58" spans="2:16" x14ac:dyDescent="0.25">
      <c r="L58" s="9">
        <f>SUBTOTAL(9,L53:L57)</f>
        <v>6368</v>
      </c>
      <c r="M58" s="9">
        <f>M53</f>
        <v>10</v>
      </c>
    </row>
    <row r="60" spans="2:16" x14ac:dyDescent="0.25">
      <c r="K60" s="6" t="s">
        <v>33</v>
      </c>
      <c r="L60" s="6" t="s">
        <v>160</v>
      </c>
      <c r="M60" s="6" t="s">
        <v>159</v>
      </c>
    </row>
    <row r="61" spans="2:16" x14ac:dyDescent="0.25">
      <c r="K61" t="s">
        <v>164</v>
      </c>
      <c r="L61">
        <f>SUMIFS(G$3:G$40,J$3:J$40,K$60)</f>
        <v>6975</v>
      </c>
      <c r="M61">
        <f>SUMIFS(Q$3:Q$40,J$3:J$40,K$60)-INT(COUNTIFS(J$3:J$40,K$60,M$3:M$40,"*gộp*")/2)</f>
        <v>14</v>
      </c>
    </row>
    <row r="62" spans="2:16" x14ac:dyDescent="0.25">
      <c r="K62" t="s">
        <v>167</v>
      </c>
      <c r="L62">
        <f>-SUMIFS(H$3:H$40,J$3:J$40,K$60)+M62*5</f>
        <v>-360</v>
      </c>
      <c r="M62">
        <f>SUMIFS(Q$3:Q$40,J$3:J$40,K$60)-INT(COUNTIFS(J$3:J$40,K$60,M$3:M$40,"*gộp*")/2)</f>
        <v>14</v>
      </c>
    </row>
    <row r="63" spans="2:16" x14ac:dyDescent="0.25">
      <c r="K63" t="s">
        <v>169</v>
      </c>
      <c r="L63">
        <f>-M63*2</f>
        <v>-74</v>
      </c>
      <c r="M63">
        <f>E48-1-(COUNTIFS(M$3:M$40,"*gộp*")/2)-COUNTIFS(M$3:M$40,"*đơn trả*")-COUNTIFS(M$3:M$40,"*hàng tỉnh*")</f>
        <v>37</v>
      </c>
    </row>
    <row r="64" spans="2:16" x14ac:dyDescent="0.25">
      <c r="K64" s="7" t="s">
        <v>155</v>
      </c>
    </row>
    <row r="65" spans="11:13" x14ac:dyDescent="0.25">
      <c r="K65" s="2" t="s">
        <v>173</v>
      </c>
    </row>
    <row r="66" spans="11:13" x14ac:dyDescent="0.25">
      <c r="L66" s="9">
        <f>SUBTOTAL(9,L61:L65)</f>
        <v>6541</v>
      </c>
      <c r="M66" s="9">
        <f>M61</f>
        <v>14</v>
      </c>
    </row>
  </sheetData>
  <autoFilter ref="A2:P40" xr:uid="{00000000-0009-0000-0000-00000C000000}">
    <sortState xmlns:xlrd2="http://schemas.microsoft.com/office/spreadsheetml/2017/richdata2" ref="A3:P40">
      <sortCondition ref="J2:J40"/>
    </sortState>
  </autoFilter>
  <mergeCells count="8">
    <mergeCell ref="C49:D49"/>
    <mergeCell ref="C50:D50"/>
    <mergeCell ref="C52:D52"/>
    <mergeCell ref="C44:D44"/>
    <mergeCell ref="C45:D45"/>
    <mergeCell ref="C46:D46"/>
    <mergeCell ref="C47:D47"/>
    <mergeCell ref="C48:D48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R62"/>
  <sheetViews>
    <sheetView topLeftCell="A31" workbookViewId="0">
      <selection activeCell="A7" sqref="A7"/>
    </sheetView>
  </sheetViews>
  <sheetFormatPr defaultRowHeight="15" x14ac:dyDescent="0.25"/>
  <cols>
    <col min="1" max="1" width="12.7109375" customWidth="1"/>
    <col min="2" max="2" width="9" customWidth="1"/>
    <col min="3" max="3" width="36.5703125" customWidth="1"/>
    <col min="4" max="4" width="9.85546875" customWidth="1"/>
    <col min="5" max="5" width="61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 t="s">
        <v>59</v>
      </c>
      <c r="B3" s="11" t="s">
        <v>27</v>
      </c>
      <c r="C3" s="11" t="s">
        <v>209</v>
      </c>
      <c r="D3" s="11"/>
      <c r="E3" s="11" t="s">
        <v>210</v>
      </c>
      <c r="F3" s="12">
        <v>6</v>
      </c>
      <c r="G3" s="12">
        <v>30</v>
      </c>
      <c r="H3" s="12">
        <v>30</v>
      </c>
      <c r="I3" s="12">
        <f t="shared" ref="I3:I36" si="0">G3-H3</f>
        <v>0</v>
      </c>
      <c r="J3" s="11" t="s">
        <v>1094</v>
      </c>
      <c r="K3" s="11" t="s">
        <v>33</v>
      </c>
      <c r="L3" s="11" t="s">
        <v>1095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1096</v>
      </c>
      <c r="D4" s="11" t="s">
        <v>1097</v>
      </c>
      <c r="E4" s="11" t="s">
        <v>1098</v>
      </c>
      <c r="F4" s="11" t="s">
        <v>444</v>
      </c>
      <c r="G4" s="12">
        <v>0</v>
      </c>
      <c r="H4" s="12">
        <v>35</v>
      </c>
      <c r="I4" s="12">
        <f t="shared" si="0"/>
        <v>-35</v>
      </c>
      <c r="J4" s="11" t="s">
        <v>1094</v>
      </c>
      <c r="K4" s="11" t="s">
        <v>33</v>
      </c>
      <c r="L4" s="11" t="s">
        <v>1095</v>
      </c>
      <c r="M4" s="11"/>
      <c r="N4" s="11"/>
      <c r="O4" s="11"/>
      <c r="P4" s="11"/>
      <c r="Q4" s="11">
        <v>1</v>
      </c>
      <c r="R4" s="5">
        <f>H4</f>
        <v>35</v>
      </c>
    </row>
    <row r="5" spans="1:18" x14ac:dyDescent="0.25">
      <c r="A5" s="11"/>
      <c r="B5" s="11" t="s">
        <v>27</v>
      </c>
      <c r="C5" s="11" t="s">
        <v>187</v>
      </c>
      <c r="D5" s="11" t="s">
        <v>1099</v>
      </c>
      <c r="E5" s="11" t="s">
        <v>1100</v>
      </c>
      <c r="F5" s="11" t="s">
        <v>48</v>
      </c>
      <c r="G5" s="12">
        <v>0</v>
      </c>
      <c r="H5" s="12">
        <v>30</v>
      </c>
      <c r="I5" s="12">
        <f t="shared" si="0"/>
        <v>-30</v>
      </c>
      <c r="J5" s="11" t="s">
        <v>1094</v>
      </c>
      <c r="K5" s="11" t="s">
        <v>33</v>
      </c>
      <c r="L5" s="11" t="s">
        <v>1095</v>
      </c>
      <c r="M5" s="11"/>
      <c r="N5" s="11"/>
      <c r="O5" s="11"/>
      <c r="P5" s="11"/>
      <c r="Q5" s="11">
        <v>1</v>
      </c>
      <c r="R5" s="5">
        <f>H5</f>
        <v>30</v>
      </c>
    </row>
    <row r="6" spans="1:18" x14ac:dyDescent="0.25">
      <c r="A6" s="11"/>
      <c r="B6" s="11" t="s">
        <v>27</v>
      </c>
      <c r="C6" s="11" t="s">
        <v>1101</v>
      </c>
      <c r="D6" s="11" t="s">
        <v>1102</v>
      </c>
      <c r="E6" s="11" t="s">
        <v>1103</v>
      </c>
      <c r="F6" s="12">
        <v>6</v>
      </c>
      <c r="G6" s="12">
        <v>0</v>
      </c>
      <c r="H6" s="12">
        <v>25</v>
      </c>
      <c r="I6" s="12">
        <f t="shared" si="0"/>
        <v>-25</v>
      </c>
      <c r="J6" s="11" t="s">
        <v>1094</v>
      </c>
      <c r="K6" s="11" t="s">
        <v>33</v>
      </c>
      <c r="L6" s="11" t="s">
        <v>1095</v>
      </c>
      <c r="M6" s="11"/>
      <c r="N6" s="11"/>
      <c r="O6" s="11"/>
      <c r="P6" s="11"/>
      <c r="Q6" s="11">
        <v>1</v>
      </c>
      <c r="R6" s="5">
        <f>H6</f>
        <v>25</v>
      </c>
    </row>
    <row r="7" spans="1:18" x14ac:dyDescent="0.25">
      <c r="A7" s="11"/>
      <c r="B7" s="11" t="s">
        <v>27</v>
      </c>
      <c r="C7" s="11" t="s">
        <v>1104</v>
      </c>
      <c r="D7" s="11" t="s">
        <v>1105</v>
      </c>
      <c r="E7" s="11" t="s">
        <v>1106</v>
      </c>
      <c r="F7" s="11" t="s">
        <v>31</v>
      </c>
      <c r="G7" s="12">
        <v>885</v>
      </c>
      <c r="H7" s="12">
        <v>25</v>
      </c>
      <c r="I7" s="12">
        <f t="shared" si="0"/>
        <v>860</v>
      </c>
      <c r="J7" s="11" t="s">
        <v>1094</v>
      </c>
      <c r="K7" s="11" t="s">
        <v>33</v>
      </c>
      <c r="L7" s="11" t="s">
        <v>1095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1107</v>
      </c>
      <c r="D8" s="11" t="s">
        <v>1108</v>
      </c>
      <c r="E8" s="11" t="s">
        <v>1109</v>
      </c>
      <c r="F8" s="11" t="s">
        <v>55</v>
      </c>
      <c r="G8" s="12">
        <v>895</v>
      </c>
      <c r="H8" s="12">
        <v>35</v>
      </c>
      <c r="I8" s="12">
        <f t="shared" si="0"/>
        <v>860</v>
      </c>
      <c r="J8" s="11" t="s">
        <v>1094</v>
      </c>
      <c r="K8" s="11" t="s">
        <v>33</v>
      </c>
      <c r="L8" s="11" t="s">
        <v>1095</v>
      </c>
      <c r="M8" s="11"/>
      <c r="N8" s="11"/>
      <c r="O8" s="11"/>
      <c r="P8" s="11"/>
      <c r="Q8" s="11">
        <v>1</v>
      </c>
    </row>
    <row r="9" spans="1:18" x14ac:dyDescent="0.25">
      <c r="A9" s="11" t="s">
        <v>59</v>
      </c>
      <c r="B9" s="11" t="s">
        <v>27</v>
      </c>
      <c r="C9" s="11" t="s">
        <v>1110</v>
      </c>
      <c r="D9" s="11"/>
      <c r="E9" s="11" t="s">
        <v>1111</v>
      </c>
      <c r="F9" s="11" t="s">
        <v>78</v>
      </c>
      <c r="G9" s="12">
        <v>1615</v>
      </c>
      <c r="H9" s="12">
        <v>25</v>
      </c>
      <c r="I9" s="12">
        <f t="shared" si="0"/>
        <v>1590</v>
      </c>
      <c r="J9" s="11" t="s">
        <v>33</v>
      </c>
      <c r="K9" s="11" t="s">
        <v>33</v>
      </c>
      <c r="L9" s="11" t="s">
        <v>1095</v>
      </c>
      <c r="M9" s="11"/>
      <c r="N9" s="11"/>
      <c r="O9" s="11"/>
      <c r="P9" s="11"/>
      <c r="Q9" s="11">
        <v>1</v>
      </c>
    </row>
    <row r="10" spans="1:18" x14ac:dyDescent="0.25">
      <c r="A10" s="11" t="s">
        <v>59</v>
      </c>
      <c r="B10" s="11" t="s">
        <v>27</v>
      </c>
      <c r="C10" s="11" t="s">
        <v>109</v>
      </c>
      <c r="D10" s="11"/>
      <c r="E10" s="11" t="s">
        <v>497</v>
      </c>
      <c r="F10" s="11" t="s">
        <v>68</v>
      </c>
      <c r="G10" s="12">
        <v>30</v>
      </c>
      <c r="H10" s="12">
        <v>30</v>
      </c>
      <c r="I10" s="12">
        <f t="shared" si="0"/>
        <v>0</v>
      </c>
      <c r="J10" s="11" t="s">
        <v>33</v>
      </c>
      <c r="K10" s="11" t="s">
        <v>33</v>
      </c>
      <c r="L10" s="11" t="s">
        <v>1095</v>
      </c>
      <c r="M10" s="11"/>
      <c r="N10" s="11"/>
      <c r="O10" s="11"/>
      <c r="P10" s="11"/>
      <c r="Q10" s="11">
        <v>1</v>
      </c>
    </row>
    <row r="11" spans="1:18" x14ac:dyDescent="0.25">
      <c r="A11" s="11" t="s">
        <v>59</v>
      </c>
      <c r="B11" s="11" t="s">
        <v>27</v>
      </c>
      <c r="C11" s="11" t="s">
        <v>301</v>
      </c>
      <c r="D11" s="11"/>
      <c r="E11" s="11" t="s">
        <v>1112</v>
      </c>
      <c r="F11" s="11" t="s">
        <v>44</v>
      </c>
      <c r="G11" s="12">
        <v>45</v>
      </c>
      <c r="H11" s="12">
        <v>45</v>
      </c>
      <c r="I11" s="12">
        <f t="shared" si="0"/>
        <v>0</v>
      </c>
      <c r="J11" s="11" t="s">
        <v>33</v>
      </c>
      <c r="K11" s="11" t="s">
        <v>33</v>
      </c>
      <c r="L11" s="11" t="s">
        <v>1095</v>
      </c>
      <c r="M11" s="11"/>
      <c r="N11" s="11"/>
      <c r="O11" s="11"/>
      <c r="P11" s="11"/>
      <c r="Q11" s="11">
        <v>1</v>
      </c>
    </row>
    <row r="12" spans="1:18" x14ac:dyDescent="0.25">
      <c r="A12" s="11" t="s">
        <v>59</v>
      </c>
      <c r="B12" s="11" t="s">
        <v>27</v>
      </c>
      <c r="C12" s="11" t="s">
        <v>107</v>
      </c>
      <c r="D12" s="11"/>
      <c r="E12" s="11" t="s">
        <v>1113</v>
      </c>
      <c r="F12" s="11" t="s">
        <v>68</v>
      </c>
      <c r="G12" s="12">
        <v>2030</v>
      </c>
      <c r="H12" s="12">
        <v>30</v>
      </c>
      <c r="I12" s="12">
        <f t="shared" si="0"/>
        <v>2000</v>
      </c>
      <c r="J12" s="11" t="s">
        <v>33</v>
      </c>
      <c r="K12" s="11" t="s">
        <v>33</v>
      </c>
      <c r="L12" s="11" t="s">
        <v>1095</v>
      </c>
      <c r="M12" s="11"/>
      <c r="N12" s="11"/>
      <c r="O12" s="11"/>
      <c r="P12" s="11"/>
      <c r="Q12" s="11">
        <v>1</v>
      </c>
    </row>
    <row r="13" spans="1:18" x14ac:dyDescent="0.25">
      <c r="A13" s="11" t="s">
        <v>59</v>
      </c>
      <c r="B13" s="11" t="s">
        <v>27</v>
      </c>
      <c r="C13" s="11" t="s">
        <v>927</v>
      </c>
      <c r="D13" s="11"/>
      <c r="E13" s="11" t="s">
        <v>1114</v>
      </c>
      <c r="F13" s="11" t="s">
        <v>44</v>
      </c>
      <c r="G13" s="12">
        <v>30</v>
      </c>
      <c r="H13" s="12">
        <v>30</v>
      </c>
      <c r="I13" s="12">
        <f t="shared" si="0"/>
        <v>0</v>
      </c>
      <c r="J13" s="11" t="s">
        <v>33</v>
      </c>
      <c r="K13" s="11" t="s">
        <v>33</v>
      </c>
      <c r="L13" s="11" t="s">
        <v>1095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254</v>
      </c>
      <c r="D14" s="11" t="s">
        <v>1115</v>
      </c>
      <c r="E14" s="11" t="s">
        <v>256</v>
      </c>
      <c r="F14" s="11" t="s">
        <v>104</v>
      </c>
      <c r="G14" s="12">
        <v>720</v>
      </c>
      <c r="H14" s="12">
        <v>30</v>
      </c>
      <c r="I14" s="12">
        <f t="shared" si="0"/>
        <v>690</v>
      </c>
      <c r="J14" s="11" t="s">
        <v>33</v>
      </c>
      <c r="K14" s="11" t="s">
        <v>33</v>
      </c>
      <c r="L14" s="11" t="s">
        <v>1095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1116</v>
      </c>
      <c r="D15" s="11" t="s">
        <v>1117</v>
      </c>
      <c r="E15" s="11" t="s">
        <v>1118</v>
      </c>
      <c r="F15" s="11" t="s">
        <v>44</v>
      </c>
      <c r="G15" s="12">
        <v>915</v>
      </c>
      <c r="H15" s="12">
        <v>25</v>
      </c>
      <c r="I15" s="12">
        <f t="shared" si="0"/>
        <v>890</v>
      </c>
      <c r="J15" s="11" t="s">
        <v>33</v>
      </c>
      <c r="K15" s="11" t="s">
        <v>33</v>
      </c>
      <c r="L15" s="11" t="s">
        <v>1095</v>
      </c>
      <c r="M15" s="11"/>
      <c r="N15" s="11"/>
      <c r="O15" s="11"/>
      <c r="P15" s="11"/>
      <c r="Q15" s="11">
        <v>1</v>
      </c>
    </row>
    <row r="16" spans="1:18" s="15" customFormat="1" x14ac:dyDescent="0.25">
      <c r="A16" s="13"/>
      <c r="B16" s="13" t="s">
        <v>27</v>
      </c>
      <c r="C16" s="13" t="s">
        <v>1119</v>
      </c>
      <c r="D16" s="13" t="s">
        <v>1120</v>
      </c>
      <c r="E16" s="13" t="s">
        <v>1121</v>
      </c>
      <c r="F16" s="14">
        <v>2</v>
      </c>
      <c r="G16" s="14">
        <v>30</v>
      </c>
      <c r="H16" s="14">
        <v>30</v>
      </c>
      <c r="I16" s="14">
        <f t="shared" si="0"/>
        <v>0</v>
      </c>
      <c r="J16" s="13" t="s">
        <v>33</v>
      </c>
      <c r="K16" s="13" t="s">
        <v>33</v>
      </c>
      <c r="L16" s="13" t="s">
        <v>1095</v>
      </c>
      <c r="M16" s="13" t="s">
        <v>100</v>
      </c>
      <c r="N16" s="13"/>
      <c r="O16" s="13"/>
      <c r="P16" s="13"/>
      <c r="Q16" s="13">
        <v>1</v>
      </c>
    </row>
    <row r="17" spans="1:18" s="15" customFormat="1" x14ac:dyDescent="0.25">
      <c r="A17" s="13"/>
      <c r="B17" s="13" t="s">
        <v>27</v>
      </c>
      <c r="C17" s="13" t="s">
        <v>1122</v>
      </c>
      <c r="D17" s="13" t="s">
        <v>1123</v>
      </c>
      <c r="E17" s="13" t="s">
        <v>1124</v>
      </c>
      <c r="F17" s="14">
        <v>12</v>
      </c>
      <c r="G17" s="14">
        <v>60</v>
      </c>
      <c r="H17" s="14">
        <v>30</v>
      </c>
      <c r="I17" s="14">
        <f t="shared" si="0"/>
        <v>30</v>
      </c>
      <c r="J17" s="13" t="s">
        <v>33</v>
      </c>
      <c r="K17" s="13" t="s">
        <v>33</v>
      </c>
      <c r="L17" s="13" t="s">
        <v>1095</v>
      </c>
      <c r="M17" s="13" t="s">
        <v>100</v>
      </c>
      <c r="N17" s="13"/>
      <c r="O17" s="13"/>
      <c r="P17" s="13"/>
      <c r="Q17" s="13">
        <v>1</v>
      </c>
    </row>
    <row r="18" spans="1:18" x14ac:dyDescent="0.25">
      <c r="A18" s="11"/>
      <c r="B18" s="11" t="s">
        <v>27</v>
      </c>
      <c r="C18" s="11" t="s">
        <v>1125</v>
      </c>
      <c r="D18" s="11" t="s">
        <v>1126</v>
      </c>
      <c r="E18" s="11" t="s">
        <v>1127</v>
      </c>
      <c r="F18" s="12">
        <v>12</v>
      </c>
      <c r="G18" s="12">
        <v>0</v>
      </c>
      <c r="H18" s="12">
        <v>30</v>
      </c>
      <c r="I18" s="12">
        <f t="shared" si="0"/>
        <v>-30</v>
      </c>
      <c r="J18" s="11" t="s">
        <v>33</v>
      </c>
      <c r="K18" s="11" t="s">
        <v>33</v>
      </c>
      <c r="L18" s="11" t="s">
        <v>1095</v>
      </c>
      <c r="M18" s="11"/>
      <c r="N18" s="11"/>
      <c r="O18" s="11"/>
      <c r="P18" s="11"/>
      <c r="Q18" s="11">
        <v>1</v>
      </c>
      <c r="R18" s="5">
        <f>H18</f>
        <v>30</v>
      </c>
    </row>
    <row r="19" spans="1:18" x14ac:dyDescent="0.25">
      <c r="A19" s="11" t="s">
        <v>59</v>
      </c>
      <c r="B19" s="11" t="s">
        <v>27</v>
      </c>
      <c r="C19" s="11" t="s">
        <v>1128</v>
      </c>
      <c r="D19" s="11"/>
      <c r="E19" s="11" t="s">
        <v>1129</v>
      </c>
      <c r="F19" s="12">
        <v>3</v>
      </c>
      <c r="G19" s="12">
        <v>2430</v>
      </c>
      <c r="H19" s="12">
        <v>30</v>
      </c>
      <c r="I19" s="12">
        <f t="shared" si="0"/>
        <v>2400</v>
      </c>
      <c r="J19" s="11" t="s">
        <v>119</v>
      </c>
      <c r="K19" s="11" t="s">
        <v>33</v>
      </c>
      <c r="L19" s="11" t="s">
        <v>1095</v>
      </c>
      <c r="M19" s="11"/>
      <c r="N19" s="11"/>
      <c r="O19" s="11"/>
      <c r="P19" s="11"/>
      <c r="Q19" s="11">
        <v>1</v>
      </c>
    </row>
    <row r="20" spans="1:18" x14ac:dyDescent="0.25">
      <c r="A20" s="11" t="s">
        <v>59</v>
      </c>
      <c r="B20" s="11" t="s">
        <v>27</v>
      </c>
      <c r="C20" s="11" t="s">
        <v>1130</v>
      </c>
      <c r="D20" s="11"/>
      <c r="E20" s="11" t="s">
        <v>300</v>
      </c>
      <c r="F20" s="12">
        <v>5</v>
      </c>
      <c r="G20" s="12">
        <v>0</v>
      </c>
      <c r="H20" s="12">
        <v>60</v>
      </c>
      <c r="I20" s="12">
        <f t="shared" si="0"/>
        <v>-60</v>
      </c>
      <c r="J20" s="11" t="s">
        <v>119</v>
      </c>
      <c r="K20" s="11" t="s">
        <v>33</v>
      </c>
      <c r="L20" s="11" t="s">
        <v>1095</v>
      </c>
      <c r="M20" s="11"/>
      <c r="N20" s="11"/>
      <c r="O20" s="11"/>
      <c r="P20" s="11"/>
      <c r="Q20" s="11">
        <v>1</v>
      </c>
      <c r="R20" s="5">
        <f>H20</f>
        <v>60</v>
      </c>
    </row>
    <row r="21" spans="1:18" x14ac:dyDescent="0.25">
      <c r="A21" s="11" t="s">
        <v>59</v>
      </c>
      <c r="B21" s="11" t="s">
        <v>27</v>
      </c>
      <c r="C21" s="11" t="s">
        <v>1131</v>
      </c>
      <c r="D21" s="11"/>
      <c r="E21" s="11" t="s">
        <v>1132</v>
      </c>
      <c r="F21" s="11" t="s">
        <v>202</v>
      </c>
      <c r="G21" s="12">
        <v>0</v>
      </c>
      <c r="H21" s="12">
        <v>40</v>
      </c>
      <c r="I21" s="12">
        <f t="shared" si="0"/>
        <v>-40</v>
      </c>
      <c r="J21" s="11" t="s">
        <v>119</v>
      </c>
      <c r="K21" s="11" t="s">
        <v>33</v>
      </c>
      <c r="L21" s="11" t="s">
        <v>1095</v>
      </c>
      <c r="M21" s="11"/>
      <c r="N21" s="11"/>
      <c r="O21" s="11"/>
      <c r="P21" s="11"/>
      <c r="Q21" s="11">
        <v>1</v>
      </c>
      <c r="R21" s="5">
        <f>H21</f>
        <v>40</v>
      </c>
    </row>
    <row r="22" spans="1:18" x14ac:dyDescent="0.25">
      <c r="A22" s="11"/>
      <c r="B22" s="11" t="s">
        <v>27</v>
      </c>
      <c r="C22" s="11" t="s">
        <v>1133</v>
      </c>
      <c r="D22" s="11" t="s">
        <v>1134</v>
      </c>
      <c r="E22" s="11" t="s">
        <v>1135</v>
      </c>
      <c r="F22" s="12">
        <v>5</v>
      </c>
      <c r="G22" s="12">
        <v>0</v>
      </c>
      <c r="H22" s="12">
        <v>25</v>
      </c>
      <c r="I22" s="12">
        <f t="shared" si="0"/>
        <v>-25</v>
      </c>
      <c r="J22" s="11" t="s">
        <v>119</v>
      </c>
      <c r="K22" s="11" t="s">
        <v>33</v>
      </c>
      <c r="L22" s="11" t="s">
        <v>1095</v>
      </c>
      <c r="M22" s="11"/>
      <c r="N22" s="11"/>
      <c r="O22" s="11"/>
      <c r="P22" s="11"/>
      <c r="Q22" s="11">
        <v>1</v>
      </c>
      <c r="R22" s="5">
        <f>H22</f>
        <v>25</v>
      </c>
    </row>
    <row r="23" spans="1:18" x14ac:dyDescent="0.25">
      <c r="A23" s="11"/>
      <c r="B23" s="11" t="s">
        <v>27</v>
      </c>
      <c r="C23" s="11" t="s">
        <v>1078</v>
      </c>
      <c r="D23" s="11" t="s">
        <v>1136</v>
      </c>
      <c r="E23" s="11" t="s">
        <v>1137</v>
      </c>
      <c r="F23" s="11" t="s">
        <v>55</v>
      </c>
      <c r="G23" s="12">
        <v>725</v>
      </c>
      <c r="H23" s="12">
        <v>35</v>
      </c>
      <c r="I23" s="12">
        <f t="shared" si="0"/>
        <v>690</v>
      </c>
      <c r="J23" s="11" t="s">
        <v>119</v>
      </c>
      <c r="K23" s="11" t="s">
        <v>33</v>
      </c>
      <c r="L23" s="11" t="s">
        <v>1095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1138</v>
      </c>
      <c r="D24" s="11" t="s">
        <v>1139</v>
      </c>
      <c r="E24" s="11" t="s">
        <v>1140</v>
      </c>
      <c r="F24" s="12">
        <v>3</v>
      </c>
      <c r="G24" s="12">
        <v>695</v>
      </c>
      <c r="H24" s="12">
        <v>25</v>
      </c>
      <c r="I24" s="12">
        <f t="shared" si="0"/>
        <v>670</v>
      </c>
      <c r="J24" s="11" t="s">
        <v>119</v>
      </c>
      <c r="K24" s="11" t="s">
        <v>33</v>
      </c>
      <c r="L24" s="11" t="s">
        <v>1095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1141</v>
      </c>
      <c r="D25" s="11" t="s">
        <v>1142</v>
      </c>
      <c r="E25" s="11" t="s">
        <v>1143</v>
      </c>
      <c r="F25" s="12">
        <v>1</v>
      </c>
      <c r="G25" s="12">
        <v>0</v>
      </c>
      <c r="H25" s="12">
        <v>25</v>
      </c>
      <c r="I25" s="12">
        <f t="shared" si="0"/>
        <v>-25</v>
      </c>
      <c r="J25" s="11" t="s">
        <v>119</v>
      </c>
      <c r="K25" s="11" t="s">
        <v>33</v>
      </c>
      <c r="L25" s="11" t="s">
        <v>1095</v>
      </c>
      <c r="M25" s="11"/>
      <c r="N25" s="11"/>
      <c r="O25" s="11"/>
      <c r="P25" s="11"/>
      <c r="Q25" s="11">
        <v>1</v>
      </c>
      <c r="R25" s="5">
        <f>H25</f>
        <v>25</v>
      </c>
    </row>
    <row r="26" spans="1:18" x14ac:dyDescent="0.25">
      <c r="A26" s="11"/>
      <c r="B26" s="11" t="s">
        <v>27</v>
      </c>
      <c r="C26" s="11" t="s">
        <v>1144</v>
      </c>
      <c r="D26" s="11" t="s">
        <v>1145</v>
      </c>
      <c r="E26" s="11" t="s">
        <v>1146</v>
      </c>
      <c r="F26" s="12">
        <v>7</v>
      </c>
      <c r="G26" s="12">
        <v>940</v>
      </c>
      <c r="H26" s="12">
        <v>30</v>
      </c>
      <c r="I26" s="12">
        <f t="shared" si="0"/>
        <v>910</v>
      </c>
      <c r="J26" s="11" t="s">
        <v>119</v>
      </c>
      <c r="K26" s="11" t="s">
        <v>33</v>
      </c>
      <c r="L26" s="11" t="s">
        <v>1095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1147</v>
      </c>
      <c r="D27" s="11" t="s">
        <v>1148</v>
      </c>
      <c r="E27" s="11" t="s">
        <v>1149</v>
      </c>
      <c r="F27" s="12">
        <v>1</v>
      </c>
      <c r="G27" s="12">
        <v>905</v>
      </c>
      <c r="H27" s="12">
        <v>25</v>
      </c>
      <c r="I27" s="12">
        <f t="shared" si="0"/>
        <v>880</v>
      </c>
      <c r="J27" s="11" t="s">
        <v>119</v>
      </c>
      <c r="K27" s="11" t="s">
        <v>33</v>
      </c>
      <c r="L27" s="11" t="s">
        <v>1095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1150</v>
      </c>
      <c r="D28" s="11" t="s">
        <v>1151</v>
      </c>
      <c r="E28" s="11" t="s">
        <v>1152</v>
      </c>
      <c r="F28" s="12">
        <v>7</v>
      </c>
      <c r="G28" s="12">
        <v>0</v>
      </c>
      <c r="H28" s="12">
        <v>30</v>
      </c>
      <c r="I28" s="12">
        <f t="shared" si="0"/>
        <v>-30</v>
      </c>
      <c r="J28" s="11" t="s">
        <v>119</v>
      </c>
      <c r="K28" s="11" t="s">
        <v>33</v>
      </c>
      <c r="L28" s="11" t="s">
        <v>1095</v>
      </c>
      <c r="M28" s="11"/>
      <c r="N28" s="11"/>
      <c r="O28" s="11"/>
      <c r="P28" s="11"/>
      <c r="Q28" s="11">
        <v>1</v>
      </c>
      <c r="R28" s="5">
        <f>H28</f>
        <v>30</v>
      </c>
    </row>
    <row r="29" spans="1:18" x14ac:dyDescent="0.25">
      <c r="A29" s="11"/>
      <c r="B29" s="11" t="s">
        <v>27</v>
      </c>
      <c r="C29" s="11" t="s">
        <v>758</v>
      </c>
      <c r="D29" s="11" t="s">
        <v>1153</v>
      </c>
      <c r="E29" s="11" t="s">
        <v>760</v>
      </c>
      <c r="F29" s="12">
        <v>10</v>
      </c>
      <c r="G29" s="12">
        <v>1525</v>
      </c>
      <c r="H29" s="12">
        <v>25</v>
      </c>
      <c r="I29" s="12">
        <f t="shared" si="0"/>
        <v>1500</v>
      </c>
      <c r="J29" s="11" t="s">
        <v>119</v>
      </c>
      <c r="K29" s="11" t="s">
        <v>33</v>
      </c>
      <c r="L29" s="11" t="s">
        <v>1095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1154</v>
      </c>
      <c r="D30" s="11" t="s">
        <v>1155</v>
      </c>
      <c r="E30" s="11" t="s">
        <v>1156</v>
      </c>
      <c r="F30" s="12">
        <v>10</v>
      </c>
      <c r="G30" s="12">
        <v>945</v>
      </c>
      <c r="H30" s="12">
        <v>25</v>
      </c>
      <c r="I30" s="12">
        <f t="shared" si="0"/>
        <v>920</v>
      </c>
      <c r="J30" s="11" t="s">
        <v>119</v>
      </c>
      <c r="K30" s="11" t="s">
        <v>33</v>
      </c>
      <c r="L30" s="11" t="s">
        <v>1095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1157</v>
      </c>
      <c r="D31" s="11" t="s">
        <v>1158</v>
      </c>
      <c r="E31" s="11" t="s">
        <v>1159</v>
      </c>
      <c r="F31" s="12">
        <v>7</v>
      </c>
      <c r="G31" s="12">
        <v>0</v>
      </c>
      <c r="H31" s="12">
        <v>30</v>
      </c>
      <c r="I31" s="12">
        <f t="shared" si="0"/>
        <v>-30</v>
      </c>
      <c r="J31" s="11" t="s">
        <v>119</v>
      </c>
      <c r="K31" s="11" t="s">
        <v>33</v>
      </c>
      <c r="L31" s="11" t="s">
        <v>1095</v>
      </c>
      <c r="M31" s="11"/>
      <c r="N31" s="11"/>
      <c r="O31" s="11"/>
      <c r="P31" s="11"/>
      <c r="Q31" s="11">
        <v>1</v>
      </c>
      <c r="R31" s="5">
        <f>H31</f>
        <v>30</v>
      </c>
    </row>
    <row r="32" spans="1:18" x14ac:dyDescent="0.25">
      <c r="A32" s="11"/>
      <c r="B32" s="11" t="s">
        <v>27</v>
      </c>
      <c r="C32" s="11" t="s">
        <v>1160</v>
      </c>
      <c r="D32" s="11" t="s">
        <v>1161</v>
      </c>
      <c r="E32" s="11" t="s">
        <v>1162</v>
      </c>
      <c r="F32" s="12">
        <v>8</v>
      </c>
      <c r="G32" s="12">
        <v>4000</v>
      </c>
      <c r="H32" s="12">
        <v>45</v>
      </c>
      <c r="I32" s="12">
        <f t="shared" si="0"/>
        <v>3955</v>
      </c>
      <c r="J32" s="11" t="s">
        <v>119</v>
      </c>
      <c r="K32" s="11" t="s">
        <v>33</v>
      </c>
      <c r="L32" s="11" t="s">
        <v>1095</v>
      </c>
      <c r="M32" s="24" t="s">
        <v>340</v>
      </c>
      <c r="N32" s="11"/>
      <c r="O32" s="11"/>
      <c r="P32" s="11"/>
      <c r="Q32" s="11">
        <v>1</v>
      </c>
      <c r="R32" s="5">
        <f>H32</f>
        <v>45</v>
      </c>
    </row>
    <row r="33" spans="1:17" x14ac:dyDescent="0.25">
      <c r="A33" s="11"/>
      <c r="B33" s="11" t="s">
        <v>27</v>
      </c>
      <c r="C33" s="11" t="s">
        <v>1163</v>
      </c>
      <c r="D33" s="11" t="s">
        <v>1164</v>
      </c>
      <c r="E33" s="11" t="s">
        <v>1165</v>
      </c>
      <c r="F33" s="12">
        <v>1</v>
      </c>
      <c r="G33" s="12">
        <v>685</v>
      </c>
      <c r="H33" s="12">
        <v>25</v>
      </c>
      <c r="I33" s="12">
        <f t="shared" si="0"/>
        <v>660</v>
      </c>
      <c r="J33" s="11" t="s">
        <v>119</v>
      </c>
      <c r="K33" s="11" t="s">
        <v>33</v>
      </c>
      <c r="L33" s="11" t="s">
        <v>1095</v>
      </c>
      <c r="M33" s="11"/>
      <c r="N33" s="11"/>
      <c r="O33" s="11"/>
      <c r="P33" s="11"/>
      <c r="Q33" s="11">
        <v>1</v>
      </c>
    </row>
    <row r="34" spans="1:17" x14ac:dyDescent="0.25">
      <c r="A34" s="11"/>
      <c r="B34" s="11" t="s">
        <v>27</v>
      </c>
      <c r="C34" s="11" t="s">
        <v>1166</v>
      </c>
      <c r="D34" s="11" t="s">
        <v>1167</v>
      </c>
      <c r="E34" s="11" t="s">
        <v>1168</v>
      </c>
      <c r="F34" s="12">
        <v>10</v>
      </c>
      <c r="G34" s="12">
        <v>1115</v>
      </c>
      <c r="H34" s="12">
        <v>25</v>
      </c>
      <c r="I34" s="12">
        <f t="shared" si="0"/>
        <v>1090</v>
      </c>
      <c r="J34" s="11" t="s">
        <v>119</v>
      </c>
      <c r="K34" s="11" t="s">
        <v>33</v>
      </c>
      <c r="L34" s="11" t="s">
        <v>1095</v>
      </c>
      <c r="M34" s="11"/>
      <c r="N34" s="11"/>
      <c r="O34" s="11"/>
      <c r="P34" s="11"/>
      <c r="Q34" s="11">
        <v>1</v>
      </c>
    </row>
    <row r="35" spans="1:17" x14ac:dyDescent="0.25">
      <c r="A35" s="11"/>
      <c r="B35" s="11" t="s">
        <v>27</v>
      </c>
      <c r="C35" s="11" t="s">
        <v>1169</v>
      </c>
      <c r="D35" s="11" t="s">
        <v>1170</v>
      </c>
      <c r="E35" s="11" t="s">
        <v>1171</v>
      </c>
      <c r="F35" s="12">
        <v>7</v>
      </c>
      <c r="G35" s="12">
        <v>790</v>
      </c>
      <c r="H35" s="12">
        <v>30</v>
      </c>
      <c r="I35" s="12">
        <f t="shared" si="0"/>
        <v>760</v>
      </c>
      <c r="J35" s="11" t="s">
        <v>119</v>
      </c>
      <c r="K35" s="11" t="s">
        <v>33</v>
      </c>
      <c r="L35" s="11" t="s">
        <v>1095</v>
      </c>
      <c r="M35" s="11"/>
      <c r="N35" s="11"/>
      <c r="O35" s="11"/>
      <c r="P35" s="11"/>
      <c r="Q35" s="11">
        <v>1</v>
      </c>
    </row>
    <row r="36" spans="1:17" s="2" customFormat="1" x14ac:dyDescent="0.25">
      <c r="A36" s="16"/>
      <c r="B36" s="16" t="s">
        <v>27</v>
      </c>
      <c r="C36" s="16" t="s">
        <v>1083</v>
      </c>
      <c r="D36" s="16" t="s">
        <v>1084</v>
      </c>
      <c r="E36" s="16" t="s">
        <v>1085</v>
      </c>
      <c r="F36" s="17">
        <v>7</v>
      </c>
      <c r="G36" s="17">
        <v>920</v>
      </c>
      <c r="H36" s="17">
        <v>30</v>
      </c>
      <c r="I36" s="17">
        <f t="shared" si="0"/>
        <v>890</v>
      </c>
      <c r="J36" s="16" t="s">
        <v>153</v>
      </c>
      <c r="K36" s="16" t="s">
        <v>33</v>
      </c>
      <c r="L36" s="16" t="s">
        <v>1002</v>
      </c>
      <c r="M36" s="16" t="s">
        <v>155</v>
      </c>
      <c r="N36" s="16" t="s">
        <v>156</v>
      </c>
      <c r="O36" s="16" t="s">
        <v>156</v>
      </c>
      <c r="P36" s="16" t="s">
        <v>157</v>
      </c>
      <c r="Q36" s="16">
        <v>1</v>
      </c>
    </row>
    <row r="38" spans="1:17" x14ac:dyDescent="0.25">
      <c r="D38" s="1">
        <f>COUNTA(D3:D36)</f>
        <v>25</v>
      </c>
      <c r="G38" s="1">
        <f t="shared" ref="G38:Q38" si="1">SUBTOTAL(9,G3:G36)</f>
        <v>22960</v>
      </c>
      <c r="H38" s="1">
        <f t="shared" si="1"/>
        <v>1045</v>
      </c>
      <c r="I38" s="1">
        <f t="shared" si="1"/>
        <v>21915</v>
      </c>
      <c r="J38" s="1">
        <f t="shared" si="1"/>
        <v>0</v>
      </c>
      <c r="K38" s="1">
        <f t="shared" si="1"/>
        <v>0</v>
      </c>
      <c r="L38" s="1">
        <f t="shared" si="1"/>
        <v>0</v>
      </c>
      <c r="M38" s="1">
        <f t="shared" si="1"/>
        <v>0</v>
      </c>
      <c r="N38" s="1">
        <f t="shared" si="1"/>
        <v>0</v>
      </c>
      <c r="O38" s="1">
        <f t="shared" si="1"/>
        <v>0</v>
      </c>
      <c r="P38" s="1">
        <f t="shared" si="1"/>
        <v>0</v>
      </c>
      <c r="Q38" s="1">
        <f t="shared" si="1"/>
        <v>34</v>
      </c>
    </row>
    <row r="39" spans="1:17" x14ac:dyDescent="0.25">
      <c r="H39">
        <f>-3*17</f>
        <v>-51</v>
      </c>
    </row>
    <row r="40" spans="1:17" x14ac:dyDescent="0.25">
      <c r="A40" s="1" t="s">
        <v>27</v>
      </c>
      <c r="C40" s="60" t="s">
        <v>158</v>
      </c>
      <c r="D40" s="60"/>
      <c r="E40" s="4" t="s">
        <v>159</v>
      </c>
      <c r="H40">
        <f>-1*25</f>
        <v>-25</v>
      </c>
      <c r="K40" s="6" t="s">
        <v>33</v>
      </c>
      <c r="L40" s="6" t="s">
        <v>160</v>
      </c>
      <c r="M40" s="6" t="s">
        <v>159</v>
      </c>
      <c r="O40" s="4" t="s">
        <v>161</v>
      </c>
    </row>
    <row r="41" spans="1:17" x14ac:dyDescent="0.25">
      <c r="A41" t="s">
        <v>1095</v>
      </c>
      <c r="B41" s="3" t="s">
        <v>162</v>
      </c>
      <c r="C41" s="61">
        <f>SUMIFS(I$3:I$36,B$3:B$36,A$40,L$3:L$36,A$41)</f>
        <v>21025</v>
      </c>
      <c r="D41" s="61"/>
      <c r="E41" s="3">
        <f>SUMIFS(Q$3:Q$36,B$3:B$36,A$40,L$3:L$36,A$41)</f>
        <v>33</v>
      </c>
      <c r="F41" t="s">
        <v>163</v>
      </c>
      <c r="H41">
        <f>-2*30</f>
        <v>-60</v>
      </c>
      <c r="K41" t="s">
        <v>164</v>
      </c>
      <c r="L41">
        <f>SUMIFS(G$3:G$36,J$3:J$36,K$40)</f>
        <v>5475</v>
      </c>
      <c r="M41">
        <f>SUMIFS(Q$3:Q$36,J$3:J$36,K$40)-INT(COUNTIFS(J$3:J$36,K$40,M$3:M$36,"*gộp*")/2)</f>
        <v>10</v>
      </c>
      <c r="O41" t="s">
        <v>33</v>
      </c>
      <c r="P41">
        <f>L46</f>
        <v>5156</v>
      </c>
    </row>
    <row r="42" spans="1:17" x14ac:dyDescent="0.25">
      <c r="B42" s="2" t="s">
        <v>166</v>
      </c>
      <c r="C42" s="62">
        <v>0</v>
      </c>
      <c r="D42" s="62"/>
      <c r="K42" t="s">
        <v>167</v>
      </c>
      <c r="L42">
        <f>-SUMIFS(H$3:H$36,J$3:J$36,K$40)+M42*5</f>
        <v>-255</v>
      </c>
      <c r="M42">
        <f>SUMIFS(Q$3:Q$36,J$3:J$36,K$40)-INT(COUNTIFS(J$3:J$36,K$40,M$3:M$36,"*gộp*")/2)</f>
        <v>10</v>
      </c>
      <c r="O42" t="s">
        <v>119</v>
      </c>
      <c r="P42">
        <f>L54</f>
        <v>13415</v>
      </c>
    </row>
    <row r="43" spans="1:17" x14ac:dyDescent="0.25">
      <c r="B43" s="2" t="s">
        <v>168</v>
      </c>
      <c r="C43" s="62">
        <f>-SUMIFS(I$3:I$36,B$3:B$36,A$40,P$3:P$36,"xx",N$3:N$36,"x")</f>
        <v>-890</v>
      </c>
      <c r="D43" s="62"/>
      <c r="E43" s="2">
        <f>SUMIFS(Q$3:Q$36,B$3:B$36,A$40,P$3:P$36,"xx",N$3:N$36,"x")</f>
        <v>1</v>
      </c>
      <c r="K43" t="s">
        <v>169</v>
      </c>
      <c r="L43">
        <f>-M43*2</f>
        <v>-64</v>
      </c>
      <c r="M43">
        <f>COUNTIFS(K$3:K$36,K$40,L$3:L$36,A$41)-(COUNTIFS(K$3:K$36,K$40,M$3:M$36,"*gộp*")/2)-COUNTIFS(K$3:K$36,K$40,M$3:M$36,"*đơn trả*")-COUNTIFS(K$3:K$36,K$40,M$3:M$36,"*hàng tỉnh*")</f>
        <v>32</v>
      </c>
      <c r="O43" t="s">
        <v>1172</v>
      </c>
      <c r="P43">
        <f>L62</f>
        <v>1674</v>
      </c>
    </row>
    <row r="44" spans="1:17" x14ac:dyDescent="0.25">
      <c r="B44" s="4" t="s">
        <v>170</v>
      </c>
      <c r="C44" s="60">
        <f>SUBTOTAL(9,C41:C43)</f>
        <v>20135</v>
      </c>
      <c r="D44" s="60"/>
      <c r="E44">
        <f>E41</f>
        <v>33</v>
      </c>
      <c r="K44" s="7" t="s">
        <v>155</v>
      </c>
      <c r="O44" t="s">
        <v>171</v>
      </c>
      <c r="P44">
        <f>-C48</f>
        <v>-20135</v>
      </c>
    </row>
    <row r="45" spans="1:17" x14ac:dyDescent="0.25">
      <c r="B45" s="2" t="s">
        <v>172</v>
      </c>
      <c r="C45" s="58"/>
      <c r="D45" s="58"/>
      <c r="K45" s="2" t="s">
        <v>173</v>
      </c>
      <c r="O45" s="4" t="s">
        <v>174</v>
      </c>
      <c r="P45" s="4">
        <f>SUBTOTAL(9,P41:P44)</f>
        <v>110</v>
      </c>
    </row>
    <row r="46" spans="1:17" x14ac:dyDescent="0.25">
      <c r="B46" s="8" t="s">
        <v>175</v>
      </c>
      <c r="C46" s="58"/>
      <c r="D46" s="58"/>
      <c r="L46" s="9">
        <f>SUBTOTAL(9,L41:L45)</f>
        <v>5156</v>
      </c>
      <c r="M46" s="9">
        <f>M41</f>
        <v>10</v>
      </c>
    </row>
    <row r="48" spans="1:17" x14ac:dyDescent="0.25">
      <c r="B48" s="1" t="s">
        <v>176</v>
      </c>
      <c r="C48" s="59">
        <f>C44+C45+C46</f>
        <v>20135</v>
      </c>
      <c r="D48" s="59"/>
      <c r="E48" s="1" t="s">
        <v>177</v>
      </c>
      <c r="K48" s="6" t="s">
        <v>119</v>
      </c>
      <c r="L48" s="6" t="s">
        <v>160</v>
      </c>
      <c r="M48" s="6" t="s">
        <v>159</v>
      </c>
    </row>
    <row r="49" spans="11:13" x14ac:dyDescent="0.25">
      <c r="K49" t="s">
        <v>164</v>
      </c>
      <c r="L49">
        <f>SUMIFS(G$3:G$36,J$3:J$36,K$48)</f>
        <v>14755</v>
      </c>
      <c r="M49">
        <f>SUMIFS(Q$3:Q$36,J$3:J$36,K$48)-INT(COUNTIFS(J$3:J$36,K$48,M$3:M$36,"*gộp*")/2)</f>
        <v>17</v>
      </c>
    </row>
    <row r="50" spans="11:13" x14ac:dyDescent="0.25">
      <c r="K50" t="s">
        <v>167</v>
      </c>
      <c r="L50">
        <f>-SUMIFS(H$3:H$36,J$3:J$36,K$48)+M50*5</f>
        <v>-445</v>
      </c>
      <c r="M50">
        <f>SUMIFS(Q$3:Q$36,J$3:J$36,K$48)-INT(COUNTIFS(J$3:J$36,K$48,M$3:M$36,"*gộp*")/2)</f>
        <v>17</v>
      </c>
    </row>
    <row r="51" spans="11:13" x14ac:dyDescent="0.25">
      <c r="K51" t="s">
        <v>169</v>
      </c>
      <c r="L51">
        <f>-M51*2</f>
        <v>0</v>
      </c>
      <c r="M51">
        <f>COUNTIFS(K$3:K$36,K$48,L$3:L$36,A$41)-(COUNTIFS(K$3:K$36,K$48,M$3:M$36,"*gộp*")/2)-COUNTIFS(K$3:K$36,K$48,M$3:M$36,"*đơn trả*")-COUNTIFS(K$3:K$36,K$48,M$3:M$36,"*hàng tỉnh*")</f>
        <v>0</v>
      </c>
    </row>
    <row r="52" spans="11:13" x14ac:dyDescent="0.25">
      <c r="K52" s="7" t="s">
        <v>155</v>
      </c>
      <c r="L52" s="18">
        <v>-895</v>
      </c>
      <c r="M52" s="18" t="s">
        <v>178</v>
      </c>
    </row>
    <row r="53" spans="11:13" x14ac:dyDescent="0.25">
      <c r="K53" s="2" t="s">
        <v>173</v>
      </c>
    </row>
    <row r="54" spans="11:13" x14ac:dyDescent="0.25">
      <c r="L54" s="9">
        <f>SUBTOTAL(9,L49:L53)</f>
        <v>13415</v>
      </c>
      <c r="M54" s="9">
        <f>M49</f>
        <v>17</v>
      </c>
    </row>
    <row r="56" spans="11:13" x14ac:dyDescent="0.25">
      <c r="K56" s="6" t="s">
        <v>1094</v>
      </c>
      <c r="L56" s="6" t="s">
        <v>160</v>
      </c>
      <c r="M56" s="6" t="s">
        <v>159</v>
      </c>
    </row>
    <row r="57" spans="11:13" x14ac:dyDescent="0.25">
      <c r="K57" t="s">
        <v>164</v>
      </c>
      <c r="L57">
        <f>SUMIFS(G$3:G$36,J$3:J$36,K$56)</f>
        <v>1810</v>
      </c>
      <c r="M57">
        <f>SUMIFS(Q$3:Q$36,J$3:J$36,K$56)-INT(COUNTIFS(J$3:J$36,K$56,M$3:M$36,"*gộp*")/2)</f>
        <v>6</v>
      </c>
    </row>
    <row r="58" spans="11:13" x14ac:dyDescent="0.25">
      <c r="K58" t="s">
        <v>167</v>
      </c>
      <c r="L58">
        <f>SUM(H39:H41)</f>
        <v>-136</v>
      </c>
      <c r="M58">
        <f>SUMIFS(Q$3:Q$36,J$3:J$36,K$56)-INT(COUNTIFS(J$3:J$36,K$56,M$3:M$36,"*gộp*")/2)</f>
        <v>6</v>
      </c>
    </row>
    <row r="59" spans="11:13" x14ac:dyDescent="0.25">
      <c r="K59" t="s">
        <v>169</v>
      </c>
      <c r="L59">
        <f>-M59*2</f>
        <v>0</v>
      </c>
      <c r="M59">
        <f>COUNTIFS(K$3:K$36,K$56,L$3:L$36,A$41)-(COUNTIFS(K$3:K$36,K$56,M$3:M$36,"*gộp*")/2)-COUNTIFS(K$3:K$36,K$56,M$3:M$36,"*đơn trả*")-COUNTIFS(K$3:K$36,K$56,M$3:M$36,"*hàng tỉnh*")</f>
        <v>0</v>
      </c>
    </row>
    <row r="60" spans="11:13" x14ac:dyDescent="0.25">
      <c r="K60" s="7" t="s">
        <v>155</v>
      </c>
    </row>
    <row r="61" spans="11:13" x14ac:dyDescent="0.25">
      <c r="K61" s="2" t="s">
        <v>173</v>
      </c>
    </row>
    <row r="62" spans="11:13" x14ac:dyDescent="0.25">
      <c r="L62" s="9">
        <f>SUBTOTAL(9,L57:L61)</f>
        <v>1674</v>
      </c>
      <c r="M62" s="9">
        <f>M57</f>
        <v>6</v>
      </c>
    </row>
  </sheetData>
  <autoFilter ref="A2:P36" xr:uid="{00000000-0009-0000-0000-00000D000000}">
    <sortState xmlns:xlrd2="http://schemas.microsoft.com/office/spreadsheetml/2017/richdata2" ref="A3:P36">
      <sortCondition ref="J2:J36"/>
    </sortState>
  </autoFilter>
  <mergeCells count="8">
    <mergeCell ref="C45:D45"/>
    <mergeCell ref="C46:D46"/>
    <mergeCell ref="C48:D48"/>
    <mergeCell ref="C40:D40"/>
    <mergeCell ref="C41:D41"/>
    <mergeCell ref="C42:D42"/>
    <mergeCell ref="C43:D43"/>
    <mergeCell ref="C44:D44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101"/>
  <sheetViews>
    <sheetView zoomScale="90" zoomScaleNormal="90" workbookViewId="0">
      <selection activeCell="R45" sqref="R45"/>
    </sheetView>
  </sheetViews>
  <sheetFormatPr defaultRowHeight="15" x14ac:dyDescent="0.25"/>
  <cols>
    <col min="1" max="1" width="12.7109375" customWidth="1"/>
    <col min="2" max="2" width="8.85546875" customWidth="1"/>
    <col min="3" max="3" width="47" customWidth="1"/>
    <col min="4" max="4" width="9.85546875" customWidth="1"/>
    <col min="5" max="5" width="78.5703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5.28515625" bestFit="1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1173</v>
      </c>
      <c r="D3" s="11" t="s">
        <v>1174</v>
      </c>
      <c r="E3" s="11" t="s">
        <v>1175</v>
      </c>
      <c r="F3" s="11" t="s">
        <v>48</v>
      </c>
      <c r="G3" s="12">
        <v>0</v>
      </c>
      <c r="H3" s="12">
        <v>30</v>
      </c>
      <c r="I3" s="12">
        <f t="shared" ref="I3:I34" si="0">G3-H3</f>
        <v>-30</v>
      </c>
      <c r="J3" s="11" t="s">
        <v>1176</v>
      </c>
      <c r="K3" s="11" t="s">
        <v>33</v>
      </c>
      <c r="L3" s="11" t="s">
        <v>1177</v>
      </c>
      <c r="M3" s="11"/>
      <c r="N3" s="11"/>
      <c r="O3" s="11"/>
      <c r="P3" s="11"/>
      <c r="Q3" s="11">
        <v>1</v>
      </c>
      <c r="R3" s="5">
        <f>H3</f>
        <v>30</v>
      </c>
    </row>
    <row r="4" spans="1:18" x14ac:dyDescent="0.25">
      <c r="A4" s="11"/>
      <c r="B4" s="11" t="s">
        <v>27</v>
      </c>
      <c r="C4" s="11" t="s">
        <v>1178</v>
      </c>
      <c r="D4" s="11" t="s">
        <v>1179</v>
      </c>
      <c r="E4" s="11" t="s">
        <v>1180</v>
      </c>
      <c r="F4" s="11" t="s">
        <v>31</v>
      </c>
      <c r="G4" s="12">
        <v>1495</v>
      </c>
      <c r="H4" s="12">
        <v>25</v>
      </c>
      <c r="I4" s="12">
        <f t="shared" si="0"/>
        <v>1470</v>
      </c>
      <c r="J4" s="11" t="s">
        <v>1176</v>
      </c>
      <c r="K4" s="11" t="s">
        <v>33</v>
      </c>
      <c r="L4" s="11" t="s">
        <v>1177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1181</v>
      </c>
      <c r="D5" s="11" t="s">
        <v>1182</v>
      </c>
      <c r="E5" s="11" t="s">
        <v>1183</v>
      </c>
      <c r="F5" s="11" t="s">
        <v>48</v>
      </c>
      <c r="G5" s="12">
        <v>680</v>
      </c>
      <c r="H5" s="12">
        <v>30</v>
      </c>
      <c r="I5" s="12">
        <f t="shared" si="0"/>
        <v>650</v>
      </c>
      <c r="J5" s="11" t="s">
        <v>1176</v>
      </c>
      <c r="K5" s="11" t="s">
        <v>33</v>
      </c>
      <c r="L5" s="11" t="s">
        <v>1177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1184</v>
      </c>
      <c r="D6" s="11" t="s">
        <v>1185</v>
      </c>
      <c r="E6" s="11" t="s">
        <v>1186</v>
      </c>
      <c r="F6" s="12">
        <v>8</v>
      </c>
      <c r="G6" s="12">
        <v>680</v>
      </c>
      <c r="H6" s="12">
        <v>30</v>
      </c>
      <c r="I6" s="12">
        <f t="shared" si="0"/>
        <v>650</v>
      </c>
      <c r="J6" s="11" t="s">
        <v>1176</v>
      </c>
      <c r="K6" s="11" t="s">
        <v>33</v>
      </c>
      <c r="L6" s="11" t="s">
        <v>1177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1187</v>
      </c>
      <c r="D7" s="11" t="s">
        <v>1188</v>
      </c>
      <c r="E7" s="11" t="s">
        <v>1189</v>
      </c>
      <c r="F7" s="11" t="s">
        <v>48</v>
      </c>
      <c r="G7" s="12">
        <v>0</v>
      </c>
      <c r="H7" s="12">
        <v>30</v>
      </c>
      <c r="I7" s="12">
        <f t="shared" si="0"/>
        <v>-30</v>
      </c>
      <c r="J7" s="11" t="s">
        <v>1176</v>
      </c>
      <c r="K7" s="11" t="s">
        <v>33</v>
      </c>
      <c r="L7" s="11" t="s">
        <v>1177</v>
      </c>
      <c r="M7" s="11"/>
      <c r="N7" s="11"/>
      <c r="O7" s="11"/>
      <c r="P7" s="11"/>
      <c r="Q7" s="11">
        <v>1</v>
      </c>
      <c r="R7" s="5">
        <f>H7</f>
        <v>30</v>
      </c>
    </row>
    <row r="8" spans="1:18" x14ac:dyDescent="0.25">
      <c r="A8" s="11"/>
      <c r="B8" s="11" t="s">
        <v>27</v>
      </c>
      <c r="C8" s="11" t="s">
        <v>1190</v>
      </c>
      <c r="D8" s="11" t="s">
        <v>1191</v>
      </c>
      <c r="E8" s="11" t="s">
        <v>1192</v>
      </c>
      <c r="F8" s="11" t="s">
        <v>31</v>
      </c>
      <c r="G8" s="12">
        <v>845</v>
      </c>
      <c r="H8" s="12">
        <v>25</v>
      </c>
      <c r="I8" s="12">
        <f t="shared" si="0"/>
        <v>820</v>
      </c>
      <c r="J8" s="11" t="s">
        <v>1176</v>
      </c>
      <c r="K8" s="11" t="s">
        <v>33</v>
      </c>
      <c r="L8" s="11" t="s">
        <v>1177</v>
      </c>
      <c r="M8" s="11"/>
      <c r="N8" s="11"/>
      <c r="O8" s="11"/>
      <c r="P8" s="11"/>
      <c r="Q8" s="11">
        <v>1</v>
      </c>
    </row>
    <row r="9" spans="1:18" s="15" customFormat="1" x14ac:dyDescent="0.25">
      <c r="A9" s="13"/>
      <c r="B9" s="13" t="s">
        <v>27</v>
      </c>
      <c r="C9" s="13" t="s">
        <v>1022</v>
      </c>
      <c r="D9" s="13" t="s">
        <v>1193</v>
      </c>
      <c r="E9" s="13" t="s">
        <v>1024</v>
      </c>
      <c r="F9" s="13" t="s">
        <v>444</v>
      </c>
      <c r="G9" s="14">
        <v>35</v>
      </c>
      <c r="H9" s="14">
        <v>35</v>
      </c>
      <c r="I9" s="14">
        <f t="shared" si="0"/>
        <v>0</v>
      </c>
      <c r="J9" s="13" t="s">
        <v>1176</v>
      </c>
      <c r="K9" s="13" t="s">
        <v>33</v>
      </c>
      <c r="L9" s="13" t="s">
        <v>1177</v>
      </c>
      <c r="M9" s="13" t="s">
        <v>100</v>
      </c>
      <c r="N9" s="13"/>
      <c r="O9" s="13"/>
      <c r="P9" s="13"/>
      <c r="Q9" s="13">
        <v>1</v>
      </c>
    </row>
    <row r="10" spans="1:18" x14ac:dyDescent="0.25">
      <c r="A10" s="11"/>
      <c r="B10" s="11" t="s">
        <v>27</v>
      </c>
      <c r="C10" s="11" t="s">
        <v>1194</v>
      </c>
      <c r="D10" s="11" t="s">
        <v>1195</v>
      </c>
      <c r="E10" s="11" t="s">
        <v>1196</v>
      </c>
      <c r="F10" s="11" t="s">
        <v>55</v>
      </c>
      <c r="G10" s="12">
        <v>2890</v>
      </c>
      <c r="H10" s="12">
        <v>40</v>
      </c>
      <c r="I10" s="12">
        <f t="shared" si="0"/>
        <v>2850</v>
      </c>
      <c r="J10" s="11" t="s">
        <v>1176</v>
      </c>
      <c r="K10" s="11" t="s">
        <v>33</v>
      </c>
      <c r="L10" s="11" t="s">
        <v>1177</v>
      </c>
      <c r="M10" s="24" t="s">
        <v>340</v>
      </c>
      <c r="N10" s="11"/>
      <c r="O10" s="11"/>
      <c r="P10" s="11"/>
      <c r="Q10" s="11">
        <v>1</v>
      </c>
      <c r="R10" s="5">
        <f>H10</f>
        <v>40</v>
      </c>
    </row>
    <row r="11" spans="1:18" x14ac:dyDescent="0.25">
      <c r="A11" s="11"/>
      <c r="B11" s="11" t="s">
        <v>27</v>
      </c>
      <c r="C11" s="11" t="s">
        <v>1197</v>
      </c>
      <c r="D11" s="11" t="s">
        <v>1198</v>
      </c>
      <c r="E11" s="11" t="s">
        <v>1199</v>
      </c>
      <c r="F11" s="11" t="s">
        <v>44</v>
      </c>
      <c r="G11" s="12">
        <v>1445</v>
      </c>
      <c r="H11" s="12">
        <v>25</v>
      </c>
      <c r="I11" s="12">
        <f t="shared" si="0"/>
        <v>1420</v>
      </c>
      <c r="J11" s="11" t="s">
        <v>1176</v>
      </c>
      <c r="K11" s="11" t="s">
        <v>33</v>
      </c>
      <c r="L11" s="11" t="s">
        <v>1177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1200</v>
      </c>
      <c r="D12" s="11" t="s">
        <v>1201</v>
      </c>
      <c r="E12" s="11" t="s">
        <v>1202</v>
      </c>
      <c r="F12" s="12">
        <v>8</v>
      </c>
      <c r="G12" s="12">
        <v>940</v>
      </c>
      <c r="H12" s="12">
        <v>30</v>
      </c>
      <c r="I12" s="12">
        <f t="shared" si="0"/>
        <v>910</v>
      </c>
      <c r="J12" s="11" t="s">
        <v>1176</v>
      </c>
      <c r="K12" s="11" t="s">
        <v>33</v>
      </c>
      <c r="L12" s="11" t="s">
        <v>1177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1203</v>
      </c>
      <c r="D13" s="11" t="s">
        <v>1204</v>
      </c>
      <c r="E13" s="11" t="s">
        <v>1205</v>
      </c>
      <c r="F13" s="12">
        <v>8</v>
      </c>
      <c r="G13" s="12">
        <v>780</v>
      </c>
      <c r="H13" s="12">
        <v>30</v>
      </c>
      <c r="I13" s="12">
        <f t="shared" si="0"/>
        <v>750</v>
      </c>
      <c r="J13" s="11" t="s">
        <v>1176</v>
      </c>
      <c r="K13" s="11" t="s">
        <v>33</v>
      </c>
      <c r="L13" s="11" t="s">
        <v>1177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1206</v>
      </c>
      <c r="D14" s="11" t="s">
        <v>1207</v>
      </c>
      <c r="E14" s="11" t="s">
        <v>1208</v>
      </c>
      <c r="F14" s="11" t="s">
        <v>48</v>
      </c>
      <c r="G14" s="12">
        <v>0</v>
      </c>
      <c r="H14" s="12">
        <v>30</v>
      </c>
      <c r="I14" s="12">
        <f t="shared" si="0"/>
        <v>-30</v>
      </c>
      <c r="J14" s="11" t="s">
        <v>1176</v>
      </c>
      <c r="K14" s="11" t="s">
        <v>33</v>
      </c>
      <c r="L14" s="11" t="s">
        <v>1177</v>
      </c>
      <c r="M14" s="11"/>
      <c r="N14" s="11"/>
      <c r="O14" s="11"/>
      <c r="P14" s="11"/>
      <c r="Q14" s="11">
        <v>1</v>
      </c>
      <c r="R14" s="5">
        <f>H14</f>
        <v>30</v>
      </c>
    </row>
    <row r="15" spans="1:18" x14ac:dyDescent="0.25">
      <c r="A15" s="11"/>
      <c r="B15" s="11" t="s">
        <v>27</v>
      </c>
      <c r="C15" s="11" t="s">
        <v>1209</v>
      </c>
      <c r="D15" s="11" t="s">
        <v>1210</v>
      </c>
      <c r="E15" s="11" t="s">
        <v>1211</v>
      </c>
      <c r="F15" s="11" t="s">
        <v>48</v>
      </c>
      <c r="G15" s="12">
        <v>620</v>
      </c>
      <c r="H15" s="12">
        <v>30</v>
      </c>
      <c r="I15" s="12">
        <f t="shared" si="0"/>
        <v>590</v>
      </c>
      <c r="J15" s="11" t="s">
        <v>1176</v>
      </c>
      <c r="K15" s="11" t="s">
        <v>33</v>
      </c>
      <c r="L15" s="11" t="s">
        <v>1177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1212</v>
      </c>
      <c r="D16" s="11" t="s">
        <v>1213</v>
      </c>
      <c r="E16" s="11" t="s">
        <v>1214</v>
      </c>
      <c r="F16" s="11" t="s">
        <v>48</v>
      </c>
      <c r="G16" s="12">
        <v>0</v>
      </c>
      <c r="H16" s="12">
        <v>30</v>
      </c>
      <c r="I16" s="12">
        <f t="shared" si="0"/>
        <v>-30</v>
      </c>
      <c r="J16" s="11" t="s">
        <v>1176</v>
      </c>
      <c r="K16" s="11" t="s">
        <v>33</v>
      </c>
      <c r="L16" s="11" t="s">
        <v>1177</v>
      </c>
      <c r="M16" s="11"/>
      <c r="N16" s="11"/>
      <c r="O16" s="11"/>
      <c r="P16" s="11"/>
      <c r="Q16" s="11">
        <v>1</v>
      </c>
      <c r="R16" s="5">
        <f>H16</f>
        <v>30</v>
      </c>
    </row>
    <row r="17" spans="1:18" x14ac:dyDescent="0.25">
      <c r="A17" s="11"/>
      <c r="B17" s="11" t="s">
        <v>27</v>
      </c>
      <c r="C17" s="11" t="s">
        <v>583</v>
      </c>
      <c r="D17" s="11" t="s">
        <v>1215</v>
      </c>
      <c r="E17" s="11" t="s">
        <v>585</v>
      </c>
      <c r="F17" s="11" t="s">
        <v>31</v>
      </c>
      <c r="G17" s="12">
        <v>1015</v>
      </c>
      <c r="H17" s="12">
        <v>25</v>
      </c>
      <c r="I17" s="12">
        <f t="shared" si="0"/>
        <v>990</v>
      </c>
      <c r="J17" s="11" t="s">
        <v>1176</v>
      </c>
      <c r="K17" s="11" t="s">
        <v>33</v>
      </c>
      <c r="L17" s="11" t="s">
        <v>1177</v>
      </c>
      <c r="M17" s="11"/>
      <c r="N17" s="11"/>
      <c r="O17" s="11"/>
      <c r="P17" s="11"/>
      <c r="Q17" s="11">
        <v>1</v>
      </c>
    </row>
    <row r="18" spans="1:18" x14ac:dyDescent="0.25">
      <c r="A18" s="11" t="s">
        <v>59</v>
      </c>
      <c r="B18" s="11" t="s">
        <v>27</v>
      </c>
      <c r="C18" s="11" t="s">
        <v>209</v>
      </c>
      <c r="D18" s="11"/>
      <c r="E18" s="11" t="s">
        <v>691</v>
      </c>
      <c r="F18" s="12">
        <v>6</v>
      </c>
      <c r="G18" s="12">
        <v>30</v>
      </c>
      <c r="H18" s="12">
        <v>30</v>
      </c>
      <c r="I18" s="12">
        <f t="shared" si="0"/>
        <v>0</v>
      </c>
      <c r="J18" s="11" t="s">
        <v>1176</v>
      </c>
      <c r="K18" s="11" t="s">
        <v>33</v>
      </c>
      <c r="L18" s="11" t="s">
        <v>1177</v>
      </c>
      <c r="M18" s="11"/>
      <c r="N18" s="11"/>
      <c r="O18" s="11"/>
      <c r="P18" s="11"/>
      <c r="Q18" s="11">
        <v>1</v>
      </c>
    </row>
    <row r="19" spans="1:18" x14ac:dyDescent="0.25">
      <c r="A19" s="11" t="s">
        <v>59</v>
      </c>
      <c r="B19" s="11" t="s">
        <v>27</v>
      </c>
      <c r="C19" s="11" t="s">
        <v>1216</v>
      </c>
      <c r="D19" s="11"/>
      <c r="E19" s="11" t="s">
        <v>215</v>
      </c>
      <c r="F19" s="12">
        <v>6</v>
      </c>
      <c r="G19" s="12">
        <v>0</v>
      </c>
      <c r="H19" s="12">
        <v>30</v>
      </c>
      <c r="I19" s="12">
        <f t="shared" si="0"/>
        <v>-30</v>
      </c>
      <c r="J19" s="11" t="s">
        <v>1176</v>
      </c>
      <c r="K19" s="11" t="s">
        <v>33</v>
      </c>
      <c r="L19" s="11" t="s">
        <v>1177</v>
      </c>
      <c r="M19" s="24" t="s">
        <v>1217</v>
      </c>
      <c r="N19" s="11"/>
      <c r="O19" s="11"/>
      <c r="P19" s="11"/>
      <c r="Q19" s="11">
        <v>1</v>
      </c>
      <c r="R19" s="5">
        <f>H19</f>
        <v>30</v>
      </c>
    </row>
    <row r="20" spans="1:18" x14ac:dyDescent="0.25">
      <c r="A20" s="11" t="s">
        <v>59</v>
      </c>
      <c r="B20" s="11" t="s">
        <v>27</v>
      </c>
      <c r="C20" s="11" t="s">
        <v>214</v>
      </c>
      <c r="D20" s="11"/>
      <c r="E20" s="11" t="s">
        <v>215</v>
      </c>
      <c r="F20" s="12">
        <v>6</v>
      </c>
      <c r="G20" s="12">
        <v>0</v>
      </c>
      <c r="H20" s="12">
        <v>0</v>
      </c>
      <c r="I20" s="12">
        <f t="shared" si="0"/>
        <v>0</v>
      </c>
      <c r="J20" s="11" t="s">
        <v>1176</v>
      </c>
      <c r="K20" s="11" t="s">
        <v>33</v>
      </c>
      <c r="L20" s="11" t="s">
        <v>1177</v>
      </c>
      <c r="M20" s="24" t="s">
        <v>1217</v>
      </c>
      <c r="N20" s="11"/>
      <c r="O20" s="11"/>
      <c r="P20" s="11"/>
      <c r="Q20" s="11">
        <v>1</v>
      </c>
      <c r="R20" s="5">
        <f>H20</f>
        <v>0</v>
      </c>
    </row>
    <row r="21" spans="1:18" x14ac:dyDescent="0.25">
      <c r="A21" s="11" t="s">
        <v>59</v>
      </c>
      <c r="B21" s="11" t="s">
        <v>27</v>
      </c>
      <c r="C21" s="11" t="s">
        <v>1218</v>
      </c>
      <c r="D21" s="11"/>
      <c r="E21" s="11" t="s">
        <v>1219</v>
      </c>
      <c r="F21" s="11" t="s">
        <v>48</v>
      </c>
      <c r="G21" s="12">
        <v>0</v>
      </c>
      <c r="H21" s="12">
        <v>35</v>
      </c>
      <c r="I21" s="12">
        <f t="shared" si="0"/>
        <v>-35</v>
      </c>
      <c r="J21" s="11" t="s">
        <v>1176</v>
      </c>
      <c r="K21" s="11" t="s">
        <v>33</v>
      </c>
      <c r="L21" s="11" t="s">
        <v>1177</v>
      </c>
      <c r="M21" s="11"/>
      <c r="N21" s="11"/>
      <c r="O21" s="11"/>
      <c r="P21" s="11"/>
      <c r="Q21" s="11">
        <v>1</v>
      </c>
      <c r="R21" s="5">
        <f>H21</f>
        <v>35</v>
      </c>
    </row>
    <row r="22" spans="1:18" x14ac:dyDescent="0.25">
      <c r="A22" s="11"/>
      <c r="B22" s="11" t="s">
        <v>27</v>
      </c>
      <c r="C22" s="11" t="s">
        <v>1220</v>
      </c>
      <c r="D22" s="11" t="s">
        <v>1221</v>
      </c>
      <c r="E22" s="11" t="s">
        <v>1222</v>
      </c>
      <c r="F22" s="12">
        <v>2</v>
      </c>
      <c r="G22" s="12">
        <v>30</v>
      </c>
      <c r="H22" s="12">
        <v>30</v>
      </c>
      <c r="I22" s="12">
        <f t="shared" si="0"/>
        <v>0</v>
      </c>
      <c r="J22" s="11" t="s">
        <v>33</v>
      </c>
      <c r="K22" s="11" t="s">
        <v>33</v>
      </c>
      <c r="L22" s="11" t="s">
        <v>1177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1223</v>
      </c>
      <c r="D23" s="11" t="s">
        <v>1224</v>
      </c>
      <c r="E23" s="11" t="s">
        <v>1225</v>
      </c>
      <c r="F23" s="11" t="s">
        <v>68</v>
      </c>
      <c r="G23" s="12">
        <v>0</v>
      </c>
      <c r="H23" s="12">
        <v>25</v>
      </c>
      <c r="I23" s="12">
        <f t="shared" si="0"/>
        <v>-25</v>
      </c>
      <c r="J23" s="11" t="s">
        <v>33</v>
      </c>
      <c r="K23" s="11" t="s">
        <v>33</v>
      </c>
      <c r="L23" s="11" t="s">
        <v>1177</v>
      </c>
      <c r="M23" s="11"/>
      <c r="N23" s="11"/>
      <c r="O23" s="11"/>
      <c r="P23" s="11"/>
      <c r="Q23" s="11">
        <v>1</v>
      </c>
      <c r="R23" s="5">
        <f>H23</f>
        <v>25</v>
      </c>
    </row>
    <row r="24" spans="1:18" x14ac:dyDescent="0.25">
      <c r="A24" s="11"/>
      <c r="B24" s="11" t="s">
        <v>27</v>
      </c>
      <c r="C24" s="11" t="s">
        <v>861</v>
      </c>
      <c r="D24" s="11" t="s">
        <v>1226</v>
      </c>
      <c r="E24" s="11" t="s">
        <v>863</v>
      </c>
      <c r="F24" s="11" t="s">
        <v>104</v>
      </c>
      <c r="G24" s="12">
        <v>850</v>
      </c>
      <c r="H24" s="12">
        <v>30</v>
      </c>
      <c r="I24" s="12">
        <f t="shared" si="0"/>
        <v>820</v>
      </c>
      <c r="J24" s="11" t="s">
        <v>33</v>
      </c>
      <c r="K24" s="11" t="s">
        <v>33</v>
      </c>
      <c r="L24" s="11" t="s">
        <v>1177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1227</v>
      </c>
      <c r="D25" s="11" t="s">
        <v>1228</v>
      </c>
      <c r="E25" s="11" t="s">
        <v>1229</v>
      </c>
      <c r="F25" s="12">
        <v>2</v>
      </c>
      <c r="G25" s="12">
        <v>850</v>
      </c>
      <c r="H25" s="12">
        <v>30</v>
      </c>
      <c r="I25" s="12">
        <f t="shared" si="0"/>
        <v>820</v>
      </c>
      <c r="J25" s="11" t="s">
        <v>33</v>
      </c>
      <c r="K25" s="11" t="s">
        <v>33</v>
      </c>
      <c r="L25" s="11" t="s">
        <v>1177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1230</v>
      </c>
      <c r="D26" s="11" t="s">
        <v>1231</v>
      </c>
      <c r="E26" s="11" t="s">
        <v>1232</v>
      </c>
      <c r="F26" s="12">
        <v>2</v>
      </c>
      <c r="G26" s="12">
        <v>0</v>
      </c>
      <c r="H26" s="12">
        <v>30</v>
      </c>
      <c r="I26" s="12">
        <f t="shared" si="0"/>
        <v>-30</v>
      </c>
      <c r="J26" s="11" t="s">
        <v>33</v>
      </c>
      <c r="K26" s="11" t="s">
        <v>33</v>
      </c>
      <c r="L26" s="11" t="s">
        <v>1177</v>
      </c>
      <c r="M26" s="11"/>
      <c r="N26" s="11"/>
      <c r="O26" s="11"/>
      <c r="P26" s="11"/>
      <c r="Q26" s="11">
        <v>1</v>
      </c>
      <c r="R26" s="5">
        <f>H26</f>
        <v>30</v>
      </c>
    </row>
    <row r="27" spans="1:18" x14ac:dyDescent="0.25">
      <c r="A27" s="11"/>
      <c r="B27" s="11" t="s">
        <v>27</v>
      </c>
      <c r="C27" s="11" t="s">
        <v>94</v>
      </c>
      <c r="D27" s="11" t="s">
        <v>1233</v>
      </c>
      <c r="E27" s="11" t="s">
        <v>1234</v>
      </c>
      <c r="F27" s="11" t="s">
        <v>78</v>
      </c>
      <c r="G27" s="12">
        <v>930</v>
      </c>
      <c r="H27" s="12">
        <v>20</v>
      </c>
      <c r="I27" s="12">
        <f t="shared" si="0"/>
        <v>910</v>
      </c>
      <c r="J27" s="11" t="s">
        <v>33</v>
      </c>
      <c r="K27" s="11" t="s">
        <v>33</v>
      </c>
      <c r="L27" s="11" t="s">
        <v>1177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1235</v>
      </c>
      <c r="D28" s="11" t="s">
        <v>1236</v>
      </c>
      <c r="E28" s="11" t="s">
        <v>1237</v>
      </c>
      <c r="F28" s="12">
        <v>2</v>
      </c>
      <c r="G28" s="12">
        <v>890</v>
      </c>
      <c r="H28" s="12">
        <v>30</v>
      </c>
      <c r="I28" s="12">
        <f t="shared" si="0"/>
        <v>860</v>
      </c>
      <c r="J28" s="11" t="s">
        <v>33</v>
      </c>
      <c r="K28" s="11" t="s">
        <v>33</v>
      </c>
      <c r="L28" s="11" t="s">
        <v>1177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1238</v>
      </c>
      <c r="D29" s="11" t="s">
        <v>1239</v>
      </c>
      <c r="E29" s="11" t="s">
        <v>238</v>
      </c>
      <c r="F29" s="12">
        <v>12</v>
      </c>
      <c r="G29" s="12">
        <v>0</v>
      </c>
      <c r="H29" s="12">
        <v>30</v>
      </c>
      <c r="I29" s="12">
        <f t="shared" si="0"/>
        <v>-30</v>
      </c>
      <c r="J29" s="11" t="s">
        <v>33</v>
      </c>
      <c r="K29" s="11" t="s">
        <v>33</v>
      </c>
      <c r="L29" s="11" t="s">
        <v>1177</v>
      </c>
      <c r="M29" s="11"/>
      <c r="N29" s="11"/>
      <c r="O29" s="11"/>
      <c r="P29" s="11"/>
      <c r="Q29" s="11">
        <v>1</v>
      </c>
      <c r="R29" s="5">
        <f>H29</f>
        <v>30</v>
      </c>
    </row>
    <row r="30" spans="1:18" x14ac:dyDescent="0.25">
      <c r="A30" s="11"/>
      <c r="B30" s="11" t="s">
        <v>27</v>
      </c>
      <c r="C30" s="11" t="s">
        <v>216</v>
      </c>
      <c r="D30" s="11" t="s">
        <v>1240</v>
      </c>
      <c r="E30" s="11" t="s">
        <v>218</v>
      </c>
      <c r="F30" s="12">
        <v>9</v>
      </c>
      <c r="G30" s="12">
        <v>970</v>
      </c>
      <c r="H30" s="12">
        <v>30</v>
      </c>
      <c r="I30" s="12">
        <f t="shared" si="0"/>
        <v>940</v>
      </c>
      <c r="J30" s="11" t="s">
        <v>33</v>
      </c>
      <c r="K30" s="11" t="s">
        <v>33</v>
      </c>
      <c r="L30" s="11" t="s">
        <v>1177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65</v>
      </c>
      <c r="D31" s="11" t="s">
        <v>1241</v>
      </c>
      <c r="E31" s="11" t="s">
        <v>1242</v>
      </c>
      <c r="F31" s="11" t="s">
        <v>68</v>
      </c>
      <c r="G31" s="12">
        <v>2740</v>
      </c>
      <c r="H31" s="12">
        <v>30</v>
      </c>
      <c r="I31" s="12">
        <f t="shared" si="0"/>
        <v>2710</v>
      </c>
      <c r="J31" s="11" t="s">
        <v>33</v>
      </c>
      <c r="K31" s="11" t="s">
        <v>33</v>
      </c>
      <c r="L31" s="11" t="s">
        <v>1177</v>
      </c>
      <c r="M31" s="24" t="s">
        <v>340</v>
      </c>
      <c r="N31" s="11"/>
      <c r="O31" s="11"/>
      <c r="P31" s="11"/>
      <c r="Q31" s="11">
        <v>1</v>
      </c>
      <c r="R31" s="5">
        <f>H31</f>
        <v>30</v>
      </c>
    </row>
    <row r="32" spans="1:18" x14ac:dyDescent="0.25">
      <c r="A32" s="11"/>
      <c r="B32" s="11" t="s">
        <v>27</v>
      </c>
      <c r="C32" s="11" t="s">
        <v>1243</v>
      </c>
      <c r="D32" s="11" t="s">
        <v>1244</v>
      </c>
      <c r="E32" s="11" t="s">
        <v>1245</v>
      </c>
      <c r="F32" s="12">
        <v>9</v>
      </c>
      <c r="G32" s="12">
        <v>400</v>
      </c>
      <c r="H32" s="12">
        <v>30</v>
      </c>
      <c r="I32" s="12">
        <f t="shared" si="0"/>
        <v>370</v>
      </c>
      <c r="J32" s="11" t="s">
        <v>33</v>
      </c>
      <c r="K32" s="11" t="s">
        <v>33</v>
      </c>
      <c r="L32" s="11" t="s">
        <v>1177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1246</v>
      </c>
      <c r="D33" s="11" t="s">
        <v>1247</v>
      </c>
      <c r="E33" s="11" t="s">
        <v>1248</v>
      </c>
      <c r="F33" s="12">
        <v>12</v>
      </c>
      <c r="G33" s="12">
        <v>1720</v>
      </c>
      <c r="H33" s="12">
        <v>30</v>
      </c>
      <c r="I33" s="12">
        <f t="shared" si="0"/>
        <v>1690</v>
      </c>
      <c r="J33" s="11" t="s">
        <v>33</v>
      </c>
      <c r="K33" s="11" t="s">
        <v>33</v>
      </c>
      <c r="L33" s="11" t="s">
        <v>1177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1249</v>
      </c>
      <c r="D34" s="11" t="s">
        <v>1250</v>
      </c>
      <c r="E34" s="11" t="s">
        <v>1251</v>
      </c>
      <c r="F34" s="12">
        <v>2</v>
      </c>
      <c r="G34" s="12">
        <v>680</v>
      </c>
      <c r="H34" s="12">
        <v>30</v>
      </c>
      <c r="I34" s="12">
        <f t="shared" si="0"/>
        <v>650</v>
      </c>
      <c r="J34" s="11" t="s">
        <v>33</v>
      </c>
      <c r="K34" s="11" t="s">
        <v>33</v>
      </c>
      <c r="L34" s="11" t="s">
        <v>1177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1252</v>
      </c>
      <c r="D35" s="11" t="s">
        <v>1253</v>
      </c>
      <c r="E35" s="11" t="s">
        <v>1254</v>
      </c>
      <c r="F35" s="11" t="s">
        <v>68</v>
      </c>
      <c r="G35" s="12">
        <v>25</v>
      </c>
      <c r="H35" s="12">
        <v>25</v>
      </c>
      <c r="I35" s="12">
        <f t="shared" ref="I35:I66" si="1">G35-H35</f>
        <v>0</v>
      </c>
      <c r="J35" s="11" t="s">
        <v>33</v>
      </c>
      <c r="K35" s="11" t="s">
        <v>33</v>
      </c>
      <c r="L35" s="11" t="s">
        <v>1177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1255</v>
      </c>
      <c r="D36" s="11" t="s">
        <v>1256</v>
      </c>
      <c r="E36" s="11" t="s">
        <v>1257</v>
      </c>
      <c r="F36" s="12">
        <v>12</v>
      </c>
      <c r="G36" s="12">
        <v>0</v>
      </c>
      <c r="H36" s="12">
        <v>30</v>
      </c>
      <c r="I36" s="12">
        <f t="shared" si="1"/>
        <v>-30</v>
      </c>
      <c r="J36" s="11" t="s">
        <v>33</v>
      </c>
      <c r="K36" s="11" t="s">
        <v>33</v>
      </c>
      <c r="L36" s="11" t="s">
        <v>1177</v>
      </c>
      <c r="M36" s="11"/>
      <c r="N36" s="11"/>
      <c r="O36" s="11"/>
      <c r="P36" s="11"/>
      <c r="Q36" s="11">
        <v>1</v>
      </c>
      <c r="R36" s="5">
        <f>H36</f>
        <v>30</v>
      </c>
    </row>
    <row r="37" spans="1:18" x14ac:dyDescent="0.25">
      <c r="A37" s="11"/>
      <c r="B37" s="11" t="s">
        <v>27</v>
      </c>
      <c r="C37" s="11" t="s">
        <v>1258</v>
      </c>
      <c r="D37" s="11" t="s">
        <v>1259</v>
      </c>
      <c r="E37" s="11" t="s">
        <v>1260</v>
      </c>
      <c r="F37" s="11" t="s">
        <v>104</v>
      </c>
      <c r="G37" s="12">
        <v>680</v>
      </c>
      <c r="H37" s="12">
        <v>30</v>
      </c>
      <c r="I37" s="12">
        <f t="shared" si="1"/>
        <v>650</v>
      </c>
      <c r="J37" s="11" t="s">
        <v>33</v>
      </c>
      <c r="K37" s="11" t="s">
        <v>33</v>
      </c>
      <c r="L37" s="11" t="s">
        <v>1177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97</v>
      </c>
      <c r="D38" s="11" t="s">
        <v>1261</v>
      </c>
      <c r="E38" s="11" t="s">
        <v>99</v>
      </c>
      <c r="F38" s="12">
        <v>2</v>
      </c>
      <c r="G38" s="12">
        <v>680</v>
      </c>
      <c r="H38" s="12">
        <v>30</v>
      </c>
      <c r="I38" s="12">
        <f t="shared" si="1"/>
        <v>650</v>
      </c>
      <c r="J38" s="11" t="s">
        <v>33</v>
      </c>
      <c r="K38" s="11" t="s">
        <v>33</v>
      </c>
      <c r="L38" s="11" t="s">
        <v>1177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1262</v>
      </c>
      <c r="D39" s="11" t="s">
        <v>1263</v>
      </c>
      <c r="E39" s="11" t="s">
        <v>1264</v>
      </c>
      <c r="F39" s="11" t="s">
        <v>78</v>
      </c>
      <c r="G39" s="12">
        <v>770</v>
      </c>
      <c r="H39" s="12">
        <v>20</v>
      </c>
      <c r="I39" s="12">
        <f t="shared" si="1"/>
        <v>750</v>
      </c>
      <c r="J39" s="11" t="s">
        <v>33</v>
      </c>
      <c r="K39" s="11" t="s">
        <v>33</v>
      </c>
      <c r="L39" s="11" t="s">
        <v>1177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1265</v>
      </c>
      <c r="D40" s="11" t="s">
        <v>1266</v>
      </c>
      <c r="E40" s="11" t="s">
        <v>1267</v>
      </c>
      <c r="F40" s="12">
        <v>12</v>
      </c>
      <c r="G40" s="12">
        <v>0</v>
      </c>
      <c r="H40" s="12">
        <v>40</v>
      </c>
      <c r="I40" s="12">
        <f t="shared" si="1"/>
        <v>-40</v>
      </c>
      <c r="J40" s="11" t="s">
        <v>33</v>
      </c>
      <c r="K40" s="11" t="s">
        <v>33</v>
      </c>
      <c r="L40" s="11" t="s">
        <v>1177</v>
      </c>
      <c r="M40" s="11"/>
      <c r="N40" s="11"/>
      <c r="O40" s="11"/>
      <c r="P40" s="11"/>
      <c r="Q40" s="11">
        <v>1</v>
      </c>
      <c r="R40" s="5">
        <f>H40</f>
        <v>40</v>
      </c>
    </row>
    <row r="41" spans="1:18" x14ac:dyDescent="0.25">
      <c r="A41" s="11" t="s">
        <v>59</v>
      </c>
      <c r="B41" s="11" t="s">
        <v>27</v>
      </c>
      <c r="C41" s="11" t="s">
        <v>113</v>
      </c>
      <c r="D41" s="11"/>
      <c r="E41" s="11" t="s">
        <v>114</v>
      </c>
      <c r="F41" s="11" t="s">
        <v>68</v>
      </c>
      <c r="G41" s="12">
        <v>0</v>
      </c>
      <c r="H41" s="12">
        <v>30</v>
      </c>
      <c r="I41" s="12">
        <f t="shared" si="1"/>
        <v>-30</v>
      </c>
      <c r="J41" s="11" t="s">
        <v>33</v>
      </c>
      <c r="K41" s="11" t="s">
        <v>33</v>
      </c>
      <c r="L41" s="11" t="s">
        <v>1177</v>
      </c>
      <c r="M41" s="11"/>
      <c r="N41" s="11"/>
      <c r="O41" s="11"/>
      <c r="P41" s="11"/>
      <c r="Q41" s="11">
        <v>1</v>
      </c>
      <c r="R41" s="5">
        <f>H41</f>
        <v>30</v>
      </c>
    </row>
    <row r="42" spans="1:18" x14ac:dyDescent="0.25">
      <c r="A42" s="11" t="s">
        <v>59</v>
      </c>
      <c r="B42" s="11" t="s">
        <v>27</v>
      </c>
      <c r="C42" s="11" t="s">
        <v>1268</v>
      </c>
      <c r="D42" s="11"/>
      <c r="E42" s="11" t="s">
        <v>610</v>
      </c>
      <c r="F42" s="11" t="s">
        <v>44</v>
      </c>
      <c r="G42" s="12">
        <v>0</v>
      </c>
      <c r="H42" s="12">
        <v>30</v>
      </c>
      <c r="I42" s="12">
        <f t="shared" si="1"/>
        <v>-30</v>
      </c>
      <c r="J42" s="11" t="s">
        <v>33</v>
      </c>
      <c r="K42" s="11" t="s">
        <v>33</v>
      </c>
      <c r="L42" s="11" t="s">
        <v>1177</v>
      </c>
      <c r="M42" s="11"/>
      <c r="N42" s="11"/>
      <c r="O42" s="11"/>
      <c r="P42" s="11"/>
      <c r="Q42" s="11">
        <v>1</v>
      </c>
      <c r="R42" s="5">
        <f>H42</f>
        <v>30</v>
      </c>
    </row>
    <row r="43" spans="1:18" x14ac:dyDescent="0.25">
      <c r="A43" s="11" t="s">
        <v>59</v>
      </c>
      <c r="B43" s="11" t="s">
        <v>27</v>
      </c>
      <c r="C43" s="11" t="s">
        <v>109</v>
      </c>
      <c r="D43" s="11"/>
      <c r="E43" s="11" t="s">
        <v>730</v>
      </c>
      <c r="F43" s="11" t="s">
        <v>68</v>
      </c>
      <c r="G43" s="12">
        <v>30</v>
      </c>
      <c r="H43" s="12">
        <v>30</v>
      </c>
      <c r="I43" s="12">
        <f t="shared" si="1"/>
        <v>0</v>
      </c>
      <c r="J43" s="11" t="s">
        <v>33</v>
      </c>
      <c r="K43" s="11" t="s">
        <v>33</v>
      </c>
      <c r="L43" s="11" t="s">
        <v>1177</v>
      </c>
      <c r="M43" s="11"/>
      <c r="N43" s="11"/>
      <c r="O43" s="11"/>
      <c r="P43" s="11"/>
      <c r="Q43" s="11">
        <v>1</v>
      </c>
    </row>
    <row r="44" spans="1:18" x14ac:dyDescent="0.25">
      <c r="A44" s="11" t="s">
        <v>59</v>
      </c>
      <c r="B44" s="11" t="s">
        <v>27</v>
      </c>
      <c r="C44" s="11" t="s">
        <v>107</v>
      </c>
      <c r="D44" s="11"/>
      <c r="E44" s="11" t="s">
        <v>108</v>
      </c>
      <c r="F44" s="11" t="s">
        <v>68</v>
      </c>
      <c r="G44" s="12">
        <v>6350</v>
      </c>
      <c r="H44" s="12">
        <v>30</v>
      </c>
      <c r="I44" s="12">
        <f t="shared" si="1"/>
        <v>6320</v>
      </c>
      <c r="J44" s="11" t="s">
        <v>33</v>
      </c>
      <c r="K44" s="11" t="s">
        <v>33</v>
      </c>
      <c r="L44" s="11" t="s">
        <v>1177</v>
      </c>
      <c r="M44" s="11"/>
      <c r="N44" s="11"/>
      <c r="O44" s="11"/>
      <c r="P44" s="11"/>
      <c r="Q44" s="11">
        <v>1</v>
      </c>
    </row>
    <row r="45" spans="1:18" x14ac:dyDescent="0.25">
      <c r="A45" s="11"/>
      <c r="B45" s="11" t="s">
        <v>27</v>
      </c>
      <c r="C45" s="11" t="s">
        <v>1269</v>
      </c>
      <c r="D45" s="11" t="s">
        <v>1270</v>
      </c>
      <c r="E45" s="11" t="s">
        <v>1271</v>
      </c>
      <c r="F45" s="12">
        <v>4</v>
      </c>
      <c r="G45" s="12">
        <v>25</v>
      </c>
      <c r="H45" s="12">
        <v>25</v>
      </c>
      <c r="I45" s="12">
        <f t="shared" si="1"/>
        <v>0</v>
      </c>
      <c r="J45" s="11" t="s">
        <v>119</v>
      </c>
      <c r="K45" s="11" t="s">
        <v>33</v>
      </c>
      <c r="L45" s="11" t="s">
        <v>1177</v>
      </c>
      <c r="M45" s="24" t="s">
        <v>1272</v>
      </c>
      <c r="N45" s="11"/>
      <c r="O45" s="11"/>
      <c r="P45" s="11"/>
      <c r="Q45" s="11">
        <v>1</v>
      </c>
    </row>
    <row r="46" spans="1:18" x14ac:dyDescent="0.25">
      <c r="A46" s="11"/>
      <c r="B46" s="11" t="s">
        <v>27</v>
      </c>
      <c r="C46" s="11" t="s">
        <v>1273</v>
      </c>
      <c r="D46" s="11" t="s">
        <v>1274</v>
      </c>
      <c r="E46" s="11" t="s">
        <v>1275</v>
      </c>
      <c r="F46" s="12">
        <v>7</v>
      </c>
      <c r="G46" s="12">
        <v>500</v>
      </c>
      <c r="H46" s="12">
        <v>30</v>
      </c>
      <c r="I46" s="12">
        <f t="shared" si="1"/>
        <v>470</v>
      </c>
      <c r="J46" s="11" t="s">
        <v>119</v>
      </c>
      <c r="K46" s="11" t="s">
        <v>33</v>
      </c>
      <c r="L46" s="11" t="s">
        <v>1177</v>
      </c>
      <c r="M46" s="11"/>
      <c r="N46" s="11"/>
      <c r="O46" s="11"/>
      <c r="P46" s="11"/>
      <c r="Q46" s="11">
        <v>1</v>
      </c>
    </row>
    <row r="47" spans="1:18" x14ac:dyDescent="0.25">
      <c r="A47" s="11"/>
      <c r="B47" s="11" t="s">
        <v>27</v>
      </c>
      <c r="C47" s="11" t="s">
        <v>1276</v>
      </c>
      <c r="D47" s="11" t="s">
        <v>1277</v>
      </c>
      <c r="E47" s="11" t="s">
        <v>1278</v>
      </c>
      <c r="F47" s="12">
        <v>10</v>
      </c>
      <c r="G47" s="12">
        <v>495</v>
      </c>
      <c r="H47" s="12">
        <v>25</v>
      </c>
      <c r="I47" s="12">
        <f t="shared" si="1"/>
        <v>470</v>
      </c>
      <c r="J47" s="11" t="s">
        <v>119</v>
      </c>
      <c r="K47" s="11" t="s">
        <v>33</v>
      </c>
      <c r="L47" s="11" t="s">
        <v>1177</v>
      </c>
      <c r="M47" s="11"/>
      <c r="N47" s="11"/>
      <c r="O47" s="11"/>
      <c r="P47" s="11"/>
      <c r="Q47" s="11">
        <v>1</v>
      </c>
    </row>
    <row r="48" spans="1:18" x14ac:dyDescent="0.25">
      <c r="A48" s="11"/>
      <c r="B48" s="11" t="s">
        <v>27</v>
      </c>
      <c r="C48" s="11" t="s">
        <v>1279</v>
      </c>
      <c r="D48" s="11" t="s">
        <v>1280</v>
      </c>
      <c r="E48" s="11" t="s">
        <v>1281</v>
      </c>
      <c r="F48" s="12">
        <v>1</v>
      </c>
      <c r="G48" s="12">
        <v>775</v>
      </c>
      <c r="H48" s="12">
        <v>25</v>
      </c>
      <c r="I48" s="12">
        <f t="shared" si="1"/>
        <v>750</v>
      </c>
      <c r="J48" s="11" t="s">
        <v>119</v>
      </c>
      <c r="K48" s="11" t="s">
        <v>33</v>
      </c>
      <c r="L48" s="11" t="s">
        <v>1177</v>
      </c>
      <c r="M48" s="11"/>
      <c r="N48" s="11"/>
      <c r="O48" s="11"/>
      <c r="P48" s="11"/>
      <c r="Q48" s="11">
        <v>1</v>
      </c>
    </row>
    <row r="49" spans="1:18" x14ac:dyDescent="0.25">
      <c r="A49" s="11"/>
      <c r="B49" s="11" t="s">
        <v>27</v>
      </c>
      <c r="C49" s="11" t="s">
        <v>1282</v>
      </c>
      <c r="D49" s="11" t="s">
        <v>1283</v>
      </c>
      <c r="E49" s="11" t="s">
        <v>1284</v>
      </c>
      <c r="F49" s="11" t="s">
        <v>44</v>
      </c>
      <c r="G49" s="12">
        <v>955</v>
      </c>
      <c r="H49" s="12">
        <v>25</v>
      </c>
      <c r="I49" s="12">
        <f t="shared" si="1"/>
        <v>930</v>
      </c>
      <c r="J49" s="11" t="s">
        <v>119</v>
      </c>
      <c r="K49" s="11" t="s">
        <v>33</v>
      </c>
      <c r="L49" s="11" t="s">
        <v>1177</v>
      </c>
      <c r="M49" s="11"/>
      <c r="N49" s="11"/>
      <c r="O49" s="11"/>
      <c r="P49" s="11"/>
      <c r="Q49" s="11">
        <v>1</v>
      </c>
    </row>
    <row r="50" spans="1:18" x14ac:dyDescent="0.25">
      <c r="A50" s="11"/>
      <c r="B50" s="11" t="s">
        <v>27</v>
      </c>
      <c r="C50" s="11" t="s">
        <v>1285</v>
      </c>
      <c r="D50" s="11" t="s">
        <v>1286</v>
      </c>
      <c r="E50" s="11" t="s">
        <v>1287</v>
      </c>
      <c r="F50" s="12">
        <v>10</v>
      </c>
      <c r="G50" s="12">
        <v>935</v>
      </c>
      <c r="H50" s="12">
        <v>25</v>
      </c>
      <c r="I50" s="12">
        <f t="shared" si="1"/>
        <v>910</v>
      </c>
      <c r="J50" s="11" t="s">
        <v>119</v>
      </c>
      <c r="K50" s="11" t="s">
        <v>33</v>
      </c>
      <c r="L50" s="11" t="s">
        <v>1177</v>
      </c>
      <c r="M50" s="11"/>
      <c r="N50" s="11"/>
      <c r="O50" s="11"/>
      <c r="P50" s="11"/>
      <c r="Q50" s="11">
        <v>1</v>
      </c>
    </row>
    <row r="51" spans="1:18" x14ac:dyDescent="0.25">
      <c r="A51" s="11"/>
      <c r="B51" s="11" t="s">
        <v>27</v>
      </c>
      <c r="C51" s="11" t="s">
        <v>1288</v>
      </c>
      <c r="D51" s="11" t="s">
        <v>1289</v>
      </c>
      <c r="E51" s="11" t="s">
        <v>1290</v>
      </c>
      <c r="F51" s="12">
        <v>7</v>
      </c>
      <c r="G51" s="12">
        <v>1800</v>
      </c>
      <c r="H51" s="12">
        <v>30</v>
      </c>
      <c r="I51" s="12">
        <f t="shared" si="1"/>
        <v>1770</v>
      </c>
      <c r="J51" s="11" t="s">
        <v>119</v>
      </c>
      <c r="K51" s="11" t="s">
        <v>33</v>
      </c>
      <c r="L51" s="11" t="s">
        <v>1177</v>
      </c>
      <c r="M51" s="11"/>
      <c r="N51" s="11"/>
      <c r="O51" s="11"/>
      <c r="P51" s="11"/>
      <c r="Q51" s="11">
        <v>1</v>
      </c>
    </row>
    <row r="52" spans="1:18" x14ac:dyDescent="0.25">
      <c r="A52" s="11"/>
      <c r="B52" s="11" t="s">
        <v>27</v>
      </c>
      <c r="C52" s="11" t="s">
        <v>1291</v>
      </c>
      <c r="D52" s="11" t="s">
        <v>1292</v>
      </c>
      <c r="E52" s="11" t="s">
        <v>1293</v>
      </c>
      <c r="F52" s="12">
        <v>1</v>
      </c>
      <c r="G52" s="12">
        <v>675</v>
      </c>
      <c r="H52" s="12">
        <v>25</v>
      </c>
      <c r="I52" s="12">
        <f t="shared" si="1"/>
        <v>650</v>
      </c>
      <c r="J52" s="11" t="s">
        <v>119</v>
      </c>
      <c r="K52" s="11" t="s">
        <v>33</v>
      </c>
      <c r="L52" s="11" t="s">
        <v>1177</v>
      </c>
      <c r="M52" s="11"/>
      <c r="N52" s="11"/>
      <c r="O52" s="11"/>
      <c r="P52" s="11"/>
      <c r="Q52" s="11">
        <v>1</v>
      </c>
    </row>
    <row r="53" spans="1:18" x14ac:dyDescent="0.25">
      <c r="A53" s="11"/>
      <c r="B53" s="11" t="s">
        <v>27</v>
      </c>
      <c r="C53" s="11" t="s">
        <v>1294</v>
      </c>
      <c r="D53" s="11" t="s">
        <v>1295</v>
      </c>
      <c r="E53" s="11" t="s">
        <v>1296</v>
      </c>
      <c r="F53" s="12">
        <v>5</v>
      </c>
      <c r="G53" s="12">
        <v>0</v>
      </c>
      <c r="H53" s="12">
        <v>25</v>
      </c>
      <c r="I53" s="12">
        <f t="shared" si="1"/>
        <v>-25</v>
      </c>
      <c r="J53" s="11" t="s">
        <v>119</v>
      </c>
      <c r="K53" s="11" t="s">
        <v>33</v>
      </c>
      <c r="L53" s="11" t="s">
        <v>1177</v>
      </c>
      <c r="M53" s="11"/>
      <c r="N53" s="11"/>
      <c r="O53" s="11"/>
      <c r="P53" s="11"/>
      <c r="Q53" s="11">
        <v>1</v>
      </c>
      <c r="R53" s="5">
        <f>H53</f>
        <v>25</v>
      </c>
    </row>
    <row r="54" spans="1:18" x14ac:dyDescent="0.25">
      <c r="A54" s="11"/>
      <c r="B54" s="11" t="s">
        <v>27</v>
      </c>
      <c r="C54" s="11" t="s">
        <v>1297</v>
      </c>
      <c r="D54" s="11" t="s">
        <v>1298</v>
      </c>
      <c r="E54" s="11" t="s">
        <v>1299</v>
      </c>
      <c r="F54" s="12">
        <v>1</v>
      </c>
      <c r="G54" s="12">
        <v>0</v>
      </c>
      <c r="H54" s="12">
        <v>25</v>
      </c>
      <c r="I54" s="12">
        <f t="shared" si="1"/>
        <v>-25</v>
      </c>
      <c r="J54" s="11" t="s">
        <v>119</v>
      </c>
      <c r="K54" s="11" t="s">
        <v>33</v>
      </c>
      <c r="L54" s="11" t="s">
        <v>1177</v>
      </c>
      <c r="M54" s="11"/>
      <c r="N54" s="11"/>
      <c r="O54" s="11"/>
      <c r="P54" s="11"/>
      <c r="Q54" s="11">
        <v>1</v>
      </c>
      <c r="R54" s="5">
        <f>H54</f>
        <v>25</v>
      </c>
    </row>
    <row r="55" spans="1:18" x14ac:dyDescent="0.25">
      <c r="A55" s="11"/>
      <c r="B55" s="11" t="s">
        <v>27</v>
      </c>
      <c r="C55" s="11" t="s">
        <v>1300</v>
      </c>
      <c r="D55" s="11" t="s">
        <v>1301</v>
      </c>
      <c r="E55" s="11" t="s">
        <v>1302</v>
      </c>
      <c r="F55" s="12">
        <v>4</v>
      </c>
      <c r="G55" s="12">
        <v>675</v>
      </c>
      <c r="H55" s="12">
        <v>25</v>
      </c>
      <c r="I55" s="12">
        <f t="shared" si="1"/>
        <v>650</v>
      </c>
      <c r="J55" s="11" t="s">
        <v>119</v>
      </c>
      <c r="K55" s="11" t="s">
        <v>33</v>
      </c>
      <c r="L55" s="11" t="s">
        <v>1177</v>
      </c>
      <c r="M55" s="11"/>
      <c r="N55" s="11"/>
      <c r="O55" s="11"/>
      <c r="P55" s="11"/>
      <c r="Q55" s="11">
        <v>1</v>
      </c>
    </row>
    <row r="56" spans="1:18" x14ac:dyDescent="0.25">
      <c r="A56" s="11"/>
      <c r="B56" s="11" t="s">
        <v>27</v>
      </c>
      <c r="C56" s="11" t="s">
        <v>1078</v>
      </c>
      <c r="D56" s="11" t="s">
        <v>1303</v>
      </c>
      <c r="E56" s="11" t="s">
        <v>1137</v>
      </c>
      <c r="F56" s="11" t="s">
        <v>55</v>
      </c>
      <c r="G56" s="12">
        <v>505</v>
      </c>
      <c r="H56" s="12">
        <v>35</v>
      </c>
      <c r="I56" s="12">
        <f t="shared" si="1"/>
        <v>470</v>
      </c>
      <c r="J56" s="11" t="s">
        <v>119</v>
      </c>
      <c r="K56" s="11" t="s">
        <v>33</v>
      </c>
      <c r="L56" s="11" t="s">
        <v>1177</v>
      </c>
      <c r="M56" s="24" t="s">
        <v>1217</v>
      </c>
      <c r="N56" s="11"/>
      <c r="O56" s="11"/>
      <c r="P56" s="11"/>
      <c r="Q56" s="11">
        <v>1</v>
      </c>
    </row>
    <row r="57" spans="1:18" x14ac:dyDescent="0.25">
      <c r="A57" s="11"/>
      <c r="B57" s="11" t="s">
        <v>27</v>
      </c>
      <c r="C57" s="11" t="s">
        <v>1078</v>
      </c>
      <c r="D57" s="11" t="s">
        <v>1304</v>
      </c>
      <c r="E57" s="11" t="s">
        <v>1137</v>
      </c>
      <c r="F57" s="11" t="s">
        <v>55</v>
      </c>
      <c r="G57" s="12">
        <v>760</v>
      </c>
      <c r="H57" s="12">
        <v>0</v>
      </c>
      <c r="I57" s="12">
        <f t="shared" si="1"/>
        <v>760</v>
      </c>
      <c r="J57" s="11" t="s">
        <v>119</v>
      </c>
      <c r="K57" s="11" t="s">
        <v>33</v>
      </c>
      <c r="L57" s="11" t="s">
        <v>1177</v>
      </c>
      <c r="M57" s="24" t="s">
        <v>1217</v>
      </c>
      <c r="N57" s="11"/>
      <c r="O57" s="11"/>
      <c r="P57" s="11"/>
      <c r="Q57" s="11">
        <v>1</v>
      </c>
    </row>
    <row r="58" spans="1:18" x14ac:dyDescent="0.25">
      <c r="A58" s="11"/>
      <c r="B58" s="11" t="s">
        <v>27</v>
      </c>
      <c r="C58" s="11" t="s">
        <v>257</v>
      </c>
      <c r="D58" s="11" t="s">
        <v>1305</v>
      </c>
      <c r="E58" s="11" t="s">
        <v>259</v>
      </c>
      <c r="F58" s="11" t="s">
        <v>44</v>
      </c>
      <c r="G58" s="12">
        <v>775</v>
      </c>
      <c r="H58" s="12">
        <v>25</v>
      </c>
      <c r="I58" s="12">
        <f t="shared" si="1"/>
        <v>750</v>
      </c>
      <c r="J58" s="11" t="s">
        <v>119</v>
      </c>
      <c r="K58" s="11" t="s">
        <v>33</v>
      </c>
      <c r="L58" s="11" t="s">
        <v>1177</v>
      </c>
      <c r="M58" s="11"/>
      <c r="N58" s="11"/>
      <c r="O58" s="11"/>
      <c r="P58" s="11"/>
      <c r="Q58" s="11">
        <v>1</v>
      </c>
    </row>
    <row r="59" spans="1:18" x14ac:dyDescent="0.25">
      <c r="A59" s="11"/>
      <c r="B59" s="11" t="s">
        <v>27</v>
      </c>
      <c r="C59" s="11" t="s">
        <v>1306</v>
      </c>
      <c r="D59" s="11" t="s">
        <v>1307</v>
      </c>
      <c r="E59" s="11" t="s">
        <v>1308</v>
      </c>
      <c r="F59" s="12">
        <v>3</v>
      </c>
      <c r="G59" s="12">
        <v>975</v>
      </c>
      <c r="H59" s="12">
        <v>25</v>
      </c>
      <c r="I59" s="12">
        <f t="shared" si="1"/>
        <v>950</v>
      </c>
      <c r="J59" s="11" t="s">
        <v>119</v>
      </c>
      <c r="K59" s="11" t="s">
        <v>33</v>
      </c>
      <c r="L59" s="11" t="s">
        <v>1177</v>
      </c>
      <c r="M59" s="11"/>
      <c r="N59" s="11"/>
      <c r="O59" s="11"/>
      <c r="P59" s="11"/>
      <c r="Q59" s="11">
        <v>1</v>
      </c>
    </row>
    <row r="60" spans="1:18" x14ac:dyDescent="0.25">
      <c r="A60" s="11"/>
      <c r="B60" s="11" t="s">
        <v>27</v>
      </c>
      <c r="C60" s="11" t="s">
        <v>1309</v>
      </c>
      <c r="D60" s="11" t="s">
        <v>1310</v>
      </c>
      <c r="E60" s="11" t="s">
        <v>1311</v>
      </c>
      <c r="F60" s="12">
        <v>1</v>
      </c>
      <c r="G60" s="12">
        <v>685</v>
      </c>
      <c r="H60" s="12">
        <v>25</v>
      </c>
      <c r="I60" s="12">
        <f t="shared" si="1"/>
        <v>660</v>
      </c>
      <c r="J60" s="11" t="s">
        <v>119</v>
      </c>
      <c r="K60" s="11" t="s">
        <v>33</v>
      </c>
      <c r="L60" s="11" t="s">
        <v>1177</v>
      </c>
      <c r="M60" s="11"/>
      <c r="N60" s="11"/>
      <c r="O60" s="11"/>
      <c r="P60" s="11"/>
      <c r="Q60" s="11">
        <v>1</v>
      </c>
    </row>
    <row r="61" spans="1:18" x14ac:dyDescent="0.25">
      <c r="A61" s="11"/>
      <c r="B61" s="11" t="s">
        <v>27</v>
      </c>
      <c r="C61" s="11" t="s">
        <v>1312</v>
      </c>
      <c r="D61" s="11" t="s">
        <v>1313</v>
      </c>
      <c r="E61" s="11" t="s">
        <v>1314</v>
      </c>
      <c r="F61" s="12">
        <v>8</v>
      </c>
      <c r="G61" s="12">
        <v>900</v>
      </c>
      <c r="H61" s="12">
        <v>30</v>
      </c>
      <c r="I61" s="12">
        <f t="shared" si="1"/>
        <v>870</v>
      </c>
      <c r="J61" s="11" t="s">
        <v>119</v>
      </c>
      <c r="K61" s="11" t="s">
        <v>33</v>
      </c>
      <c r="L61" s="11" t="s">
        <v>1177</v>
      </c>
      <c r="M61" s="11"/>
      <c r="N61" s="11"/>
      <c r="O61" s="11"/>
      <c r="P61" s="11"/>
      <c r="Q61" s="11">
        <v>1</v>
      </c>
    </row>
    <row r="62" spans="1:18" x14ac:dyDescent="0.25">
      <c r="A62" s="11"/>
      <c r="B62" s="11" t="s">
        <v>27</v>
      </c>
      <c r="C62" s="11" t="s">
        <v>796</v>
      </c>
      <c r="D62" s="11" t="s">
        <v>1315</v>
      </c>
      <c r="E62" s="11" t="s">
        <v>798</v>
      </c>
      <c r="F62" s="11" t="s">
        <v>44</v>
      </c>
      <c r="G62" s="12">
        <v>1415</v>
      </c>
      <c r="H62" s="12">
        <v>25</v>
      </c>
      <c r="I62" s="12">
        <f t="shared" si="1"/>
        <v>1390</v>
      </c>
      <c r="J62" s="11" t="s">
        <v>119</v>
      </c>
      <c r="K62" s="11" t="s">
        <v>33</v>
      </c>
      <c r="L62" s="11" t="s">
        <v>1177</v>
      </c>
      <c r="M62" s="11"/>
      <c r="N62" s="11"/>
      <c r="O62" s="11"/>
      <c r="P62" s="11"/>
      <c r="Q62" s="11">
        <v>1</v>
      </c>
    </row>
    <row r="63" spans="1:18" x14ac:dyDescent="0.25">
      <c r="A63" s="11"/>
      <c r="B63" s="11" t="s">
        <v>27</v>
      </c>
      <c r="C63" s="11" t="s">
        <v>1316</v>
      </c>
      <c r="D63" s="11" t="s">
        <v>1317</v>
      </c>
      <c r="E63" s="11" t="s">
        <v>1318</v>
      </c>
      <c r="F63" s="12">
        <v>7</v>
      </c>
      <c r="G63" s="12">
        <v>720</v>
      </c>
      <c r="H63" s="12">
        <v>30</v>
      </c>
      <c r="I63" s="12">
        <f t="shared" si="1"/>
        <v>690</v>
      </c>
      <c r="J63" s="11" t="s">
        <v>119</v>
      </c>
      <c r="K63" s="11" t="s">
        <v>33</v>
      </c>
      <c r="L63" s="11" t="s">
        <v>1177</v>
      </c>
      <c r="M63" s="11"/>
      <c r="N63" s="11"/>
      <c r="O63" s="11"/>
      <c r="P63" s="11"/>
      <c r="Q63" s="11">
        <v>1</v>
      </c>
    </row>
    <row r="64" spans="1:18" x14ac:dyDescent="0.25">
      <c r="A64" s="11"/>
      <c r="B64" s="11" t="s">
        <v>27</v>
      </c>
      <c r="C64" s="11" t="s">
        <v>1319</v>
      </c>
      <c r="D64" s="11" t="s">
        <v>1320</v>
      </c>
      <c r="E64" s="11" t="s">
        <v>1321</v>
      </c>
      <c r="F64" s="12">
        <v>10</v>
      </c>
      <c r="G64" s="12">
        <v>895</v>
      </c>
      <c r="H64" s="12">
        <v>25</v>
      </c>
      <c r="I64" s="12">
        <f t="shared" si="1"/>
        <v>870</v>
      </c>
      <c r="J64" s="11" t="s">
        <v>119</v>
      </c>
      <c r="K64" s="11" t="s">
        <v>33</v>
      </c>
      <c r="L64" s="11" t="s">
        <v>1177</v>
      </c>
      <c r="M64" s="11"/>
      <c r="N64" s="11"/>
      <c r="O64" s="11"/>
      <c r="P64" s="11"/>
      <c r="Q64" s="11">
        <v>1</v>
      </c>
    </row>
    <row r="65" spans="1:18" x14ac:dyDescent="0.25">
      <c r="A65" s="11"/>
      <c r="B65" s="11" t="s">
        <v>27</v>
      </c>
      <c r="C65" s="11" t="s">
        <v>1322</v>
      </c>
      <c r="D65" s="11" t="s">
        <v>1323</v>
      </c>
      <c r="E65" s="11" t="s">
        <v>1324</v>
      </c>
      <c r="F65" s="12">
        <v>8</v>
      </c>
      <c r="G65" s="12">
        <v>460</v>
      </c>
      <c r="H65" s="12">
        <v>30</v>
      </c>
      <c r="I65" s="12">
        <f t="shared" si="1"/>
        <v>430</v>
      </c>
      <c r="J65" s="11" t="s">
        <v>119</v>
      </c>
      <c r="K65" s="11" t="s">
        <v>33</v>
      </c>
      <c r="L65" s="11" t="s">
        <v>1177</v>
      </c>
      <c r="M65" s="11"/>
      <c r="N65" s="11"/>
      <c r="O65" s="11"/>
      <c r="P65" s="11"/>
      <c r="Q65" s="11">
        <v>1</v>
      </c>
    </row>
    <row r="66" spans="1:18" x14ac:dyDescent="0.25">
      <c r="A66" s="11"/>
      <c r="B66" s="11" t="s">
        <v>27</v>
      </c>
      <c r="C66" s="11" t="s">
        <v>1325</v>
      </c>
      <c r="D66" s="11" t="s">
        <v>1326</v>
      </c>
      <c r="E66" s="11" t="s">
        <v>1327</v>
      </c>
      <c r="F66" s="12">
        <v>7</v>
      </c>
      <c r="G66" s="12">
        <v>680</v>
      </c>
      <c r="H66" s="12">
        <v>30</v>
      </c>
      <c r="I66" s="12">
        <f t="shared" si="1"/>
        <v>650</v>
      </c>
      <c r="J66" s="11" t="s">
        <v>119</v>
      </c>
      <c r="K66" s="11" t="s">
        <v>33</v>
      </c>
      <c r="L66" s="11" t="s">
        <v>1177</v>
      </c>
      <c r="M66" s="11"/>
      <c r="N66" s="11"/>
      <c r="O66" s="11"/>
      <c r="P66" s="11"/>
      <c r="Q66" s="11">
        <v>1</v>
      </c>
    </row>
    <row r="67" spans="1:18" x14ac:dyDescent="0.25">
      <c r="A67" s="11"/>
      <c r="B67" s="11" t="s">
        <v>27</v>
      </c>
      <c r="C67" s="11" t="s">
        <v>588</v>
      </c>
      <c r="D67" s="11" t="s">
        <v>1328</v>
      </c>
      <c r="E67" s="11" t="s">
        <v>1329</v>
      </c>
      <c r="F67" s="12">
        <v>1</v>
      </c>
      <c r="G67" s="12">
        <v>915</v>
      </c>
      <c r="H67" s="12">
        <v>25</v>
      </c>
      <c r="I67" s="12">
        <f t="shared" ref="I67:I75" si="2">G67-H67</f>
        <v>890</v>
      </c>
      <c r="J67" s="11" t="s">
        <v>119</v>
      </c>
      <c r="K67" s="11" t="s">
        <v>33</v>
      </c>
      <c r="L67" s="11" t="s">
        <v>1177</v>
      </c>
      <c r="M67" s="11"/>
      <c r="N67" s="11"/>
      <c r="O67" s="11"/>
      <c r="P67" s="11"/>
      <c r="Q67" s="11">
        <v>1</v>
      </c>
    </row>
    <row r="68" spans="1:18" x14ac:dyDescent="0.25">
      <c r="A68" s="11"/>
      <c r="B68" s="11" t="s">
        <v>27</v>
      </c>
      <c r="C68" s="11" t="s">
        <v>1330</v>
      </c>
      <c r="D68" s="11" t="s">
        <v>1331</v>
      </c>
      <c r="E68" s="11" t="s">
        <v>1332</v>
      </c>
      <c r="F68" s="12">
        <v>5</v>
      </c>
      <c r="G68" s="12">
        <v>0</v>
      </c>
      <c r="H68" s="12">
        <v>25</v>
      </c>
      <c r="I68" s="12">
        <f t="shared" si="2"/>
        <v>-25</v>
      </c>
      <c r="J68" s="11" t="s">
        <v>119</v>
      </c>
      <c r="K68" s="11" t="s">
        <v>33</v>
      </c>
      <c r="L68" s="11" t="s">
        <v>1177</v>
      </c>
      <c r="M68" s="11"/>
      <c r="N68" s="11"/>
      <c r="O68" s="11"/>
      <c r="P68" s="11"/>
      <c r="Q68" s="11">
        <v>1</v>
      </c>
      <c r="R68" s="5">
        <f>H68</f>
        <v>25</v>
      </c>
    </row>
    <row r="69" spans="1:18" x14ac:dyDescent="0.25">
      <c r="A69" s="11"/>
      <c r="B69" s="11" t="s">
        <v>27</v>
      </c>
      <c r="C69" s="11" t="s">
        <v>1333</v>
      </c>
      <c r="D69" s="11" t="s">
        <v>1334</v>
      </c>
      <c r="E69" s="11" t="s">
        <v>1335</v>
      </c>
      <c r="F69" s="12">
        <v>7</v>
      </c>
      <c r="G69" s="12">
        <v>680</v>
      </c>
      <c r="H69" s="12">
        <v>30</v>
      </c>
      <c r="I69" s="12">
        <f t="shared" si="2"/>
        <v>650</v>
      </c>
      <c r="J69" s="11" t="s">
        <v>119</v>
      </c>
      <c r="K69" s="11" t="s">
        <v>33</v>
      </c>
      <c r="L69" s="11" t="s">
        <v>1177</v>
      </c>
      <c r="M69" s="11"/>
      <c r="N69" s="11"/>
      <c r="O69" s="11"/>
      <c r="P69" s="11"/>
      <c r="Q69" s="11">
        <v>1</v>
      </c>
    </row>
    <row r="70" spans="1:18" x14ac:dyDescent="0.25">
      <c r="A70" s="11"/>
      <c r="B70" s="11" t="s">
        <v>27</v>
      </c>
      <c r="C70" s="11" t="s">
        <v>1003</v>
      </c>
      <c r="D70" s="11" t="s">
        <v>1336</v>
      </c>
      <c r="E70" s="11" t="s">
        <v>1337</v>
      </c>
      <c r="F70" s="12">
        <v>8</v>
      </c>
      <c r="G70" s="12">
        <v>1110</v>
      </c>
      <c r="H70" s="12">
        <v>30</v>
      </c>
      <c r="I70" s="12">
        <f t="shared" si="2"/>
        <v>1080</v>
      </c>
      <c r="J70" s="11" t="s">
        <v>119</v>
      </c>
      <c r="K70" s="11" t="s">
        <v>33</v>
      </c>
      <c r="L70" s="11" t="s">
        <v>1177</v>
      </c>
      <c r="M70" s="11"/>
      <c r="N70" s="11"/>
      <c r="O70" s="11"/>
      <c r="P70" s="11"/>
      <c r="Q70" s="11">
        <v>1</v>
      </c>
    </row>
    <row r="71" spans="1:18" x14ac:dyDescent="0.25">
      <c r="A71" s="11"/>
      <c r="B71" s="11" t="s">
        <v>27</v>
      </c>
      <c r="C71" s="11" t="s">
        <v>1086</v>
      </c>
      <c r="D71" s="11" t="s">
        <v>1338</v>
      </c>
      <c r="E71" s="11" t="s">
        <v>1088</v>
      </c>
      <c r="F71" s="12">
        <v>7</v>
      </c>
      <c r="G71" s="12">
        <v>620</v>
      </c>
      <c r="H71" s="12">
        <v>30</v>
      </c>
      <c r="I71" s="12">
        <f t="shared" si="2"/>
        <v>590</v>
      </c>
      <c r="J71" s="11" t="s">
        <v>119</v>
      </c>
      <c r="K71" s="11" t="s">
        <v>33</v>
      </c>
      <c r="L71" s="11" t="s">
        <v>1177</v>
      </c>
      <c r="M71" s="11"/>
      <c r="N71" s="11"/>
      <c r="O71" s="11"/>
      <c r="P71" s="11"/>
      <c r="Q71" s="11">
        <v>1</v>
      </c>
    </row>
    <row r="72" spans="1:18" x14ac:dyDescent="0.25">
      <c r="A72" s="11" t="s">
        <v>59</v>
      </c>
      <c r="B72" s="11" t="s">
        <v>27</v>
      </c>
      <c r="C72" s="11" t="s">
        <v>359</v>
      </c>
      <c r="D72" s="11"/>
      <c r="E72" s="11" t="s">
        <v>360</v>
      </c>
      <c r="F72" s="11" t="s">
        <v>44</v>
      </c>
      <c r="G72" s="12">
        <v>0</v>
      </c>
      <c r="H72" s="12">
        <v>30</v>
      </c>
      <c r="I72" s="12">
        <f t="shared" si="2"/>
        <v>-30</v>
      </c>
      <c r="J72" s="11" t="s">
        <v>119</v>
      </c>
      <c r="K72" s="11" t="s">
        <v>33</v>
      </c>
      <c r="L72" s="11" t="s">
        <v>1177</v>
      </c>
      <c r="M72" s="11"/>
      <c r="N72" s="11"/>
      <c r="O72" s="11"/>
      <c r="P72" s="11"/>
      <c r="Q72" s="11">
        <v>1</v>
      </c>
      <c r="R72" s="5">
        <f>H72</f>
        <v>30</v>
      </c>
    </row>
    <row r="73" spans="1:18" x14ac:dyDescent="0.25">
      <c r="A73" s="11" t="s">
        <v>59</v>
      </c>
      <c r="B73" s="11" t="s">
        <v>27</v>
      </c>
      <c r="C73" s="11" t="s">
        <v>1130</v>
      </c>
      <c r="D73" s="11"/>
      <c r="E73" s="11" t="s">
        <v>1339</v>
      </c>
      <c r="F73" s="12">
        <v>5</v>
      </c>
      <c r="G73" s="12">
        <v>0</v>
      </c>
      <c r="H73" s="12">
        <v>60</v>
      </c>
      <c r="I73" s="12">
        <f t="shared" si="2"/>
        <v>-60</v>
      </c>
      <c r="J73" s="11" t="s">
        <v>119</v>
      </c>
      <c r="K73" s="11" t="s">
        <v>33</v>
      </c>
      <c r="L73" s="11" t="s">
        <v>1177</v>
      </c>
      <c r="M73" s="11"/>
      <c r="N73" s="11"/>
      <c r="O73" s="11"/>
      <c r="P73" s="11"/>
      <c r="Q73" s="11">
        <v>1</v>
      </c>
      <c r="R73" s="5">
        <f>H73</f>
        <v>60</v>
      </c>
    </row>
    <row r="74" spans="1:18" s="2" customFormat="1" x14ac:dyDescent="0.25">
      <c r="A74" s="16"/>
      <c r="B74" s="16" t="s">
        <v>27</v>
      </c>
      <c r="C74" s="16" t="s">
        <v>1059</v>
      </c>
      <c r="D74" s="16" t="s">
        <v>1060</v>
      </c>
      <c r="E74" s="16" t="s">
        <v>1061</v>
      </c>
      <c r="F74" s="16" t="s">
        <v>104</v>
      </c>
      <c r="G74" s="17">
        <v>760</v>
      </c>
      <c r="H74" s="17">
        <v>0</v>
      </c>
      <c r="I74" s="17">
        <f t="shared" si="2"/>
        <v>760</v>
      </c>
      <c r="J74" s="16" t="s">
        <v>153</v>
      </c>
      <c r="K74" s="16" t="s">
        <v>33</v>
      </c>
      <c r="L74" s="16" t="s">
        <v>1002</v>
      </c>
      <c r="M74" s="16" t="s">
        <v>155</v>
      </c>
      <c r="N74" s="16" t="s">
        <v>156</v>
      </c>
      <c r="O74" s="16" t="s">
        <v>156</v>
      </c>
      <c r="P74" s="16" t="s">
        <v>157</v>
      </c>
      <c r="Q74" s="16">
        <v>1</v>
      </c>
    </row>
    <row r="75" spans="1:18" s="2" customFormat="1" x14ac:dyDescent="0.25">
      <c r="A75" s="16"/>
      <c r="B75" s="16" t="s">
        <v>27</v>
      </c>
      <c r="C75" s="16" t="s">
        <v>1104</v>
      </c>
      <c r="D75" s="16" t="s">
        <v>1105</v>
      </c>
      <c r="E75" s="16" t="s">
        <v>1106</v>
      </c>
      <c r="F75" s="16" t="s">
        <v>31</v>
      </c>
      <c r="G75" s="17">
        <v>885</v>
      </c>
      <c r="H75" s="17">
        <v>0</v>
      </c>
      <c r="I75" s="17">
        <f t="shared" si="2"/>
        <v>885</v>
      </c>
      <c r="J75" s="16" t="s">
        <v>1094</v>
      </c>
      <c r="K75" s="16" t="s">
        <v>33</v>
      </c>
      <c r="L75" s="16" t="s">
        <v>1095</v>
      </c>
      <c r="M75" s="16" t="s">
        <v>173</v>
      </c>
      <c r="N75" s="16" t="s">
        <v>156</v>
      </c>
      <c r="O75" s="16" t="s">
        <v>156</v>
      </c>
      <c r="P75" s="16" t="s">
        <v>157</v>
      </c>
      <c r="Q75" s="16">
        <v>1</v>
      </c>
    </row>
    <row r="77" spans="1:18" x14ac:dyDescent="0.25">
      <c r="D77" s="1">
        <f>COUNTA(D3:D75)</f>
        <v>63</v>
      </c>
      <c r="G77" s="1">
        <f t="shared" ref="G77:Q77" si="3">SUBTOTAL(9,G3:G75)</f>
        <v>50625</v>
      </c>
      <c r="H77" s="1">
        <f t="shared" si="3"/>
        <v>2005</v>
      </c>
      <c r="I77" s="1">
        <f t="shared" si="3"/>
        <v>48620</v>
      </c>
      <c r="J77" s="1">
        <f t="shared" si="3"/>
        <v>0</v>
      </c>
      <c r="K77" s="1">
        <f t="shared" si="3"/>
        <v>0</v>
      </c>
      <c r="L77" s="1">
        <f t="shared" si="3"/>
        <v>0</v>
      </c>
      <c r="M77" s="1">
        <f t="shared" si="3"/>
        <v>0</v>
      </c>
      <c r="N77" s="1">
        <f t="shared" si="3"/>
        <v>0</v>
      </c>
      <c r="O77" s="1">
        <f t="shared" si="3"/>
        <v>0</v>
      </c>
      <c r="P77" s="1">
        <f t="shared" si="3"/>
        <v>0</v>
      </c>
      <c r="Q77" s="1">
        <f t="shared" si="3"/>
        <v>73</v>
      </c>
    </row>
    <row r="78" spans="1:18" x14ac:dyDescent="0.25">
      <c r="H78">
        <f>-9*17</f>
        <v>-153</v>
      </c>
    </row>
    <row r="79" spans="1:18" x14ac:dyDescent="0.25">
      <c r="A79" s="1" t="s">
        <v>27</v>
      </c>
      <c r="C79" s="60" t="s">
        <v>158</v>
      </c>
      <c r="D79" s="60"/>
      <c r="E79" s="4" t="s">
        <v>159</v>
      </c>
      <c r="H79">
        <f>-7*25</f>
        <v>-175</v>
      </c>
      <c r="K79" s="6" t="s">
        <v>1176</v>
      </c>
      <c r="L79" s="6" t="s">
        <v>160</v>
      </c>
      <c r="M79" s="6" t="s">
        <v>159</v>
      </c>
      <c r="O79" s="4" t="s">
        <v>161</v>
      </c>
    </row>
    <row r="80" spans="1:18" x14ac:dyDescent="0.25">
      <c r="A80" t="s">
        <v>1177</v>
      </c>
      <c r="B80" s="3" t="s">
        <v>162</v>
      </c>
      <c r="C80" s="61">
        <f>SUMIFS(I$3:I$75,B$3:B$75,A$79,L$3:L$75,A$80)</f>
        <v>46975</v>
      </c>
      <c r="D80" s="61"/>
      <c r="E80" s="3">
        <f>SUMIFS(Q$3:Q$75,B$3:B$75,A$79,L$3:L$75,A$80)</f>
        <v>71</v>
      </c>
      <c r="F80" t="s">
        <v>163</v>
      </c>
      <c r="H80">
        <f>-2*30</f>
        <v>-60</v>
      </c>
      <c r="K80" t="s">
        <v>164</v>
      </c>
      <c r="L80">
        <f>SUMIFS(G$3:G$75,J$3:J$75,K$79)</f>
        <v>11455</v>
      </c>
      <c r="M80">
        <f>SUMIFS(Q$3:Q$75,J$3:J$75,K$79)-INT(COUNTIFS(J$3:J$75,K$79,M$3:M$75,"*gộp*")/2)</f>
        <v>18</v>
      </c>
      <c r="O80" t="s">
        <v>1340</v>
      </c>
      <c r="P80">
        <f>L85</f>
        <v>10182</v>
      </c>
    </row>
    <row r="81" spans="2:16" x14ac:dyDescent="0.25">
      <c r="B81" s="2" t="s">
        <v>166</v>
      </c>
      <c r="C81" s="62">
        <v>0</v>
      </c>
      <c r="D81" s="62"/>
      <c r="K81" t="s">
        <v>167</v>
      </c>
      <c r="L81">
        <f>SUM(H78:H80)</f>
        <v>-388</v>
      </c>
      <c r="M81">
        <f>SUMIFS(Q$3:Q$75,J$3:J$75,K$79)-INT(COUNTIFS(J$3:J$75,K$79,M$3:M$75,"*gộp*")/2)</f>
        <v>18</v>
      </c>
      <c r="O81" t="s">
        <v>119</v>
      </c>
      <c r="P81">
        <f>L93</f>
        <v>18275</v>
      </c>
    </row>
    <row r="82" spans="2:16" x14ac:dyDescent="0.25">
      <c r="B82" s="2" t="s">
        <v>168</v>
      </c>
      <c r="C82" s="62">
        <f>-SUMIFS(I$3:I$75,B$3:B$75,A$79,P$3:P$75,"xx",N$3:N$75,"x")</f>
        <v>-1645</v>
      </c>
      <c r="D82" s="62"/>
      <c r="E82" s="2">
        <f>SUMIFS(Q$3:Q$75,B$3:B$75,A$79,P$3:P$75,"xx",N$3:N$75,"x")</f>
        <v>2</v>
      </c>
      <c r="K82" t="s">
        <v>169</v>
      </c>
      <c r="L82">
        <f>-M82*2</f>
        <v>0</v>
      </c>
      <c r="M82">
        <f>COUNTIFS(K$3:K$75,K$79,L$3:L$75,A$80)-(COUNTIFS(K$3:K$75,K$79,M$3:M$75,"*gộp*")/2)-COUNTIFS(K$3:K$75,K$79,M$3:M$75,"*đơn trả*")-COUNTIFS(K$3:K$75,K$79,M$3:M$75,"*hàng tỉnh*")</f>
        <v>0</v>
      </c>
      <c r="O82" t="s">
        <v>33</v>
      </c>
      <c r="P82">
        <f>L101</f>
        <v>17144</v>
      </c>
    </row>
    <row r="83" spans="2:16" x14ac:dyDescent="0.25">
      <c r="B83" s="4" t="s">
        <v>170</v>
      </c>
      <c r="C83" s="60">
        <f>SUBTOTAL(9,C80:C82)</f>
        <v>45330</v>
      </c>
      <c r="D83" s="60"/>
      <c r="E83">
        <f>E80</f>
        <v>71</v>
      </c>
      <c r="K83" s="7" t="s">
        <v>155</v>
      </c>
      <c r="O83" t="s">
        <v>171</v>
      </c>
      <c r="P83">
        <f>-C87</f>
        <v>-45330</v>
      </c>
    </row>
    <row r="84" spans="2:16" x14ac:dyDescent="0.25">
      <c r="B84" s="2" t="s">
        <v>172</v>
      </c>
      <c r="C84" s="58"/>
      <c r="D84" s="58"/>
      <c r="K84" s="2" t="s">
        <v>173</v>
      </c>
      <c r="L84" s="18">
        <v>-885</v>
      </c>
      <c r="M84" s="18" t="s">
        <v>178</v>
      </c>
      <c r="O84" s="4" t="s">
        <v>174</v>
      </c>
      <c r="P84" s="4">
        <f>SUBTOTAL(9,P80:P83)</f>
        <v>271</v>
      </c>
    </row>
    <row r="85" spans="2:16" x14ac:dyDescent="0.25">
      <c r="B85" s="8" t="s">
        <v>175</v>
      </c>
      <c r="C85" s="58"/>
      <c r="D85" s="58"/>
      <c r="L85" s="9">
        <f>SUBTOTAL(9,L80:L84)</f>
        <v>10182</v>
      </c>
      <c r="M85" s="9">
        <f>M80</f>
        <v>18</v>
      </c>
    </row>
    <row r="87" spans="2:16" x14ac:dyDescent="0.25">
      <c r="B87" s="1" t="s">
        <v>176</v>
      </c>
      <c r="C87" s="59">
        <f>C83+C84+C85</f>
        <v>45330</v>
      </c>
      <c r="D87" s="59"/>
      <c r="E87" s="1" t="s">
        <v>177</v>
      </c>
      <c r="K87" s="6" t="s">
        <v>119</v>
      </c>
      <c r="L87" s="6" t="s">
        <v>160</v>
      </c>
      <c r="M87" s="6" t="s">
        <v>159</v>
      </c>
    </row>
    <row r="88" spans="2:16" x14ac:dyDescent="0.25">
      <c r="K88" t="s">
        <v>164</v>
      </c>
      <c r="L88">
        <f>SUMIFS(G$3:G$75,J$3:J$75,K$87)</f>
        <v>18930</v>
      </c>
      <c r="M88">
        <f>SUMIFS(Q$3:Q$75,J$3:J$75,K$87)-INT(COUNTIFS(J$3:J$75,K$87,M$3:M$75,"*gộp*")/2)</f>
        <v>28</v>
      </c>
    </row>
    <row r="89" spans="2:16" x14ac:dyDescent="0.25">
      <c r="K89" t="s">
        <v>167</v>
      </c>
      <c r="L89">
        <f>-SUMIFS(H$3:H$75,J$3:J$75,K$87)+M89*5</f>
        <v>-655</v>
      </c>
      <c r="M89">
        <f>SUMIFS(Q$3:Q$75,J$3:J$75,K$87)-INT(COUNTIFS(J$3:J$75,K$87,M$3:M$75,"*gộp*")/2)</f>
        <v>28</v>
      </c>
    </row>
    <row r="90" spans="2:16" x14ac:dyDescent="0.25">
      <c r="K90" t="s">
        <v>169</v>
      </c>
      <c r="L90">
        <f>-M90*2</f>
        <v>0</v>
      </c>
      <c r="M90">
        <f>COUNTIFS(K$3:K$75,K$87,L$3:L$75,A$80)-(COUNTIFS(K$3:K$75,K$87,M$3:M$75,"*gộp*")/2)-COUNTIFS(K$3:K$75,K$87,M$3:M$75,"*đơn trả*")-COUNTIFS(K$3:K$75,K$87,M$3:M$75,"*hàng tỉnh*")</f>
        <v>0</v>
      </c>
    </row>
    <row r="91" spans="2:16" x14ac:dyDescent="0.25">
      <c r="K91" s="7" t="s">
        <v>155</v>
      </c>
    </row>
    <row r="92" spans="2:16" x14ac:dyDescent="0.25">
      <c r="K92" s="2" t="s">
        <v>173</v>
      </c>
    </row>
    <row r="93" spans="2:16" x14ac:dyDescent="0.25">
      <c r="L93" s="9">
        <f>SUBTOTAL(9,L88:L92)</f>
        <v>18275</v>
      </c>
      <c r="M93" s="9">
        <f>M88</f>
        <v>28</v>
      </c>
    </row>
    <row r="95" spans="2:16" x14ac:dyDescent="0.25">
      <c r="K95" s="6" t="s">
        <v>33</v>
      </c>
      <c r="L95" s="6" t="s">
        <v>160</v>
      </c>
      <c r="M95" s="6" t="s">
        <v>159</v>
      </c>
    </row>
    <row r="96" spans="2:16" x14ac:dyDescent="0.25">
      <c r="K96" t="s">
        <v>164</v>
      </c>
      <c r="L96">
        <f>SUMIFS(G$3:G$75,J$3:J$75,K$95)</f>
        <v>18595</v>
      </c>
      <c r="M96">
        <f>SUMIFS(Q$3:Q$75,J$3:J$75,K$95)-INT(COUNTIFS(J$3:J$75,K$95,M$3:M$75,"*gộp*")/2)</f>
        <v>23</v>
      </c>
    </row>
    <row r="97" spans="11:13" x14ac:dyDescent="0.25">
      <c r="K97" t="s">
        <v>167</v>
      </c>
      <c r="L97">
        <f>-SUMIFS(H$3:H$75,J$3:J$75,K$95)+M97*5</f>
        <v>-555</v>
      </c>
      <c r="M97">
        <f>SUMIFS(Q$3:Q$75,J$3:J$75,K$95)-INT(COUNTIFS(J$3:J$75,K$95,M$3:M$75,"*gộp*")/2)</f>
        <v>23</v>
      </c>
    </row>
    <row r="98" spans="11:13" x14ac:dyDescent="0.25">
      <c r="K98" t="s">
        <v>169</v>
      </c>
      <c r="L98">
        <f>-M98*2</f>
        <v>-136</v>
      </c>
      <c r="M98">
        <f>COUNTIFS(K$3:K$75,K$95,L$3:L$75,A$80)-(COUNTIFS(K$3:K$75,K$95,M$3:M$75,"*gộp*")/2)-COUNTIFS(K$3:K$75,K$95,M$3:M$75,"*đơn trả*")-COUNTIFS(K$3:K$75,K$95,M$3:M$75,"*hàng tỉnh*")</f>
        <v>68</v>
      </c>
    </row>
    <row r="99" spans="11:13" x14ac:dyDescent="0.25">
      <c r="K99" s="7" t="s">
        <v>155</v>
      </c>
      <c r="L99" s="18">
        <v>-760</v>
      </c>
      <c r="M99" s="18" t="s">
        <v>178</v>
      </c>
    </row>
    <row r="100" spans="11:13" x14ac:dyDescent="0.25">
      <c r="K100" s="2" t="s">
        <v>173</v>
      </c>
    </row>
    <row r="101" spans="11:13" x14ac:dyDescent="0.25">
      <c r="L101" s="9">
        <f>SUBTOTAL(9,L96:L100)</f>
        <v>17144</v>
      </c>
      <c r="M101" s="9">
        <f>M96</f>
        <v>23</v>
      </c>
    </row>
  </sheetData>
  <autoFilter ref="A2:P75" xr:uid="{00000000-0009-0000-0000-00000E000000}">
    <sortState xmlns:xlrd2="http://schemas.microsoft.com/office/spreadsheetml/2017/richdata2" ref="A3:P75">
      <sortCondition ref="J2:J75"/>
    </sortState>
  </autoFilter>
  <mergeCells count="8">
    <mergeCell ref="C84:D84"/>
    <mergeCell ref="C85:D85"/>
    <mergeCell ref="C87:D87"/>
    <mergeCell ref="C79:D79"/>
    <mergeCell ref="C80:D80"/>
    <mergeCell ref="C81:D81"/>
    <mergeCell ref="C82:D82"/>
    <mergeCell ref="C83:D83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R66"/>
  <sheetViews>
    <sheetView topLeftCell="A34" zoomScale="90" zoomScaleNormal="90" workbookViewId="0">
      <selection activeCell="A12" sqref="A12"/>
    </sheetView>
  </sheetViews>
  <sheetFormatPr defaultRowHeight="15" x14ac:dyDescent="0.25"/>
  <cols>
    <col min="1" max="1" width="12.7109375" customWidth="1"/>
    <col min="2" max="2" width="8.85546875" customWidth="1"/>
    <col min="3" max="3" width="22.5703125" customWidth="1"/>
    <col min="4" max="4" width="9.85546875" customWidth="1"/>
    <col min="5" max="5" width="89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1341</v>
      </c>
      <c r="D3" s="11" t="s">
        <v>1342</v>
      </c>
      <c r="E3" s="11" t="s">
        <v>1343</v>
      </c>
      <c r="F3" s="11" t="s">
        <v>31</v>
      </c>
      <c r="G3" s="12">
        <v>3500</v>
      </c>
      <c r="H3" s="12">
        <v>35</v>
      </c>
      <c r="I3" s="12">
        <f t="shared" ref="I3:I40" si="0">G3-H3</f>
        <v>3465</v>
      </c>
      <c r="J3" s="11" t="s">
        <v>1344</v>
      </c>
      <c r="K3" s="11" t="s">
        <v>33</v>
      </c>
      <c r="L3" s="11" t="s">
        <v>1345</v>
      </c>
      <c r="M3" s="24" t="s">
        <v>340</v>
      </c>
      <c r="N3" s="11"/>
      <c r="O3" s="11"/>
      <c r="P3" s="11"/>
      <c r="Q3" s="11">
        <v>1</v>
      </c>
      <c r="R3" s="5">
        <f>H3</f>
        <v>35</v>
      </c>
    </row>
    <row r="4" spans="1:18" x14ac:dyDescent="0.25">
      <c r="A4" s="11"/>
      <c r="B4" s="11" t="s">
        <v>27</v>
      </c>
      <c r="C4" s="11" t="s">
        <v>1346</v>
      </c>
      <c r="D4" s="11" t="s">
        <v>1347</v>
      </c>
      <c r="E4" s="11" t="s">
        <v>1348</v>
      </c>
      <c r="F4" s="11" t="s">
        <v>31</v>
      </c>
      <c r="G4" s="12">
        <v>1165</v>
      </c>
      <c r="H4" s="12">
        <v>25</v>
      </c>
      <c r="I4" s="12">
        <f t="shared" si="0"/>
        <v>1140</v>
      </c>
      <c r="J4" s="11" t="s">
        <v>1344</v>
      </c>
      <c r="K4" s="11" t="s">
        <v>33</v>
      </c>
      <c r="L4" s="11" t="s">
        <v>1345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1349</v>
      </c>
      <c r="D5" s="11" t="s">
        <v>1350</v>
      </c>
      <c r="E5" s="11" t="s">
        <v>1351</v>
      </c>
      <c r="F5" s="11" t="s">
        <v>444</v>
      </c>
      <c r="G5" s="12">
        <v>495</v>
      </c>
      <c r="H5" s="12">
        <v>35</v>
      </c>
      <c r="I5" s="12">
        <f t="shared" si="0"/>
        <v>460</v>
      </c>
      <c r="J5" s="11" t="s">
        <v>1344</v>
      </c>
      <c r="K5" s="11" t="s">
        <v>33</v>
      </c>
      <c r="L5" s="11" t="s">
        <v>1345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1352</v>
      </c>
      <c r="D6" s="11" t="s">
        <v>1353</v>
      </c>
      <c r="E6" s="11" t="s">
        <v>1354</v>
      </c>
      <c r="F6" s="12">
        <v>6</v>
      </c>
      <c r="G6" s="12">
        <v>845</v>
      </c>
      <c r="H6" s="12">
        <v>25</v>
      </c>
      <c r="I6" s="12">
        <f t="shared" si="0"/>
        <v>820</v>
      </c>
      <c r="J6" s="11" t="s">
        <v>1344</v>
      </c>
      <c r="K6" s="11" t="s">
        <v>33</v>
      </c>
      <c r="L6" s="11" t="s">
        <v>1345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591</v>
      </c>
      <c r="D7" s="11" t="s">
        <v>1355</v>
      </c>
      <c r="E7" s="11" t="s">
        <v>593</v>
      </c>
      <c r="F7" s="12">
        <v>6</v>
      </c>
      <c r="G7" s="12">
        <v>505</v>
      </c>
      <c r="H7" s="12">
        <v>25</v>
      </c>
      <c r="I7" s="12">
        <f t="shared" si="0"/>
        <v>480</v>
      </c>
      <c r="J7" s="11" t="s">
        <v>1344</v>
      </c>
      <c r="K7" s="11" t="s">
        <v>33</v>
      </c>
      <c r="L7" s="11" t="s">
        <v>1345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1356</v>
      </c>
      <c r="D8" s="11" t="s">
        <v>1357</v>
      </c>
      <c r="E8" s="11" t="s">
        <v>1358</v>
      </c>
      <c r="F8" s="11" t="s">
        <v>48</v>
      </c>
      <c r="G8" s="12">
        <v>750</v>
      </c>
      <c r="H8" s="12">
        <v>30</v>
      </c>
      <c r="I8" s="12">
        <f t="shared" si="0"/>
        <v>720</v>
      </c>
      <c r="J8" s="11" t="s">
        <v>1344</v>
      </c>
      <c r="K8" s="11" t="s">
        <v>33</v>
      </c>
      <c r="L8" s="11" t="s">
        <v>1345</v>
      </c>
      <c r="M8" s="24" t="s">
        <v>1217</v>
      </c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1359</v>
      </c>
      <c r="D9" s="11" t="s">
        <v>1360</v>
      </c>
      <c r="E9" s="11" t="s">
        <v>1361</v>
      </c>
      <c r="F9" s="11" t="s">
        <v>48</v>
      </c>
      <c r="G9" s="12">
        <v>680</v>
      </c>
      <c r="H9" s="12">
        <v>0</v>
      </c>
      <c r="I9" s="12">
        <f t="shared" si="0"/>
        <v>680</v>
      </c>
      <c r="J9" s="11" t="s">
        <v>1344</v>
      </c>
      <c r="K9" s="11" t="s">
        <v>33</v>
      </c>
      <c r="L9" s="11" t="s">
        <v>1345</v>
      </c>
      <c r="M9" s="24" t="s">
        <v>1217</v>
      </c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1362</v>
      </c>
      <c r="D10" s="11" t="s">
        <v>1363</v>
      </c>
      <c r="E10" s="11" t="s">
        <v>1364</v>
      </c>
      <c r="F10" s="12">
        <v>6</v>
      </c>
      <c r="G10" s="12">
        <v>1165</v>
      </c>
      <c r="H10" s="12">
        <v>25</v>
      </c>
      <c r="I10" s="12">
        <f t="shared" si="0"/>
        <v>1140</v>
      </c>
      <c r="J10" s="11" t="s">
        <v>1344</v>
      </c>
      <c r="K10" s="11" t="s">
        <v>33</v>
      </c>
      <c r="L10" s="11" t="s">
        <v>1345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1365</v>
      </c>
      <c r="D11" s="11" t="s">
        <v>1366</v>
      </c>
      <c r="E11" s="11" t="s">
        <v>1367</v>
      </c>
      <c r="F11" s="11" t="s">
        <v>31</v>
      </c>
      <c r="G11" s="12">
        <v>0</v>
      </c>
      <c r="H11" s="12">
        <v>25</v>
      </c>
      <c r="I11" s="12">
        <f t="shared" si="0"/>
        <v>-25</v>
      </c>
      <c r="J11" s="11" t="s">
        <v>1344</v>
      </c>
      <c r="K11" s="11" t="s">
        <v>33</v>
      </c>
      <c r="L11" s="11" t="s">
        <v>1345</v>
      </c>
      <c r="M11" s="11"/>
      <c r="N11" s="11"/>
      <c r="O11" s="11"/>
      <c r="P11" s="11"/>
      <c r="Q11" s="11">
        <v>1</v>
      </c>
      <c r="R11" s="5">
        <f>H11</f>
        <v>25</v>
      </c>
    </row>
    <row r="12" spans="1:18" x14ac:dyDescent="0.25">
      <c r="A12" s="11"/>
      <c r="B12" s="11" t="s">
        <v>27</v>
      </c>
      <c r="C12" s="11" t="s">
        <v>1368</v>
      </c>
      <c r="D12" s="11" t="s">
        <v>1369</v>
      </c>
      <c r="E12" s="11" t="s">
        <v>1370</v>
      </c>
      <c r="F12" s="11" t="s">
        <v>48</v>
      </c>
      <c r="G12" s="12">
        <v>1120</v>
      </c>
      <c r="H12" s="12">
        <v>30</v>
      </c>
      <c r="I12" s="12">
        <f t="shared" si="0"/>
        <v>1090</v>
      </c>
      <c r="J12" s="11" t="s">
        <v>1344</v>
      </c>
      <c r="K12" s="11" t="s">
        <v>33</v>
      </c>
      <c r="L12" s="11" t="s">
        <v>1345</v>
      </c>
      <c r="M12" s="11"/>
      <c r="N12" s="11"/>
      <c r="O12" s="11"/>
      <c r="P12" s="11"/>
      <c r="Q12" s="11">
        <v>1</v>
      </c>
    </row>
    <row r="13" spans="1:18" s="15" customFormat="1" x14ac:dyDescent="0.25">
      <c r="A13" s="13"/>
      <c r="B13" s="13" t="s">
        <v>27</v>
      </c>
      <c r="C13" s="13" t="s">
        <v>1203</v>
      </c>
      <c r="D13" s="13" t="s">
        <v>1371</v>
      </c>
      <c r="E13" s="13" t="s">
        <v>1205</v>
      </c>
      <c r="F13" s="14">
        <v>8</v>
      </c>
      <c r="G13" s="14">
        <v>100</v>
      </c>
      <c r="H13" s="14">
        <v>30</v>
      </c>
      <c r="I13" s="14">
        <f t="shared" si="0"/>
        <v>70</v>
      </c>
      <c r="J13" s="13" t="s">
        <v>1344</v>
      </c>
      <c r="K13" s="13" t="s">
        <v>33</v>
      </c>
      <c r="L13" s="13" t="s">
        <v>1345</v>
      </c>
      <c r="M13" s="13" t="s">
        <v>100</v>
      </c>
      <c r="N13" s="13"/>
      <c r="O13" s="13"/>
      <c r="P13" s="13"/>
      <c r="Q13" s="13">
        <v>1</v>
      </c>
    </row>
    <row r="14" spans="1:18" s="15" customFormat="1" x14ac:dyDescent="0.25">
      <c r="A14" s="13"/>
      <c r="B14" s="13" t="s">
        <v>27</v>
      </c>
      <c r="C14" s="13" t="s">
        <v>1173</v>
      </c>
      <c r="D14" s="13" t="s">
        <v>1372</v>
      </c>
      <c r="E14" s="13" t="s">
        <v>1373</v>
      </c>
      <c r="F14" s="13" t="s">
        <v>48</v>
      </c>
      <c r="G14" s="14">
        <v>0</v>
      </c>
      <c r="H14" s="14">
        <v>30</v>
      </c>
      <c r="I14" s="14">
        <f t="shared" si="0"/>
        <v>-30</v>
      </c>
      <c r="J14" s="13" t="s">
        <v>1344</v>
      </c>
      <c r="K14" s="13" t="s">
        <v>33</v>
      </c>
      <c r="L14" s="13" t="s">
        <v>1345</v>
      </c>
      <c r="M14" s="13" t="s">
        <v>100</v>
      </c>
      <c r="N14" s="13"/>
      <c r="O14" s="13"/>
      <c r="P14" s="13"/>
      <c r="Q14" s="13">
        <v>1</v>
      </c>
      <c r="R14" s="19">
        <f>H14</f>
        <v>30</v>
      </c>
    </row>
    <row r="15" spans="1:18" x14ac:dyDescent="0.25">
      <c r="A15" s="11"/>
      <c r="B15" s="11" t="s">
        <v>27</v>
      </c>
      <c r="C15" s="11" t="s">
        <v>1374</v>
      </c>
      <c r="D15" s="11" t="s">
        <v>1375</v>
      </c>
      <c r="E15" s="11" t="s">
        <v>1376</v>
      </c>
      <c r="F15" s="11" t="s">
        <v>31</v>
      </c>
      <c r="G15" s="12">
        <v>845</v>
      </c>
      <c r="H15" s="12">
        <v>25</v>
      </c>
      <c r="I15" s="12">
        <f t="shared" si="0"/>
        <v>820</v>
      </c>
      <c r="J15" s="11" t="s">
        <v>1344</v>
      </c>
      <c r="K15" s="11" t="s">
        <v>33</v>
      </c>
      <c r="L15" s="11" t="s">
        <v>1345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1377</v>
      </c>
      <c r="D16" s="11" t="s">
        <v>1378</v>
      </c>
      <c r="E16" s="11" t="s">
        <v>1379</v>
      </c>
      <c r="F16" s="11" t="s">
        <v>55</v>
      </c>
      <c r="G16" s="12">
        <v>785</v>
      </c>
      <c r="H16" s="12">
        <v>35</v>
      </c>
      <c r="I16" s="12">
        <f t="shared" si="0"/>
        <v>750</v>
      </c>
      <c r="J16" s="11" t="s">
        <v>1344</v>
      </c>
      <c r="K16" s="11" t="s">
        <v>33</v>
      </c>
      <c r="L16" s="11" t="s">
        <v>1345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1380</v>
      </c>
      <c r="D17" s="11" t="s">
        <v>1381</v>
      </c>
      <c r="E17" s="11" t="s">
        <v>1382</v>
      </c>
      <c r="F17" s="11" t="s">
        <v>31</v>
      </c>
      <c r="G17" s="12">
        <v>905</v>
      </c>
      <c r="H17" s="12">
        <v>25</v>
      </c>
      <c r="I17" s="12">
        <f t="shared" si="0"/>
        <v>880</v>
      </c>
      <c r="J17" s="11" t="s">
        <v>1344</v>
      </c>
      <c r="K17" s="11" t="s">
        <v>33</v>
      </c>
      <c r="L17" s="11" t="s">
        <v>1345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1383</v>
      </c>
      <c r="D18" s="11" t="s">
        <v>1384</v>
      </c>
      <c r="E18" s="11" t="s">
        <v>1385</v>
      </c>
      <c r="F18" s="11" t="s">
        <v>44</v>
      </c>
      <c r="G18" s="12">
        <v>1435</v>
      </c>
      <c r="H18" s="12">
        <v>25</v>
      </c>
      <c r="I18" s="12">
        <f t="shared" si="0"/>
        <v>1410</v>
      </c>
      <c r="J18" s="11" t="s">
        <v>1344</v>
      </c>
      <c r="K18" s="11" t="s">
        <v>33</v>
      </c>
      <c r="L18" s="11" t="s">
        <v>1345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1386</v>
      </c>
      <c r="D19" s="11" t="s">
        <v>1387</v>
      </c>
      <c r="E19" s="11" t="s">
        <v>1388</v>
      </c>
      <c r="F19" s="11" t="s">
        <v>31</v>
      </c>
      <c r="G19" s="12">
        <v>665</v>
      </c>
      <c r="H19" s="12">
        <v>25</v>
      </c>
      <c r="I19" s="12">
        <f t="shared" si="0"/>
        <v>640</v>
      </c>
      <c r="J19" s="11" t="s">
        <v>1344</v>
      </c>
      <c r="K19" s="11" t="s">
        <v>33</v>
      </c>
      <c r="L19" s="11" t="s">
        <v>1345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1389</v>
      </c>
      <c r="D20" s="11" t="s">
        <v>1390</v>
      </c>
      <c r="E20" s="11" t="s">
        <v>1391</v>
      </c>
      <c r="F20" s="11" t="s">
        <v>78</v>
      </c>
      <c r="G20" s="12">
        <v>900</v>
      </c>
      <c r="H20" s="12">
        <v>20</v>
      </c>
      <c r="I20" s="12">
        <f t="shared" si="0"/>
        <v>880</v>
      </c>
      <c r="J20" s="11" t="s">
        <v>33</v>
      </c>
      <c r="K20" s="11" t="s">
        <v>33</v>
      </c>
      <c r="L20" s="11" t="s">
        <v>1345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1392</v>
      </c>
      <c r="D21" s="11" t="s">
        <v>1393</v>
      </c>
      <c r="E21" s="11" t="s">
        <v>1394</v>
      </c>
      <c r="F21" s="12">
        <v>12</v>
      </c>
      <c r="G21" s="12">
        <v>0</v>
      </c>
      <c r="H21" s="12">
        <v>30</v>
      </c>
      <c r="I21" s="12">
        <f t="shared" si="0"/>
        <v>-30</v>
      </c>
      <c r="J21" s="11" t="s">
        <v>33</v>
      </c>
      <c r="K21" s="11" t="s">
        <v>33</v>
      </c>
      <c r="L21" s="11" t="s">
        <v>1345</v>
      </c>
      <c r="M21" s="11"/>
      <c r="N21" s="11"/>
      <c r="O21" s="11"/>
      <c r="P21" s="11"/>
      <c r="Q21" s="11">
        <v>1</v>
      </c>
      <c r="R21" s="5">
        <f>H21</f>
        <v>30</v>
      </c>
    </row>
    <row r="22" spans="1:18" x14ac:dyDescent="0.25">
      <c r="A22" s="11"/>
      <c r="B22" s="11" t="s">
        <v>27</v>
      </c>
      <c r="C22" s="11" t="s">
        <v>1395</v>
      </c>
      <c r="D22" s="11" t="s">
        <v>1396</v>
      </c>
      <c r="E22" s="11" t="s">
        <v>238</v>
      </c>
      <c r="F22" s="12">
        <v>12</v>
      </c>
      <c r="G22" s="12">
        <v>0</v>
      </c>
      <c r="H22" s="12">
        <v>30</v>
      </c>
      <c r="I22" s="12">
        <f t="shared" si="0"/>
        <v>-30</v>
      </c>
      <c r="J22" s="11" t="s">
        <v>33</v>
      </c>
      <c r="K22" s="11" t="s">
        <v>33</v>
      </c>
      <c r="L22" s="11" t="s">
        <v>1345</v>
      </c>
      <c r="M22" s="11"/>
      <c r="N22" s="11"/>
      <c r="O22" s="11"/>
      <c r="P22" s="11"/>
      <c r="Q22" s="11">
        <v>1</v>
      </c>
      <c r="R22" s="5">
        <f>H22</f>
        <v>30</v>
      </c>
    </row>
    <row r="23" spans="1:18" x14ac:dyDescent="0.25">
      <c r="A23" s="11"/>
      <c r="B23" s="11" t="s">
        <v>27</v>
      </c>
      <c r="C23" s="11" t="s">
        <v>1397</v>
      </c>
      <c r="D23" s="11" t="s">
        <v>1398</v>
      </c>
      <c r="E23" s="11" t="s">
        <v>1399</v>
      </c>
      <c r="F23" s="12">
        <v>9</v>
      </c>
      <c r="G23" s="12">
        <v>850</v>
      </c>
      <c r="H23" s="12">
        <v>30</v>
      </c>
      <c r="I23" s="12">
        <f t="shared" si="0"/>
        <v>820</v>
      </c>
      <c r="J23" s="11" t="s">
        <v>33</v>
      </c>
      <c r="K23" s="11" t="s">
        <v>33</v>
      </c>
      <c r="L23" s="11" t="s">
        <v>1345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1400</v>
      </c>
      <c r="D24" s="11" t="s">
        <v>1401</v>
      </c>
      <c r="E24" s="11" t="s">
        <v>1402</v>
      </c>
      <c r="F24" s="11" t="s">
        <v>104</v>
      </c>
      <c r="G24" s="12">
        <v>960</v>
      </c>
      <c r="H24" s="12">
        <v>30</v>
      </c>
      <c r="I24" s="12">
        <f t="shared" si="0"/>
        <v>930</v>
      </c>
      <c r="J24" s="11" t="s">
        <v>33</v>
      </c>
      <c r="K24" s="11" t="s">
        <v>33</v>
      </c>
      <c r="L24" s="11" t="s">
        <v>1345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109</v>
      </c>
      <c r="D25" s="11" t="s">
        <v>1403</v>
      </c>
      <c r="E25" s="11" t="s">
        <v>1404</v>
      </c>
      <c r="F25" s="12">
        <v>9</v>
      </c>
      <c r="G25" s="12">
        <v>780</v>
      </c>
      <c r="H25" s="12">
        <v>30</v>
      </c>
      <c r="I25" s="12">
        <f t="shared" si="0"/>
        <v>750</v>
      </c>
      <c r="J25" s="11" t="s">
        <v>33</v>
      </c>
      <c r="K25" s="11" t="s">
        <v>33</v>
      </c>
      <c r="L25" s="11" t="s">
        <v>1345</v>
      </c>
      <c r="M25" s="11"/>
      <c r="N25" s="11"/>
      <c r="O25" s="11"/>
      <c r="P25" s="11"/>
      <c r="Q25" s="11">
        <v>1</v>
      </c>
    </row>
    <row r="26" spans="1:18" x14ac:dyDescent="0.25">
      <c r="A26" s="11" t="s">
        <v>59</v>
      </c>
      <c r="B26" s="11" t="s">
        <v>27</v>
      </c>
      <c r="C26" s="11" t="s">
        <v>105</v>
      </c>
      <c r="D26" s="11"/>
      <c r="E26" s="11" t="s">
        <v>1405</v>
      </c>
      <c r="F26" s="11" t="s">
        <v>68</v>
      </c>
      <c r="G26" s="12">
        <v>30</v>
      </c>
      <c r="H26" s="12">
        <v>30</v>
      </c>
      <c r="I26" s="12">
        <f t="shared" si="0"/>
        <v>0</v>
      </c>
      <c r="J26" s="11" t="s">
        <v>33</v>
      </c>
      <c r="K26" s="11" t="s">
        <v>33</v>
      </c>
      <c r="L26" s="11" t="s">
        <v>1345</v>
      </c>
      <c r="M26" s="11"/>
      <c r="N26" s="11"/>
      <c r="O26" s="11"/>
      <c r="P26" s="11"/>
      <c r="Q26" s="11">
        <v>1</v>
      </c>
    </row>
    <row r="27" spans="1:18" x14ac:dyDescent="0.25">
      <c r="A27" s="11" t="s">
        <v>59</v>
      </c>
      <c r="B27" s="11" t="s">
        <v>27</v>
      </c>
      <c r="C27" s="11" t="s">
        <v>1406</v>
      </c>
      <c r="D27" s="11"/>
      <c r="E27" s="11" t="s">
        <v>1407</v>
      </c>
      <c r="F27" s="11" t="s">
        <v>78</v>
      </c>
      <c r="G27" s="12">
        <v>0</v>
      </c>
      <c r="H27" s="12">
        <v>25</v>
      </c>
      <c r="I27" s="12">
        <f t="shared" si="0"/>
        <v>-25</v>
      </c>
      <c r="J27" s="11" t="s">
        <v>33</v>
      </c>
      <c r="K27" s="11" t="s">
        <v>33</v>
      </c>
      <c r="L27" s="11" t="s">
        <v>1345</v>
      </c>
      <c r="M27" s="11"/>
      <c r="N27" s="11"/>
      <c r="O27" s="11"/>
      <c r="P27" s="11"/>
      <c r="Q27" s="11">
        <v>1</v>
      </c>
      <c r="R27" s="5">
        <f>H27</f>
        <v>25</v>
      </c>
    </row>
    <row r="28" spans="1:18" x14ac:dyDescent="0.25">
      <c r="A28" s="11"/>
      <c r="B28" s="11" t="s">
        <v>27</v>
      </c>
      <c r="C28" s="11" t="s">
        <v>1408</v>
      </c>
      <c r="D28" s="11" t="s">
        <v>1409</v>
      </c>
      <c r="E28" s="11" t="s">
        <v>1410</v>
      </c>
      <c r="F28" s="11" t="s">
        <v>44</v>
      </c>
      <c r="G28" s="12">
        <v>0</v>
      </c>
      <c r="H28" s="12">
        <v>25</v>
      </c>
      <c r="I28" s="12">
        <f t="shared" si="0"/>
        <v>-25</v>
      </c>
      <c r="J28" s="11" t="s">
        <v>119</v>
      </c>
      <c r="K28" s="11" t="s">
        <v>33</v>
      </c>
      <c r="L28" s="11" t="s">
        <v>1345</v>
      </c>
      <c r="M28" s="11"/>
      <c r="N28" s="11"/>
      <c r="O28" s="11"/>
      <c r="P28" s="11"/>
      <c r="Q28" s="11">
        <v>1</v>
      </c>
      <c r="R28" s="5">
        <f>H28</f>
        <v>25</v>
      </c>
    </row>
    <row r="29" spans="1:18" x14ac:dyDescent="0.25">
      <c r="A29" s="11"/>
      <c r="B29" s="11" t="s">
        <v>27</v>
      </c>
      <c r="C29" s="11" t="s">
        <v>981</v>
      </c>
      <c r="D29" s="11" t="s">
        <v>1411</v>
      </c>
      <c r="E29" s="11" t="s">
        <v>983</v>
      </c>
      <c r="F29" s="12">
        <v>5</v>
      </c>
      <c r="G29" s="12">
        <v>845</v>
      </c>
      <c r="H29" s="12">
        <v>25</v>
      </c>
      <c r="I29" s="12">
        <f t="shared" si="0"/>
        <v>820</v>
      </c>
      <c r="J29" s="11" t="s">
        <v>119</v>
      </c>
      <c r="K29" s="11" t="s">
        <v>33</v>
      </c>
      <c r="L29" s="11" t="s">
        <v>1345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1412</v>
      </c>
      <c r="D30" s="11" t="s">
        <v>1413</v>
      </c>
      <c r="E30" s="11" t="s">
        <v>1414</v>
      </c>
      <c r="F30" s="12">
        <v>8</v>
      </c>
      <c r="G30" s="12">
        <v>820</v>
      </c>
      <c r="H30" s="12">
        <v>30</v>
      </c>
      <c r="I30" s="12">
        <f t="shared" si="0"/>
        <v>790</v>
      </c>
      <c r="J30" s="11" t="s">
        <v>119</v>
      </c>
      <c r="K30" s="11" t="s">
        <v>33</v>
      </c>
      <c r="L30" s="11" t="s">
        <v>1345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1415</v>
      </c>
      <c r="D31" s="11" t="s">
        <v>1416</v>
      </c>
      <c r="E31" s="11" t="s">
        <v>1417</v>
      </c>
      <c r="F31" s="11" t="s">
        <v>44</v>
      </c>
      <c r="G31" s="12">
        <v>885</v>
      </c>
      <c r="H31" s="12">
        <v>25</v>
      </c>
      <c r="I31" s="12">
        <f t="shared" si="0"/>
        <v>860</v>
      </c>
      <c r="J31" s="11" t="s">
        <v>119</v>
      </c>
      <c r="K31" s="11" t="s">
        <v>33</v>
      </c>
      <c r="L31" s="11" t="s">
        <v>1345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1418</v>
      </c>
      <c r="D32" s="11" t="s">
        <v>1419</v>
      </c>
      <c r="E32" s="11" t="s">
        <v>1420</v>
      </c>
      <c r="F32" s="12">
        <v>10</v>
      </c>
      <c r="G32" s="12">
        <v>0</v>
      </c>
      <c r="H32" s="12">
        <v>25</v>
      </c>
      <c r="I32" s="12">
        <f t="shared" si="0"/>
        <v>-25</v>
      </c>
      <c r="J32" s="11" t="s">
        <v>119</v>
      </c>
      <c r="K32" s="11" t="s">
        <v>33</v>
      </c>
      <c r="L32" s="11" t="s">
        <v>1345</v>
      </c>
      <c r="M32" s="11"/>
      <c r="N32" s="11"/>
      <c r="O32" s="11"/>
      <c r="P32" s="11"/>
      <c r="Q32" s="11">
        <v>1</v>
      </c>
      <c r="R32" s="5">
        <f>H32</f>
        <v>25</v>
      </c>
    </row>
    <row r="33" spans="1:18" x14ac:dyDescent="0.25">
      <c r="A33" s="11"/>
      <c r="B33" s="11" t="s">
        <v>27</v>
      </c>
      <c r="C33" s="11" t="s">
        <v>1421</v>
      </c>
      <c r="D33" s="11" t="s">
        <v>1422</v>
      </c>
      <c r="E33" s="11" t="s">
        <v>1423</v>
      </c>
      <c r="F33" s="12">
        <v>1</v>
      </c>
      <c r="G33" s="12">
        <v>895</v>
      </c>
      <c r="H33" s="12">
        <v>25</v>
      </c>
      <c r="I33" s="12">
        <f t="shared" si="0"/>
        <v>870</v>
      </c>
      <c r="J33" s="11" t="s">
        <v>119</v>
      </c>
      <c r="K33" s="11" t="s">
        <v>33</v>
      </c>
      <c r="L33" s="11" t="s">
        <v>1345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1424</v>
      </c>
      <c r="D34" s="11" t="s">
        <v>1425</v>
      </c>
      <c r="E34" s="11" t="s">
        <v>1426</v>
      </c>
      <c r="F34" s="12">
        <v>8</v>
      </c>
      <c r="G34" s="12">
        <v>940</v>
      </c>
      <c r="H34" s="12">
        <v>30</v>
      </c>
      <c r="I34" s="12">
        <f t="shared" si="0"/>
        <v>910</v>
      </c>
      <c r="J34" s="11" t="s">
        <v>119</v>
      </c>
      <c r="K34" s="11" t="s">
        <v>33</v>
      </c>
      <c r="L34" s="11" t="s">
        <v>1345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263</v>
      </c>
      <c r="D35" s="11" t="s">
        <v>1427</v>
      </c>
      <c r="E35" s="11" t="s">
        <v>1428</v>
      </c>
      <c r="F35" s="12">
        <v>10</v>
      </c>
      <c r="G35" s="12">
        <v>805</v>
      </c>
      <c r="H35" s="12">
        <v>25</v>
      </c>
      <c r="I35" s="12">
        <f t="shared" si="0"/>
        <v>780</v>
      </c>
      <c r="J35" s="11" t="s">
        <v>119</v>
      </c>
      <c r="K35" s="11" t="s">
        <v>33</v>
      </c>
      <c r="L35" s="11" t="s">
        <v>1345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1429</v>
      </c>
      <c r="D36" s="11" t="s">
        <v>1430</v>
      </c>
      <c r="E36" s="11" t="s">
        <v>1431</v>
      </c>
      <c r="F36" s="12">
        <v>10</v>
      </c>
      <c r="G36" s="12">
        <v>0</v>
      </c>
      <c r="H36" s="12">
        <v>25</v>
      </c>
      <c r="I36" s="12">
        <f t="shared" si="0"/>
        <v>-25</v>
      </c>
      <c r="J36" s="11" t="s">
        <v>119</v>
      </c>
      <c r="K36" s="11" t="s">
        <v>33</v>
      </c>
      <c r="L36" s="11" t="s">
        <v>1345</v>
      </c>
      <c r="M36" s="11"/>
      <c r="N36" s="11"/>
      <c r="O36" s="11"/>
      <c r="P36" s="11"/>
      <c r="Q36" s="11">
        <v>1</v>
      </c>
      <c r="R36" s="5">
        <f>H36</f>
        <v>25</v>
      </c>
    </row>
    <row r="37" spans="1:18" s="15" customFormat="1" x14ac:dyDescent="0.25">
      <c r="A37" s="13"/>
      <c r="B37" s="13" t="s">
        <v>27</v>
      </c>
      <c r="C37" s="13" t="s">
        <v>1432</v>
      </c>
      <c r="D37" s="13" t="s">
        <v>1433</v>
      </c>
      <c r="E37" s="13" t="s">
        <v>1434</v>
      </c>
      <c r="F37" s="14">
        <v>7</v>
      </c>
      <c r="G37" s="14">
        <v>290</v>
      </c>
      <c r="H37" s="14">
        <v>30</v>
      </c>
      <c r="I37" s="14">
        <f t="shared" si="0"/>
        <v>260</v>
      </c>
      <c r="J37" s="13" t="s">
        <v>119</v>
      </c>
      <c r="K37" s="13" t="s">
        <v>33</v>
      </c>
      <c r="L37" s="13" t="s">
        <v>1345</v>
      </c>
      <c r="M37" s="13" t="s">
        <v>100</v>
      </c>
      <c r="N37" s="13"/>
      <c r="O37" s="13"/>
      <c r="P37" s="13"/>
      <c r="Q37" s="13">
        <v>1</v>
      </c>
    </row>
    <row r="38" spans="1:18" x14ac:dyDescent="0.25">
      <c r="A38" s="11"/>
      <c r="B38" s="11" t="s">
        <v>27</v>
      </c>
      <c r="C38" s="11" t="s">
        <v>1435</v>
      </c>
      <c r="D38" s="11" t="s">
        <v>1436</v>
      </c>
      <c r="E38" s="11" t="s">
        <v>1437</v>
      </c>
      <c r="F38" s="12">
        <v>1</v>
      </c>
      <c r="G38" s="12">
        <v>845</v>
      </c>
      <c r="H38" s="12">
        <v>25</v>
      </c>
      <c r="I38" s="12">
        <f t="shared" si="0"/>
        <v>820</v>
      </c>
      <c r="J38" s="11" t="s">
        <v>119</v>
      </c>
      <c r="K38" s="11" t="s">
        <v>33</v>
      </c>
      <c r="L38" s="11" t="s">
        <v>1345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257</v>
      </c>
      <c r="D39" s="11" t="s">
        <v>1438</v>
      </c>
      <c r="E39" s="11" t="s">
        <v>1439</v>
      </c>
      <c r="F39" s="11" t="s">
        <v>44</v>
      </c>
      <c r="G39" s="12">
        <v>3410</v>
      </c>
      <c r="H39" s="12">
        <v>35</v>
      </c>
      <c r="I39" s="12">
        <f t="shared" si="0"/>
        <v>3375</v>
      </c>
      <c r="J39" s="11" t="s">
        <v>119</v>
      </c>
      <c r="K39" s="11" t="s">
        <v>33</v>
      </c>
      <c r="L39" s="11" t="s">
        <v>1345</v>
      </c>
      <c r="M39" s="24" t="s">
        <v>340</v>
      </c>
      <c r="N39" s="11"/>
      <c r="O39" s="11"/>
      <c r="P39" s="11"/>
      <c r="Q39" s="11">
        <v>1</v>
      </c>
      <c r="R39" s="5">
        <f>H39</f>
        <v>35</v>
      </c>
    </row>
    <row r="40" spans="1:18" x14ac:dyDescent="0.25">
      <c r="A40" s="11"/>
      <c r="B40" s="11" t="s">
        <v>27</v>
      </c>
      <c r="C40" s="11" t="s">
        <v>1440</v>
      </c>
      <c r="D40" s="11" t="s">
        <v>1441</v>
      </c>
      <c r="E40" s="11" t="s">
        <v>1442</v>
      </c>
      <c r="F40" s="12">
        <v>1</v>
      </c>
      <c r="G40" s="12">
        <v>615</v>
      </c>
      <c r="H40" s="12">
        <v>25</v>
      </c>
      <c r="I40" s="12">
        <f t="shared" si="0"/>
        <v>590</v>
      </c>
      <c r="J40" s="11" t="s">
        <v>119</v>
      </c>
      <c r="K40" s="11" t="s">
        <v>33</v>
      </c>
      <c r="L40" s="11" t="s">
        <v>1345</v>
      </c>
      <c r="M40" s="11"/>
      <c r="N40" s="11"/>
      <c r="O40" s="11"/>
      <c r="P40" s="11"/>
      <c r="Q40" s="11">
        <v>1</v>
      </c>
    </row>
    <row r="42" spans="1:18" x14ac:dyDescent="0.25">
      <c r="D42" s="1">
        <f>COUNTA(D3:D40)</f>
        <v>36</v>
      </c>
      <c r="G42" s="1">
        <f t="shared" ref="G42:Q42" si="1">SUBTOTAL(9,G3:G40)</f>
        <v>28830</v>
      </c>
      <c r="H42" s="1">
        <f t="shared" si="1"/>
        <v>1025</v>
      </c>
      <c r="I42" s="1">
        <f t="shared" si="1"/>
        <v>27805</v>
      </c>
      <c r="J42" s="1">
        <f t="shared" si="1"/>
        <v>0</v>
      </c>
      <c r="K42" s="1">
        <f t="shared" si="1"/>
        <v>0</v>
      </c>
      <c r="L42" s="1">
        <f t="shared" si="1"/>
        <v>0</v>
      </c>
      <c r="M42" s="1">
        <f t="shared" si="1"/>
        <v>0</v>
      </c>
      <c r="N42" s="1">
        <f t="shared" si="1"/>
        <v>0</v>
      </c>
      <c r="O42" s="1">
        <f t="shared" si="1"/>
        <v>0</v>
      </c>
      <c r="P42" s="1">
        <f t="shared" si="1"/>
        <v>0</v>
      </c>
      <c r="Q42" s="1">
        <f t="shared" si="1"/>
        <v>38</v>
      </c>
    </row>
    <row r="43" spans="1:18" x14ac:dyDescent="0.25">
      <c r="H43">
        <f>-11*17</f>
        <v>-187</v>
      </c>
    </row>
    <row r="44" spans="1:18" x14ac:dyDescent="0.25">
      <c r="A44" s="1" t="s">
        <v>27</v>
      </c>
      <c r="C44" s="60" t="s">
        <v>158</v>
      </c>
      <c r="D44" s="60"/>
      <c r="E44" s="4" t="s">
        <v>159</v>
      </c>
      <c r="H44">
        <f>-4*25</f>
        <v>-100</v>
      </c>
      <c r="K44" s="6" t="s">
        <v>33</v>
      </c>
      <c r="L44" s="6" t="s">
        <v>160</v>
      </c>
      <c r="M44" s="6" t="s">
        <v>159</v>
      </c>
      <c r="O44" s="4" t="s">
        <v>161</v>
      </c>
    </row>
    <row r="45" spans="1:18" x14ac:dyDescent="0.25">
      <c r="A45" t="s">
        <v>1345</v>
      </c>
      <c r="B45" s="3" t="s">
        <v>162</v>
      </c>
      <c r="C45" s="61">
        <f>SUMIFS(I$3:I$40,B$3:B$40,A$44,L$3:L$40,A$45)</f>
        <v>27805</v>
      </c>
      <c r="D45" s="61"/>
      <c r="E45" s="3">
        <f>SUMIFS(Q$3:Q$40,B$3:B$40,A$44,L$3:L$40,A$45)</f>
        <v>38</v>
      </c>
      <c r="F45" t="s">
        <v>163</v>
      </c>
      <c r="H45">
        <f>-2*30</f>
        <v>-60</v>
      </c>
      <c r="K45" t="s">
        <v>164</v>
      </c>
      <c r="L45">
        <f>SUMIFS(G$3:G$40,J$3:J$40,K$44)</f>
        <v>3520</v>
      </c>
      <c r="M45">
        <f>SUMIFS(Q$3:Q$40,J$3:J$40,K$44)-INT(COUNTIFS(J$3:J$40,K$44,M$3:M$40,"*gộp*")/2)</f>
        <v>8</v>
      </c>
      <c r="O45" t="s">
        <v>33</v>
      </c>
      <c r="P45">
        <f>L50</f>
        <v>3261</v>
      </c>
    </row>
    <row r="46" spans="1:18" x14ac:dyDescent="0.25">
      <c r="B46" s="2" t="s">
        <v>166</v>
      </c>
      <c r="C46" s="62">
        <v>0</v>
      </c>
      <c r="D46" s="62"/>
      <c r="K46" t="s">
        <v>167</v>
      </c>
      <c r="L46">
        <f>-SUMIFS(H$3:H$40,J$3:J$40,K$44)+M46*5</f>
        <v>-185</v>
      </c>
      <c r="M46">
        <f>SUMIFS(Q$3:Q$40,J$3:J$40,K$44)-INT(COUNTIFS(J$3:J$40,K$44,M$3:M$40,"*gộp*")/2)</f>
        <v>8</v>
      </c>
      <c r="O46" t="s">
        <v>1443</v>
      </c>
      <c r="P46">
        <f>L58</f>
        <v>14613</v>
      </c>
    </row>
    <row r="47" spans="1:18" x14ac:dyDescent="0.25">
      <c r="B47" s="2" t="s">
        <v>168</v>
      </c>
      <c r="C47" s="62">
        <f>-SUMIFS(I$3:I$40,B$3:B$40,A$44,P$3:P$40,"xx",N$3:N$40,"x")</f>
        <v>0</v>
      </c>
      <c r="D47" s="62"/>
      <c r="E47" s="2">
        <f>SUMIFS(Q$3:Q$40,B$3:B$40,A$44,P$3:P$40,"xx",N$3:N$40,"x")</f>
        <v>0</v>
      </c>
      <c r="K47" t="s">
        <v>169</v>
      </c>
      <c r="L47">
        <f>-M47*2</f>
        <v>-74</v>
      </c>
      <c r="M47">
        <f>COUNTIFS(K$3:K$40,K$44,L$3:L$40,A$45)-(COUNTIFS(K$3:K$40,K$44,M$3:M$40,"*gộp*")/2)-COUNTIFS(K$3:K$40,K$44,M$3:M$40,"*đơn trả*")-COUNTIFS(K$3:K$40,K$44,M$3:M$40,"*hàng tỉnh*")</f>
        <v>37</v>
      </c>
      <c r="O47" t="s">
        <v>119</v>
      </c>
      <c r="P47">
        <f>L66</f>
        <v>10065</v>
      </c>
    </row>
    <row r="48" spans="1:18" x14ac:dyDescent="0.25">
      <c r="B48" s="4" t="s">
        <v>170</v>
      </c>
      <c r="C48" s="60">
        <f>SUBTOTAL(9,C45:C47)</f>
        <v>27805</v>
      </c>
      <c r="D48" s="60"/>
      <c r="E48">
        <f>E45</f>
        <v>38</v>
      </c>
      <c r="K48" s="7" t="s">
        <v>155</v>
      </c>
      <c r="O48" t="s">
        <v>171</v>
      </c>
      <c r="P48">
        <f>-C52</f>
        <v>-27805</v>
      </c>
    </row>
    <row r="49" spans="2:16" x14ac:dyDescent="0.25">
      <c r="B49" s="2" t="s">
        <v>172</v>
      </c>
      <c r="C49" s="58"/>
      <c r="D49" s="58"/>
      <c r="K49" s="2" t="s">
        <v>173</v>
      </c>
      <c r="O49" s="4" t="s">
        <v>174</v>
      </c>
      <c r="P49" s="4">
        <f>SUBTOTAL(9,P45:P48)</f>
        <v>134</v>
      </c>
    </row>
    <row r="50" spans="2:16" x14ac:dyDescent="0.25">
      <c r="B50" s="8" t="s">
        <v>175</v>
      </c>
      <c r="C50" s="58"/>
      <c r="D50" s="58"/>
      <c r="L50" s="9">
        <f>SUBTOTAL(9,L45:L49)</f>
        <v>3261</v>
      </c>
      <c r="M50" s="9">
        <f>M45</f>
        <v>8</v>
      </c>
    </row>
    <row r="52" spans="2:16" x14ac:dyDescent="0.25">
      <c r="B52" s="1" t="s">
        <v>176</v>
      </c>
      <c r="C52" s="59">
        <f>C48+C49+C50</f>
        <v>27805</v>
      </c>
      <c r="D52" s="59"/>
      <c r="E52" s="1" t="s">
        <v>177</v>
      </c>
      <c r="K52" s="6" t="s">
        <v>1344</v>
      </c>
      <c r="L52" s="6" t="s">
        <v>160</v>
      </c>
      <c r="M52" s="6" t="s">
        <v>159</v>
      </c>
    </row>
    <row r="53" spans="2:16" x14ac:dyDescent="0.25">
      <c r="K53" t="s">
        <v>164</v>
      </c>
      <c r="L53">
        <f>SUMIFS(G$3:G$40,J$3:J$40,K$52)</f>
        <v>14960</v>
      </c>
      <c r="M53">
        <f>SUMIFS(Q$3:Q$40,J$3:J$40,K$52)-INT(COUNTIFS(J$3:J$40,K$52,M$3:M$40,"*gộp*")/2)</f>
        <v>16</v>
      </c>
    </row>
    <row r="54" spans="2:16" x14ac:dyDescent="0.25">
      <c r="K54" t="s">
        <v>167</v>
      </c>
      <c r="L54">
        <f>SUM(H43:H45)</f>
        <v>-347</v>
      </c>
      <c r="M54">
        <f>SUMIFS(Q$3:Q$40,J$3:J$40,K$52)-INT(COUNTIFS(J$3:J$40,K$52,M$3:M$40,"*gộp*")/2)</f>
        <v>16</v>
      </c>
    </row>
    <row r="55" spans="2:16" x14ac:dyDescent="0.25">
      <c r="K55" t="s">
        <v>169</v>
      </c>
      <c r="L55">
        <f>-M55*2</f>
        <v>0</v>
      </c>
      <c r="M55">
        <f>COUNTIFS(K$3:K$40,K$52,L$3:L$40,A$45)-(COUNTIFS(K$3:K$40,K$52,M$3:M$40,"*gộp*")/2)-COUNTIFS(K$3:K$40,K$52,M$3:M$40,"*đơn trả*")-COUNTIFS(K$3:K$40,K$52,M$3:M$40,"*hàng tỉnh*")</f>
        <v>0</v>
      </c>
    </row>
    <row r="56" spans="2:16" x14ac:dyDescent="0.25">
      <c r="K56" s="7" t="s">
        <v>155</v>
      </c>
    </row>
    <row r="57" spans="2:16" x14ac:dyDescent="0.25">
      <c r="K57" s="2" t="s">
        <v>173</v>
      </c>
    </row>
    <row r="58" spans="2:16" x14ac:dyDescent="0.25">
      <c r="L58" s="9">
        <f>SUBTOTAL(9,L53:L57)</f>
        <v>14613</v>
      </c>
      <c r="M58" s="9">
        <f>M53</f>
        <v>16</v>
      </c>
    </row>
    <row r="60" spans="2:16" x14ac:dyDescent="0.25">
      <c r="K60" s="6" t="s">
        <v>119</v>
      </c>
      <c r="L60" s="6" t="s">
        <v>160</v>
      </c>
      <c r="M60" s="6" t="s">
        <v>159</v>
      </c>
    </row>
    <row r="61" spans="2:16" x14ac:dyDescent="0.25">
      <c r="K61" t="s">
        <v>164</v>
      </c>
      <c r="L61">
        <f>SUMIFS(G$3:G$40,J$3:J$40,K$60)</f>
        <v>10350</v>
      </c>
      <c r="M61">
        <f>SUMIFS(Q$3:Q$40,J$3:J$40,K$60)-INT(COUNTIFS(J$3:J$40,K$60,M$3:M$40,"*gộp*")/2)</f>
        <v>13</v>
      </c>
    </row>
    <row r="62" spans="2:16" x14ac:dyDescent="0.25">
      <c r="K62" t="s">
        <v>167</v>
      </c>
      <c r="L62">
        <f>-SUMIFS(H$3:H$40,J$3:J$40,K$60)+M62*5</f>
        <v>-285</v>
      </c>
      <c r="M62">
        <f>SUMIFS(Q$3:Q$40,J$3:J$40,K$60)-INT(COUNTIFS(J$3:J$40,K$60,M$3:M$40,"*gộp*")/2)</f>
        <v>13</v>
      </c>
    </row>
    <row r="63" spans="2:16" x14ac:dyDescent="0.25">
      <c r="K63" t="s">
        <v>169</v>
      </c>
      <c r="L63">
        <f>-M63*2</f>
        <v>0</v>
      </c>
      <c r="M63">
        <f>COUNTIFS(K$3:K$40,K$60,L$3:L$40,A$45)-(COUNTIFS(K$3:K$40,K$60,M$3:M$40,"*gộp*")/2)-COUNTIFS(K$3:K$40,K$60,M$3:M$40,"*đơn trả*")-COUNTIFS(K$3:K$40,K$60,M$3:M$40,"*hàng tỉnh*")</f>
        <v>0</v>
      </c>
    </row>
    <row r="64" spans="2:16" x14ac:dyDescent="0.25">
      <c r="K64" s="7" t="s">
        <v>155</v>
      </c>
    </row>
    <row r="65" spans="11:13" x14ac:dyDescent="0.25">
      <c r="K65" s="2" t="s">
        <v>173</v>
      </c>
    </row>
    <row r="66" spans="11:13" x14ac:dyDescent="0.25">
      <c r="L66" s="9">
        <f>SUBTOTAL(9,L61:L65)</f>
        <v>10065</v>
      </c>
      <c r="M66" s="9">
        <f>M61</f>
        <v>13</v>
      </c>
    </row>
  </sheetData>
  <autoFilter ref="A2:P40" xr:uid="{00000000-0009-0000-0000-00000F000000}">
    <sortState xmlns:xlrd2="http://schemas.microsoft.com/office/spreadsheetml/2017/richdata2" ref="A3:P40">
      <sortCondition ref="J2:J40"/>
    </sortState>
  </autoFilter>
  <mergeCells count="8">
    <mergeCell ref="C49:D49"/>
    <mergeCell ref="C50:D50"/>
    <mergeCell ref="C52:D52"/>
    <mergeCell ref="C44:D44"/>
    <mergeCell ref="C45:D45"/>
    <mergeCell ref="C46:D46"/>
    <mergeCell ref="C47:D47"/>
    <mergeCell ref="C48:D48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R71"/>
  <sheetViews>
    <sheetView topLeftCell="A34" zoomScale="90" zoomScaleNormal="90" workbookViewId="0">
      <selection activeCell="P55" sqref="P55"/>
    </sheetView>
  </sheetViews>
  <sheetFormatPr defaultRowHeight="15" x14ac:dyDescent="0.25"/>
  <cols>
    <col min="1" max="1" width="12.7109375" customWidth="1"/>
    <col min="2" max="2" width="8.7109375" customWidth="1"/>
    <col min="3" max="3" width="26.85546875" bestFit="1" customWidth="1"/>
    <col min="4" max="4" width="9.85546875" customWidth="1"/>
    <col min="5" max="5" width="97" bestFit="1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5.28515625" bestFit="1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 t="s">
        <v>59</v>
      </c>
      <c r="B3" s="11" t="s">
        <v>27</v>
      </c>
      <c r="C3" s="11" t="s">
        <v>209</v>
      </c>
      <c r="D3" s="11"/>
      <c r="E3" s="11" t="s">
        <v>691</v>
      </c>
      <c r="F3" s="12">
        <v>6</v>
      </c>
      <c r="G3" s="12">
        <v>35</v>
      </c>
      <c r="H3" s="12">
        <v>35</v>
      </c>
      <c r="I3" s="12">
        <f t="shared" ref="I3:I45" si="0">G3-H3</f>
        <v>0</v>
      </c>
      <c r="J3" s="11" t="s">
        <v>1444</v>
      </c>
      <c r="K3" s="11" t="s">
        <v>33</v>
      </c>
      <c r="L3" s="11" t="s">
        <v>1445</v>
      </c>
      <c r="M3" s="11"/>
      <c r="N3" s="11"/>
      <c r="O3" s="11"/>
      <c r="P3" s="11"/>
      <c r="Q3" s="11">
        <v>1</v>
      </c>
    </row>
    <row r="4" spans="1:18" x14ac:dyDescent="0.25">
      <c r="A4" s="11" t="s">
        <v>59</v>
      </c>
      <c r="B4" s="11" t="s">
        <v>27</v>
      </c>
      <c r="C4" s="11" t="s">
        <v>1446</v>
      </c>
      <c r="D4" s="11"/>
      <c r="E4" s="11" t="s">
        <v>1447</v>
      </c>
      <c r="F4" s="11" t="s">
        <v>48</v>
      </c>
      <c r="G4" s="12">
        <v>0</v>
      </c>
      <c r="H4" s="12">
        <v>35</v>
      </c>
      <c r="I4" s="12">
        <f t="shared" si="0"/>
        <v>-35</v>
      </c>
      <c r="J4" s="11" t="s">
        <v>1444</v>
      </c>
      <c r="K4" s="11" t="s">
        <v>33</v>
      </c>
      <c r="L4" s="11" t="s">
        <v>1445</v>
      </c>
      <c r="M4" s="11"/>
      <c r="N4" s="11"/>
      <c r="O4" s="11"/>
      <c r="P4" s="11"/>
      <c r="Q4" s="11">
        <v>1</v>
      </c>
      <c r="R4" s="5">
        <f>H4</f>
        <v>35</v>
      </c>
    </row>
    <row r="5" spans="1:18" x14ac:dyDescent="0.25">
      <c r="A5" s="11" t="s">
        <v>59</v>
      </c>
      <c r="B5" s="11" t="s">
        <v>27</v>
      </c>
      <c r="C5" s="11" t="s">
        <v>1448</v>
      </c>
      <c r="D5" s="11"/>
      <c r="E5" s="11" t="s">
        <v>1449</v>
      </c>
      <c r="F5" s="12">
        <v>6</v>
      </c>
      <c r="G5" s="12">
        <v>1310</v>
      </c>
      <c r="H5" s="12">
        <v>30</v>
      </c>
      <c r="I5" s="12">
        <f t="shared" si="0"/>
        <v>1280</v>
      </c>
      <c r="J5" s="11" t="s">
        <v>1444</v>
      </c>
      <c r="K5" s="11" t="s">
        <v>33</v>
      </c>
      <c r="L5" s="11" t="s">
        <v>1445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1450</v>
      </c>
      <c r="D6" s="11" t="s">
        <v>1451</v>
      </c>
      <c r="E6" s="11" t="s">
        <v>1452</v>
      </c>
      <c r="F6" s="11" t="s">
        <v>44</v>
      </c>
      <c r="G6" s="12">
        <v>75</v>
      </c>
      <c r="H6" s="12">
        <v>25</v>
      </c>
      <c r="I6" s="12">
        <f t="shared" si="0"/>
        <v>50</v>
      </c>
      <c r="J6" s="11" t="s">
        <v>1444</v>
      </c>
      <c r="K6" s="11" t="s">
        <v>33</v>
      </c>
      <c r="L6" s="11" t="s">
        <v>1445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1453</v>
      </c>
      <c r="D7" s="11" t="s">
        <v>1454</v>
      </c>
      <c r="E7" s="11" t="s">
        <v>1455</v>
      </c>
      <c r="F7" s="12">
        <v>9</v>
      </c>
      <c r="G7" s="12">
        <v>720</v>
      </c>
      <c r="H7" s="12">
        <v>30</v>
      </c>
      <c r="I7" s="12">
        <f t="shared" si="0"/>
        <v>690</v>
      </c>
      <c r="J7" s="11" t="s">
        <v>1444</v>
      </c>
      <c r="K7" s="11" t="s">
        <v>33</v>
      </c>
      <c r="L7" s="11" t="s">
        <v>1445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1456</v>
      </c>
      <c r="D8" s="11" t="s">
        <v>1457</v>
      </c>
      <c r="E8" s="11" t="s">
        <v>1458</v>
      </c>
      <c r="F8" s="11" t="s">
        <v>48</v>
      </c>
      <c r="G8" s="12">
        <v>840</v>
      </c>
      <c r="H8" s="12">
        <v>30</v>
      </c>
      <c r="I8" s="12">
        <f t="shared" si="0"/>
        <v>810</v>
      </c>
      <c r="J8" s="11" t="s">
        <v>1444</v>
      </c>
      <c r="K8" s="11" t="s">
        <v>33</v>
      </c>
      <c r="L8" s="11" t="s">
        <v>1445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1459</v>
      </c>
      <c r="D9" s="11" t="s">
        <v>1460</v>
      </c>
      <c r="E9" s="11" t="s">
        <v>1461</v>
      </c>
      <c r="F9" s="12">
        <v>6</v>
      </c>
      <c r="G9" s="12">
        <v>975</v>
      </c>
      <c r="H9" s="12">
        <v>25</v>
      </c>
      <c r="I9" s="12">
        <f t="shared" si="0"/>
        <v>950</v>
      </c>
      <c r="J9" s="11" t="s">
        <v>1444</v>
      </c>
      <c r="K9" s="11" t="s">
        <v>33</v>
      </c>
      <c r="L9" s="11" t="s">
        <v>1445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1462</v>
      </c>
      <c r="D10" s="11" t="s">
        <v>1463</v>
      </c>
      <c r="E10" s="11" t="s">
        <v>1464</v>
      </c>
      <c r="F10" s="12">
        <v>8</v>
      </c>
      <c r="G10" s="12">
        <v>1710</v>
      </c>
      <c r="H10" s="12">
        <v>30</v>
      </c>
      <c r="I10" s="12">
        <f t="shared" si="0"/>
        <v>1680</v>
      </c>
      <c r="J10" s="11" t="s">
        <v>1444</v>
      </c>
      <c r="K10" s="11" t="s">
        <v>33</v>
      </c>
      <c r="L10" s="11" t="s">
        <v>1445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1465</v>
      </c>
      <c r="D11" s="11" t="s">
        <v>1466</v>
      </c>
      <c r="E11" s="11" t="s">
        <v>1467</v>
      </c>
      <c r="F11" s="11" t="s">
        <v>55</v>
      </c>
      <c r="G11" s="12">
        <v>495</v>
      </c>
      <c r="H11" s="12">
        <v>35</v>
      </c>
      <c r="I11" s="12">
        <f t="shared" si="0"/>
        <v>460</v>
      </c>
      <c r="J11" s="11" t="s">
        <v>1444</v>
      </c>
      <c r="K11" s="11" t="s">
        <v>33</v>
      </c>
      <c r="L11" s="11" t="s">
        <v>1445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1468</v>
      </c>
      <c r="D12" s="11" t="s">
        <v>1469</v>
      </c>
      <c r="E12" s="11" t="s">
        <v>1470</v>
      </c>
      <c r="F12" s="12">
        <v>9</v>
      </c>
      <c r="G12" s="12">
        <v>850</v>
      </c>
      <c r="H12" s="12">
        <v>30</v>
      </c>
      <c r="I12" s="12">
        <f t="shared" si="0"/>
        <v>820</v>
      </c>
      <c r="J12" s="11" t="s">
        <v>1444</v>
      </c>
      <c r="K12" s="11" t="s">
        <v>33</v>
      </c>
      <c r="L12" s="11" t="s">
        <v>1445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1471</v>
      </c>
      <c r="D13" s="11" t="s">
        <v>1472</v>
      </c>
      <c r="E13" s="11" t="s">
        <v>1473</v>
      </c>
      <c r="F13" s="11" t="s">
        <v>48</v>
      </c>
      <c r="G13" s="12">
        <v>950</v>
      </c>
      <c r="H13" s="12">
        <v>30</v>
      </c>
      <c r="I13" s="12">
        <f t="shared" si="0"/>
        <v>920</v>
      </c>
      <c r="J13" s="11" t="s">
        <v>1444</v>
      </c>
      <c r="K13" s="11" t="s">
        <v>33</v>
      </c>
      <c r="L13" s="11" t="s">
        <v>1445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1474</v>
      </c>
      <c r="D14" s="11" t="s">
        <v>1475</v>
      </c>
      <c r="E14" s="11" t="s">
        <v>1476</v>
      </c>
      <c r="F14" s="12">
        <v>9</v>
      </c>
      <c r="G14" s="12">
        <v>850</v>
      </c>
      <c r="H14" s="12">
        <v>30</v>
      </c>
      <c r="I14" s="12">
        <f t="shared" si="0"/>
        <v>820</v>
      </c>
      <c r="J14" s="11" t="s">
        <v>1444</v>
      </c>
      <c r="K14" s="11" t="s">
        <v>33</v>
      </c>
      <c r="L14" s="11" t="s">
        <v>1445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1477</v>
      </c>
      <c r="D15" s="11" t="s">
        <v>1478</v>
      </c>
      <c r="E15" s="11" t="s">
        <v>1479</v>
      </c>
      <c r="F15" s="12">
        <v>8</v>
      </c>
      <c r="G15" s="12">
        <v>0</v>
      </c>
      <c r="H15" s="12">
        <v>30</v>
      </c>
      <c r="I15" s="12">
        <f t="shared" si="0"/>
        <v>-30</v>
      </c>
      <c r="J15" s="11" t="s">
        <v>1444</v>
      </c>
      <c r="K15" s="11" t="s">
        <v>33</v>
      </c>
      <c r="L15" s="11" t="s">
        <v>1445</v>
      </c>
      <c r="M15" s="11"/>
      <c r="N15" s="11"/>
      <c r="O15" s="11"/>
      <c r="P15" s="11"/>
      <c r="Q15" s="11">
        <v>1</v>
      </c>
      <c r="R15" s="5">
        <f>H15</f>
        <v>30</v>
      </c>
    </row>
    <row r="16" spans="1:18" x14ac:dyDescent="0.25">
      <c r="A16" s="11"/>
      <c r="B16" s="11" t="s">
        <v>27</v>
      </c>
      <c r="C16" s="11" t="s">
        <v>1480</v>
      </c>
      <c r="D16" s="11" t="s">
        <v>1481</v>
      </c>
      <c r="E16" s="11" t="s">
        <v>1482</v>
      </c>
      <c r="F16" s="11" t="s">
        <v>31</v>
      </c>
      <c r="G16" s="12">
        <v>915</v>
      </c>
      <c r="H16" s="12">
        <v>25</v>
      </c>
      <c r="I16" s="12">
        <f t="shared" si="0"/>
        <v>890</v>
      </c>
      <c r="J16" s="11" t="s">
        <v>1444</v>
      </c>
      <c r="K16" s="11" t="s">
        <v>33</v>
      </c>
      <c r="L16" s="11" t="s">
        <v>1445</v>
      </c>
      <c r="M16" s="11"/>
      <c r="N16" s="11"/>
      <c r="O16" s="11"/>
      <c r="P16" s="11"/>
      <c r="Q16" s="11">
        <v>1</v>
      </c>
    </row>
    <row r="17" spans="1:18" x14ac:dyDescent="0.25">
      <c r="A17" s="11" t="s">
        <v>59</v>
      </c>
      <c r="B17" s="11" t="s">
        <v>27</v>
      </c>
      <c r="C17" s="11" t="s">
        <v>107</v>
      </c>
      <c r="D17" s="11"/>
      <c r="E17" s="11" t="s">
        <v>108</v>
      </c>
      <c r="F17" s="11" t="s">
        <v>68</v>
      </c>
      <c r="G17" s="12">
        <v>2275</v>
      </c>
      <c r="H17" s="12">
        <v>35</v>
      </c>
      <c r="I17" s="12">
        <f t="shared" si="0"/>
        <v>2240</v>
      </c>
      <c r="J17" s="11" t="s">
        <v>33</v>
      </c>
      <c r="K17" s="11" t="s">
        <v>33</v>
      </c>
      <c r="L17" s="11" t="s">
        <v>1445</v>
      </c>
      <c r="M17" s="11"/>
      <c r="N17" s="11"/>
      <c r="O17" s="11"/>
      <c r="P17" s="11"/>
      <c r="Q17" s="11">
        <v>1</v>
      </c>
    </row>
    <row r="18" spans="1:18" x14ac:dyDescent="0.25">
      <c r="A18" s="11" t="s">
        <v>59</v>
      </c>
      <c r="B18" s="11" t="s">
        <v>27</v>
      </c>
      <c r="C18" s="11" t="s">
        <v>109</v>
      </c>
      <c r="D18" s="11"/>
      <c r="E18" s="11" t="s">
        <v>730</v>
      </c>
      <c r="F18" s="11" t="s">
        <v>68</v>
      </c>
      <c r="G18" s="12">
        <v>40</v>
      </c>
      <c r="H18" s="12">
        <v>40</v>
      </c>
      <c r="I18" s="12">
        <f t="shared" si="0"/>
        <v>0</v>
      </c>
      <c r="J18" s="11" t="s">
        <v>33</v>
      </c>
      <c r="K18" s="11" t="s">
        <v>33</v>
      </c>
      <c r="L18" s="11" t="s">
        <v>1445</v>
      </c>
      <c r="M18" s="11"/>
      <c r="N18" s="11"/>
      <c r="O18" s="11"/>
      <c r="P18" s="11"/>
      <c r="Q18" s="11">
        <v>1</v>
      </c>
    </row>
    <row r="19" spans="1:18" x14ac:dyDescent="0.25">
      <c r="A19" s="11" t="s">
        <v>59</v>
      </c>
      <c r="B19" s="11" t="s">
        <v>27</v>
      </c>
      <c r="C19" s="11" t="s">
        <v>1483</v>
      </c>
      <c r="D19" s="11"/>
      <c r="E19" s="11" t="s">
        <v>608</v>
      </c>
      <c r="F19" s="11" t="s">
        <v>44</v>
      </c>
      <c r="G19" s="12">
        <v>1440</v>
      </c>
      <c r="H19" s="12">
        <v>30</v>
      </c>
      <c r="I19" s="12">
        <f t="shared" si="0"/>
        <v>1410</v>
      </c>
      <c r="J19" s="11" t="s">
        <v>33</v>
      </c>
      <c r="K19" s="11" t="s">
        <v>33</v>
      </c>
      <c r="L19" s="11" t="s">
        <v>1445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1484</v>
      </c>
      <c r="D20" s="11" t="s">
        <v>1485</v>
      </c>
      <c r="E20" s="11" t="s">
        <v>610</v>
      </c>
      <c r="F20" s="11" t="s">
        <v>44</v>
      </c>
      <c r="G20" s="12">
        <v>0</v>
      </c>
      <c r="H20" s="12">
        <v>25</v>
      </c>
      <c r="I20" s="12">
        <f t="shared" si="0"/>
        <v>-25</v>
      </c>
      <c r="J20" s="11" t="s">
        <v>33</v>
      </c>
      <c r="K20" s="11" t="s">
        <v>33</v>
      </c>
      <c r="L20" s="11" t="s">
        <v>1445</v>
      </c>
      <c r="M20" s="11"/>
      <c r="N20" s="11"/>
      <c r="O20" s="11"/>
      <c r="P20" s="11"/>
      <c r="Q20" s="11">
        <v>1</v>
      </c>
      <c r="R20" s="5">
        <f>H20</f>
        <v>25</v>
      </c>
    </row>
    <row r="21" spans="1:18" x14ac:dyDescent="0.25">
      <c r="A21" s="11"/>
      <c r="B21" s="11" t="s">
        <v>27</v>
      </c>
      <c r="C21" s="11" t="s">
        <v>1486</v>
      </c>
      <c r="D21" s="11" t="s">
        <v>1487</v>
      </c>
      <c r="E21" s="11" t="s">
        <v>1488</v>
      </c>
      <c r="F21" s="11" t="s">
        <v>68</v>
      </c>
      <c r="G21" s="12">
        <v>0</v>
      </c>
      <c r="H21" s="12">
        <v>25</v>
      </c>
      <c r="I21" s="12">
        <f t="shared" si="0"/>
        <v>-25</v>
      </c>
      <c r="J21" s="11" t="s">
        <v>33</v>
      </c>
      <c r="K21" s="11" t="s">
        <v>33</v>
      </c>
      <c r="L21" s="11" t="s">
        <v>1445</v>
      </c>
      <c r="M21" s="11"/>
      <c r="N21" s="11"/>
      <c r="O21" s="11"/>
      <c r="P21" s="11"/>
      <c r="Q21" s="11">
        <v>1</v>
      </c>
      <c r="R21" s="5">
        <f>H21</f>
        <v>25</v>
      </c>
    </row>
    <row r="22" spans="1:18" x14ac:dyDescent="0.25">
      <c r="A22" s="11"/>
      <c r="B22" s="11" t="s">
        <v>27</v>
      </c>
      <c r="C22" s="11" t="s">
        <v>1489</v>
      </c>
      <c r="D22" s="11" t="s">
        <v>1490</v>
      </c>
      <c r="E22" s="11" t="s">
        <v>253</v>
      </c>
      <c r="F22" s="12">
        <v>12</v>
      </c>
      <c r="G22" s="12">
        <v>470</v>
      </c>
      <c r="H22" s="12">
        <v>30</v>
      </c>
      <c r="I22" s="12">
        <f t="shared" si="0"/>
        <v>440</v>
      </c>
      <c r="J22" s="11" t="s">
        <v>33</v>
      </c>
      <c r="K22" s="11" t="s">
        <v>33</v>
      </c>
      <c r="L22" s="11" t="s">
        <v>1445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542</v>
      </c>
      <c r="D23" s="11" t="s">
        <v>1491</v>
      </c>
      <c r="E23" s="11" t="s">
        <v>238</v>
      </c>
      <c r="F23" s="12">
        <v>12</v>
      </c>
      <c r="G23" s="12">
        <v>0</v>
      </c>
      <c r="H23" s="12">
        <v>35</v>
      </c>
      <c r="I23" s="12">
        <f t="shared" si="0"/>
        <v>-35</v>
      </c>
      <c r="J23" s="11" t="s">
        <v>33</v>
      </c>
      <c r="K23" s="11" t="s">
        <v>33</v>
      </c>
      <c r="L23" s="11" t="s">
        <v>1445</v>
      </c>
      <c r="M23" s="11"/>
      <c r="N23" s="11"/>
      <c r="O23" s="11"/>
      <c r="P23" s="11"/>
      <c r="Q23" s="11">
        <v>1</v>
      </c>
      <c r="R23" s="5">
        <f>H23</f>
        <v>35</v>
      </c>
    </row>
    <row r="24" spans="1:18" x14ac:dyDescent="0.25">
      <c r="A24" s="11"/>
      <c r="B24" s="11" t="s">
        <v>27</v>
      </c>
      <c r="C24" s="11" t="s">
        <v>1395</v>
      </c>
      <c r="D24" s="11" t="s">
        <v>1492</v>
      </c>
      <c r="E24" s="11" t="s">
        <v>238</v>
      </c>
      <c r="F24" s="12">
        <v>12</v>
      </c>
      <c r="G24" s="12">
        <v>0</v>
      </c>
      <c r="H24" s="12">
        <v>30</v>
      </c>
      <c r="I24" s="12">
        <f t="shared" si="0"/>
        <v>-30</v>
      </c>
      <c r="J24" s="11" t="s">
        <v>33</v>
      </c>
      <c r="K24" s="11" t="s">
        <v>33</v>
      </c>
      <c r="L24" s="11" t="s">
        <v>1445</v>
      </c>
      <c r="M24" s="11"/>
      <c r="N24" s="11"/>
      <c r="O24" s="11"/>
      <c r="P24" s="11"/>
      <c r="Q24" s="11">
        <v>1</v>
      </c>
      <c r="R24" s="5">
        <f>H24</f>
        <v>30</v>
      </c>
    </row>
    <row r="25" spans="1:18" x14ac:dyDescent="0.25">
      <c r="A25" s="11"/>
      <c r="B25" s="11" t="s">
        <v>27</v>
      </c>
      <c r="C25" s="11" t="s">
        <v>1493</v>
      </c>
      <c r="D25" s="11" t="s">
        <v>1494</v>
      </c>
      <c r="E25" s="11" t="s">
        <v>1495</v>
      </c>
      <c r="F25" s="11" t="s">
        <v>78</v>
      </c>
      <c r="G25" s="12">
        <v>0</v>
      </c>
      <c r="H25" s="12">
        <v>20</v>
      </c>
      <c r="I25" s="12">
        <f t="shared" si="0"/>
        <v>-20</v>
      </c>
      <c r="J25" s="11" t="s">
        <v>33</v>
      </c>
      <c r="K25" s="11" t="s">
        <v>33</v>
      </c>
      <c r="L25" s="11" t="s">
        <v>1445</v>
      </c>
      <c r="M25" s="24" t="s">
        <v>1496</v>
      </c>
      <c r="N25" s="11"/>
      <c r="O25" s="11"/>
      <c r="P25" s="11"/>
      <c r="Q25" s="11">
        <v>1</v>
      </c>
      <c r="R25" s="5">
        <f>H25</f>
        <v>20</v>
      </c>
    </row>
    <row r="26" spans="1:18" x14ac:dyDescent="0.25">
      <c r="A26" s="11"/>
      <c r="B26" s="11" t="s">
        <v>27</v>
      </c>
      <c r="C26" s="11" t="s">
        <v>392</v>
      </c>
      <c r="D26" s="11" t="s">
        <v>1497</v>
      </c>
      <c r="E26" s="11" t="s">
        <v>394</v>
      </c>
      <c r="F26" s="12">
        <v>12</v>
      </c>
      <c r="G26" s="12">
        <v>0</v>
      </c>
      <c r="H26" s="12">
        <v>30</v>
      </c>
      <c r="I26" s="12">
        <f t="shared" si="0"/>
        <v>-30</v>
      </c>
      <c r="J26" s="11" t="s">
        <v>33</v>
      </c>
      <c r="K26" s="11" t="s">
        <v>33</v>
      </c>
      <c r="L26" s="11" t="s">
        <v>1445</v>
      </c>
      <c r="M26" s="11"/>
      <c r="N26" s="11"/>
      <c r="O26" s="11"/>
      <c r="P26" s="11"/>
      <c r="Q26" s="11">
        <v>1</v>
      </c>
      <c r="R26" s="5">
        <f>H26</f>
        <v>30</v>
      </c>
    </row>
    <row r="27" spans="1:18" x14ac:dyDescent="0.25">
      <c r="A27" s="11"/>
      <c r="B27" s="11" t="s">
        <v>27</v>
      </c>
      <c r="C27" s="11" t="s">
        <v>1498</v>
      </c>
      <c r="D27" s="11" t="s">
        <v>1499</v>
      </c>
      <c r="E27" s="11" t="s">
        <v>1500</v>
      </c>
      <c r="F27" s="11" t="s">
        <v>68</v>
      </c>
      <c r="G27" s="12">
        <v>675</v>
      </c>
      <c r="H27" s="12">
        <v>25</v>
      </c>
      <c r="I27" s="12">
        <f t="shared" si="0"/>
        <v>650</v>
      </c>
      <c r="J27" s="11" t="s">
        <v>33</v>
      </c>
      <c r="K27" s="11" t="s">
        <v>33</v>
      </c>
      <c r="L27" s="11" t="s">
        <v>1445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1501</v>
      </c>
      <c r="D28" s="11" t="s">
        <v>1502</v>
      </c>
      <c r="E28" s="11" t="s">
        <v>1503</v>
      </c>
      <c r="F28" s="11" t="s">
        <v>44</v>
      </c>
      <c r="G28" s="12">
        <v>845</v>
      </c>
      <c r="H28" s="12">
        <v>25</v>
      </c>
      <c r="I28" s="12">
        <f t="shared" si="0"/>
        <v>820</v>
      </c>
      <c r="J28" s="11" t="s">
        <v>33</v>
      </c>
      <c r="K28" s="11" t="s">
        <v>33</v>
      </c>
      <c r="L28" s="11" t="s">
        <v>1445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1504</v>
      </c>
      <c r="D29" s="11" t="s">
        <v>1505</v>
      </c>
      <c r="E29" s="11" t="s">
        <v>1506</v>
      </c>
      <c r="F29" s="11" t="s">
        <v>118</v>
      </c>
      <c r="G29" s="12">
        <v>840</v>
      </c>
      <c r="H29" s="12">
        <v>20</v>
      </c>
      <c r="I29" s="12">
        <f t="shared" si="0"/>
        <v>820</v>
      </c>
      <c r="J29" s="11" t="s">
        <v>119</v>
      </c>
      <c r="K29" s="11" t="s">
        <v>33</v>
      </c>
      <c r="L29" s="11" t="s">
        <v>1445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1507</v>
      </c>
      <c r="D30" s="11" t="s">
        <v>1508</v>
      </c>
      <c r="E30" s="11" t="s">
        <v>1509</v>
      </c>
      <c r="F30" s="12">
        <v>10</v>
      </c>
      <c r="G30" s="12">
        <v>665</v>
      </c>
      <c r="H30" s="12">
        <v>25</v>
      </c>
      <c r="I30" s="12">
        <f t="shared" si="0"/>
        <v>640</v>
      </c>
      <c r="J30" s="11" t="s">
        <v>119</v>
      </c>
      <c r="K30" s="11" t="s">
        <v>33</v>
      </c>
      <c r="L30" s="11" t="s">
        <v>1445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1510</v>
      </c>
      <c r="D31" s="11" t="s">
        <v>1511</v>
      </c>
      <c r="E31" s="11" t="s">
        <v>1512</v>
      </c>
      <c r="F31" s="12">
        <v>7</v>
      </c>
      <c r="G31" s="12">
        <v>520</v>
      </c>
      <c r="H31" s="12">
        <v>30</v>
      </c>
      <c r="I31" s="12">
        <f t="shared" si="0"/>
        <v>490</v>
      </c>
      <c r="J31" s="11" t="s">
        <v>119</v>
      </c>
      <c r="K31" s="11" t="s">
        <v>33</v>
      </c>
      <c r="L31" s="11" t="s">
        <v>1445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1513</v>
      </c>
      <c r="D32" s="11" t="s">
        <v>1514</v>
      </c>
      <c r="E32" s="11" t="s">
        <v>1515</v>
      </c>
      <c r="F32" s="11" t="s">
        <v>202</v>
      </c>
      <c r="G32" s="12">
        <v>775</v>
      </c>
      <c r="H32" s="12">
        <v>35</v>
      </c>
      <c r="I32" s="12">
        <f t="shared" si="0"/>
        <v>740</v>
      </c>
      <c r="J32" s="11" t="s">
        <v>119</v>
      </c>
      <c r="K32" s="11" t="s">
        <v>33</v>
      </c>
      <c r="L32" s="11" t="s">
        <v>1445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626</v>
      </c>
      <c r="D33" s="11" t="s">
        <v>1516</v>
      </c>
      <c r="E33" s="11" t="s">
        <v>628</v>
      </c>
      <c r="F33" s="12">
        <v>1</v>
      </c>
      <c r="G33" s="12">
        <v>885</v>
      </c>
      <c r="H33" s="12">
        <v>25</v>
      </c>
      <c r="I33" s="12">
        <f t="shared" si="0"/>
        <v>860</v>
      </c>
      <c r="J33" s="11" t="s">
        <v>119</v>
      </c>
      <c r="K33" s="11" t="s">
        <v>33</v>
      </c>
      <c r="L33" s="11" t="s">
        <v>1445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1517</v>
      </c>
      <c r="D34" s="11" t="s">
        <v>1518</v>
      </c>
      <c r="E34" s="11" t="s">
        <v>1519</v>
      </c>
      <c r="F34" s="12">
        <v>1</v>
      </c>
      <c r="G34" s="12">
        <v>495</v>
      </c>
      <c r="H34" s="12">
        <v>25</v>
      </c>
      <c r="I34" s="12">
        <f t="shared" si="0"/>
        <v>470</v>
      </c>
      <c r="J34" s="11" t="s">
        <v>119</v>
      </c>
      <c r="K34" s="11" t="s">
        <v>33</v>
      </c>
      <c r="L34" s="11" t="s">
        <v>1445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1520</v>
      </c>
      <c r="D35" s="11" t="s">
        <v>1521</v>
      </c>
      <c r="E35" s="11" t="s">
        <v>1522</v>
      </c>
      <c r="F35" s="12">
        <v>7</v>
      </c>
      <c r="G35" s="12">
        <v>840</v>
      </c>
      <c r="H35" s="12">
        <v>30</v>
      </c>
      <c r="I35" s="12">
        <f t="shared" si="0"/>
        <v>810</v>
      </c>
      <c r="J35" s="11" t="s">
        <v>119</v>
      </c>
      <c r="K35" s="11" t="s">
        <v>33</v>
      </c>
      <c r="L35" s="11" t="s">
        <v>1445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1523</v>
      </c>
      <c r="D36" s="11" t="s">
        <v>1524</v>
      </c>
      <c r="E36" s="11" t="s">
        <v>1525</v>
      </c>
      <c r="F36" s="12">
        <v>7</v>
      </c>
      <c r="G36" s="12">
        <v>680</v>
      </c>
      <c r="H36" s="12">
        <v>30</v>
      </c>
      <c r="I36" s="12">
        <f t="shared" si="0"/>
        <v>650</v>
      </c>
      <c r="J36" s="11" t="s">
        <v>119</v>
      </c>
      <c r="K36" s="11" t="s">
        <v>33</v>
      </c>
      <c r="L36" s="11" t="s">
        <v>1445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1526</v>
      </c>
      <c r="D37" s="11" t="s">
        <v>1527</v>
      </c>
      <c r="E37" s="11" t="s">
        <v>1528</v>
      </c>
      <c r="F37" s="12">
        <v>7</v>
      </c>
      <c r="G37" s="12">
        <v>0</v>
      </c>
      <c r="H37" s="12">
        <v>30</v>
      </c>
      <c r="I37" s="12">
        <f t="shared" si="0"/>
        <v>-30</v>
      </c>
      <c r="J37" s="11" t="s">
        <v>119</v>
      </c>
      <c r="K37" s="11" t="s">
        <v>33</v>
      </c>
      <c r="L37" s="11" t="s">
        <v>1445</v>
      </c>
      <c r="M37" s="11"/>
      <c r="N37" s="11"/>
      <c r="O37" s="11"/>
      <c r="P37" s="11"/>
      <c r="Q37" s="11">
        <v>1</v>
      </c>
      <c r="R37" s="5">
        <f>H37</f>
        <v>30</v>
      </c>
    </row>
    <row r="38" spans="1:18" x14ac:dyDescent="0.25">
      <c r="A38" s="11"/>
      <c r="B38" s="11" t="s">
        <v>27</v>
      </c>
      <c r="C38" s="11" t="s">
        <v>1529</v>
      </c>
      <c r="D38" s="11" t="s">
        <v>1530</v>
      </c>
      <c r="E38" s="11" t="s">
        <v>1531</v>
      </c>
      <c r="F38" s="12">
        <v>1</v>
      </c>
      <c r="G38" s="12">
        <v>1115</v>
      </c>
      <c r="H38" s="12">
        <v>25</v>
      </c>
      <c r="I38" s="12">
        <f t="shared" si="0"/>
        <v>1090</v>
      </c>
      <c r="J38" s="11" t="s">
        <v>119</v>
      </c>
      <c r="K38" s="11" t="s">
        <v>33</v>
      </c>
      <c r="L38" s="11" t="s">
        <v>1445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1532</v>
      </c>
      <c r="D39" s="11" t="s">
        <v>1533</v>
      </c>
      <c r="E39" s="11" t="s">
        <v>1534</v>
      </c>
      <c r="F39" s="12">
        <v>7</v>
      </c>
      <c r="G39" s="12">
        <v>520</v>
      </c>
      <c r="H39" s="12">
        <v>30</v>
      </c>
      <c r="I39" s="12">
        <f t="shared" si="0"/>
        <v>490</v>
      </c>
      <c r="J39" s="11" t="s">
        <v>119</v>
      </c>
      <c r="K39" s="11" t="s">
        <v>33</v>
      </c>
      <c r="L39" s="11" t="s">
        <v>1445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1535</v>
      </c>
      <c r="D40" s="11" t="s">
        <v>1536</v>
      </c>
      <c r="E40" s="11" t="s">
        <v>1537</v>
      </c>
      <c r="F40" s="12">
        <v>10</v>
      </c>
      <c r="G40" s="12">
        <v>0</v>
      </c>
      <c r="H40" s="12">
        <v>25</v>
      </c>
      <c r="I40" s="12">
        <f t="shared" si="0"/>
        <v>-25</v>
      </c>
      <c r="J40" s="11" t="s">
        <v>119</v>
      </c>
      <c r="K40" s="11" t="s">
        <v>33</v>
      </c>
      <c r="L40" s="11" t="s">
        <v>1445</v>
      </c>
      <c r="M40" s="11"/>
      <c r="N40" s="11"/>
      <c r="O40" s="11"/>
      <c r="P40" s="11"/>
      <c r="Q40" s="11">
        <v>1</v>
      </c>
      <c r="R40" s="5">
        <f>H40</f>
        <v>25</v>
      </c>
    </row>
    <row r="41" spans="1:18" x14ac:dyDescent="0.25">
      <c r="A41" s="11"/>
      <c r="B41" s="11" t="s">
        <v>27</v>
      </c>
      <c r="C41" s="11" t="s">
        <v>1538</v>
      </c>
      <c r="D41" s="11" t="s">
        <v>1539</v>
      </c>
      <c r="E41" s="11" t="s">
        <v>1540</v>
      </c>
      <c r="F41" s="12">
        <v>10</v>
      </c>
      <c r="G41" s="12">
        <v>975</v>
      </c>
      <c r="H41" s="12">
        <v>25</v>
      </c>
      <c r="I41" s="12">
        <f t="shared" si="0"/>
        <v>950</v>
      </c>
      <c r="J41" s="11" t="s">
        <v>119</v>
      </c>
      <c r="K41" s="11" t="s">
        <v>33</v>
      </c>
      <c r="L41" s="11" t="s">
        <v>1445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1541</v>
      </c>
      <c r="D42" s="11" t="s">
        <v>1542</v>
      </c>
      <c r="E42" s="11" t="s">
        <v>1543</v>
      </c>
      <c r="F42" s="11" t="s">
        <v>118</v>
      </c>
      <c r="G42" s="12">
        <v>820</v>
      </c>
      <c r="H42" s="12">
        <v>20</v>
      </c>
      <c r="I42" s="12">
        <f t="shared" si="0"/>
        <v>800</v>
      </c>
      <c r="J42" s="11" t="s">
        <v>119</v>
      </c>
      <c r="K42" s="11" t="s">
        <v>33</v>
      </c>
      <c r="L42" s="11" t="s">
        <v>1445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1544</v>
      </c>
      <c r="D43" s="11" t="s">
        <v>1545</v>
      </c>
      <c r="E43" s="11" t="s">
        <v>1546</v>
      </c>
      <c r="F43" s="11" t="s">
        <v>118</v>
      </c>
      <c r="G43" s="12">
        <v>780</v>
      </c>
      <c r="H43" s="12">
        <v>20</v>
      </c>
      <c r="I43" s="12">
        <f t="shared" si="0"/>
        <v>760</v>
      </c>
      <c r="J43" s="11" t="s">
        <v>119</v>
      </c>
      <c r="K43" s="11" t="s">
        <v>33</v>
      </c>
      <c r="L43" s="11" t="s">
        <v>1445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1547</v>
      </c>
      <c r="D44" s="11" t="s">
        <v>1548</v>
      </c>
      <c r="E44" s="11" t="s">
        <v>1549</v>
      </c>
      <c r="F44" s="12">
        <v>1</v>
      </c>
      <c r="G44" s="12">
        <v>515</v>
      </c>
      <c r="H44" s="12">
        <v>25</v>
      </c>
      <c r="I44" s="12">
        <f t="shared" si="0"/>
        <v>490</v>
      </c>
      <c r="J44" s="11" t="s">
        <v>119</v>
      </c>
      <c r="K44" s="11" t="s">
        <v>33</v>
      </c>
      <c r="L44" s="11" t="s">
        <v>1445</v>
      </c>
      <c r="M44" s="11"/>
      <c r="N44" s="11"/>
      <c r="O44" s="11"/>
      <c r="P44" s="11"/>
      <c r="Q44" s="11">
        <v>1</v>
      </c>
    </row>
    <row r="45" spans="1:18" s="2" customFormat="1" x14ac:dyDescent="0.25">
      <c r="A45" s="16"/>
      <c r="B45" s="16" t="s">
        <v>27</v>
      </c>
      <c r="C45" s="16" t="s">
        <v>1368</v>
      </c>
      <c r="D45" s="16" t="s">
        <v>1369</v>
      </c>
      <c r="E45" s="16" t="s">
        <v>1370</v>
      </c>
      <c r="F45" s="16" t="s">
        <v>48</v>
      </c>
      <c r="G45" s="17">
        <v>1090</v>
      </c>
      <c r="H45" s="17">
        <v>0</v>
      </c>
      <c r="I45" s="17">
        <f t="shared" si="0"/>
        <v>1090</v>
      </c>
      <c r="J45" s="16" t="s">
        <v>1344</v>
      </c>
      <c r="K45" s="16" t="s">
        <v>33</v>
      </c>
      <c r="L45" s="16" t="s">
        <v>1345</v>
      </c>
      <c r="M45" s="16" t="s">
        <v>173</v>
      </c>
      <c r="N45" s="16" t="s">
        <v>156</v>
      </c>
      <c r="O45" s="16" t="s">
        <v>156</v>
      </c>
      <c r="P45" s="16" t="s">
        <v>157</v>
      </c>
      <c r="Q45" s="16">
        <v>1</v>
      </c>
    </row>
    <row r="47" spans="1:18" x14ac:dyDescent="0.25">
      <c r="D47" s="1">
        <f>COUNTA(D3:D45)</f>
        <v>37</v>
      </c>
      <c r="G47" s="1">
        <f t="shared" ref="G47:Q47" si="1">SUBTOTAL(9,G3:G45)</f>
        <v>26985</v>
      </c>
      <c r="H47" s="1">
        <f t="shared" si="1"/>
        <v>1190</v>
      </c>
      <c r="I47" s="1">
        <f t="shared" si="1"/>
        <v>25795</v>
      </c>
      <c r="J47" s="1">
        <f t="shared" si="1"/>
        <v>0</v>
      </c>
      <c r="K47" s="1">
        <f t="shared" si="1"/>
        <v>0</v>
      </c>
      <c r="L47" s="1">
        <f t="shared" si="1"/>
        <v>0</v>
      </c>
      <c r="M47" s="1">
        <f t="shared" si="1"/>
        <v>0</v>
      </c>
      <c r="N47" s="1">
        <f t="shared" si="1"/>
        <v>0</v>
      </c>
      <c r="O47" s="1">
        <f t="shared" si="1"/>
        <v>0</v>
      </c>
      <c r="P47" s="1">
        <f t="shared" si="1"/>
        <v>0</v>
      </c>
      <c r="Q47" s="1">
        <f t="shared" si="1"/>
        <v>43</v>
      </c>
    </row>
    <row r="48" spans="1:18" x14ac:dyDescent="0.25">
      <c r="H48">
        <f>-7*17</f>
        <v>-119</v>
      </c>
    </row>
    <row r="49" spans="1:16" x14ac:dyDescent="0.25">
      <c r="A49" s="1" t="s">
        <v>27</v>
      </c>
      <c r="C49" s="60" t="s">
        <v>158</v>
      </c>
      <c r="D49" s="60"/>
      <c r="E49" s="4" t="s">
        <v>159</v>
      </c>
      <c r="H49">
        <f>-6*25</f>
        <v>-150</v>
      </c>
      <c r="K49" s="6" t="s">
        <v>33</v>
      </c>
      <c r="L49" s="6" t="s">
        <v>160</v>
      </c>
      <c r="M49" s="6" t="s">
        <v>159</v>
      </c>
      <c r="O49" s="4" t="s">
        <v>161</v>
      </c>
    </row>
    <row r="50" spans="1:16" x14ac:dyDescent="0.25">
      <c r="A50" t="s">
        <v>1445</v>
      </c>
      <c r="B50" s="3" t="s">
        <v>162</v>
      </c>
      <c r="C50" s="61">
        <f>SUMIFS(I$3:I$45,B$3:B$45,A$49,L$3:L$45,A$50)</f>
        <v>24705</v>
      </c>
      <c r="D50" s="61"/>
      <c r="E50" s="3">
        <f>SUMIFS(Q$3:Q$45,B$3:B$45,A$49,L$3:L$45,A$50)</f>
        <v>42</v>
      </c>
      <c r="F50" t="s">
        <v>163</v>
      </c>
      <c r="H50">
        <f>-1*30</f>
        <v>-30</v>
      </c>
      <c r="K50" t="s">
        <v>164</v>
      </c>
      <c r="L50">
        <f>SUMIFS(G$3:G$45,J$3:J$45,K$49)</f>
        <v>5745</v>
      </c>
      <c r="M50">
        <f>SUMIFS(Q$3:Q$45,J$3:J$45,K$49)-INT(COUNTIFS(J$3:J$45,K$49,M$3:M$45,"*gộp*")/2)</f>
        <v>12</v>
      </c>
      <c r="O50" t="s">
        <v>33</v>
      </c>
      <c r="P50">
        <f>L55</f>
        <v>5371</v>
      </c>
    </row>
    <row r="51" spans="1:16" x14ac:dyDescent="0.25">
      <c r="B51" s="2" t="s">
        <v>166</v>
      </c>
      <c r="C51" s="62">
        <v>0</v>
      </c>
      <c r="D51" s="62"/>
      <c r="K51" t="s">
        <v>167</v>
      </c>
      <c r="L51">
        <f>-SUMIFS(H$3:H$45,J$3:J$45,K$49)+M51*5</f>
        <v>-290</v>
      </c>
      <c r="M51">
        <f>SUMIFS(Q$3:Q$45,J$3:J$45,K$49)-INT(COUNTIFS(J$3:J$45,K$49,M$3:M$45,"*gộp*")/2)</f>
        <v>12</v>
      </c>
      <c r="O51" t="s">
        <v>1550</v>
      </c>
      <c r="P51">
        <f>L63</f>
        <v>9426</v>
      </c>
    </row>
    <row r="52" spans="1:16" x14ac:dyDescent="0.25">
      <c r="B52" s="2" t="s">
        <v>168</v>
      </c>
      <c r="C52" s="62">
        <f>-SUMIFS(I$3:I$45,B$3:B$45,A$49,P$3:P$45,"xx",N$3:N$45,"x")</f>
        <v>-1090</v>
      </c>
      <c r="D52" s="62"/>
      <c r="E52" s="2">
        <f>SUMIFS(Q$3:Q$45,B$3:B$45,A$49,P$3:P$45,"xx",N$3:N$45,"x")</f>
        <v>1</v>
      </c>
      <c r="K52" t="s">
        <v>169</v>
      </c>
      <c r="L52">
        <f>-M52*2</f>
        <v>-84</v>
      </c>
      <c r="M52">
        <f>COUNTIFS(K$3:K$45,K$49,L$3:L$45,A$50)-(COUNTIFS(K$3:K$45,K$49,M$3:M$45,"*gộp*")/2)-COUNTIFS(K$3:K$45,K$49,M$3:M$45,"*đơn trả*")-COUNTIFS(K$3:K$45,K$49,M$3:M$45,"*hàng tỉnh*")</f>
        <v>42</v>
      </c>
      <c r="O52" t="s">
        <v>119</v>
      </c>
      <c r="P52">
        <f>L71</f>
        <v>10085</v>
      </c>
    </row>
    <row r="53" spans="1:16" x14ac:dyDescent="0.25">
      <c r="B53" s="4" t="s">
        <v>170</v>
      </c>
      <c r="C53" s="60">
        <f>SUBTOTAL(9,C50:C52)</f>
        <v>23615</v>
      </c>
      <c r="D53" s="60"/>
      <c r="E53">
        <f>E50</f>
        <v>42</v>
      </c>
      <c r="K53" s="7" t="s">
        <v>155</v>
      </c>
      <c r="O53" t="s">
        <v>171</v>
      </c>
      <c r="P53">
        <f>-C57</f>
        <v>-23615</v>
      </c>
    </row>
    <row r="54" spans="1:16" x14ac:dyDescent="0.25">
      <c r="B54" s="2" t="s">
        <v>172</v>
      </c>
      <c r="C54" s="58"/>
      <c r="D54" s="58"/>
      <c r="K54" s="2" t="s">
        <v>173</v>
      </c>
      <c r="O54" s="4" t="s">
        <v>174</v>
      </c>
      <c r="P54" s="4">
        <f>SUBTOTAL(9,P50:P53)</f>
        <v>1267</v>
      </c>
    </row>
    <row r="55" spans="1:16" x14ac:dyDescent="0.25">
      <c r="B55" s="8" t="s">
        <v>175</v>
      </c>
      <c r="C55" s="58"/>
      <c r="D55" s="58"/>
      <c r="L55" s="9">
        <f>SUBTOTAL(9,L50:L54)</f>
        <v>5371</v>
      </c>
      <c r="M55" s="9">
        <f>M50</f>
        <v>12</v>
      </c>
    </row>
    <row r="57" spans="1:16" x14ac:dyDescent="0.25">
      <c r="B57" s="1" t="s">
        <v>176</v>
      </c>
      <c r="C57" s="59">
        <f>C53+C54+C55</f>
        <v>23615</v>
      </c>
      <c r="D57" s="59"/>
      <c r="E57" s="1" t="s">
        <v>177</v>
      </c>
      <c r="K57" s="6" t="s">
        <v>1444</v>
      </c>
      <c r="L57" s="6" t="s">
        <v>160</v>
      </c>
      <c r="M57" s="6" t="s">
        <v>159</v>
      </c>
    </row>
    <row r="58" spans="1:16" x14ac:dyDescent="0.25">
      <c r="K58" t="s">
        <v>164</v>
      </c>
      <c r="L58">
        <f>SUMIFS(G$3:G$45,J$3:J$45,K$57)</f>
        <v>9725</v>
      </c>
      <c r="M58">
        <f>SUMIFS(Q$3:Q$45,J$3:J$45,K$57)-INT(COUNTIFS(J$3:J$45,K$57,M$3:M$45,"*gộp*")/2)</f>
        <v>14</v>
      </c>
    </row>
    <row r="59" spans="1:16" x14ac:dyDescent="0.25">
      <c r="K59" t="s">
        <v>167</v>
      </c>
      <c r="L59">
        <f>SUM(H48:H50)</f>
        <v>-299</v>
      </c>
      <c r="M59">
        <f>SUMIFS(Q$3:Q$45,J$3:J$45,K$57)-INT(COUNTIFS(J$3:J$45,K$57,M$3:M$45,"*gộp*")/2)</f>
        <v>14</v>
      </c>
    </row>
    <row r="60" spans="1:16" x14ac:dyDescent="0.25">
      <c r="K60" t="s">
        <v>169</v>
      </c>
      <c r="L60">
        <f>-M60*2</f>
        <v>0</v>
      </c>
      <c r="M60">
        <f>COUNTIFS(K$3:K$45,K$57,L$3:L$45,A$50)-(COUNTIFS(K$3:K$45,K$57,M$3:M$45,"*gộp*")/2)-COUNTIFS(K$3:K$45,K$57,M$3:M$45,"*đơn trả*")-COUNTIFS(K$3:K$45,K$57,M$3:M$45,"*hàng tỉnh*")</f>
        <v>0</v>
      </c>
    </row>
    <row r="61" spans="1:16" x14ac:dyDescent="0.25">
      <c r="K61" s="7" t="s">
        <v>155</v>
      </c>
    </row>
    <row r="62" spans="1:16" x14ac:dyDescent="0.25">
      <c r="K62" s="2" t="s">
        <v>173</v>
      </c>
    </row>
    <row r="63" spans="1:16" x14ac:dyDescent="0.25">
      <c r="L63" s="9">
        <f>SUBTOTAL(9,L58:L62)</f>
        <v>9426</v>
      </c>
      <c r="M63" s="9">
        <f>M58</f>
        <v>14</v>
      </c>
    </row>
    <row r="65" spans="11:13" x14ac:dyDescent="0.25">
      <c r="K65" s="6" t="s">
        <v>119</v>
      </c>
      <c r="L65" s="6" t="s">
        <v>160</v>
      </c>
      <c r="M65" s="6" t="s">
        <v>159</v>
      </c>
    </row>
    <row r="66" spans="11:13" x14ac:dyDescent="0.25">
      <c r="K66" t="s">
        <v>164</v>
      </c>
      <c r="L66">
        <f>SUMIFS(G$3:G$45,J$3:J$45,K$65)</f>
        <v>10425</v>
      </c>
      <c r="M66">
        <f>SUMIFS(Q$3:Q$45,J$3:J$45,K$65)-INT(COUNTIFS(J$3:J$45,K$65,M$3:M$45,"*gộp*")/2)</f>
        <v>16</v>
      </c>
    </row>
    <row r="67" spans="11:13" x14ac:dyDescent="0.25">
      <c r="K67" t="s">
        <v>167</v>
      </c>
      <c r="L67">
        <f>-SUMIFS(H$3:H$45,J$3:J$45,K$65)+M67*5</f>
        <v>-340</v>
      </c>
      <c r="M67">
        <f>SUMIFS(Q$3:Q$45,J$3:J$45,K$65)-INT(COUNTIFS(J$3:J$45,K$65,M$3:M$45,"*gộp*")/2)</f>
        <v>16</v>
      </c>
    </row>
    <row r="68" spans="11:13" x14ac:dyDescent="0.25">
      <c r="K68" t="s">
        <v>169</v>
      </c>
      <c r="L68">
        <f>-M68*2</f>
        <v>0</v>
      </c>
      <c r="M68">
        <f>COUNTIFS(K$3:K$45,K$65,L$3:L$45,A$50)-(COUNTIFS(K$3:K$45,K$65,M$3:M$45,"*gộp*")/2)-COUNTIFS(K$3:K$45,K$65,M$3:M$45,"*đơn trả*")-COUNTIFS(K$3:K$45,K$65,M$3:M$45,"*hàng tỉnh*")</f>
        <v>0</v>
      </c>
    </row>
    <row r="69" spans="11:13" x14ac:dyDescent="0.25">
      <c r="K69" s="7" t="s">
        <v>155</v>
      </c>
    </row>
    <row r="70" spans="11:13" x14ac:dyDescent="0.25">
      <c r="K70" s="2" t="s">
        <v>173</v>
      </c>
    </row>
    <row r="71" spans="11:13" x14ac:dyDescent="0.25">
      <c r="L71" s="9">
        <f>SUBTOTAL(9,L66:L70)</f>
        <v>10085</v>
      </c>
      <c r="M71" s="9">
        <f>M66</f>
        <v>16</v>
      </c>
    </row>
  </sheetData>
  <autoFilter ref="A2:P45" xr:uid="{00000000-0009-0000-0000-000010000000}">
    <sortState xmlns:xlrd2="http://schemas.microsoft.com/office/spreadsheetml/2017/richdata2" ref="A3:P45">
      <sortCondition ref="J2:J45"/>
    </sortState>
  </autoFilter>
  <mergeCells count="8">
    <mergeCell ref="C54:D54"/>
    <mergeCell ref="C55:D55"/>
    <mergeCell ref="C57:D57"/>
    <mergeCell ref="C49:D49"/>
    <mergeCell ref="C50:D50"/>
    <mergeCell ref="C51:D51"/>
    <mergeCell ref="C52:D52"/>
    <mergeCell ref="C53:D53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R71"/>
  <sheetViews>
    <sheetView topLeftCell="A35" zoomScale="90" zoomScaleNormal="90" workbookViewId="0"/>
  </sheetViews>
  <sheetFormatPr defaultRowHeight="15" x14ac:dyDescent="0.25"/>
  <cols>
    <col min="1" max="1" width="12.7109375" customWidth="1"/>
    <col min="2" max="2" width="8.28515625" customWidth="1"/>
    <col min="3" max="3" width="49.28515625" customWidth="1"/>
    <col min="4" max="4" width="9.85546875" customWidth="1"/>
    <col min="5" max="5" width="66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5.2851562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1551</v>
      </c>
      <c r="D3" s="11" t="s">
        <v>1552</v>
      </c>
      <c r="E3" s="11" t="s">
        <v>1553</v>
      </c>
      <c r="F3" s="11" t="s">
        <v>48</v>
      </c>
      <c r="G3" s="12">
        <v>910</v>
      </c>
      <c r="H3" s="12">
        <v>30</v>
      </c>
      <c r="I3" s="12">
        <f t="shared" ref="I3:I45" si="0">G3-H3</f>
        <v>880</v>
      </c>
      <c r="J3" s="11" t="s">
        <v>1554</v>
      </c>
      <c r="K3" s="11" t="s">
        <v>33</v>
      </c>
      <c r="L3" s="11" t="s">
        <v>1555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1556</v>
      </c>
      <c r="D4" s="11" t="s">
        <v>1557</v>
      </c>
      <c r="E4" s="11" t="s">
        <v>1558</v>
      </c>
      <c r="F4" s="12">
        <v>9</v>
      </c>
      <c r="G4" s="12">
        <v>1020</v>
      </c>
      <c r="H4" s="12">
        <v>30</v>
      </c>
      <c r="I4" s="12">
        <f t="shared" si="0"/>
        <v>990</v>
      </c>
      <c r="J4" s="11" t="s">
        <v>1554</v>
      </c>
      <c r="K4" s="11" t="s">
        <v>33</v>
      </c>
      <c r="L4" s="11" t="s">
        <v>1555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1559</v>
      </c>
      <c r="D5" s="11" t="s">
        <v>1560</v>
      </c>
      <c r="E5" s="11" t="s">
        <v>1561</v>
      </c>
      <c r="F5" s="12">
        <v>9</v>
      </c>
      <c r="G5" s="12">
        <v>1550</v>
      </c>
      <c r="H5" s="12">
        <v>30</v>
      </c>
      <c r="I5" s="12">
        <f t="shared" si="0"/>
        <v>1520</v>
      </c>
      <c r="J5" s="11" t="s">
        <v>1554</v>
      </c>
      <c r="K5" s="11" t="s">
        <v>33</v>
      </c>
      <c r="L5" s="11" t="s">
        <v>1555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1562</v>
      </c>
      <c r="D6" s="11" t="s">
        <v>1563</v>
      </c>
      <c r="E6" s="11" t="s">
        <v>1564</v>
      </c>
      <c r="F6" s="11" t="s">
        <v>48</v>
      </c>
      <c r="G6" s="12">
        <v>620</v>
      </c>
      <c r="H6" s="12">
        <v>30</v>
      </c>
      <c r="I6" s="12">
        <f t="shared" si="0"/>
        <v>590</v>
      </c>
      <c r="J6" s="11" t="s">
        <v>1554</v>
      </c>
      <c r="K6" s="11" t="s">
        <v>33</v>
      </c>
      <c r="L6" s="11" t="s">
        <v>1555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1565</v>
      </c>
      <c r="D7" s="11" t="s">
        <v>1566</v>
      </c>
      <c r="E7" s="11" t="s">
        <v>1567</v>
      </c>
      <c r="F7" s="11" t="s">
        <v>48</v>
      </c>
      <c r="G7" s="12">
        <v>550</v>
      </c>
      <c r="H7" s="12">
        <v>30</v>
      </c>
      <c r="I7" s="12">
        <f t="shared" si="0"/>
        <v>520</v>
      </c>
      <c r="J7" s="11" t="s">
        <v>1554</v>
      </c>
      <c r="K7" s="11" t="s">
        <v>33</v>
      </c>
      <c r="L7" s="11" t="s">
        <v>1555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1568</v>
      </c>
      <c r="D8" s="11" t="s">
        <v>1569</v>
      </c>
      <c r="E8" s="11" t="s">
        <v>1570</v>
      </c>
      <c r="F8" s="11" t="s">
        <v>55</v>
      </c>
      <c r="G8" s="12">
        <v>685</v>
      </c>
      <c r="H8" s="12">
        <v>35</v>
      </c>
      <c r="I8" s="12">
        <f t="shared" si="0"/>
        <v>650</v>
      </c>
      <c r="J8" s="11" t="s">
        <v>1554</v>
      </c>
      <c r="K8" s="11" t="s">
        <v>33</v>
      </c>
      <c r="L8" s="11" t="s">
        <v>1555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903</v>
      </c>
      <c r="D9" s="11" t="s">
        <v>1571</v>
      </c>
      <c r="E9" s="11" t="s">
        <v>905</v>
      </c>
      <c r="F9" s="12">
        <v>6</v>
      </c>
      <c r="G9" s="12">
        <v>835</v>
      </c>
      <c r="H9" s="12">
        <v>25</v>
      </c>
      <c r="I9" s="12">
        <f t="shared" si="0"/>
        <v>810</v>
      </c>
      <c r="J9" s="11" t="s">
        <v>1554</v>
      </c>
      <c r="K9" s="11" t="s">
        <v>33</v>
      </c>
      <c r="L9" s="11" t="s">
        <v>1555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1572</v>
      </c>
      <c r="D10" s="11" t="s">
        <v>1573</v>
      </c>
      <c r="E10" s="11" t="s">
        <v>1574</v>
      </c>
      <c r="F10" s="11" t="s">
        <v>55</v>
      </c>
      <c r="G10" s="12">
        <v>725</v>
      </c>
      <c r="H10" s="12">
        <v>35</v>
      </c>
      <c r="I10" s="12">
        <f t="shared" si="0"/>
        <v>690</v>
      </c>
      <c r="J10" s="11" t="s">
        <v>1554</v>
      </c>
      <c r="K10" s="11" t="s">
        <v>33</v>
      </c>
      <c r="L10" s="11" t="s">
        <v>1555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1575</v>
      </c>
      <c r="D11" s="11" t="s">
        <v>1576</v>
      </c>
      <c r="E11" s="11" t="s">
        <v>1577</v>
      </c>
      <c r="F11" s="12">
        <v>12</v>
      </c>
      <c r="G11" s="12">
        <v>1250</v>
      </c>
      <c r="H11" s="12">
        <v>30</v>
      </c>
      <c r="I11" s="12">
        <f t="shared" si="0"/>
        <v>1220</v>
      </c>
      <c r="J11" s="11" t="s">
        <v>1554</v>
      </c>
      <c r="K11" s="11" t="s">
        <v>33</v>
      </c>
      <c r="L11" s="11" t="s">
        <v>1555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1578</v>
      </c>
      <c r="D12" s="11" t="s">
        <v>1579</v>
      </c>
      <c r="E12" s="11" t="s">
        <v>1580</v>
      </c>
      <c r="F12" s="11" t="s">
        <v>48</v>
      </c>
      <c r="G12" s="12">
        <v>500</v>
      </c>
      <c r="H12" s="12">
        <v>30</v>
      </c>
      <c r="I12" s="12">
        <f t="shared" si="0"/>
        <v>470</v>
      </c>
      <c r="J12" s="11" t="s">
        <v>1554</v>
      </c>
      <c r="K12" s="11" t="s">
        <v>33</v>
      </c>
      <c r="L12" s="11" t="s">
        <v>1555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1581</v>
      </c>
      <c r="D13" s="11" t="s">
        <v>1582</v>
      </c>
      <c r="E13" s="11" t="s">
        <v>1583</v>
      </c>
      <c r="F13" s="12">
        <v>12</v>
      </c>
      <c r="G13" s="12">
        <v>1040</v>
      </c>
      <c r="H13" s="12">
        <v>30</v>
      </c>
      <c r="I13" s="12">
        <f t="shared" si="0"/>
        <v>1010</v>
      </c>
      <c r="J13" s="11" t="s">
        <v>1554</v>
      </c>
      <c r="K13" s="11" t="s">
        <v>33</v>
      </c>
      <c r="L13" s="11" t="s">
        <v>1555</v>
      </c>
      <c r="M13" s="11"/>
      <c r="N13" s="11"/>
      <c r="O13" s="11"/>
      <c r="P13" s="11"/>
      <c r="Q13" s="11">
        <v>1</v>
      </c>
    </row>
    <row r="14" spans="1:18" x14ac:dyDescent="0.25">
      <c r="A14" s="11" t="s">
        <v>59</v>
      </c>
      <c r="B14" s="11" t="s">
        <v>27</v>
      </c>
      <c r="C14" s="11" t="s">
        <v>113</v>
      </c>
      <c r="D14" s="11"/>
      <c r="E14" s="11" t="s">
        <v>114</v>
      </c>
      <c r="F14" s="11" t="s">
        <v>68</v>
      </c>
      <c r="G14" s="12">
        <v>0</v>
      </c>
      <c r="H14" s="12">
        <v>30</v>
      </c>
      <c r="I14" s="12">
        <f t="shared" si="0"/>
        <v>-30</v>
      </c>
      <c r="J14" s="11" t="s">
        <v>33</v>
      </c>
      <c r="K14" s="11" t="s">
        <v>33</v>
      </c>
      <c r="L14" s="11" t="s">
        <v>1555</v>
      </c>
      <c r="M14" s="11"/>
      <c r="N14" s="11"/>
      <c r="O14" s="11"/>
      <c r="P14" s="11"/>
      <c r="Q14" s="11">
        <v>1</v>
      </c>
      <c r="R14" s="5">
        <f>H14</f>
        <v>30</v>
      </c>
    </row>
    <row r="15" spans="1:18" x14ac:dyDescent="0.25">
      <c r="A15" s="11" t="s">
        <v>59</v>
      </c>
      <c r="B15" s="11" t="s">
        <v>27</v>
      </c>
      <c r="C15" s="11" t="s">
        <v>1584</v>
      </c>
      <c r="D15" s="11"/>
      <c r="E15" s="11" t="s">
        <v>1585</v>
      </c>
      <c r="F15" s="12">
        <v>12</v>
      </c>
      <c r="G15" s="12">
        <v>0</v>
      </c>
      <c r="H15" s="12">
        <v>35</v>
      </c>
      <c r="I15" s="12">
        <f t="shared" si="0"/>
        <v>-35</v>
      </c>
      <c r="J15" s="11" t="s">
        <v>33</v>
      </c>
      <c r="K15" s="11" t="s">
        <v>33</v>
      </c>
      <c r="L15" s="11" t="s">
        <v>1555</v>
      </c>
      <c r="M15" s="11"/>
      <c r="N15" s="11"/>
      <c r="O15" s="11"/>
      <c r="P15" s="11"/>
      <c r="Q15" s="11">
        <v>1</v>
      </c>
      <c r="R15" s="5">
        <f>H15</f>
        <v>35</v>
      </c>
    </row>
    <row r="16" spans="1:18" x14ac:dyDescent="0.25">
      <c r="A16" s="11" t="s">
        <v>59</v>
      </c>
      <c r="B16" s="11" t="s">
        <v>27</v>
      </c>
      <c r="C16" s="11" t="s">
        <v>1586</v>
      </c>
      <c r="D16" s="11"/>
      <c r="E16" s="11" t="s">
        <v>238</v>
      </c>
      <c r="F16" s="12">
        <v>12</v>
      </c>
      <c r="G16" s="12">
        <v>0</v>
      </c>
      <c r="H16" s="12">
        <v>35</v>
      </c>
      <c r="I16" s="12">
        <f t="shared" si="0"/>
        <v>-35</v>
      </c>
      <c r="J16" s="11" t="s">
        <v>33</v>
      </c>
      <c r="K16" s="11" t="s">
        <v>33</v>
      </c>
      <c r="L16" s="11" t="s">
        <v>1555</v>
      </c>
      <c r="M16" s="11"/>
      <c r="N16" s="11"/>
      <c r="O16" s="11"/>
      <c r="P16" s="11"/>
      <c r="Q16" s="11">
        <v>1</v>
      </c>
      <c r="R16" s="5">
        <f>H16</f>
        <v>35</v>
      </c>
    </row>
    <row r="17" spans="1:18" x14ac:dyDescent="0.25">
      <c r="A17" s="11"/>
      <c r="B17" s="11" t="s">
        <v>27</v>
      </c>
      <c r="C17" s="11" t="s">
        <v>544</v>
      </c>
      <c r="D17" s="11" t="s">
        <v>1587</v>
      </c>
      <c r="E17" s="11" t="s">
        <v>546</v>
      </c>
      <c r="F17" s="11" t="s">
        <v>104</v>
      </c>
      <c r="G17" s="12">
        <v>1400</v>
      </c>
      <c r="H17" s="12">
        <v>30</v>
      </c>
      <c r="I17" s="12">
        <f t="shared" si="0"/>
        <v>1370</v>
      </c>
      <c r="J17" s="11" t="s">
        <v>33</v>
      </c>
      <c r="K17" s="11" t="s">
        <v>33</v>
      </c>
      <c r="L17" s="11" t="s">
        <v>1555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1588</v>
      </c>
      <c r="D18" s="11" t="s">
        <v>1589</v>
      </c>
      <c r="E18" s="11" t="s">
        <v>1590</v>
      </c>
      <c r="F18" s="12">
        <v>2</v>
      </c>
      <c r="G18" s="12">
        <v>1770</v>
      </c>
      <c r="H18" s="12">
        <v>30</v>
      </c>
      <c r="I18" s="12">
        <f t="shared" si="0"/>
        <v>1740</v>
      </c>
      <c r="J18" s="11" t="s">
        <v>33</v>
      </c>
      <c r="K18" s="11" t="s">
        <v>33</v>
      </c>
      <c r="L18" s="11" t="s">
        <v>1555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1591</v>
      </c>
      <c r="D19" s="11" t="s">
        <v>1592</v>
      </c>
      <c r="E19" s="11" t="s">
        <v>1593</v>
      </c>
      <c r="F19" s="11" t="s">
        <v>78</v>
      </c>
      <c r="G19" s="12">
        <v>3110</v>
      </c>
      <c r="H19" s="12">
        <v>30</v>
      </c>
      <c r="I19" s="12">
        <f t="shared" si="0"/>
        <v>3080</v>
      </c>
      <c r="J19" s="11" t="s">
        <v>33</v>
      </c>
      <c r="K19" s="11" t="s">
        <v>33</v>
      </c>
      <c r="L19" s="11" t="s">
        <v>1555</v>
      </c>
      <c r="M19" s="24" t="s">
        <v>340</v>
      </c>
      <c r="N19" s="11"/>
      <c r="O19" s="11"/>
      <c r="P19" s="11"/>
      <c r="Q19" s="11">
        <v>1</v>
      </c>
      <c r="R19" s="5">
        <f>H19</f>
        <v>30</v>
      </c>
    </row>
    <row r="20" spans="1:18" x14ac:dyDescent="0.25">
      <c r="A20" s="11"/>
      <c r="B20" s="11" t="s">
        <v>27</v>
      </c>
      <c r="C20" s="11" t="s">
        <v>948</v>
      </c>
      <c r="D20" s="11" t="s">
        <v>1594</v>
      </c>
      <c r="E20" s="11" t="s">
        <v>1595</v>
      </c>
      <c r="F20" s="12">
        <v>2</v>
      </c>
      <c r="G20" s="12">
        <v>0</v>
      </c>
      <c r="H20" s="12">
        <v>30</v>
      </c>
      <c r="I20" s="12">
        <f t="shared" si="0"/>
        <v>-30</v>
      </c>
      <c r="J20" s="11" t="s">
        <v>33</v>
      </c>
      <c r="K20" s="11" t="s">
        <v>33</v>
      </c>
      <c r="L20" s="11" t="s">
        <v>1555</v>
      </c>
      <c r="M20" s="11"/>
      <c r="N20" s="11"/>
      <c r="O20" s="11"/>
      <c r="P20" s="11"/>
      <c r="Q20" s="11">
        <v>1</v>
      </c>
      <c r="R20" s="5">
        <f>H20</f>
        <v>30</v>
      </c>
    </row>
    <row r="21" spans="1:18" x14ac:dyDescent="0.25">
      <c r="A21" s="11"/>
      <c r="B21" s="11" t="s">
        <v>27</v>
      </c>
      <c r="C21" s="11" t="s">
        <v>1596</v>
      </c>
      <c r="D21" s="11" t="s">
        <v>1597</v>
      </c>
      <c r="E21" s="11" t="s">
        <v>1598</v>
      </c>
      <c r="F21" s="11" t="s">
        <v>68</v>
      </c>
      <c r="G21" s="12">
        <v>515</v>
      </c>
      <c r="H21" s="12">
        <v>25</v>
      </c>
      <c r="I21" s="12">
        <f t="shared" si="0"/>
        <v>490</v>
      </c>
      <c r="J21" s="11" t="s">
        <v>33</v>
      </c>
      <c r="K21" s="11" t="s">
        <v>33</v>
      </c>
      <c r="L21" s="11" t="s">
        <v>1555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236</v>
      </c>
      <c r="D22" s="11" t="s">
        <v>1599</v>
      </c>
      <c r="E22" s="11" t="s">
        <v>238</v>
      </c>
      <c r="F22" s="12">
        <v>12</v>
      </c>
      <c r="G22" s="12">
        <v>0</v>
      </c>
      <c r="H22" s="12">
        <v>30</v>
      </c>
      <c r="I22" s="12">
        <f t="shared" si="0"/>
        <v>-30</v>
      </c>
      <c r="J22" s="11" t="s">
        <v>33</v>
      </c>
      <c r="K22" s="11" t="s">
        <v>33</v>
      </c>
      <c r="L22" s="11" t="s">
        <v>1555</v>
      </c>
      <c r="M22" s="11"/>
      <c r="N22" s="11"/>
      <c r="O22" s="11"/>
      <c r="P22" s="11"/>
      <c r="Q22" s="11">
        <v>1</v>
      </c>
      <c r="R22" s="5">
        <f>H22</f>
        <v>30</v>
      </c>
    </row>
    <row r="23" spans="1:18" x14ac:dyDescent="0.25">
      <c r="A23" s="11"/>
      <c r="B23" s="11" t="s">
        <v>27</v>
      </c>
      <c r="C23" s="11" t="s">
        <v>1600</v>
      </c>
      <c r="D23" s="11" t="s">
        <v>1601</v>
      </c>
      <c r="E23" s="11" t="s">
        <v>238</v>
      </c>
      <c r="F23" s="12">
        <v>12</v>
      </c>
      <c r="G23" s="12">
        <v>0</v>
      </c>
      <c r="H23" s="12">
        <v>30</v>
      </c>
      <c r="I23" s="12">
        <f t="shared" si="0"/>
        <v>-30</v>
      </c>
      <c r="J23" s="11" t="s">
        <v>33</v>
      </c>
      <c r="K23" s="11" t="s">
        <v>33</v>
      </c>
      <c r="L23" s="11" t="s">
        <v>1555</v>
      </c>
      <c r="M23" s="11"/>
      <c r="N23" s="11"/>
      <c r="O23" s="11"/>
      <c r="P23" s="11"/>
      <c r="Q23" s="11">
        <v>1</v>
      </c>
      <c r="R23" s="5">
        <f>H23</f>
        <v>30</v>
      </c>
    </row>
    <row r="24" spans="1:18" x14ac:dyDescent="0.25">
      <c r="A24" s="11"/>
      <c r="B24" s="11" t="s">
        <v>27</v>
      </c>
      <c r="C24" s="11" t="s">
        <v>1602</v>
      </c>
      <c r="D24" s="11" t="s">
        <v>1603</v>
      </c>
      <c r="E24" s="11" t="s">
        <v>1604</v>
      </c>
      <c r="F24" s="11" t="s">
        <v>104</v>
      </c>
      <c r="G24" s="12">
        <v>0</v>
      </c>
      <c r="H24" s="12">
        <v>30</v>
      </c>
      <c r="I24" s="12">
        <f t="shared" si="0"/>
        <v>-30</v>
      </c>
      <c r="J24" s="11" t="s">
        <v>33</v>
      </c>
      <c r="K24" s="11" t="s">
        <v>33</v>
      </c>
      <c r="L24" s="11" t="s">
        <v>1555</v>
      </c>
      <c r="M24" s="11"/>
      <c r="N24" s="11"/>
      <c r="O24" s="11"/>
      <c r="P24" s="11"/>
      <c r="Q24" s="11">
        <v>1</v>
      </c>
      <c r="R24" s="5">
        <f>H24</f>
        <v>30</v>
      </c>
    </row>
    <row r="25" spans="1:18" x14ac:dyDescent="0.25">
      <c r="A25" s="11"/>
      <c r="B25" s="11" t="s">
        <v>27</v>
      </c>
      <c r="C25" s="11" t="s">
        <v>1605</v>
      </c>
      <c r="D25" s="11" t="s">
        <v>1606</v>
      </c>
      <c r="E25" s="11" t="s">
        <v>1607</v>
      </c>
      <c r="F25" s="12">
        <v>2</v>
      </c>
      <c r="G25" s="12">
        <v>720</v>
      </c>
      <c r="H25" s="12">
        <v>30</v>
      </c>
      <c r="I25" s="12">
        <f t="shared" si="0"/>
        <v>690</v>
      </c>
      <c r="J25" s="11" t="s">
        <v>33</v>
      </c>
      <c r="K25" s="11" t="s">
        <v>33</v>
      </c>
      <c r="L25" s="11" t="s">
        <v>1555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1608</v>
      </c>
      <c r="D26" s="11" t="s">
        <v>1609</v>
      </c>
      <c r="E26" s="11" t="s">
        <v>1610</v>
      </c>
      <c r="F26" s="11" t="s">
        <v>68</v>
      </c>
      <c r="G26" s="12">
        <v>835</v>
      </c>
      <c r="H26" s="12">
        <v>25</v>
      </c>
      <c r="I26" s="12">
        <f t="shared" si="0"/>
        <v>810</v>
      </c>
      <c r="J26" s="11" t="s">
        <v>33</v>
      </c>
      <c r="K26" s="11" t="s">
        <v>33</v>
      </c>
      <c r="L26" s="11" t="s">
        <v>1555</v>
      </c>
      <c r="M26" s="11"/>
      <c r="N26" s="11"/>
      <c r="O26" s="11"/>
      <c r="P26" s="11"/>
      <c r="Q26" s="11">
        <v>1</v>
      </c>
    </row>
    <row r="27" spans="1:18" x14ac:dyDescent="0.25">
      <c r="A27" s="11" t="s">
        <v>59</v>
      </c>
      <c r="B27" s="11" t="s">
        <v>27</v>
      </c>
      <c r="C27" s="11" t="s">
        <v>1611</v>
      </c>
      <c r="D27" s="11"/>
      <c r="E27" s="11" t="s">
        <v>1612</v>
      </c>
      <c r="F27" s="12">
        <v>4</v>
      </c>
      <c r="G27" s="12">
        <v>30</v>
      </c>
      <c r="H27" s="12">
        <v>30</v>
      </c>
      <c r="I27" s="12">
        <f t="shared" si="0"/>
        <v>0</v>
      </c>
      <c r="J27" s="11" t="s">
        <v>119</v>
      </c>
      <c r="K27" s="11" t="s">
        <v>33</v>
      </c>
      <c r="L27" s="11" t="s">
        <v>1555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1613</v>
      </c>
      <c r="D28" s="11" t="s">
        <v>1614</v>
      </c>
      <c r="E28" s="11" t="s">
        <v>875</v>
      </c>
      <c r="F28" s="12">
        <v>5</v>
      </c>
      <c r="G28" s="12">
        <v>385</v>
      </c>
      <c r="H28" s="12">
        <v>25</v>
      </c>
      <c r="I28" s="12">
        <f t="shared" si="0"/>
        <v>360</v>
      </c>
      <c r="J28" s="11" t="s">
        <v>119</v>
      </c>
      <c r="K28" s="11" t="s">
        <v>33</v>
      </c>
      <c r="L28" s="11" t="s">
        <v>1555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1615</v>
      </c>
      <c r="D29" s="11" t="s">
        <v>1616</v>
      </c>
      <c r="E29" s="11" t="s">
        <v>1617</v>
      </c>
      <c r="F29" s="12">
        <v>1</v>
      </c>
      <c r="G29" s="12">
        <v>0</v>
      </c>
      <c r="H29" s="12">
        <v>25</v>
      </c>
      <c r="I29" s="12">
        <f t="shared" si="0"/>
        <v>-25</v>
      </c>
      <c r="J29" s="11" t="s">
        <v>119</v>
      </c>
      <c r="K29" s="11" t="s">
        <v>33</v>
      </c>
      <c r="L29" s="11" t="s">
        <v>1555</v>
      </c>
      <c r="M29" s="11"/>
      <c r="N29" s="11"/>
      <c r="O29" s="11"/>
      <c r="P29" s="11"/>
      <c r="Q29" s="11">
        <v>1</v>
      </c>
      <c r="R29" s="5">
        <f>H29</f>
        <v>25</v>
      </c>
    </row>
    <row r="30" spans="1:18" x14ac:dyDescent="0.25">
      <c r="A30" s="11"/>
      <c r="B30" s="11" t="s">
        <v>27</v>
      </c>
      <c r="C30" s="11" t="s">
        <v>1618</v>
      </c>
      <c r="D30" s="11" t="s">
        <v>1619</v>
      </c>
      <c r="E30" s="11" t="s">
        <v>1620</v>
      </c>
      <c r="F30" s="12">
        <v>7</v>
      </c>
      <c r="G30" s="12">
        <v>500</v>
      </c>
      <c r="H30" s="12">
        <v>30</v>
      </c>
      <c r="I30" s="12">
        <f t="shared" si="0"/>
        <v>470</v>
      </c>
      <c r="J30" s="11" t="s">
        <v>119</v>
      </c>
      <c r="K30" s="11" t="s">
        <v>33</v>
      </c>
      <c r="L30" s="11" t="s">
        <v>1555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1621</v>
      </c>
      <c r="D31" s="11" t="s">
        <v>1622</v>
      </c>
      <c r="E31" s="11" t="s">
        <v>576</v>
      </c>
      <c r="F31" s="12">
        <v>5</v>
      </c>
      <c r="G31" s="12">
        <v>0</v>
      </c>
      <c r="H31" s="12">
        <v>25</v>
      </c>
      <c r="I31" s="12">
        <f t="shared" si="0"/>
        <v>-25</v>
      </c>
      <c r="J31" s="11" t="s">
        <v>119</v>
      </c>
      <c r="K31" s="11" t="s">
        <v>33</v>
      </c>
      <c r="L31" s="11" t="s">
        <v>1555</v>
      </c>
      <c r="M31" s="11"/>
      <c r="N31" s="11"/>
      <c r="O31" s="11"/>
      <c r="P31" s="11"/>
      <c r="Q31" s="11">
        <v>1</v>
      </c>
      <c r="R31" s="5">
        <f>H31</f>
        <v>25</v>
      </c>
    </row>
    <row r="32" spans="1:18" x14ac:dyDescent="0.25">
      <c r="A32" s="11"/>
      <c r="B32" s="11" t="s">
        <v>27</v>
      </c>
      <c r="C32" s="11" t="s">
        <v>1623</v>
      </c>
      <c r="D32" s="11" t="s">
        <v>1624</v>
      </c>
      <c r="E32" s="11" t="s">
        <v>1625</v>
      </c>
      <c r="F32" s="12">
        <v>4</v>
      </c>
      <c r="G32" s="12">
        <v>495</v>
      </c>
      <c r="H32" s="12">
        <v>25</v>
      </c>
      <c r="I32" s="12">
        <f t="shared" si="0"/>
        <v>470</v>
      </c>
      <c r="J32" s="11" t="s">
        <v>119</v>
      </c>
      <c r="K32" s="11" t="s">
        <v>33</v>
      </c>
      <c r="L32" s="11" t="s">
        <v>1555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1626</v>
      </c>
      <c r="D33" s="11" t="s">
        <v>1627</v>
      </c>
      <c r="E33" s="11" t="s">
        <v>1628</v>
      </c>
      <c r="F33" s="12">
        <v>8</v>
      </c>
      <c r="G33" s="12">
        <v>850</v>
      </c>
      <c r="H33" s="12">
        <v>30</v>
      </c>
      <c r="I33" s="12">
        <f t="shared" si="0"/>
        <v>820</v>
      </c>
      <c r="J33" s="11" t="s">
        <v>119</v>
      </c>
      <c r="K33" s="11" t="s">
        <v>33</v>
      </c>
      <c r="L33" s="11" t="s">
        <v>1555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1629</v>
      </c>
      <c r="D34" s="11" t="s">
        <v>1630</v>
      </c>
      <c r="E34" s="11" t="s">
        <v>1631</v>
      </c>
      <c r="F34" s="12">
        <v>4</v>
      </c>
      <c r="G34" s="12">
        <v>385</v>
      </c>
      <c r="H34" s="12">
        <v>25</v>
      </c>
      <c r="I34" s="12">
        <f t="shared" si="0"/>
        <v>360</v>
      </c>
      <c r="J34" s="11" t="s">
        <v>119</v>
      </c>
      <c r="K34" s="11" t="s">
        <v>33</v>
      </c>
      <c r="L34" s="11" t="s">
        <v>1555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203</v>
      </c>
      <c r="D35" s="11" t="s">
        <v>1632</v>
      </c>
      <c r="E35" s="11" t="s">
        <v>678</v>
      </c>
      <c r="F35" s="12">
        <v>7</v>
      </c>
      <c r="G35" s="12">
        <v>520</v>
      </c>
      <c r="H35" s="12">
        <v>30</v>
      </c>
      <c r="I35" s="12">
        <f t="shared" si="0"/>
        <v>490</v>
      </c>
      <c r="J35" s="11" t="s">
        <v>119</v>
      </c>
      <c r="K35" s="11" t="s">
        <v>33</v>
      </c>
      <c r="L35" s="11" t="s">
        <v>1555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287</v>
      </c>
      <c r="D36" s="11" t="s">
        <v>1633</v>
      </c>
      <c r="E36" s="11" t="s">
        <v>289</v>
      </c>
      <c r="F36" s="11" t="s">
        <v>44</v>
      </c>
      <c r="G36" s="12">
        <v>835</v>
      </c>
      <c r="H36" s="12">
        <v>25</v>
      </c>
      <c r="I36" s="12">
        <f t="shared" si="0"/>
        <v>810</v>
      </c>
      <c r="J36" s="11" t="s">
        <v>119</v>
      </c>
      <c r="K36" s="11" t="s">
        <v>33</v>
      </c>
      <c r="L36" s="11" t="s">
        <v>1555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1634</v>
      </c>
      <c r="D37" s="11" t="s">
        <v>1635</v>
      </c>
      <c r="E37" s="11" t="s">
        <v>1636</v>
      </c>
      <c r="F37" s="11" t="s">
        <v>44</v>
      </c>
      <c r="G37" s="12">
        <v>515</v>
      </c>
      <c r="H37" s="12">
        <v>25</v>
      </c>
      <c r="I37" s="12">
        <f t="shared" si="0"/>
        <v>490</v>
      </c>
      <c r="J37" s="11" t="s">
        <v>119</v>
      </c>
      <c r="K37" s="11" t="s">
        <v>33</v>
      </c>
      <c r="L37" s="11" t="s">
        <v>1555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1637</v>
      </c>
      <c r="D38" s="11" t="s">
        <v>1638</v>
      </c>
      <c r="E38" s="11" t="s">
        <v>1639</v>
      </c>
      <c r="F38" s="12">
        <v>11</v>
      </c>
      <c r="G38" s="12">
        <v>0</v>
      </c>
      <c r="H38" s="12">
        <v>25</v>
      </c>
      <c r="I38" s="12">
        <f t="shared" si="0"/>
        <v>-25</v>
      </c>
      <c r="J38" s="11" t="s">
        <v>119</v>
      </c>
      <c r="K38" s="11" t="s">
        <v>33</v>
      </c>
      <c r="L38" s="11" t="s">
        <v>1555</v>
      </c>
      <c r="M38" s="11"/>
      <c r="N38" s="11"/>
      <c r="O38" s="11"/>
      <c r="P38" s="11"/>
      <c r="Q38" s="11">
        <v>1</v>
      </c>
      <c r="R38" s="5">
        <f>H38</f>
        <v>25</v>
      </c>
    </row>
    <row r="39" spans="1:18" x14ac:dyDescent="0.25">
      <c r="A39" s="11"/>
      <c r="B39" s="11" t="s">
        <v>27</v>
      </c>
      <c r="C39" s="11" t="s">
        <v>1640</v>
      </c>
      <c r="D39" s="11" t="s">
        <v>1641</v>
      </c>
      <c r="E39" s="11" t="s">
        <v>1642</v>
      </c>
      <c r="F39" s="12">
        <v>1</v>
      </c>
      <c r="G39" s="12">
        <v>0</v>
      </c>
      <c r="H39" s="12">
        <v>25</v>
      </c>
      <c r="I39" s="12">
        <f t="shared" si="0"/>
        <v>-25</v>
      </c>
      <c r="J39" s="11" t="s">
        <v>119</v>
      </c>
      <c r="K39" s="11" t="s">
        <v>33</v>
      </c>
      <c r="L39" s="11" t="s">
        <v>1555</v>
      </c>
      <c r="M39" s="11"/>
      <c r="N39" s="11"/>
      <c r="O39" s="11"/>
      <c r="P39" s="11"/>
      <c r="Q39" s="11">
        <v>1</v>
      </c>
      <c r="R39" s="5">
        <f>H39</f>
        <v>25</v>
      </c>
    </row>
    <row r="40" spans="1:18" x14ac:dyDescent="0.25">
      <c r="A40" s="11"/>
      <c r="B40" s="11" t="s">
        <v>27</v>
      </c>
      <c r="C40" s="11" t="s">
        <v>1643</v>
      </c>
      <c r="D40" s="11" t="s">
        <v>1644</v>
      </c>
      <c r="E40" s="11" t="s">
        <v>1645</v>
      </c>
      <c r="F40" s="12">
        <v>10</v>
      </c>
      <c r="G40" s="12">
        <v>915</v>
      </c>
      <c r="H40" s="12">
        <v>25</v>
      </c>
      <c r="I40" s="12">
        <f t="shared" si="0"/>
        <v>890</v>
      </c>
      <c r="J40" s="11" t="s">
        <v>119</v>
      </c>
      <c r="K40" s="11" t="s">
        <v>33</v>
      </c>
      <c r="L40" s="11" t="s">
        <v>1555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1646</v>
      </c>
      <c r="D41" s="11" t="s">
        <v>1647</v>
      </c>
      <c r="E41" s="11" t="s">
        <v>1648</v>
      </c>
      <c r="F41" s="11" t="s">
        <v>118</v>
      </c>
      <c r="G41" s="12">
        <v>0</v>
      </c>
      <c r="H41" s="12">
        <v>20</v>
      </c>
      <c r="I41" s="12">
        <f t="shared" si="0"/>
        <v>-20</v>
      </c>
      <c r="J41" s="11" t="s">
        <v>119</v>
      </c>
      <c r="K41" s="11" t="s">
        <v>33</v>
      </c>
      <c r="L41" s="11" t="s">
        <v>1555</v>
      </c>
      <c r="M41" s="11"/>
      <c r="N41" s="11"/>
      <c r="O41" s="11"/>
      <c r="P41" s="11"/>
      <c r="Q41" s="11">
        <v>1</v>
      </c>
      <c r="R41" s="5">
        <f>H41</f>
        <v>20</v>
      </c>
    </row>
    <row r="42" spans="1:18" x14ac:dyDescent="0.25">
      <c r="A42" s="11"/>
      <c r="B42" s="11" t="s">
        <v>27</v>
      </c>
      <c r="C42" s="11" t="s">
        <v>1408</v>
      </c>
      <c r="D42" s="11" t="s">
        <v>1649</v>
      </c>
      <c r="E42" s="11" t="s">
        <v>1650</v>
      </c>
      <c r="F42" s="12">
        <v>1</v>
      </c>
      <c r="G42" s="12">
        <v>0</v>
      </c>
      <c r="H42" s="12">
        <v>25</v>
      </c>
      <c r="I42" s="12">
        <f t="shared" si="0"/>
        <v>-25</v>
      </c>
      <c r="J42" s="11" t="s">
        <v>119</v>
      </c>
      <c r="K42" s="11" t="s">
        <v>33</v>
      </c>
      <c r="L42" s="11" t="s">
        <v>1555</v>
      </c>
      <c r="M42" s="11"/>
      <c r="N42" s="11"/>
      <c r="O42" s="11"/>
      <c r="P42" s="11"/>
      <c r="Q42" s="11">
        <v>1</v>
      </c>
      <c r="R42" s="5">
        <f>H42</f>
        <v>25</v>
      </c>
    </row>
    <row r="43" spans="1:18" x14ac:dyDescent="0.25">
      <c r="A43" s="11"/>
      <c r="B43" s="11" t="s">
        <v>27</v>
      </c>
      <c r="C43" s="11" t="s">
        <v>769</v>
      </c>
      <c r="D43" s="11" t="s">
        <v>1651</v>
      </c>
      <c r="E43" s="11" t="s">
        <v>771</v>
      </c>
      <c r="F43" s="12">
        <v>3</v>
      </c>
      <c r="G43" s="12">
        <v>495</v>
      </c>
      <c r="H43" s="12">
        <v>25</v>
      </c>
      <c r="I43" s="12">
        <f t="shared" si="0"/>
        <v>470</v>
      </c>
      <c r="J43" s="11" t="s">
        <v>119</v>
      </c>
      <c r="K43" s="11" t="s">
        <v>33</v>
      </c>
      <c r="L43" s="11" t="s">
        <v>1555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1652</v>
      </c>
      <c r="D44" s="11" t="s">
        <v>1653</v>
      </c>
      <c r="E44" s="11" t="s">
        <v>1654</v>
      </c>
      <c r="F44" s="12">
        <v>7</v>
      </c>
      <c r="G44" s="12">
        <v>0</v>
      </c>
      <c r="H44" s="12">
        <v>30</v>
      </c>
      <c r="I44" s="12">
        <f t="shared" si="0"/>
        <v>-30</v>
      </c>
      <c r="J44" s="11" t="s">
        <v>119</v>
      </c>
      <c r="K44" s="11" t="s">
        <v>33</v>
      </c>
      <c r="L44" s="11" t="s">
        <v>1555</v>
      </c>
      <c r="M44" s="24" t="s">
        <v>1655</v>
      </c>
      <c r="N44" s="11"/>
      <c r="O44" s="11"/>
      <c r="P44" s="11"/>
      <c r="Q44" s="11">
        <v>1</v>
      </c>
      <c r="R44" s="5">
        <f>H44</f>
        <v>30</v>
      </c>
    </row>
    <row r="45" spans="1:18" s="2" customFormat="1" x14ac:dyDescent="0.25">
      <c r="A45" s="16"/>
      <c r="B45" s="16" t="s">
        <v>27</v>
      </c>
      <c r="C45" s="16" t="s">
        <v>1288</v>
      </c>
      <c r="D45" s="16" t="s">
        <v>1289</v>
      </c>
      <c r="E45" s="16" t="s">
        <v>1290</v>
      </c>
      <c r="F45" s="17">
        <v>7</v>
      </c>
      <c r="G45" s="17">
        <v>1800</v>
      </c>
      <c r="H45" s="17">
        <v>30</v>
      </c>
      <c r="I45" s="17">
        <f t="shared" si="0"/>
        <v>1770</v>
      </c>
      <c r="J45" s="16" t="s">
        <v>153</v>
      </c>
      <c r="K45" s="16" t="s">
        <v>33</v>
      </c>
      <c r="L45" s="16" t="s">
        <v>1177</v>
      </c>
      <c r="M45" s="16" t="s">
        <v>155</v>
      </c>
      <c r="N45" s="16" t="s">
        <v>156</v>
      </c>
      <c r="O45" s="16" t="s">
        <v>156</v>
      </c>
      <c r="P45" s="16" t="s">
        <v>157</v>
      </c>
      <c r="Q45" s="16">
        <v>1</v>
      </c>
    </row>
    <row r="47" spans="1:18" x14ac:dyDescent="0.25">
      <c r="D47" s="1">
        <f>COUNTA(D3:D45)</f>
        <v>39</v>
      </c>
      <c r="G47" s="1">
        <f t="shared" ref="G47:Q47" si="1">SUBTOTAL(9,G3:G45)</f>
        <v>25760</v>
      </c>
      <c r="H47" s="1">
        <f t="shared" si="1"/>
        <v>1225</v>
      </c>
      <c r="I47" s="1">
        <f t="shared" si="1"/>
        <v>24535</v>
      </c>
      <c r="J47" s="1">
        <f t="shared" si="1"/>
        <v>0</v>
      </c>
      <c r="K47" s="1">
        <f t="shared" si="1"/>
        <v>0</v>
      </c>
      <c r="L47" s="1">
        <f t="shared" si="1"/>
        <v>0</v>
      </c>
      <c r="M47" s="1">
        <f t="shared" si="1"/>
        <v>0</v>
      </c>
      <c r="N47" s="1">
        <f t="shared" si="1"/>
        <v>0</v>
      </c>
      <c r="O47" s="1">
        <f t="shared" si="1"/>
        <v>0</v>
      </c>
      <c r="P47" s="1">
        <f t="shared" si="1"/>
        <v>0</v>
      </c>
      <c r="Q47" s="1">
        <f t="shared" si="1"/>
        <v>43</v>
      </c>
    </row>
    <row r="48" spans="1:18" x14ac:dyDescent="0.25">
      <c r="H48">
        <f>-1*17</f>
        <v>-17</v>
      </c>
    </row>
    <row r="49" spans="1:16" x14ac:dyDescent="0.25">
      <c r="A49" s="1" t="s">
        <v>27</v>
      </c>
      <c r="C49" s="60" t="s">
        <v>158</v>
      </c>
      <c r="D49" s="60"/>
      <c r="E49" s="4" t="s">
        <v>159</v>
      </c>
      <c r="H49">
        <f>-8*25</f>
        <v>-200</v>
      </c>
      <c r="K49" s="6" t="s">
        <v>33</v>
      </c>
      <c r="L49" s="6" t="s">
        <v>160</v>
      </c>
      <c r="M49" s="6" t="s">
        <v>159</v>
      </c>
      <c r="O49" s="4" t="s">
        <v>161</v>
      </c>
    </row>
    <row r="50" spans="1:16" x14ac:dyDescent="0.25">
      <c r="A50" t="s">
        <v>1555</v>
      </c>
      <c r="B50" s="3" t="s">
        <v>162</v>
      </c>
      <c r="C50" s="61">
        <f>SUMIFS(I$3:I$45,B$3:B$45,A$49,L$3:L$45,A$50)</f>
        <v>22765</v>
      </c>
      <c r="D50" s="61"/>
      <c r="E50" s="3">
        <f>SUMIFS(Q$3:Q$45,B$3:B$45,A$49,L$3:L$45,A$50)</f>
        <v>42</v>
      </c>
      <c r="F50" t="s">
        <v>163</v>
      </c>
      <c r="H50">
        <f>-2*30</f>
        <v>-60</v>
      </c>
      <c r="K50" t="s">
        <v>164</v>
      </c>
      <c r="L50">
        <f>SUMIFS(G$3:G$45,J$3:J$45,K$49)</f>
        <v>8350</v>
      </c>
      <c r="M50">
        <f>SUMIFS(Q$3:Q$45,J$3:J$45,K$49)-INT(COUNTIFS(J$3:J$45,K$49,M$3:M$45,"*gộp*")/2)</f>
        <v>13</v>
      </c>
      <c r="O50" t="s">
        <v>33</v>
      </c>
      <c r="P50">
        <f>L55</f>
        <v>7943</v>
      </c>
    </row>
    <row r="51" spans="1:16" x14ac:dyDescent="0.25">
      <c r="B51" s="2" t="s">
        <v>166</v>
      </c>
      <c r="C51" s="62">
        <v>0</v>
      </c>
      <c r="D51" s="62"/>
      <c r="K51" t="s">
        <v>167</v>
      </c>
      <c r="L51">
        <f>-SUMIFS(H$3:H$45,J$3:J$45,K$49)+M51*5</f>
        <v>-325</v>
      </c>
      <c r="M51">
        <f>SUMIFS(Q$3:Q$45,J$3:J$45,K$49)-INT(COUNTIFS(J$3:J$45,K$49,M$3:M$45,"*gộp*")/2)</f>
        <v>13</v>
      </c>
      <c r="O51" t="s">
        <v>119</v>
      </c>
      <c r="P51">
        <f>L63</f>
        <v>3770</v>
      </c>
    </row>
    <row r="52" spans="1:16" x14ac:dyDescent="0.25">
      <c r="B52" s="2" t="s">
        <v>168</v>
      </c>
      <c r="C52" s="62">
        <f>-SUMIFS(I$3:I$45,B$3:B$45,A$49,P$3:P$45,"xx",N$3:N$45,"x")</f>
        <v>-1770</v>
      </c>
      <c r="D52" s="62"/>
      <c r="E52" s="2">
        <f>SUMIFS(Q$3:Q$45,B$3:B$45,A$49,P$3:P$45,"xx",N$3:N$45,"x")</f>
        <v>1</v>
      </c>
      <c r="K52" t="s">
        <v>169</v>
      </c>
      <c r="L52">
        <f>-M52*2</f>
        <v>-82</v>
      </c>
      <c r="M52">
        <f>COUNTIFS(K$3:K$45,K$49,L$3:L$45,A$50)-(COUNTIFS(K$3:K$45,K$49,M$3:M$45,"*gộp*")/2)-COUNTIFS(K$3:K$45,K$49,M$3:M$45,"*đơn trả*")-COUNTIFS(K$3:K$45,K$49,M$3:M$45,"*hàng tỉnh*")</f>
        <v>41</v>
      </c>
      <c r="O52" t="s">
        <v>1656</v>
      </c>
      <c r="P52">
        <f>L71</f>
        <v>8318</v>
      </c>
    </row>
    <row r="53" spans="1:16" x14ac:dyDescent="0.25">
      <c r="B53" s="4" t="s">
        <v>170</v>
      </c>
      <c r="C53" s="60">
        <f>SUBTOTAL(9,C50:C52)</f>
        <v>20995</v>
      </c>
      <c r="D53" s="60"/>
      <c r="E53">
        <f>E50</f>
        <v>42</v>
      </c>
      <c r="K53" s="7" t="s">
        <v>155</v>
      </c>
      <c r="O53" t="s">
        <v>171</v>
      </c>
      <c r="P53">
        <f>-C57</f>
        <v>-20995</v>
      </c>
    </row>
    <row r="54" spans="1:16" x14ac:dyDescent="0.25">
      <c r="B54" s="2" t="s">
        <v>172</v>
      </c>
      <c r="C54" s="58"/>
      <c r="D54" s="58"/>
      <c r="K54" s="2" t="s">
        <v>173</v>
      </c>
      <c r="O54" s="4" t="s">
        <v>174</v>
      </c>
      <c r="P54" s="4">
        <f>SUBTOTAL(9,P50:P53)</f>
        <v>-964</v>
      </c>
    </row>
    <row r="55" spans="1:16" x14ac:dyDescent="0.25">
      <c r="B55" s="8" t="s">
        <v>175</v>
      </c>
      <c r="C55" s="58"/>
      <c r="D55" s="58"/>
      <c r="L55" s="9">
        <f>SUBTOTAL(9,L50:L54)</f>
        <v>7943</v>
      </c>
      <c r="M55" s="9">
        <f>M50</f>
        <v>13</v>
      </c>
    </row>
    <row r="57" spans="1:16" x14ac:dyDescent="0.25">
      <c r="B57" s="1" t="s">
        <v>176</v>
      </c>
      <c r="C57" s="59">
        <f>C53+C54+C55</f>
        <v>20995</v>
      </c>
      <c r="D57" s="59"/>
      <c r="E57" s="1" t="s">
        <v>177</v>
      </c>
      <c r="K57" s="6" t="s">
        <v>119</v>
      </c>
      <c r="L57" s="6" t="s">
        <v>160</v>
      </c>
      <c r="M57" s="6" t="s">
        <v>159</v>
      </c>
    </row>
    <row r="58" spans="1:16" x14ac:dyDescent="0.25">
      <c r="K58" t="s">
        <v>164</v>
      </c>
      <c r="L58">
        <f>SUMIFS(G$3:G$45,J$3:J$45,K$57)</f>
        <v>5925</v>
      </c>
      <c r="M58">
        <f>SUMIFS(Q$3:Q$45,J$3:J$45,K$57)-INT(COUNTIFS(J$3:J$45,K$57,M$3:M$45,"*gộp*")/2)</f>
        <v>18</v>
      </c>
    </row>
    <row r="59" spans="1:16" x14ac:dyDescent="0.25">
      <c r="K59" t="s">
        <v>167</v>
      </c>
      <c r="L59">
        <f>-SUMIFS(H$3:H$45,J$3:J$45,K$57)+M59*5</f>
        <v>-380</v>
      </c>
      <c r="M59">
        <f>SUMIFS(Q$3:Q$45,J$3:J$45,K$57)-INT(COUNTIFS(J$3:J$45,K$57,M$3:M$45,"*gộp*")/2)</f>
        <v>18</v>
      </c>
    </row>
    <row r="60" spans="1:16" x14ac:dyDescent="0.25">
      <c r="K60" t="s">
        <v>169</v>
      </c>
      <c r="L60">
        <f>-M60*2</f>
        <v>0</v>
      </c>
      <c r="M60">
        <f>COUNTIFS(K$3:K$45,K$57,L$3:L$45,A$50)-(COUNTIFS(K$3:K$45,K$57,M$3:M$45,"*gộp*")/2)-COUNTIFS(K$3:K$45,K$57,M$3:M$45,"*đơn trả*")-COUNTIFS(K$3:K$45,K$57,M$3:M$45,"*hàng tỉnh*")</f>
        <v>0</v>
      </c>
    </row>
    <row r="61" spans="1:16" x14ac:dyDescent="0.25">
      <c r="K61" s="7" t="s">
        <v>155</v>
      </c>
      <c r="L61" s="18">
        <v>-1775</v>
      </c>
      <c r="M61" s="18" t="s">
        <v>178</v>
      </c>
    </row>
    <row r="62" spans="1:16" x14ac:dyDescent="0.25">
      <c r="K62" s="2" t="s">
        <v>173</v>
      </c>
    </row>
    <row r="63" spans="1:16" x14ac:dyDescent="0.25">
      <c r="L63" s="9">
        <f>SUBTOTAL(9,L58:L62)</f>
        <v>3770</v>
      </c>
      <c r="M63" s="9">
        <f>M58</f>
        <v>18</v>
      </c>
    </row>
    <row r="65" spans="11:13" x14ac:dyDescent="0.25">
      <c r="K65" s="6" t="s">
        <v>1554</v>
      </c>
      <c r="L65" s="6" t="s">
        <v>160</v>
      </c>
      <c r="M65" s="6" t="s">
        <v>159</v>
      </c>
    </row>
    <row r="66" spans="11:13" x14ac:dyDescent="0.25">
      <c r="K66" t="s">
        <v>164</v>
      </c>
      <c r="L66">
        <f>SUMIFS(G$3:G$45,J$3:J$45,K$65)</f>
        <v>9685</v>
      </c>
      <c r="M66">
        <f>SUMIFS(Q$3:Q$45,J$3:J$45,K$65)-INT(COUNTIFS(J$3:J$45,K$65,M$3:M$45,"*gộp*")/2)</f>
        <v>11</v>
      </c>
    </row>
    <row r="67" spans="11:13" x14ac:dyDescent="0.25">
      <c r="K67" t="s">
        <v>167</v>
      </c>
      <c r="L67">
        <f>SUM(H48:H50)</f>
        <v>-277</v>
      </c>
      <c r="M67">
        <f>SUMIFS(Q$3:Q$45,J$3:J$45,K$65)-INT(COUNTIFS(J$3:J$45,K$65,M$3:M$45,"*gộp*")/2)</f>
        <v>11</v>
      </c>
    </row>
    <row r="68" spans="11:13" x14ac:dyDescent="0.25">
      <c r="K68" t="s">
        <v>169</v>
      </c>
      <c r="L68">
        <f>-M68*2</f>
        <v>0</v>
      </c>
      <c r="M68">
        <f>COUNTIFS(K$3:K$45,K$65,L$3:L$45,A$50)-(COUNTIFS(K$3:K$45,K$65,M$3:M$45,"*gộp*")/2)-COUNTIFS(K$3:K$45,K$65,M$3:M$45,"*đơn trả*")-COUNTIFS(K$3:K$45,K$65,M$3:M$45,"*hàng tỉnh*")</f>
        <v>0</v>
      </c>
    </row>
    <row r="69" spans="11:13" x14ac:dyDescent="0.25">
      <c r="K69" s="7" t="s">
        <v>155</v>
      </c>
    </row>
    <row r="70" spans="11:13" x14ac:dyDescent="0.25">
      <c r="K70" s="2" t="s">
        <v>173</v>
      </c>
      <c r="L70" s="18">
        <v>-1090</v>
      </c>
      <c r="M70" s="18" t="s">
        <v>178</v>
      </c>
    </row>
    <row r="71" spans="11:13" x14ac:dyDescent="0.25">
      <c r="L71" s="9">
        <f>SUBTOTAL(9,L66:L70)</f>
        <v>8318</v>
      </c>
      <c r="M71" s="9">
        <f>M66</f>
        <v>11</v>
      </c>
    </row>
  </sheetData>
  <autoFilter ref="A2:P45" xr:uid="{00000000-0009-0000-0000-000011000000}">
    <sortState xmlns:xlrd2="http://schemas.microsoft.com/office/spreadsheetml/2017/richdata2" ref="A3:P45">
      <sortCondition ref="J2:J45"/>
    </sortState>
  </autoFilter>
  <mergeCells count="8">
    <mergeCell ref="C54:D54"/>
    <mergeCell ref="C55:D55"/>
    <mergeCell ref="C57:D57"/>
    <mergeCell ref="C49:D49"/>
    <mergeCell ref="C50:D50"/>
    <mergeCell ref="C51:D51"/>
    <mergeCell ref="C52:D52"/>
    <mergeCell ref="C53:D53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R65"/>
  <sheetViews>
    <sheetView topLeftCell="A43" workbookViewId="0">
      <selection activeCell="H71" sqref="H71"/>
    </sheetView>
  </sheetViews>
  <sheetFormatPr defaultRowHeight="15" x14ac:dyDescent="0.25"/>
  <cols>
    <col min="1" max="1" width="12.7109375" customWidth="1"/>
    <col min="2" max="2" width="8.5703125" customWidth="1"/>
    <col min="3" max="3" width="28.28515625" customWidth="1"/>
    <col min="4" max="4" width="9.85546875" customWidth="1"/>
    <col min="5" max="5" width="60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9.5703125" bestFit="1" customWidth="1"/>
    <col min="12" max="12" width="10.42578125" customWidth="1"/>
    <col min="13" max="13" width="19.570312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s="15" customFormat="1" x14ac:dyDescent="0.25">
      <c r="A3" s="13"/>
      <c r="B3" s="13" t="s">
        <v>27</v>
      </c>
      <c r="C3" s="13" t="s">
        <v>1562</v>
      </c>
      <c r="D3" s="13" t="s">
        <v>1657</v>
      </c>
      <c r="E3" s="13" t="s">
        <v>1658</v>
      </c>
      <c r="F3" s="13" t="s">
        <v>48</v>
      </c>
      <c r="G3" s="14">
        <v>0</v>
      </c>
      <c r="H3" s="14">
        <v>30</v>
      </c>
      <c r="I3" s="14">
        <f t="shared" ref="I3:I38" si="0">G3-H3</f>
        <v>-30</v>
      </c>
      <c r="J3" s="13" t="s">
        <v>1659</v>
      </c>
      <c r="K3" s="13" t="s">
        <v>33</v>
      </c>
      <c r="L3" s="13" t="s">
        <v>1660</v>
      </c>
      <c r="M3" s="13" t="s">
        <v>100</v>
      </c>
      <c r="N3" s="13"/>
      <c r="O3" s="13"/>
      <c r="P3" s="13"/>
      <c r="Q3" s="13">
        <v>1</v>
      </c>
      <c r="R3" s="19">
        <f>H3</f>
        <v>30</v>
      </c>
    </row>
    <row r="4" spans="1:18" x14ac:dyDescent="0.25">
      <c r="A4" s="11"/>
      <c r="B4" s="11" t="s">
        <v>27</v>
      </c>
      <c r="C4" s="11" t="s">
        <v>1661</v>
      </c>
      <c r="D4" s="11" t="s">
        <v>1662</v>
      </c>
      <c r="E4" s="11" t="s">
        <v>1663</v>
      </c>
      <c r="F4" s="11" t="s">
        <v>48</v>
      </c>
      <c r="G4" s="12">
        <v>0</v>
      </c>
      <c r="H4" s="12">
        <v>30</v>
      </c>
      <c r="I4" s="12">
        <f t="shared" si="0"/>
        <v>-30</v>
      </c>
      <c r="J4" s="11" t="s">
        <v>1659</v>
      </c>
      <c r="K4" s="11" t="s">
        <v>33</v>
      </c>
      <c r="L4" s="11" t="s">
        <v>1660</v>
      </c>
      <c r="M4" s="11"/>
      <c r="N4" s="11"/>
      <c r="O4" s="11"/>
      <c r="P4" s="11"/>
      <c r="Q4" s="11">
        <v>1</v>
      </c>
      <c r="R4" s="5">
        <f>H4</f>
        <v>30</v>
      </c>
    </row>
    <row r="5" spans="1:18" x14ac:dyDescent="0.25">
      <c r="A5" s="11"/>
      <c r="B5" s="11" t="s">
        <v>27</v>
      </c>
      <c r="C5" s="11" t="s">
        <v>1664</v>
      </c>
      <c r="D5" s="11" t="s">
        <v>1665</v>
      </c>
      <c r="E5" s="11" t="s">
        <v>1666</v>
      </c>
      <c r="F5" s="11" t="s">
        <v>55</v>
      </c>
      <c r="G5" s="12">
        <v>0</v>
      </c>
      <c r="H5" s="12">
        <v>35</v>
      </c>
      <c r="I5" s="12">
        <f t="shared" si="0"/>
        <v>-35</v>
      </c>
      <c r="J5" s="11" t="s">
        <v>1659</v>
      </c>
      <c r="K5" s="11" t="s">
        <v>33</v>
      </c>
      <c r="L5" s="11" t="s">
        <v>1660</v>
      </c>
      <c r="M5" s="11"/>
      <c r="N5" s="11"/>
      <c r="O5" s="11"/>
      <c r="P5" s="11"/>
      <c r="Q5" s="11">
        <v>1</v>
      </c>
      <c r="R5" s="5">
        <f>H5</f>
        <v>35</v>
      </c>
    </row>
    <row r="6" spans="1:18" x14ac:dyDescent="0.25">
      <c r="A6" s="11"/>
      <c r="B6" s="11" t="s">
        <v>27</v>
      </c>
      <c r="C6" s="11" t="s">
        <v>1667</v>
      </c>
      <c r="D6" s="11" t="s">
        <v>1668</v>
      </c>
      <c r="E6" s="11" t="s">
        <v>1669</v>
      </c>
      <c r="F6" s="11" t="s">
        <v>48</v>
      </c>
      <c r="G6" s="12">
        <v>0</v>
      </c>
      <c r="H6" s="12">
        <v>30</v>
      </c>
      <c r="I6" s="12">
        <f t="shared" si="0"/>
        <v>-30</v>
      </c>
      <c r="J6" s="11" t="s">
        <v>1659</v>
      </c>
      <c r="K6" s="11" t="s">
        <v>33</v>
      </c>
      <c r="L6" s="11" t="s">
        <v>1660</v>
      </c>
      <c r="M6" s="11"/>
      <c r="N6" s="11"/>
      <c r="O6" s="11"/>
      <c r="P6" s="11"/>
      <c r="Q6" s="11">
        <v>1</v>
      </c>
      <c r="R6" s="5">
        <f>H6</f>
        <v>30</v>
      </c>
    </row>
    <row r="7" spans="1:18" x14ac:dyDescent="0.25">
      <c r="A7" s="11"/>
      <c r="B7" s="11" t="s">
        <v>27</v>
      </c>
      <c r="C7" s="11" t="s">
        <v>1670</v>
      </c>
      <c r="D7" s="11" t="s">
        <v>1671</v>
      </c>
      <c r="E7" s="11" t="s">
        <v>1672</v>
      </c>
      <c r="F7" s="12">
        <v>9</v>
      </c>
      <c r="G7" s="12">
        <v>0</v>
      </c>
      <c r="H7" s="12">
        <v>30</v>
      </c>
      <c r="I7" s="12">
        <f t="shared" si="0"/>
        <v>-30</v>
      </c>
      <c r="J7" s="11" t="s">
        <v>1659</v>
      </c>
      <c r="K7" s="11" t="s">
        <v>33</v>
      </c>
      <c r="L7" s="11" t="s">
        <v>1660</v>
      </c>
      <c r="M7" s="24" t="s">
        <v>1673</v>
      </c>
      <c r="N7" s="11"/>
      <c r="O7" s="11"/>
      <c r="P7" s="11"/>
      <c r="Q7" s="11">
        <v>1</v>
      </c>
      <c r="R7" s="5">
        <f>H7</f>
        <v>30</v>
      </c>
    </row>
    <row r="8" spans="1:18" x14ac:dyDescent="0.25">
      <c r="A8" s="11"/>
      <c r="B8" s="11" t="s">
        <v>27</v>
      </c>
      <c r="C8" s="11" t="s">
        <v>1674</v>
      </c>
      <c r="D8" s="11" t="s">
        <v>1675</v>
      </c>
      <c r="E8" s="11" t="s">
        <v>1676</v>
      </c>
      <c r="F8" s="11" t="s">
        <v>55</v>
      </c>
      <c r="G8" s="12">
        <v>815</v>
      </c>
      <c r="H8" s="12">
        <v>35</v>
      </c>
      <c r="I8" s="12">
        <f t="shared" si="0"/>
        <v>780</v>
      </c>
      <c r="J8" s="11" t="s">
        <v>1659</v>
      </c>
      <c r="K8" s="11" t="s">
        <v>33</v>
      </c>
      <c r="L8" s="11" t="s">
        <v>1660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1677</v>
      </c>
      <c r="D9" s="11" t="s">
        <v>1678</v>
      </c>
      <c r="E9" s="11" t="s">
        <v>781</v>
      </c>
      <c r="F9" s="11" t="s">
        <v>48</v>
      </c>
      <c r="G9" s="12">
        <v>2160</v>
      </c>
      <c r="H9" s="12">
        <v>35</v>
      </c>
      <c r="I9" s="12">
        <f t="shared" si="0"/>
        <v>2125</v>
      </c>
      <c r="J9" s="11" t="s">
        <v>1659</v>
      </c>
      <c r="K9" s="11" t="s">
        <v>33</v>
      </c>
      <c r="L9" s="11" t="s">
        <v>1660</v>
      </c>
      <c r="M9" s="24" t="s">
        <v>340</v>
      </c>
      <c r="N9" s="11"/>
      <c r="O9" s="11"/>
      <c r="P9" s="11"/>
      <c r="Q9" s="11">
        <v>1</v>
      </c>
      <c r="R9" s="5">
        <f>H9</f>
        <v>35</v>
      </c>
    </row>
    <row r="10" spans="1:18" x14ac:dyDescent="0.25">
      <c r="A10" s="11"/>
      <c r="B10" s="11" t="s">
        <v>27</v>
      </c>
      <c r="C10" s="11" t="s">
        <v>1679</v>
      </c>
      <c r="D10" s="11" t="s">
        <v>1680</v>
      </c>
      <c r="E10" s="11" t="s">
        <v>1681</v>
      </c>
      <c r="F10" s="11" t="s">
        <v>48</v>
      </c>
      <c r="G10" s="12">
        <v>1070</v>
      </c>
      <c r="H10" s="12">
        <v>30</v>
      </c>
      <c r="I10" s="12">
        <f t="shared" si="0"/>
        <v>1040</v>
      </c>
      <c r="J10" s="11" t="s">
        <v>1659</v>
      </c>
      <c r="K10" s="11" t="s">
        <v>33</v>
      </c>
      <c r="L10" s="11" t="s">
        <v>1660</v>
      </c>
      <c r="M10" s="11"/>
      <c r="N10" s="11"/>
      <c r="O10" s="11"/>
      <c r="P10" s="11"/>
      <c r="Q10" s="11">
        <v>1</v>
      </c>
    </row>
    <row r="11" spans="1:18" x14ac:dyDescent="0.25">
      <c r="A11" s="11" t="s">
        <v>59</v>
      </c>
      <c r="B11" s="11" t="s">
        <v>27</v>
      </c>
      <c r="C11" s="11" t="s">
        <v>1446</v>
      </c>
      <c r="D11" s="11"/>
      <c r="E11" s="11" t="s">
        <v>1447</v>
      </c>
      <c r="F11" s="11" t="s">
        <v>48</v>
      </c>
      <c r="G11" s="12">
        <v>0</v>
      </c>
      <c r="H11" s="12">
        <v>35</v>
      </c>
      <c r="I11" s="12">
        <f t="shared" si="0"/>
        <v>-35</v>
      </c>
      <c r="J11" s="11" t="s">
        <v>1659</v>
      </c>
      <c r="K11" s="11" t="s">
        <v>33</v>
      </c>
      <c r="L11" s="11" t="s">
        <v>1660</v>
      </c>
      <c r="M11" s="11"/>
      <c r="N11" s="11"/>
      <c r="O11" s="11"/>
      <c r="P11" s="11"/>
      <c r="Q11" s="11">
        <v>1</v>
      </c>
      <c r="R11" s="5">
        <f>H11</f>
        <v>35</v>
      </c>
    </row>
    <row r="12" spans="1:18" s="25" customFormat="1" x14ac:dyDescent="0.25">
      <c r="A12" s="26"/>
      <c r="B12" s="26" t="s">
        <v>27</v>
      </c>
      <c r="C12" s="26" t="s">
        <v>1637</v>
      </c>
      <c r="D12" s="26" t="s">
        <v>1638</v>
      </c>
      <c r="E12" s="26" t="s">
        <v>1682</v>
      </c>
      <c r="F12" s="27">
        <v>8</v>
      </c>
      <c r="G12" s="27">
        <v>0</v>
      </c>
      <c r="H12" s="27">
        <v>25</v>
      </c>
      <c r="I12" s="27">
        <f t="shared" si="0"/>
        <v>-25</v>
      </c>
      <c r="J12" s="26" t="s">
        <v>1659</v>
      </c>
      <c r="K12" s="26" t="s">
        <v>33</v>
      </c>
      <c r="L12" s="26"/>
      <c r="M12" s="26" t="s">
        <v>1683</v>
      </c>
      <c r="N12" s="26"/>
      <c r="O12" s="26"/>
      <c r="P12" s="26"/>
      <c r="Q12" s="26">
        <v>1</v>
      </c>
      <c r="R12" s="5">
        <f>H12</f>
        <v>25</v>
      </c>
    </row>
    <row r="13" spans="1:18" x14ac:dyDescent="0.25">
      <c r="A13" s="11"/>
      <c r="B13" s="11" t="s">
        <v>27</v>
      </c>
      <c r="C13" s="11" t="s">
        <v>1684</v>
      </c>
      <c r="D13" s="11" t="s">
        <v>1685</v>
      </c>
      <c r="E13" s="11" t="s">
        <v>1686</v>
      </c>
      <c r="F13" s="12">
        <v>12</v>
      </c>
      <c r="G13" s="12">
        <v>0</v>
      </c>
      <c r="H13" s="12">
        <v>30</v>
      </c>
      <c r="I13" s="12">
        <f t="shared" si="0"/>
        <v>-30</v>
      </c>
      <c r="J13" s="11" t="s">
        <v>33</v>
      </c>
      <c r="K13" s="11" t="s">
        <v>33</v>
      </c>
      <c r="L13" s="11" t="s">
        <v>1660</v>
      </c>
      <c r="M13" s="11"/>
      <c r="N13" s="11"/>
      <c r="O13" s="11"/>
      <c r="P13" s="11"/>
      <c r="Q13" s="11">
        <v>1</v>
      </c>
      <c r="R13" s="5">
        <f>H13</f>
        <v>30</v>
      </c>
    </row>
    <row r="14" spans="1:18" x14ac:dyDescent="0.25">
      <c r="A14" s="11"/>
      <c r="B14" s="11" t="s">
        <v>27</v>
      </c>
      <c r="C14" s="11" t="s">
        <v>75</v>
      </c>
      <c r="D14" s="11" t="s">
        <v>1687</v>
      </c>
      <c r="E14" s="11" t="s">
        <v>1688</v>
      </c>
      <c r="F14" s="11" t="s">
        <v>78</v>
      </c>
      <c r="G14" s="12">
        <v>0</v>
      </c>
      <c r="H14" s="12">
        <v>20</v>
      </c>
      <c r="I14" s="12">
        <f t="shared" si="0"/>
        <v>-20</v>
      </c>
      <c r="J14" s="11" t="s">
        <v>33</v>
      </c>
      <c r="K14" s="11" t="s">
        <v>33</v>
      </c>
      <c r="L14" s="11" t="s">
        <v>1660</v>
      </c>
      <c r="M14" s="11"/>
      <c r="N14" s="11"/>
      <c r="O14" s="11"/>
      <c r="P14" s="11"/>
      <c r="Q14" s="11">
        <v>1</v>
      </c>
      <c r="R14" s="5">
        <f>H14</f>
        <v>20</v>
      </c>
    </row>
    <row r="15" spans="1:18" x14ac:dyDescent="0.25">
      <c r="A15" s="11"/>
      <c r="B15" s="11" t="s">
        <v>27</v>
      </c>
      <c r="C15" s="11" t="s">
        <v>1050</v>
      </c>
      <c r="D15" s="11" t="s">
        <v>1689</v>
      </c>
      <c r="E15" s="11" t="s">
        <v>1052</v>
      </c>
      <c r="F15" s="12">
        <v>12</v>
      </c>
      <c r="G15" s="12">
        <v>800</v>
      </c>
      <c r="H15" s="12">
        <v>30</v>
      </c>
      <c r="I15" s="12">
        <f t="shared" si="0"/>
        <v>770</v>
      </c>
      <c r="J15" s="11" t="s">
        <v>33</v>
      </c>
      <c r="K15" s="11" t="s">
        <v>33</v>
      </c>
      <c r="L15" s="11" t="s">
        <v>1660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1690</v>
      </c>
      <c r="D16" s="11" t="s">
        <v>1691</v>
      </c>
      <c r="E16" s="11" t="s">
        <v>1692</v>
      </c>
      <c r="F16" s="12">
        <v>12</v>
      </c>
      <c r="G16" s="12">
        <v>0</v>
      </c>
      <c r="H16" s="12">
        <v>30</v>
      </c>
      <c r="I16" s="12">
        <f t="shared" si="0"/>
        <v>-30</v>
      </c>
      <c r="J16" s="11" t="s">
        <v>33</v>
      </c>
      <c r="K16" s="11" t="s">
        <v>33</v>
      </c>
      <c r="L16" s="11" t="s">
        <v>1660</v>
      </c>
      <c r="M16" s="11"/>
      <c r="N16" s="11"/>
      <c r="O16" s="11"/>
      <c r="P16" s="11"/>
      <c r="Q16" s="11">
        <v>1</v>
      </c>
      <c r="R16" s="5">
        <f>H16</f>
        <v>30</v>
      </c>
    </row>
    <row r="17" spans="1:18" x14ac:dyDescent="0.25">
      <c r="A17" s="11"/>
      <c r="B17" s="11" t="s">
        <v>27</v>
      </c>
      <c r="C17" s="11" t="s">
        <v>1693</v>
      </c>
      <c r="D17" s="11" t="s">
        <v>1694</v>
      </c>
      <c r="E17" s="11" t="s">
        <v>1695</v>
      </c>
      <c r="F17" s="11" t="s">
        <v>44</v>
      </c>
      <c r="G17" s="12">
        <v>0</v>
      </c>
      <c r="H17" s="12">
        <v>25</v>
      </c>
      <c r="I17" s="12">
        <f t="shared" si="0"/>
        <v>-25</v>
      </c>
      <c r="J17" s="11" t="s">
        <v>33</v>
      </c>
      <c r="K17" s="11" t="s">
        <v>33</v>
      </c>
      <c r="L17" s="11" t="s">
        <v>1660</v>
      </c>
      <c r="M17" s="11"/>
      <c r="N17" s="11"/>
      <c r="O17" s="11"/>
      <c r="P17" s="11"/>
      <c r="Q17" s="11">
        <v>1</v>
      </c>
      <c r="R17" s="5">
        <f>H17</f>
        <v>25</v>
      </c>
    </row>
    <row r="18" spans="1:18" x14ac:dyDescent="0.25">
      <c r="A18" s="11"/>
      <c r="B18" s="11" t="s">
        <v>27</v>
      </c>
      <c r="C18" s="11" t="s">
        <v>236</v>
      </c>
      <c r="D18" s="11" t="s">
        <v>1696</v>
      </c>
      <c r="E18" s="11" t="s">
        <v>238</v>
      </c>
      <c r="F18" s="12">
        <v>12</v>
      </c>
      <c r="G18" s="12">
        <v>0</v>
      </c>
      <c r="H18" s="12">
        <v>30</v>
      </c>
      <c r="I18" s="12">
        <f t="shared" si="0"/>
        <v>-30</v>
      </c>
      <c r="J18" s="11" t="s">
        <v>33</v>
      </c>
      <c r="K18" s="11" t="s">
        <v>33</v>
      </c>
      <c r="L18" s="11" t="s">
        <v>1660</v>
      </c>
      <c r="M18" s="11"/>
      <c r="N18" s="11"/>
      <c r="O18" s="11"/>
      <c r="P18" s="11"/>
      <c r="Q18" s="11">
        <v>1</v>
      </c>
      <c r="R18" s="5">
        <f>H18</f>
        <v>30</v>
      </c>
    </row>
    <row r="19" spans="1:18" x14ac:dyDescent="0.25">
      <c r="A19" s="11"/>
      <c r="B19" s="11" t="s">
        <v>27</v>
      </c>
      <c r="C19" s="11" t="s">
        <v>1697</v>
      </c>
      <c r="D19" s="11" t="s">
        <v>1698</v>
      </c>
      <c r="E19" s="11" t="s">
        <v>1699</v>
      </c>
      <c r="F19" s="11" t="s">
        <v>44</v>
      </c>
      <c r="G19" s="12">
        <v>1065</v>
      </c>
      <c r="H19" s="12">
        <v>25</v>
      </c>
      <c r="I19" s="12">
        <f t="shared" si="0"/>
        <v>1040</v>
      </c>
      <c r="J19" s="11" t="s">
        <v>33</v>
      </c>
      <c r="K19" s="11" t="s">
        <v>33</v>
      </c>
      <c r="L19" s="11" t="s">
        <v>1660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1700</v>
      </c>
      <c r="D20" s="11" t="s">
        <v>1701</v>
      </c>
      <c r="E20" s="11" t="s">
        <v>1702</v>
      </c>
      <c r="F20" s="11" t="s">
        <v>104</v>
      </c>
      <c r="G20" s="12">
        <v>1540</v>
      </c>
      <c r="H20" s="12">
        <v>30</v>
      </c>
      <c r="I20" s="12">
        <f t="shared" si="0"/>
        <v>1510</v>
      </c>
      <c r="J20" s="11" t="s">
        <v>33</v>
      </c>
      <c r="K20" s="11" t="s">
        <v>33</v>
      </c>
      <c r="L20" s="11" t="s">
        <v>1660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1703</v>
      </c>
      <c r="D21" s="11" t="s">
        <v>1704</v>
      </c>
      <c r="E21" s="11" t="s">
        <v>1705</v>
      </c>
      <c r="F21" s="11" t="s">
        <v>44</v>
      </c>
      <c r="G21" s="12">
        <v>0</v>
      </c>
      <c r="H21" s="12">
        <v>25</v>
      </c>
      <c r="I21" s="12">
        <f t="shared" si="0"/>
        <v>-25</v>
      </c>
      <c r="J21" s="11" t="s">
        <v>33</v>
      </c>
      <c r="K21" s="11" t="s">
        <v>33</v>
      </c>
      <c r="L21" s="11" t="s">
        <v>1660</v>
      </c>
      <c r="M21" s="11"/>
      <c r="N21" s="11"/>
      <c r="O21" s="11"/>
      <c r="P21" s="11"/>
      <c r="Q21" s="11">
        <v>1</v>
      </c>
      <c r="R21" s="5">
        <f>H21</f>
        <v>25</v>
      </c>
    </row>
    <row r="22" spans="1:18" x14ac:dyDescent="0.25">
      <c r="A22" s="11"/>
      <c r="B22" s="11" t="s">
        <v>27</v>
      </c>
      <c r="C22" s="11" t="s">
        <v>1706</v>
      </c>
      <c r="D22" s="11" t="s">
        <v>1707</v>
      </c>
      <c r="E22" s="11" t="s">
        <v>1708</v>
      </c>
      <c r="F22" s="12">
        <v>2</v>
      </c>
      <c r="G22" s="12">
        <v>0</v>
      </c>
      <c r="H22" s="12">
        <v>35</v>
      </c>
      <c r="I22" s="12">
        <f t="shared" si="0"/>
        <v>-35</v>
      </c>
      <c r="J22" s="11" t="s">
        <v>33</v>
      </c>
      <c r="K22" s="11" t="s">
        <v>33</v>
      </c>
      <c r="L22" s="11" t="s">
        <v>1660</v>
      </c>
      <c r="M22" s="24" t="s">
        <v>1217</v>
      </c>
      <c r="N22" s="11"/>
      <c r="O22" s="11"/>
      <c r="P22" s="11"/>
      <c r="Q22" s="11">
        <v>1</v>
      </c>
      <c r="R22" s="5">
        <f>H22</f>
        <v>35</v>
      </c>
    </row>
    <row r="23" spans="1:18" x14ac:dyDescent="0.25">
      <c r="A23" s="11"/>
      <c r="B23" s="11" t="s">
        <v>27</v>
      </c>
      <c r="C23" s="11" t="s">
        <v>1706</v>
      </c>
      <c r="D23" s="11" t="s">
        <v>1709</v>
      </c>
      <c r="E23" s="11" t="s">
        <v>1708</v>
      </c>
      <c r="F23" s="12">
        <v>2</v>
      </c>
      <c r="G23" s="12">
        <v>0</v>
      </c>
      <c r="H23" s="12">
        <v>0</v>
      </c>
      <c r="I23" s="12">
        <f t="shared" si="0"/>
        <v>0</v>
      </c>
      <c r="J23" s="11" t="s">
        <v>33</v>
      </c>
      <c r="K23" s="11" t="s">
        <v>33</v>
      </c>
      <c r="L23" s="11" t="s">
        <v>1660</v>
      </c>
      <c r="M23" s="24" t="s">
        <v>1217</v>
      </c>
      <c r="N23" s="11"/>
      <c r="O23" s="11"/>
      <c r="P23" s="11"/>
      <c r="Q23" s="11">
        <v>1</v>
      </c>
      <c r="R23" s="5">
        <f>H23</f>
        <v>0</v>
      </c>
    </row>
    <row r="24" spans="1:18" x14ac:dyDescent="0.25">
      <c r="A24" s="11"/>
      <c r="B24" s="11" t="s">
        <v>27</v>
      </c>
      <c r="C24" s="11" t="s">
        <v>1710</v>
      </c>
      <c r="D24" s="11" t="s">
        <v>1711</v>
      </c>
      <c r="E24" s="11" t="s">
        <v>1712</v>
      </c>
      <c r="F24" s="12">
        <v>12</v>
      </c>
      <c r="G24" s="12">
        <v>0</v>
      </c>
      <c r="H24" s="12">
        <v>30</v>
      </c>
      <c r="I24" s="12">
        <f t="shared" si="0"/>
        <v>-30</v>
      </c>
      <c r="J24" s="11" t="s">
        <v>33</v>
      </c>
      <c r="K24" s="11" t="s">
        <v>33</v>
      </c>
      <c r="L24" s="11" t="s">
        <v>1660</v>
      </c>
      <c r="M24" s="11"/>
      <c r="N24" s="11"/>
      <c r="O24" s="11"/>
      <c r="P24" s="11"/>
      <c r="Q24" s="11">
        <v>1</v>
      </c>
      <c r="R24" s="5">
        <f>H24</f>
        <v>30</v>
      </c>
    </row>
    <row r="25" spans="1:18" x14ac:dyDescent="0.25">
      <c r="A25" s="11"/>
      <c r="B25" s="11" t="s">
        <v>27</v>
      </c>
      <c r="C25" s="11" t="s">
        <v>1713</v>
      </c>
      <c r="D25" s="11" t="s">
        <v>1714</v>
      </c>
      <c r="E25" s="11" t="s">
        <v>1715</v>
      </c>
      <c r="F25" s="11" t="s">
        <v>68</v>
      </c>
      <c r="G25" s="12">
        <v>0</v>
      </c>
      <c r="H25" s="12">
        <v>25</v>
      </c>
      <c r="I25" s="12">
        <f t="shared" si="0"/>
        <v>-25</v>
      </c>
      <c r="J25" s="11" t="s">
        <v>33</v>
      </c>
      <c r="K25" s="11" t="s">
        <v>33</v>
      </c>
      <c r="L25" s="11" t="s">
        <v>1660</v>
      </c>
      <c r="M25" s="11"/>
      <c r="N25" s="11"/>
      <c r="O25" s="11"/>
      <c r="P25" s="11"/>
      <c r="Q25" s="11">
        <v>1</v>
      </c>
      <c r="R25" s="5">
        <f>H25</f>
        <v>25</v>
      </c>
    </row>
    <row r="26" spans="1:18" x14ac:dyDescent="0.25">
      <c r="A26" s="11"/>
      <c r="B26" s="11" t="s">
        <v>27</v>
      </c>
      <c r="C26" s="11" t="s">
        <v>1716</v>
      </c>
      <c r="D26" s="11" t="s">
        <v>1717</v>
      </c>
      <c r="E26" s="11" t="s">
        <v>1718</v>
      </c>
      <c r="F26" s="11" t="s">
        <v>68</v>
      </c>
      <c r="G26" s="12">
        <v>845</v>
      </c>
      <c r="H26" s="12">
        <v>25</v>
      </c>
      <c r="I26" s="12">
        <f t="shared" si="0"/>
        <v>820</v>
      </c>
      <c r="J26" s="11" t="s">
        <v>33</v>
      </c>
      <c r="K26" s="11" t="s">
        <v>33</v>
      </c>
      <c r="L26" s="11" t="s">
        <v>1660</v>
      </c>
      <c r="M26" s="11"/>
      <c r="N26" s="11"/>
      <c r="O26" s="11"/>
      <c r="P26" s="11"/>
      <c r="Q26" s="11">
        <v>1</v>
      </c>
    </row>
    <row r="27" spans="1:18" x14ac:dyDescent="0.25">
      <c r="A27" s="11" t="s">
        <v>59</v>
      </c>
      <c r="B27" s="11" t="s">
        <v>27</v>
      </c>
      <c r="C27" s="11" t="s">
        <v>105</v>
      </c>
      <c r="D27" s="11"/>
      <c r="E27" s="11" t="s">
        <v>1719</v>
      </c>
      <c r="F27" s="11" t="s">
        <v>68</v>
      </c>
      <c r="G27" s="12">
        <v>30</v>
      </c>
      <c r="H27" s="12">
        <v>30</v>
      </c>
      <c r="I27" s="12">
        <f t="shared" si="0"/>
        <v>0</v>
      </c>
      <c r="J27" s="11" t="s">
        <v>33</v>
      </c>
      <c r="K27" s="11" t="s">
        <v>33</v>
      </c>
      <c r="L27" s="11" t="s">
        <v>1660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1720</v>
      </c>
      <c r="D28" s="11" t="s">
        <v>1721</v>
      </c>
      <c r="E28" s="11" t="s">
        <v>1722</v>
      </c>
      <c r="F28" s="12">
        <v>1</v>
      </c>
      <c r="G28" s="12">
        <v>0</v>
      </c>
      <c r="H28" s="12">
        <v>25</v>
      </c>
      <c r="I28" s="12">
        <f t="shared" si="0"/>
        <v>-25</v>
      </c>
      <c r="J28" s="11" t="s">
        <v>119</v>
      </c>
      <c r="K28" s="11" t="s">
        <v>33</v>
      </c>
      <c r="L28" s="11" t="s">
        <v>1660</v>
      </c>
      <c r="M28" s="11"/>
      <c r="N28" s="11"/>
      <c r="O28" s="11"/>
      <c r="P28" s="11"/>
      <c r="Q28" s="11">
        <v>1</v>
      </c>
      <c r="R28" s="5">
        <f>H28</f>
        <v>25</v>
      </c>
    </row>
    <row r="29" spans="1:18" x14ac:dyDescent="0.25">
      <c r="A29" s="11"/>
      <c r="B29" s="11" t="s">
        <v>27</v>
      </c>
      <c r="C29" s="11" t="s">
        <v>1723</v>
      </c>
      <c r="D29" s="11" t="s">
        <v>1724</v>
      </c>
      <c r="E29" s="11" t="s">
        <v>1725</v>
      </c>
      <c r="F29" s="12">
        <v>4</v>
      </c>
      <c r="G29" s="12">
        <v>845</v>
      </c>
      <c r="H29" s="12">
        <v>25</v>
      </c>
      <c r="I29" s="12">
        <f t="shared" si="0"/>
        <v>820</v>
      </c>
      <c r="J29" s="11" t="s">
        <v>119</v>
      </c>
      <c r="K29" s="11" t="s">
        <v>33</v>
      </c>
      <c r="L29" s="11" t="s">
        <v>1660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398</v>
      </c>
      <c r="D30" s="11" t="s">
        <v>1726</v>
      </c>
      <c r="E30" s="11" t="s">
        <v>1727</v>
      </c>
      <c r="F30" s="12">
        <v>1</v>
      </c>
      <c r="G30" s="12">
        <v>875</v>
      </c>
      <c r="H30" s="12">
        <v>25</v>
      </c>
      <c r="I30" s="12">
        <f t="shared" si="0"/>
        <v>850</v>
      </c>
      <c r="J30" s="11" t="s">
        <v>119</v>
      </c>
      <c r="K30" s="11" t="s">
        <v>33</v>
      </c>
      <c r="L30" s="11" t="s">
        <v>1660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263</v>
      </c>
      <c r="D31" s="11" t="s">
        <v>1728</v>
      </c>
      <c r="E31" s="11" t="s">
        <v>1428</v>
      </c>
      <c r="F31" s="12">
        <v>10</v>
      </c>
      <c r="G31" s="12">
        <v>0</v>
      </c>
      <c r="H31" s="12">
        <v>25</v>
      </c>
      <c r="I31" s="12">
        <f t="shared" si="0"/>
        <v>-25</v>
      </c>
      <c r="J31" s="11" t="s">
        <v>119</v>
      </c>
      <c r="K31" s="11" t="s">
        <v>33</v>
      </c>
      <c r="L31" s="11" t="s">
        <v>1660</v>
      </c>
      <c r="M31" s="24" t="s">
        <v>1729</v>
      </c>
      <c r="N31" s="11"/>
      <c r="O31" s="11"/>
      <c r="P31" s="11"/>
      <c r="Q31" s="11">
        <v>1</v>
      </c>
      <c r="R31" s="5">
        <f>H31</f>
        <v>25</v>
      </c>
    </row>
    <row r="32" spans="1:18" x14ac:dyDescent="0.25">
      <c r="A32" s="11"/>
      <c r="B32" s="11" t="s">
        <v>27</v>
      </c>
      <c r="C32" s="11" t="s">
        <v>629</v>
      </c>
      <c r="D32" s="11" t="s">
        <v>1730</v>
      </c>
      <c r="E32" s="11" t="s">
        <v>631</v>
      </c>
      <c r="F32" s="12">
        <v>10</v>
      </c>
      <c r="G32" s="12">
        <v>2350</v>
      </c>
      <c r="H32" s="12">
        <v>30</v>
      </c>
      <c r="I32" s="12">
        <f t="shared" si="0"/>
        <v>2320</v>
      </c>
      <c r="J32" s="11" t="s">
        <v>119</v>
      </c>
      <c r="K32" s="11" t="s">
        <v>33</v>
      </c>
      <c r="L32" s="11" t="s">
        <v>1660</v>
      </c>
      <c r="M32" s="24" t="s">
        <v>340</v>
      </c>
      <c r="N32" s="11"/>
      <c r="O32" s="11"/>
      <c r="P32" s="11"/>
      <c r="Q32" s="11">
        <v>1</v>
      </c>
      <c r="R32" s="5">
        <f>H32</f>
        <v>30</v>
      </c>
    </row>
    <row r="33" spans="1:18" x14ac:dyDescent="0.25">
      <c r="A33" s="11"/>
      <c r="B33" s="11" t="s">
        <v>27</v>
      </c>
      <c r="C33" s="11" t="s">
        <v>1731</v>
      </c>
      <c r="D33" s="11" t="s">
        <v>1732</v>
      </c>
      <c r="E33" s="11" t="s">
        <v>1733</v>
      </c>
      <c r="F33" s="11" t="s">
        <v>44</v>
      </c>
      <c r="G33" s="12">
        <v>945</v>
      </c>
      <c r="H33" s="12">
        <v>25</v>
      </c>
      <c r="I33" s="12">
        <f t="shared" si="0"/>
        <v>920</v>
      </c>
      <c r="J33" s="11" t="s">
        <v>119</v>
      </c>
      <c r="K33" s="11" t="s">
        <v>33</v>
      </c>
      <c r="L33" s="11" t="s">
        <v>1660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1734</v>
      </c>
      <c r="D34" s="11" t="s">
        <v>1735</v>
      </c>
      <c r="E34" s="11" t="s">
        <v>1736</v>
      </c>
      <c r="F34" s="12">
        <v>10</v>
      </c>
      <c r="G34" s="12">
        <v>25</v>
      </c>
      <c r="H34" s="12">
        <v>25</v>
      </c>
      <c r="I34" s="12">
        <f t="shared" si="0"/>
        <v>0</v>
      </c>
      <c r="J34" s="11" t="s">
        <v>119</v>
      </c>
      <c r="K34" s="11" t="s">
        <v>33</v>
      </c>
      <c r="L34" s="11" t="s">
        <v>1660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1737</v>
      </c>
      <c r="D35" s="11" t="s">
        <v>1738</v>
      </c>
      <c r="E35" s="11" t="s">
        <v>1739</v>
      </c>
      <c r="F35" s="11" t="s">
        <v>44</v>
      </c>
      <c r="G35" s="12">
        <v>995</v>
      </c>
      <c r="H35" s="12">
        <v>25</v>
      </c>
      <c r="I35" s="12">
        <f t="shared" si="0"/>
        <v>970</v>
      </c>
      <c r="J35" s="11" t="s">
        <v>119</v>
      </c>
      <c r="K35" s="11" t="s">
        <v>33</v>
      </c>
      <c r="L35" s="11" t="s">
        <v>1660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1740</v>
      </c>
      <c r="D36" s="11" t="s">
        <v>1741</v>
      </c>
      <c r="E36" s="11" t="s">
        <v>1742</v>
      </c>
      <c r="F36" s="11" t="s">
        <v>202</v>
      </c>
      <c r="G36" s="12">
        <v>1015</v>
      </c>
      <c r="H36" s="12">
        <v>35</v>
      </c>
      <c r="I36" s="12">
        <f t="shared" si="0"/>
        <v>980</v>
      </c>
      <c r="J36" s="11" t="s">
        <v>119</v>
      </c>
      <c r="K36" s="11" t="s">
        <v>33</v>
      </c>
      <c r="L36" s="11" t="s">
        <v>1660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743</v>
      </c>
      <c r="D37" s="11" t="s">
        <v>1743</v>
      </c>
      <c r="E37" s="11" t="s">
        <v>1744</v>
      </c>
      <c r="F37" s="12">
        <v>10</v>
      </c>
      <c r="G37" s="12">
        <v>1065</v>
      </c>
      <c r="H37" s="12">
        <v>25</v>
      </c>
      <c r="I37" s="12">
        <f t="shared" si="0"/>
        <v>1040</v>
      </c>
      <c r="J37" s="11" t="s">
        <v>119</v>
      </c>
      <c r="K37" s="11" t="s">
        <v>33</v>
      </c>
      <c r="L37" s="11" t="s">
        <v>1660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1745</v>
      </c>
      <c r="D38" s="11" t="s">
        <v>1746</v>
      </c>
      <c r="E38" s="11" t="s">
        <v>1747</v>
      </c>
      <c r="F38" s="12">
        <v>7</v>
      </c>
      <c r="G38" s="12">
        <v>30</v>
      </c>
      <c r="H38" s="12">
        <v>30</v>
      </c>
      <c r="I38" s="12">
        <f t="shared" si="0"/>
        <v>0</v>
      </c>
      <c r="J38" s="11" t="s">
        <v>119</v>
      </c>
      <c r="K38" s="11" t="s">
        <v>33</v>
      </c>
      <c r="L38" s="11" t="s">
        <v>1660</v>
      </c>
      <c r="M38" s="24" t="s">
        <v>1748</v>
      </c>
      <c r="N38" s="11"/>
      <c r="O38" s="11"/>
      <c r="P38" s="11"/>
      <c r="Q38" s="11">
        <v>1</v>
      </c>
      <c r="R38" s="5"/>
    </row>
    <row r="40" spans="1:18" x14ac:dyDescent="0.25">
      <c r="D40" s="1">
        <f>COUNTA(D3:D38)</f>
        <v>34</v>
      </c>
      <c r="G40" s="1">
        <f t="shared" ref="G40:Q40" si="1">SUBTOTAL(9,G3:G38)</f>
        <v>16470</v>
      </c>
      <c r="H40" s="1">
        <f t="shared" si="1"/>
        <v>1000</v>
      </c>
      <c r="I40" s="1">
        <f t="shared" si="1"/>
        <v>15470</v>
      </c>
      <c r="J40" s="1">
        <f t="shared" si="1"/>
        <v>0</v>
      </c>
      <c r="K40" s="1">
        <f t="shared" si="1"/>
        <v>0</v>
      </c>
      <c r="L40" s="1">
        <f t="shared" si="1"/>
        <v>0</v>
      </c>
      <c r="M40" s="1">
        <f t="shared" si="1"/>
        <v>0</v>
      </c>
      <c r="N40" s="1">
        <f t="shared" si="1"/>
        <v>0</v>
      </c>
      <c r="O40" s="1">
        <f t="shared" si="1"/>
        <v>0</v>
      </c>
      <c r="P40" s="1">
        <f t="shared" si="1"/>
        <v>0</v>
      </c>
      <c r="Q40" s="1">
        <f t="shared" si="1"/>
        <v>36</v>
      </c>
    </row>
    <row r="41" spans="1:18" x14ac:dyDescent="0.25">
      <c r="H41">
        <f>-1*17</f>
        <v>-17</v>
      </c>
    </row>
    <row r="42" spans="1:18" x14ac:dyDescent="0.25">
      <c r="A42" s="1" t="s">
        <v>27</v>
      </c>
      <c r="C42" s="60" t="s">
        <v>158</v>
      </c>
      <c r="D42" s="60"/>
      <c r="E42" s="4" t="s">
        <v>159</v>
      </c>
      <c r="H42">
        <f>-7*25</f>
        <v>-175</v>
      </c>
      <c r="K42" s="6" t="s">
        <v>33</v>
      </c>
      <c r="L42" s="6" t="s">
        <v>160</v>
      </c>
      <c r="M42" s="6" t="s">
        <v>159</v>
      </c>
      <c r="O42" s="4" t="s">
        <v>161</v>
      </c>
    </row>
    <row r="43" spans="1:18" x14ac:dyDescent="0.25">
      <c r="A43" t="s">
        <v>1660</v>
      </c>
      <c r="B43" s="3" t="s">
        <v>162</v>
      </c>
      <c r="C43" s="61">
        <f>SUMIFS(I$3:I$38,B$3:B$38,A$42,L$3:L$38,A$43)</f>
        <v>15495</v>
      </c>
      <c r="D43" s="61"/>
      <c r="E43" s="3">
        <f>SUMIFS(Q$3:Q$38,B$3:B$38,A$42,L$3:L$38,A$43)</f>
        <v>35</v>
      </c>
      <c r="F43" t="s">
        <v>163</v>
      </c>
      <c r="H43">
        <f>-2*30</f>
        <v>-60</v>
      </c>
      <c r="K43" t="s">
        <v>164</v>
      </c>
      <c r="L43">
        <f>SUMIFS(G$3:G$38,J$3:J$38,K$42)</f>
        <v>4280</v>
      </c>
      <c r="M43">
        <f>SUMIFS(Q$3:Q$38,J$3:J$38,K$42)-INT(COUNTIFS(J$3:J$38,K$42,M$3:M$38,"*gộp*")/2)</f>
        <v>14</v>
      </c>
      <c r="O43" t="s">
        <v>33</v>
      </c>
      <c r="P43">
        <f>L48</f>
        <v>3892</v>
      </c>
    </row>
    <row r="44" spans="1:18" x14ac:dyDescent="0.25">
      <c r="B44" s="2" t="s">
        <v>166</v>
      </c>
      <c r="C44" s="62">
        <v>0</v>
      </c>
      <c r="D44" s="62"/>
      <c r="K44" t="s">
        <v>167</v>
      </c>
      <c r="L44">
        <f>-SUMIFS(H$3:H$38,J$3:J$38,K$42)+M44*5</f>
        <v>-320</v>
      </c>
      <c r="M44">
        <f>SUMIFS(Q$3:Q$38,J$3:J$38,K$42)-INT(COUNTIFS(J$3:J$38,K$42,M$3:M$38,"*gộp*")/2)</f>
        <v>14</v>
      </c>
      <c r="O44" t="s">
        <v>1749</v>
      </c>
      <c r="P44">
        <f>L56</f>
        <v>3793</v>
      </c>
    </row>
    <row r="45" spans="1:18" x14ac:dyDescent="0.25">
      <c r="B45" s="2" t="s">
        <v>168</v>
      </c>
      <c r="C45" s="62">
        <f>-SUMIFS(I$3:I$38,B$3:B$38,A$42,P$3:P$38,"xx",N$3:N$38,"x")</f>
        <v>0</v>
      </c>
      <c r="D45" s="62"/>
      <c r="E45" s="2">
        <f>SUMIFS(Q$3:Q$38,B$3:B$38,A$42,P$3:P$38,"xx",N$3:N$38,"x")</f>
        <v>0</v>
      </c>
      <c r="K45" t="s">
        <v>169</v>
      </c>
      <c r="L45">
        <f>-M45*2</f>
        <v>-68</v>
      </c>
      <c r="M45">
        <f>COUNTIFS(K$3:K$38,K$42,L$3:L$38,A$43)-(COUNTIFS(K$3:K$38,K$42,M$3:M$38,"*gộp*")/2)-COUNTIFS(K$3:K$38,K$42,M$3:M$38,"*đơn trả*")-COUNTIFS(K$3:K$38,K$42,M$3:M$38,"*hàng tỉnh*")</f>
        <v>34</v>
      </c>
      <c r="O45" t="s">
        <v>119</v>
      </c>
      <c r="P45">
        <f>L65</f>
        <v>7925</v>
      </c>
    </row>
    <row r="46" spans="1:18" x14ac:dyDescent="0.25">
      <c r="B46" s="4" t="s">
        <v>170</v>
      </c>
      <c r="C46" s="60">
        <f>SUBTOTAL(9,C43:C45)</f>
        <v>15495</v>
      </c>
      <c r="D46" s="60"/>
      <c r="E46">
        <f>E43</f>
        <v>35</v>
      </c>
      <c r="K46" s="7" t="s">
        <v>155</v>
      </c>
      <c r="O46" t="s">
        <v>171</v>
      </c>
      <c r="P46">
        <f>-C50</f>
        <v>-15495</v>
      </c>
    </row>
    <row r="47" spans="1:18" x14ac:dyDescent="0.25">
      <c r="B47" s="2" t="s">
        <v>172</v>
      </c>
      <c r="C47" s="58"/>
      <c r="D47" s="58"/>
      <c r="K47" s="2" t="s">
        <v>173</v>
      </c>
      <c r="O47" s="4" t="s">
        <v>174</v>
      </c>
      <c r="P47" s="4">
        <f>SUBTOTAL(9,P43:P46)</f>
        <v>115</v>
      </c>
    </row>
    <row r="48" spans="1:18" x14ac:dyDescent="0.25">
      <c r="B48" s="8" t="s">
        <v>175</v>
      </c>
      <c r="C48" s="58"/>
      <c r="D48" s="58"/>
      <c r="L48" s="9">
        <f>SUBTOTAL(9,L43:L47)</f>
        <v>3892</v>
      </c>
      <c r="M48" s="9">
        <f>M43</f>
        <v>14</v>
      </c>
    </row>
    <row r="50" spans="2:13" x14ac:dyDescent="0.25">
      <c r="B50" s="1" t="s">
        <v>176</v>
      </c>
      <c r="C50" s="59">
        <f>C46+C47+C48</f>
        <v>15495</v>
      </c>
      <c r="D50" s="59"/>
      <c r="E50" s="1" t="s">
        <v>177</v>
      </c>
      <c r="K50" s="6" t="s">
        <v>1659</v>
      </c>
      <c r="L50" s="6" t="s">
        <v>160</v>
      </c>
      <c r="M50" s="6" t="s">
        <v>159</v>
      </c>
    </row>
    <row r="51" spans="2:13" x14ac:dyDescent="0.25">
      <c r="K51" t="s">
        <v>164</v>
      </c>
      <c r="L51">
        <f>SUMIFS(G$3:G$38,J$3:J$38,K$50)</f>
        <v>4045</v>
      </c>
      <c r="M51">
        <f>SUMIFS(Q$3:Q$38,J$3:J$38,K$50)-INT(COUNTIFS(J$3:J$38,K$50,M$3:M$38,"*gộp*")/2)</f>
        <v>10</v>
      </c>
    </row>
    <row r="52" spans="2:13" x14ac:dyDescent="0.25">
      <c r="K52" t="s">
        <v>167</v>
      </c>
      <c r="L52">
        <f>SUM(H41:H43)</f>
        <v>-252</v>
      </c>
      <c r="M52">
        <f>SUMIFS(Q$3:Q$38,J$3:J$38,K$50)-INT(COUNTIFS(J$3:J$38,K$50,M$3:M$38,"*gộp*")/2)</f>
        <v>10</v>
      </c>
    </row>
    <row r="53" spans="2:13" x14ac:dyDescent="0.25">
      <c r="K53" t="s">
        <v>169</v>
      </c>
      <c r="L53">
        <f>-M53*2</f>
        <v>0</v>
      </c>
      <c r="M53">
        <f>COUNTIFS(K$3:K$38,K$50,L$3:L$38,A$43)-(COUNTIFS(K$3:K$38,K$50,M$3:M$38,"*gộp*")/2)-COUNTIFS(K$3:K$38,K$50,M$3:M$38,"*đơn trả*")-COUNTIFS(K$3:K$38,K$50,M$3:M$38,"*hàng tỉnh*")</f>
        <v>0</v>
      </c>
    </row>
    <row r="54" spans="2:13" x14ac:dyDescent="0.25">
      <c r="K54" s="7" t="s">
        <v>155</v>
      </c>
    </row>
    <row r="55" spans="2:13" x14ac:dyDescent="0.25">
      <c r="K55" s="2" t="s">
        <v>173</v>
      </c>
    </row>
    <row r="56" spans="2:13" x14ac:dyDescent="0.25">
      <c r="L56" s="9">
        <f>SUBTOTAL(9,L51:L55)</f>
        <v>3793</v>
      </c>
      <c r="M56" s="9">
        <f>M51</f>
        <v>10</v>
      </c>
    </row>
    <row r="58" spans="2:13" x14ac:dyDescent="0.25">
      <c r="K58" s="6" t="s">
        <v>119</v>
      </c>
      <c r="L58" s="6" t="s">
        <v>160</v>
      </c>
      <c r="M58" s="6" t="s">
        <v>159</v>
      </c>
    </row>
    <row r="59" spans="2:13" x14ac:dyDescent="0.25">
      <c r="K59" t="s">
        <v>164</v>
      </c>
      <c r="L59">
        <f>SUMIFS(G$3:G$38,J$3:J$38,K$58)</f>
        <v>8145</v>
      </c>
      <c r="M59">
        <f>SUMIFS(Q$3:Q$38,J$3:J$38,K$58)-INT(COUNTIFS(J$3:J$38,K$58,M$3:M$38,"*gộp*")/2)</f>
        <v>11</v>
      </c>
    </row>
    <row r="60" spans="2:13" x14ac:dyDescent="0.25">
      <c r="K60" t="s">
        <v>167</v>
      </c>
      <c r="L60">
        <f>-SUMIFS(H$3:H$38,J$3:J$38,K$58)+M60*5</f>
        <v>-240</v>
      </c>
      <c r="M60">
        <f>SUMIFS(Q$3:Q$38,J$3:J$38,K$58)-INT(COUNTIFS(J$3:J$38,K$58,M$3:M$38,"*gộp*")/2)</f>
        <v>11</v>
      </c>
    </row>
    <row r="61" spans="2:13" x14ac:dyDescent="0.25">
      <c r="K61" t="s">
        <v>169</v>
      </c>
      <c r="L61">
        <f>-M61*2</f>
        <v>0</v>
      </c>
      <c r="M61">
        <f>COUNTIFS(K$3:K$38,K$58,L$3:L$38,A$43)-(COUNTIFS(K$3:K$38,K$58,M$3:M$38,"*gộp*")/2)-COUNTIFS(K$3:K$38,K$58,M$3:M$38,"*đơn trả*")-COUNTIFS(K$3:K$38,K$58,M$3:M$38,"*hàng tỉnh*")</f>
        <v>0</v>
      </c>
    </row>
    <row r="62" spans="2:13" x14ac:dyDescent="0.25">
      <c r="K62" s="7" t="s">
        <v>155</v>
      </c>
      <c r="L62" s="18"/>
      <c r="M62" s="18"/>
    </row>
    <row r="63" spans="2:13" x14ac:dyDescent="0.25">
      <c r="K63" s="2" t="s">
        <v>173</v>
      </c>
    </row>
    <row r="64" spans="2:13" x14ac:dyDescent="0.25">
      <c r="K64" s="2" t="s">
        <v>1683</v>
      </c>
      <c r="L64" s="18">
        <v>20</v>
      </c>
      <c r="M64" s="18" t="s">
        <v>178</v>
      </c>
    </row>
    <row r="65" spans="12:13" x14ac:dyDescent="0.25">
      <c r="L65" s="9">
        <f>SUBTOTAL(9,L59:L64)</f>
        <v>7925</v>
      </c>
      <c r="M65" s="9">
        <f>M59</f>
        <v>11</v>
      </c>
    </row>
  </sheetData>
  <autoFilter ref="A2:P38" xr:uid="{00000000-0009-0000-0000-000012000000}">
    <sortState xmlns:xlrd2="http://schemas.microsoft.com/office/spreadsheetml/2017/richdata2" ref="A3:P38">
      <sortCondition ref="J2:J38"/>
    </sortState>
  </autoFilter>
  <mergeCells count="8">
    <mergeCell ref="C47:D47"/>
    <mergeCell ref="C48:D48"/>
    <mergeCell ref="C50:D50"/>
    <mergeCell ref="C42:D42"/>
    <mergeCell ref="C43:D43"/>
    <mergeCell ref="C44:D44"/>
    <mergeCell ref="C45:D45"/>
    <mergeCell ref="C46:D46"/>
  </mergeCells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R59"/>
  <sheetViews>
    <sheetView topLeftCell="A22" workbookViewId="0"/>
  </sheetViews>
  <sheetFormatPr defaultRowHeight="15" x14ac:dyDescent="0.25"/>
  <cols>
    <col min="1" max="1" width="12.7109375" customWidth="1"/>
    <col min="2" max="2" width="9" customWidth="1"/>
    <col min="3" max="3" width="31.5703125" customWidth="1"/>
    <col min="4" max="4" width="9.85546875" customWidth="1"/>
    <col min="5" max="5" width="66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0.855468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1750</v>
      </c>
      <c r="D3" s="11" t="s">
        <v>1751</v>
      </c>
      <c r="E3" s="11" t="s">
        <v>1752</v>
      </c>
      <c r="F3" s="12">
        <v>6</v>
      </c>
      <c r="G3" s="12">
        <v>1065</v>
      </c>
      <c r="H3" s="12">
        <v>25</v>
      </c>
      <c r="I3" s="12">
        <f t="shared" ref="I3:I33" si="0">G3-H3</f>
        <v>1040</v>
      </c>
      <c r="J3" s="11" t="s">
        <v>1753</v>
      </c>
      <c r="K3" s="11" t="s">
        <v>33</v>
      </c>
      <c r="L3" s="11" t="s">
        <v>1754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1755</v>
      </c>
      <c r="D4" s="11" t="s">
        <v>1756</v>
      </c>
      <c r="E4" s="11" t="s">
        <v>1757</v>
      </c>
      <c r="F4" s="12">
        <v>9</v>
      </c>
      <c r="G4" s="12">
        <v>910</v>
      </c>
      <c r="H4" s="12">
        <v>30</v>
      </c>
      <c r="I4" s="12">
        <f t="shared" si="0"/>
        <v>880</v>
      </c>
      <c r="J4" s="11" t="s">
        <v>1753</v>
      </c>
      <c r="K4" s="11" t="s">
        <v>33</v>
      </c>
      <c r="L4" s="11" t="s">
        <v>1754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1758</v>
      </c>
      <c r="D5" s="11" t="s">
        <v>1759</v>
      </c>
      <c r="E5" s="11" t="s">
        <v>1760</v>
      </c>
      <c r="F5" s="12">
        <v>11</v>
      </c>
      <c r="G5" s="12">
        <v>1015</v>
      </c>
      <c r="H5" s="12">
        <v>25</v>
      </c>
      <c r="I5" s="12">
        <f t="shared" si="0"/>
        <v>990</v>
      </c>
      <c r="J5" s="11" t="s">
        <v>1753</v>
      </c>
      <c r="K5" s="11" t="s">
        <v>33</v>
      </c>
      <c r="L5" s="11" t="s">
        <v>1754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1761</v>
      </c>
      <c r="D6" s="11" t="s">
        <v>1762</v>
      </c>
      <c r="E6" s="11" t="s">
        <v>1763</v>
      </c>
      <c r="F6" s="11" t="s">
        <v>48</v>
      </c>
      <c r="G6" s="12">
        <v>0</v>
      </c>
      <c r="H6" s="12">
        <v>30</v>
      </c>
      <c r="I6" s="12">
        <f t="shared" si="0"/>
        <v>-30</v>
      </c>
      <c r="J6" s="11" t="s">
        <v>1753</v>
      </c>
      <c r="K6" s="11" t="s">
        <v>33</v>
      </c>
      <c r="L6" s="11" t="s">
        <v>1754</v>
      </c>
      <c r="M6" s="11"/>
      <c r="N6" s="11"/>
      <c r="O6" s="11"/>
      <c r="P6" s="11"/>
      <c r="Q6" s="11">
        <v>1</v>
      </c>
      <c r="R6" s="5">
        <f>H6</f>
        <v>30</v>
      </c>
    </row>
    <row r="7" spans="1:18" x14ac:dyDescent="0.25">
      <c r="A7" s="11"/>
      <c r="B7" s="11" t="s">
        <v>27</v>
      </c>
      <c r="C7" s="11" t="s">
        <v>1764</v>
      </c>
      <c r="D7" s="11" t="s">
        <v>1765</v>
      </c>
      <c r="E7" s="11" t="s">
        <v>1766</v>
      </c>
      <c r="F7" s="11" t="s">
        <v>48</v>
      </c>
      <c r="G7" s="12">
        <v>1840</v>
      </c>
      <c r="H7" s="12">
        <v>30</v>
      </c>
      <c r="I7" s="12">
        <f t="shared" si="0"/>
        <v>1810</v>
      </c>
      <c r="J7" s="11" t="s">
        <v>1753</v>
      </c>
      <c r="K7" s="11" t="s">
        <v>33</v>
      </c>
      <c r="L7" s="11" t="s">
        <v>1754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1767</v>
      </c>
      <c r="D8" s="11" t="s">
        <v>1768</v>
      </c>
      <c r="E8" s="11" t="s">
        <v>1769</v>
      </c>
      <c r="F8" s="11" t="s">
        <v>55</v>
      </c>
      <c r="G8" s="12">
        <v>0</v>
      </c>
      <c r="H8" s="12">
        <v>35</v>
      </c>
      <c r="I8" s="12">
        <f t="shared" si="0"/>
        <v>-35</v>
      </c>
      <c r="J8" s="11" t="s">
        <v>1753</v>
      </c>
      <c r="K8" s="11" t="s">
        <v>33</v>
      </c>
      <c r="L8" s="11" t="s">
        <v>1754</v>
      </c>
      <c r="M8" s="11"/>
      <c r="N8" s="11"/>
      <c r="O8" s="11"/>
      <c r="P8" s="11"/>
      <c r="Q8" s="11">
        <v>1</v>
      </c>
      <c r="R8" s="5">
        <f>H8</f>
        <v>35</v>
      </c>
    </row>
    <row r="9" spans="1:18" x14ac:dyDescent="0.25">
      <c r="A9" s="11"/>
      <c r="B9" s="11" t="s">
        <v>27</v>
      </c>
      <c r="C9" s="11" t="s">
        <v>1770</v>
      </c>
      <c r="D9" s="11" t="s">
        <v>1771</v>
      </c>
      <c r="E9" s="11" t="s">
        <v>1766</v>
      </c>
      <c r="F9" s="11" t="s">
        <v>48</v>
      </c>
      <c r="G9" s="12">
        <v>0</v>
      </c>
      <c r="H9" s="12">
        <v>30</v>
      </c>
      <c r="I9" s="12">
        <f t="shared" si="0"/>
        <v>-30</v>
      </c>
      <c r="J9" s="11" t="s">
        <v>1753</v>
      </c>
      <c r="K9" s="11" t="s">
        <v>33</v>
      </c>
      <c r="L9" s="11" t="s">
        <v>1754</v>
      </c>
      <c r="M9" s="11"/>
      <c r="N9" s="11"/>
      <c r="O9" s="11"/>
      <c r="P9" s="11"/>
      <c r="Q9" s="11">
        <v>1</v>
      </c>
      <c r="R9" s="5">
        <f>H9</f>
        <v>30</v>
      </c>
    </row>
    <row r="10" spans="1:18" x14ac:dyDescent="0.25">
      <c r="A10" s="11" t="s">
        <v>59</v>
      </c>
      <c r="B10" s="11" t="s">
        <v>27</v>
      </c>
      <c r="C10" s="11" t="s">
        <v>1772</v>
      </c>
      <c r="D10" s="11"/>
      <c r="E10" s="11" t="s">
        <v>1773</v>
      </c>
      <c r="F10" s="12">
        <v>6</v>
      </c>
      <c r="G10" s="12">
        <v>3145</v>
      </c>
      <c r="H10" s="12">
        <v>35</v>
      </c>
      <c r="I10" s="12">
        <f t="shared" si="0"/>
        <v>3110</v>
      </c>
      <c r="J10" s="11" t="s">
        <v>1753</v>
      </c>
      <c r="K10" s="11" t="s">
        <v>33</v>
      </c>
      <c r="L10" s="11" t="s">
        <v>1754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704</v>
      </c>
      <c r="D11" s="11" t="s">
        <v>1774</v>
      </c>
      <c r="E11" s="11" t="s">
        <v>706</v>
      </c>
      <c r="F11" s="11" t="s">
        <v>68</v>
      </c>
      <c r="G11" s="12">
        <v>845</v>
      </c>
      <c r="H11" s="12">
        <v>25</v>
      </c>
      <c r="I11" s="12">
        <f t="shared" si="0"/>
        <v>820</v>
      </c>
      <c r="J11" s="11" t="s">
        <v>33</v>
      </c>
      <c r="K11" s="11" t="s">
        <v>33</v>
      </c>
      <c r="L11" s="11" t="s">
        <v>1754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97</v>
      </c>
      <c r="D12" s="11" t="s">
        <v>1775</v>
      </c>
      <c r="E12" s="11" t="s">
        <v>99</v>
      </c>
      <c r="F12" s="12">
        <v>2</v>
      </c>
      <c r="G12" s="12">
        <v>1272</v>
      </c>
      <c r="H12" s="12">
        <v>30</v>
      </c>
      <c r="I12" s="12">
        <f t="shared" si="0"/>
        <v>1242</v>
      </c>
      <c r="J12" s="11" t="s">
        <v>33</v>
      </c>
      <c r="K12" s="11" t="s">
        <v>33</v>
      </c>
      <c r="L12" s="11" t="s">
        <v>1754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1776</v>
      </c>
      <c r="D13" s="11" t="s">
        <v>1777</v>
      </c>
      <c r="E13" s="11" t="s">
        <v>1778</v>
      </c>
      <c r="F13" s="12">
        <v>2</v>
      </c>
      <c r="G13" s="12">
        <v>0</v>
      </c>
      <c r="H13" s="12">
        <v>30</v>
      </c>
      <c r="I13" s="12">
        <f t="shared" si="0"/>
        <v>-30</v>
      </c>
      <c r="J13" s="11" t="s">
        <v>33</v>
      </c>
      <c r="K13" s="11" t="s">
        <v>33</v>
      </c>
      <c r="L13" s="11" t="s">
        <v>1754</v>
      </c>
      <c r="M13" s="11"/>
      <c r="N13" s="11"/>
      <c r="O13" s="11"/>
      <c r="P13" s="11"/>
      <c r="Q13" s="11">
        <v>1</v>
      </c>
      <c r="R13" s="5">
        <f>H13</f>
        <v>30</v>
      </c>
    </row>
    <row r="14" spans="1:18" x14ac:dyDescent="0.25">
      <c r="A14" s="11"/>
      <c r="B14" s="11" t="s">
        <v>27</v>
      </c>
      <c r="C14" s="11" t="s">
        <v>960</v>
      </c>
      <c r="D14" s="11" t="s">
        <v>1779</v>
      </c>
      <c r="E14" s="11" t="s">
        <v>962</v>
      </c>
      <c r="F14" s="12">
        <v>2</v>
      </c>
      <c r="G14" s="12">
        <v>1090</v>
      </c>
      <c r="H14" s="12">
        <v>30</v>
      </c>
      <c r="I14" s="12">
        <f t="shared" si="0"/>
        <v>1060</v>
      </c>
      <c r="J14" s="11" t="s">
        <v>33</v>
      </c>
      <c r="K14" s="11" t="s">
        <v>33</v>
      </c>
      <c r="L14" s="11" t="s">
        <v>1754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1780</v>
      </c>
      <c r="D15" s="11" t="s">
        <v>1781</v>
      </c>
      <c r="E15" s="11" t="s">
        <v>238</v>
      </c>
      <c r="F15" s="12">
        <v>12</v>
      </c>
      <c r="G15" s="12">
        <v>0</v>
      </c>
      <c r="H15" s="12">
        <v>30</v>
      </c>
      <c r="I15" s="12">
        <f t="shared" si="0"/>
        <v>-30</v>
      </c>
      <c r="J15" s="11" t="s">
        <v>33</v>
      </c>
      <c r="K15" s="11" t="s">
        <v>33</v>
      </c>
      <c r="L15" s="11" t="s">
        <v>1754</v>
      </c>
      <c r="M15" s="11"/>
      <c r="N15" s="11"/>
      <c r="O15" s="11"/>
      <c r="P15" s="11"/>
      <c r="Q15" s="11">
        <v>1</v>
      </c>
      <c r="R15" s="5">
        <f>H15</f>
        <v>30</v>
      </c>
    </row>
    <row r="16" spans="1:18" x14ac:dyDescent="0.25">
      <c r="A16" s="11"/>
      <c r="B16" s="11" t="s">
        <v>27</v>
      </c>
      <c r="C16" s="11" t="s">
        <v>1782</v>
      </c>
      <c r="D16" s="11" t="s">
        <v>1783</v>
      </c>
      <c r="E16" s="11" t="s">
        <v>1784</v>
      </c>
      <c r="F16" s="11" t="s">
        <v>78</v>
      </c>
      <c r="G16" s="12">
        <v>940</v>
      </c>
      <c r="H16" s="12">
        <v>20</v>
      </c>
      <c r="I16" s="12">
        <f t="shared" si="0"/>
        <v>920</v>
      </c>
      <c r="J16" s="11" t="s">
        <v>33</v>
      </c>
      <c r="K16" s="11" t="s">
        <v>33</v>
      </c>
      <c r="L16" s="11" t="s">
        <v>1754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1785</v>
      </c>
      <c r="D17" s="11" t="s">
        <v>1786</v>
      </c>
      <c r="E17" s="11" t="s">
        <v>1787</v>
      </c>
      <c r="F17" s="11" t="s">
        <v>68</v>
      </c>
      <c r="G17" s="12">
        <v>1065</v>
      </c>
      <c r="H17" s="12">
        <v>25</v>
      </c>
      <c r="I17" s="12">
        <f t="shared" si="0"/>
        <v>1040</v>
      </c>
      <c r="J17" s="11" t="s">
        <v>33</v>
      </c>
      <c r="K17" s="11" t="s">
        <v>33</v>
      </c>
      <c r="L17" s="11" t="s">
        <v>1754</v>
      </c>
      <c r="M17" s="11"/>
      <c r="N17" s="11"/>
      <c r="O17" s="11"/>
      <c r="P17" s="11"/>
      <c r="Q17" s="11">
        <v>1</v>
      </c>
    </row>
    <row r="18" spans="1:18" x14ac:dyDescent="0.25">
      <c r="A18" s="11" t="s">
        <v>59</v>
      </c>
      <c r="B18" s="11" t="s">
        <v>27</v>
      </c>
      <c r="C18" s="11" t="s">
        <v>1788</v>
      </c>
      <c r="D18" s="11"/>
      <c r="E18" s="11" t="s">
        <v>1789</v>
      </c>
      <c r="F18" s="12">
        <v>12</v>
      </c>
      <c r="G18" s="12">
        <v>35</v>
      </c>
      <c r="H18" s="12">
        <v>35</v>
      </c>
      <c r="I18" s="12">
        <f t="shared" si="0"/>
        <v>0</v>
      </c>
      <c r="J18" s="11" t="s">
        <v>33</v>
      </c>
      <c r="K18" s="11" t="s">
        <v>33</v>
      </c>
      <c r="L18" s="11" t="s">
        <v>1754</v>
      </c>
      <c r="M18" s="11"/>
      <c r="N18" s="11"/>
      <c r="O18" s="11"/>
      <c r="P18" s="11"/>
      <c r="Q18" s="11">
        <v>1</v>
      </c>
    </row>
    <row r="19" spans="1:18" x14ac:dyDescent="0.25">
      <c r="A19" s="11" t="s">
        <v>59</v>
      </c>
      <c r="B19" s="11" t="s">
        <v>27</v>
      </c>
      <c r="C19" s="11" t="s">
        <v>1790</v>
      </c>
      <c r="D19" s="11"/>
      <c r="E19" s="11" t="s">
        <v>1791</v>
      </c>
      <c r="F19" s="12">
        <v>12</v>
      </c>
      <c r="G19" s="12">
        <v>0</v>
      </c>
      <c r="H19" s="12">
        <v>35</v>
      </c>
      <c r="I19" s="12">
        <f t="shared" si="0"/>
        <v>-35</v>
      </c>
      <c r="J19" s="11" t="s">
        <v>33</v>
      </c>
      <c r="K19" s="11" t="s">
        <v>33</v>
      </c>
      <c r="L19" s="11" t="s">
        <v>1754</v>
      </c>
      <c r="M19" s="11"/>
      <c r="N19" s="11"/>
      <c r="O19" s="11"/>
      <c r="P19" s="11"/>
      <c r="Q19" s="11">
        <v>1</v>
      </c>
      <c r="R19" s="5">
        <f>H19</f>
        <v>35</v>
      </c>
    </row>
    <row r="20" spans="1:18" x14ac:dyDescent="0.25">
      <c r="A20" s="11" t="s">
        <v>59</v>
      </c>
      <c r="B20" s="11" t="s">
        <v>27</v>
      </c>
      <c r="C20" s="11" t="s">
        <v>107</v>
      </c>
      <c r="D20" s="11"/>
      <c r="E20" s="11" t="s">
        <v>108</v>
      </c>
      <c r="F20" s="11" t="s">
        <v>68</v>
      </c>
      <c r="G20" s="12">
        <v>2345</v>
      </c>
      <c r="H20" s="12">
        <v>35</v>
      </c>
      <c r="I20" s="12">
        <f t="shared" si="0"/>
        <v>2310</v>
      </c>
      <c r="J20" s="11" t="s">
        <v>33</v>
      </c>
      <c r="K20" s="11" t="s">
        <v>33</v>
      </c>
      <c r="L20" s="11" t="s">
        <v>1754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1792</v>
      </c>
      <c r="D21" s="11" t="s">
        <v>1793</v>
      </c>
      <c r="E21" s="11" t="s">
        <v>1794</v>
      </c>
      <c r="F21" s="12">
        <v>7</v>
      </c>
      <c r="G21" s="12">
        <v>780</v>
      </c>
      <c r="H21" s="12">
        <v>30</v>
      </c>
      <c r="I21" s="12">
        <f t="shared" si="0"/>
        <v>750</v>
      </c>
      <c r="J21" s="11" t="s">
        <v>119</v>
      </c>
      <c r="K21" s="11" t="s">
        <v>33</v>
      </c>
      <c r="L21" s="11" t="s">
        <v>1754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1157</v>
      </c>
      <c r="D22" s="11" t="s">
        <v>1795</v>
      </c>
      <c r="E22" s="11" t="s">
        <v>1159</v>
      </c>
      <c r="F22" s="12">
        <v>7</v>
      </c>
      <c r="G22" s="12">
        <v>1070</v>
      </c>
      <c r="H22" s="12">
        <v>30</v>
      </c>
      <c r="I22" s="12">
        <f t="shared" si="0"/>
        <v>1040</v>
      </c>
      <c r="J22" s="11" t="s">
        <v>119</v>
      </c>
      <c r="K22" s="11" t="s">
        <v>33</v>
      </c>
      <c r="L22" s="11" t="s">
        <v>1754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1796</v>
      </c>
      <c r="D23" s="11" t="s">
        <v>1797</v>
      </c>
      <c r="E23" s="11" t="s">
        <v>1798</v>
      </c>
      <c r="F23" s="12">
        <v>7</v>
      </c>
      <c r="G23" s="12">
        <v>950</v>
      </c>
      <c r="H23" s="12">
        <v>30</v>
      </c>
      <c r="I23" s="12">
        <f t="shared" si="0"/>
        <v>920</v>
      </c>
      <c r="J23" s="11" t="s">
        <v>119</v>
      </c>
      <c r="K23" s="11" t="s">
        <v>33</v>
      </c>
      <c r="L23" s="11" t="s">
        <v>1754</v>
      </c>
      <c r="M23" s="11"/>
      <c r="N23" s="11"/>
      <c r="O23" s="11"/>
      <c r="P23" s="11"/>
      <c r="Q23" s="11">
        <v>1</v>
      </c>
    </row>
    <row r="24" spans="1:18" s="15" customFormat="1" x14ac:dyDescent="0.25">
      <c r="A24" s="13"/>
      <c r="B24" s="13" t="s">
        <v>27</v>
      </c>
      <c r="C24" s="13" t="s">
        <v>1740</v>
      </c>
      <c r="D24" s="13" t="s">
        <v>1799</v>
      </c>
      <c r="E24" s="13" t="s">
        <v>1742</v>
      </c>
      <c r="F24" s="13" t="s">
        <v>202</v>
      </c>
      <c r="G24" s="14">
        <v>35</v>
      </c>
      <c r="H24" s="14">
        <v>35</v>
      </c>
      <c r="I24" s="14">
        <f t="shared" si="0"/>
        <v>0</v>
      </c>
      <c r="J24" s="13" t="s">
        <v>119</v>
      </c>
      <c r="K24" s="13" t="s">
        <v>33</v>
      </c>
      <c r="L24" s="13" t="s">
        <v>1754</v>
      </c>
      <c r="M24" s="13" t="s">
        <v>100</v>
      </c>
      <c r="N24" s="13"/>
      <c r="O24" s="13"/>
      <c r="P24" s="13"/>
      <c r="Q24" s="13">
        <v>1</v>
      </c>
    </row>
    <row r="25" spans="1:18" x14ac:dyDescent="0.25">
      <c r="A25" s="11"/>
      <c r="B25" s="11" t="s">
        <v>27</v>
      </c>
      <c r="C25" s="11" t="s">
        <v>1800</v>
      </c>
      <c r="D25" s="11" t="s">
        <v>1801</v>
      </c>
      <c r="E25" s="11" t="s">
        <v>1802</v>
      </c>
      <c r="F25" s="11" t="s">
        <v>44</v>
      </c>
      <c r="G25" s="12">
        <v>0</v>
      </c>
      <c r="H25" s="12">
        <v>25</v>
      </c>
      <c r="I25" s="12">
        <f t="shared" si="0"/>
        <v>-25</v>
      </c>
      <c r="J25" s="11" t="s">
        <v>119</v>
      </c>
      <c r="K25" s="11" t="s">
        <v>33</v>
      </c>
      <c r="L25" s="11" t="s">
        <v>1754</v>
      </c>
      <c r="M25" s="11"/>
      <c r="N25" s="11"/>
      <c r="O25" s="11"/>
      <c r="P25" s="11"/>
      <c r="Q25" s="11">
        <v>1</v>
      </c>
      <c r="R25" s="5">
        <f>H25</f>
        <v>25</v>
      </c>
    </row>
    <row r="26" spans="1:18" s="15" customFormat="1" x14ac:dyDescent="0.25">
      <c r="A26" s="13"/>
      <c r="B26" s="13" t="s">
        <v>27</v>
      </c>
      <c r="C26" s="13" t="s">
        <v>1532</v>
      </c>
      <c r="D26" s="13" t="s">
        <v>1803</v>
      </c>
      <c r="E26" s="13" t="s">
        <v>1534</v>
      </c>
      <c r="F26" s="14">
        <v>7</v>
      </c>
      <c r="G26" s="14">
        <v>30</v>
      </c>
      <c r="H26" s="14">
        <v>30</v>
      </c>
      <c r="I26" s="14">
        <f t="shared" si="0"/>
        <v>0</v>
      </c>
      <c r="J26" s="13" t="s">
        <v>119</v>
      </c>
      <c r="K26" s="13" t="s">
        <v>33</v>
      </c>
      <c r="L26" s="13" t="s">
        <v>1754</v>
      </c>
      <c r="M26" s="13" t="s">
        <v>100</v>
      </c>
      <c r="N26" s="13"/>
      <c r="O26" s="13"/>
      <c r="P26" s="13"/>
      <c r="Q26" s="13">
        <v>1</v>
      </c>
    </row>
    <row r="27" spans="1:18" x14ac:dyDescent="0.25">
      <c r="A27" s="11"/>
      <c r="B27" s="11" t="s">
        <v>27</v>
      </c>
      <c r="C27" s="11" t="s">
        <v>278</v>
      </c>
      <c r="D27" s="11" t="s">
        <v>1804</v>
      </c>
      <c r="E27" s="11" t="s">
        <v>280</v>
      </c>
      <c r="F27" s="12">
        <v>5</v>
      </c>
      <c r="G27" s="12">
        <v>0</v>
      </c>
      <c r="H27" s="12">
        <v>25</v>
      </c>
      <c r="I27" s="12">
        <f t="shared" si="0"/>
        <v>-25</v>
      </c>
      <c r="J27" s="11" t="s">
        <v>119</v>
      </c>
      <c r="K27" s="11" t="s">
        <v>33</v>
      </c>
      <c r="L27" s="11" t="s">
        <v>1754</v>
      </c>
      <c r="M27" s="11"/>
      <c r="N27" s="11"/>
      <c r="O27" s="11"/>
      <c r="P27" s="11"/>
      <c r="Q27" s="11">
        <v>1</v>
      </c>
      <c r="R27" s="5">
        <f>H27</f>
        <v>25</v>
      </c>
    </row>
    <row r="28" spans="1:18" x14ac:dyDescent="0.25">
      <c r="A28" s="11"/>
      <c r="B28" s="11" t="s">
        <v>27</v>
      </c>
      <c r="C28" s="11" t="s">
        <v>1805</v>
      </c>
      <c r="D28" s="11" t="s">
        <v>1806</v>
      </c>
      <c r="E28" s="11" t="s">
        <v>1807</v>
      </c>
      <c r="F28" s="12">
        <v>3</v>
      </c>
      <c r="G28" s="12">
        <v>1065</v>
      </c>
      <c r="H28" s="12">
        <v>25</v>
      </c>
      <c r="I28" s="12">
        <f t="shared" si="0"/>
        <v>1040</v>
      </c>
      <c r="J28" s="11" t="s">
        <v>119</v>
      </c>
      <c r="K28" s="11" t="s">
        <v>33</v>
      </c>
      <c r="L28" s="11" t="s">
        <v>1754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1808</v>
      </c>
      <c r="D29" s="11" t="s">
        <v>1809</v>
      </c>
      <c r="E29" s="11" t="s">
        <v>1810</v>
      </c>
      <c r="F29" s="11" t="s">
        <v>118</v>
      </c>
      <c r="G29" s="12">
        <v>0</v>
      </c>
      <c r="H29" s="12">
        <v>20</v>
      </c>
      <c r="I29" s="12">
        <f t="shared" si="0"/>
        <v>-20</v>
      </c>
      <c r="J29" s="11" t="s">
        <v>119</v>
      </c>
      <c r="K29" s="11" t="s">
        <v>33</v>
      </c>
      <c r="L29" s="11" t="s">
        <v>1754</v>
      </c>
      <c r="M29" s="11"/>
      <c r="N29" s="11"/>
      <c r="O29" s="11"/>
      <c r="P29" s="11"/>
      <c r="Q29" s="11">
        <v>1</v>
      </c>
      <c r="R29" s="5">
        <f>H29</f>
        <v>20</v>
      </c>
    </row>
    <row r="30" spans="1:18" x14ac:dyDescent="0.25">
      <c r="A30" s="11"/>
      <c r="B30" s="11" t="s">
        <v>27</v>
      </c>
      <c r="C30" s="11" t="s">
        <v>1160</v>
      </c>
      <c r="D30" s="11" t="s">
        <v>1811</v>
      </c>
      <c r="E30" s="11" t="s">
        <v>1812</v>
      </c>
      <c r="F30" s="12">
        <v>8</v>
      </c>
      <c r="G30" s="12">
        <v>810</v>
      </c>
      <c r="H30" s="12">
        <v>30</v>
      </c>
      <c r="I30" s="12">
        <f t="shared" si="0"/>
        <v>780</v>
      </c>
      <c r="J30" s="11" t="s">
        <v>119</v>
      </c>
      <c r="K30" s="11" t="s">
        <v>33</v>
      </c>
      <c r="L30" s="11" t="s">
        <v>1754</v>
      </c>
      <c r="M30" s="11"/>
      <c r="N30" s="11"/>
      <c r="O30" s="11"/>
      <c r="P30" s="11"/>
      <c r="Q30" s="11">
        <v>1</v>
      </c>
    </row>
    <row r="31" spans="1:18" s="15" customFormat="1" x14ac:dyDescent="0.25">
      <c r="A31" s="13"/>
      <c r="B31" s="13" t="s">
        <v>27</v>
      </c>
      <c r="C31" s="13" t="s">
        <v>1813</v>
      </c>
      <c r="D31" s="13" t="s">
        <v>1814</v>
      </c>
      <c r="E31" s="13" t="s">
        <v>1815</v>
      </c>
      <c r="F31" s="14">
        <v>4</v>
      </c>
      <c r="G31" s="14">
        <v>0</v>
      </c>
      <c r="H31" s="14">
        <v>25</v>
      </c>
      <c r="I31" s="14">
        <f t="shared" si="0"/>
        <v>-25</v>
      </c>
      <c r="J31" s="13" t="s">
        <v>119</v>
      </c>
      <c r="K31" s="13" t="s">
        <v>33</v>
      </c>
      <c r="L31" s="13" t="s">
        <v>1754</v>
      </c>
      <c r="M31" s="13" t="s">
        <v>100</v>
      </c>
      <c r="N31" s="13"/>
      <c r="O31" s="13"/>
      <c r="P31" s="13"/>
      <c r="Q31" s="13">
        <v>1</v>
      </c>
      <c r="R31" s="19">
        <f>H31</f>
        <v>25</v>
      </c>
    </row>
    <row r="32" spans="1:18" x14ac:dyDescent="0.25">
      <c r="A32" s="11"/>
      <c r="B32" s="11" t="s">
        <v>27</v>
      </c>
      <c r="C32" s="11" t="s">
        <v>1816</v>
      </c>
      <c r="D32" s="11" t="s">
        <v>1817</v>
      </c>
      <c r="E32" s="11" t="s">
        <v>1818</v>
      </c>
      <c r="F32" s="11" t="s">
        <v>118</v>
      </c>
      <c r="G32" s="12">
        <v>0</v>
      </c>
      <c r="H32" s="12">
        <v>20</v>
      </c>
      <c r="I32" s="12">
        <f t="shared" si="0"/>
        <v>-20</v>
      </c>
      <c r="J32" s="11" t="s">
        <v>119</v>
      </c>
      <c r="K32" s="11" t="s">
        <v>33</v>
      </c>
      <c r="L32" s="11" t="s">
        <v>1754</v>
      </c>
      <c r="M32" s="11"/>
      <c r="N32" s="11"/>
      <c r="O32" s="11"/>
      <c r="P32" s="11"/>
      <c r="Q32" s="11">
        <v>1</v>
      </c>
      <c r="R32" s="5">
        <f>H32</f>
        <v>20</v>
      </c>
    </row>
    <row r="33" spans="1:17" s="2" customFormat="1" x14ac:dyDescent="0.25">
      <c r="A33" s="16"/>
      <c r="B33" s="16" t="s">
        <v>27</v>
      </c>
      <c r="C33" s="16" t="s">
        <v>1819</v>
      </c>
      <c r="D33" s="16" t="s">
        <v>1820</v>
      </c>
      <c r="E33" s="16" t="s">
        <v>1821</v>
      </c>
      <c r="F33" s="17" t="s">
        <v>996</v>
      </c>
      <c r="G33" s="17">
        <v>1860</v>
      </c>
      <c r="H33" s="17">
        <v>0</v>
      </c>
      <c r="I33" s="17">
        <f t="shared" si="0"/>
        <v>1860</v>
      </c>
      <c r="J33" s="16" t="s">
        <v>153</v>
      </c>
      <c r="K33" s="16" t="s">
        <v>33</v>
      </c>
      <c r="L33" s="16" t="s">
        <v>1754</v>
      </c>
      <c r="M33" s="16" t="s">
        <v>997</v>
      </c>
      <c r="N33" s="16" t="s">
        <v>156</v>
      </c>
      <c r="O33" s="16"/>
      <c r="P33" s="16" t="s">
        <v>157</v>
      </c>
      <c r="Q33" s="16">
        <v>1</v>
      </c>
    </row>
    <row r="35" spans="1:17" x14ac:dyDescent="0.25">
      <c r="D35" s="1">
        <f>COUNTA(D3:D33)</f>
        <v>27</v>
      </c>
      <c r="G35" s="1">
        <f t="shared" ref="G35:Q35" si="1">SUBTOTAL(9,G3:G33)</f>
        <v>22167</v>
      </c>
      <c r="H35" s="1">
        <f t="shared" si="1"/>
        <v>860</v>
      </c>
      <c r="I35" s="1">
        <f t="shared" si="1"/>
        <v>21307</v>
      </c>
      <c r="J35" s="1">
        <f t="shared" si="1"/>
        <v>0</v>
      </c>
      <c r="K35" s="1">
        <f t="shared" si="1"/>
        <v>0</v>
      </c>
      <c r="L35" s="1">
        <f t="shared" si="1"/>
        <v>0</v>
      </c>
      <c r="M35" s="1">
        <f t="shared" si="1"/>
        <v>0</v>
      </c>
      <c r="N35" s="1">
        <f t="shared" si="1"/>
        <v>0</v>
      </c>
      <c r="O35" s="1">
        <f t="shared" si="1"/>
        <v>0</v>
      </c>
      <c r="P35" s="1">
        <f t="shared" si="1"/>
        <v>0</v>
      </c>
      <c r="Q35" s="1">
        <f t="shared" si="1"/>
        <v>31</v>
      </c>
    </row>
    <row r="36" spans="1:17" x14ac:dyDescent="0.25">
      <c r="H36">
        <f>-3*17</f>
        <v>-51</v>
      </c>
    </row>
    <row r="37" spans="1:17" x14ac:dyDescent="0.25">
      <c r="A37" s="1" t="s">
        <v>27</v>
      </c>
      <c r="C37" s="60" t="s">
        <v>158</v>
      </c>
      <c r="D37" s="60"/>
      <c r="E37" s="4" t="s">
        <v>159</v>
      </c>
      <c r="H37">
        <f>-4*25</f>
        <v>-100</v>
      </c>
      <c r="K37" s="6" t="s">
        <v>1753</v>
      </c>
      <c r="L37" s="6" t="s">
        <v>160</v>
      </c>
      <c r="M37" s="6" t="s">
        <v>159</v>
      </c>
      <c r="O37" s="4" t="s">
        <v>161</v>
      </c>
    </row>
    <row r="38" spans="1:17" x14ac:dyDescent="0.25">
      <c r="A38" t="s">
        <v>1754</v>
      </c>
      <c r="B38" s="3" t="s">
        <v>162</v>
      </c>
      <c r="C38" s="61">
        <f>SUMIFS(I$3:I$33,B$3:B$33,A$37,L$3:L$33,A$38)</f>
        <v>21307</v>
      </c>
      <c r="D38" s="61"/>
      <c r="E38" s="3">
        <f>SUMIFS(Q$3:Q$33,B$3:B$33,A$37,L$3:L$33,A$38)</f>
        <v>31</v>
      </c>
      <c r="F38" t="s">
        <v>163</v>
      </c>
      <c r="H38">
        <f>-1*30</f>
        <v>-30</v>
      </c>
      <c r="K38" t="s">
        <v>164</v>
      </c>
      <c r="L38">
        <f>SUMIFS(G$3:G$33,J$3:J$33,K$37)</f>
        <v>7975</v>
      </c>
      <c r="M38">
        <f>SUMIFS(Q$3:Q$33,J$3:J$33,K$37)-INT(COUNTIFS(J$3:J$33,K$37,M$3:M$33,"*gộp*")/2)</f>
        <v>8</v>
      </c>
      <c r="O38" t="s">
        <v>1822</v>
      </c>
      <c r="P38">
        <f>L43</f>
        <v>7794</v>
      </c>
    </row>
    <row r="39" spans="1:17" x14ac:dyDescent="0.25">
      <c r="B39" s="2" t="s">
        <v>166</v>
      </c>
      <c r="C39" s="62">
        <v>0</v>
      </c>
      <c r="D39" s="62"/>
      <c r="K39" t="s">
        <v>167</v>
      </c>
      <c r="L39">
        <f>SUM(H36:H38)</f>
        <v>-181</v>
      </c>
      <c r="M39">
        <f>SUMIFS(Q$3:Q$33,J$3:J$33,K$37)-INT(COUNTIFS(J$3:J$33,K$37,M$3:M$33,"*gộp*")/2)</f>
        <v>8</v>
      </c>
      <c r="O39" t="s">
        <v>33</v>
      </c>
      <c r="P39">
        <f>L51</f>
        <v>7287</v>
      </c>
    </row>
    <row r="40" spans="1:17" x14ac:dyDescent="0.25">
      <c r="B40" s="2" t="s">
        <v>168</v>
      </c>
      <c r="C40" s="62">
        <f>-SUMIFS(I$3:I$33,B$3:B$33,A$37,P$3:P$33,"xx",N$3:N$33,"x")</f>
        <v>-1860</v>
      </c>
      <c r="D40" s="62"/>
      <c r="E40" s="2">
        <f>SUMIFS(Q$3:Q$33,B$3:B$33,A$37,P$3:P$33,"xx",N$3:N$33,"x")</f>
        <v>1</v>
      </c>
      <c r="K40" t="s">
        <v>169</v>
      </c>
      <c r="L40">
        <f>-M40*2</f>
        <v>0</v>
      </c>
      <c r="M40">
        <f>COUNTIFS(K$3:K$33,K$37,L$3:L$33,A$38)-(COUNTIFS(K$3:K$33,K$37,M$3:M$33,"*gộp*")/2)-COUNTIFS(K$3:K$33,K$37,M$3:M$33,"*đơn trả*")-COUNTIFS(K$3:K$33,K$37,M$3:M$33,"*hàng tỉnh*")</f>
        <v>0</v>
      </c>
      <c r="O40" t="s">
        <v>119</v>
      </c>
      <c r="P40">
        <f>L59</f>
        <v>4475</v>
      </c>
    </row>
    <row r="41" spans="1:17" x14ac:dyDescent="0.25">
      <c r="B41" s="4" t="s">
        <v>170</v>
      </c>
      <c r="C41" s="60">
        <f>SUBTOTAL(9,C38:C40)</f>
        <v>19447</v>
      </c>
      <c r="D41" s="60"/>
      <c r="E41">
        <f>E38</f>
        <v>31</v>
      </c>
      <c r="K41" s="7" t="s">
        <v>155</v>
      </c>
      <c r="O41" t="s">
        <v>171</v>
      </c>
      <c r="P41">
        <f>-C45</f>
        <v>-19447</v>
      </c>
    </row>
    <row r="42" spans="1:17" x14ac:dyDescent="0.25">
      <c r="B42" s="2" t="s">
        <v>172</v>
      </c>
      <c r="C42" s="58"/>
      <c r="D42" s="58"/>
      <c r="K42" s="2" t="s">
        <v>173</v>
      </c>
      <c r="O42" s="4" t="s">
        <v>174</v>
      </c>
      <c r="P42" s="4">
        <f>SUBTOTAL(9,P38:P41)</f>
        <v>109</v>
      </c>
    </row>
    <row r="43" spans="1:17" x14ac:dyDescent="0.25">
      <c r="B43" s="8" t="s">
        <v>175</v>
      </c>
      <c r="C43" s="58"/>
      <c r="D43" s="58"/>
      <c r="L43" s="9">
        <f>SUBTOTAL(9,L38:L42)</f>
        <v>7794</v>
      </c>
      <c r="M43" s="9">
        <f>M38</f>
        <v>8</v>
      </c>
    </row>
    <row r="45" spans="1:17" x14ac:dyDescent="0.25">
      <c r="B45" s="1" t="s">
        <v>176</v>
      </c>
      <c r="C45" s="59">
        <f>C41+C42+C43</f>
        <v>19447</v>
      </c>
      <c r="D45" s="59"/>
      <c r="E45" s="1" t="s">
        <v>177</v>
      </c>
      <c r="K45" s="6" t="s">
        <v>33</v>
      </c>
      <c r="L45" s="6" t="s">
        <v>160</v>
      </c>
      <c r="M45" s="6" t="s">
        <v>159</v>
      </c>
    </row>
    <row r="46" spans="1:17" x14ac:dyDescent="0.25">
      <c r="K46" t="s">
        <v>164</v>
      </c>
      <c r="L46">
        <f>SUMIFS(G$3:G$33,J$3:J$33,K$45)</f>
        <v>7592</v>
      </c>
      <c r="M46">
        <f>SUMIFS(Q$3:Q$33,J$3:J$33,K$45)-INT(COUNTIFS(J$3:J$33,K$45,M$3:M$33,"*gộp*")/2)</f>
        <v>10</v>
      </c>
    </row>
    <row r="47" spans="1:17" x14ac:dyDescent="0.25">
      <c r="K47" t="s">
        <v>167</v>
      </c>
      <c r="L47">
        <f>-SUMIFS(H$3:H$33,J$3:J$33,K$45)+M47*5</f>
        <v>-245</v>
      </c>
      <c r="M47">
        <f>SUMIFS(Q$3:Q$33,J$3:J$33,K$45)-INT(COUNTIFS(J$3:J$33,K$45,M$3:M$33,"*gộp*")/2)</f>
        <v>10</v>
      </c>
    </row>
    <row r="48" spans="1:17" x14ac:dyDescent="0.25">
      <c r="K48" t="s">
        <v>169</v>
      </c>
      <c r="L48">
        <f>-M48*2</f>
        <v>-60</v>
      </c>
      <c r="M48">
        <f>COUNTIFS(K$3:K$33,K$45,L$3:L$33,A$38)-(COUNTIFS(K$3:K$33,K$45,M$3:M$33,"*gộp*")/2)-COUNTIFS(K$3:K$33,K$45,M$3:M$33,"*đơn trả*")-COUNTIFS(K$3:K$33,K$45,M$3:M$33,"*hàng tỉnh*")</f>
        <v>30</v>
      </c>
    </row>
    <row r="49" spans="11:13" x14ac:dyDescent="0.25">
      <c r="K49" s="7" t="s">
        <v>155</v>
      </c>
    </row>
    <row r="50" spans="11:13" x14ac:dyDescent="0.25">
      <c r="K50" s="2" t="s">
        <v>173</v>
      </c>
    </row>
    <row r="51" spans="11:13" x14ac:dyDescent="0.25">
      <c r="L51" s="9">
        <f>SUBTOTAL(9,L46:L50)</f>
        <v>7287</v>
      </c>
      <c r="M51" s="9">
        <f>M46</f>
        <v>10</v>
      </c>
    </row>
    <row r="53" spans="11:13" x14ac:dyDescent="0.25">
      <c r="K53" s="6" t="s">
        <v>119</v>
      </c>
      <c r="L53" s="6" t="s">
        <v>160</v>
      </c>
      <c r="M53" s="6" t="s">
        <v>159</v>
      </c>
    </row>
    <row r="54" spans="11:13" x14ac:dyDescent="0.25">
      <c r="K54" t="s">
        <v>164</v>
      </c>
      <c r="L54">
        <f>SUMIFS(G$3:G$33,J$3:J$33,K$53)</f>
        <v>4740</v>
      </c>
      <c r="M54">
        <f>SUMIFS(Q$3:Q$33,J$3:J$33,K$53)-INT(COUNTIFS(J$3:J$33,K$53,M$3:M$33,"*gộp*")/2)</f>
        <v>12</v>
      </c>
    </row>
    <row r="55" spans="11:13" x14ac:dyDescent="0.25">
      <c r="K55" t="s">
        <v>167</v>
      </c>
      <c r="L55">
        <f>-SUMIFS(H$3:H$33,J$3:J$33,K$53)+M55*5</f>
        <v>-265</v>
      </c>
      <c r="M55">
        <f>SUMIFS(Q$3:Q$33,J$3:J$33,K$53)-INT(COUNTIFS(J$3:J$33,K$53,M$3:M$33,"*gộp*")/2)</f>
        <v>12</v>
      </c>
    </row>
    <row r="56" spans="11:13" x14ac:dyDescent="0.25">
      <c r="K56" t="s">
        <v>169</v>
      </c>
      <c r="L56">
        <f>-M56*2</f>
        <v>0</v>
      </c>
      <c r="M56">
        <f>COUNTIFS(K$3:K$33,K$53,L$3:L$33,A$38)-(COUNTIFS(K$3:K$33,K$53,M$3:M$33,"*gộp*")/2)-COUNTIFS(K$3:K$33,K$53,M$3:M$33,"*đơn trả*")-COUNTIFS(K$3:K$33,K$53,M$3:M$33,"*hàng tỉnh*")</f>
        <v>0</v>
      </c>
    </row>
    <row r="57" spans="11:13" x14ac:dyDescent="0.25">
      <c r="K57" s="7" t="s">
        <v>155</v>
      </c>
    </row>
    <row r="58" spans="11:13" x14ac:dyDescent="0.25">
      <c r="K58" s="2" t="s">
        <v>173</v>
      </c>
    </row>
    <row r="59" spans="11:13" x14ac:dyDescent="0.25">
      <c r="L59" s="9">
        <f>SUBTOTAL(9,L54:L58)</f>
        <v>4475</v>
      </c>
      <c r="M59" s="9">
        <f>M54</f>
        <v>12</v>
      </c>
    </row>
  </sheetData>
  <autoFilter ref="A2:P33" xr:uid="{00000000-0009-0000-0000-000013000000}">
    <sortState xmlns:xlrd2="http://schemas.microsoft.com/office/spreadsheetml/2017/richdata2" ref="A3:P33">
      <sortCondition ref="J2:J33"/>
    </sortState>
  </autoFilter>
  <mergeCells count="8">
    <mergeCell ref="C42:D42"/>
    <mergeCell ref="C43:D43"/>
    <mergeCell ref="C45:D45"/>
    <mergeCell ref="C37:D37"/>
    <mergeCell ref="C38:D38"/>
    <mergeCell ref="C39:D39"/>
    <mergeCell ref="C40:D40"/>
    <mergeCell ref="C41:D41"/>
  </mergeCell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R70"/>
  <sheetViews>
    <sheetView workbookViewId="0">
      <selection activeCell="A34" sqref="A34"/>
    </sheetView>
  </sheetViews>
  <sheetFormatPr defaultRowHeight="15" x14ac:dyDescent="0.25"/>
  <cols>
    <col min="1" max="1" width="12.7109375" customWidth="1"/>
    <col min="2" max="2" width="8.5703125" customWidth="1"/>
    <col min="3" max="3" width="30" customWidth="1"/>
    <col min="4" max="4" width="9.85546875" customWidth="1"/>
    <col min="5" max="5" width="68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1823</v>
      </c>
      <c r="D3" s="11" t="s">
        <v>1824</v>
      </c>
      <c r="E3" s="11" t="s">
        <v>1825</v>
      </c>
      <c r="F3" s="11" t="s">
        <v>48</v>
      </c>
      <c r="G3" s="12">
        <v>0</v>
      </c>
      <c r="H3" s="12">
        <v>30</v>
      </c>
      <c r="I3" s="12">
        <f t="shared" ref="I3:I44" si="0">G3-H3</f>
        <v>-30</v>
      </c>
      <c r="J3" s="11" t="s">
        <v>1826</v>
      </c>
      <c r="K3" s="11" t="s">
        <v>33</v>
      </c>
      <c r="L3" s="11" t="s">
        <v>1827</v>
      </c>
      <c r="M3" s="11"/>
      <c r="N3" s="11"/>
      <c r="O3" s="11"/>
      <c r="P3" s="11"/>
      <c r="Q3" s="11">
        <v>1</v>
      </c>
      <c r="R3" s="5">
        <f>H3</f>
        <v>30</v>
      </c>
    </row>
    <row r="4" spans="1:18" x14ac:dyDescent="0.25">
      <c r="A4" s="11"/>
      <c r="B4" s="11" t="s">
        <v>27</v>
      </c>
      <c r="C4" s="11" t="s">
        <v>1828</v>
      </c>
      <c r="D4" s="11" t="s">
        <v>1829</v>
      </c>
      <c r="E4" s="11" t="s">
        <v>1830</v>
      </c>
      <c r="F4" s="11" t="s">
        <v>444</v>
      </c>
      <c r="G4" s="12">
        <v>0</v>
      </c>
      <c r="H4" s="12">
        <v>35</v>
      </c>
      <c r="I4" s="12">
        <f t="shared" si="0"/>
        <v>-35</v>
      </c>
      <c r="J4" s="11" t="s">
        <v>1826</v>
      </c>
      <c r="K4" s="11" t="s">
        <v>33</v>
      </c>
      <c r="L4" s="11" t="s">
        <v>1827</v>
      </c>
      <c r="M4" s="11"/>
      <c r="N4" s="11"/>
      <c r="O4" s="11"/>
      <c r="P4" s="11"/>
      <c r="Q4" s="11">
        <v>1</v>
      </c>
      <c r="R4" s="5">
        <f>H4</f>
        <v>35</v>
      </c>
    </row>
    <row r="5" spans="1:18" x14ac:dyDescent="0.25">
      <c r="A5" s="11"/>
      <c r="B5" s="11" t="s">
        <v>27</v>
      </c>
      <c r="C5" s="11" t="s">
        <v>1831</v>
      </c>
      <c r="D5" s="11" t="s">
        <v>1832</v>
      </c>
      <c r="E5" s="11" t="s">
        <v>1833</v>
      </c>
      <c r="F5" s="12">
        <v>6</v>
      </c>
      <c r="G5" s="12">
        <v>727</v>
      </c>
      <c r="H5" s="12">
        <v>25</v>
      </c>
      <c r="I5" s="12">
        <f t="shared" si="0"/>
        <v>702</v>
      </c>
      <c r="J5" s="11" t="s">
        <v>1826</v>
      </c>
      <c r="K5" s="11" t="s">
        <v>33</v>
      </c>
      <c r="L5" s="11" t="s">
        <v>1827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1834</v>
      </c>
      <c r="D6" s="11" t="s">
        <v>1835</v>
      </c>
      <c r="E6" s="11" t="s">
        <v>1836</v>
      </c>
      <c r="F6" s="11" t="s">
        <v>48</v>
      </c>
      <c r="G6" s="12">
        <v>0</v>
      </c>
      <c r="H6" s="12">
        <v>30</v>
      </c>
      <c r="I6" s="12">
        <f t="shared" si="0"/>
        <v>-30</v>
      </c>
      <c r="J6" s="11" t="s">
        <v>1826</v>
      </c>
      <c r="K6" s="11" t="s">
        <v>33</v>
      </c>
      <c r="L6" s="11" t="s">
        <v>1827</v>
      </c>
      <c r="M6" s="11"/>
      <c r="N6" s="11"/>
      <c r="O6" s="11"/>
      <c r="P6" s="11"/>
      <c r="Q6" s="11">
        <v>1</v>
      </c>
      <c r="R6" s="5">
        <f>H6</f>
        <v>30</v>
      </c>
    </row>
    <row r="7" spans="1:18" x14ac:dyDescent="0.25">
      <c r="A7" s="11"/>
      <c r="B7" s="11" t="s">
        <v>27</v>
      </c>
      <c r="C7" s="11" t="s">
        <v>1837</v>
      </c>
      <c r="D7" s="11" t="s">
        <v>1838</v>
      </c>
      <c r="E7" s="11" t="s">
        <v>1839</v>
      </c>
      <c r="F7" s="11" t="s">
        <v>31</v>
      </c>
      <c r="G7" s="12">
        <v>575</v>
      </c>
      <c r="H7" s="12">
        <v>25</v>
      </c>
      <c r="I7" s="12">
        <f t="shared" si="0"/>
        <v>550</v>
      </c>
      <c r="J7" s="11" t="s">
        <v>1826</v>
      </c>
      <c r="K7" s="11" t="s">
        <v>33</v>
      </c>
      <c r="L7" s="11" t="s">
        <v>1827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1840</v>
      </c>
      <c r="D8" s="11" t="s">
        <v>1841</v>
      </c>
      <c r="E8" s="11" t="s">
        <v>1842</v>
      </c>
      <c r="F8" s="11" t="s">
        <v>48</v>
      </c>
      <c r="G8" s="12">
        <v>1191</v>
      </c>
      <c r="H8" s="12">
        <v>30</v>
      </c>
      <c r="I8" s="12">
        <f t="shared" si="0"/>
        <v>1161</v>
      </c>
      <c r="J8" s="11" t="s">
        <v>1826</v>
      </c>
      <c r="K8" s="11" t="s">
        <v>33</v>
      </c>
      <c r="L8" s="11" t="s">
        <v>1827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1843</v>
      </c>
      <c r="D9" s="11" t="s">
        <v>1844</v>
      </c>
      <c r="E9" s="11" t="s">
        <v>1845</v>
      </c>
      <c r="F9" s="11" t="s">
        <v>48</v>
      </c>
      <c r="G9" s="12">
        <v>780</v>
      </c>
      <c r="H9" s="12">
        <v>30</v>
      </c>
      <c r="I9" s="12">
        <f t="shared" si="0"/>
        <v>750</v>
      </c>
      <c r="J9" s="11" t="s">
        <v>1826</v>
      </c>
      <c r="K9" s="11" t="s">
        <v>33</v>
      </c>
      <c r="L9" s="11" t="s">
        <v>1827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1846</v>
      </c>
      <c r="D10" s="11" t="s">
        <v>1847</v>
      </c>
      <c r="E10" s="11" t="s">
        <v>1848</v>
      </c>
      <c r="F10" s="11" t="s">
        <v>48</v>
      </c>
      <c r="G10" s="12">
        <v>0</v>
      </c>
      <c r="H10" s="12">
        <v>30</v>
      </c>
      <c r="I10" s="12">
        <f t="shared" si="0"/>
        <v>-30</v>
      </c>
      <c r="J10" s="11" t="s">
        <v>1826</v>
      </c>
      <c r="K10" s="11" t="s">
        <v>33</v>
      </c>
      <c r="L10" s="11" t="s">
        <v>1827</v>
      </c>
      <c r="M10" s="11"/>
      <c r="N10" s="11"/>
      <c r="O10" s="11"/>
      <c r="P10" s="11"/>
      <c r="Q10" s="11">
        <v>1</v>
      </c>
      <c r="R10" s="5">
        <f>H10</f>
        <v>30</v>
      </c>
    </row>
    <row r="11" spans="1:18" x14ac:dyDescent="0.25">
      <c r="A11" s="11"/>
      <c r="B11" s="11" t="s">
        <v>27</v>
      </c>
      <c r="C11" s="11" t="s">
        <v>1849</v>
      </c>
      <c r="D11" s="11" t="s">
        <v>1850</v>
      </c>
      <c r="E11" s="11" t="s">
        <v>1851</v>
      </c>
      <c r="F11" s="11" t="s">
        <v>55</v>
      </c>
      <c r="G11" s="12">
        <v>0</v>
      </c>
      <c r="H11" s="12">
        <v>35</v>
      </c>
      <c r="I11" s="12">
        <f t="shared" si="0"/>
        <v>-35</v>
      </c>
      <c r="J11" s="11" t="s">
        <v>1826</v>
      </c>
      <c r="K11" s="11" t="s">
        <v>33</v>
      </c>
      <c r="L11" s="11" t="s">
        <v>1827</v>
      </c>
      <c r="M11" s="11"/>
      <c r="N11" s="11"/>
      <c r="O11" s="11"/>
      <c r="P11" s="11"/>
      <c r="Q11" s="11">
        <v>1</v>
      </c>
      <c r="R11" s="5">
        <f>H11</f>
        <v>35</v>
      </c>
    </row>
    <row r="12" spans="1:18" s="15" customFormat="1" x14ac:dyDescent="0.25">
      <c r="A12" s="13"/>
      <c r="B12" s="13" t="s">
        <v>27</v>
      </c>
      <c r="C12" s="13" t="s">
        <v>1852</v>
      </c>
      <c r="D12" s="13" t="s">
        <v>1853</v>
      </c>
      <c r="E12" s="13" t="s">
        <v>1854</v>
      </c>
      <c r="F12" s="13" t="s">
        <v>48</v>
      </c>
      <c r="G12" s="14">
        <v>700</v>
      </c>
      <c r="H12" s="14">
        <v>30</v>
      </c>
      <c r="I12" s="14">
        <f t="shared" si="0"/>
        <v>670</v>
      </c>
      <c r="J12" s="13" t="s">
        <v>1826</v>
      </c>
      <c r="K12" s="13" t="s">
        <v>33</v>
      </c>
      <c r="L12" s="13" t="s">
        <v>1827</v>
      </c>
      <c r="M12" s="13" t="s">
        <v>100</v>
      </c>
      <c r="N12" s="13"/>
      <c r="O12" s="13"/>
      <c r="P12" s="13"/>
      <c r="Q12" s="13">
        <v>1</v>
      </c>
    </row>
    <row r="13" spans="1:18" x14ac:dyDescent="0.25">
      <c r="A13" s="11"/>
      <c r="B13" s="11" t="s">
        <v>27</v>
      </c>
      <c r="C13" s="11" t="s">
        <v>1855</v>
      </c>
      <c r="D13" s="11" t="s">
        <v>1856</v>
      </c>
      <c r="E13" s="11" t="s">
        <v>1857</v>
      </c>
      <c r="F13" s="12">
        <v>8</v>
      </c>
      <c r="G13" s="12">
        <v>2334</v>
      </c>
      <c r="H13" s="12">
        <v>30</v>
      </c>
      <c r="I13" s="12">
        <f t="shared" si="0"/>
        <v>2304</v>
      </c>
      <c r="J13" s="11" t="s">
        <v>1826</v>
      </c>
      <c r="K13" s="11" t="s">
        <v>33</v>
      </c>
      <c r="L13" s="11" t="s">
        <v>1827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1602</v>
      </c>
      <c r="D14" s="11" t="s">
        <v>1858</v>
      </c>
      <c r="E14" s="11" t="s">
        <v>1604</v>
      </c>
      <c r="F14" s="11" t="s">
        <v>104</v>
      </c>
      <c r="G14" s="12">
        <v>0</v>
      </c>
      <c r="H14" s="12">
        <v>30</v>
      </c>
      <c r="I14" s="12">
        <f t="shared" si="0"/>
        <v>-30</v>
      </c>
      <c r="J14" s="11" t="s">
        <v>33</v>
      </c>
      <c r="K14" s="11" t="s">
        <v>33</v>
      </c>
      <c r="L14" s="11" t="s">
        <v>1827</v>
      </c>
      <c r="M14" s="11"/>
      <c r="N14" s="11"/>
      <c r="O14" s="11"/>
      <c r="P14" s="11"/>
      <c r="Q14" s="11">
        <v>1</v>
      </c>
      <c r="R14" s="5">
        <f>H14</f>
        <v>30</v>
      </c>
    </row>
    <row r="15" spans="1:18" x14ac:dyDescent="0.25">
      <c r="A15" s="11"/>
      <c r="B15" s="11" t="s">
        <v>27</v>
      </c>
      <c r="C15" s="11" t="s">
        <v>1859</v>
      </c>
      <c r="D15" s="11" t="s">
        <v>1860</v>
      </c>
      <c r="E15" s="11" t="s">
        <v>1861</v>
      </c>
      <c r="F15" s="11" t="s">
        <v>78</v>
      </c>
      <c r="G15" s="12">
        <v>1401</v>
      </c>
      <c r="H15" s="12">
        <v>20</v>
      </c>
      <c r="I15" s="12">
        <f t="shared" si="0"/>
        <v>1381</v>
      </c>
      <c r="J15" s="11" t="s">
        <v>33</v>
      </c>
      <c r="K15" s="11" t="s">
        <v>33</v>
      </c>
      <c r="L15" s="11" t="s">
        <v>1827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1862</v>
      </c>
      <c r="D16" s="11" t="s">
        <v>1863</v>
      </c>
      <c r="E16" s="11" t="s">
        <v>1864</v>
      </c>
      <c r="F16" s="11" t="s">
        <v>104</v>
      </c>
      <c r="G16" s="12">
        <v>920</v>
      </c>
      <c r="H16" s="12">
        <v>30</v>
      </c>
      <c r="I16" s="12">
        <f t="shared" si="0"/>
        <v>890</v>
      </c>
      <c r="J16" s="11" t="s">
        <v>33</v>
      </c>
      <c r="K16" s="11" t="s">
        <v>33</v>
      </c>
      <c r="L16" s="11" t="s">
        <v>1827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2">
        <v>2429</v>
      </c>
      <c r="D17" s="11" t="s">
        <v>1865</v>
      </c>
      <c r="E17" s="11" t="s">
        <v>606</v>
      </c>
      <c r="F17" s="12">
        <v>12</v>
      </c>
      <c r="G17" s="12">
        <v>0</v>
      </c>
      <c r="H17" s="12">
        <v>30</v>
      </c>
      <c r="I17" s="12">
        <f t="shared" si="0"/>
        <v>-30</v>
      </c>
      <c r="J17" s="11" t="s">
        <v>33</v>
      </c>
      <c r="K17" s="11" t="s">
        <v>33</v>
      </c>
      <c r="L17" s="11" t="s">
        <v>1827</v>
      </c>
      <c r="M17" s="11"/>
      <c r="N17" s="11"/>
      <c r="O17" s="11"/>
      <c r="P17" s="11"/>
      <c r="Q17" s="11">
        <v>1</v>
      </c>
      <c r="R17" s="5">
        <f>H17</f>
        <v>30</v>
      </c>
    </row>
    <row r="18" spans="1:18" x14ac:dyDescent="0.25">
      <c r="A18" s="11"/>
      <c r="B18" s="11" t="s">
        <v>27</v>
      </c>
      <c r="C18" s="11" t="s">
        <v>1866</v>
      </c>
      <c r="D18" s="11" t="s">
        <v>1867</v>
      </c>
      <c r="E18" s="11" t="s">
        <v>1868</v>
      </c>
      <c r="F18" s="12">
        <v>2</v>
      </c>
      <c r="G18" s="12">
        <v>860</v>
      </c>
      <c r="H18" s="12">
        <v>30</v>
      </c>
      <c r="I18" s="12">
        <f t="shared" si="0"/>
        <v>830</v>
      </c>
      <c r="J18" s="11" t="s">
        <v>33</v>
      </c>
      <c r="K18" s="11" t="s">
        <v>33</v>
      </c>
      <c r="L18" s="11" t="s">
        <v>1827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248</v>
      </c>
      <c r="D19" s="11" t="s">
        <v>1869</v>
      </c>
      <c r="E19" s="11" t="s">
        <v>1870</v>
      </c>
      <c r="F19" s="12">
        <v>12</v>
      </c>
      <c r="G19" s="12">
        <v>30</v>
      </c>
      <c r="H19" s="12">
        <v>30</v>
      </c>
      <c r="I19" s="12">
        <f t="shared" si="0"/>
        <v>0</v>
      </c>
      <c r="J19" s="11" t="s">
        <v>33</v>
      </c>
      <c r="K19" s="11" t="s">
        <v>33</v>
      </c>
      <c r="L19" s="11" t="s">
        <v>1827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1871</v>
      </c>
      <c r="D20" s="11" t="s">
        <v>1872</v>
      </c>
      <c r="E20" s="11" t="s">
        <v>1873</v>
      </c>
      <c r="F20" s="12">
        <v>12</v>
      </c>
      <c r="G20" s="12">
        <v>0</v>
      </c>
      <c r="H20" s="12">
        <v>30</v>
      </c>
      <c r="I20" s="12">
        <f t="shared" si="0"/>
        <v>-30</v>
      </c>
      <c r="J20" s="11" t="s">
        <v>33</v>
      </c>
      <c r="K20" s="11" t="s">
        <v>33</v>
      </c>
      <c r="L20" s="11" t="s">
        <v>1827</v>
      </c>
      <c r="M20" s="11"/>
      <c r="N20" s="11"/>
      <c r="O20" s="11"/>
      <c r="P20" s="11"/>
      <c r="Q20" s="11">
        <v>1</v>
      </c>
      <c r="R20" s="5">
        <f>H20</f>
        <v>30</v>
      </c>
    </row>
    <row r="21" spans="1:18" x14ac:dyDescent="0.25">
      <c r="A21" s="11"/>
      <c r="B21" s="11" t="s">
        <v>27</v>
      </c>
      <c r="C21" s="11" t="s">
        <v>1874</v>
      </c>
      <c r="D21" s="11" t="s">
        <v>1875</v>
      </c>
      <c r="E21" s="11" t="s">
        <v>1876</v>
      </c>
      <c r="F21" s="12">
        <v>2</v>
      </c>
      <c r="G21" s="12">
        <v>858</v>
      </c>
      <c r="H21" s="12">
        <v>30</v>
      </c>
      <c r="I21" s="12">
        <f t="shared" si="0"/>
        <v>828</v>
      </c>
      <c r="J21" s="11" t="s">
        <v>33</v>
      </c>
      <c r="K21" s="11" t="s">
        <v>33</v>
      </c>
      <c r="L21" s="11" t="s">
        <v>1827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1877</v>
      </c>
      <c r="D22" s="11" t="s">
        <v>1878</v>
      </c>
      <c r="E22" s="11" t="s">
        <v>1879</v>
      </c>
      <c r="F22" s="11" t="s">
        <v>68</v>
      </c>
      <c r="G22" s="12">
        <v>2563</v>
      </c>
      <c r="H22" s="12">
        <v>30</v>
      </c>
      <c r="I22" s="12">
        <f t="shared" si="0"/>
        <v>2533</v>
      </c>
      <c r="J22" s="11" t="s">
        <v>33</v>
      </c>
      <c r="K22" s="11" t="s">
        <v>33</v>
      </c>
      <c r="L22" s="11" t="s">
        <v>1827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1880</v>
      </c>
      <c r="D23" s="11" t="s">
        <v>1881</v>
      </c>
      <c r="E23" s="11" t="s">
        <v>1882</v>
      </c>
      <c r="F23" s="11" t="s">
        <v>78</v>
      </c>
      <c r="G23" s="12">
        <v>956</v>
      </c>
      <c r="H23" s="12">
        <v>20</v>
      </c>
      <c r="I23" s="12">
        <f t="shared" si="0"/>
        <v>936</v>
      </c>
      <c r="J23" s="11" t="s">
        <v>33</v>
      </c>
      <c r="K23" s="11" t="s">
        <v>33</v>
      </c>
      <c r="L23" s="11" t="s">
        <v>1827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1883</v>
      </c>
      <c r="D24" s="11" t="s">
        <v>1884</v>
      </c>
      <c r="E24" s="11" t="s">
        <v>1885</v>
      </c>
      <c r="F24" s="12">
        <v>2</v>
      </c>
      <c r="G24" s="12">
        <v>444</v>
      </c>
      <c r="H24" s="12">
        <v>30</v>
      </c>
      <c r="I24" s="12">
        <f t="shared" si="0"/>
        <v>414</v>
      </c>
      <c r="J24" s="11" t="s">
        <v>33</v>
      </c>
      <c r="K24" s="11" t="s">
        <v>33</v>
      </c>
      <c r="L24" s="11" t="s">
        <v>1827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1886</v>
      </c>
      <c r="D25" s="11" t="s">
        <v>1887</v>
      </c>
      <c r="E25" s="11" t="s">
        <v>1888</v>
      </c>
      <c r="F25" s="11" t="s">
        <v>104</v>
      </c>
      <c r="G25" s="12">
        <v>444</v>
      </c>
      <c r="H25" s="12">
        <v>30</v>
      </c>
      <c r="I25" s="12">
        <f t="shared" si="0"/>
        <v>414</v>
      </c>
      <c r="J25" s="11" t="s">
        <v>33</v>
      </c>
      <c r="K25" s="11" t="s">
        <v>33</v>
      </c>
      <c r="L25" s="11" t="s">
        <v>1827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1889</v>
      </c>
      <c r="D26" s="11" t="s">
        <v>1890</v>
      </c>
      <c r="E26" s="11" t="s">
        <v>1891</v>
      </c>
      <c r="F26" s="11" t="s">
        <v>68</v>
      </c>
      <c r="G26" s="12">
        <v>0</v>
      </c>
      <c r="H26" s="12">
        <v>25</v>
      </c>
      <c r="I26" s="12">
        <f t="shared" si="0"/>
        <v>-25</v>
      </c>
      <c r="J26" s="11" t="s">
        <v>33</v>
      </c>
      <c r="K26" s="11" t="s">
        <v>33</v>
      </c>
      <c r="L26" s="11" t="s">
        <v>1827</v>
      </c>
      <c r="M26" s="11"/>
      <c r="N26" s="11"/>
      <c r="O26" s="11"/>
      <c r="P26" s="11"/>
      <c r="Q26" s="11">
        <v>1</v>
      </c>
      <c r="R26" s="5">
        <f>H26</f>
        <v>25</v>
      </c>
    </row>
    <row r="27" spans="1:18" x14ac:dyDescent="0.25">
      <c r="A27" s="11"/>
      <c r="B27" s="11" t="s">
        <v>27</v>
      </c>
      <c r="C27" s="11" t="s">
        <v>1397</v>
      </c>
      <c r="D27" s="11" t="s">
        <v>1892</v>
      </c>
      <c r="E27" s="11" t="s">
        <v>1893</v>
      </c>
      <c r="F27" s="12">
        <v>2</v>
      </c>
      <c r="G27" s="12">
        <v>471</v>
      </c>
      <c r="H27" s="12">
        <v>30</v>
      </c>
      <c r="I27" s="12">
        <f t="shared" si="0"/>
        <v>441</v>
      </c>
      <c r="J27" s="11" t="s">
        <v>33</v>
      </c>
      <c r="K27" s="11" t="s">
        <v>33</v>
      </c>
      <c r="L27" s="11" t="s">
        <v>1827</v>
      </c>
      <c r="M27" s="11"/>
      <c r="N27" s="11"/>
      <c r="O27" s="11"/>
      <c r="P27" s="11"/>
      <c r="Q27" s="11">
        <v>1</v>
      </c>
    </row>
    <row r="28" spans="1:18" x14ac:dyDescent="0.25">
      <c r="A28" s="11" t="s">
        <v>59</v>
      </c>
      <c r="B28" s="11" t="s">
        <v>27</v>
      </c>
      <c r="C28" s="11" t="s">
        <v>1894</v>
      </c>
      <c r="D28" s="11"/>
      <c r="E28" s="11" t="s">
        <v>1067</v>
      </c>
      <c r="F28" s="11" t="s">
        <v>44</v>
      </c>
      <c r="G28" s="12">
        <v>30</v>
      </c>
      <c r="H28" s="12">
        <v>30</v>
      </c>
      <c r="I28" s="12">
        <f t="shared" si="0"/>
        <v>0</v>
      </c>
      <c r="J28" s="11" t="s">
        <v>33</v>
      </c>
      <c r="K28" s="11" t="s">
        <v>33</v>
      </c>
      <c r="L28" s="11" t="s">
        <v>1827</v>
      </c>
      <c r="M28" s="11"/>
      <c r="N28" s="11"/>
      <c r="O28" s="11"/>
      <c r="P28" s="11"/>
      <c r="Q28" s="11">
        <v>1</v>
      </c>
    </row>
    <row r="29" spans="1:18" x14ac:dyDescent="0.25">
      <c r="A29" s="11" t="s">
        <v>59</v>
      </c>
      <c r="B29" s="11" t="s">
        <v>27</v>
      </c>
      <c r="C29" s="11" t="s">
        <v>1895</v>
      </c>
      <c r="D29" s="11"/>
      <c r="E29" s="11" t="s">
        <v>1896</v>
      </c>
      <c r="F29" s="12">
        <v>12</v>
      </c>
      <c r="G29" s="12">
        <v>0</v>
      </c>
      <c r="H29" s="12">
        <v>35</v>
      </c>
      <c r="I29" s="12">
        <f t="shared" si="0"/>
        <v>-35</v>
      </c>
      <c r="J29" s="11" t="s">
        <v>33</v>
      </c>
      <c r="K29" s="11" t="s">
        <v>33</v>
      </c>
      <c r="L29" s="11" t="s">
        <v>1827</v>
      </c>
      <c r="M29" s="11"/>
      <c r="N29" s="11"/>
      <c r="O29" s="11"/>
      <c r="P29" s="11"/>
      <c r="Q29" s="11">
        <v>1</v>
      </c>
      <c r="R29" s="5">
        <f>H29</f>
        <v>35</v>
      </c>
    </row>
    <row r="30" spans="1:18" x14ac:dyDescent="0.25">
      <c r="A30" s="11"/>
      <c r="B30" s="11" t="s">
        <v>27</v>
      </c>
      <c r="C30" s="11" t="s">
        <v>1897</v>
      </c>
      <c r="D30" s="11" t="s">
        <v>1898</v>
      </c>
      <c r="E30" s="11" t="s">
        <v>1899</v>
      </c>
      <c r="F30" s="11" t="s">
        <v>68</v>
      </c>
      <c r="G30" s="12">
        <v>275</v>
      </c>
      <c r="H30" s="12">
        <v>25</v>
      </c>
      <c r="I30" s="12">
        <f t="shared" si="0"/>
        <v>250</v>
      </c>
      <c r="J30" s="11" t="s">
        <v>33</v>
      </c>
      <c r="K30" s="11" t="s">
        <v>33</v>
      </c>
      <c r="L30" s="11" t="s">
        <v>1827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1900</v>
      </c>
      <c r="D31" s="11" t="s">
        <v>1901</v>
      </c>
      <c r="E31" s="11" t="s">
        <v>1902</v>
      </c>
      <c r="F31" s="11" t="s">
        <v>104</v>
      </c>
      <c r="G31" s="12">
        <v>520</v>
      </c>
      <c r="H31" s="12">
        <v>30</v>
      </c>
      <c r="I31" s="12">
        <f t="shared" si="0"/>
        <v>490</v>
      </c>
      <c r="J31" s="11" t="s">
        <v>33</v>
      </c>
      <c r="K31" s="11" t="s">
        <v>33</v>
      </c>
      <c r="L31" s="11" t="s">
        <v>1827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1903</v>
      </c>
      <c r="D32" s="11" t="s">
        <v>1904</v>
      </c>
      <c r="E32" s="11" t="s">
        <v>1905</v>
      </c>
      <c r="F32" s="11" t="s">
        <v>104</v>
      </c>
      <c r="G32" s="12">
        <v>380</v>
      </c>
      <c r="H32" s="12">
        <v>30</v>
      </c>
      <c r="I32" s="12">
        <f t="shared" si="0"/>
        <v>350</v>
      </c>
      <c r="J32" s="11" t="s">
        <v>33</v>
      </c>
      <c r="K32" s="11" t="s">
        <v>33</v>
      </c>
      <c r="L32" s="11" t="s">
        <v>1827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1906</v>
      </c>
      <c r="D33" s="11" t="s">
        <v>1907</v>
      </c>
      <c r="E33" s="11" t="s">
        <v>1908</v>
      </c>
      <c r="F33" s="11" t="s">
        <v>68</v>
      </c>
      <c r="G33" s="12">
        <v>1155</v>
      </c>
      <c r="H33" s="12">
        <v>25</v>
      </c>
      <c r="I33" s="12">
        <f t="shared" si="0"/>
        <v>1130</v>
      </c>
      <c r="J33" s="11" t="s">
        <v>33</v>
      </c>
      <c r="K33" s="11" t="s">
        <v>33</v>
      </c>
      <c r="L33" s="11" t="s">
        <v>1827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1909</v>
      </c>
      <c r="D34" s="11" t="s">
        <v>1910</v>
      </c>
      <c r="E34" s="11" t="s">
        <v>1911</v>
      </c>
      <c r="F34" s="12">
        <v>1</v>
      </c>
      <c r="G34" s="12">
        <v>0</v>
      </c>
      <c r="H34" s="12">
        <v>25</v>
      </c>
      <c r="I34" s="12">
        <f t="shared" si="0"/>
        <v>-25</v>
      </c>
      <c r="J34" s="11" t="s">
        <v>119</v>
      </c>
      <c r="K34" s="11" t="s">
        <v>33</v>
      </c>
      <c r="L34" s="11" t="s">
        <v>1827</v>
      </c>
      <c r="M34" s="11"/>
      <c r="N34" s="11"/>
      <c r="O34" s="11"/>
      <c r="P34" s="11"/>
      <c r="Q34" s="11">
        <v>1</v>
      </c>
      <c r="R34" s="5">
        <f>H34</f>
        <v>25</v>
      </c>
    </row>
    <row r="35" spans="1:18" x14ac:dyDescent="0.25">
      <c r="A35" s="11"/>
      <c r="B35" s="11" t="s">
        <v>27</v>
      </c>
      <c r="C35" s="11" t="s">
        <v>1912</v>
      </c>
      <c r="D35" s="11" t="s">
        <v>1913</v>
      </c>
      <c r="E35" s="11" t="s">
        <v>1914</v>
      </c>
      <c r="F35" s="12">
        <v>7</v>
      </c>
      <c r="G35" s="12">
        <v>0</v>
      </c>
      <c r="H35" s="12">
        <v>30</v>
      </c>
      <c r="I35" s="12">
        <f t="shared" si="0"/>
        <v>-30</v>
      </c>
      <c r="J35" s="11" t="s">
        <v>119</v>
      </c>
      <c r="K35" s="11" t="s">
        <v>33</v>
      </c>
      <c r="L35" s="11" t="s">
        <v>1827</v>
      </c>
      <c r="M35" s="11"/>
      <c r="N35" s="11"/>
      <c r="O35" s="11"/>
      <c r="P35" s="11"/>
      <c r="Q35" s="11">
        <v>1</v>
      </c>
      <c r="R35" s="5">
        <f>H35</f>
        <v>30</v>
      </c>
    </row>
    <row r="36" spans="1:18" x14ac:dyDescent="0.25">
      <c r="A36" s="11"/>
      <c r="B36" s="11" t="s">
        <v>27</v>
      </c>
      <c r="C36" s="11" t="s">
        <v>1915</v>
      </c>
      <c r="D36" s="11" t="s">
        <v>1916</v>
      </c>
      <c r="E36" s="11" t="s">
        <v>1917</v>
      </c>
      <c r="F36" s="12">
        <v>1</v>
      </c>
      <c r="G36" s="12">
        <v>25</v>
      </c>
      <c r="H36" s="12">
        <v>25</v>
      </c>
      <c r="I36" s="12">
        <f t="shared" si="0"/>
        <v>0</v>
      </c>
      <c r="J36" s="11" t="s">
        <v>119</v>
      </c>
      <c r="K36" s="11" t="s">
        <v>33</v>
      </c>
      <c r="L36" s="11" t="s">
        <v>1827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1918</v>
      </c>
      <c r="D37" s="11" t="s">
        <v>1919</v>
      </c>
      <c r="E37" s="11" t="s">
        <v>1920</v>
      </c>
      <c r="F37" s="12">
        <v>7</v>
      </c>
      <c r="G37" s="12">
        <v>1047</v>
      </c>
      <c r="H37" s="12">
        <v>30</v>
      </c>
      <c r="I37" s="12">
        <f t="shared" si="0"/>
        <v>1017</v>
      </c>
      <c r="J37" s="11" t="s">
        <v>119</v>
      </c>
      <c r="K37" s="11" t="s">
        <v>33</v>
      </c>
      <c r="L37" s="11" t="s">
        <v>1827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1921</v>
      </c>
      <c r="D38" s="11" t="s">
        <v>1922</v>
      </c>
      <c r="E38" s="11" t="s">
        <v>1923</v>
      </c>
      <c r="F38" s="12">
        <v>4</v>
      </c>
      <c r="G38" s="12">
        <v>610</v>
      </c>
      <c r="H38" s="12">
        <v>25</v>
      </c>
      <c r="I38" s="12">
        <f t="shared" si="0"/>
        <v>585</v>
      </c>
      <c r="J38" s="11" t="s">
        <v>119</v>
      </c>
      <c r="K38" s="11" t="s">
        <v>33</v>
      </c>
      <c r="L38" s="11" t="s">
        <v>1827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1924</v>
      </c>
      <c r="D39" s="11" t="s">
        <v>1925</v>
      </c>
      <c r="E39" s="11" t="s">
        <v>1926</v>
      </c>
      <c r="F39" s="11" t="s">
        <v>118</v>
      </c>
      <c r="G39" s="12">
        <v>1060</v>
      </c>
      <c r="H39" s="12">
        <v>20</v>
      </c>
      <c r="I39" s="12">
        <f t="shared" si="0"/>
        <v>1040</v>
      </c>
      <c r="J39" s="11" t="s">
        <v>119</v>
      </c>
      <c r="K39" s="11" t="s">
        <v>33</v>
      </c>
      <c r="L39" s="11" t="s">
        <v>1827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1927</v>
      </c>
      <c r="D40" s="11" t="s">
        <v>1928</v>
      </c>
      <c r="E40" s="11" t="s">
        <v>1929</v>
      </c>
      <c r="F40" s="12">
        <v>7</v>
      </c>
      <c r="G40" s="12">
        <v>1686</v>
      </c>
      <c r="H40" s="12">
        <v>30</v>
      </c>
      <c r="I40" s="12">
        <f t="shared" si="0"/>
        <v>1656</v>
      </c>
      <c r="J40" s="11" t="s">
        <v>119</v>
      </c>
      <c r="K40" s="11" t="s">
        <v>33</v>
      </c>
      <c r="L40" s="11" t="s">
        <v>1827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1930</v>
      </c>
      <c r="D41" s="11" t="s">
        <v>1931</v>
      </c>
      <c r="E41" s="11" t="s">
        <v>1932</v>
      </c>
      <c r="F41" s="12">
        <v>5</v>
      </c>
      <c r="G41" s="12">
        <v>646</v>
      </c>
      <c r="H41" s="12">
        <v>25</v>
      </c>
      <c r="I41" s="12">
        <f t="shared" si="0"/>
        <v>621</v>
      </c>
      <c r="J41" s="11" t="s">
        <v>119</v>
      </c>
      <c r="K41" s="11" t="s">
        <v>33</v>
      </c>
      <c r="L41" s="11" t="s">
        <v>1827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1933</v>
      </c>
      <c r="D42" s="11" t="s">
        <v>1934</v>
      </c>
      <c r="E42" s="11" t="s">
        <v>1935</v>
      </c>
      <c r="F42" s="12">
        <v>7</v>
      </c>
      <c r="G42" s="12">
        <v>723</v>
      </c>
      <c r="H42" s="12">
        <v>30</v>
      </c>
      <c r="I42" s="12">
        <f t="shared" si="0"/>
        <v>693</v>
      </c>
      <c r="J42" s="11" t="s">
        <v>119</v>
      </c>
      <c r="K42" s="11" t="s">
        <v>33</v>
      </c>
      <c r="L42" s="11" t="s">
        <v>1827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1936</v>
      </c>
      <c r="D43" s="11" t="s">
        <v>1937</v>
      </c>
      <c r="E43" s="11" t="s">
        <v>1938</v>
      </c>
      <c r="F43" s="12">
        <v>5</v>
      </c>
      <c r="G43" s="12">
        <v>515</v>
      </c>
      <c r="H43" s="12">
        <v>25</v>
      </c>
      <c r="I43" s="12">
        <f t="shared" si="0"/>
        <v>490</v>
      </c>
      <c r="J43" s="11" t="s">
        <v>119</v>
      </c>
      <c r="K43" s="11" t="s">
        <v>33</v>
      </c>
      <c r="L43" s="11" t="s">
        <v>1827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1939</v>
      </c>
      <c r="D44" s="11" t="s">
        <v>1940</v>
      </c>
      <c r="E44" s="11" t="s">
        <v>1941</v>
      </c>
      <c r="F44" s="12">
        <v>4</v>
      </c>
      <c r="G44" s="12">
        <v>763</v>
      </c>
      <c r="H44" s="12">
        <v>25</v>
      </c>
      <c r="I44" s="12">
        <f t="shared" si="0"/>
        <v>738</v>
      </c>
      <c r="J44" s="11" t="s">
        <v>119</v>
      </c>
      <c r="K44" s="11" t="s">
        <v>33</v>
      </c>
      <c r="L44" s="11" t="s">
        <v>1827</v>
      </c>
      <c r="M44" s="11"/>
      <c r="N44" s="11"/>
      <c r="O44" s="11"/>
      <c r="P44" s="11"/>
      <c r="Q44" s="11">
        <v>1</v>
      </c>
    </row>
    <row r="46" spans="1:18" x14ac:dyDescent="0.25">
      <c r="D46" s="1">
        <f>COUNTA(D3:D44)</f>
        <v>40</v>
      </c>
      <c r="G46" s="1">
        <f t="shared" ref="G46:Q46" si="1">SUBTOTAL(9,G3:G44)</f>
        <v>24689</v>
      </c>
      <c r="H46" s="1">
        <f t="shared" si="1"/>
        <v>1190</v>
      </c>
      <c r="I46" s="1">
        <f t="shared" si="1"/>
        <v>23499</v>
      </c>
      <c r="J46" s="1">
        <f t="shared" si="1"/>
        <v>0</v>
      </c>
      <c r="K46" s="1">
        <f t="shared" si="1"/>
        <v>0</v>
      </c>
      <c r="L46" s="1">
        <f t="shared" si="1"/>
        <v>0</v>
      </c>
      <c r="M46" s="1">
        <f t="shared" si="1"/>
        <v>0</v>
      </c>
      <c r="N46" s="1">
        <f t="shared" si="1"/>
        <v>0</v>
      </c>
      <c r="O46" s="1">
        <f t="shared" si="1"/>
        <v>0</v>
      </c>
      <c r="P46" s="1">
        <f t="shared" si="1"/>
        <v>0</v>
      </c>
      <c r="Q46" s="1">
        <f t="shared" si="1"/>
        <v>42</v>
      </c>
    </row>
    <row r="47" spans="1:18" x14ac:dyDescent="0.25">
      <c r="H47">
        <f>-3*17</f>
        <v>-51</v>
      </c>
    </row>
    <row r="48" spans="1:18" x14ac:dyDescent="0.25">
      <c r="A48" s="1" t="s">
        <v>27</v>
      </c>
      <c r="C48" s="60" t="s">
        <v>158</v>
      </c>
      <c r="D48" s="60"/>
      <c r="E48" s="4" t="s">
        <v>159</v>
      </c>
      <c r="H48">
        <f>-6*25</f>
        <v>-150</v>
      </c>
      <c r="K48" s="6" t="s">
        <v>33</v>
      </c>
      <c r="L48" s="6" t="s">
        <v>160</v>
      </c>
      <c r="M48" s="6" t="s">
        <v>159</v>
      </c>
      <c r="O48" s="4" t="s">
        <v>161</v>
      </c>
    </row>
    <row r="49" spans="1:16" x14ac:dyDescent="0.25">
      <c r="A49" t="s">
        <v>1827</v>
      </c>
      <c r="B49" s="3" t="s">
        <v>162</v>
      </c>
      <c r="C49" s="61">
        <f>SUMIFS(I$3:I$44,B$3:B$44,A$48,L$3:L$44,A$49)</f>
        <v>23499</v>
      </c>
      <c r="D49" s="61"/>
      <c r="E49" s="3">
        <f>SUMIFS(Q$3:Q$44,B$3:B$44,A$48,L$3:L$44,A$49)</f>
        <v>42</v>
      </c>
      <c r="F49" t="s">
        <v>163</v>
      </c>
      <c r="H49">
        <f>-2*30</f>
        <v>-60</v>
      </c>
      <c r="K49" t="s">
        <v>164</v>
      </c>
      <c r="L49">
        <f>SUMIFS(G$3:G$44,J$3:J$44,K$48)</f>
        <v>11307</v>
      </c>
      <c r="M49">
        <f>SUMIFS(Q$3:Q$44,J$3:J$44,K$48)-INT(COUNTIFS(J$3:J$44,K$48,M$3:M$44,"*gộp*")/2)</f>
        <v>20</v>
      </c>
      <c r="O49" t="s">
        <v>33</v>
      </c>
      <c r="P49">
        <f>L54</f>
        <v>10753</v>
      </c>
    </row>
    <row r="50" spans="1:16" x14ac:dyDescent="0.25">
      <c r="B50" s="2" t="s">
        <v>166</v>
      </c>
      <c r="C50" s="62">
        <v>0</v>
      </c>
      <c r="D50" s="62"/>
      <c r="K50" t="s">
        <v>167</v>
      </c>
      <c r="L50">
        <f>-SUMIFS(H$3:H$44,J$3:J$44,K$48)+M50*5</f>
        <v>-470</v>
      </c>
      <c r="M50">
        <f>SUMIFS(Q$3:Q$44,J$3:J$44,K$48)-INT(COUNTIFS(J$3:J$44,K$48,M$3:M$44,"*gộp*")/2)</f>
        <v>20</v>
      </c>
      <c r="O50" t="s">
        <v>1942</v>
      </c>
      <c r="P50">
        <f>L62</f>
        <v>6046</v>
      </c>
    </row>
    <row r="51" spans="1:16" x14ac:dyDescent="0.25">
      <c r="B51" s="2" t="s">
        <v>168</v>
      </c>
      <c r="C51" s="62">
        <f>-SUMIFS(I$3:I$44,B$3:B$44,A$48,P$3:P$44,"xx",N$3:N$44,"x")</f>
        <v>0</v>
      </c>
      <c r="D51" s="62"/>
      <c r="E51" s="2">
        <f>SUMIFS(Q$3:Q$44,B$3:B$44,A$48,P$3:P$44,"xx",N$3:N$44,"x")</f>
        <v>0</v>
      </c>
      <c r="K51" t="s">
        <v>169</v>
      </c>
      <c r="L51">
        <f>-M51*2</f>
        <v>-84</v>
      </c>
      <c r="M51">
        <f>COUNTIFS(K$3:K$44,K$48,L$3:L$44,A$49)-(COUNTIFS(K$3:K$44,K$48,M$3:M$44,"*gộp*")/2)-COUNTIFS(K$3:K$44,K$48,M$3:M$44,"*đơn trả*")-COUNTIFS(K$3:K$44,K$48,M$3:M$44,"*hàng tỉnh*")</f>
        <v>42</v>
      </c>
      <c r="O51" t="s">
        <v>119</v>
      </c>
      <c r="P51">
        <f>L70</f>
        <v>6840</v>
      </c>
    </row>
    <row r="52" spans="1:16" x14ac:dyDescent="0.25">
      <c r="B52" s="4" t="s">
        <v>170</v>
      </c>
      <c r="C52" s="60">
        <f>SUBTOTAL(9,C49:C51)</f>
        <v>23499</v>
      </c>
      <c r="D52" s="60"/>
      <c r="E52">
        <f>E49</f>
        <v>42</v>
      </c>
      <c r="K52" s="7" t="s">
        <v>155</v>
      </c>
      <c r="O52" t="s">
        <v>171</v>
      </c>
      <c r="P52">
        <f>-C56</f>
        <v>-23499</v>
      </c>
    </row>
    <row r="53" spans="1:16" x14ac:dyDescent="0.25">
      <c r="B53" s="2" t="s">
        <v>172</v>
      </c>
      <c r="C53" s="58"/>
      <c r="D53" s="58"/>
      <c r="K53" s="2" t="s">
        <v>173</v>
      </c>
      <c r="O53" s="4" t="s">
        <v>174</v>
      </c>
      <c r="P53" s="4">
        <f>SUBTOTAL(9,P49:P52)</f>
        <v>140</v>
      </c>
    </row>
    <row r="54" spans="1:16" x14ac:dyDescent="0.25">
      <c r="B54" s="8" t="s">
        <v>175</v>
      </c>
      <c r="C54" s="58"/>
      <c r="D54" s="58"/>
      <c r="L54" s="9">
        <f>SUBTOTAL(9,L49:L53)</f>
        <v>10753</v>
      </c>
      <c r="M54" s="9">
        <f>M49</f>
        <v>20</v>
      </c>
    </row>
    <row r="56" spans="1:16" x14ac:dyDescent="0.25">
      <c r="B56" s="1" t="s">
        <v>176</v>
      </c>
      <c r="C56" s="59">
        <f>C52+C53+C54</f>
        <v>23499</v>
      </c>
      <c r="D56" s="59"/>
      <c r="E56" s="1" t="s">
        <v>177</v>
      </c>
      <c r="K56" s="6" t="s">
        <v>1826</v>
      </c>
      <c r="L56" s="6" t="s">
        <v>160</v>
      </c>
      <c r="M56" s="6" t="s">
        <v>159</v>
      </c>
    </row>
    <row r="57" spans="1:16" x14ac:dyDescent="0.25">
      <c r="K57" t="s">
        <v>164</v>
      </c>
      <c r="L57">
        <f>SUMIFS(G$3:G$44,J$3:J$44,K$56)</f>
        <v>6307</v>
      </c>
      <c r="M57">
        <f>SUMIFS(Q$3:Q$44,J$3:J$44,K$56)-INT(COUNTIFS(J$3:J$44,K$56,M$3:M$44,"*gộp*")/2)</f>
        <v>11</v>
      </c>
    </row>
    <row r="58" spans="1:16" x14ac:dyDescent="0.25">
      <c r="K58" t="s">
        <v>167</v>
      </c>
      <c r="L58">
        <f>SUM(H47:H49)</f>
        <v>-261</v>
      </c>
      <c r="M58">
        <f>SUMIFS(Q$3:Q$44,J$3:J$44,K$56)-INT(COUNTIFS(J$3:J$44,K$56,M$3:M$44,"*gộp*")/2)</f>
        <v>11</v>
      </c>
    </row>
    <row r="59" spans="1:16" x14ac:dyDescent="0.25">
      <c r="K59" t="s">
        <v>169</v>
      </c>
      <c r="L59">
        <f>-M59*2</f>
        <v>0</v>
      </c>
      <c r="M59">
        <f>COUNTIFS(K$3:K$44,K$56,L$3:L$44,A$49)-(COUNTIFS(K$3:K$44,K$56,M$3:M$44,"*gộp*")/2)-COUNTIFS(K$3:K$44,K$56,M$3:M$44,"*đơn trả*")-COUNTIFS(K$3:K$44,K$56,M$3:M$44,"*hàng tỉnh*")</f>
        <v>0</v>
      </c>
    </row>
    <row r="60" spans="1:16" x14ac:dyDescent="0.25">
      <c r="K60" s="7" t="s">
        <v>155</v>
      </c>
    </row>
    <row r="61" spans="1:16" x14ac:dyDescent="0.25">
      <c r="K61" s="2" t="s">
        <v>173</v>
      </c>
    </row>
    <row r="62" spans="1:16" x14ac:dyDescent="0.25">
      <c r="L62" s="9">
        <f>SUBTOTAL(9,L57:L61)</f>
        <v>6046</v>
      </c>
      <c r="M62" s="9">
        <f>M57</f>
        <v>11</v>
      </c>
    </row>
    <row r="64" spans="1:16" x14ac:dyDescent="0.25">
      <c r="K64" s="6" t="s">
        <v>119</v>
      </c>
      <c r="L64" s="6" t="s">
        <v>160</v>
      </c>
      <c r="M64" s="6" t="s">
        <v>159</v>
      </c>
    </row>
    <row r="65" spans="11:13" x14ac:dyDescent="0.25">
      <c r="K65" t="s">
        <v>164</v>
      </c>
      <c r="L65">
        <f>SUMIFS(G$3:G$44,J$3:J$44,K$64)</f>
        <v>7075</v>
      </c>
      <c r="M65">
        <f>SUMIFS(Q$3:Q$44,J$3:J$44,K$64)-INT(COUNTIFS(J$3:J$44,K$64,M$3:M$44,"*gộp*")/2)</f>
        <v>11</v>
      </c>
    </row>
    <row r="66" spans="11:13" x14ac:dyDescent="0.25">
      <c r="K66" t="s">
        <v>167</v>
      </c>
      <c r="L66">
        <f>-SUMIFS(H$3:H$44,J$3:J$44,K$64)+M66*5</f>
        <v>-235</v>
      </c>
      <c r="M66">
        <f>SUMIFS(Q$3:Q$44,J$3:J$44,K$64)-INT(COUNTIFS(J$3:J$44,K$64,M$3:M$44,"*gộp*")/2)</f>
        <v>11</v>
      </c>
    </row>
    <row r="67" spans="11:13" x14ac:dyDescent="0.25">
      <c r="K67" t="s">
        <v>169</v>
      </c>
      <c r="L67">
        <f>-M67*2</f>
        <v>0</v>
      </c>
      <c r="M67">
        <f>COUNTIFS(K$3:K$44,K$64,L$3:L$44,A$49)-(COUNTIFS(K$3:K$44,K$64,M$3:M$44,"*gộp*")/2)-COUNTIFS(K$3:K$44,K$64,M$3:M$44,"*đơn trả*")-COUNTIFS(K$3:K$44,K$64,M$3:M$44,"*hàng tỉnh*")</f>
        <v>0</v>
      </c>
    </row>
    <row r="68" spans="11:13" x14ac:dyDescent="0.25">
      <c r="K68" s="7" t="s">
        <v>155</v>
      </c>
    </row>
    <row r="69" spans="11:13" x14ac:dyDescent="0.25">
      <c r="K69" s="2" t="s">
        <v>173</v>
      </c>
    </row>
    <row r="70" spans="11:13" x14ac:dyDescent="0.25">
      <c r="L70" s="9">
        <f>SUBTOTAL(9,L65:L69)</f>
        <v>6840</v>
      </c>
      <c r="M70" s="9">
        <f>M65</f>
        <v>11</v>
      </c>
    </row>
  </sheetData>
  <autoFilter ref="A2:P44" xr:uid="{00000000-0009-0000-0000-000014000000}">
    <sortState xmlns:xlrd2="http://schemas.microsoft.com/office/spreadsheetml/2017/richdata2" ref="A3:P44">
      <sortCondition ref="J2:J44"/>
    </sortState>
  </autoFilter>
  <mergeCells count="8">
    <mergeCell ref="C53:D53"/>
    <mergeCell ref="C54:D54"/>
    <mergeCell ref="C56:D56"/>
    <mergeCell ref="C48:D48"/>
    <mergeCell ref="C49:D49"/>
    <mergeCell ref="C50:D50"/>
    <mergeCell ref="C51:D51"/>
    <mergeCell ref="C52:D52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R88"/>
  <sheetViews>
    <sheetView workbookViewId="0"/>
  </sheetViews>
  <sheetFormatPr defaultRowHeight="15" x14ac:dyDescent="0.25"/>
  <cols>
    <col min="1" max="1" width="12.7109375" customWidth="1"/>
    <col min="2" max="2" width="9.5703125" customWidth="1"/>
    <col min="3" max="3" width="24" customWidth="1"/>
    <col min="4" max="4" width="9.85546875" customWidth="1"/>
    <col min="5" max="5" width="67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7" x14ac:dyDescent="0.25">
      <c r="A3" s="11"/>
      <c r="B3" s="11" t="s">
        <v>27</v>
      </c>
      <c r="C3" s="11" t="s">
        <v>1953</v>
      </c>
      <c r="D3" s="11" t="s">
        <v>1954</v>
      </c>
      <c r="E3" s="11" t="s">
        <v>1955</v>
      </c>
      <c r="F3" s="11" t="s">
        <v>48</v>
      </c>
      <c r="G3" s="12">
        <v>460</v>
      </c>
      <c r="H3" s="12">
        <v>30</v>
      </c>
      <c r="I3" s="12">
        <f t="shared" ref="I3:I34" si="0">G3-H3</f>
        <v>430</v>
      </c>
      <c r="J3" s="11" t="s">
        <v>1826</v>
      </c>
      <c r="K3" s="11" t="s">
        <v>33</v>
      </c>
      <c r="L3" s="11" t="s">
        <v>1827</v>
      </c>
      <c r="M3" s="11"/>
      <c r="N3" s="11"/>
      <c r="O3" s="11"/>
      <c r="P3" s="11"/>
      <c r="Q3" s="11">
        <v>1</v>
      </c>
    </row>
    <row r="4" spans="1:17" x14ac:dyDescent="0.25">
      <c r="A4" s="11"/>
      <c r="B4" s="11" t="s">
        <v>27</v>
      </c>
      <c r="C4" s="11" t="s">
        <v>1970</v>
      </c>
      <c r="D4" s="11" t="s">
        <v>1971</v>
      </c>
      <c r="E4" s="11" t="s">
        <v>1972</v>
      </c>
      <c r="F4" s="12">
        <v>8</v>
      </c>
      <c r="G4" s="12">
        <v>990</v>
      </c>
      <c r="H4" s="12">
        <v>30</v>
      </c>
      <c r="I4" s="12">
        <f t="shared" si="0"/>
        <v>960</v>
      </c>
      <c r="J4" s="11" t="s">
        <v>1826</v>
      </c>
      <c r="K4" s="11" t="s">
        <v>33</v>
      </c>
      <c r="L4" s="11" t="s">
        <v>1827</v>
      </c>
      <c r="M4" s="11"/>
      <c r="N4" s="11"/>
      <c r="O4" s="11"/>
      <c r="P4" s="11"/>
      <c r="Q4" s="11">
        <v>1</v>
      </c>
    </row>
    <row r="5" spans="1:17" x14ac:dyDescent="0.25">
      <c r="A5" s="11"/>
      <c r="B5" s="11" t="s">
        <v>27</v>
      </c>
      <c r="C5" s="11" t="s">
        <v>1982</v>
      </c>
      <c r="D5" s="11" t="s">
        <v>1983</v>
      </c>
      <c r="E5" s="11" t="s">
        <v>1984</v>
      </c>
      <c r="F5" s="12">
        <v>9</v>
      </c>
      <c r="G5" s="12">
        <v>1150</v>
      </c>
      <c r="H5" s="12">
        <v>30</v>
      </c>
      <c r="I5" s="12">
        <f t="shared" si="0"/>
        <v>1120</v>
      </c>
      <c r="J5" s="11" t="s">
        <v>1826</v>
      </c>
      <c r="K5" s="11" t="s">
        <v>33</v>
      </c>
      <c r="L5" s="11" t="s">
        <v>1827</v>
      </c>
      <c r="M5" s="11"/>
      <c r="N5" s="11"/>
      <c r="O5" s="11"/>
      <c r="P5" s="11"/>
      <c r="Q5" s="11">
        <v>1</v>
      </c>
    </row>
    <row r="6" spans="1:17" x14ac:dyDescent="0.25">
      <c r="A6" s="11"/>
      <c r="B6" s="11" t="s">
        <v>27</v>
      </c>
      <c r="C6" s="11" t="s">
        <v>1985</v>
      </c>
      <c r="D6" s="11" t="s">
        <v>1986</v>
      </c>
      <c r="E6" s="11" t="s">
        <v>1987</v>
      </c>
      <c r="F6" s="11" t="s">
        <v>444</v>
      </c>
      <c r="G6" s="12">
        <v>845</v>
      </c>
      <c r="H6" s="12">
        <v>35</v>
      </c>
      <c r="I6" s="12">
        <f t="shared" si="0"/>
        <v>810</v>
      </c>
      <c r="J6" s="11" t="s">
        <v>1826</v>
      </c>
      <c r="K6" s="11" t="s">
        <v>33</v>
      </c>
      <c r="L6" s="11" t="s">
        <v>1827</v>
      </c>
      <c r="M6" s="11"/>
      <c r="N6" s="11"/>
      <c r="O6" s="11"/>
      <c r="P6" s="11"/>
      <c r="Q6" s="11">
        <v>1</v>
      </c>
    </row>
    <row r="7" spans="1:17" x14ac:dyDescent="0.25">
      <c r="A7" s="11"/>
      <c r="B7" s="11" t="s">
        <v>27</v>
      </c>
      <c r="C7" s="11" t="s">
        <v>2006</v>
      </c>
      <c r="D7" s="11" t="s">
        <v>2007</v>
      </c>
      <c r="E7" s="11" t="s">
        <v>2008</v>
      </c>
      <c r="F7" s="11" t="s">
        <v>48</v>
      </c>
      <c r="G7" s="12">
        <v>1140</v>
      </c>
      <c r="H7" s="12">
        <v>30</v>
      </c>
      <c r="I7" s="12">
        <f t="shared" si="0"/>
        <v>1110</v>
      </c>
      <c r="J7" s="11" t="s">
        <v>1826</v>
      </c>
      <c r="K7" s="11" t="s">
        <v>33</v>
      </c>
      <c r="L7" s="11" t="s">
        <v>1827</v>
      </c>
      <c r="M7" s="11"/>
      <c r="N7" s="11"/>
      <c r="O7" s="11"/>
      <c r="P7" s="11"/>
      <c r="Q7" s="11">
        <v>1</v>
      </c>
    </row>
    <row r="8" spans="1:17" x14ac:dyDescent="0.25">
      <c r="A8" s="11"/>
      <c r="B8" s="11" t="s">
        <v>27</v>
      </c>
      <c r="C8" s="11" t="s">
        <v>2009</v>
      </c>
      <c r="D8" s="11" t="s">
        <v>2010</v>
      </c>
      <c r="E8" s="11" t="s">
        <v>2011</v>
      </c>
      <c r="F8" s="12">
        <v>9</v>
      </c>
      <c r="G8" s="12">
        <v>850</v>
      </c>
      <c r="H8" s="12">
        <v>30</v>
      </c>
      <c r="I8" s="12">
        <f t="shared" si="0"/>
        <v>820</v>
      </c>
      <c r="J8" s="11" t="s">
        <v>1826</v>
      </c>
      <c r="K8" s="11" t="s">
        <v>33</v>
      </c>
      <c r="L8" s="11" t="s">
        <v>1827</v>
      </c>
      <c r="M8" s="11"/>
      <c r="N8" s="11"/>
      <c r="O8" s="11"/>
      <c r="P8" s="11"/>
      <c r="Q8" s="11">
        <v>1</v>
      </c>
    </row>
    <row r="9" spans="1:17" x14ac:dyDescent="0.25">
      <c r="A9" s="11"/>
      <c r="B9" s="11" t="s">
        <v>27</v>
      </c>
      <c r="C9" s="11" t="s">
        <v>2015</v>
      </c>
      <c r="D9" s="11" t="s">
        <v>2016</v>
      </c>
      <c r="E9" s="11" t="s">
        <v>2017</v>
      </c>
      <c r="F9" s="12">
        <v>12</v>
      </c>
      <c r="G9" s="12">
        <v>520</v>
      </c>
      <c r="H9" s="12">
        <v>30</v>
      </c>
      <c r="I9" s="12">
        <f t="shared" si="0"/>
        <v>490</v>
      </c>
      <c r="J9" s="11" t="s">
        <v>1826</v>
      </c>
      <c r="K9" s="11" t="s">
        <v>33</v>
      </c>
      <c r="L9" s="11" t="s">
        <v>1827</v>
      </c>
      <c r="M9" s="11"/>
      <c r="N9" s="11"/>
      <c r="O9" s="11"/>
      <c r="P9" s="11"/>
      <c r="Q9" s="11">
        <v>1</v>
      </c>
    </row>
    <row r="10" spans="1:17" x14ac:dyDescent="0.25">
      <c r="A10" s="11"/>
      <c r="B10" s="11" t="s">
        <v>27</v>
      </c>
      <c r="C10" s="11" t="s">
        <v>2036</v>
      </c>
      <c r="D10" s="11" t="s">
        <v>2037</v>
      </c>
      <c r="E10" s="11" t="s">
        <v>2038</v>
      </c>
      <c r="F10" s="11" t="s">
        <v>104</v>
      </c>
      <c r="G10" s="12">
        <v>940</v>
      </c>
      <c r="H10" s="12">
        <v>30</v>
      </c>
      <c r="I10" s="12">
        <f t="shared" si="0"/>
        <v>910</v>
      </c>
      <c r="J10" s="11" t="s">
        <v>1826</v>
      </c>
      <c r="K10" s="11" t="s">
        <v>33</v>
      </c>
      <c r="L10" s="11" t="s">
        <v>1827</v>
      </c>
      <c r="M10" s="11"/>
      <c r="N10" s="11"/>
      <c r="O10" s="11"/>
      <c r="P10" s="11"/>
      <c r="Q10" s="11">
        <v>1</v>
      </c>
    </row>
    <row r="11" spans="1:17" x14ac:dyDescent="0.25">
      <c r="A11" s="11"/>
      <c r="B11" s="11" t="s">
        <v>27</v>
      </c>
      <c r="C11" s="11" t="s">
        <v>2045</v>
      </c>
      <c r="D11" s="11" t="s">
        <v>2046</v>
      </c>
      <c r="E11" s="11" t="s">
        <v>2047</v>
      </c>
      <c r="F11" s="11" t="s">
        <v>48</v>
      </c>
      <c r="G11" s="12">
        <v>250</v>
      </c>
      <c r="H11" s="12">
        <v>30</v>
      </c>
      <c r="I11" s="12">
        <f t="shared" si="0"/>
        <v>220</v>
      </c>
      <c r="J11" s="11" t="s">
        <v>1826</v>
      </c>
      <c r="K11" s="11" t="s">
        <v>33</v>
      </c>
      <c r="L11" s="11" t="s">
        <v>1827</v>
      </c>
      <c r="M11" s="11"/>
      <c r="N11" s="11"/>
      <c r="O11" s="11"/>
      <c r="P11" s="11"/>
      <c r="Q11" s="11">
        <v>1</v>
      </c>
    </row>
    <row r="12" spans="1:17" x14ac:dyDescent="0.25">
      <c r="A12" s="11"/>
      <c r="B12" s="11" t="s">
        <v>27</v>
      </c>
      <c r="C12" s="11" t="s">
        <v>2048</v>
      </c>
      <c r="D12" s="11" t="s">
        <v>2049</v>
      </c>
      <c r="E12" s="11" t="s">
        <v>2050</v>
      </c>
      <c r="F12" s="12">
        <v>11</v>
      </c>
      <c r="G12" s="12">
        <v>2155</v>
      </c>
      <c r="H12" s="12">
        <v>25</v>
      </c>
      <c r="I12" s="12">
        <f t="shared" si="0"/>
        <v>2130</v>
      </c>
      <c r="J12" s="11" t="s">
        <v>1826</v>
      </c>
      <c r="K12" s="11" t="s">
        <v>33</v>
      </c>
      <c r="L12" s="11" t="s">
        <v>1827</v>
      </c>
      <c r="M12" s="11"/>
      <c r="N12" s="11"/>
      <c r="O12" s="11"/>
      <c r="P12" s="11"/>
      <c r="Q12" s="11">
        <v>1</v>
      </c>
    </row>
    <row r="13" spans="1:17" x14ac:dyDescent="0.25">
      <c r="A13" s="11"/>
      <c r="B13" s="11" t="s">
        <v>27</v>
      </c>
      <c r="C13" s="11" t="s">
        <v>2054</v>
      </c>
      <c r="D13" s="11" t="s">
        <v>2055</v>
      </c>
      <c r="E13" s="11" t="s">
        <v>2056</v>
      </c>
      <c r="F13" s="12">
        <v>7</v>
      </c>
      <c r="G13" s="12">
        <v>470</v>
      </c>
      <c r="H13" s="12">
        <v>30</v>
      </c>
      <c r="I13" s="12">
        <f t="shared" si="0"/>
        <v>440</v>
      </c>
      <c r="J13" s="11" t="s">
        <v>1826</v>
      </c>
      <c r="K13" s="11" t="s">
        <v>33</v>
      </c>
      <c r="L13" s="11" t="s">
        <v>1827</v>
      </c>
      <c r="M13" s="11"/>
      <c r="N13" s="11"/>
      <c r="O13" s="11"/>
      <c r="P13" s="11"/>
      <c r="Q13" s="11">
        <v>1</v>
      </c>
    </row>
    <row r="14" spans="1:17" x14ac:dyDescent="0.25">
      <c r="A14" s="11"/>
      <c r="B14" s="11" t="s">
        <v>27</v>
      </c>
      <c r="C14" s="11" t="s">
        <v>2057</v>
      </c>
      <c r="D14" s="11" t="s">
        <v>2058</v>
      </c>
      <c r="E14" s="11" t="s">
        <v>61</v>
      </c>
      <c r="F14" s="11" t="s">
        <v>48</v>
      </c>
      <c r="G14" s="12">
        <v>300</v>
      </c>
      <c r="H14" s="12">
        <v>30</v>
      </c>
      <c r="I14" s="12">
        <f t="shared" si="0"/>
        <v>270</v>
      </c>
      <c r="J14" s="11" t="s">
        <v>1826</v>
      </c>
      <c r="K14" s="11" t="s">
        <v>33</v>
      </c>
      <c r="L14" s="11" t="s">
        <v>1827</v>
      </c>
      <c r="M14" s="11"/>
      <c r="N14" s="11"/>
      <c r="O14" s="11"/>
      <c r="P14" s="11"/>
      <c r="Q14" s="11">
        <v>1</v>
      </c>
    </row>
    <row r="15" spans="1:17" x14ac:dyDescent="0.25">
      <c r="A15" s="11"/>
      <c r="B15" s="11" t="s">
        <v>27</v>
      </c>
      <c r="C15" s="11" t="s">
        <v>2068</v>
      </c>
      <c r="D15" s="11" t="s">
        <v>2069</v>
      </c>
      <c r="E15" s="11" t="s">
        <v>2070</v>
      </c>
      <c r="F15" s="12">
        <v>7</v>
      </c>
      <c r="G15" s="12">
        <v>520</v>
      </c>
      <c r="H15" s="12">
        <v>30</v>
      </c>
      <c r="I15" s="12">
        <f t="shared" si="0"/>
        <v>490</v>
      </c>
      <c r="J15" s="11" t="s">
        <v>1826</v>
      </c>
      <c r="K15" s="11" t="s">
        <v>33</v>
      </c>
      <c r="L15" s="11" t="s">
        <v>1827</v>
      </c>
      <c r="M15" s="11"/>
      <c r="N15" s="11"/>
      <c r="O15" s="11"/>
      <c r="P15" s="11"/>
      <c r="Q15" s="11">
        <v>1</v>
      </c>
    </row>
    <row r="16" spans="1:17" x14ac:dyDescent="0.25">
      <c r="A16" s="11"/>
      <c r="B16" s="11" t="s">
        <v>27</v>
      </c>
      <c r="C16" s="11" t="s">
        <v>2071</v>
      </c>
      <c r="D16" s="11" t="s">
        <v>2072</v>
      </c>
      <c r="E16" s="11" t="s">
        <v>2073</v>
      </c>
      <c r="F16" s="11" t="s">
        <v>31</v>
      </c>
      <c r="G16" s="12">
        <v>1265</v>
      </c>
      <c r="H16" s="12">
        <v>25</v>
      </c>
      <c r="I16" s="12">
        <f t="shared" si="0"/>
        <v>1240</v>
      </c>
      <c r="J16" s="11" t="s">
        <v>1826</v>
      </c>
      <c r="K16" s="11" t="s">
        <v>33</v>
      </c>
      <c r="L16" s="11" t="s">
        <v>1827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1209</v>
      </c>
      <c r="D17" s="11" t="s">
        <v>2077</v>
      </c>
      <c r="E17" s="11" t="s">
        <v>2078</v>
      </c>
      <c r="F17" s="12">
        <v>7</v>
      </c>
      <c r="G17" s="12">
        <v>320</v>
      </c>
      <c r="H17" s="12">
        <v>30</v>
      </c>
      <c r="I17" s="12">
        <f t="shared" si="0"/>
        <v>290</v>
      </c>
      <c r="J17" s="11" t="s">
        <v>1826</v>
      </c>
      <c r="K17" s="11" t="s">
        <v>33</v>
      </c>
      <c r="L17" s="11" t="s">
        <v>1827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2097</v>
      </c>
      <c r="D18" s="11" t="s">
        <v>2098</v>
      </c>
      <c r="E18" s="11" t="s">
        <v>2099</v>
      </c>
      <c r="F18" s="12">
        <v>7</v>
      </c>
      <c r="G18" s="12">
        <v>320</v>
      </c>
      <c r="H18" s="12">
        <v>30</v>
      </c>
      <c r="I18" s="12">
        <f t="shared" si="0"/>
        <v>290</v>
      </c>
      <c r="J18" s="11" t="s">
        <v>1826</v>
      </c>
      <c r="K18" s="11" t="s">
        <v>33</v>
      </c>
      <c r="L18" s="11" t="s">
        <v>1827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2103</v>
      </c>
      <c r="D19" s="11" t="s">
        <v>2104</v>
      </c>
      <c r="E19" s="11" t="s">
        <v>2105</v>
      </c>
      <c r="F19" s="11" t="s">
        <v>48</v>
      </c>
      <c r="G19" s="12">
        <v>4370</v>
      </c>
      <c r="H19" s="12">
        <v>40</v>
      </c>
      <c r="I19" s="12">
        <f t="shared" si="0"/>
        <v>4330</v>
      </c>
      <c r="J19" s="11" t="s">
        <v>1826</v>
      </c>
      <c r="K19" s="11" t="s">
        <v>33</v>
      </c>
      <c r="L19" s="11" t="s">
        <v>1827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2112</v>
      </c>
      <c r="D20" s="11" t="s">
        <v>2113</v>
      </c>
      <c r="E20" s="11" t="s">
        <v>2114</v>
      </c>
      <c r="F20" s="12">
        <v>6</v>
      </c>
      <c r="G20" s="12">
        <v>785</v>
      </c>
      <c r="H20" s="12">
        <v>25</v>
      </c>
      <c r="I20" s="12">
        <f t="shared" si="0"/>
        <v>760</v>
      </c>
      <c r="J20" s="11" t="s">
        <v>1826</v>
      </c>
      <c r="K20" s="11" t="s">
        <v>33</v>
      </c>
      <c r="L20" s="11" t="s">
        <v>1827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1943</v>
      </c>
      <c r="D21" s="11" t="s">
        <v>1944</v>
      </c>
      <c r="E21" s="11" t="s">
        <v>1945</v>
      </c>
      <c r="F21" s="11" t="s">
        <v>78</v>
      </c>
      <c r="G21" s="12">
        <v>2170</v>
      </c>
      <c r="H21" s="12">
        <v>20</v>
      </c>
      <c r="I21" s="12">
        <f t="shared" si="0"/>
        <v>2150</v>
      </c>
      <c r="J21" s="11" t="s">
        <v>33</v>
      </c>
      <c r="K21" s="11" t="s">
        <v>33</v>
      </c>
      <c r="L21" s="11" t="s">
        <v>1827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1946</v>
      </c>
      <c r="D22" s="11" t="s">
        <v>1947</v>
      </c>
      <c r="E22" s="11" t="s">
        <v>1948</v>
      </c>
      <c r="F22" s="11" t="s">
        <v>78</v>
      </c>
      <c r="G22" s="12">
        <v>310</v>
      </c>
      <c r="H22" s="12">
        <v>20</v>
      </c>
      <c r="I22" s="12">
        <f t="shared" si="0"/>
        <v>290</v>
      </c>
      <c r="J22" s="11" t="s">
        <v>33</v>
      </c>
      <c r="K22" s="11" t="s">
        <v>33</v>
      </c>
      <c r="L22" s="11" t="s">
        <v>1827</v>
      </c>
      <c r="M22" s="11"/>
      <c r="N22" s="11"/>
      <c r="O22" s="11"/>
      <c r="P22" s="11"/>
      <c r="Q22" s="11">
        <v>1</v>
      </c>
    </row>
    <row r="23" spans="1:18" s="15" customFormat="1" x14ac:dyDescent="0.25">
      <c r="A23" s="13"/>
      <c r="B23" s="13" t="s">
        <v>27</v>
      </c>
      <c r="C23" s="13" t="s">
        <v>1700</v>
      </c>
      <c r="D23" s="13" t="s">
        <v>1949</v>
      </c>
      <c r="E23" s="13" t="s">
        <v>1702</v>
      </c>
      <c r="F23" s="13" t="s">
        <v>104</v>
      </c>
      <c r="G23" s="14">
        <v>0</v>
      </c>
      <c r="H23" s="14">
        <v>30</v>
      </c>
      <c r="I23" s="14">
        <f t="shared" si="0"/>
        <v>-30</v>
      </c>
      <c r="J23" s="13" t="s">
        <v>33</v>
      </c>
      <c r="K23" s="13" t="s">
        <v>33</v>
      </c>
      <c r="L23" s="13" t="s">
        <v>1827</v>
      </c>
      <c r="M23" s="13" t="s">
        <v>100</v>
      </c>
      <c r="N23" s="13"/>
      <c r="O23" s="13"/>
      <c r="P23" s="13"/>
      <c r="Q23" s="13">
        <v>1</v>
      </c>
      <c r="R23" s="19">
        <f>H23</f>
        <v>30</v>
      </c>
    </row>
    <row r="24" spans="1:18" x14ac:dyDescent="0.25">
      <c r="A24" s="11"/>
      <c r="B24" s="11" t="s">
        <v>27</v>
      </c>
      <c r="C24" s="11" t="s">
        <v>1950</v>
      </c>
      <c r="D24" s="11" t="s">
        <v>1951</v>
      </c>
      <c r="E24" s="11" t="s">
        <v>1952</v>
      </c>
      <c r="F24" s="11" t="s">
        <v>78</v>
      </c>
      <c r="G24" s="12">
        <v>2735</v>
      </c>
      <c r="H24" s="12">
        <v>25</v>
      </c>
      <c r="I24" s="12">
        <f t="shared" si="0"/>
        <v>2710</v>
      </c>
      <c r="J24" s="11" t="s">
        <v>33</v>
      </c>
      <c r="K24" s="11" t="s">
        <v>33</v>
      </c>
      <c r="L24" s="11" t="s">
        <v>1827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1956</v>
      </c>
      <c r="D25" s="11" t="s">
        <v>1957</v>
      </c>
      <c r="E25" s="11" t="s">
        <v>1958</v>
      </c>
      <c r="F25" s="12">
        <v>2</v>
      </c>
      <c r="G25" s="12">
        <v>1110</v>
      </c>
      <c r="H25" s="12">
        <v>30</v>
      </c>
      <c r="I25" s="12">
        <f t="shared" si="0"/>
        <v>1080</v>
      </c>
      <c r="J25" s="11" t="s">
        <v>33</v>
      </c>
      <c r="K25" s="11" t="s">
        <v>33</v>
      </c>
      <c r="L25" s="11" t="s">
        <v>1827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1959</v>
      </c>
      <c r="D26" s="11" t="s">
        <v>1960</v>
      </c>
      <c r="E26" s="11" t="s">
        <v>1961</v>
      </c>
      <c r="F26" s="11" t="s">
        <v>104</v>
      </c>
      <c r="G26" s="12">
        <v>1870</v>
      </c>
      <c r="H26" s="12">
        <v>30</v>
      </c>
      <c r="I26" s="12">
        <f t="shared" si="0"/>
        <v>1840</v>
      </c>
      <c r="J26" s="11" t="s">
        <v>33</v>
      </c>
      <c r="K26" s="11" t="s">
        <v>33</v>
      </c>
      <c r="L26" s="11" t="s">
        <v>1827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1962</v>
      </c>
      <c r="D27" s="11" t="s">
        <v>1963</v>
      </c>
      <c r="E27" s="11" t="s">
        <v>1964</v>
      </c>
      <c r="F27" s="11" t="s">
        <v>68</v>
      </c>
      <c r="G27" s="12">
        <v>1735</v>
      </c>
      <c r="H27" s="12">
        <v>25</v>
      </c>
      <c r="I27" s="12">
        <f t="shared" si="0"/>
        <v>1710</v>
      </c>
      <c r="J27" s="11" t="s">
        <v>33</v>
      </c>
      <c r="K27" s="11" t="s">
        <v>33</v>
      </c>
      <c r="L27" s="11" t="s">
        <v>1827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1874</v>
      </c>
      <c r="D28" s="11" t="s">
        <v>1965</v>
      </c>
      <c r="E28" s="11" t="s">
        <v>1966</v>
      </c>
      <c r="F28" s="12">
        <v>2</v>
      </c>
      <c r="G28" s="12">
        <v>1230</v>
      </c>
      <c r="H28" s="12">
        <v>30</v>
      </c>
      <c r="I28" s="12">
        <f t="shared" si="0"/>
        <v>1200</v>
      </c>
      <c r="J28" s="11" t="s">
        <v>33</v>
      </c>
      <c r="K28" s="11" t="s">
        <v>33</v>
      </c>
      <c r="L28" s="11" t="s">
        <v>1827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1973</v>
      </c>
      <c r="D29" s="11" t="s">
        <v>1974</v>
      </c>
      <c r="E29" s="11" t="s">
        <v>1975</v>
      </c>
      <c r="F29" s="11" t="s">
        <v>68</v>
      </c>
      <c r="G29" s="12">
        <v>605</v>
      </c>
      <c r="H29" s="12">
        <v>25</v>
      </c>
      <c r="I29" s="12">
        <f t="shared" si="0"/>
        <v>580</v>
      </c>
      <c r="J29" s="11" t="s">
        <v>33</v>
      </c>
      <c r="K29" s="11" t="s">
        <v>33</v>
      </c>
      <c r="L29" s="11" t="s">
        <v>1827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1979</v>
      </c>
      <c r="D30" s="11" t="s">
        <v>1980</v>
      </c>
      <c r="E30" s="11" t="s">
        <v>1981</v>
      </c>
      <c r="F30" s="12">
        <v>2</v>
      </c>
      <c r="G30" s="12">
        <v>820</v>
      </c>
      <c r="H30" s="12">
        <v>30</v>
      </c>
      <c r="I30" s="12">
        <f t="shared" si="0"/>
        <v>790</v>
      </c>
      <c r="J30" s="11" t="s">
        <v>33</v>
      </c>
      <c r="K30" s="11" t="s">
        <v>33</v>
      </c>
      <c r="L30" s="11" t="s">
        <v>1827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1988</v>
      </c>
      <c r="D31" s="11" t="s">
        <v>1989</v>
      </c>
      <c r="E31" s="11" t="s">
        <v>1990</v>
      </c>
      <c r="F31" s="12">
        <v>2</v>
      </c>
      <c r="G31" s="12">
        <v>470</v>
      </c>
      <c r="H31" s="12">
        <v>30</v>
      </c>
      <c r="I31" s="12">
        <f t="shared" si="0"/>
        <v>440</v>
      </c>
      <c r="J31" s="11" t="s">
        <v>33</v>
      </c>
      <c r="K31" s="11" t="s">
        <v>33</v>
      </c>
      <c r="L31" s="11" t="s">
        <v>1827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1994</v>
      </c>
      <c r="D32" s="11" t="s">
        <v>1995</v>
      </c>
      <c r="E32" s="11" t="s">
        <v>1996</v>
      </c>
      <c r="F32" s="11" t="s">
        <v>78</v>
      </c>
      <c r="G32" s="12">
        <v>340</v>
      </c>
      <c r="H32" s="12">
        <v>20</v>
      </c>
      <c r="I32" s="12">
        <f t="shared" si="0"/>
        <v>320</v>
      </c>
      <c r="J32" s="11" t="s">
        <v>33</v>
      </c>
      <c r="K32" s="11" t="s">
        <v>33</v>
      </c>
      <c r="L32" s="11" t="s">
        <v>1827</v>
      </c>
      <c r="M32" s="11"/>
      <c r="N32" s="11"/>
      <c r="O32" s="11"/>
      <c r="P32" s="11"/>
      <c r="Q32" s="11">
        <v>1</v>
      </c>
    </row>
    <row r="33" spans="1:17" x14ac:dyDescent="0.25">
      <c r="A33" s="11"/>
      <c r="B33" s="11" t="s">
        <v>27</v>
      </c>
      <c r="C33" s="11" t="s">
        <v>1997</v>
      </c>
      <c r="D33" s="11" t="s">
        <v>1998</v>
      </c>
      <c r="E33" s="11" t="s">
        <v>1999</v>
      </c>
      <c r="F33" s="11" t="s">
        <v>68</v>
      </c>
      <c r="G33" s="12">
        <v>615</v>
      </c>
      <c r="H33" s="12">
        <v>25</v>
      </c>
      <c r="I33" s="12">
        <f t="shared" si="0"/>
        <v>590</v>
      </c>
      <c r="J33" s="11" t="s">
        <v>33</v>
      </c>
      <c r="K33" s="11" t="s">
        <v>33</v>
      </c>
      <c r="L33" s="11" t="s">
        <v>1827</v>
      </c>
      <c r="M33" s="11"/>
      <c r="N33" s="11"/>
      <c r="O33" s="11"/>
      <c r="P33" s="11"/>
      <c r="Q33" s="11">
        <v>1</v>
      </c>
    </row>
    <row r="34" spans="1:17" x14ac:dyDescent="0.25">
      <c r="A34" s="11"/>
      <c r="B34" s="11" t="s">
        <v>27</v>
      </c>
      <c r="C34" s="11" t="s">
        <v>2018</v>
      </c>
      <c r="D34" s="11" t="s">
        <v>2019</v>
      </c>
      <c r="E34" s="11" t="s">
        <v>2020</v>
      </c>
      <c r="F34" s="11" t="s">
        <v>68</v>
      </c>
      <c r="G34" s="12">
        <v>455</v>
      </c>
      <c r="H34" s="12">
        <v>25</v>
      </c>
      <c r="I34" s="12">
        <f t="shared" si="0"/>
        <v>430</v>
      </c>
      <c r="J34" s="11" t="s">
        <v>33</v>
      </c>
      <c r="K34" s="11" t="s">
        <v>33</v>
      </c>
      <c r="L34" s="11" t="s">
        <v>1827</v>
      </c>
      <c r="M34" s="11"/>
      <c r="N34" s="11"/>
      <c r="O34" s="11"/>
      <c r="P34" s="11"/>
      <c r="Q34" s="11">
        <v>1</v>
      </c>
    </row>
    <row r="35" spans="1:17" x14ac:dyDescent="0.25">
      <c r="A35" s="11"/>
      <c r="B35" s="11" t="s">
        <v>27</v>
      </c>
      <c r="C35" s="11" t="s">
        <v>2024</v>
      </c>
      <c r="D35" s="11" t="s">
        <v>2025</v>
      </c>
      <c r="E35" s="11" t="s">
        <v>2026</v>
      </c>
      <c r="F35" s="11" t="s">
        <v>68</v>
      </c>
      <c r="G35" s="12">
        <v>1045</v>
      </c>
      <c r="H35" s="12">
        <v>25</v>
      </c>
      <c r="I35" s="12">
        <f t="shared" ref="I35:I62" si="1">G35-H35</f>
        <v>1020</v>
      </c>
      <c r="J35" s="11" t="s">
        <v>33</v>
      </c>
      <c r="K35" s="11" t="s">
        <v>33</v>
      </c>
      <c r="L35" s="11" t="s">
        <v>1827</v>
      </c>
      <c r="M35" s="11"/>
      <c r="N35" s="11"/>
      <c r="O35" s="11"/>
      <c r="P35" s="11"/>
      <c r="Q35" s="11">
        <v>1</v>
      </c>
    </row>
    <row r="36" spans="1:17" x14ac:dyDescent="0.25">
      <c r="A36" s="11"/>
      <c r="B36" s="11" t="s">
        <v>27</v>
      </c>
      <c r="C36" s="11" t="s">
        <v>2027</v>
      </c>
      <c r="D36" s="11" t="s">
        <v>2028</v>
      </c>
      <c r="E36" s="11" t="s">
        <v>2029</v>
      </c>
      <c r="F36" s="12">
        <v>12</v>
      </c>
      <c r="G36" s="12">
        <v>320</v>
      </c>
      <c r="H36" s="12">
        <v>30</v>
      </c>
      <c r="I36" s="12">
        <f t="shared" si="1"/>
        <v>290</v>
      </c>
      <c r="J36" s="11" t="s">
        <v>33</v>
      </c>
      <c r="K36" s="11" t="s">
        <v>33</v>
      </c>
      <c r="L36" s="11" t="s">
        <v>1827</v>
      </c>
      <c r="M36" s="11"/>
      <c r="N36" s="11"/>
      <c r="O36" s="11"/>
      <c r="P36" s="11"/>
      <c r="Q36" s="11">
        <v>1</v>
      </c>
    </row>
    <row r="37" spans="1:17" x14ac:dyDescent="0.25">
      <c r="A37" s="11"/>
      <c r="B37" s="11" t="s">
        <v>27</v>
      </c>
      <c r="C37" s="11" t="s">
        <v>2030</v>
      </c>
      <c r="D37" s="11" t="s">
        <v>2031</v>
      </c>
      <c r="E37" s="11" t="s">
        <v>2032</v>
      </c>
      <c r="F37" s="11" t="s">
        <v>104</v>
      </c>
      <c r="G37" s="12">
        <v>620</v>
      </c>
      <c r="H37" s="12">
        <v>30</v>
      </c>
      <c r="I37" s="12">
        <f t="shared" si="1"/>
        <v>590</v>
      </c>
      <c r="J37" s="11" t="s">
        <v>33</v>
      </c>
      <c r="K37" s="11" t="s">
        <v>33</v>
      </c>
      <c r="L37" s="11" t="s">
        <v>1827</v>
      </c>
      <c r="M37" s="11"/>
      <c r="N37" s="11"/>
      <c r="O37" s="11"/>
      <c r="P37" s="11"/>
      <c r="Q37" s="11">
        <v>1</v>
      </c>
    </row>
    <row r="38" spans="1:17" x14ac:dyDescent="0.25">
      <c r="A38" s="11"/>
      <c r="B38" s="11" t="s">
        <v>27</v>
      </c>
      <c r="C38" s="11" t="s">
        <v>2039</v>
      </c>
      <c r="D38" s="11" t="s">
        <v>2040</v>
      </c>
      <c r="E38" s="11" t="s">
        <v>2041</v>
      </c>
      <c r="F38" s="12">
        <v>2</v>
      </c>
      <c r="G38" s="12">
        <v>520</v>
      </c>
      <c r="H38" s="12">
        <v>30</v>
      </c>
      <c r="I38" s="12">
        <f t="shared" si="1"/>
        <v>490</v>
      </c>
      <c r="J38" s="11" t="s">
        <v>33</v>
      </c>
      <c r="K38" s="11" t="s">
        <v>33</v>
      </c>
      <c r="L38" s="11" t="s">
        <v>1827</v>
      </c>
      <c r="M38" s="11"/>
      <c r="N38" s="11"/>
      <c r="O38" s="11"/>
      <c r="P38" s="11"/>
      <c r="Q38" s="11">
        <v>1</v>
      </c>
    </row>
    <row r="39" spans="1:17" x14ac:dyDescent="0.25">
      <c r="A39" s="11"/>
      <c r="B39" s="11" t="s">
        <v>27</v>
      </c>
      <c r="C39" s="11" t="s">
        <v>2062</v>
      </c>
      <c r="D39" s="11" t="s">
        <v>2063</v>
      </c>
      <c r="E39" s="11" t="s">
        <v>2064</v>
      </c>
      <c r="F39" s="11" t="s">
        <v>78</v>
      </c>
      <c r="G39" s="12">
        <v>770</v>
      </c>
      <c r="H39" s="12">
        <v>20</v>
      </c>
      <c r="I39" s="12">
        <f t="shared" si="1"/>
        <v>750</v>
      </c>
      <c r="J39" s="11" t="s">
        <v>33</v>
      </c>
      <c r="K39" s="11" t="s">
        <v>33</v>
      </c>
      <c r="L39" s="11" t="s">
        <v>1827</v>
      </c>
      <c r="M39" s="11"/>
      <c r="N39" s="11"/>
      <c r="O39" s="11"/>
      <c r="P39" s="11"/>
      <c r="Q39" s="11">
        <v>1</v>
      </c>
    </row>
    <row r="40" spans="1:17" x14ac:dyDescent="0.25">
      <c r="A40" s="11"/>
      <c r="B40" s="11" t="s">
        <v>27</v>
      </c>
      <c r="C40" s="11" t="s">
        <v>2088</v>
      </c>
      <c r="D40" s="11" t="s">
        <v>2089</v>
      </c>
      <c r="E40" s="11" t="s">
        <v>2090</v>
      </c>
      <c r="F40" s="12">
        <v>2</v>
      </c>
      <c r="G40" s="12">
        <v>600</v>
      </c>
      <c r="H40" s="12">
        <v>30</v>
      </c>
      <c r="I40" s="12">
        <f t="shared" si="1"/>
        <v>570</v>
      </c>
      <c r="J40" s="11" t="s">
        <v>33</v>
      </c>
      <c r="K40" s="11" t="s">
        <v>33</v>
      </c>
      <c r="L40" s="11" t="s">
        <v>1827</v>
      </c>
      <c r="M40" s="11"/>
      <c r="N40" s="11"/>
      <c r="O40" s="11"/>
      <c r="P40" s="11"/>
      <c r="Q40" s="11">
        <v>1</v>
      </c>
    </row>
    <row r="41" spans="1:17" x14ac:dyDescent="0.25">
      <c r="A41" s="11"/>
      <c r="B41" s="11" t="s">
        <v>27</v>
      </c>
      <c r="C41" s="11" t="s">
        <v>2091</v>
      </c>
      <c r="D41" s="11" t="s">
        <v>2092</v>
      </c>
      <c r="E41" s="11" t="s">
        <v>2093</v>
      </c>
      <c r="F41" s="11" t="s">
        <v>78</v>
      </c>
      <c r="G41" s="12">
        <v>240</v>
      </c>
      <c r="H41" s="12">
        <v>20</v>
      </c>
      <c r="I41" s="12">
        <f t="shared" si="1"/>
        <v>220</v>
      </c>
      <c r="J41" s="11" t="s">
        <v>33</v>
      </c>
      <c r="K41" s="11" t="s">
        <v>33</v>
      </c>
      <c r="L41" s="11" t="s">
        <v>1827</v>
      </c>
      <c r="M41" s="11"/>
      <c r="N41" s="11"/>
      <c r="O41" s="11"/>
      <c r="P41" s="11"/>
      <c r="Q41" s="11">
        <v>1</v>
      </c>
    </row>
    <row r="42" spans="1:17" x14ac:dyDescent="0.25">
      <c r="A42" s="11"/>
      <c r="B42" s="11" t="s">
        <v>27</v>
      </c>
      <c r="C42" s="11" t="s">
        <v>2100</v>
      </c>
      <c r="D42" s="11" t="s">
        <v>2101</v>
      </c>
      <c r="E42" s="11" t="s">
        <v>2102</v>
      </c>
      <c r="F42" s="11" t="s">
        <v>104</v>
      </c>
      <c r="G42" s="12">
        <v>1020</v>
      </c>
      <c r="H42" s="12">
        <v>30</v>
      </c>
      <c r="I42" s="12">
        <f t="shared" si="1"/>
        <v>990</v>
      </c>
      <c r="J42" s="11" t="s">
        <v>33</v>
      </c>
      <c r="K42" s="11" t="s">
        <v>33</v>
      </c>
      <c r="L42" s="11" t="s">
        <v>1827</v>
      </c>
      <c r="M42" s="11"/>
      <c r="N42" s="11"/>
      <c r="O42" s="11"/>
      <c r="P42" s="11"/>
      <c r="Q42" s="11">
        <v>1</v>
      </c>
    </row>
    <row r="43" spans="1:17" x14ac:dyDescent="0.25">
      <c r="A43" s="11"/>
      <c r="B43" s="11" t="s">
        <v>27</v>
      </c>
      <c r="C43" s="11" t="s">
        <v>1967</v>
      </c>
      <c r="D43" s="11" t="s">
        <v>1968</v>
      </c>
      <c r="E43" s="11" t="s">
        <v>1969</v>
      </c>
      <c r="F43" s="12">
        <v>1</v>
      </c>
      <c r="G43" s="12">
        <v>625</v>
      </c>
      <c r="H43" s="12">
        <v>25</v>
      </c>
      <c r="I43" s="12">
        <f t="shared" si="1"/>
        <v>600</v>
      </c>
      <c r="J43" s="11" t="s">
        <v>119</v>
      </c>
      <c r="K43" s="11" t="s">
        <v>33</v>
      </c>
      <c r="L43" s="11" t="s">
        <v>1827</v>
      </c>
      <c r="M43" s="11"/>
      <c r="N43" s="11"/>
      <c r="O43" s="11"/>
      <c r="P43" s="11"/>
      <c r="Q43" s="11">
        <v>1</v>
      </c>
    </row>
    <row r="44" spans="1:17" x14ac:dyDescent="0.25">
      <c r="A44" s="11"/>
      <c r="B44" s="11" t="s">
        <v>27</v>
      </c>
      <c r="C44" s="11" t="s">
        <v>1976</v>
      </c>
      <c r="D44" s="11" t="s">
        <v>1977</v>
      </c>
      <c r="E44" s="11" t="s">
        <v>1978</v>
      </c>
      <c r="F44" s="12">
        <v>1</v>
      </c>
      <c r="G44" s="12">
        <v>853</v>
      </c>
      <c r="H44" s="12">
        <v>25</v>
      </c>
      <c r="I44" s="12">
        <f t="shared" si="1"/>
        <v>828</v>
      </c>
      <c r="J44" s="11" t="s">
        <v>119</v>
      </c>
      <c r="K44" s="11" t="s">
        <v>33</v>
      </c>
      <c r="L44" s="11" t="s">
        <v>1827</v>
      </c>
      <c r="M44" s="11"/>
      <c r="N44" s="11"/>
      <c r="O44" s="11"/>
      <c r="P44" s="11"/>
      <c r="Q44" s="11">
        <v>1</v>
      </c>
    </row>
    <row r="45" spans="1:17" x14ac:dyDescent="0.25">
      <c r="A45" s="11"/>
      <c r="B45" s="11" t="s">
        <v>27</v>
      </c>
      <c r="C45" s="11" t="s">
        <v>1991</v>
      </c>
      <c r="D45" s="11" t="s">
        <v>1992</v>
      </c>
      <c r="E45" s="11" t="s">
        <v>1993</v>
      </c>
      <c r="F45" s="11" t="s">
        <v>44</v>
      </c>
      <c r="G45" s="12">
        <v>715</v>
      </c>
      <c r="H45" s="12">
        <v>25</v>
      </c>
      <c r="I45" s="12">
        <f t="shared" si="1"/>
        <v>690</v>
      </c>
      <c r="J45" s="11" t="s">
        <v>119</v>
      </c>
      <c r="K45" s="11" t="s">
        <v>33</v>
      </c>
      <c r="L45" s="11" t="s">
        <v>1827</v>
      </c>
      <c r="M45" s="11"/>
      <c r="N45" s="11"/>
      <c r="O45" s="11"/>
      <c r="P45" s="11"/>
      <c r="Q45" s="11">
        <v>1</v>
      </c>
    </row>
    <row r="46" spans="1:17" x14ac:dyDescent="0.25">
      <c r="A46" s="11"/>
      <c r="B46" s="11" t="s">
        <v>27</v>
      </c>
      <c r="C46" s="11" t="s">
        <v>2000</v>
      </c>
      <c r="D46" s="11" t="s">
        <v>2001</v>
      </c>
      <c r="E46" s="11" t="s">
        <v>2002</v>
      </c>
      <c r="F46" s="12">
        <v>1</v>
      </c>
      <c r="G46" s="12">
        <v>395</v>
      </c>
      <c r="H46" s="12">
        <v>25</v>
      </c>
      <c r="I46" s="12">
        <f t="shared" si="1"/>
        <v>370</v>
      </c>
      <c r="J46" s="11" t="s">
        <v>119</v>
      </c>
      <c r="K46" s="11" t="s">
        <v>33</v>
      </c>
      <c r="L46" s="11" t="s">
        <v>1827</v>
      </c>
      <c r="M46" s="11"/>
      <c r="N46" s="11"/>
      <c r="O46" s="11"/>
      <c r="P46" s="11"/>
      <c r="Q46" s="11">
        <v>1</v>
      </c>
    </row>
    <row r="47" spans="1:17" x14ac:dyDescent="0.25">
      <c r="A47" s="11"/>
      <c r="B47" s="11" t="s">
        <v>27</v>
      </c>
      <c r="C47" s="11" t="s">
        <v>2003</v>
      </c>
      <c r="D47" s="11" t="s">
        <v>2004</v>
      </c>
      <c r="E47" s="11" t="s">
        <v>2005</v>
      </c>
      <c r="F47" s="12">
        <v>4</v>
      </c>
      <c r="G47" s="12">
        <v>905</v>
      </c>
      <c r="H47" s="12">
        <v>25</v>
      </c>
      <c r="I47" s="12">
        <f t="shared" si="1"/>
        <v>880</v>
      </c>
      <c r="J47" s="11" t="s">
        <v>119</v>
      </c>
      <c r="K47" s="11" t="s">
        <v>33</v>
      </c>
      <c r="L47" s="11" t="s">
        <v>1827</v>
      </c>
      <c r="M47" s="11"/>
      <c r="N47" s="11"/>
      <c r="O47" s="11"/>
      <c r="P47" s="11"/>
      <c r="Q47" s="11">
        <v>1</v>
      </c>
    </row>
    <row r="48" spans="1:17" x14ac:dyDescent="0.25">
      <c r="A48" s="11"/>
      <c r="B48" s="11" t="s">
        <v>27</v>
      </c>
      <c r="C48" s="11" t="s">
        <v>2012</v>
      </c>
      <c r="D48" s="11" t="s">
        <v>2013</v>
      </c>
      <c r="E48" s="11" t="s">
        <v>2014</v>
      </c>
      <c r="F48" s="11" t="s">
        <v>31</v>
      </c>
      <c r="G48" s="12">
        <v>675</v>
      </c>
      <c r="H48" s="12">
        <v>25</v>
      </c>
      <c r="I48" s="12">
        <f t="shared" si="1"/>
        <v>650</v>
      </c>
      <c r="J48" s="11" t="s">
        <v>119</v>
      </c>
      <c r="K48" s="11" t="s">
        <v>33</v>
      </c>
      <c r="L48" s="11" t="s">
        <v>1827</v>
      </c>
      <c r="M48" s="11"/>
      <c r="N48" s="11"/>
      <c r="O48" s="11"/>
      <c r="P48" s="11"/>
      <c r="Q48" s="11">
        <v>1</v>
      </c>
    </row>
    <row r="49" spans="1:18" x14ac:dyDescent="0.25">
      <c r="A49" s="11"/>
      <c r="B49" s="11" t="s">
        <v>27</v>
      </c>
      <c r="C49" s="11" t="s">
        <v>2021</v>
      </c>
      <c r="D49" s="11" t="s">
        <v>2022</v>
      </c>
      <c r="E49" s="11" t="s">
        <v>2023</v>
      </c>
      <c r="F49" s="11" t="s">
        <v>31</v>
      </c>
      <c r="G49" s="12">
        <v>515</v>
      </c>
      <c r="H49" s="12">
        <v>25</v>
      </c>
      <c r="I49" s="12">
        <f t="shared" si="1"/>
        <v>490</v>
      </c>
      <c r="J49" s="11" t="s">
        <v>119</v>
      </c>
      <c r="K49" s="11" t="s">
        <v>33</v>
      </c>
      <c r="L49" s="11" t="s">
        <v>1827</v>
      </c>
      <c r="M49" s="11"/>
      <c r="N49" s="11"/>
      <c r="O49" s="11"/>
      <c r="P49" s="11"/>
      <c r="Q49" s="11">
        <v>1</v>
      </c>
    </row>
    <row r="50" spans="1:18" x14ac:dyDescent="0.25">
      <c r="A50" s="11"/>
      <c r="B50" s="11" t="s">
        <v>27</v>
      </c>
      <c r="C50" s="11" t="s">
        <v>2033</v>
      </c>
      <c r="D50" s="11" t="s">
        <v>2034</v>
      </c>
      <c r="E50" s="11" t="s">
        <v>2035</v>
      </c>
      <c r="F50" s="11" t="s">
        <v>44</v>
      </c>
      <c r="G50" s="12">
        <v>625</v>
      </c>
      <c r="H50" s="12">
        <v>25</v>
      </c>
      <c r="I50" s="12">
        <f t="shared" si="1"/>
        <v>600</v>
      </c>
      <c r="J50" s="11" t="s">
        <v>119</v>
      </c>
      <c r="K50" s="11" t="s">
        <v>33</v>
      </c>
      <c r="L50" s="11" t="s">
        <v>1827</v>
      </c>
      <c r="M50" s="11"/>
      <c r="N50" s="11"/>
      <c r="O50" s="11"/>
      <c r="P50" s="11"/>
      <c r="Q50" s="11">
        <v>1</v>
      </c>
    </row>
    <row r="51" spans="1:18" x14ac:dyDescent="0.25">
      <c r="A51" s="11"/>
      <c r="B51" s="11" t="s">
        <v>27</v>
      </c>
      <c r="C51" s="11" t="s">
        <v>2042</v>
      </c>
      <c r="D51" s="11" t="s">
        <v>2043</v>
      </c>
      <c r="E51" s="11" t="s">
        <v>2044</v>
      </c>
      <c r="F51" s="11" t="s">
        <v>44</v>
      </c>
      <c r="G51" s="12">
        <v>245</v>
      </c>
      <c r="H51" s="12">
        <v>25</v>
      </c>
      <c r="I51" s="12">
        <f t="shared" si="1"/>
        <v>220</v>
      </c>
      <c r="J51" s="11" t="s">
        <v>119</v>
      </c>
      <c r="K51" s="11" t="s">
        <v>33</v>
      </c>
      <c r="L51" s="11" t="s">
        <v>1827</v>
      </c>
      <c r="M51" s="11"/>
      <c r="N51" s="11"/>
      <c r="O51" s="11"/>
      <c r="P51" s="11"/>
      <c r="Q51" s="11">
        <v>1</v>
      </c>
    </row>
    <row r="52" spans="1:18" x14ac:dyDescent="0.25">
      <c r="A52" s="11"/>
      <c r="B52" s="11" t="s">
        <v>27</v>
      </c>
      <c r="C52" s="11" t="s">
        <v>2051</v>
      </c>
      <c r="D52" s="11" t="s">
        <v>2052</v>
      </c>
      <c r="E52" s="11" t="s">
        <v>2053</v>
      </c>
      <c r="F52" s="11" t="s">
        <v>44</v>
      </c>
      <c r="G52" s="12">
        <v>445</v>
      </c>
      <c r="H52" s="12">
        <v>25</v>
      </c>
      <c r="I52" s="12">
        <f t="shared" si="1"/>
        <v>420</v>
      </c>
      <c r="J52" s="11" t="s">
        <v>119</v>
      </c>
      <c r="K52" s="11" t="s">
        <v>33</v>
      </c>
      <c r="L52" s="11" t="s">
        <v>1827</v>
      </c>
      <c r="M52" s="11"/>
      <c r="N52" s="11"/>
      <c r="O52" s="11"/>
      <c r="P52" s="11"/>
      <c r="Q52" s="11">
        <v>1</v>
      </c>
    </row>
    <row r="53" spans="1:18" x14ac:dyDescent="0.25">
      <c r="A53" s="11"/>
      <c r="B53" s="11" t="s">
        <v>27</v>
      </c>
      <c r="C53" s="11" t="s">
        <v>2059</v>
      </c>
      <c r="D53" s="11" t="s">
        <v>2060</v>
      </c>
      <c r="E53" s="11" t="s">
        <v>2061</v>
      </c>
      <c r="F53" s="11" t="s">
        <v>31</v>
      </c>
      <c r="G53" s="12">
        <v>0</v>
      </c>
      <c r="H53" s="12">
        <v>25</v>
      </c>
      <c r="I53" s="12">
        <f t="shared" si="1"/>
        <v>-25</v>
      </c>
      <c r="J53" s="11" t="s">
        <v>119</v>
      </c>
      <c r="K53" s="11" t="s">
        <v>33</v>
      </c>
      <c r="L53" s="11" t="s">
        <v>1827</v>
      </c>
      <c r="M53" s="11"/>
      <c r="N53" s="11"/>
      <c r="O53" s="11"/>
      <c r="P53" s="11"/>
      <c r="Q53" s="11">
        <v>1</v>
      </c>
      <c r="R53" s="5">
        <f>H53</f>
        <v>25</v>
      </c>
    </row>
    <row r="54" spans="1:18" x14ac:dyDescent="0.25">
      <c r="A54" s="11"/>
      <c r="B54" s="11" t="s">
        <v>27</v>
      </c>
      <c r="C54" s="11" t="s">
        <v>2065</v>
      </c>
      <c r="D54" s="11" t="s">
        <v>2066</v>
      </c>
      <c r="E54" s="11" t="s">
        <v>2067</v>
      </c>
      <c r="F54" s="11" t="s">
        <v>31</v>
      </c>
      <c r="G54" s="12">
        <v>465</v>
      </c>
      <c r="H54" s="12">
        <v>25</v>
      </c>
      <c r="I54" s="12">
        <f t="shared" si="1"/>
        <v>440</v>
      </c>
      <c r="J54" s="11" t="s">
        <v>119</v>
      </c>
      <c r="K54" s="11" t="s">
        <v>33</v>
      </c>
      <c r="L54" s="11" t="s">
        <v>1827</v>
      </c>
      <c r="M54" s="11"/>
      <c r="N54" s="11"/>
      <c r="O54" s="11"/>
      <c r="P54" s="11"/>
      <c r="Q54" s="11">
        <v>1</v>
      </c>
    </row>
    <row r="55" spans="1:18" x14ac:dyDescent="0.25">
      <c r="A55" s="11"/>
      <c r="B55" s="11" t="s">
        <v>27</v>
      </c>
      <c r="C55" s="11" t="s">
        <v>2074</v>
      </c>
      <c r="D55" s="11" t="s">
        <v>2075</v>
      </c>
      <c r="E55" s="11" t="s">
        <v>2076</v>
      </c>
      <c r="F55" s="12">
        <v>5</v>
      </c>
      <c r="G55" s="12">
        <v>415</v>
      </c>
      <c r="H55" s="12">
        <v>25</v>
      </c>
      <c r="I55" s="12">
        <f t="shared" si="1"/>
        <v>390</v>
      </c>
      <c r="J55" s="11" t="s">
        <v>119</v>
      </c>
      <c r="K55" s="11" t="s">
        <v>33</v>
      </c>
      <c r="L55" s="11" t="s">
        <v>1827</v>
      </c>
      <c r="M55" s="11"/>
      <c r="N55" s="11"/>
      <c r="O55" s="11"/>
      <c r="P55" s="11"/>
      <c r="Q55" s="11">
        <v>1</v>
      </c>
    </row>
    <row r="56" spans="1:18" x14ac:dyDescent="0.25">
      <c r="A56" s="11"/>
      <c r="B56" s="11" t="s">
        <v>27</v>
      </c>
      <c r="C56" s="11" t="s">
        <v>2079</v>
      </c>
      <c r="D56" s="11" t="s">
        <v>2080</v>
      </c>
      <c r="E56" s="11" t="s">
        <v>2081</v>
      </c>
      <c r="F56" s="12">
        <v>1</v>
      </c>
      <c r="G56" s="12">
        <v>465</v>
      </c>
      <c r="H56" s="12">
        <v>25</v>
      </c>
      <c r="I56" s="12">
        <f t="shared" si="1"/>
        <v>440</v>
      </c>
      <c r="J56" s="11" t="s">
        <v>119</v>
      </c>
      <c r="K56" s="11" t="s">
        <v>33</v>
      </c>
      <c r="L56" s="11" t="s">
        <v>1827</v>
      </c>
      <c r="M56" s="11"/>
      <c r="N56" s="11"/>
      <c r="O56" s="11"/>
      <c r="P56" s="11"/>
      <c r="Q56" s="11">
        <v>1</v>
      </c>
    </row>
    <row r="57" spans="1:18" x14ac:dyDescent="0.25">
      <c r="A57" s="11"/>
      <c r="B57" s="11" t="s">
        <v>27</v>
      </c>
      <c r="C57" s="11" t="s">
        <v>2082</v>
      </c>
      <c r="D57" s="11" t="s">
        <v>2083</v>
      </c>
      <c r="E57" s="11" t="s">
        <v>2084</v>
      </c>
      <c r="F57" s="11" t="s">
        <v>118</v>
      </c>
      <c r="G57" s="12">
        <v>510</v>
      </c>
      <c r="H57" s="12">
        <v>20</v>
      </c>
      <c r="I57" s="12">
        <f t="shared" si="1"/>
        <v>490</v>
      </c>
      <c r="J57" s="11" t="s">
        <v>119</v>
      </c>
      <c r="K57" s="11" t="s">
        <v>33</v>
      </c>
      <c r="L57" s="11" t="s">
        <v>1827</v>
      </c>
      <c r="M57" s="11"/>
      <c r="N57" s="11"/>
      <c r="O57" s="11"/>
      <c r="P57" s="11"/>
      <c r="Q57" s="11">
        <v>1</v>
      </c>
    </row>
    <row r="58" spans="1:18" x14ac:dyDescent="0.25">
      <c r="A58" s="11"/>
      <c r="B58" s="11" t="s">
        <v>27</v>
      </c>
      <c r="C58" s="11" t="s">
        <v>2085</v>
      </c>
      <c r="D58" s="11" t="s">
        <v>2086</v>
      </c>
      <c r="E58" s="11" t="s">
        <v>2087</v>
      </c>
      <c r="F58" s="12">
        <v>3</v>
      </c>
      <c r="G58" s="12">
        <v>0</v>
      </c>
      <c r="H58" s="12">
        <v>25</v>
      </c>
      <c r="I58" s="12">
        <f t="shared" si="1"/>
        <v>-25</v>
      </c>
      <c r="J58" s="11" t="s">
        <v>119</v>
      </c>
      <c r="K58" s="11" t="s">
        <v>33</v>
      </c>
      <c r="L58" s="11" t="s">
        <v>1827</v>
      </c>
      <c r="M58" s="11"/>
      <c r="N58" s="11"/>
      <c r="O58" s="11"/>
      <c r="P58" s="11"/>
      <c r="Q58" s="11">
        <v>1</v>
      </c>
      <c r="R58" s="5">
        <f>H58</f>
        <v>25</v>
      </c>
    </row>
    <row r="59" spans="1:18" x14ac:dyDescent="0.25">
      <c r="A59" s="11"/>
      <c r="B59" s="11" t="s">
        <v>27</v>
      </c>
      <c r="C59" s="11" t="s">
        <v>2094</v>
      </c>
      <c r="D59" s="11" t="s">
        <v>2095</v>
      </c>
      <c r="E59" s="11" t="s">
        <v>2096</v>
      </c>
      <c r="F59" s="11" t="s">
        <v>31</v>
      </c>
      <c r="G59" s="12">
        <v>445</v>
      </c>
      <c r="H59" s="12">
        <v>25</v>
      </c>
      <c r="I59" s="12">
        <f t="shared" si="1"/>
        <v>420</v>
      </c>
      <c r="J59" s="11" t="s">
        <v>119</v>
      </c>
      <c r="K59" s="11" t="s">
        <v>33</v>
      </c>
      <c r="L59" s="11" t="s">
        <v>1827</v>
      </c>
      <c r="M59" s="11"/>
      <c r="N59" s="11"/>
      <c r="O59" s="11"/>
      <c r="P59" s="11"/>
      <c r="Q59" s="11">
        <v>1</v>
      </c>
    </row>
    <row r="60" spans="1:18" x14ac:dyDescent="0.25">
      <c r="A60" s="11"/>
      <c r="B60" s="11" t="s">
        <v>27</v>
      </c>
      <c r="C60" s="11" t="s">
        <v>2106</v>
      </c>
      <c r="D60" s="11" t="s">
        <v>2107</v>
      </c>
      <c r="E60" s="11" t="s">
        <v>2108</v>
      </c>
      <c r="F60" s="11" t="s">
        <v>44</v>
      </c>
      <c r="G60" s="12">
        <v>375</v>
      </c>
      <c r="H60" s="12">
        <v>25</v>
      </c>
      <c r="I60" s="12">
        <f t="shared" si="1"/>
        <v>350</v>
      </c>
      <c r="J60" s="11" t="s">
        <v>119</v>
      </c>
      <c r="K60" s="11" t="s">
        <v>33</v>
      </c>
      <c r="L60" s="11" t="s">
        <v>1827</v>
      </c>
      <c r="M60" s="11"/>
      <c r="N60" s="11"/>
      <c r="O60" s="11"/>
      <c r="P60" s="11"/>
      <c r="Q60" s="11">
        <v>1</v>
      </c>
    </row>
    <row r="61" spans="1:18" x14ac:dyDescent="0.25">
      <c r="A61" s="11"/>
      <c r="B61" s="11" t="s">
        <v>27</v>
      </c>
      <c r="C61" s="11" t="s">
        <v>2109</v>
      </c>
      <c r="D61" s="11" t="s">
        <v>2110</v>
      </c>
      <c r="E61" s="11" t="s">
        <v>2111</v>
      </c>
      <c r="F61" s="12">
        <v>1</v>
      </c>
      <c r="G61" s="12">
        <v>315</v>
      </c>
      <c r="H61" s="12">
        <v>25</v>
      </c>
      <c r="I61" s="12">
        <f t="shared" si="1"/>
        <v>290</v>
      </c>
      <c r="J61" s="11" t="s">
        <v>119</v>
      </c>
      <c r="K61" s="11" t="s">
        <v>33</v>
      </c>
      <c r="L61" s="11" t="s">
        <v>1827</v>
      </c>
      <c r="M61" s="11"/>
      <c r="N61" s="11"/>
      <c r="O61" s="11"/>
      <c r="P61" s="11"/>
      <c r="Q61" s="11">
        <v>1</v>
      </c>
    </row>
    <row r="62" spans="1:18" x14ac:dyDescent="0.25">
      <c r="A62" s="11"/>
      <c r="B62" s="11" t="s">
        <v>27</v>
      </c>
      <c r="C62" s="11" t="s">
        <v>2115</v>
      </c>
      <c r="D62" s="11" t="s">
        <v>2116</v>
      </c>
      <c r="E62" s="11" t="s">
        <v>2117</v>
      </c>
      <c r="F62" s="12">
        <v>1</v>
      </c>
      <c r="G62" s="12">
        <v>855</v>
      </c>
      <c r="H62" s="12">
        <v>25</v>
      </c>
      <c r="I62" s="12">
        <f t="shared" si="1"/>
        <v>830</v>
      </c>
      <c r="J62" s="11" t="s">
        <v>119</v>
      </c>
      <c r="K62" s="11" t="s">
        <v>33</v>
      </c>
      <c r="L62" s="11" t="s">
        <v>1827</v>
      </c>
      <c r="M62" s="11"/>
      <c r="N62" s="11"/>
      <c r="O62" s="11"/>
      <c r="P62" s="11"/>
      <c r="Q62" s="11">
        <v>1</v>
      </c>
    </row>
    <row r="64" spans="1:18" x14ac:dyDescent="0.25">
      <c r="D64" s="1">
        <f>COUNTA(D3:D62)</f>
        <v>60</v>
      </c>
      <c r="G64" s="1">
        <f t="shared" ref="G64:Q64" si="2">SUBTOTAL(9,G3:G62)</f>
        <v>47093</v>
      </c>
      <c r="H64" s="1">
        <f t="shared" si="2"/>
        <v>1615</v>
      </c>
      <c r="I64" s="1">
        <f t="shared" si="2"/>
        <v>45478</v>
      </c>
      <c r="J64" s="1">
        <f t="shared" si="2"/>
        <v>0</v>
      </c>
      <c r="K64" s="1">
        <f t="shared" si="2"/>
        <v>0</v>
      </c>
      <c r="L64" s="1">
        <f t="shared" si="2"/>
        <v>0</v>
      </c>
      <c r="M64" s="1">
        <f t="shared" si="2"/>
        <v>0</v>
      </c>
      <c r="N64" s="1">
        <f t="shared" si="2"/>
        <v>0</v>
      </c>
      <c r="O64" s="1">
        <f t="shared" si="2"/>
        <v>0</v>
      </c>
      <c r="P64" s="1">
        <f t="shared" si="2"/>
        <v>0</v>
      </c>
      <c r="Q64" s="1">
        <f t="shared" si="2"/>
        <v>60</v>
      </c>
    </row>
    <row r="65" spans="1:16" x14ac:dyDescent="0.25">
      <c r="H65">
        <f>-8*17</f>
        <v>-136</v>
      </c>
    </row>
    <row r="66" spans="1:16" x14ac:dyDescent="0.25">
      <c r="A66" s="1" t="s">
        <v>27</v>
      </c>
      <c r="C66" s="60" t="s">
        <v>158</v>
      </c>
      <c r="D66" s="60"/>
      <c r="E66" s="4" t="s">
        <v>159</v>
      </c>
      <c r="H66">
        <f>-9*25</f>
        <v>-225</v>
      </c>
      <c r="K66" s="6" t="s">
        <v>33</v>
      </c>
      <c r="L66" s="6" t="s">
        <v>160</v>
      </c>
      <c r="M66" s="6" t="s">
        <v>159</v>
      </c>
      <c r="O66" s="4" t="s">
        <v>161</v>
      </c>
    </row>
    <row r="67" spans="1:16" x14ac:dyDescent="0.25">
      <c r="A67" t="s">
        <v>1827</v>
      </c>
      <c r="B67" s="3" t="s">
        <v>162</v>
      </c>
      <c r="C67" s="61">
        <f>SUMIFS(I$3:I$62,B$3:B$62,A$66,L$3:L$62,A$67)</f>
        <v>45478</v>
      </c>
      <c r="D67" s="61"/>
      <c r="E67" s="3">
        <f>SUMIFS(Q$3:Q$62,B$3:B$62,A$66,L$3:L$62,A$67)</f>
        <v>60</v>
      </c>
      <c r="F67" t="s">
        <v>163</v>
      </c>
      <c r="H67">
        <f>-1*30</f>
        <v>-30</v>
      </c>
      <c r="K67" t="s">
        <v>164</v>
      </c>
      <c r="L67">
        <f>SUMIFS(G$3:G$62,J$3:J$62,K$66)</f>
        <v>19600</v>
      </c>
      <c r="M67">
        <f>SUMIFS(Q$3:Q$62,J$3:J$62,K$66)-INT(COUNTIFS(J$3:J$62,K$66,M$3:M$62,"*gộp*")/2)</f>
        <v>22</v>
      </c>
      <c r="O67" t="s">
        <v>33</v>
      </c>
      <c r="P67">
        <f>L72</f>
        <v>19010</v>
      </c>
    </row>
    <row r="68" spans="1:16" x14ac:dyDescent="0.25">
      <c r="B68" s="2" t="s">
        <v>166</v>
      </c>
      <c r="C68" s="62">
        <v>0</v>
      </c>
      <c r="D68" s="62"/>
      <c r="K68" t="s">
        <v>167</v>
      </c>
      <c r="L68">
        <f>-SUMIFS(H$3:H$62,J$3:J$62,K$66)+M68*5</f>
        <v>-470</v>
      </c>
      <c r="M68">
        <f>SUMIFS(Q$3:Q$62,J$3:J$62,K$66)-INT(COUNTIFS(J$3:J$62,K$66,M$3:M$62,"*gộp*")/2)</f>
        <v>22</v>
      </c>
      <c r="O68" t="s">
        <v>1942</v>
      </c>
      <c r="P68">
        <f>L80</f>
        <v>17259</v>
      </c>
    </row>
    <row r="69" spans="1:16" x14ac:dyDescent="0.25">
      <c r="B69" s="2" t="s">
        <v>168</v>
      </c>
      <c r="C69" s="62">
        <f>-SUMIFS(I$3:I$62,B$3:B$62,A$66,P$3:P$62,"xx",N$3:N$62,"x")</f>
        <v>0</v>
      </c>
      <c r="D69" s="62"/>
      <c r="E69" s="2">
        <f>SUMIFS(Q$3:Q$62,B$3:B$62,A$66,P$3:P$62,"xx",N$3:N$62,"x")</f>
        <v>0</v>
      </c>
      <c r="K69" t="s">
        <v>169</v>
      </c>
      <c r="L69">
        <f>-M69*2</f>
        <v>-120</v>
      </c>
      <c r="M69">
        <f>COUNTIFS(K$3:K$62,K$66,L$3:L$62,A$67)-(COUNTIFS(K$3:K$62,K$66,M$3:M$62,"*gộp*")/2)-COUNTIFS(K$3:K$62,K$66,M$3:M$62,"*đơn trả*")-COUNTIFS(K$3:K$62,K$66,M$3:M$62,"*hàng tỉnh*")</f>
        <v>60</v>
      </c>
      <c r="O69" t="s">
        <v>119</v>
      </c>
      <c r="P69">
        <f>L88</f>
        <v>9448</v>
      </c>
    </row>
    <row r="70" spans="1:16" x14ac:dyDescent="0.25">
      <c r="B70" s="4" t="s">
        <v>170</v>
      </c>
      <c r="C70" s="60">
        <f>SUBTOTAL(9,C67:C69)</f>
        <v>45478</v>
      </c>
      <c r="D70" s="60"/>
      <c r="E70">
        <f>E67</f>
        <v>60</v>
      </c>
      <c r="K70" s="7" t="s">
        <v>155</v>
      </c>
      <c r="O70" t="s">
        <v>171</v>
      </c>
      <c r="P70">
        <f>-C74</f>
        <v>-45478</v>
      </c>
    </row>
    <row r="71" spans="1:16" x14ac:dyDescent="0.25">
      <c r="B71" s="2" t="s">
        <v>172</v>
      </c>
      <c r="C71" s="58"/>
      <c r="D71" s="58"/>
      <c r="K71" s="2" t="s">
        <v>173</v>
      </c>
      <c r="O71" s="4" t="s">
        <v>174</v>
      </c>
      <c r="P71" s="4">
        <f>SUBTOTAL(9,P67:P70)</f>
        <v>239</v>
      </c>
    </row>
    <row r="72" spans="1:16" x14ac:dyDescent="0.25">
      <c r="B72" s="8" t="s">
        <v>175</v>
      </c>
      <c r="C72" s="58"/>
      <c r="D72" s="58"/>
      <c r="L72" s="9">
        <f>SUBTOTAL(9,L67:L71)</f>
        <v>19010</v>
      </c>
      <c r="M72" s="9">
        <f>M67</f>
        <v>22</v>
      </c>
    </row>
    <row r="74" spans="1:16" x14ac:dyDescent="0.25">
      <c r="B74" s="1" t="s">
        <v>176</v>
      </c>
      <c r="C74" s="59">
        <f>C70+C71+C72</f>
        <v>45478</v>
      </c>
      <c r="D74" s="59"/>
      <c r="E74" s="1" t="s">
        <v>177</v>
      </c>
      <c r="K74" s="6" t="s">
        <v>1826</v>
      </c>
      <c r="L74" s="6" t="s">
        <v>160</v>
      </c>
      <c r="M74" s="6" t="s">
        <v>159</v>
      </c>
    </row>
    <row r="75" spans="1:16" x14ac:dyDescent="0.25">
      <c r="K75" t="s">
        <v>164</v>
      </c>
      <c r="L75">
        <f>SUMIFS(G$3:G$62,J$3:J$62,K$74)</f>
        <v>17650</v>
      </c>
      <c r="M75">
        <f>SUMIFS(Q$3:Q$62,J$3:J$62,K$74)-INT(COUNTIFS(J$3:J$62,K$74,M$3:M$62,"*gộp*")/2)</f>
        <v>18</v>
      </c>
    </row>
    <row r="76" spans="1:16" x14ac:dyDescent="0.25">
      <c r="K76" t="s">
        <v>167</v>
      </c>
      <c r="L76">
        <f>SUM(H65:H67)</f>
        <v>-391</v>
      </c>
      <c r="M76">
        <f>SUMIFS(Q$3:Q$62,J$3:J$62,K$74)-INT(COUNTIFS(J$3:J$62,K$74,M$3:M$62,"*gộp*")/2)</f>
        <v>18</v>
      </c>
    </row>
    <row r="77" spans="1:16" x14ac:dyDescent="0.25">
      <c r="K77" t="s">
        <v>169</v>
      </c>
      <c r="L77">
        <f>-M77*2</f>
        <v>0</v>
      </c>
      <c r="M77">
        <f>COUNTIFS(K$3:K$62,K$74,L$3:L$62,A$67)-(COUNTIFS(K$3:K$62,K$74,M$3:M$62,"*gộp*")/2)-COUNTIFS(K$3:K$62,K$74,M$3:M$62,"*đơn trả*")-COUNTIFS(K$3:K$62,K$74,M$3:M$62,"*hàng tỉnh*")</f>
        <v>0</v>
      </c>
    </row>
    <row r="78" spans="1:16" x14ac:dyDescent="0.25">
      <c r="K78" s="7" t="s">
        <v>155</v>
      </c>
    </row>
    <row r="79" spans="1:16" x14ac:dyDescent="0.25">
      <c r="K79" s="2" t="s">
        <v>173</v>
      </c>
    </row>
    <row r="80" spans="1:16" x14ac:dyDescent="0.25">
      <c r="L80" s="9">
        <f>SUBTOTAL(9,L75:L79)</f>
        <v>17259</v>
      </c>
      <c r="M80" s="9">
        <f>M75</f>
        <v>18</v>
      </c>
    </row>
    <row r="82" spans="11:13" x14ac:dyDescent="0.25">
      <c r="K82" s="6" t="s">
        <v>119</v>
      </c>
      <c r="L82" s="6" t="s">
        <v>160</v>
      </c>
      <c r="M82" s="6" t="s">
        <v>159</v>
      </c>
    </row>
    <row r="83" spans="11:13" x14ac:dyDescent="0.25">
      <c r="K83" t="s">
        <v>164</v>
      </c>
      <c r="L83">
        <f>SUMIFS(G$3:G$62,J$3:J$62,K$82)</f>
        <v>9843</v>
      </c>
      <c r="M83">
        <f>SUMIFS(Q$3:Q$62,J$3:J$62,K$82)-INT(COUNTIFS(J$3:J$62,K$82,M$3:M$62,"*gộp*")/2)</f>
        <v>20</v>
      </c>
    </row>
    <row r="84" spans="11:13" x14ac:dyDescent="0.25">
      <c r="K84" t="s">
        <v>167</v>
      </c>
      <c r="L84">
        <f>-SUMIFS(H$3:H$62,J$3:J$62,K$82)+M84*5</f>
        <v>-395</v>
      </c>
      <c r="M84">
        <f>SUMIFS(Q$3:Q$62,J$3:J$62,K$82)-INT(COUNTIFS(J$3:J$62,K$82,M$3:M$62,"*gộp*")/2)</f>
        <v>20</v>
      </c>
    </row>
    <row r="85" spans="11:13" x14ac:dyDescent="0.25">
      <c r="K85" t="s">
        <v>169</v>
      </c>
      <c r="L85">
        <f>-M85*2</f>
        <v>0</v>
      </c>
      <c r="M85">
        <f>COUNTIFS(K$3:K$62,K$82,L$3:L$62,A$67)-(COUNTIFS(K$3:K$62,K$82,M$3:M$62,"*gộp*")/2)-COUNTIFS(K$3:K$62,K$82,M$3:M$62,"*đơn trả*")-COUNTIFS(K$3:K$62,K$82,M$3:M$62,"*hàng tỉnh*")</f>
        <v>0</v>
      </c>
    </row>
    <row r="86" spans="11:13" x14ac:dyDescent="0.25">
      <c r="K86" s="7" t="s">
        <v>155</v>
      </c>
    </row>
    <row r="87" spans="11:13" x14ac:dyDescent="0.25">
      <c r="K87" s="2" t="s">
        <v>173</v>
      </c>
    </row>
    <row r="88" spans="11:13" x14ac:dyDescent="0.25">
      <c r="L88" s="9">
        <f>SUBTOTAL(9,L83:L87)</f>
        <v>9448</v>
      </c>
      <c r="M88" s="9">
        <f>M83</f>
        <v>20</v>
      </c>
    </row>
  </sheetData>
  <autoFilter ref="A2:P62" xr:uid="{00000000-0009-0000-0000-000015000000}">
    <sortState xmlns:xlrd2="http://schemas.microsoft.com/office/spreadsheetml/2017/richdata2" ref="A3:P62">
      <sortCondition ref="J2:J62"/>
    </sortState>
  </autoFilter>
  <mergeCells count="8">
    <mergeCell ref="C71:D71"/>
    <mergeCell ref="C72:D72"/>
    <mergeCell ref="C74:D74"/>
    <mergeCell ref="C66:D66"/>
    <mergeCell ref="C67:D67"/>
    <mergeCell ref="C68:D68"/>
    <mergeCell ref="C69:D69"/>
    <mergeCell ref="C70:D70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2243-9939-4D68-841C-C2E89276B9AA}">
  <dimension ref="A2:R101"/>
  <sheetViews>
    <sheetView topLeftCell="B64" workbookViewId="0">
      <selection activeCell="G11" sqref="G11"/>
    </sheetView>
  </sheetViews>
  <sheetFormatPr defaultRowHeight="15" x14ac:dyDescent="0.25"/>
  <cols>
    <col min="1" max="1" width="12.7109375" customWidth="1"/>
    <col min="2" max="2" width="8.85546875" customWidth="1"/>
    <col min="3" max="3" width="38.5703125" customWidth="1"/>
    <col min="4" max="4" width="9.85546875" customWidth="1"/>
    <col min="5" max="5" width="72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1.2851562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2118</v>
      </c>
      <c r="D3" s="11" t="s">
        <v>2119</v>
      </c>
      <c r="E3" s="11" t="s">
        <v>2120</v>
      </c>
      <c r="F3" s="12">
        <v>12</v>
      </c>
      <c r="G3" s="12">
        <v>760</v>
      </c>
      <c r="H3" s="12">
        <v>30</v>
      </c>
      <c r="I3" s="12">
        <f t="shared" ref="I3:I34" si="0">G3-H3</f>
        <v>730</v>
      </c>
      <c r="J3" s="11" t="s">
        <v>2121</v>
      </c>
      <c r="K3" s="11" t="s">
        <v>33</v>
      </c>
      <c r="L3" s="11" t="s">
        <v>2122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1212</v>
      </c>
      <c r="D4" s="11" t="s">
        <v>2123</v>
      </c>
      <c r="E4" s="11" t="s">
        <v>1214</v>
      </c>
      <c r="F4" s="11" t="s">
        <v>48</v>
      </c>
      <c r="G4" s="12">
        <v>0</v>
      </c>
      <c r="H4" s="12">
        <v>30</v>
      </c>
      <c r="I4" s="12">
        <f t="shared" si="0"/>
        <v>-30</v>
      </c>
      <c r="J4" s="11" t="s">
        <v>2121</v>
      </c>
      <c r="K4" s="11" t="s">
        <v>33</v>
      </c>
      <c r="L4" s="11" t="s">
        <v>2122</v>
      </c>
      <c r="M4" s="11"/>
      <c r="N4" s="11"/>
      <c r="O4" s="11"/>
      <c r="P4" s="11"/>
      <c r="Q4" s="11">
        <v>1</v>
      </c>
      <c r="R4" s="5">
        <f>H4</f>
        <v>30</v>
      </c>
    </row>
    <row r="5" spans="1:18" x14ac:dyDescent="0.25">
      <c r="A5" s="11"/>
      <c r="B5" s="11" t="s">
        <v>27</v>
      </c>
      <c r="C5" s="11" t="s">
        <v>2124</v>
      </c>
      <c r="D5" s="11" t="s">
        <v>2125</v>
      </c>
      <c r="E5" s="11" t="s">
        <v>2126</v>
      </c>
      <c r="F5" s="11" t="s">
        <v>48</v>
      </c>
      <c r="G5" s="12">
        <v>705</v>
      </c>
      <c r="H5" s="12">
        <v>30</v>
      </c>
      <c r="I5" s="12">
        <f t="shared" si="0"/>
        <v>675</v>
      </c>
      <c r="J5" s="11" t="s">
        <v>2121</v>
      </c>
      <c r="K5" s="11" t="s">
        <v>33</v>
      </c>
      <c r="L5" s="11" t="s">
        <v>2122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2130</v>
      </c>
      <c r="D6" s="11" t="s">
        <v>2131</v>
      </c>
      <c r="E6" s="11" t="s">
        <v>2132</v>
      </c>
      <c r="F6" s="11" t="s">
        <v>55</v>
      </c>
      <c r="G6" s="12">
        <v>515</v>
      </c>
      <c r="H6" s="12">
        <v>35</v>
      </c>
      <c r="I6" s="12">
        <f t="shared" si="0"/>
        <v>480</v>
      </c>
      <c r="J6" s="11" t="s">
        <v>2121</v>
      </c>
      <c r="K6" s="11" t="s">
        <v>33</v>
      </c>
      <c r="L6" s="11" t="s">
        <v>2122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2139</v>
      </c>
      <c r="D7" s="11" t="s">
        <v>2140</v>
      </c>
      <c r="E7" s="11" t="s">
        <v>2141</v>
      </c>
      <c r="F7" s="11" t="s">
        <v>31</v>
      </c>
      <c r="G7" s="12">
        <v>285</v>
      </c>
      <c r="H7" s="12">
        <v>25</v>
      </c>
      <c r="I7" s="12">
        <f t="shared" si="0"/>
        <v>260</v>
      </c>
      <c r="J7" s="11" t="s">
        <v>2121</v>
      </c>
      <c r="K7" s="11" t="s">
        <v>33</v>
      </c>
      <c r="L7" s="11" t="s">
        <v>2122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2142</v>
      </c>
      <c r="D8" s="11" t="s">
        <v>2143</v>
      </c>
      <c r="E8" s="11" t="s">
        <v>2144</v>
      </c>
      <c r="F8" s="12">
        <v>8</v>
      </c>
      <c r="G8" s="12">
        <v>1130</v>
      </c>
      <c r="H8" s="12">
        <v>30</v>
      </c>
      <c r="I8" s="12">
        <f t="shared" si="0"/>
        <v>1100</v>
      </c>
      <c r="J8" s="11" t="s">
        <v>2121</v>
      </c>
      <c r="K8" s="11" t="s">
        <v>33</v>
      </c>
      <c r="L8" s="11" t="s">
        <v>2122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2145</v>
      </c>
      <c r="D9" s="11" t="s">
        <v>2146</v>
      </c>
      <c r="E9" s="11" t="s">
        <v>2147</v>
      </c>
      <c r="F9" s="12">
        <v>12</v>
      </c>
      <c r="G9" s="12">
        <v>420</v>
      </c>
      <c r="H9" s="12">
        <v>30</v>
      </c>
      <c r="I9" s="12">
        <f t="shared" si="0"/>
        <v>390</v>
      </c>
      <c r="J9" s="11" t="s">
        <v>2121</v>
      </c>
      <c r="K9" s="11" t="s">
        <v>33</v>
      </c>
      <c r="L9" s="11" t="s">
        <v>2122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2160</v>
      </c>
      <c r="D10" s="11" t="s">
        <v>2161</v>
      </c>
      <c r="E10" s="11" t="s">
        <v>2162</v>
      </c>
      <c r="F10" s="11" t="s">
        <v>202</v>
      </c>
      <c r="G10" s="12">
        <v>995</v>
      </c>
      <c r="H10" s="12">
        <v>35</v>
      </c>
      <c r="I10" s="12">
        <f t="shared" si="0"/>
        <v>960</v>
      </c>
      <c r="J10" s="11" t="s">
        <v>2121</v>
      </c>
      <c r="K10" s="11" t="s">
        <v>33</v>
      </c>
      <c r="L10" s="11" t="s">
        <v>2122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2163</v>
      </c>
      <c r="D11" s="11" t="s">
        <v>2164</v>
      </c>
      <c r="E11" s="11" t="s">
        <v>2165</v>
      </c>
      <c r="F11" s="12">
        <v>9</v>
      </c>
      <c r="G11" s="12">
        <v>380</v>
      </c>
      <c r="H11" s="12">
        <v>30</v>
      </c>
      <c r="I11" s="12">
        <f t="shared" si="0"/>
        <v>350</v>
      </c>
      <c r="J11" s="11" t="s">
        <v>2121</v>
      </c>
      <c r="K11" s="11" t="s">
        <v>33</v>
      </c>
      <c r="L11" s="11" t="s">
        <v>2122</v>
      </c>
      <c r="M11" s="24" t="s">
        <v>2335</v>
      </c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2172</v>
      </c>
      <c r="D12" s="11" t="s">
        <v>2173</v>
      </c>
      <c r="E12" s="11" t="s">
        <v>2174</v>
      </c>
      <c r="F12" s="12">
        <v>9</v>
      </c>
      <c r="G12" s="12">
        <v>400</v>
      </c>
      <c r="H12" s="12">
        <v>30</v>
      </c>
      <c r="I12" s="12">
        <f t="shared" si="0"/>
        <v>370</v>
      </c>
      <c r="J12" s="11" t="s">
        <v>2121</v>
      </c>
      <c r="K12" s="11" t="s">
        <v>33</v>
      </c>
      <c r="L12" s="11" t="s">
        <v>2122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2175</v>
      </c>
      <c r="D13" s="11" t="s">
        <v>2176</v>
      </c>
      <c r="E13" s="11" t="s">
        <v>2177</v>
      </c>
      <c r="F13" s="11" t="s">
        <v>31</v>
      </c>
      <c r="G13" s="12">
        <v>1135</v>
      </c>
      <c r="H13" s="12">
        <v>25</v>
      </c>
      <c r="I13" s="12">
        <f t="shared" si="0"/>
        <v>1110</v>
      </c>
      <c r="J13" s="11" t="s">
        <v>2121</v>
      </c>
      <c r="K13" s="11" t="s">
        <v>33</v>
      </c>
      <c r="L13" s="11" t="s">
        <v>2122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2178</v>
      </c>
      <c r="D14" s="11" t="s">
        <v>2179</v>
      </c>
      <c r="E14" s="11" t="s">
        <v>2180</v>
      </c>
      <c r="F14" s="11" t="s">
        <v>48</v>
      </c>
      <c r="G14" s="12">
        <v>480</v>
      </c>
      <c r="H14" s="12">
        <v>30</v>
      </c>
      <c r="I14" s="12">
        <f t="shared" si="0"/>
        <v>450</v>
      </c>
      <c r="J14" s="11" t="s">
        <v>2121</v>
      </c>
      <c r="K14" s="11" t="s">
        <v>33</v>
      </c>
      <c r="L14" s="11" t="s">
        <v>2122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2184</v>
      </c>
      <c r="D15" s="11" t="s">
        <v>2185</v>
      </c>
      <c r="E15" s="11" t="s">
        <v>2186</v>
      </c>
      <c r="F15" s="11" t="s">
        <v>104</v>
      </c>
      <c r="G15" s="12">
        <v>1010</v>
      </c>
      <c r="H15" s="12">
        <v>30</v>
      </c>
      <c r="I15" s="12">
        <f t="shared" si="0"/>
        <v>980</v>
      </c>
      <c r="J15" s="11" t="s">
        <v>2121</v>
      </c>
      <c r="K15" s="11" t="s">
        <v>33</v>
      </c>
      <c r="L15" s="11" t="s">
        <v>2122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2193</v>
      </c>
      <c r="D16" s="11" t="s">
        <v>2194</v>
      </c>
      <c r="E16" s="11" t="s">
        <v>2195</v>
      </c>
      <c r="F16" s="12">
        <v>11</v>
      </c>
      <c r="G16" s="12">
        <v>1385</v>
      </c>
      <c r="H16" s="12">
        <v>25</v>
      </c>
      <c r="I16" s="12">
        <f t="shared" si="0"/>
        <v>1360</v>
      </c>
      <c r="J16" s="11" t="s">
        <v>2121</v>
      </c>
      <c r="K16" s="11" t="s">
        <v>33</v>
      </c>
      <c r="L16" s="11" t="s">
        <v>2122</v>
      </c>
      <c r="M16" s="11"/>
      <c r="N16" s="11"/>
      <c r="O16" s="11"/>
      <c r="P16" s="11"/>
      <c r="Q16" s="11">
        <v>1</v>
      </c>
    </row>
    <row r="17" spans="1:17" x14ac:dyDescent="0.25">
      <c r="A17" s="11"/>
      <c r="B17" s="11" t="s">
        <v>27</v>
      </c>
      <c r="C17" s="11" t="s">
        <v>2205</v>
      </c>
      <c r="D17" s="11" t="s">
        <v>2206</v>
      </c>
      <c r="E17" s="11" t="s">
        <v>2207</v>
      </c>
      <c r="F17" s="11" t="s">
        <v>31</v>
      </c>
      <c r="G17" s="12">
        <v>415</v>
      </c>
      <c r="H17" s="12">
        <v>25</v>
      </c>
      <c r="I17" s="12">
        <f t="shared" si="0"/>
        <v>390</v>
      </c>
      <c r="J17" s="11" t="s">
        <v>2121</v>
      </c>
      <c r="K17" s="11" t="s">
        <v>33</v>
      </c>
      <c r="L17" s="11" t="s">
        <v>2122</v>
      </c>
      <c r="M17" s="11"/>
      <c r="N17" s="11"/>
      <c r="O17" s="11"/>
      <c r="P17" s="11"/>
      <c r="Q17" s="11">
        <v>1</v>
      </c>
    </row>
    <row r="18" spans="1:17" x14ac:dyDescent="0.25">
      <c r="A18" s="11"/>
      <c r="B18" s="11" t="s">
        <v>27</v>
      </c>
      <c r="C18" s="11" t="s">
        <v>2214</v>
      </c>
      <c r="D18" s="11" t="s">
        <v>2215</v>
      </c>
      <c r="E18" s="11" t="s">
        <v>2216</v>
      </c>
      <c r="F18" s="12">
        <v>9</v>
      </c>
      <c r="G18" s="12">
        <v>480</v>
      </c>
      <c r="H18" s="12">
        <v>30</v>
      </c>
      <c r="I18" s="12">
        <f t="shared" si="0"/>
        <v>450</v>
      </c>
      <c r="J18" s="11" t="s">
        <v>2121</v>
      </c>
      <c r="K18" s="11" t="s">
        <v>33</v>
      </c>
      <c r="L18" s="11" t="s">
        <v>2122</v>
      </c>
      <c r="M18" s="11"/>
      <c r="N18" s="11"/>
      <c r="O18" s="11"/>
      <c r="P18" s="11"/>
      <c r="Q18" s="11">
        <v>1</v>
      </c>
    </row>
    <row r="19" spans="1:17" x14ac:dyDescent="0.25">
      <c r="A19" s="11"/>
      <c r="B19" s="11" t="s">
        <v>27</v>
      </c>
      <c r="C19" s="11" t="s">
        <v>2220</v>
      </c>
      <c r="D19" s="11" t="s">
        <v>2221</v>
      </c>
      <c r="E19" s="11" t="s">
        <v>2222</v>
      </c>
      <c r="F19" s="11" t="s">
        <v>55</v>
      </c>
      <c r="G19" s="12">
        <v>1245</v>
      </c>
      <c r="H19" s="12">
        <v>35</v>
      </c>
      <c r="I19" s="12">
        <f t="shared" si="0"/>
        <v>1210</v>
      </c>
      <c r="J19" s="11" t="s">
        <v>2121</v>
      </c>
      <c r="K19" s="11" t="s">
        <v>33</v>
      </c>
      <c r="L19" s="11" t="s">
        <v>2122</v>
      </c>
      <c r="M19" s="11"/>
      <c r="N19" s="11"/>
      <c r="O19" s="11"/>
      <c r="P19" s="11"/>
      <c r="Q19" s="11">
        <v>1</v>
      </c>
    </row>
    <row r="20" spans="1:17" x14ac:dyDescent="0.25">
      <c r="A20" s="11"/>
      <c r="B20" s="11" t="s">
        <v>27</v>
      </c>
      <c r="C20" s="11" t="s">
        <v>2223</v>
      </c>
      <c r="D20" s="11" t="s">
        <v>2224</v>
      </c>
      <c r="E20" s="11" t="s">
        <v>2225</v>
      </c>
      <c r="F20" s="12">
        <v>9</v>
      </c>
      <c r="G20" s="12">
        <v>1160</v>
      </c>
      <c r="H20" s="12">
        <v>30</v>
      </c>
      <c r="I20" s="12">
        <f t="shared" si="0"/>
        <v>1130</v>
      </c>
      <c r="J20" s="11" t="s">
        <v>2121</v>
      </c>
      <c r="K20" s="11" t="s">
        <v>33</v>
      </c>
      <c r="L20" s="11" t="s">
        <v>2122</v>
      </c>
      <c r="M20" s="11"/>
      <c r="N20" s="11"/>
      <c r="O20" s="11"/>
      <c r="P20" s="11"/>
      <c r="Q20" s="11">
        <v>1</v>
      </c>
    </row>
    <row r="21" spans="1:17" x14ac:dyDescent="0.25">
      <c r="A21" s="11"/>
      <c r="B21" s="11" t="s">
        <v>27</v>
      </c>
      <c r="C21" s="11" t="s">
        <v>2226</v>
      </c>
      <c r="D21" s="11" t="s">
        <v>2227</v>
      </c>
      <c r="E21" s="11" t="s">
        <v>215</v>
      </c>
      <c r="F21" s="12">
        <v>6</v>
      </c>
      <c r="G21" s="12">
        <v>645</v>
      </c>
      <c r="H21" s="12">
        <v>25</v>
      </c>
      <c r="I21" s="12">
        <f t="shared" si="0"/>
        <v>620</v>
      </c>
      <c r="J21" s="11" t="s">
        <v>2121</v>
      </c>
      <c r="K21" s="11" t="s">
        <v>33</v>
      </c>
      <c r="L21" s="11" t="s">
        <v>2122</v>
      </c>
      <c r="M21" s="11"/>
      <c r="N21" s="11"/>
      <c r="O21" s="11"/>
      <c r="P21" s="11"/>
      <c r="Q21" s="11">
        <v>1</v>
      </c>
    </row>
    <row r="22" spans="1:17" x14ac:dyDescent="0.25">
      <c r="A22" s="11"/>
      <c r="B22" s="11" t="s">
        <v>27</v>
      </c>
      <c r="C22" s="11" t="s">
        <v>2231</v>
      </c>
      <c r="D22" s="11" t="s">
        <v>2232</v>
      </c>
      <c r="E22" s="11" t="s">
        <v>2233</v>
      </c>
      <c r="F22" s="12">
        <v>11</v>
      </c>
      <c r="G22" s="12">
        <v>1555</v>
      </c>
      <c r="H22" s="12">
        <v>25</v>
      </c>
      <c r="I22" s="12">
        <f t="shared" si="0"/>
        <v>1530</v>
      </c>
      <c r="J22" s="11" t="s">
        <v>2121</v>
      </c>
      <c r="K22" s="11" t="s">
        <v>33</v>
      </c>
      <c r="L22" s="11" t="s">
        <v>2122</v>
      </c>
      <c r="M22" s="11"/>
      <c r="N22" s="11"/>
      <c r="O22" s="11"/>
      <c r="P22" s="11"/>
      <c r="Q22" s="11">
        <v>1</v>
      </c>
    </row>
    <row r="23" spans="1:17" x14ac:dyDescent="0.25">
      <c r="A23" s="11"/>
      <c r="B23" s="11" t="s">
        <v>27</v>
      </c>
      <c r="C23" s="11" t="s">
        <v>2234</v>
      </c>
      <c r="D23" s="11" t="s">
        <v>2235</v>
      </c>
      <c r="E23" s="11" t="s">
        <v>1159</v>
      </c>
      <c r="F23" s="12">
        <v>7</v>
      </c>
      <c r="G23" s="12">
        <v>1680</v>
      </c>
      <c r="H23" s="12">
        <v>30</v>
      </c>
      <c r="I23" s="12">
        <f t="shared" si="0"/>
        <v>1650</v>
      </c>
      <c r="J23" s="11" t="s">
        <v>2121</v>
      </c>
      <c r="K23" s="11" t="s">
        <v>33</v>
      </c>
      <c r="L23" s="11" t="s">
        <v>2122</v>
      </c>
      <c r="M23" s="11"/>
      <c r="N23" s="11"/>
      <c r="O23" s="11"/>
      <c r="P23" s="11"/>
      <c r="Q23" s="11">
        <v>1</v>
      </c>
    </row>
    <row r="24" spans="1:17" x14ac:dyDescent="0.25">
      <c r="A24" s="11"/>
      <c r="B24" s="11" t="s">
        <v>27</v>
      </c>
      <c r="C24" s="11" t="s">
        <v>2239</v>
      </c>
      <c r="D24" s="11" t="s">
        <v>2240</v>
      </c>
      <c r="E24" s="11" t="s">
        <v>2241</v>
      </c>
      <c r="F24" s="12">
        <v>12</v>
      </c>
      <c r="G24" s="12">
        <v>440</v>
      </c>
      <c r="H24" s="12">
        <v>30</v>
      </c>
      <c r="I24" s="12">
        <f t="shared" si="0"/>
        <v>410</v>
      </c>
      <c r="J24" s="11" t="s">
        <v>2121</v>
      </c>
      <c r="K24" s="11" t="s">
        <v>33</v>
      </c>
      <c r="L24" s="11" t="s">
        <v>2122</v>
      </c>
      <c r="M24" s="11"/>
      <c r="N24" s="11"/>
      <c r="O24" s="11"/>
      <c r="P24" s="11"/>
      <c r="Q24" s="11">
        <v>1</v>
      </c>
    </row>
    <row r="25" spans="1:17" x14ac:dyDescent="0.25">
      <c r="A25" s="11"/>
      <c r="B25" s="11" t="s">
        <v>27</v>
      </c>
      <c r="C25" s="11" t="s">
        <v>2242</v>
      </c>
      <c r="D25" s="11" t="s">
        <v>2243</v>
      </c>
      <c r="E25" s="11" t="s">
        <v>2244</v>
      </c>
      <c r="F25" s="12">
        <v>12</v>
      </c>
      <c r="G25" s="12">
        <v>620</v>
      </c>
      <c r="H25" s="12">
        <v>30</v>
      </c>
      <c r="I25" s="12">
        <f t="shared" si="0"/>
        <v>590</v>
      </c>
      <c r="J25" s="11" t="s">
        <v>2121</v>
      </c>
      <c r="K25" s="11" t="s">
        <v>33</v>
      </c>
      <c r="L25" s="11" t="s">
        <v>2122</v>
      </c>
      <c r="M25" s="11"/>
      <c r="N25" s="11"/>
      <c r="O25" s="11"/>
      <c r="P25" s="11"/>
      <c r="Q25" s="11">
        <v>1</v>
      </c>
    </row>
    <row r="26" spans="1:17" x14ac:dyDescent="0.25">
      <c r="A26" s="11"/>
      <c r="B26" s="11" t="s">
        <v>27</v>
      </c>
      <c r="C26" s="11" t="s">
        <v>2245</v>
      </c>
      <c r="D26" s="11" t="s">
        <v>2246</v>
      </c>
      <c r="E26" s="11" t="s">
        <v>2247</v>
      </c>
      <c r="F26" s="12">
        <v>7</v>
      </c>
      <c r="G26" s="12">
        <v>870</v>
      </c>
      <c r="H26" s="12">
        <v>30</v>
      </c>
      <c r="I26" s="12">
        <f t="shared" si="0"/>
        <v>840</v>
      </c>
      <c r="J26" s="11" t="s">
        <v>2121</v>
      </c>
      <c r="K26" s="11" t="s">
        <v>33</v>
      </c>
      <c r="L26" s="11" t="s">
        <v>2122</v>
      </c>
      <c r="M26" s="11"/>
      <c r="N26" s="11"/>
      <c r="O26" s="11"/>
      <c r="P26" s="11"/>
      <c r="Q26" s="11">
        <v>1</v>
      </c>
    </row>
    <row r="27" spans="1:17" x14ac:dyDescent="0.25">
      <c r="A27" s="11"/>
      <c r="B27" s="11" t="s">
        <v>27</v>
      </c>
      <c r="C27" s="11" t="s">
        <v>2248</v>
      </c>
      <c r="D27" s="11" t="s">
        <v>2249</v>
      </c>
      <c r="E27" s="11" t="s">
        <v>2250</v>
      </c>
      <c r="F27" s="11" t="s">
        <v>44</v>
      </c>
      <c r="G27" s="12">
        <v>1195</v>
      </c>
      <c r="H27" s="12">
        <v>25</v>
      </c>
      <c r="I27" s="12">
        <f t="shared" si="0"/>
        <v>1170</v>
      </c>
      <c r="J27" s="11" t="s">
        <v>2121</v>
      </c>
      <c r="K27" s="11" t="s">
        <v>33</v>
      </c>
      <c r="L27" s="11" t="s">
        <v>2122</v>
      </c>
      <c r="M27" s="11"/>
      <c r="N27" s="11"/>
      <c r="O27" s="11"/>
      <c r="P27" s="11"/>
      <c r="Q27" s="11">
        <v>1</v>
      </c>
    </row>
    <row r="28" spans="1:17" x14ac:dyDescent="0.25">
      <c r="A28" s="11"/>
      <c r="B28" s="11" t="s">
        <v>27</v>
      </c>
      <c r="C28" s="11" t="s">
        <v>2251</v>
      </c>
      <c r="D28" s="11" t="s">
        <v>2252</v>
      </c>
      <c r="E28" s="11" t="s">
        <v>2253</v>
      </c>
      <c r="F28" s="11" t="s">
        <v>48</v>
      </c>
      <c r="G28" s="12">
        <v>800</v>
      </c>
      <c r="H28" s="12">
        <v>30</v>
      </c>
      <c r="I28" s="12">
        <f t="shared" si="0"/>
        <v>770</v>
      </c>
      <c r="J28" s="11" t="s">
        <v>2121</v>
      </c>
      <c r="K28" s="11" t="s">
        <v>33</v>
      </c>
      <c r="L28" s="11" t="s">
        <v>2122</v>
      </c>
      <c r="M28" s="11"/>
      <c r="N28" s="11"/>
      <c r="O28" s="11"/>
      <c r="P28" s="11"/>
      <c r="Q28" s="11">
        <v>1</v>
      </c>
    </row>
    <row r="29" spans="1:17" x14ac:dyDescent="0.25">
      <c r="A29" s="11"/>
      <c r="B29" s="11" t="s">
        <v>27</v>
      </c>
      <c r="C29" s="11" t="s">
        <v>2254</v>
      </c>
      <c r="D29" s="11" t="s">
        <v>2255</v>
      </c>
      <c r="E29" s="11" t="s">
        <v>2256</v>
      </c>
      <c r="F29" s="12">
        <v>8</v>
      </c>
      <c r="G29" s="12">
        <v>520</v>
      </c>
      <c r="H29" s="12">
        <v>30</v>
      </c>
      <c r="I29" s="12">
        <f t="shared" si="0"/>
        <v>490</v>
      </c>
      <c r="J29" s="11" t="s">
        <v>2121</v>
      </c>
      <c r="K29" s="11" t="s">
        <v>33</v>
      </c>
      <c r="L29" s="11" t="s">
        <v>2122</v>
      </c>
      <c r="M29" s="11"/>
      <c r="N29" s="11"/>
      <c r="O29" s="11"/>
      <c r="P29" s="11"/>
      <c r="Q29" s="11">
        <v>1</v>
      </c>
    </row>
    <row r="30" spans="1:17" x14ac:dyDescent="0.25">
      <c r="A30" s="11"/>
      <c r="B30" s="11" t="s">
        <v>27</v>
      </c>
      <c r="C30" s="11" t="s">
        <v>2257</v>
      </c>
      <c r="D30" s="11" t="s">
        <v>2258</v>
      </c>
      <c r="E30" s="11" t="s">
        <v>2259</v>
      </c>
      <c r="F30" s="11" t="s">
        <v>78</v>
      </c>
      <c r="G30" s="12">
        <v>390</v>
      </c>
      <c r="H30" s="12">
        <v>20</v>
      </c>
      <c r="I30" s="12">
        <f t="shared" si="0"/>
        <v>370</v>
      </c>
      <c r="J30" s="11" t="s">
        <v>2121</v>
      </c>
      <c r="K30" s="11" t="s">
        <v>33</v>
      </c>
      <c r="L30" s="11" t="s">
        <v>2122</v>
      </c>
      <c r="M30" s="11"/>
      <c r="N30" s="11"/>
      <c r="O30" s="11"/>
      <c r="P30" s="11"/>
      <c r="Q30" s="11">
        <v>1</v>
      </c>
    </row>
    <row r="31" spans="1:17" x14ac:dyDescent="0.25">
      <c r="A31" s="11"/>
      <c r="B31" s="11" t="s">
        <v>27</v>
      </c>
      <c r="C31" s="11" t="s">
        <v>2263</v>
      </c>
      <c r="D31" s="11" t="s">
        <v>2264</v>
      </c>
      <c r="E31" s="11" t="s">
        <v>2265</v>
      </c>
      <c r="F31" s="11" t="s">
        <v>55</v>
      </c>
      <c r="G31" s="12">
        <v>345</v>
      </c>
      <c r="H31" s="12">
        <v>35</v>
      </c>
      <c r="I31" s="12">
        <f t="shared" si="0"/>
        <v>310</v>
      </c>
      <c r="J31" s="11" t="s">
        <v>2121</v>
      </c>
      <c r="K31" s="11" t="s">
        <v>33</v>
      </c>
      <c r="L31" s="11" t="s">
        <v>2122</v>
      </c>
      <c r="M31" s="11"/>
      <c r="N31" s="11"/>
      <c r="O31" s="11"/>
      <c r="P31" s="11"/>
      <c r="Q31" s="11">
        <v>1</v>
      </c>
    </row>
    <row r="32" spans="1:17" x14ac:dyDescent="0.25">
      <c r="A32" s="11"/>
      <c r="B32" s="11" t="s">
        <v>27</v>
      </c>
      <c r="C32" s="11" t="s">
        <v>2266</v>
      </c>
      <c r="D32" s="11" t="s">
        <v>2267</v>
      </c>
      <c r="E32" s="11" t="s">
        <v>2268</v>
      </c>
      <c r="F32" s="11" t="s">
        <v>31</v>
      </c>
      <c r="G32" s="12">
        <v>1405</v>
      </c>
      <c r="H32" s="12">
        <v>25</v>
      </c>
      <c r="I32" s="12">
        <f t="shared" si="0"/>
        <v>1380</v>
      </c>
      <c r="J32" s="11" t="s">
        <v>2121</v>
      </c>
      <c r="K32" s="11" t="s">
        <v>33</v>
      </c>
      <c r="L32" s="11" t="s">
        <v>2122</v>
      </c>
      <c r="M32" s="11"/>
      <c r="N32" s="11"/>
      <c r="O32" s="11"/>
      <c r="P32" s="11"/>
      <c r="Q32" s="11">
        <v>1</v>
      </c>
    </row>
    <row r="33" spans="1:17" x14ac:dyDescent="0.25">
      <c r="A33" s="11"/>
      <c r="B33" s="11" t="s">
        <v>27</v>
      </c>
      <c r="C33" s="11" t="s">
        <v>2269</v>
      </c>
      <c r="D33" s="11" t="s">
        <v>2270</v>
      </c>
      <c r="E33" s="11" t="s">
        <v>2271</v>
      </c>
      <c r="F33" s="12">
        <v>9</v>
      </c>
      <c r="G33" s="12">
        <v>450</v>
      </c>
      <c r="H33" s="12">
        <v>30</v>
      </c>
      <c r="I33" s="12">
        <f t="shared" si="0"/>
        <v>420</v>
      </c>
      <c r="J33" s="11" t="s">
        <v>2121</v>
      </c>
      <c r="K33" s="11" t="s">
        <v>33</v>
      </c>
      <c r="L33" s="11" t="s">
        <v>2122</v>
      </c>
      <c r="M33" s="11"/>
      <c r="N33" s="11"/>
      <c r="O33" s="11"/>
      <c r="P33" s="11"/>
      <c r="Q33" s="11">
        <v>1</v>
      </c>
    </row>
    <row r="34" spans="1:17" x14ac:dyDescent="0.25">
      <c r="A34" s="11"/>
      <c r="B34" s="11" t="s">
        <v>27</v>
      </c>
      <c r="C34" s="11" t="s">
        <v>2287</v>
      </c>
      <c r="D34" s="11" t="s">
        <v>2288</v>
      </c>
      <c r="E34" s="11" t="s">
        <v>2289</v>
      </c>
      <c r="F34" s="11" t="s">
        <v>202</v>
      </c>
      <c r="G34" s="12">
        <v>465</v>
      </c>
      <c r="H34" s="12">
        <v>35</v>
      </c>
      <c r="I34" s="12">
        <f t="shared" si="0"/>
        <v>430</v>
      </c>
      <c r="J34" s="11" t="s">
        <v>2121</v>
      </c>
      <c r="K34" s="11" t="s">
        <v>33</v>
      </c>
      <c r="L34" s="11" t="s">
        <v>2122</v>
      </c>
      <c r="M34" s="11"/>
      <c r="N34" s="11"/>
      <c r="O34" s="11"/>
      <c r="P34" s="11"/>
      <c r="Q34" s="11">
        <v>1</v>
      </c>
    </row>
    <row r="35" spans="1:17" x14ac:dyDescent="0.25">
      <c r="A35" s="11"/>
      <c r="B35" s="11" t="s">
        <v>27</v>
      </c>
      <c r="C35" s="11" t="s">
        <v>2293</v>
      </c>
      <c r="D35" s="11" t="s">
        <v>2294</v>
      </c>
      <c r="E35" s="11" t="s">
        <v>1388</v>
      </c>
      <c r="F35" s="11" t="s">
        <v>31</v>
      </c>
      <c r="G35" s="12">
        <v>1025</v>
      </c>
      <c r="H35" s="12">
        <v>25</v>
      </c>
      <c r="I35" s="12">
        <f t="shared" ref="I35:I66" si="1">G35-H35</f>
        <v>1000</v>
      </c>
      <c r="J35" s="11" t="s">
        <v>2121</v>
      </c>
      <c r="K35" s="11" t="s">
        <v>33</v>
      </c>
      <c r="L35" s="11" t="s">
        <v>2122</v>
      </c>
      <c r="M35" s="11"/>
      <c r="N35" s="11"/>
      <c r="O35" s="11"/>
      <c r="P35" s="11"/>
      <c r="Q35" s="11">
        <v>1</v>
      </c>
    </row>
    <row r="36" spans="1:17" x14ac:dyDescent="0.25">
      <c r="A36" s="11"/>
      <c r="B36" s="11" t="s">
        <v>27</v>
      </c>
      <c r="C36" s="11" t="s">
        <v>2301</v>
      </c>
      <c r="D36" s="11" t="s">
        <v>2302</v>
      </c>
      <c r="E36" s="11" t="s">
        <v>2303</v>
      </c>
      <c r="F36" s="11" t="s">
        <v>48</v>
      </c>
      <c r="G36" s="12">
        <v>400</v>
      </c>
      <c r="H36" s="12">
        <v>30</v>
      </c>
      <c r="I36" s="12">
        <f t="shared" si="1"/>
        <v>370</v>
      </c>
      <c r="J36" s="11" t="s">
        <v>2121</v>
      </c>
      <c r="K36" s="11" t="s">
        <v>33</v>
      </c>
      <c r="L36" s="11" t="s">
        <v>2122</v>
      </c>
      <c r="M36" s="11"/>
      <c r="N36" s="11"/>
      <c r="O36" s="11"/>
      <c r="P36" s="11"/>
      <c r="Q36" s="11">
        <v>1</v>
      </c>
    </row>
    <row r="37" spans="1:17" x14ac:dyDescent="0.25">
      <c r="A37" s="11"/>
      <c r="B37" s="11" t="s">
        <v>27</v>
      </c>
      <c r="C37" s="11" t="s">
        <v>2307</v>
      </c>
      <c r="D37" s="11" t="s">
        <v>2308</v>
      </c>
      <c r="E37" s="11" t="s">
        <v>2309</v>
      </c>
      <c r="F37" s="12">
        <v>8</v>
      </c>
      <c r="G37" s="12">
        <v>780</v>
      </c>
      <c r="H37" s="12">
        <v>30</v>
      </c>
      <c r="I37" s="12">
        <f t="shared" si="1"/>
        <v>750</v>
      </c>
      <c r="J37" s="11" t="s">
        <v>2121</v>
      </c>
      <c r="K37" s="11" t="s">
        <v>33</v>
      </c>
      <c r="L37" s="11" t="s">
        <v>2122</v>
      </c>
      <c r="M37" s="11"/>
      <c r="N37" s="11"/>
      <c r="O37" s="11"/>
      <c r="P37" s="11"/>
      <c r="Q37" s="11">
        <v>1</v>
      </c>
    </row>
    <row r="38" spans="1:17" x14ac:dyDescent="0.25">
      <c r="A38" s="11"/>
      <c r="B38" s="11" t="s">
        <v>27</v>
      </c>
      <c r="C38" s="11" t="s">
        <v>2310</v>
      </c>
      <c r="D38" s="11" t="s">
        <v>2311</v>
      </c>
      <c r="E38" s="11" t="s">
        <v>2312</v>
      </c>
      <c r="F38" s="12">
        <v>7</v>
      </c>
      <c r="G38" s="12">
        <v>1030</v>
      </c>
      <c r="H38" s="12">
        <v>30</v>
      </c>
      <c r="I38" s="12">
        <f t="shared" si="1"/>
        <v>1000</v>
      </c>
      <c r="J38" s="11" t="s">
        <v>2121</v>
      </c>
      <c r="K38" s="11" t="s">
        <v>33</v>
      </c>
      <c r="L38" s="11" t="s">
        <v>2122</v>
      </c>
      <c r="M38" s="11"/>
      <c r="N38" s="11"/>
      <c r="O38" s="11"/>
      <c r="P38" s="11"/>
      <c r="Q38" s="11">
        <v>1</v>
      </c>
    </row>
    <row r="39" spans="1:17" x14ac:dyDescent="0.25">
      <c r="A39" s="11"/>
      <c r="B39" s="11" t="s">
        <v>27</v>
      </c>
      <c r="C39" s="11" t="s">
        <v>2316</v>
      </c>
      <c r="D39" s="11" t="s">
        <v>2317</v>
      </c>
      <c r="E39" s="11" t="s">
        <v>2318</v>
      </c>
      <c r="F39" s="11" t="s">
        <v>31</v>
      </c>
      <c r="G39" s="12">
        <v>415</v>
      </c>
      <c r="H39" s="12">
        <v>25</v>
      </c>
      <c r="I39" s="12">
        <f t="shared" si="1"/>
        <v>390</v>
      </c>
      <c r="J39" s="11" t="s">
        <v>2121</v>
      </c>
      <c r="K39" s="11" t="s">
        <v>33</v>
      </c>
      <c r="L39" s="11" t="s">
        <v>2122</v>
      </c>
      <c r="M39" s="11"/>
      <c r="N39" s="11"/>
      <c r="O39" s="11"/>
      <c r="P39" s="11"/>
      <c r="Q39" s="11">
        <v>1</v>
      </c>
    </row>
    <row r="40" spans="1:17" x14ac:dyDescent="0.25">
      <c r="A40" s="11"/>
      <c r="B40" s="11" t="s">
        <v>27</v>
      </c>
      <c r="C40" s="11" t="s">
        <v>2322</v>
      </c>
      <c r="D40" s="11" t="s">
        <v>2323</v>
      </c>
      <c r="E40" s="11" t="s">
        <v>2324</v>
      </c>
      <c r="F40" s="11" t="s">
        <v>55</v>
      </c>
      <c r="G40" s="12">
        <v>1645</v>
      </c>
      <c r="H40" s="12">
        <v>35</v>
      </c>
      <c r="I40" s="12">
        <f t="shared" si="1"/>
        <v>1610</v>
      </c>
      <c r="J40" s="11" t="s">
        <v>2121</v>
      </c>
      <c r="K40" s="11" t="s">
        <v>33</v>
      </c>
      <c r="L40" s="11" t="s">
        <v>2122</v>
      </c>
      <c r="M40" s="11"/>
      <c r="N40" s="11"/>
      <c r="O40" s="11"/>
      <c r="P40" s="11"/>
      <c r="Q40" s="11">
        <v>1</v>
      </c>
    </row>
    <row r="41" spans="1:17" x14ac:dyDescent="0.25">
      <c r="A41" s="11"/>
      <c r="B41" s="11" t="s">
        <v>27</v>
      </c>
      <c r="C41" s="11" t="s">
        <v>2331</v>
      </c>
      <c r="D41" s="11" t="s">
        <v>2332</v>
      </c>
      <c r="E41" s="11" t="s">
        <v>2333</v>
      </c>
      <c r="F41" s="12">
        <v>8</v>
      </c>
      <c r="G41" s="12">
        <v>700</v>
      </c>
      <c r="H41" s="12">
        <v>30</v>
      </c>
      <c r="I41" s="12">
        <f t="shared" si="1"/>
        <v>670</v>
      </c>
      <c r="J41" s="11" t="s">
        <v>2121</v>
      </c>
      <c r="K41" s="11" t="s">
        <v>33</v>
      </c>
      <c r="L41" s="11" t="s">
        <v>2122</v>
      </c>
      <c r="M41" s="11"/>
      <c r="N41" s="11"/>
      <c r="O41" s="11"/>
      <c r="P41" s="11"/>
      <c r="Q41" s="11">
        <v>1</v>
      </c>
    </row>
    <row r="42" spans="1:17" x14ac:dyDescent="0.25">
      <c r="A42" s="11"/>
      <c r="B42" s="11" t="s">
        <v>27</v>
      </c>
      <c r="C42" s="11" t="s">
        <v>2133</v>
      </c>
      <c r="D42" s="11" t="s">
        <v>2134</v>
      </c>
      <c r="E42" s="11" t="s">
        <v>2135</v>
      </c>
      <c r="F42" s="12">
        <v>2</v>
      </c>
      <c r="G42" s="12">
        <v>670</v>
      </c>
      <c r="H42" s="12">
        <v>30</v>
      </c>
      <c r="I42" s="12">
        <f t="shared" si="1"/>
        <v>640</v>
      </c>
      <c r="J42" s="11" t="s">
        <v>33</v>
      </c>
      <c r="K42" s="11" t="s">
        <v>33</v>
      </c>
      <c r="L42" s="11" t="s">
        <v>2122</v>
      </c>
      <c r="M42" s="11"/>
      <c r="N42" s="11"/>
      <c r="O42" s="11"/>
      <c r="P42" s="11"/>
      <c r="Q42" s="11">
        <v>1</v>
      </c>
    </row>
    <row r="43" spans="1:17" x14ac:dyDescent="0.25">
      <c r="A43" s="11"/>
      <c r="B43" s="11" t="s">
        <v>27</v>
      </c>
      <c r="C43" s="11" t="s">
        <v>2136</v>
      </c>
      <c r="D43" s="11" t="s">
        <v>2137</v>
      </c>
      <c r="E43" s="11" t="s">
        <v>2138</v>
      </c>
      <c r="F43" s="11" t="s">
        <v>78</v>
      </c>
      <c r="G43" s="12">
        <v>980</v>
      </c>
      <c r="H43" s="12">
        <v>20</v>
      </c>
      <c r="I43" s="12">
        <f t="shared" si="1"/>
        <v>960</v>
      </c>
      <c r="J43" s="11" t="s">
        <v>33</v>
      </c>
      <c r="K43" s="11" t="s">
        <v>33</v>
      </c>
      <c r="L43" s="11" t="s">
        <v>2122</v>
      </c>
      <c r="M43" s="11"/>
      <c r="N43" s="11"/>
      <c r="O43" s="11"/>
      <c r="P43" s="11"/>
      <c r="Q43" s="11">
        <v>1</v>
      </c>
    </row>
    <row r="44" spans="1:17" x14ac:dyDescent="0.25">
      <c r="A44" s="11"/>
      <c r="B44" s="11" t="s">
        <v>27</v>
      </c>
      <c r="C44" s="11" t="s">
        <v>2166</v>
      </c>
      <c r="D44" s="11" t="s">
        <v>2167</v>
      </c>
      <c r="E44" s="11" t="s">
        <v>2168</v>
      </c>
      <c r="F44" s="11" t="s">
        <v>104</v>
      </c>
      <c r="G44" s="12">
        <v>860</v>
      </c>
      <c r="H44" s="12">
        <v>30</v>
      </c>
      <c r="I44" s="12">
        <f t="shared" si="1"/>
        <v>830</v>
      </c>
      <c r="J44" s="11" t="s">
        <v>33</v>
      </c>
      <c r="K44" s="11" t="s">
        <v>33</v>
      </c>
      <c r="L44" s="11" t="s">
        <v>2122</v>
      </c>
      <c r="M44" s="11"/>
      <c r="N44" s="11"/>
      <c r="O44" s="11"/>
      <c r="P44" s="11"/>
      <c r="Q44" s="11">
        <v>1</v>
      </c>
    </row>
    <row r="45" spans="1:17" x14ac:dyDescent="0.25">
      <c r="A45" s="11"/>
      <c r="B45" s="11" t="s">
        <v>27</v>
      </c>
      <c r="C45" s="11" t="s">
        <v>2169</v>
      </c>
      <c r="D45" s="11" t="s">
        <v>2170</v>
      </c>
      <c r="E45" s="11" t="s">
        <v>2171</v>
      </c>
      <c r="F45" s="11" t="s">
        <v>78</v>
      </c>
      <c r="G45" s="12">
        <v>550</v>
      </c>
      <c r="H45" s="12">
        <v>20</v>
      </c>
      <c r="I45" s="12">
        <f t="shared" si="1"/>
        <v>530</v>
      </c>
      <c r="J45" s="11" t="s">
        <v>33</v>
      </c>
      <c r="K45" s="11" t="s">
        <v>33</v>
      </c>
      <c r="L45" s="11" t="s">
        <v>2122</v>
      </c>
      <c r="M45" s="11"/>
      <c r="N45" s="11"/>
      <c r="O45" s="11"/>
      <c r="P45" s="11"/>
      <c r="Q45" s="11">
        <v>1</v>
      </c>
    </row>
    <row r="46" spans="1:17" x14ac:dyDescent="0.25">
      <c r="A46" s="11"/>
      <c r="B46" s="11" t="s">
        <v>27</v>
      </c>
      <c r="C46" s="11" t="s">
        <v>2190</v>
      </c>
      <c r="D46" s="11" t="s">
        <v>2191</v>
      </c>
      <c r="E46" s="11" t="s">
        <v>2192</v>
      </c>
      <c r="F46" s="11" t="s">
        <v>78</v>
      </c>
      <c r="G46" s="12">
        <v>1230</v>
      </c>
      <c r="H46" s="12">
        <v>20</v>
      </c>
      <c r="I46" s="12">
        <f t="shared" si="1"/>
        <v>1210</v>
      </c>
      <c r="J46" s="11" t="s">
        <v>33</v>
      </c>
      <c r="K46" s="11" t="s">
        <v>33</v>
      </c>
      <c r="L46" s="11" t="s">
        <v>2122</v>
      </c>
      <c r="M46" s="11"/>
      <c r="N46" s="11"/>
      <c r="O46" s="11"/>
      <c r="P46" s="11"/>
      <c r="Q46" s="11">
        <v>1</v>
      </c>
    </row>
    <row r="47" spans="1:17" x14ac:dyDescent="0.25">
      <c r="A47" s="11"/>
      <c r="B47" s="11" t="s">
        <v>27</v>
      </c>
      <c r="C47" s="11" t="s">
        <v>2208</v>
      </c>
      <c r="D47" s="11" t="s">
        <v>2209</v>
      </c>
      <c r="E47" s="11" t="s">
        <v>2210</v>
      </c>
      <c r="F47" s="12">
        <v>2</v>
      </c>
      <c r="G47" s="12">
        <v>520</v>
      </c>
      <c r="H47" s="12">
        <v>30</v>
      </c>
      <c r="I47" s="12">
        <f t="shared" si="1"/>
        <v>490</v>
      </c>
      <c r="J47" s="11" t="s">
        <v>33</v>
      </c>
      <c r="K47" s="11" t="s">
        <v>33</v>
      </c>
      <c r="L47" s="11" t="s">
        <v>2122</v>
      </c>
      <c r="M47" s="11"/>
      <c r="N47" s="11"/>
      <c r="O47" s="11"/>
      <c r="P47" s="11"/>
      <c r="Q47" s="11">
        <v>1</v>
      </c>
    </row>
    <row r="48" spans="1:17" x14ac:dyDescent="0.25">
      <c r="A48" s="11"/>
      <c r="B48" s="11" t="s">
        <v>27</v>
      </c>
      <c r="C48" s="11" t="s">
        <v>2236</v>
      </c>
      <c r="D48" s="11" t="s">
        <v>2237</v>
      </c>
      <c r="E48" s="11" t="s">
        <v>2238</v>
      </c>
      <c r="F48" s="11" t="s">
        <v>78</v>
      </c>
      <c r="G48" s="12">
        <v>1240</v>
      </c>
      <c r="H48" s="12">
        <v>20</v>
      </c>
      <c r="I48" s="12">
        <f t="shared" si="1"/>
        <v>1220</v>
      </c>
      <c r="J48" s="11" t="s">
        <v>33</v>
      </c>
      <c r="K48" s="11" t="s">
        <v>33</v>
      </c>
      <c r="L48" s="11" t="s">
        <v>2122</v>
      </c>
      <c r="M48" s="11"/>
      <c r="N48" s="11"/>
      <c r="O48" s="11"/>
      <c r="P48" s="11"/>
      <c r="Q48" s="11">
        <v>1</v>
      </c>
    </row>
    <row r="49" spans="1:17" x14ac:dyDescent="0.25">
      <c r="A49" s="11"/>
      <c r="B49" s="11" t="s">
        <v>27</v>
      </c>
      <c r="C49" s="11" t="s">
        <v>2260</v>
      </c>
      <c r="D49" s="11" t="s">
        <v>2261</v>
      </c>
      <c r="E49" s="11" t="s">
        <v>2262</v>
      </c>
      <c r="F49" s="11" t="s">
        <v>78</v>
      </c>
      <c r="G49" s="12">
        <v>370</v>
      </c>
      <c r="H49" s="12">
        <v>20</v>
      </c>
      <c r="I49" s="12">
        <f t="shared" si="1"/>
        <v>350</v>
      </c>
      <c r="J49" s="11" t="s">
        <v>33</v>
      </c>
      <c r="K49" s="11" t="s">
        <v>33</v>
      </c>
      <c r="L49" s="11" t="s">
        <v>2122</v>
      </c>
      <c r="M49" s="11"/>
      <c r="N49" s="11"/>
      <c r="O49" s="11"/>
      <c r="P49" s="11"/>
      <c r="Q49" s="11">
        <v>1</v>
      </c>
    </row>
    <row r="50" spans="1:17" x14ac:dyDescent="0.25">
      <c r="A50" s="11"/>
      <c r="B50" s="11" t="s">
        <v>27</v>
      </c>
      <c r="C50" s="11" t="s">
        <v>2278</v>
      </c>
      <c r="D50" s="11" t="s">
        <v>2279</v>
      </c>
      <c r="E50" s="11" t="s">
        <v>2280</v>
      </c>
      <c r="F50" s="11" t="s">
        <v>68</v>
      </c>
      <c r="G50" s="12">
        <v>1195</v>
      </c>
      <c r="H50" s="12">
        <v>25</v>
      </c>
      <c r="I50" s="12">
        <f t="shared" si="1"/>
        <v>1170</v>
      </c>
      <c r="J50" s="11" t="s">
        <v>33</v>
      </c>
      <c r="K50" s="11" t="s">
        <v>33</v>
      </c>
      <c r="L50" s="11" t="s">
        <v>2122</v>
      </c>
      <c r="M50" s="11"/>
      <c r="N50" s="11"/>
      <c r="O50" s="11"/>
      <c r="P50" s="11"/>
      <c r="Q50" s="11">
        <v>1</v>
      </c>
    </row>
    <row r="51" spans="1:17" x14ac:dyDescent="0.25">
      <c r="A51" s="11"/>
      <c r="B51" s="11" t="s">
        <v>27</v>
      </c>
      <c r="C51" s="11" t="s">
        <v>2281</v>
      </c>
      <c r="D51" s="11" t="s">
        <v>2282</v>
      </c>
      <c r="E51" s="11" t="s">
        <v>2283</v>
      </c>
      <c r="F51" s="11" t="s">
        <v>68</v>
      </c>
      <c r="G51" s="12">
        <v>655</v>
      </c>
      <c r="H51" s="12">
        <v>25</v>
      </c>
      <c r="I51" s="12">
        <f t="shared" si="1"/>
        <v>630</v>
      </c>
      <c r="J51" s="11" t="s">
        <v>33</v>
      </c>
      <c r="K51" s="11" t="s">
        <v>33</v>
      </c>
      <c r="L51" s="11" t="s">
        <v>2122</v>
      </c>
      <c r="M51" s="11"/>
      <c r="N51" s="11"/>
      <c r="O51" s="11"/>
      <c r="P51" s="11"/>
      <c r="Q51" s="11">
        <v>1</v>
      </c>
    </row>
    <row r="52" spans="1:17" x14ac:dyDescent="0.25">
      <c r="A52" s="11"/>
      <c r="B52" s="11" t="s">
        <v>27</v>
      </c>
      <c r="C52" s="11" t="s">
        <v>2284</v>
      </c>
      <c r="D52" s="11" t="s">
        <v>2285</v>
      </c>
      <c r="E52" s="11" t="s">
        <v>2286</v>
      </c>
      <c r="F52" s="11" t="s">
        <v>78</v>
      </c>
      <c r="G52" s="12">
        <v>2205</v>
      </c>
      <c r="H52" s="12">
        <v>25</v>
      </c>
      <c r="I52" s="12">
        <f t="shared" si="1"/>
        <v>2180</v>
      </c>
      <c r="J52" s="11" t="s">
        <v>33</v>
      </c>
      <c r="K52" s="11" t="s">
        <v>33</v>
      </c>
      <c r="L52" s="11" t="s">
        <v>2122</v>
      </c>
      <c r="M52" s="11"/>
      <c r="N52" s="11"/>
      <c r="O52" s="11"/>
      <c r="P52" s="11"/>
      <c r="Q52" s="11">
        <v>1</v>
      </c>
    </row>
    <row r="53" spans="1:17" x14ac:dyDescent="0.25">
      <c r="A53" s="11"/>
      <c r="B53" s="11" t="s">
        <v>27</v>
      </c>
      <c r="C53" s="11" t="s">
        <v>2290</v>
      </c>
      <c r="D53" s="11" t="s">
        <v>2291</v>
      </c>
      <c r="E53" s="11" t="s">
        <v>2292</v>
      </c>
      <c r="F53" s="11" t="s">
        <v>78</v>
      </c>
      <c r="G53" s="12">
        <v>240</v>
      </c>
      <c r="H53" s="12">
        <v>20</v>
      </c>
      <c r="I53" s="12">
        <f t="shared" si="1"/>
        <v>220</v>
      </c>
      <c r="J53" s="11" t="s">
        <v>33</v>
      </c>
      <c r="K53" s="11" t="s">
        <v>33</v>
      </c>
      <c r="L53" s="11" t="s">
        <v>2122</v>
      </c>
      <c r="M53" s="11"/>
      <c r="N53" s="11"/>
      <c r="O53" s="11"/>
      <c r="P53" s="11"/>
      <c r="Q53" s="11">
        <v>1</v>
      </c>
    </row>
    <row r="54" spans="1:17" x14ac:dyDescent="0.25">
      <c r="A54" s="11"/>
      <c r="B54" s="11" t="s">
        <v>27</v>
      </c>
      <c r="C54" s="11" t="s">
        <v>2295</v>
      </c>
      <c r="D54" s="11" t="s">
        <v>2296</v>
      </c>
      <c r="E54" s="11" t="s">
        <v>2297</v>
      </c>
      <c r="F54" s="11" t="s">
        <v>104</v>
      </c>
      <c r="G54" s="12">
        <v>1240</v>
      </c>
      <c r="H54" s="12">
        <v>30</v>
      </c>
      <c r="I54" s="12">
        <f t="shared" si="1"/>
        <v>1210</v>
      </c>
      <c r="J54" s="11" t="s">
        <v>33</v>
      </c>
      <c r="K54" s="11" t="s">
        <v>33</v>
      </c>
      <c r="L54" s="11" t="s">
        <v>2122</v>
      </c>
      <c r="M54" s="11"/>
      <c r="N54" s="11"/>
      <c r="O54" s="11"/>
      <c r="P54" s="11"/>
      <c r="Q54" s="11">
        <v>1</v>
      </c>
    </row>
    <row r="55" spans="1:17" x14ac:dyDescent="0.25">
      <c r="A55" s="11"/>
      <c r="B55" s="11" t="s">
        <v>27</v>
      </c>
      <c r="C55" s="11" t="s">
        <v>2298</v>
      </c>
      <c r="D55" s="11" t="s">
        <v>2299</v>
      </c>
      <c r="E55" s="11" t="s">
        <v>2300</v>
      </c>
      <c r="F55" s="11" t="s">
        <v>78</v>
      </c>
      <c r="G55" s="12">
        <v>510</v>
      </c>
      <c r="H55" s="12">
        <v>20</v>
      </c>
      <c r="I55" s="12">
        <f t="shared" si="1"/>
        <v>490</v>
      </c>
      <c r="J55" s="11" t="s">
        <v>33</v>
      </c>
      <c r="K55" s="11" t="s">
        <v>33</v>
      </c>
      <c r="L55" s="11" t="s">
        <v>2122</v>
      </c>
      <c r="M55" s="11"/>
      <c r="N55" s="11"/>
      <c r="O55" s="11"/>
      <c r="P55" s="11"/>
      <c r="Q55" s="11">
        <v>1</v>
      </c>
    </row>
    <row r="56" spans="1:17" x14ac:dyDescent="0.25">
      <c r="A56" s="11"/>
      <c r="B56" s="11" t="s">
        <v>27</v>
      </c>
      <c r="C56" s="11" t="s">
        <v>2304</v>
      </c>
      <c r="D56" s="11" t="s">
        <v>2305</v>
      </c>
      <c r="E56" s="11" t="s">
        <v>2306</v>
      </c>
      <c r="F56" s="11" t="s">
        <v>104</v>
      </c>
      <c r="G56" s="12">
        <v>790</v>
      </c>
      <c r="H56" s="12">
        <v>30</v>
      </c>
      <c r="I56" s="12">
        <f t="shared" si="1"/>
        <v>760</v>
      </c>
      <c r="J56" s="11" t="s">
        <v>33</v>
      </c>
      <c r="K56" s="11" t="s">
        <v>33</v>
      </c>
      <c r="L56" s="11" t="s">
        <v>2122</v>
      </c>
      <c r="M56" s="11"/>
      <c r="N56" s="11"/>
      <c r="O56" s="11"/>
      <c r="P56" s="11"/>
      <c r="Q56" s="11">
        <v>1</v>
      </c>
    </row>
    <row r="57" spans="1:17" x14ac:dyDescent="0.25">
      <c r="A57" s="11"/>
      <c r="B57" s="11" t="s">
        <v>27</v>
      </c>
      <c r="C57" s="11" t="s">
        <v>2313</v>
      </c>
      <c r="D57" s="11" t="s">
        <v>2314</v>
      </c>
      <c r="E57" s="11" t="s">
        <v>2315</v>
      </c>
      <c r="F57" s="11" t="s">
        <v>78</v>
      </c>
      <c r="G57" s="12">
        <v>590</v>
      </c>
      <c r="H57" s="12">
        <v>20</v>
      </c>
      <c r="I57" s="12">
        <f t="shared" si="1"/>
        <v>570</v>
      </c>
      <c r="J57" s="11" t="s">
        <v>33</v>
      </c>
      <c r="K57" s="11" t="s">
        <v>33</v>
      </c>
      <c r="L57" s="11" t="s">
        <v>2122</v>
      </c>
      <c r="M57" s="11"/>
      <c r="N57" s="11"/>
      <c r="O57" s="11"/>
      <c r="P57" s="11"/>
      <c r="Q57" s="11">
        <v>1</v>
      </c>
    </row>
    <row r="58" spans="1:17" x14ac:dyDescent="0.25">
      <c r="A58" s="11"/>
      <c r="B58" s="11" t="s">
        <v>27</v>
      </c>
      <c r="C58" s="11" t="s">
        <v>2325</v>
      </c>
      <c r="D58" s="11" t="s">
        <v>2326</v>
      </c>
      <c r="E58" s="11" t="s">
        <v>2327</v>
      </c>
      <c r="F58" s="11" t="s">
        <v>68</v>
      </c>
      <c r="G58" s="12">
        <v>1355</v>
      </c>
      <c r="H58" s="12">
        <v>25</v>
      </c>
      <c r="I58" s="12">
        <f t="shared" si="1"/>
        <v>1330</v>
      </c>
      <c r="J58" s="11" t="s">
        <v>33</v>
      </c>
      <c r="K58" s="11" t="s">
        <v>33</v>
      </c>
      <c r="L58" s="11" t="s">
        <v>2122</v>
      </c>
      <c r="M58" s="11"/>
      <c r="N58" s="11"/>
      <c r="O58" s="11"/>
      <c r="P58" s="11"/>
      <c r="Q58" s="11">
        <v>1</v>
      </c>
    </row>
    <row r="59" spans="1:17" x14ac:dyDescent="0.25">
      <c r="A59" s="11"/>
      <c r="B59" s="11" t="s">
        <v>27</v>
      </c>
      <c r="C59" s="11" t="s">
        <v>2127</v>
      </c>
      <c r="D59" s="11" t="s">
        <v>2128</v>
      </c>
      <c r="E59" s="11" t="s">
        <v>2129</v>
      </c>
      <c r="F59" s="12">
        <v>10</v>
      </c>
      <c r="G59" s="12">
        <v>1925</v>
      </c>
      <c r="H59" s="12">
        <v>25</v>
      </c>
      <c r="I59" s="12">
        <f t="shared" si="1"/>
        <v>1900</v>
      </c>
      <c r="J59" s="11" t="s">
        <v>119</v>
      </c>
      <c r="K59" s="11" t="s">
        <v>33</v>
      </c>
      <c r="L59" s="11" t="s">
        <v>2122</v>
      </c>
      <c r="M59" s="11"/>
      <c r="N59" s="11"/>
      <c r="O59" s="11"/>
      <c r="P59" s="11"/>
      <c r="Q59" s="11">
        <v>1</v>
      </c>
    </row>
    <row r="60" spans="1:17" x14ac:dyDescent="0.25">
      <c r="A60" s="11"/>
      <c r="B60" s="11" t="s">
        <v>27</v>
      </c>
      <c r="C60" s="11" t="s">
        <v>2148</v>
      </c>
      <c r="D60" s="11" t="s">
        <v>2149</v>
      </c>
      <c r="E60" s="11" t="s">
        <v>2150</v>
      </c>
      <c r="F60" s="12">
        <v>3</v>
      </c>
      <c r="G60" s="12">
        <v>405</v>
      </c>
      <c r="H60" s="12">
        <v>25</v>
      </c>
      <c r="I60" s="12">
        <f t="shared" si="1"/>
        <v>380</v>
      </c>
      <c r="J60" s="11" t="s">
        <v>119</v>
      </c>
      <c r="K60" s="11" t="s">
        <v>33</v>
      </c>
      <c r="L60" s="11" t="s">
        <v>2122</v>
      </c>
      <c r="M60" s="11"/>
      <c r="N60" s="11"/>
      <c r="O60" s="11"/>
      <c r="P60" s="11"/>
      <c r="Q60" s="11">
        <v>1</v>
      </c>
    </row>
    <row r="61" spans="1:17" x14ac:dyDescent="0.25">
      <c r="A61" s="11"/>
      <c r="B61" s="11" t="s">
        <v>27</v>
      </c>
      <c r="C61" s="11" t="s">
        <v>2151</v>
      </c>
      <c r="D61" s="11" t="s">
        <v>2152</v>
      </c>
      <c r="E61" s="11" t="s">
        <v>2153</v>
      </c>
      <c r="F61" s="12">
        <v>10</v>
      </c>
      <c r="G61" s="12">
        <v>565</v>
      </c>
      <c r="H61" s="12">
        <v>25</v>
      </c>
      <c r="I61" s="12">
        <f t="shared" si="1"/>
        <v>540</v>
      </c>
      <c r="J61" s="11" t="s">
        <v>119</v>
      </c>
      <c r="K61" s="11" t="s">
        <v>33</v>
      </c>
      <c r="L61" s="11" t="s">
        <v>2122</v>
      </c>
      <c r="M61" s="11"/>
      <c r="N61" s="11"/>
      <c r="O61" s="11"/>
      <c r="P61" s="11"/>
      <c r="Q61" s="11">
        <v>1</v>
      </c>
    </row>
    <row r="62" spans="1:17" x14ac:dyDescent="0.25">
      <c r="A62" s="11"/>
      <c r="B62" s="11" t="s">
        <v>27</v>
      </c>
      <c r="C62" s="11" t="s">
        <v>2154</v>
      </c>
      <c r="D62" s="11" t="s">
        <v>2155</v>
      </c>
      <c r="E62" s="11" t="s">
        <v>2156</v>
      </c>
      <c r="F62" s="12">
        <v>1</v>
      </c>
      <c r="G62" s="12">
        <v>715</v>
      </c>
      <c r="H62" s="12">
        <v>25</v>
      </c>
      <c r="I62" s="12">
        <f t="shared" si="1"/>
        <v>690</v>
      </c>
      <c r="J62" s="11" t="s">
        <v>119</v>
      </c>
      <c r="K62" s="11" t="s">
        <v>33</v>
      </c>
      <c r="L62" s="11" t="s">
        <v>2122</v>
      </c>
      <c r="M62" s="11"/>
      <c r="N62" s="11"/>
      <c r="O62" s="11"/>
      <c r="P62" s="11"/>
      <c r="Q62" s="11">
        <v>1</v>
      </c>
    </row>
    <row r="63" spans="1:17" x14ac:dyDescent="0.25">
      <c r="A63" s="11"/>
      <c r="B63" s="11" t="s">
        <v>27</v>
      </c>
      <c r="C63" s="11" t="s">
        <v>2157</v>
      </c>
      <c r="D63" s="11" t="s">
        <v>2158</v>
      </c>
      <c r="E63" s="11" t="s">
        <v>2159</v>
      </c>
      <c r="F63" s="12">
        <v>10</v>
      </c>
      <c r="G63" s="12">
        <v>365</v>
      </c>
      <c r="H63" s="12">
        <v>25</v>
      </c>
      <c r="I63" s="12">
        <f t="shared" si="1"/>
        <v>340</v>
      </c>
      <c r="J63" s="11" t="s">
        <v>119</v>
      </c>
      <c r="K63" s="11" t="s">
        <v>33</v>
      </c>
      <c r="L63" s="11" t="s">
        <v>2122</v>
      </c>
      <c r="M63" s="11"/>
      <c r="N63" s="11"/>
      <c r="O63" s="11"/>
      <c r="P63" s="11"/>
      <c r="Q63" s="11">
        <v>1</v>
      </c>
    </row>
    <row r="64" spans="1:17" x14ac:dyDescent="0.25">
      <c r="A64" s="11"/>
      <c r="B64" s="11" t="s">
        <v>27</v>
      </c>
      <c r="C64" s="11" t="s">
        <v>2181</v>
      </c>
      <c r="D64" s="11" t="s">
        <v>2182</v>
      </c>
      <c r="E64" s="11" t="s">
        <v>2183</v>
      </c>
      <c r="F64" s="12">
        <v>1</v>
      </c>
      <c r="G64" s="12">
        <v>715</v>
      </c>
      <c r="H64" s="12">
        <v>25</v>
      </c>
      <c r="I64" s="12">
        <f t="shared" si="1"/>
        <v>690</v>
      </c>
      <c r="J64" s="11" t="s">
        <v>119</v>
      </c>
      <c r="K64" s="11" t="s">
        <v>33</v>
      </c>
      <c r="L64" s="11" t="s">
        <v>2122</v>
      </c>
      <c r="M64" s="11"/>
      <c r="N64" s="11"/>
      <c r="O64" s="11"/>
      <c r="P64" s="11"/>
      <c r="Q64" s="11">
        <v>1</v>
      </c>
    </row>
    <row r="65" spans="1:17" x14ac:dyDescent="0.25">
      <c r="A65" s="11"/>
      <c r="B65" s="11" t="s">
        <v>27</v>
      </c>
      <c r="C65" s="11" t="s">
        <v>2187</v>
      </c>
      <c r="D65" s="11" t="s">
        <v>2188</v>
      </c>
      <c r="E65" s="11" t="s">
        <v>2189</v>
      </c>
      <c r="F65" s="12">
        <v>3</v>
      </c>
      <c r="G65" s="12">
        <v>415</v>
      </c>
      <c r="H65" s="12">
        <v>25</v>
      </c>
      <c r="I65" s="12">
        <f t="shared" si="1"/>
        <v>390</v>
      </c>
      <c r="J65" s="11" t="s">
        <v>119</v>
      </c>
      <c r="K65" s="11" t="s">
        <v>33</v>
      </c>
      <c r="L65" s="11" t="s">
        <v>2122</v>
      </c>
      <c r="M65" s="11"/>
      <c r="N65" s="11"/>
      <c r="O65" s="11"/>
      <c r="P65" s="11"/>
      <c r="Q65" s="11">
        <v>1</v>
      </c>
    </row>
    <row r="66" spans="1:17" x14ac:dyDescent="0.25">
      <c r="A66" s="11"/>
      <c r="B66" s="11" t="s">
        <v>27</v>
      </c>
      <c r="C66" s="11" t="s">
        <v>2196</v>
      </c>
      <c r="D66" s="11" t="s">
        <v>2197</v>
      </c>
      <c r="E66" s="11" t="s">
        <v>2198</v>
      </c>
      <c r="F66" s="12">
        <v>1</v>
      </c>
      <c r="G66" s="12">
        <v>285</v>
      </c>
      <c r="H66" s="12">
        <v>25</v>
      </c>
      <c r="I66" s="12">
        <f t="shared" si="1"/>
        <v>260</v>
      </c>
      <c r="J66" s="11" t="s">
        <v>119</v>
      </c>
      <c r="K66" s="11" t="s">
        <v>33</v>
      </c>
      <c r="L66" s="11" t="s">
        <v>2122</v>
      </c>
      <c r="M66" s="11"/>
      <c r="N66" s="11"/>
      <c r="O66" s="11"/>
      <c r="P66" s="11"/>
      <c r="Q66" s="11">
        <v>1</v>
      </c>
    </row>
    <row r="67" spans="1:17" x14ac:dyDescent="0.25">
      <c r="A67" s="11"/>
      <c r="B67" s="11" t="s">
        <v>27</v>
      </c>
      <c r="C67" s="11" t="s">
        <v>2199</v>
      </c>
      <c r="D67" s="11" t="s">
        <v>2200</v>
      </c>
      <c r="E67" s="11" t="s">
        <v>2201</v>
      </c>
      <c r="F67" s="11" t="s">
        <v>44</v>
      </c>
      <c r="G67" s="12">
        <v>1325</v>
      </c>
      <c r="H67" s="12">
        <v>25</v>
      </c>
      <c r="I67" s="12">
        <f t="shared" ref="I67:I75" si="2">G67-H67</f>
        <v>1300</v>
      </c>
      <c r="J67" s="11" t="s">
        <v>119</v>
      </c>
      <c r="K67" s="11" t="s">
        <v>33</v>
      </c>
      <c r="L67" s="11" t="s">
        <v>2122</v>
      </c>
      <c r="M67" s="11"/>
      <c r="N67" s="11"/>
      <c r="O67" s="11"/>
      <c r="P67" s="11"/>
      <c r="Q67" s="11">
        <v>1</v>
      </c>
    </row>
    <row r="68" spans="1:17" x14ac:dyDescent="0.25">
      <c r="A68" s="11"/>
      <c r="B68" s="11" t="s">
        <v>27</v>
      </c>
      <c r="C68" s="11" t="s">
        <v>2202</v>
      </c>
      <c r="D68" s="11" t="s">
        <v>2203</v>
      </c>
      <c r="E68" s="11" t="s">
        <v>2204</v>
      </c>
      <c r="F68" s="11" t="s">
        <v>118</v>
      </c>
      <c r="G68" s="12">
        <v>950</v>
      </c>
      <c r="H68" s="12">
        <v>20</v>
      </c>
      <c r="I68" s="12">
        <f t="shared" si="2"/>
        <v>930</v>
      </c>
      <c r="J68" s="11" t="s">
        <v>119</v>
      </c>
      <c r="K68" s="11" t="s">
        <v>33</v>
      </c>
      <c r="L68" s="11" t="s">
        <v>2122</v>
      </c>
      <c r="M68" s="11"/>
      <c r="N68" s="11"/>
      <c r="O68" s="11"/>
      <c r="P68" s="11"/>
      <c r="Q68" s="11">
        <v>1</v>
      </c>
    </row>
    <row r="69" spans="1:17" x14ac:dyDescent="0.25">
      <c r="A69" s="11"/>
      <c r="B69" s="11" t="s">
        <v>27</v>
      </c>
      <c r="C69" s="11" t="s">
        <v>2211</v>
      </c>
      <c r="D69" s="11" t="s">
        <v>2212</v>
      </c>
      <c r="E69" s="11" t="s">
        <v>2213</v>
      </c>
      <c r="F69" s="11" t="s">
        <v>118</v>
      </c>
      <c r="G69" s="12">
        <v>280</v>
      </c>
      <c r="H69" s="12">
        <v>20</v>
      </c>
      <c r="I69" s="12">
        <f t="shared" si="2"/>
        <v>260</v>
      </c>
      <c r="J69" s="11" t="s">
        <v>119</v>
      </c>
      <c r="K69" s="11" t="s">
        <v>33</v>
      </c>
      <c r="L69" s="11" t="s">
        <v>2122</v>
      </c>
      <c r="M69" s="11"/>
      <c r="N69" s="11"/>
      <c r="O69" s="11"/>
      <c r="P69" s="11"/>
      <c r="Q69" s="11">
        <v>1</v>
      </c>
    </row>
    <row r="70" spans="1:17" x14ac:dyDescent="0.25">
      <c r="A70" s="11"/>
      <c r="B70" s="11" t="s">
        <v>27</v>
      </c>
      <c r="C70" s="11" t="s">
        <v>2217</v>
      </c>
      <c r="D70" s="11" t="s">
        <v>2218</v>
      </c>
      <c r="E70" s="11" t="s">
        <v>2219</v>
      </c>
      <c r="F70" s="12">
        <v>3</v>
      </c>
      <c r="G70" s="12">
        <v>695</v>
      </c>
      <c r="H70" s="12">
        <v>25</v>
      </c>
      <c r="I70" s="12">
        <f t="shared" si="2"/>
        <v>670</v>
      </c>
      <c r="J70" s="11" t="s">
        <v>119</v>
      </c>
      <c r="K70" s="11" t="s">
        <v>33</v>
      </c>
      <c r="L70" s="11" t="s">
        <v>2122</v>
      </c>
      <c r="M70" s="11"/>
      <c r="N70" s="11"/>
      <c r="O70" s="11"/>
      <c r="P70" s="11"/>
      <c r="Q70" s="11">
        <v>1</v>
      </c>
    </row>
    <row r="71" spans="1:17" x14ac:dyDescent="0.25">
      <c r="A71" s="11"/>
      <c r="B71" s="11" t="s">
        <v>27</v>
      </c>
      <c r="C71" s="11" t="s">
        <v>2228</v>
      </c>
      <c r="D71" s="11" t="s">
        <v>2229</v>
      </c>
      <c r="E71" s="11" t="s">
        <v>2230</v>
      </c>
      <c r="F71" s="11" t="s">
        <v>44</v>
      </c>
      <c r="G71" s="12">
        <v>475</v>
      </c>
      <c r="H71" s="12">
        <v>25</v>
      </c>
      <c r="I71" s="12">
        <f t="shared" si="2"/>
        <v>450</v>
      </c>
      <c r="J71" s="11" t="s">
        <v>119</v>
      </c>
      <c r="K71" s="11" t="s">
        <v>33</v>
      </c>
      <c r="L71" s="11" t="s">
        <v>2122</v>
      </c>
      <c r="M71" s="11"/>
      <c r="N71" s="11"/>
      <c r="O71" s="11"/>
      <c r="P71" s="11"/>
      <c r="Q71" s="11">
        <v>1</v>
      </c>
    </row>
    <row r="72" spans="1:17" x14ac:dyDescent="0.25">
      <c r="A72" s="11"/>
      <c r="B72" s="11" t="s">
        <v>27</v>
      </c>
      <c r="C72" s="11" t="s">
        <v>2272</v>
      </c>
      <c r="D72" s="11" t="s">
        <v>2273</v>
      </c>
      <c r="E72" s="11" t="s">
        <v>2274</v>
      </c>
      <c r="F72" s="11" t="s">
        <v>44</v>
      </c>
      <c r="G72" s="12">
        <v>705</v>
      </c>
      <c r="H72" s="12">
        <v>25</v>
      </c>
      <c r="I72" s="12">
        <f t="shared" si="2"/>
        <v>680</v>
      </c>
      <c r="J72" s="11" t="s">
        <v>119</v>
      </c>
      <c r="K72" s="11" t="s">
        <v>33</v>
      </c>
      <c r="L72" s="11" t="s">
        <v>2122</v>
      </c>
      <c r="M72" s="11"/>
      <c r="N72" s="11"/>
      <c r="O72" s="11"/>
      <c r="P72" s="11"/>
      <c r="Q72" s="11">
        <v>1</v>
      </c>
    </row>
    <row r="73" spans="1:17" x14ac:dyDescent="0.25">
      <c r="A73" s="11"/>
      <c r="B73" s="11" t="s">
        <v>27</v>
      </c>
      <c r="C73" s="11" t="s">
        <v>2275</v>
      </c>
      <c r="D73" s="11" t="s">
        <v>2276</v>
      </c>
      <c r="E73" s="11" t="s">
        <v>2277</v>
      </c>
      <c r="F73" s="12">
        <v>3</v>
      </c>
      <c r="G73" s="12">
        <v>955</v>
      </c>
      <c r="H73" s="12">
        <v>25</v>
      </c>
      <c r="I73" s="12">
        <f t="shared" si="2"/>
        <v>930</v>
      </c>
      <c r="J73" s="11" t="s">
        <v>119</v>
      </c>
      <c r="K73" s="11" t="s">
        <v>33</v>
      </c>
      <c r="L73" s="11" t="s">
        <v>2122</v>
      </c>
      <c r="M73" s="11"/>
      <c r="N73" s="11"/>
      <c r="O73" s="11"/>
      <c r="P73" s="11"/>
      <c r="Q73" s="11">
        <v>1</v>
      </c>
    </row>
    <row r="74" spans="1:17" x14ac:dyDescent="0.25">
      <c r="A74" s="11"/>
      <c r="B74" s="11" t="s">
        <v>27</v>
      </c>
      <c r="C74" s="11" t="s">
        <v>2319</v>
      </c>
      <c r="D74" s="11" t="s">
        <v>2320</v>
      </c>
      <c r="E74" s="11" t="s">
        <v>2321</v>
      </c>
      <c r="F74" s="11" t="s">
        <v>118</v>
      </c>
      <c r="G74" s="12">
        <v>900</v>
      </c>
      <c r="H74" s="12">
        <v>20</v>
      </c>
      <c r="I74" s="12">
        <f t="shared" si="2"/>
        <v>880</v>
      </c>
      <c r="J74" s="11" t="s">
        <v>119</v>
      </c>
      <c r="K74" s="11" t="s">
        <v>33</v>
      </c>
      <c r="L74" s="11" t="s">
        <v>2122</v>
      </c>
      <c r="M74" s="11"/>
      <c r="N74" s="11"/>
      <c r="O74" s="11"/>
      <c r="P74" s="11"/>
      <c r="Q74" s="11">
        <v>1</v>
      </c>
    </row>
    <row r="75" spans="1:17" x14ac:dyDescent="0.25">
      <c r="A75" s="11"/>
      <c r="B75" s="11" t="s">
        <v>27</v>
      </c>
      <c r="C75" s="11" t="s">
        <v>2328</v>
      </c>
      <c r="D75" s="11" t="s">
        <v>2329</v>
      </c>
      <c r="E75" s="11" t="s">
        <v>2330</v>
      </c>
      <c r="F75" s="11" t="s">
        <v>118</v>
      </c>
      <c r="G75" s="12">
        <v>310</v>
      </c>
      <c r="H75" s="12">
        <v>20</v>
      </c>
      <c r="I75" s="12">
        <f t="shared" si="2"/>
        <v>290</v>
      </c>
      <c r="J75" s="11" t="s">
        <v>119</v>
      </c>
      <c r="K75" s="11" t="s">
        <v>33</v>
      </c>
      <c r="L75" s="11" t="s">
        <v>2122</v>
      </c>
      <c r="M75" s="11"/>
      <c r="N75" s="11"/>
      <c r="O75" s="11"/>
      <c r="P75" s="11"/>
      <c r="Q75" s="11">
        <v>1</v>
      </c>
    </row>
    <row r="77" spans="1:17" x14ac:dyDescent="0.25">
      <c r="D77" s="1">
        <f>COUNTA(D3:D75)</f>
        <v>73</v>
      </c>
      <c r="G77" s="1">
        <f t="shared" ref="G77:Q77" si="3">SUBTOTAL(9,G3:G75)</f>
        <v>57460</v>
      </c>
      <c r="H77" s="1">
        <f t="shared" si="3"/>
        <v>1955</v>
      </c>
      <c r="I77" s="1">
        <f t="shared" si="3"/>
        <v>55505</v>
      </c>
      <c r="J77" s="1">
        <f t="shared" si="3"/>
        <v>0</v>
      </c>
      <c r="K77" s="1">
        <f t="shared" si="3"/>
        <v>0</v>
      </c>
      <c r="L77" s="1">
        <f t="shared" si="3"/>
        <v>0</v>
      </c>
      <c r="M77" s="1">
        <f t="shared" si="3"/>
        <v>0</v>
      </c>
      <c r="N77" s="1">
        <f t="shared" si="3"/>
        <v>0</v>
      </c>
      <c r="O77" s="1">
        <f t="shared" si="3"/>
        <v>0</v>
      </c>
      <c r="P77" s="1">
        <f t="shared" si="3"/>
        <v>0</v>
      </c>
      <c r="Q77" s="1">
        <f t="shared" si="3"/>
        <v>73</v>
      </c>
    </row>
    <row r="78" spans="1:17" x14ac:dyDescent="0.25">
      <c r="H78">
        <f>-17*17</f>
        <v>-289</v>
      </c>
    </row>
    <row r="79" spans="1:17" x14ac:dyDescent="0.25">
      <c r="A79" s="1" t="s">
        <v>27</v>
      </c>
      <c r="C79" s="60" t="s">
        <v>158</v>
      </c>
      <c r="D79" s="60"/>
      <c r="E79" s="4" t="s">
        <v>159</v>
      </c>
      <c r="H79">
        <f>-15*25</f>
        <v>-375</v>
      </c>
      <c r="K79" s="6" t="s">
        <v>2121</v>
      </c>
      <c r="L79" s="6" t="s">
        <v>160</v>
      </c>
      <c r="M79" s="6" t="s">
        <v>159</v>
      </c>
      <c r="O79" s="4" t="s">
        <v>161</v>
      </c>
    </row>
    <row r="80" spans="1:17" x14ac:dyDescent="0.25">
      <c r="A80" t="s">
        <v>2122</v>
      </c>
      <c r="B80" s="3" t="s">
        <v>162</v>
      </c>
      <c r="C80" s="61">
        <f>SUMIFS(I$3:I$75,B$3:B$75,A$79,L$3:L$75,A$80)</f>
        <v>55505</v>
      </c>
      <c r="D80" s="61"/>
      <c r="E80" s="3">
        <f>SUMIFS(Q$3:Q$75,B$3:B$75,A$79,L$3:L$75,A$80)</f>
        <v>73</v>
      </c>
      <c r="F80" t="s">
        <v>163</v>
      </c>
      <c r="H80">
        <f>-6*30</f>
        <v>-180</v>
      </c>
      <c r="K80" t="s">
        <v>164</v>
      </c>
      <c r="L80">
        <f>SUMIFS(G$3:G$75,J$3:J$75,K$79)</f>
        <v>30275</v>
      </c>
      <c r="M80">
        <f>SUMIFS(Q$3:Q$75,J$3:J$75,K$79)-INT(COUNTIFS(J$3:J$75,K$79,M$3:M$75,"*gộp*")/2)</f>
        <v>39</v>
      </c>
      <c r="O80" t="s">
        <v>2334</v>
      </c>
      <c r="P80">
        <f>L85</f>
        <v>29431</v>
      </c>
    </row>
    <row r="81" spans="2:16" x14ac:dyDescent="0.25">
      <c r="B81" s="2" t="s">
        <v>166</v>
      </c>
      <c r="C81" s="62">
        <v>0</v>
      </c>
      <c r="D81" s="62"/>
      <c r="K81" t="s">
        <v>167</v>
      </c>
      <c r="L81">
        <f>SUM(H78:H80)</f>
        <v>-844</v>
      </c>
      <c r="M81">
        <f>SUMIFS(Q$3:Q$75,J$3:J$75,K$79)-INT(COUNTIFS(J$3:J$75,K$79,M$3:M$75,"*gộp*")/2)</f>
        <v>39</v>
      </c>
      <c r="O81" t="s">
        <v>119</v>
      </c>
      <c r="P81">
        <f>L93</f>
        <v>11665</v>
      </c>
    </row>
    <row r="82" spans="2:16" x14ac:dyDescent="0.25">
      <c r="B82" s="2" t="s">
        <v>168</v>
      </c>
      <c r="C82" s="62">
        <f>-SUMIFS(I$3:I$75,B$3:B$75,A$79,P$3:P$75,"xx",N$3:N$75,"x")</f>
        <v>0</v>
      </c>
      <c r="D82" s="62"/>
      <c r="E82" s="2">
        <f>SUMIFS(Q$3:Q$75,B$3:B$75,A$79,P$3:P$75,"xx",N$3:N$75,"x")</f>
        <v>0</v>
      </c>
      <c r="K82" t="s">
        <v>169</v>
      </c>
      <c r="L82">
        <f>-M82*2</f>
        <v>0</v>
      </c>
      <c r="M82">
        <f>COUNTIFS(K$3:K$75,K$79,L$3:L$75,A$80)-(COUNTIFS(K$3:K$75,K$79,M$3:M$75,"*gộp*")/2)-COUNTIFS(K$3:K$75,K$79,M$3:M$75,"*đơn trả*")-COUNTIFS(K$3:K$75,K$79,M$3:M$75,"*hàng tỉnh*")</f>
        <v>0</v>
      </c>
      <c r="O82" t="s">
        <v>33</v>
      </c>
      <c r="P82">
        <f>L101</f>
        <v>14729</v>
      </c>
    </row>
    <row r="83" spans="2:16" x14ac:dyDescent="0.25">
      <c r="B83" s="4" t="s">
        <v>170</v>
      </c>
      <c r="C83" s="60">
        <f>SUBTOTAL(9,C80:C82)</f>
        <v>55505</v>
      </c>
      <c r="D83" s="60"/>
      <c r="E83">
        <f>E80</f>
        <v>73</v>
      </c>
      <c r="K83" s="7" t="s">
        <v>155</v>
      </c>
      <c r="O83" t="s">
        <v>171</v>
      </c>
      <c r="P83">
        <f>-C87</f>
        <v>-55505</v>
      </c>
    </row>
    <row r="84" spans="2:16" x14ac:dyDescent="0.25">
      <c r="B84" s="2" t="s">
        <v>172</v>
      </c>
      <c r="C84" s="58"/>
      <c r="D84" s="58"/>
      <c r="K84" s="2" t="s">
        <v>173</v>
      </c>
      <c r="O84" s="4" t="s">
        <v>174</v>
      </c>
      <c r="P84" s="4">
        <f>SUBTOTAL(9,P80:P83)</f>
        <v>320</v>
      </c>
    </row>
    <row r="85" spans="2:16" x14ac:dyDescent="0.25">
      <c r="B85" s="8" t="s">
        <v>175</v>
      </c>
      <c r="C85" s="58"/>
      <c r="D85" s="58"/>
      <c r="L85" s="9">
        <f>SUBTOTAL(9,L80:L84)</f>
        <v>29431</v>
      </c>
      <c r="M85" s="9">
        <f>M80</f>
        <v>39</v>
      </c>
    </row>
    <row r="87" spans="2:16" x14ac:dyDescent="0.25">
      <c r="B87" s="1" t="s">
        <v>176</v>
      </c>
      <c r="C87" s="59">
        <f>C83+C84+C85</f>
        <v>55505</v>
      </c>
      <c r="D87" s="59"/>
      <c r="E87" s="1" t="s">
        <v>177</v>
      </c>
      <c r="K87" s="6" t="s">
        <v>119</v>
      </c>
      <c r="L87" s="6" t="s">
        <v>160</v>
      </c>
      <c r="M87" s="6" t="s">
        <v>159</v>
      </c>
    </row>
    <row r="88" spans="2:16" x14ac:dyDescent="0.25">
      <c r="K88" t="s">
        <v>164</v>
      </c>
      <c r="L88">
        <f>SUMIFS(G$3:G$75,J$3:J$75,K$87)</f>
        <v>11985</v>
      </c>
      <c r="M88">
        <f>SUMIFS(Q$3:Q$75,J$3:J$75,K$87)-INT(COUNTIFS(J$3:J$75,K$87,M$3:M$75,"*gộp*")/2)</f>
        <v>17</v>
      </c>
    </row>
    <row r="89" spans="2:16" x14ac:dyDescent="0.25">
      <c r="K89" t="s">
        <v>167</v>
      </c>
      <c r="L89">
        <f>-SUMIFS(H$3:H$75,J$3:J$75,K$87)+M89*5</f>
        <v>-320</v>
      </c>
      <c r="M89">
        <f>SUMIFS(Q$3:Q$75,J$3:J$75,K$87)-INT(COUNTIFS(J$3:J$75,K$87,M$3:M$75,"*gộp*")/2)</f>
        <v>17</v>
      </c>
    </row>
    <row r="90" spans="2:16" x14ac:dyDescent="0.25">
      <c r="K90" t="s">
        <v>169</v>
      </c>
      <c r="L90">
        <f>-M90*2</f>
        <v>0</v>
      </c>
      <c r="M90">
        <f>COUNTIFS(K$3:K$75,K$87,L$3:L$75,A$80)-(COUNTIFS(K$3:K$75,K$87,M$3:M$75,"*gộp*")/2)-COUNTIFS(K$3:K$75,K$87,M$3:M$75,"*đơn trả*")-COUNTIFS(K$3:K$75,K$87,M$3:M$75,"*hàng tỉnh*")</f>
        <v>0</v>
      </c>
    </row>
    <row r="91" spans="2:16" x14ac:dyDescent="0.25">
      <c r="K91" s="7" t="s">
        <v>155</v>
      </c>
    </row>
    <row r="92" spans="2:16" x14ac:dyDescent="0.25">
      <c r="K92" s="2" t="s">
        <v>173</v>
      </c>
    </row>
    <row r="93" spans="2:16" x14ac:dyDescent="0.25">
      <c r="L93" s="9">
        <f>SUBTOTAL(9,L88:L92)</f>
        <v>11665</v>
      </c>
      <c r="M93" s="9">
        <f>M88</f>
        <v>17</v>
      </c>
    </row>
    <row r="95" spans="2:16" x14ac:dyDescent="0.25">
      <c r="K95" s="6" t="s">
        <v>33</v>
      </c>
      <c r="L95" s="6" t="s">
        <v>160</v>
      </c>
      <c r="M95" s="6" t="s">
        <v>159</v>
      </c>
    </row>
    <row r="96" spans="2:16" x14ac:dyDescent="0.25">
      <c r="K96" t="s">
        <v>164</v>
      </c>
      <c r="L96">
        <f>SUMIFS(G$3:G$75,J$3:J$75,K$95)</f>
        <v>15200</v>
      </c>
      <c r="M96">
        <f>SUMIFS(Q$3:Q$75,J$3:J$75,K$95)-INT(COUNTIFS(J$3:J$75,K$95,M$3:M$75,"*gộp*")/2)</f>
        <v>17</v>
      </c>
    </row>
    <row r="97" spans="11:13" x14ac:dyDescent="0.25">
      <c r="K97" t="s">
        <v>167</v>
      </c>
      <c r="L97">
        <f>-SUMIFS(H$3:H$75,J$3:J$75,K$95)+M97*5</f>
        <v>-325</v>
      </c>
      <c r="M97">
        <f>SUMIFS(Q$3:Q$75,J$3:J$75,K$95)-INT(COUNTIFS(J$3:J$75,K$95,M$3:M$75,"*gộp*")/2)</f>
        <v>17</v>
      </c>
    </row>
    <row r="98" spans="11:13" x14ac:dyDescent="0.25">
      <c r="K98" t="s">
        <v>169</v>
      </c>
      <c r="L98">
        <f>-M98*2</f>
        <v>-146</v>
      </c>
      <c r="M98">
        <f>COUNTIFS(K$3:K$75,K$95,L$3:L$75,A$80)-(COUNTIFS(K$3:K$75,K$95,M$3:M$75,"*gộp*")/2)-COUNTIFS(K$3:K$75,K$95,M$3:M$75,"*đơn trả*")-COUNTIFS(K$3:K$75,K$95,M$3:M$75,"*hàng tỉnh*")</f>
        <v>73</v>
      </c>
    </row>
    <row r="99" spans="11:13" x14ac:dyDescent="0.25">
      <c r="K99" s="7" t="s">
        <v>155</v>
      </c>
    </row>
    <row r="100" spans="11:13" x14ac:dyDescent="0.25">
      <c r="K100" s="2" t="s">
        <v>173</v>
      </c>
    </row>
    <row r="101" spans="11:13" x14ac:dyDescent="0.25">
      <c r="L101" s="9">
        <f>SUBTOTAL(9,L96:L100)</f>
        <v>14729</v>
      </c>
      <c r="M101" s="9">
        <f>M96</f>
        <v>17</v>
      </c>
    </row>
  </sheetData>
  <autoFilter ref="A2:P75" xr:uid="{00000000-0009-0000-0000-000000000000}">
    <sortState xmlns:xlrd2="http://schemas.microsoft.com/office/spreadsheetml/2017/richdata2" ref="A3:P75">
      <sortCondition ref="J2:J75"/>
    </sortState>
  </autoFilter>
  <mergeCells count="8">
    <mergeCell ref="C85:D85"/>
    <mergeCell ref="C87:D87"/>
    <mergeCell ref="C79:D79"/>
    <mergeCell ref="C80:D80"/>
    <mergeCell ref="C81:D81"/>
    <mergeCell ref="C82:D82"/>
    <mergeCell ref="C83:D83"/>
    <mergeCell ref="C84:D84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F5D6-B68E-4C71-891D-33C73D95C161}">
  <dimension ref="A2:R143"/>
  <sheetViews>
    <sheetView topLeftCell="A97" zoomScale="90" zoomScaleNormal="90" workbookViewId="0">
      <selection activeCell="I131" sqref="I131"/>
    </sheetView>
  </sheetViews>
  <sheetFormatPr defaultRowHeight="15" x14ac:dyDescent="0.25"/>
  <cols>
    <col min="1" max="1" width="12.7109375" customWidth="1"/>
    <col min="2" max="2" width="8.85546875" customWidth="1"/>
    <col min="3" max="3" width="44.85546875" customWidth="1"/>
    <col min="4" max="4" width="10.28515625" customWidth="1"/>
    <col min="5" max="5" width="76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1.570312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</row>
    <row r="3" spans="1:17" x14ac:dyDescent="0.25">
      <c r="A3" s="11"/>
      <c r="B3" s="11" t="s">
        <v>27</v>
      </c>
      <c r="C3" s="11" t="s">
        <v>2336</v>
      </c>
      <c r="D3" s="11" t="s">
        <v>2337</v>
      </c>
      <c r="E3" s="11" t="s">
        <v>2338</v>
      </c>
      <c r="F3" s="12">
        <v>8</v>
      </c>
      <c r="G3" s="12">
        <v>2635</v>
      </c>
      <c r="H3" s="12">
        <v>35</v>
      </c>
      <c r="I3" s="12">
        <f t="shared" ref="I3:I34" si="0">G3-H3</f>
        <v>2600</v>
      </c>
      <c r="J3" s="11" t="s">
        <v>2121</v>
      </c>
      <c r="K3" s="11" t="s">
        <v>33</v>
      </c>
      <c r="L3" s="11" t="s">
        <v>2122</v>
      </c>
      <c r="M3" s="11"/>
      <c r="N3" s="11"/>
      <c r="O3" s="11"/>
      <c r="P3" s="11"/>
      <c r="Q3">
        <v>1</v>
      </c>
    </row>
    <row r="4" spans="1:17" x14ac:dyDescent="0.25">
      <c r="A4" s="11"/>
      <c r="B4" s="11" t="s">
        <v>27</v>
      </c>
      <c r="C4" s="11" t="s">
        <v>2339</v>
      </c>
      <c r="D4" s="11" t="s">
        <v>2340</v>
      </c>
      <c r="E4" s="11" t="s">
        <v>2341</v>
      </c>
      <c r="F4" s="12">
        <v>7</v>
      </c>
      <c r="G4" s="12">
        <v>680</v>
      </c>
      <c r="H4" s="12">
        <v>30</v>
      </c>
      <c r="I4" s="12">
        <f t="shared" si="0"/>
        <v>650</v>
      </c>
      <c r="J4" s="11" t="s">
        <v>2121</v>
      </c>
      <c r="K4" s="11" t="s">
        <v>33</v>
      </c>
      <c r="L4" s="11" t="s">
        <v>2122</v>
      </c>
      <c r="M4" s="11"/>
      <c r="N4" s="11"/>
      <c r="O4" s="11"/>
      <c r="P4" s="11"/>
      <c r="Q4">
        <v>1</v>
      </c>
    </row>
    <row r="5" spans="1:17" x14ac:dyDescent="0.25">
      <c r="A5" s="11"/>
      <c r="B5" s="11" t="s">
        <v>27</v>
      </c>
      <c r="C5" s="11" t="s">
        <v>2342</v>
      </c>
      <c r="D5" s="11" t="s">
        <v>2343</v>
      </c>
      <c r="E5" s="11" t="s">
        <v>2344</v>
      </c>
      <c r="F5" s="12">
        <v>12</v>
      </c>
      <c r="G5" s="12">
        <v>320</v>
      </c>
      <c r="H5" s="12">
        <v>30</v>
      </c>
      <c r="I5" s="12">
        <f t="shared" si="0"/>
        <v>290</v>
      </c>
      <c r="J5" s="11" t="s">
        <v>2121</v>
      </c>
      <c r="K5" s="11" t="s">
        <v>33</v>
      </c>
      <c r="L5" s="11" t="s">
        <v>2122</v>
      </c>
      <c r="M5" s="11"/>
      <c r="N5" s="11"/>
      <c r="O5" s="11"/>
      <c r="P5" s="11"/>
      <c r="Q5">
        <v>1</v>
      </c>
    </row>
    <row r="6" spans="1:17" x14ac:dyDescent="0.25">
      <c r="A6" s="11"/>
      <c r="B6" s="11" t="s">
        <v>27</v>
      </c>
      <c r="C6" s="11" t="s">
        <v>2345</v>
      </c>
      <c r="D6" s="11" t="s">
        <v>2346</v>
      </c>
      <c r="E6" s="11" t="s">
        <v>2347</v>
      </c>
      <c r="F6" s="11" t="s">
        <v>55</v>
      </c>
      <c r="G6" s="12">
        <v>585</v>
      </c>
      <c r="H6" s="12">
        <v>35</v>
      </c>
      <c r="I6" s="12">
        <f t="shared" si="0"/>
        <v>550</v>
      </c>
      <c r="J6" s="11" t="s">
        <v>2121</v>
      </c>
      <c r="K6" s="11" t="s">
        <v>33</v>
      </c>
      <c r="L6" s="11" t="s">
        <v>2122</v>
      </c>
      <c r="M6" s="11"/>
      <c r="N6" s="11"/>
      <c r="O6" s="11"/>
      <c r="P6" s="11"/>
      <c r="Q6">
        <v>1</v>
      </c>
    </row>
    <row r="7" spans="1:17" x14ac:dyDescent="0.25">
      <c r="A7" s="11"/>
      <c r="B7" s="11" t="s">
        <v>27</v>
      </c>
      <c r="C7" s="11" t="s">
        <v>2348</v>
      </c>
      <c r="D7" s="11" t="s">
        <v>2349</v>
      </c>
      <c r="E7" s="11" t="s">
        <v>2350</v>
      </c>
      <c r="F7" s="11" t="s">
        <v>31</v>
      </c>
      <c r="G7" s="12">
        <v>615</v>
      </c>
      <c r="H7" s="12">
        <v>25</v>
      </c>
      <c r="I7" s="12">
        <f t="shared" si="0"/>
        <v>590</v>
      </c>
      <c r="J7" s="11" t="s">
        <v>2121</v>
      </c>
      <c r="K7" s="11" t="s">
        <v>33</v>
      </c>
      <c r="L7" s="11" t="s">
        <v>2122</v>
      </c>
      <c r="M7" s="11"/>
      <c r="N7" s="11"/>
      <c r="O7" s="11"/>
      <c r="P7" s="11"/>
      <c r="Q7">
        <v>1</v>
      </c>
    </row>
    <row r="8" spans="1:17" x14ac:dyDescent="0.25">
      <c r="A8" s="11"/>
      <c r="B8" s="11" t="s">
        <v>27</v>
      </c>
      <c r="C8" s="11" t="s">
        <v>1572</v>
      </c>
      <c r="D8" s="11" t="s">
        <v>2351</v>
      </c>
      <c r="E8" s="11" t="s">
        <v>2352</v>
      </c>
      <c r="F8" s="11" t="s">
        <v>55</v>
      </c>
      <c r="G8" s="12">
        <v>585</v>
      </c>
      <c r="H8" s="12">
        <v>35</v>
      </c>
      <c r="I8" s="12">
        <f t="shared" si="0"/>
        <v>550</v>
      </c>
      <c r="J8" s="11" t="s">
        <v>2121</v>
      </c>
      <c r="K8" s="11" t="s">
        <v>33</v>
      </c>
      <c r="L8" s="11" t="s">
        <v>2122</v>
      </c>
      <c r="M8" s="11"/>
      <c r="N8" s="11"/>
      <c r="O8" s="11"/>
      <c r="P8" s="11"/>
      <c r="Q8">
        <v>1</v>
      </c>
    </row>
    <row r="9" spans="1:17" x14ac:dyDescent="0.25">
      <c r="A9" s="11"/>
      <c r="B9" s="11" t="s">
        <v>27</v>
      </c>
      <c r="C9" s="11" t="s">
        <v>2353</v>
      </c>
      <c r="D9" s="11" t="s">
        <v>2354</v>
      </c>
      <c r="E9" s="11" t="s">
        <v>2355</v>
      </c>
      <c r="F9" s="11" t="s">
        <v>48</v>
      </c>
      <c r="G9" s="12">
        <v>250</v>
      </c>
      <c r="H9" s="12">
        <v>30</v>
      </c>
      <c r="I9" s="12">
        <f t="shared" si="0"/>
        <v>220</v>
      </c>
      <c r="J9" s="11" t="s">
        <v>2121</v>
      </c>
      <c r="K9" s="11" t="s">
        <v>33</v>
      </c>
      <c r="L9" s="11" t="s">
        <v>2122</v>
      </c>
      <c r="M9" s="11"/>
      <c r="N9" s="11"/>
      <c r="O9" s="11"/>
      <c r="P9" s="11"/>
      <c r="Q9">
        <v>1</v>
      </c>
    </row>
    <row r="10" spans="1:17" x14ac:dyDescent="0.25">
      <c r="A10" s="11"/>
      <c r="B10" s="11" t="s">
        <v>27</v>
      </c>
      <c r="C10" s="11" t="s">
        <v>2356</v>
      </c>
      <c r="D10" s="11" t="s">
        <v>2357</v>
      </c>
      <c r="E10" s="11" t="s">
        <v>2358</v>
      </c>
      <c r="F10" s="11" t="s">
        <v>48</v>
      </c>
      <c r="G10" s="12">
        <v>320</v>
      </c>
      <c r="H10" s="12">
        <v>30</v>
      </c>
      <c r="I10" s="12">
        <f t="shared" si="0"/>
        <v>290</v>
      </c>
      <c r="J10" s="11" t="s">
        <v>2121</v>
      </c>
      <c r="K10" s="11" t="s">
        <v>33</v>
      </c>
      <c r="L10" s="11" t="s">
        <v>2122</v>
      </c>
      <c r="M10" s="11"/>
      <c r="N10" s="11"/>
      <c r="O10" s="11"/>
      <c r="P10" s="11"/>
      <c r="Q10">
        <v>1</v>
      </c>
    </row>
    <row r="11" spans="1:17" x14ac:dyDescent="0.25">
      <c r="A11" s="11"/>
      <c r="B11" s="11" t="s">
        <v>27</v>
      </c>
      <c r="C11" s="11" t="s">
        <v>2359</v>
      </c>
      <c r="D11" s="11" t="s">
        <v>2360</v>
      </c>
      <c r="E11" s="11" t="s">
        <v>2361</v>
      </c>
      <c r="F11" s="11" t="s">
        <v>55</v>
      </c>
      <c r="G11" s="12">
        <v>555</v>
      </c>
      <c r="H11" s="12">
        <v>35</v>
      </c>
      <c r="I11" s="12">
        <f t="shared" si="0"/>
        <v>520</v>
      </c>
      <c r="J11" s="11" t="s">
        <v>2121</v>
      </c>
      <c r="K11" s="11" t="s">
        <v>33</v>
      </c>
      <c r="L11" s="11" t="s">
        <v>2122</v>
      </c>
      <c r="M11" s="11"/>
      <c r="N11" s="11"/>
      <c r="O11" s="11"/>
      <c r="P11" s="11"/>
      <c r="Q11">
        <v>1</v>
      </c>
    </row>
    <row r="12" spans="1:17" x14ac:dyDescent="0.25">
      <c r="A12" s="11"/>
      <c r="B12" s="11" t="s">
        <v>27</v>
      </c>
      <c r="C12" s="11" t="s">
        <v>2362</v>
      </c>
      <c r="D12" s="11" t="s">
        <v>2363</v>
      </c>
      <c r="E12" s="11" t="s">
        <v>2364</v>
      </c>
      <c r="F12" s="12">
        <v>12</v>
      </c>
      <c r="G12" s="12">
        <v>640</v>
      </c>
      <c r="H12" s="12">
        <v>30</v>
      </c>
      <c r="I12" s="12">
        <f t="shared" si="0"/>
        <v>610</v>
      </c>
      <c r="J12" s="11" t="s">
        <v>2121</v>
      </c>
      <c r="K12" s="11" t="s">
        <v>33</v>
      </c>
      <c r="L12" s="11" t="s">
        <v>2122</v>
      </c>
      <c r="M12" s="11"/>
      <c r="N12" s="11"/>
      <c r="O12" s="11"/>
      <c r="P12" s="11"/>
      <c r="Q12">
        <v>1</v>
      </c>
    </row>
    <row r="13" spans="1:17" x14ac:dyDescent="0.25">
      <c r="A13" s="11"/>
      <c r="B13" s="11" t="s">
        <v>27</v>
      </c>
      <c r="C13" s="11" t="s">
        <v>2365</v>
      </c>
      <c r="D13" s="11" t="s">
        <v>2366</v>
      </c>
      <c r="E13" s="11" t="s">
        <v>2367</v>
      </c>
      <c r="F13" s="11" t="s">
        <v>48</v>
      </c>
      <c r="G13" s="12">
        <v>1530</v>
      </c>
      <c r="H13" s="12">
        <v>30</v>
      </c>
      <c r="I13" s="12">
        <f t="shared" si="0"/>
        <v>1500</v>
      </c>
      <c r="J13" s="11" t="s">
        <v>2121</v>
      </c>
      <c r="K13" s="11" t="s">
        <v>33</v>
      </c>
      <c r="L13" s="11" t="s">
        <v>2122</v>
      </c>
      <c r="M13" s="11"/>
      <c r="N13" s="11"/>
      <c r="O13" s="11"/>
      <c r="P13" s="11"/>
      <c r="Q13">
        <v>1</v>
      </c>
    </row>
    <row r="14" spans="1:17" x14ac:dyDescent="0.25">
      <c r="A14" s="11"/>
      <c r="B14" s="11" t="s">
        <v>27</v>
      </c>
      <c r="C14" s="11" t="s">
        <v>2368</v>
      </c>
      <c r="D14" s="11" t="s">
        <v>2369</v>
      </c>
      <c r="E14" s="11" t="s">
        <v>2370</v>
      </c>
      <c r="F14" s="11" t="s">
        <v>444</v>
      </c>
      <c r="G14" s="12">
        <v>1655</v>
      </c>
      <c r="H14" s="12">
        <v>35</v>
      </c>
      <c r="I14" s="12">
        <f t="shared" si="0"/>
        <v>1620</v>
      </c>
      <c r="J14" s="11" t="s">
        <v>2121</v>
      </c>
      <c r="K14" s="11" t="s">
        <v>33</v>
      </c>
      <c r="L14" s="11" t="s">
        <v>2122</v>
      </c>
      <c r="M14" s="11"/>
      <c r="N14" s="11"/>
      <c r="O14" s="11"/>
      <c r="P14" s="11"/>
      <c r="Q14">
        <v>1</v>
      </c>
    </row>
    <row r="15" spans="1:17" x14ac:dyDescent="0.25">
      <c r="A15" s="11"/>
      <c r="B15" s="11" t="s">
        <v>27</v>
      </c>
      <c r="C15" s="11" t="s">
        <v>2112</v>
      </c>
      <c r="D15" s="11" t="s">
        <v>2371</v>
      </c>
      <c r="E15" s="11" t="s">
        <v>2114</v>
      </c>
      <c r="F15" s="12">
        <v>6</v>
      </c>
      <c r="G15" s="12">
        <v>3030</v>
      </c>
      <c r="H15" s="12">
        <v>30</v>
      </c>
      <c r="I15" s="12">
        <f t="shared" si="0"/>
        <v>3000</v>
      </c>
      <c r="J15" s="11" t="s">
        <v>2121</v>
      </c>
      <c r="K15" s="11" t="s">
        <v>33</v>
      </c>
      <c r="L15" s="11" t="s">
        <v>2122</v>
      </c>
      <c r="M15" s="11"/>
      <c r="N15" s="11"/>
      <c r="O15" s="11"/>
      <c r="P15" s="11"/>
      <c r="Q15">
        <v>1</v>
      </c>
    </row>
    <row r="16" spans="1:17" x14ac:dyDescent="0.25">
      <c r="A16" s="11"/>
      <c r="B16" s="11" t="s">
        <v>27</v>
      </c>
      <c r="C16" s="11" t="s">
        <v>2372</v>
      </c>
      <c r="D16" s="11" t="s">
        <v>2373</v>
      </c>
      <c r="E16" s="11" t="s">
        <v>2374</v>
      </c>
      <c r="F16" s="11" t="s">
        <v>31</v>
      </c>
      <c r="G16" s="12">
        <v>5850</v>
      </c>
      <c r="H16" s="12">
        <v>40</v>
      </c>
      <c r="I16" s="12">
        <f t="shared" si="0"/>
        <v>5810</v>
      </c>
      <c r="J16" s="11" t="s">
        <v>2121</v>
      </c>
      <c r="K16" s="11" t="s">
        <v>33</v>
      </c>
      <c r="L16" s="11" t="s">
        <v>2122</v>
      </c>
      <c r="M16" s="11"/>
      <c r="N16" s="11"/>
      <c r="O16" s="11"/>
      <c r="P16" s="11"/>
      <c r="Q16">
        <v>1</v>
      </c>
    </row>
    <row r="17" spans="1:17" x14ac:dyDescent="0.25">
      <c r="A17" s="11"/>
      <c r="B17" s="11" t="s">
        <v>27</v>
      </c>
      <c r="C17" s="11" t="s">
        <v>2375</v>
      </c>
      <c r="D17" s="11" t="s">
        <v>2376</v>
      </c>
      <c r="E17" s="11" t="s">
        <v>2377</v>
      </c>
      <c r="F17" s="11" t="s">
        <v>31</v>
      </c>
      <c r="G17" s="12">
        <v>575</v>
      </c>
      <c r="H17" s="12">
        <v>25</v>
      </c>
      <c r="I17" s="12">
        <f t="shared" si="0"/>
        <v>550</v>
      </c>
      <c r="J17" s="11" t="s">
        <v>2121</v>
      </c>
      <c r="K17" s="11" t="s">
        <v>33</v>
      </c>
      <c r="L17" s="11" t="s">
        <v>2122</v>
      </c>
      <c r="M17" s="11"/>
      <c r="N17" s="11"/>
      <c r="O17" s="11"/>
      <c r="P17" s="11"/>
      <c r="Q17">
        <v>1</v>
      </c>
    </row>
    <row r="18" spans="1:17" x14ac:dyDescent="0.25">
      <c r="A18" s="11"/>
      <c r="B18" s="11" t="s">
        <v>27</v>
      </c>
      <c r="C18" s="11" t="s">
        <v>2378</v>
      </c>
      <c r="D18" s="11" t="s">
        <v>2379</v>
      </c>
      <c r="E18" s="11" t="s">
        <v>2380</v>
      </c>
      <c r="F18" s="12">
        <v>7</v>
      </c>
      <c r="G18" s="12">
        <v>1100</v>
      </c>
      <c r="H18" s="12">
        <v>30</v>
      </c>
      <c r="I18" s="12">
        <f t="shared" si="0"/>
        <v>1070</v>
      </c>
      <c r="J18" s="11" t="s">
        <v>2121</v>
      </c>
      <c r="K18" s="11" t="s">
        <v>33</v>
      </c>
      <c r="L18" s="11" t="s">
        <v>2122</v>
      </c>
      <c r="M18" s="24" t="s">
        <v>1217</v>
      </c>
      <c r="N18" s="11"/>
      <c r="O18" s="11"/>
      <c r="P18" s="11"/>
      <c r="Q18">
        <v>1</v>
      </c>
    </row>
    <row r="19" spans="1:17" x14ac:dyDescent="0.25">
      <c r="A19" s="11"/>
      <c r="B19" s="11" t="s">
        <v>27</v>
      </c>
      <c r="C19" s="11" t="s">
        <v>2378</v>
      </c>
      <c r="D19" s="11" t="s">
        <v>2381</v>
      </c>
      <c r="E19" s="11" t="s">
        <v>2380</v>
      </c>
      <c r="F19" s="12">
        <v>7</v>
      </c>
      <c r="G19" s="12">
        <v>490</v>
      </c>
      <c r="H19" s="12">
        <v>0</v>
      </c>
      <c r="I19" s="12">
        <f t="shared" si="0"/>
        <v>490</v>
      </c>
      <c r="J19" s="11" t="s">
        <v>2121</v>
      </c>
      <c r="K19" s="11" t="s">
        <v>33</v>
      </c>
      <c r="L19" s="11" t="s">
        <v>2122</v>
      </c>
      <c r="M19" s="24" t="s">
        <v>1217</v>
      </c>
      <c r="N19" s="11"/>
      <c r="O19" s="11"/>
      <c r="P19" s="11"/>
      <c r="Q19">
        <v>1</v>
      </c>
    </row>
    <row r="20" spans="1:17" x14ac:dyDescent="0.25">
      <c r="A20" s="11"/>
      <c r="B20" s="11" t="s">
        <v>27</v>
      </c>
      <c r="C20" s="11" t="s">
        <v>2382</v>
      </c>
      <c r="D20" s="11" t="s">
        <v>2383</v>
      </c>
      <c r="E20" s="11" t="s">
        <v>2384</v>
      </c>
      <c r="F20" s="12">
        <v>8</v>
      </c>
      <c r="G20" s="12">
        <v>600</v>
      </c>
      <c r="H20" s="12">
        <v>30</v>
      </c>
      <c r="I20" s="12">
        <f t="shared" si="0"/>
        <v>570</v>
      </c>
      <c r="J20" s="11" t="s">
        <v>2121</v>
      </c>
      <c r="K20" s="11" t="s">
        <v>33</v>
      </c>
      <c r="L20" s="11" t="s">
        <v>2122</v>
      </c>
      <c r="M20" s="11"/>
      <c r="N20" s="11"/>
      <c r="O20" s="11"/>
      <c r="P20" s="11"/>
      <c r="Q20">
        <v>1</v>
      </c>
    </row>
    <row r="21" spans="1:17" x14ac:dyDescent="0.25">
      <c r="A21" s="11"/>
      <c r="B21" s="11" t="s">
        <v>27</v>
      </c>
      <c r="C21" s="11" t="s">
        <v>2385</v>
      </c>
      <c r="D21" s="11" t="s">
        <v>2386</v>
      </c>
      <c r="E21" s="11" t="s">
        <v>2387</v>
      </c>
      <c r="F21" s="12">
        <v>6</v>
      </c>
      <c r="G21" s="12">
        <v>1335</v>
      </c>
      <c r="H21" s="12">
        <v>25</v>
      </c>
      <c r="I21" s="12">
        <f t="shared" si="0"/>
        <v>1310</v>
      </c>
      <c r="J21" s="11" t="s">
        <v>2121</v>
      </c>
      <c r="K21" s="11" t="s">
        <v>33</v>
      </c>
      <c r="L21" s="11" t="s">
        <v>2122</v>
      </c>
      <c r="M21" s="11"/>
      <c r="N21" s="11"/>
      <c r="O21" s="11"/>
      <c r="P21" s="11"/>
      <c r="Q21">
        <v>1</v>
      </c>
    </row>
    <row r="22" spans="1:17" x14ac:dyDescent="0.25">
      <c r="A22" s="11"/>
      <c r="B22" s="11" t="s">
        <v>27</v>
      </c>
      <c r="C22" s="11" t="s">
        <v>2388</v>
      </c>
      <c r="D22" s="11" t="s">
        <v>2389</v>
      </c>
      <c r="E22" s="11" t="s">
        <v>2390</v>
      </c>
      <c r="F22" s="12">
        <v>12</v>
      </c>
      <c r="G22" s="12">
        <v>590</v>
      </c>
      <c r="H22" s="12">
        <v>30</v>
      </c>
      <c r="I22" s="12">
        <f t="shared" si="0"/>
        <v>560</v>
      </c>
      <c r="J22" s="11" t="s">
        <v>2121</v>
      </c>
      <c r="K22" s="11" t="s">
        <v>33</v>
      </c>
      <c r="L22" s="11" t="s">
        <v>2122</v>
      </c>
      <c r="M22" s="11"/>
      <c r="N22" s="11"/>
      <c r="O22" s="11"/>
      <c r="P22" s="11"/>
      <c r="Q22">
        <v>1</v>
      </c>
    </row>
    <row r="23" spans="1:17" x14ac:dyDescent="0.25">
      <c r="A23" s="11"/>
      <c r="B23" s="11" t="s">
        <v>27</v>
      </c>
      <c r="C23" s="11" t="s">
        <v>2391</v>
      </c>
      <c r="D23" s="11" t="s">
        <v>2392</v>
      </c>
      <c r="E23" s="11" t="s">
        <v>2393</v>
      </c>
      <c r="F23" s="12">
        <v>8</v>
      </c>
      <c r="G23" s="12">
        <v>1240</v>
      </c>
      <c r="H23" s="12">
        <v>30</v>
      </c>
      <c r="I23" s="12">
        <f t="shared" si="0"/>
        <v>1210</v>
      </c>
      <c r="J23" s="11" t="s">
        <v>2121</v>
      </c>
      <c r="K23" s="11" t="s">
        <v>33</v>
      </c>
      <c r="L23" s="11" t="s">
        <v>2122</v>
      </c>
      <c r="M23" s="11"/>
      <c r="N23" s="11"/>
      <c r="O23" s="11"/>
      <c r="P23" s="11"/>
      <c r="Q23">
        <v>1</v>
      </c>
    </row>
    <row r="24" spans="1:17" x14ac:dyDescent="0.25">
      <c r="A24" s="11"/>
      <c r="B24" s="11" t="s">
        <v>27</v>
      </c>
      <c r="C24" s="11" t="s">
        <v>2394</v>
      </c>
      <c r="D24" s="11" t="s">
        <v>2395</v>
      </c>
      <c r="E24" s="11" t="s">
        <v>2396</v>
      </c>
      <c r="F24" s="11" t="s">
        <v>48</v>
      </c>
      <c r="G24" s="12">
        <v>940</v>
      </c>
      <c r="H24" s="12">
        <v>30</v>
      </c>
      <c r="I24" s="12">
        <f t="shared" si="0"/>
        <v>910</v>
      </c>
      <c r="J24" s="11" t="s">
        <v>2121</v>
      </c>
      <c r="K24" s="11" t="s">
        <v>33</v>
      </c>
      <c r="L24" s="11" t="s">
        <v>2122</v>
      </c>
      <c r="M24" s="11"/>
      <c r="N24" s="11"/>
      <c r="O24" s="11"/>
      <c r="P24" s="11"/>
      <c r="Q24">
        <v>1</v>
      </c>
    </row>
    <row r="25" spans="1:17" x14ac:dyDescent="0.25">
      <c r="A25" s="11"/>
      <c r="B25" s="11" t="s">
        <v>27</v>
      </c>
      <c r="C25" s="11" t="s">
        <v>2397</v>
      </c>
      <c r="D25" s="11" t="s">
        <v>2398</v>
      </c>
      <c r="E25" s="11" t="s">
        <v>2399</v>
      </c>
      <c r="F25" s="11" t="s">
        <v>31</v>
      </c>
      <c r="G25" s="12">
        <v>825</v>
      </c>
      <c r="H25" s="12">
        <v>25</v>
      </c>
      <c r="I25" s="12">
        <f t="shared" si="0"/>
        <v>800</v>
      </c>
      <c r="J25" s="11" t="s">
        <v>2121</v>
      </c>
      <c r="K25" s="11" t="s">
        <v>33</v>
      </c>
      <c r="L25" s="11" t="s">
        <v>2122</v>
      </c>
      <c r="M25" s="11"/>
      <c r="N25" s="11"/>
      <c r="O25" s="11"/>
      <c r="P25" s="11"/>
      <c r="Q25">
        <v>1</v>
      </c>
    </row>
    <row r="26" spans="1:17" x14ac:dyDescent="0.25">
      <c r="A26" s="11"/>
      <c r="B26" s="11" t="s">
        <v>27</v>
      </c>
      <c r="C26" s="11" t="s">
        <v>2400</v>
      </c>
      <c r="D26" s="11" t="s">
        <v>2401</v>
      </c>
      <c r="E26" s="11" t="s">
        <v>2402</v>
      </c>
      <c r="F26" s="11" t="s">
        <v>31</v>
      </c>
      <c r="G26" s="12">
        <v>705</v>
      </c>
      <c r="H26" s="12">
        <v>25</v>
      </c>
      <c r="I26" s="12">
        <f t="shared" si="0"/>
        <v>680</v>
      </c>
      <c r="J26" s="11" t="s">
        <v>2121</v>
      </c>
      <c r="K26" s="11" t="s">
        <v>33</v>
      </c>
      <c r="L26" s="11" t="s">
        <v>2122</v>
      </c>
      <c r="M26" s="11"/>
      <c r="N26" s="11"/>
      <c r="O26" s="11"/>
      <c r="P26" s="11"/>
      <c r="Q26">
        <v>1</v>
      </c>
    </row>
    <row r="27" spans="1:17" x14ac:dyDescent="0.25">
      <c r="A27" s="11"/>
      <c r="B27" s="11" t="s">
        <v>27</v>
      </c>
      <c r="C27" s="11" t="s">
        <v>2403</v>
      </c>
      <c r="D27" s="11" t="s">
        <v>2404</v>
      </c>
      <c r="E27" s="11" t="s">
        <v>2405</v>
      </c>
      <c r="F27" s="11" t="s">
        <v>31</v>
      </c>
      <c r="G27" s="12">
        <v>315</v>
      </c>
      <c r="H27" s="12">
        <v>25</v>
      </c>
      <c r="I27" s="12">
        <f t="shared" si="0"/>
        <v>290</v>
      </c>
      <c r="J27" s="11" t="s">
        <v>2121</v>
      </c>
      <c r="K27" s="11" t="s">
        <v>33</v>
      </c>
      <c r="L27" s="11" t="s">
        <v>2122</v>
      </c>
      <c r="M27" s="11"/>
      <c r="N27" s="11"/>
      <c r="O27" s="11"/>
      <c r="P27" s="11"/>
      <c r="Q27">
        <v>1</v>
      </c>
    </row>
    <row r="28" spans="1:17" x14ac:dyDescent="0.25">
      <c r="A28" s="11"/>
      <c r="B28" s="11" t="s">
        <v>27</v>
      </c>
      <c r="C28" s="11" t="s">
        <v>2406</v>
      </c>
      <c r="D28" s="11" t="s">
        <v>2407</v>
      </c>
      <c r="E28" s="11" t="s">
        <v>2408</v>
      </c>
      <c r="F28" s="11" t="s">
        <v>104</v>
      </c>
      <c r="G28" s="12">
        <v>220</v>
      </c>
      <c r="H28" s="12">
        <v>30</v>
      </c>
      <c r="I28" s="12">
        <f t="shared" si="0"/>
        <v>190</v>
      </c>
      <c r="J28" s="11" t="s">
        <v>2121</v>
      </c>
      <c r="K28" s="11" t="s">
        <v>33</v>
      </c>
      <c r="L28" s="11" t="s">
        <v>2122</v>
      </c>
      <c r="M28" s="11"/>
      <c r="N28" s="11"/>
      <c r="O28" s="11"/>
      <c r="P28" s="11"/>
      <c r="Q28">
        <v>1</v>
      </c>
    </row>
    <row r="29" spans="1:17" x14ac:dyDescent="0.25">
      <c r="A29" s="11"/>
      <c r="B29" s="11" t="s">
        <v>27</v>
      </c>
      <c r="C29" s="11" t="s">
        <v>2409</v>
      </c>
      <c r="D29" s="11" t="s">
        <v>2410</v>
      </c>
      <c r="E29" s="11" t="s">
        <v>2411</v>
      </c>
      <c r="F29" s="12">
        <v>7</v>
      </c>
      <c r="G29" s="12">
        <v>520</v>
      </c>
      <c r="H29" s="12">
        <v>30</v>
      </c>
      <c r="I29" s="12">
        <f t="shared" si="0"/>
        <v>490</v>
      </c>
      <c r="J29" s="11" t="s">
        <v>2121</v>
      </c>
      <c r="K29" s="11" t="s">
        <v>33</v>
      </c>
      <c r="L29" s="11" t="s">
        <v>2122</v>
      </c>
      <c r="M29" s="11"/>
      <c r="N29" s="11"/>
      <c r="O29" s="11"/>
      <c r="P29" s="11"/>
      <c r="Q29">
        <v>1</v>
      </c>
    </row>
    <row r="30" spans="1:17" x14ac:dyDescent="0.25">
      <c r="A30" s="11"/>
      <c r="B30" s="11" t="s">
        <v>27</v>
      </c>
      <c r="C30" s="11" t="s">
        <v>2412</v>
      </c>
      <c r="D30" s="11" t="s">
        <v>2413</v>
      </c>
      <c r="E30" s="11" t="s">
        <v>2414</v>
      </c>
      <c r="F30" s="11" t="s">
        <v>31</v>
      </c>
      <c r="G30" s="12">
        <v>825</v>
      </c>
      <c r="H30" s="12">
        <v>25</v>
      </c>
      <c r="I30" s="12">
        <f t="shared" si="0"/>
        <v>800</v>
      </c>
      <c r="J30" s="11" t="s">
        <v>2121</v>
      </c>
      <c r="K30" s="11" t="s">
        <v>33</v>
      </c>
      <c r="L30" s="11" t="s">
        <v>2122</v>
      </c>
      <c r="M30" s="11"/>
      <c r="N30" s="11"/>
      <c r="O30" s="11"/>
      <c r="P30" s="11"/>
      <c r="Q30">
        <v>1</v>
      </c>
    </row>
    <row r="31" spans="1:17" x14ac:dyDescent="0.25">
      <c r="A31" s="11"/>
      <c r="B31" s="11" t="s">
        <v>27</v>
      </c>
      <c r="C31" s="11" t="s">
        <v>2415</v>
      </c>
      <c r="D31" s="11" t="s">
        <v>2416</v>
      </c>
      <c r="E31" s="11" t="s">
        <v>2417</v>
      </c>
      <c r="F31" s="11" t="s">
        <v>44</v>
      </c>
      <c r="G31" s="12">
        <v>295</v>
      </c>
      <c r="H31" s="12">
        <v>25</v>
      </c>
      <c r="I31" s="12">
        <f t="shared" si="0"/>
        <v>270</v>
      </c>
      <c r="J31" s="11" t="s">
        <v>2121</v>
      </c>
      <c r="K31" s="11" t="s">
        <v>33</v>
      </c>
      <c r="L31" s="11" t="s">
        <v>2122</v>
      </c>
      <c r="M31" s="11"/>
      <c r="N31" s="11"/>
      <c r="O31" s="11"/>
      <c r="P31" s="11"/>
      <c r="Q31">
        <v>1</v>
      </c>
    </row>
    <row r="32" spans="1:17" x14ac:dyDescent="0.25">
      <c r="A32" s="11"/>
      <c r="B32" s="11" t="s">
        <v>27</v>
      </c>
      <c r="C32" s="11" t="s">
        <v>2418</v>
      </c>
      <c r="D32" s="11" t="s">
        <v>2419</v>
      </c>
      <c r="E32" s="11" t="s">
        <v>2420</v>
      </c>
      <c r="F32" s="11" t="s">
        <v>48</v>
      </c>
      <c r="G32" s="12">
        <v>1110</v>
      </c>
      <c r="H32" s="12">
        <v>30</v>
      </c>
      <c r="I32" s="12">
        <f t="shared" si="0"/>
        <v>1080</v>
      </c>
      <c r="J32" s="11" t="s">
        <v>2121</v>
      </c>
      <c r="K32" s="11" t="s">
        <v>33</v>
      </c>
      <c r="L32" s="11" t="s">
        <v>2122</v>
      </c>
      <c r="M32" s="11"/>
      <c r="N32" s="11"/>
      <c r="O32" s="11"/>
      <c r="P32" s="11"/>
      <c r="Q32">
        <v>1</v>
      </c>
    </row>
    <row r="33" spans="1:17" x14ac:dyDescent="0.25">
      <c r="A33" s="11"/>
      <c r="B33" s="11" t="s">
        <v>27</v>
      </c>
      <c r="C33" s="11" t="s">
        <v>2421</v>
      </c>
      <c r="D33" s="11" t="s">
        <v>2422</v>
      </c>
      <c r="E33" s="11" t="s">
        <v>2423</v>
      </c>
      <c r="F33" s="12">
        <v>7</v>
      </c>
      <c r="G33" s="12">
        <v>1230</v>
      </c>
      <c r="H33" s="12">
        <v>30</v>
      </c>
      <c r="I33" s="12">
        <f t="shared" si="0"/>
        <v>1200</v>
      </c>
      <c r="J33" s="11" t="s">
        <v>2121</v>
      </c>
      <c r="K33" s="11" t="s">
        <v>33</v>
      </c>
      <c r="L33" s="11" t="s">
        <v>2122</v>
      </c>
      <c r="M33" s="11"/>
      <c r="N33" s="11"/>
      <c r="O33" s="11"/>
      <c r="P33" s="11"/>
      <c r="Q33">
        <v>1</v>
      </c>
    </row>
    <row r="34" spans="1:17" x14ac:dyDescent="0.25">
      <c r="A34" s="11"/>
      <c r="B34" s="11" t="s">
        <v>27</v>
      </c>
      <c r="C34" s="11" t="s">
        <v>2424</v>
      </c>
      <c r="D34" s="11" t="s">
        <v>2425</v>
      </c>
      <c r="E34" s="11" t="s">
        <v>2426</v>
      </c>
      <c r="F34" s="12">
        <v>7</v>
      </c>
      <c r="G34" s="12">
        <v>640</v>
      </c>
      <c r="H34" s="12">
        <v>30</v>
      </c>
      <c r="I34" s="12">
        <f t="shared" si="0"/>
        <v>610</v>
      </c>
      <c r="J34" s="11" t="s">
        <v>2121</v>
      </c>
      <c r="K34" s="11" t="s">
        <v>33</v>
      </c>
      <c r="L34" s="11" t="s">
        <v>2122</v>
      </c>
      <c r="M34" s="11"/>
      <c r="N34" s="11"/>
      <c r="O34" s="11"/>
      <c r="P34" s="11"/>
      <c r="Q34">
        <v>1</v>
      </c>
    </row>
    <row r="35" spans="1:17" x14ac:dyDescent="0.25">
      <c r="A35" s="11"/>
      <c r="B35" s="11" t="s">
        <v>27</v>
      </c>
      <c r="C35" s="11" t="s">
        <v>2427</v>
      </c>
      <c r="D35" s="11" t="s">
        <v>2428</v>
      </c>
      <c r="E35" s="11" t="s">
        <v>2429</v>
      </c>
      <c r="F35" s="12">
        <v>9</v>
      </c>
      <c r="G35" s="12">
        <v>710</v>
      </c>
      <c r="H35" s="12">
        <v>30</v>
      </c>
      <c r="I35" s="12">
        <f t="shared" ref="I35:I66" si="1">G35-H35</f>
        <v>680</v>
      </c>
      <c r="J35" s="11" t="s">
        <v>2121</v>
      </c>
      <c r="K35" s="11" t="s">
        <v>33</v>
      </c>
      <c r="L35" s="11" t="s">
        <v>2122</v>
      </c>
      <c r="M35" s="11"/>
      <c r="N35" s="11"/>
      <c r="O35" s="11"/>
      <c r="P35" s="11"/>
      <c r="Q35">
        <v>1</v>
      </c>
    </row>
    <row r="36" spans="1:17" x14ac:dyDescent="0.25">
      <c r="A36" s="11"/>
      <c r="B36" s="11" t="s">
        <v>27</v>
      </c>
      <c r="C36" s="11" t="s">
        <v>2009</v>
      </c>
      <c r="D36" s="11" t="s">
        <v>2430</v>
      </c>
      <c r="E36" s="11" t="s">
        <v>2011</v>
      </c>
      <c r="F36" s="12">
        <v>9</v>
      </c>
      <c r="G36" s="12">
        <v>780</v>
      </c>
      <c r="H36" s="12">
        <v>30</v>
      </c>
      <c r="I36" s="12">
        <f t="shared" si="1"/>
        <v>750</v>
      </c>
      <c r="J36" s="11" t="s">
        <v>2121</v>
      </c>
      <c r="K36" s="11" t="s">
        <v>33</v>
      </c>
      <c r="L36" s="11" t="s">
        <v>2122</v>
      </c>
      <c r="M36" s="11"/>
      <c r="N36" s="11"/>
      <c r="O36" s="11"/>
      <c r="P36" s="11"/>
      <c r="Q36">
        <v>1</v>
      </c>
    </row>
    <row r="37" spans="1:17" x14ac:dyDescent="0.25">
      <c r="A37" s="11"/>
      <c r="B37" s="11" t="s">
        <v>27</v>
      </c>
      <c r="C37" s="11" t="s">
        <v>2431</v>
      </c>
      <c r="D37" s="11" t="s">
        <v>2432</v>
      </c>
      <c r="E37" s="11" t="s">
        <v>2433</v>
      </c>
      <c r="F37" s="12">
        <v>12</v>
      </c>
      <c r="G37" s="12">
        <v>950</v>
      </c>
      <c r="H37" s="12">
        <v>30</v>
      </c>
      <c r="I37" s="12">
        <f t="shared" si="1"/>
        <v>920</v>
      </c>
      <c r="J37" s="11" t="s">
        <v>2121</v>
      </c>
      <c r="K37" s="11" t="s">
        <v>33</v>
      </c>
      <c r="L37" s="11" t="s">
        <v>2122</v>
      </c>
      <c r="M37" s="11"/>
      <c r="N37" s="11"/>
      <c r="O37" s="11"/>
      <c r="P37" s="11"/>
      <c r="Q37">
        <v>1</v>
      </c>
    </row>
    <row r="38" spans="1:17" x14ac:dyDescent="0.25">
      <c r="A38" s="11"/>
      <c r="B38" s="11" t="s">
        <v>27</v>
      </c>
      <c r="C38" s="11" t="s">
        <v>2434</v>
      </c>
      <c r="D38" s="11" t="s">
        <v>2435</v>
      </c>
      <c r="E38" s="11" t="s">
        <v>2436</v>
      </c>
      <c r="F38" s="12">
        <v>9</v>
      </c>
      <c r="G38" s="12">
        <v>370</v>
      </c>
      <c r="H38" s="12">
        <v>30</v>
      </c>
      <c r="I38" s="12">
        <f t="shared" si="1"/>
        <v>340</v>
      </c>
      <c r="J38" s="11" t="s">
        <v>2121</v>
      </c>
      <c r="K38" s="11" t="s">
        <v>33</v>
      </c>
      <c r="L38" s="11" t="s">
        <v>2122</v>
      </c>
      <c r="M38" s="11"/>
      <c r="N38" s="11"/>
      <c r="O38" s="11"/>
      <c r="P38" s="11"/>
      <c r="Q38">
        <v>1</v>
      </c>
    </row>
    <row r="39" spans="1:17" x14ac:dyDescent="0.25">
      <c r="A39" s="11"/>
      <c r="B39" s="11" t="s">
        <v>27</v>
      </c>
      <c r="C39" s="11" t="s">
        <v>2437</v>
      </c>
      <c r="D39" s="11" t="s">
        <v>4785</v>
      </c>
      <c r="E39" s="11" t="s">
        <v>2438</v>
      </c>
      <c r="F39" s="12">
        <v>7</v>
      </c>
      <c r="G39" s="12">
        <v>620</v>
      </c>
      <c r="H39" s="12">
        <v>30</v>
      </c>
      <c r="I39" s="12">
        <f t="shared" si="1"/>
        <v>590</v>
      </c>
      <c r="J39" s="11" t="s">
        <v>2121</v>
      </c>
      <c r="K39" s="11" t="s">
        <v>33</v>
      </c>
      <c r="L39" s="11" t="s">
        <v>2122</v>
      </c>
      <c r="M39" s="11"/>
      <c r="N39" s="11"/>
      <c r="O39" s="11"/>
      <c r="P39" s="11"/>
      <c r="Q39">
        <v>1</v>
      </c>
    </row>
    <row r="40" spans="1:17" x14ac:dyDescent="0.25">
      <c r="A40" s="11"/>
      <c r="B40" s="11" t="s">
        <v>27</v>
      </c>
      <c r="C40" s="11" t="s">
        <v>2439</v>
      </c>
      <c r="D40" s="11" t="s">
        <v>2440</v>
      </c>
      <c r="E40" s="11" t="s">
        <v>2441</v>
      </c>
      <c r="F40" s="11" t="s">
        <v>48</v>
      </c>
      <c r="G40" s="12">
        <v>510</v>
      </c>
      <c r="H40" s="12">
        <v>30</v>
      </c>
      <c r="I40" s="12">
        <f t="shared" si="1"/>
        <v>480</v>
      </c>
      <c r="J40" s="11" t="s">
        <v>2121</v>
      </c>
      <c r="K40" s="11" t="s">
        <v>33</v>
      </c>
      <c r="L40" s="11" t="s">
        <v>2122</v>
      </c>
      <c r="M40" s="11"/>
      <c r="N40" s="11"/>
      <c r="O40" s="11"/>
      <c r="P40" s="11"/>
      <c r="Q40">
        <v>1</v>
      </c>
    </row>
    <row r="41" spans="1:17" x14ac:dyDescent="0.25">
      <c r="A41" s="11"/>
      <c r="B41" s="11" t="s">
        <v>27</v>
      </c>
      <c r="C41" s="11" t="s">
        <v>2442</v>
      </c>
      <c r="D41" s="11" t="s">
        <v>2443</v>
      </c>
      <c r="E41" s="11" t="s">
        <v>2444</v>
      </c>
      <c r="F41" s="11" t="s">
        <v>202</v>
      </c>
      <c r="G41" s="12">
        <v>485</v>
      </c>
      <c r="H41" s="12">
        <v>35</v>
      </c>
      <c r="I41" s="12">
        <f t="shared" si="1"/>
        <v>450</v>
      </c>
      <c r="J41" s="11" t="s">
        <v>2121</v>
      </c>
      <c r="K41" s="11" t="s">
        <v>33</v>
      </c>
      <c r="L41" s="11" t="s">
        <v>2122</v>
      </c>
      <c r="M41" s="11"/>
      <c r="N41" s="11"/>
      <c r="O41" s="11"/>
      <c r="P41" s="11"/>
      <c r="Q41">
        <v>1</v>
      </c>
    </row>
    <row r="42" spans="1:17" x14ac:dyDescent="0.25">
      <c r="A42" s="11"/>
      <c r="B42" s="11" t="s">
        <v>27</v>
      </c>
      <c r="C42" s="11" t="s">
        <v>2445</v>
      </c>
      <c r="D42" s="11" t="s">
        <v>2446</v>
      </c>
      <c r="E42" s="11" t="s">
        <v>2447</v>
      </c>
      <c r="F42" s="11" t="s">
        <v>55</v>
      </c>
      <c r="G42" s="12">
        <v>415</v>
      </c>
      <c r="H42" s="12">
        <v>35</v>
      </c>
      <c r="I42" s="12">
        <f t="shared" si="1"/>
        <v>380</v>
      </c>
      <c r="J42" s="11" t="s">
        <v>2121</v>
      </c>
      <c r="K42" s="11" t="s">
        <v>33</v>
      </c>
      <c r="L42" s="11" t="s">
        <v>2122</v>
      </c>
      <c r="M42" s="11"/>
      <c r="N42" s="11"/>
      <c r="O42" s="11"/>
      <c r="P42" s="11"/>
      <c r="Q42">
        <v>1</v>
      </c>
    </row>
    <row r="43" spans="1:17" x14ac:dyDescent="0.25">
      <c r="A43" s="11"/>
      <c r="B43" s="11" t="s">
        <v>27</v>
      </c>
      <c r="C43" s="11" t="s">
        <v>2448</v>
      </c>
      <c r="D43" s="11" t="s">
        <v>2449</v>
      </c>
      <c r="E43" s="11" t="s">
        <v>2450</v>
      </c>
      <c r="F43" s="12">
        <v>8</v>
      </c>
      <c r="G43" s="12">
        <v>790</v>
      </c>
      <c r="H43" s="12">
        <v>30</v>
      </c>
      <c r="I43" s="12">
        <f t="shared" si="1"/>
        <v>760</v>
      </c>
      <c r="J43" s="11" t="s">
        <v>2121</v>
      </c>
      <c r="K43" s="11" t="s">
        <v>33</v>
      </c>
      <c r="L43" s="11" t="s">
        <v>2122</v>
      </c>
      <c r="M43" s="11"/>
      <c r="N43" s="11"/>
      <c r="O43" s="11"/>
      <c r="P43" s="11"/>
      <c r="Q43">
        <v>1</v>
      </c>
    </row>
    <row r="44" spans="1:17" x14ac:dyDescent="0.25">
      <c r="A44" s="11"/>
      <c r="B44" s="11" t="s">
        <v>27</v>
      </c>
      <c r="C44" s="11" t="s">
        <v>2451</v>
      </c>
      <c r="D44" s="11" t="s">
        <v>2452</v>
      </c>
      <c r="E44" s="11" t="s">
        <v>2453</v>
      </c>
      <c r="F44" s="11" t="s">
        <v>31</v>
      </c>
      <c r="G44" s="12">
        <v>525</v>
      </c>
      <c r="H44" s="12">
        <v>25</v>
      </c>
      <c r="I44" s="12">
        <f t="shared" si="1"/>
        <v>500</v>
      </c>
      <c r="J44" s="11" t="s">
        <v>2121</v>
      </c>
      <c r="K44" s="11" t="s">
        <v>33</v>
      </c>
      <c r="L44" s="11" t="s">
        <v>2122</v>
      </c>
      <c r="M44" s="11"/>
      <c r="N44" s="11"/>
      <c r="O44" s="11"/>
      <c r="P44" s="11"/>
      <c r="Q44">
        <v>1</v>
      </c>
    </row>
    <row r="45" spans="1:17" x14ac:dyDescent="0.25">
      <c r="A45" s="11"/>
      <c r="B45" s="11" t="s">
        <v>27</v>
      </c>
      <c r="C45" s="11" t="s">
        <v>2454</v>
      </c>
      <c r="D45" s="11" t="s">
        <v>2455</v>
      </c>
      <c r="E45" s="11" t="s">
        <v>2456</v>
      </c>
      <c r="F45" s="11" t="s">
        <v>48</v>
      </c>
      <c r="G45" s="12">
        <v>850</v>
      </c>
      <c r="H45" s="12">
        <v>30</v>
      </c>
      <c r="I45" s="12">
        <f t="shared" si="1"/>
        <v>820</v>
      </c>
      <c r="J45" s="11" t="s">
        <v>2121</v>
      </c>
      <c r="K45" s="11" t="s">
        <v>33</v>
      </c>
      <c r="L45" s="11" t="s">
        <v>2122</v>
      </c>
      <c r="M45" s="11"/>
      <c r="N45" s="11"/>
      <c r="O45" s="11"/>
      <c r="P45" s="11"/>
      <c r="Q45">
        <v>1</v>
      </c>
    </row>
    <row r="46" spans="1:17" x14ac:dyDescent="0.25">
      <c r="A46" s="11"/>
      <c r="B46" s="11" t="s">
        <v>27</v>
      </c>
      <c r="C46" s="11" t="s">
        <v>2457</v>
      </c>
      <c r="D46" s="11" t="s">
        <v>2458</v>
      </c>
      <c r="E46" s="11" t="s">
        <v>2459</v>
      </c>
      <c r="F46" s="11" t="s">
        <v>55</v>
      </c>
      <c r="G46" s="12">
        <v>815</v>
      </c>
      <c r="H46" s="12">
        <v>35</v>
      </c>
      <c r="I46" s="12">
        <f t="shared" si="1"/>
        <v>780</v>
      </c>
      <c r="J46" s="11" t="s">
        <v>2121</v>
      </c>
      <c r="K46" s="11" t="s">
        <v>33</v>
      </c>
      <c r="L46" s="11" t="s">
        <v>2122</v>
      </c>
      <c r="M46" s="11"/>
      <c r="N46" s="11"/>
      <c r="O46" s="11"/>
      <c r="P46" s="11"/>
      <c r="Q46">
        <v>1</v>
      </c>
    </row>
    <row r="47" spans="1:17" x14ac:dyDescent="0.25">
      <c r="A47" s="11"/>
      <c r="B47" s="11" t="s">
        <v>27</v>
      </c>
      <c r="C47" s="11" t="s">
        <v>1581</v>
      </c>
      <c r="D47" s="11" t="s">
        <v>2460</v>
      </c>
      <c r="E47" s="11" t="s">
        <v>2461</v>
      </c>
      <c r="F47" s="11" t="s">
        <v>104</v>
      </c>
      <c r="G47" s="12">
        <v>860</v>
      </c>
      <c r="H47" s="12">
        <v>30</v>
      </c>
      <c r="I47" s="12">
        <f t="shared" si="1"/>
        <v>830</v>
      </c>
      <c r="J47" s="11" t="s">
        <v>2121</v>
      </c>
      <c r="K47" s="11" t="s">
        <v>33</v>
      </c>
      <c r="L47" s="11" t="s">
        <v>2122</v>
      </c>
      <c r="M47" s="11"/>
      <c r="N47" s="11"/>
      <c r="O47" s="11"/>
      <c r="P47" s="11"/>
      <c r="Q47">
        <v>1</v>
      </c>
    </row>
    <row r="48" spans="1:17" x14ac:dyDescent="0.25">
      <c r="A48" s="11"/>
      <c r="B48" s="11" t="s">
        <v>27</v>
      </c>
      <c r="C48" s="11" t="s">
        <v>2462</v>
      </c>
      <c r="D48" s="11" t="s">
        <v>2463</v>
      </c>
      <c r="E48" s="11" t="s">
        <v>2464</v>
      </c>
      <c r="F48" s="12">
        <v>7</v>
      </c>
      <c r="G48" s="12">
        <v>450</v>
      </c>
      <c r="H48" s="12">
        <v>30</v>
      </c>
      <c r="I48" s="12">
        <f t="shared" si="1"/>
        <v>420</v>
      </c>
      <c r="J48" s="11" t="s">
        <v>2121</v>
      </c>
      <c r="K48" s="11" t="s">
        <v>33</v>
      </c>
      <c r="L48" s="11" t="s">
        <v>2122</v>
      </c>
      <c r="M48" s="11"/>
      <c r="N48" s="11"/>
      <c r="O48" s="11"/>
      <c r="P48" s="11"/>
      <c r="Q48">
        <v>1</v>
      </c>
    </row>
    <row r="49" spans="1:17" x14ac:dyDescent="0.25">
      <c r="A49" s="11"/>
      <c r="B49" s="11" t="s">
        <v>27</v>
      </c>
      <c r="C49" s="11" t="s">
        <v>2465</v>
      </c>
      <c r="D49" s="11" t="s">
        <v>2466</v>
      </c>
      <c r="E49" s="11" t="s">
        <v>2467</v>
      </c>
      <c r="F49" s="11" t="s">
        <v>31</v>
      </c>
      <c r="G49" s="12">
        <v>775</v>
      </c>
      <c r="H49" s="12">
        <v>25</v>
      </c>
      <c r="I49" s="12">
        <f t="shared" si="1"/>
        <v>750</v>
      </c>
      <c r="J49" s="11" t="s">
        <v>2121</v>
      </c>
      <c r="K49" s="11" t="s">
        <v>33</v>
      </c>
      <c r="L49" s="11" t="s">
        <v>2122</v>
      </c>
      <c r="M49" s="11"/>
      <c r="N49" s="11"/>
      <c r="O49" s="11"/>
      <c r="P49" s="11"/>
      <c r="Q49">
        <v>1</v>
      </c>
    </row>
    <row r="50" spans="1:17" x14ac:dyDescent="0.25">
      <c r="A50" s="11"/>
      <c r="B50" s="11" t="s">
        <v>27</v>
      </c>
      <c r="C50" s="11" t="s">
        <v>2468</v>
      </c>
      <c r="D50" s="11" t="s">
        <v>2469</v>
      </c>
      <c r="E50" s="11" t="s">
        <v>540</v>
      </c>
      <c r="F50" s="12">
        <v>7</v>
      </c>
      <c r="G50" s="12">
        <v>680</v>
      </c>
      <c r="H50" s="12">
        <v>30</v>
      </c>
      <c r="I50" s="12">
        <f t="shared" si="1"/>
        <v>650</v>
      </c>
      <c r="J50" s="11" t="s">
        <v>2121</v>
      </c>
      <c r="K50" s="11" t="s">
        <v>33</v>
      </c>
      <c r="L50" s="11" t="s">
        <v>2122</v>
      </c>
      <c r="M50" s="11"/>
      <c r="N50" s="11"/>
      <c r="O50" s="11"/>
      <c r="P50" s="11"/>
      <c r="Q50">
        <v>1</v>
      </c>
    </row>
    <row r="51" spans="1:17" x14ac:dyDescent="0.25">
      <c r="A51" s="11"/>
      <c r="B51" s="11" t="s">
        <v>27</v>
      </c>
      <c r="C51" s="11" t="s">
        <v>2470</v>
      </c>
      <c r="D51" s="11" t="s">
        <v>2471</v>
      </c>
      <c r="E51" s="11" t="s">
        <v>2472</v>
      </c>
      <c r="F51" s="11" t="s">
        <v>31</v>
      </c>
      <c r="G51" s="12">
        <v>355</v>
      </c>
      <c r="H51" s="12">
        <v>25</v>
      </c>
      <c r="I51" s="12">
        <f t="shared" si="1"/>
        <v>330</v>
      </c>
      <c r="J51" s="11" t="s">
        <v>2121</v>
      </c>
      <c r="K51" s="11" t="s">
        <v>33</v>
      </c>
      <c r="L51" s="11" t="s">
        <v>2122</v>
      </c>
      <c r="M51" s="11"/>
      <c r="N51" s="11"/>
      <c r="O51" s="11"/>
      <c r="P51" s="11"/>
      <c r="Q51">
        <v>1</v>
      </c>
    </row>
    <row r="52" spans="1:17" x14ac:dyDescent="0.25">
      <c r="A52" s="11"/>
      <c r="B52" s="11" t="s">
        <v>27</v>
      </c>
      <c r="C52" s="11" t="s">
        <v>2473</v>
      </c>
      <c r="D52" s="11" t="s">
        <v>2474</v>
      </c>
      <c r="E52" s="11" t="s">
        <v>2475</v>
      </c>
      <c r="F52" s="11" t="s">
        <v>48</v>
      </c>
      <c r="G52" s="12">
        <v>2195</v>
      </c>
      <c r="H52" s="12">
        <v>35</v>
      </c>
      <c r="I52" s="12">
        <f t="shared" si="1"/>
        <v>2160</v>
      </c>
      <c r="J52" s="11" t="s">
        <v>2121</v>
      </c>
      <c r="K52" s="11" t="s">
        <v>33</v>
      </c>
      <c r="L52" s="11" t="s">
        <v>2122</v>
      </c>
      <c r="M52" s="11"/>
      <c r="N52" s="11"/>
      <c r="O52" s="11"/>
      <c r="P52" s="11"/>
      <c r="Q52">
        <v>1</v>
      </c>
    </row>
    <row r="53" spans="1:17" x14ac:dyDescent="0.25">
      <c r="A53" s="11"/>
      <c r="B53" s="11" t="s">
        <v>27</v>
      </c>
      <c r="C53" s="11" t="s">
        <v>2476</v>
      </c>
      <c r="D53" s="11" t="s">
        <v>2477</v>
      </c>
      <c r="E53" s="11" t="s">
        <v>2478</v>
      </c>
      <c r="F53" s="11" t="s">
        <v>104</v>
      </c>
      <c r="G53" s="12">
        <v>720</v>
      </c>
      <c r="H53" s="12">
        <v>30</v>
      </c>
      <c r="I53" s="12">
        <f t="shared" si="1"/>
        <v>690</v>
      </c>
      <c r="J53" s="11" t="s">
        <v>33</v>
      </c>
      <c r="K53" s="11" t="s">
        <v>33</v>
      </c>
      <c r="L53" s="11" t="s">
        <v>2122</v>
      </c>
      <c r="M53" s="11"/>
      <c r="N53" s="11"/>
      <c r="O53" s="11"/>
      <c r="P53" s="11"/>
      <c r="Q53">
        <v>1</v>
      </c>
    </row>
    <row r="54" spans="1:17" x14ac:dyDescent="0.25">
      <c r="A54" s="11"/>
      <c r="B54" s="11" t="s">
        <v>27</v>
      </c>
      <c r="C54" s="11" t="s">
        <v>2479</v>
      </c>
      <c r="D54" s="11" t="s">
        <v>2480</v>
      </c>
      <c r="E54" s="11" t="s">
        <v>2481</v>
      </c>
      <c r="F54" s="11" t="s">
        <v>78</v>
      </c>
      <c r="G54" s="12">
        <v>610</v>
      </c>
      <c r="H54" s="12">
        <v>20</v>
      </c>
      <c r="I54" s="12">
        <f t="shared" si="1"/>
        <v>590</v>
      </c>
      <c r="J54" s="11" t="s">
        <v>33</v>
      </c>
      <c r="K54" s="11" t="s">
        <v>33</v>
      </c>
      <c r="L54" s="11" t="s">
        <v>2122</v>
      </c>
      <c r="M54" s="11"/>
      <c r="N54" s="11"/>
      <c r="O54" s="11"/>
      <c r="P54" s="11"/>
      <c r="Q54">
        <v>1</v>
      </c>
    </row>
    <row r="55" spans="1:17" x14ac:dyDescent="0.25">
      <c r="A55" s="11"/>
      <c r="B55" s="11" t="s">
        <v>27</v>
      </c>
      <c r="C55" s="11" t="s">
        <v>2482</v>
      </c>
      <c r="D55" s="11" t="s">
        <v>2483</v>
      </c>
      <c r="E55" s="11" t="s">
        <v>2484</v>
      </c>
      <c r="F55" s="11" t="s">
        <v>78</v>
      </c>
      <c r="G55" s="12">
        <v>620</v>
      </c>
      <c r="H55" s="12">
        <v>20</v>
      </c>
      <c r="I55" s="12">
        <f t="shared" si="1"/>
        <v>600</v>
      </c>
      <c r="J55" s="11" t="s">
        <v>33</v>
      </c>
      <c r="K55" s="11" t="s">
        <v>33</v>
      </c>
      <c r="L55" s="11" t="s">
        <v>2122</v>
      </c>
      <c r="M55" s="11"/>
      <c r="N55" s="11"/>
      <c r="O55" s="11"/>
      <c r="P55" s="11"/>
      <c r="Q55">
        <v>1</v>
      </c>
    </row>
    <row r="56" spans="1:17" x14ac:dyDescent="0.25">
      <c r="A56" s="11"/>
      <c r="B56" s="11" t="s">
        <v>27</v>
      </c>
      <c r="C56" s="11" t="s">
        <v>2485</v>
      </c>
      <c r="D56" s="11" t="s">
        <v>2486</v>
      </c>
      <c r="E56" s="11" t="s">
        <v>2487</v>
      </c>
      <c r="F56" s="11" t="s">
        <v>78</v>
      </c>
      <c r="G56" s="12">
        <v>2100</v>
      </c>
      <c r="H56" s="12">
        <v>20</v>
      </c>
      <c r="I56" s="12">
        <f t="shared" si="1"/>
        <v>2080</v>
      </c>
      <c r="J56" s="11" t="s">
        <v>33</v>
      </c>
      <c r="K56" s="11" t="s">
        <v>33</v>
      </c>
      <c r="L56" s="11" t="s">
        <v>2122</v>
      </c>
      <c r="M56" s="11"/>
      <c r="N56" s="11"/>
      <c r="O56" s="11"/>
      <c r="P56" s="11"/>
      <c r="Q56">
        <v>1</v>
      </c>
    </row>
    <row r="57" spans="1:17" x14ac:dyDescent="0.25">
      <c r="A57" s="11"/>
      <c r="B57" s="11" t="s">
        <v>27</v>
      </c>
      <c r="C57" s="11" t="s">
        <v>2488</v>
      </c>
      <c r="D57" s="11" t="s">
        <v>2489</v>
      </c>
      <c r="E57" s="11" t="s">
        <v>2490</v>
      </c>
      <c r="F57" s="11" t="s">
        <v>78</v>
      </c>
      <c r="G57" s="12">
        <v>410</v>
      </c>
      <c r="H57" s="12">
        <v>20</v>
      </c>
      <c r="I57" s="12">
        <f t="shared" si="1"/>
        <v>390</v>
      </c>
      <c r="J57" s="11" t="s">
        <v>33</v>
      </c>
      <c r="K57" s="11" t="s">
        <v>33</v>
      </c>
      <c r="L57" s="11" t="s">
        <v>2122</v>
      </c>
      <c r="M57" s="11"/>
      <c r="N57" s="11"/>
      <c r="O57" s="11"/>
      <c r="P57" s="11"/>
      <c r="Q57">
        <v>1</v>
      </c>
    </row>
    <row r="58" spans="1:17" x14ac:dyDescent="0.25">
      <c r="A58" s="11"/>
      <c r="B58" s="11" t="s">
        <v>27</v>
      </c>
      <c r="C58" s="11" t="s">
        <v>2491</v>
      </c>
      <c r="D58" s="11" t="s">
        <v>2492</v>
      </c>
      <c r="E58" s="11" t="s">
        <v>2493</v>
      </c>
      <c r="F58" s="11" t="s">
        <v>104</v>
      </c>
      <c r="G58" s="12">
        <v>980</v>
      </c>
      <c r="H58" s="12">
        <v>30</v>
      </c>
      <c r="I58" s="12">
        <f t="shared" si="1"/>
        <v>950</v>
      </c>
      <c r="J58" s="11" t="s">
        <v>33</v>
      </c>
      <c r="K58" s="11" t="s">
        <v>33</v>
      </c>
      <c r="L58" s="11" t="s">
        <v>2122</v>
      </c>
      <c r="M58" s="11"/>
      <c r="N58" s="11"/>
      <c r="O58" s="11"/>
      <c r="P58" s="11"/>
      <c r="Q58">
        <v>1</v>
      </c>
    </row>
    <row r="59" spans="1:17" x14ac:dyDescent="0.25">
      <c r="A59" s="11"/>
      <c r="B59" s="11" t="s">
        <v>27</v>
      </c>
      <c r="C59" s="11" t="s">
        <v>2494</v>
      </c>
      <c r="D59" s="11" t="s">
        <v>2495</v>
      </c>
      <c r="E59" s="11" t="s">
        <v>2496</v>
      </c>
      <c r="F59" s="11" t="s">
        <v>78</v>
      </c>
      <c r="G59" s="12">
        <v>830</v>
      </c>
      <c r="H59" s="12">
        <v>20</v>
      </c>
      <c r="I59" s="12">
        <f t="shared" si="1"/>
        <v>810</v>
      </c>
      <c r="J59" s="11" t="s">
        <v>33</v>
      </c>
      <c r="K59" s="11" t="s">
        <v>33</v>
      </c>
      <c r="L59" s="11" t="s">
        <v>2122</v>
      </c>
      <c r="M59" s="11"/>
      <c r="N59" s="11"/>
      <c r="O59" s="11"/>
      <c r="P59" s="11"/>
      <c r="Q59">
        <v>1</v>
      </c>
    </row>
    <row r="60" spans="1:17" x14ac:dyDescent="0.25">
      <c r="A60" s="11"/>
      <c r="B60" s="11" t="s">
        <v>27</v>
      </c>
      <c r="C60" s="11" t="s">
        <v>2497</v>
      </c>
      <c r="D60" s="11" t="s">
        <v>2498</v>
      </c>
      <c r="E60" s="11" t="s">
        <v>2499</v>
      </c>
      <c r="F60" s="11" t="s">
        <v>68</v>
      </c>
      <c r="G60" s="12">
        <v>3495</v>
      </c>
      <c r="H60" s="12">
        <v>35</v>
      </c>
      <c r="I60" s="12">
        <f t="shared" si="1"/>
        <v>3460</v>
      </c>
      <c r="J60" s="11" t="s">
        <v>33</v>
      </c>
      <c r="K60" s="11" t="s">
        <v>33</v>
      </c>
      <c r="L60" s="11" t="s">
        <v>2122</v>
      </c>
      <c r="M60" s="11"/>
      <c r="N60" s="11"/>
      <c r="O60" s="11"/>
      <c r="P60" s="11"/>
      <c r="Q60">
        <v>1</v>
      </c>
    </row>
    <row r="61" spans="1:17" x14ac:dyDescent="0.25">
      <c r="A61" s="11"/>
      <c r="B61" s="11" t="s">
        <v>27</v>
      </c>
      <c r="C61" s="11" t="s">
        <v>2500</v>
      </c>
      <c r="D61" s="11" t="s">
        <v>2501</v>
      </c>
      <c r="E61" s="11" t="s">
        <v>2502</v>
      </c>
      <c r="F61" s="11" t="s">
        <v>78</v>
      </c>
      <c r="G61" s="12">
        <v>420</v>
      </c>
      <c r="H61" s="12">
        <v>20</v>
      </c>
      <c r="I61" s="12">
        <f t="shared" si="1"/>
        <v>400</v>
      </c>
      <c r="J61" s="11" t="s">
        <v>33</v>
      </c>
      <c r="K61" s="11" t="s">
        <v>33</v>
      </c>
      <c r="L61" s="11" t="s">
        <v>2122</v>
      </c>
      <c r="M61" s="11"/>
      <c r="N61" s="11"/>
      <c r="O61" s="11"/>
      <c r="P61" s="11"/>
      <c r="Q61">
        <v>1</v>
      </c>
    </row>
    <row r="62" spans="1:17" x14ac:dyDescent="0.25">
      <c r="A62" s="11"/>
      <c r="B62" s="11" t="s">
        <v>27</v>
      </c>
      <c r="C62" s="11" t="s">
        <v>2503</v>
      </c>
      <c r="D62" s="11" t="s">
        <v>2504</v>
      </c>
      <c r="E62" s="11" t="s">
        <v>2505</v>
      </c>
      <c r="F62" s="12">
        <v>2</v>
      </c>
      <c r="G62" s="12">
        <v>1330</v>
      </c>
      <c r="H62" s="12">
        <v>30</v>
      </c>
      <c r="I62" s="12">
        <f t="shared" si="1"/>
        <v>1300</v>
      </c>
      <c r="J62" s="11" t="s">
        <v>33</v>
      </c>
      <c r="K62" s="11" t="s">
        <v>33</v>
      </c>
      <c r="L62" s="11" t="s">
        <v>2122</v>
      </c>
      <c r="M62" s="11"/>
      <c r="N62" s="11"/>
      <c r="O62" s="11"/>
      <c r="P62" s="11"/>
      <c r="Q62">
        <v>1</v>
      </c>
    </row>
    <row r="63" spans="1:17" x14ac:dyDescent="0.25">
      <c r="A63" s="11"/>
      <c r="B63" s="11" t="s">
        <v>27</v>
      </c>
      <c r="C63" s="11" t="s">
        <v>2506</v>
      </c>
      <c r="D63" s="11" t="s">
        <v>2507</v>
      </c>
      <c r="E63" s="11" t="s">
        <v>2508</v>
      </c>
      <c r="F63" s="11" t="s">
        <v>68</v>
      </c>
      <c r="G63" s="12">
        <v>675</v>
      </c>
      <c r="H63" s="12">
        <v>25</v>
      </c>
      <c r="I63" s="12">
        <f t="shared" si="1"/>
        <v>650</v>
      </c>
      <c r="J63" s="11" t="s">
        <v>33</v>
      </c>
      <c r="K63" s="11" t="s">
        <v>33</v>
      </c>
      <c r="L63" s="11" t="s">
        <v>2122</v>
      </c>
      <c r="M63" s="11"/>
      <c r="N63" s="11"/>
      <c r="O63" s="11"/>
      <c r="P63" s="11"/>
      <c r="Q63">
        <v>1</v>
      </c>
    </row>
    <row r="64" spans="1:17" x14ac:dyDescent="0.25">
      <c r="A64" s="11"/>
      <c r="B64" s="11" t="s">
        <v>27</v>
      </c>
      <c r="C64" s="11" t="s">
        <v>2509</v>
      </c>
      <c r="D64" s="11" t="s">
        <v>2510</v>
      </c>
      <c r="E64" s="11" t="s">
        <v>2511</v>
      </c>
      <c r="F64" s="11" t="s">
        <v>78</v>
      </c>
      <c r="G64" s="12">
        <v>1290</v>
      </c>
      <c r="H64" s="12">
        <v>20</v>
      </c>
      <c r="I64" s="12">
        <f t="shared" si="1"/>
        <v>1270</v>
      </c>
      <c r="J64" s="11" t="s">
        <v>33</v>
      </c>
      <c r="K64" s="11" t="s">
        <v>33</v>
      </c>
      <c r="L64" s="11" t="s">
        <v>2122</v>
      </c>
      <c r="M64" s="11"/>
      <c r="N64" s="11"/>
      <c r="O64" s="11"/>
      <c r="P64" s="11"/>
      <c r="Q64">
        <v>1</v>
      </c>
    </row>
    <row r="65" spans="1:18" x14ac:dyDescent="0.25">
      <c r="A65" s="11"/>
      <c r="B65" s="11" t="s">
        <v>27</v>
      </c>
      <c r="C65" s="11" t="s">
        <v>2512</v>
      </c>
      <c r="D65" s="11" t="s">
        <v>2513</v>
      </c>
      <c r="E65" s="11" t="s">
        <v>2514</v>
      </c>
      <c r="F65" s="11" t="s">
        <v>68</v>
      </c>
      <c r="G65" s="12">
        <v>1145</v>
      </c>
      <c r="H65" s="12">
        <v>25</v>
      </c>
      <c r="I65" s="12">
        <f t="shared" si="1"/>
        <v>1120</v>
      </c>
      <c r="J65" s="11" t="s">
        <v>33</v>
      </c>
      <c r="K65" s="11" t="s">
        <v>33</v>
      </c>
      <c r="L65" s="11" t="s">
        <v>2122</v>
      </c>
      <c r="M65" s="11"/>
      <c r="N65" s="11"/>
      <c r="O65" s="11"/>
      <c r="P65" s="11"/>
      <c r="Q65">
        <v>1</v>
      </c>
    </row>
    <row r="66" spans="1:18" x14ac:dyDescent="0.25">
      <c r="A66" s="11"/>
      <c r="B66" s="11" t="s">
        <v>27</v>
      </c>
      <c r="C66" s="11" t="s">
        <v>2515</v>
      </c>
      <c r="D66" s="11" t="s">
        <v>2516</v>
      </c>
      <c r="E66" s="11" t="s">
        <v>2517</v>
      </c>
      <c r="F66" s="11" t="s">
        <v>68</v>
      </c>
      <c r="G66" s="12">
        <v>655</v>
      </c>
      <c r="H66" s="12">
        <v>25</v>
      </c>
      <c r="I66" s="12">
        <f t="shared" si="1"/>
        <v>630</v>
      </c>
      <c r="J66" s="11" t="s">
        <v>33</v>
      </c>
      <c r="K66" s="11" t="s">
        <v>33</v>
      </c>
      <c r="L66" s="11" t="s">
        <v>2122</v>
      </c>
      <c r="M66" s="11"/>
      <c r="N66" s="11"/>
      <c r="O66" s="11"/>
      <c r="P66" s="11"/>
      <c r="Q66">
        <v>1</v>
      </c>
    </row>
    <row r="67" spans="1:18" x14ac:dyDescent="0.25">
      <c r="A67" s="11"/>
      <c r="B67" s="11" t="s">
        <v>27</v>
      </c>
      <c r="C67" s="11" t="s">
        <v>2518</v>
      </c>
      <c r="D67" s="11" t="s">
        <v>2519</v>
      </c>
      <c r="E67" s="11" t="s">
        <v>2520</v>
      </c>
      <c r="F67" s="11" t="s">
        <v>78</v>
      </c>
      <c r="G67" s="12">
        <v>1400</v>
      </c>
      <c r="H67" s="12">
        <v>20</v>
      </c>
      <c r="I67" s="12">
        <f t="shared" ref="I67:I98" si="2">G67-H67</f>
        <v>1380</v>
      </c>
      <c r="J67" s="11" t="s">
        <v>33</v>
      </c>
      <c r="K67" s="11" t="s">
        <v>33</v>
      </c>
      <c r="L67" s="11" t="s">
        <v>2122</v>
      </c>
      <c r="M67" s="11"/>
      <c r="N67" s="11"/>
      <c r="O67" s="11"/>
      <c r="P67" s="11"/>
      <c r="Q67">
        <v>1</v>
      </c>
    </row>
    <row r="68" spans="1:18" x14ac:dyDescent="0.25">
      <c r="A68" s="11"/>
      <c r="B68" s="11" t="s">
        <v>27</v>
      </c>
      <c r="C68" s="11" t="s">
        <v>2521</v>
      </c>
      <c r="D68" s="11" t="s">
        <v>2522</v>
      </c>
      <c r="E68" s="11" t="s">
        <v>2523</v>
      </c>
      <c r="F68" s="12">
        <v>2</v>
      </c>
      <c r="G68" s="12">
        <v>470</v>
      </c>
      <c r="H68" s="12">
        <v>30</v>
      </c>
      <c r="I68" s="12">
        <f t="shared" si="2"/>
        <v>440</v>
      </c>
      <c r="J68" s="11" t="s">
        <v>33</v>
      </c>
      <c r="K68" s="11" t="s">
        <v>33</v>
      </c>
      <c r="L68" s="11" t="s">
        <v>2122</v>
      </c>
      <c r="M68" s="11"/>
      <c r="N68" s="11"/>
      <c r="O68" s="11"/>
      <c r="P68" s="11"/>
      <c r="Q68">
        <v>1</v>
      </c>
    </row>
    <row r="69" spans="1:18" x14ac:dyDescent="0.25">
      <c r="A69" s="11"/>
      <c r="B69" s="11" t="s">
        <v>27</v>
      </c>
      <c r="C69" s="11" t="s">
        <v>2524</v>
      </c>
      <c r="D69" s="11" t="s">
        <v>2525</v>
      </c>
      <c r="E69" s="11" t="s">
        <v>2526</v>
      </c>
      <c r="F69" s="11" t="s">
        <v>78</v>
      </c>
      <c r="G69" s="12">
        <v>810</v>
      </c>
      <c r="H69" s="12">
        <v>20</v>
      </c>
      <c r="I69" s="12">
        <f t="shared" si="2"/>
        <v>790</v>
      </c>
      <c r="J69" s="11" t="s">
        <v>33</v>
      </c>
      <c r="K69" s="11" t="s">
        <v>33</v>
      </c>
      <c r="L69" s="11" t="s">
        <v>2122</v>
      </c>
      <c r="M69" s="11"/>
      <c r="N69" s="11"/>
      <c r="O69" s="11"/>
      <c r="P69" s="11"/>
      <c r="Q69">
        <v>1</v>
      </c>
    </row>
    <row r="70" spans="1:18" x14ac:dyDescent="0.25">
      <c r="A70" s="11"/>
      <c r="B70" s="11" t="s">
        <v>27</v>
      </c>
      <c r="C70" s="11" t="s">
        <v>2527</v>
      </c>
      <c r="D70" s="11" t="s">
        <v>2528</v>
      </c>
      <c r="E70" s="11" t="s">
        <v>2529</v>
      </c>
      <c r="F70" s="12">
        <v>2</v>
      </c>
      <c r="G70" s="12">
        <v>1340</v>
      </c>
      <c r="H70" s="12">
        <v>30</v>
      </c>
      <c r="I70" s="12">
        <f t="shared" si="2"/>
        <v>1310</v>
      </c>
      <c r="J70" s="11" t="s">
        <v>33</v>
      </c>
      <c r="K70" s="11" t="s">
        <v>33</v>
      </c>
      <c r="L70" s="11" t="s">
        <v>2122</v>
      </c>
      <c r="M70" s="11"/>
      <c r="N70" s="11"/>
      <c r="O70" s="11"/>
      <c r="P70" s="11"/>
      <c r="Q70">
        <v>1</v>
      </c>
    </row>
    <row r="71" spans="1:18" x14ac:dyDescent="0.25">
      <c r="A71" s="11"/>
      <c r="B71" s="11" t="s">
        <v>27</v>
      </c>
      <c r="C71" s="11" t="s">
        <v>2530</v>
      </c>
      <c r="D71" s="11" t="s">
        <v>2531</v>
      </c>
      <c r="E71" s="11" t="s">
        <v>2532</v>
      </c>
      <c r="F71" s="11" t="s">
        <v>78</v>
      </c>
      <c r="G71" s="12">
        <v>660</v>
      </c>
      <c r="H71" s="12">
        <v>20</v>
      </c>
      <c r="I71" s="12">
        <f t="shared" si="2"/>
        <v>640</v>
      </c>
      <c r="J71" s="11" t="s">
        <v>33</v>
      </c>
      <c r="K71" s="11" t="s">
        <v>33</v>
      </c>
      <c r="L71" s="11" t="s">
        <v>2122</v>
      </c>
      <c r="M71" s="11"/>
      <c r="N71" s="11"/>
      <c r="O71" s="11"/>
      <c r="P71" s="11"/>
      <c r="Q71">
        <v>1</v>
      </c>
    </row>
    <row r="72" spans="1:18" x14ac:dyDescent="0.25">
      <c r="A72" s="11"/>
      <c r="B72" s="11" t="s">
        <v>27</v>
      </c>
      <c r="C72" s="11" t="s">
        <v>2533</v>
      </c>
      <c r="D72" s="11" t="s">
        <v>2534</v>
      </c>
      <c r="E72" s="11" t="s">
        <v>2535</v>
      </c>
      <c r="F72" s="11" t="s">
        <v>78</v>
      </c>
      <c r="G72" s="12">
        <v>2635</v>
      </c>
      <c r="H72" s="12">
        <v>25</v>
      </c>
      <c r="I72" s="12">
        <f t="shared" si="2"/>
        <v>2610</v>
      </c>
      <c r="J72" s="11" t="s">
        <v>33</v>
      </c>
      <c r="K72" s="11" t="s">
        <v>33</v>
      </c>
      <c r="L72" s="11" t="s">
        <v>2122</v>
      </c>
      <c r="M72" s="11"/>
      <c r="N72" s="11"/>
      <c r="O72" s="11"/>
      <c r="P72" s="11"/>
      <c r="Q72">
        <v>1</v>
      </c>
    </row>
    <row r="73" spans="1:18" x14ac:dyDescent="0.25">
      <c r="A73" s="11"/>
      <c r="B73" s="11" t="s">
        <v>27</v>
      </c>
      <c r="C73" s="11" t="s">
        <v>2536</v>
      </c>
      <c r="D73" s="11" t="s">
        <v>2537</v>
      </c>
      <c r="E73" s="11" t="s">
        <v>2538</v>
      </c>
      <c r="F73" s="11" t="s">
        <v>68</v>
      </c>
      <c r="G73" s="12">
        <v>315</v>
      </c>
      <c r="H73" s="12">
        <v>25</v>
      </c>
      <c r="I73" s="12">
        <f t="shared" si="2"/>
        <v>290</v>
      </c>
      <c r="J73" s="11" t="s">
        <v>33</v>
      </c>
      <c r="K73" s="11" t="s">
        <v>33</v>
      </c>
      <c r="L73" s="11" t="s">
        <v>2122</v>
      </c>
      <c r="M73" s="11"/>
      <c r="N73" s="11"/>
      <c r="O73" s="11"/>
      <c r="P73" s="11"/>
      <c r="Q73">
        <v>1</v>
      </c>
    </row>
    <row r="74" spans="1:18" x14ac:dyDescent="0.25">
      <c r="A74" s="11"/>
      <c r="B74" s="11" t="s">
        <v>27</v>
      </c>
      <c r="C74" s="11" t="s">
        <v>1988</v>
      </c>
      <c r="D74" s="11" t="s">
        <v>2539</v>
      </c>
      <c r="E74" s="11" t="s">
        <v>2540</v>
      </c>
      <c r="F74" s="12">
        <v>2</v>
      </c>
      <c r="G74" s="12">
        <v>350</v>
      </c>
      <c r="H74" s="12">
        <v>30</v>
      </c>
      <c r="I74" s="12">
        <f t="shared" si="2"/>
        <v>320</v>
      </c>
      <c r="J74" s="11" t="s">
        <v>33</v>
      </c>
      <c r="K74" s="11" t="s">
        <v>33</v>
      </c>
      <c r="L74" s="11" t="s">
        <v>2122</v>
      </c>
      <c r="M74" s="11"/>
      <c r="N74" s="11"/>
      <c r="O74" s="11"/>
      <c r="P74" s="11"/>
      <c r="Q74">
        <v>1</v>
      </c>
    </row>
    <row r="75" spans="1:18" x14ac:dyDescent="0.25">
      <c r="A75" s="11"/>
      <c r="B75" s="11" t="s">
        <v>27</v>
      </c>
      <c r="C75" s="11" t="s">
        <v>2541</v>
      </c>
      <c r="D75" s="11" t="s">
        <v>2542</v>
      </c>
      <c r="E75" s="11" t="s">
        <v>2543</v>
      </c>
      <c r="F75" s="11" t="s">
        <v>78</v>
      </c>
      <c r="G75" s="12">
        <v>0</v>
      </c>
      <c r="H75" s="12">
        <v>20</v>
      </c>
      <c r="I75" s="12">
        <f t="shared" si="2"/>
        <v>-20</v>
      </c>
      <c r="J75" s="11" t="s">
        <v>33</v>
      </c>
      <c r="K75" s="11" t="s">
        <v>33</v>
      </c>
      <c r="L75" s="11" t="s">
        <v>2122</v>
      </c>
      <c r="M75" s="11"/>
      <c r="N75" s="11"/>
      <c r="O75" s="11"/>
      <c r="P75" s="11"/>
      <c r="Q75">
        <v>1</v>
      </c>
      <c r="R75" s="5">
        <f>H75</f>
        <v>20</v>
      </c>
    </row>
    <row r="76" spans="1:18" x14ac:dyDescent="0.25">
      <c r="A76" s="11"/>
      <c r="B76" s="11" t="s">
        <v>27</v>
      </c>
      <c r="C76" s="11" t="s">
        <v>2544</v>
      </c>
      <c r="D76" s="11" t="s">
        <v>2545</v>
      </c>
      <c r="E76" s="11" t="s">
        <v>2546</v>
      </c>
      <c r="F76" s="11" t="s">
        <v>68</v>
      </c>
      <c r="G76" s="12">
        <v>1895</v>
      </c>
      <c r="H76" s="12">
        <v>25</v>
      </c>
      <c r="I76" s="12">
        <f t="shared" si="2"/>
        <v>1870</v>
      </c>
      <c r="J76" s="11" t="s">
        <v>33</v>
      </c>
      <c r="K76" s="11" t="s">
        <v>33</v>
      </c>
      <c r="L76" s="11" t="s">
        <v>2122</v>
      </c>
      <c r="M76" s="11"/>
      <c r="N76" s="11"/>
      <c r="O76" s="11"/>
      <c r="P76" s="11"/>
      <c r="Q76">
        <v>1</v>
      </c>
    </row>
    <row r="77" spans="1:18" x14ac:dyDescent="0.25">
      <c r="A77" s="11"/>
      <c r="B77" s="11" t="s">
        <v>27</v>
      </c>
      <c r="C77" s="11" t="s">
        <v>2547</v>
      </c>
      <c r="D77" s="11" t="s">
        <v>2548</v>
      </c>
      <c r="E77" s="11" t="s">
        <v>2549</v>
      </c>
      <c r="F77" s="11" t="s">
        <v>78</v>
      </c>
      <c r="G77" s="12">
        <v>560</v>
      </c>
      <c r="H77" s="12">
        <v>20</v>
      </c>
      <c r="I77" s="12">
        <f t="shared" si="2"/>
        <v>540</v>
      </c>
      <c r="J77" s="11" t="s">
        <v>33</v>
      </c>
      <c r="K77" s="11" t="s">
        <v>33</v>
      </c>
      <c r="L77" s="11" t="s">
        <v>2122</v>
      </c>
      <c r="M77" s="11"/>
      <c r="N77" s="11"/>
      <c r="O77" s="11"/>
      <c r="P77" s="11"/>
      <c r="Q77">
        <v>1</v>
      </c>
    </row>
    <row r="78" spans="1:18" x14ac:dyDescent="0.25">
      <c r="A78" s="11"/>
      <c r="B78" s="11" t="s">
        <v>27</v>
      </c>
      <c r="C78" s="11" t="s">
        <v>2550</v>
      </c>
      <c r="D78" s="11" t="s">
        <v>2551</v>
      </c>
      <c r="E78" s="11" t="s">
        <v>2552</v>
      </c>
      <c r="F78" s="12">
        <v>11</v>
      </c>
      <c r="G78" s="12">
        <v>0</v>
      </c>
      <c r="H78" s="12">
        <v>25</v>
      </c>
      <c r="I78" s="12">
        <f t="shared" si="2"/>
        <v>-25</v>
      </c>
      <c r="J78" s="11" t="s">
        <v>119</v>
      </c>
      <c r="K78" s="11" t="s">
        <v>33</v>
      </c>
      <c r="L78" s="11" t="s">
        <v>2122</v>
      </c>
      <c r="M78" s="11"/>
      <c r="N78" s="11"/>
      <c r="O78" s="11"/>
      <c r="P78" s="11"/>
      <c r="Q78">
        <v>1</v>
      </c>
      <c r="R78" s="5">
        <f>H78</f>
        <v>25</v>
      </c>
    </row>
    <row r="79" spans="1:18" x14ac:dyDescent="0.25">
      <c r="A79" s="11"/>
      <c r="B79" s="11" t="s">
        <v>27</v>
      </c>
      <c r="C79" s="11" t="s">
        <v>2553</v>
      </c>
      <c r="D79" s="11" t="s">
        <v>2554</v>
      </c>
      <c r="E79" s="11" t="s">
        <v>2555</v>
      </c>
      <c r="F79" s="12">
        <v>4</v>
      </c>
      <c r="G79" s="12">
        <v>515</v>
      </c>
      <c r="H79" s="12">
        <v>25</v>
      </c>
      <c r="I79" s="12">
        <f t="shared" si="2"/>
        <v>490</v>
      </c>
      <c r="J79" s="11" t="s">
        <v>119</v>
      </c>
      <c r="K79" s="11" t="s">
        <v>33</v>
      </c>
      <c r="L79" s="11" t="s">
        <v>2122</v>
      </c>
      <c r="M79" s="11"/>
      <c r="N79" s="11"/>
      <c r="O79" s="11"/>
      <c r="P79" s="11"/>
      <c r="Q79">
        <v>1</v>
      </c>
    </row>
    <row r="80" spans="1:18" x14ac:dyDescent="0.25">
      <c r="A80" s="11"/>
      <c r="B80" s="11" t="s">
        <v>27</v>
      </c>
      <c r="C80" s="11" t="s">
        <v>2556</v>
      </c>
      <c r="D80" s="11" t="s">
        <v>2557</v>
      </c>
      <c r="E80" s="11" t="s">
        <v>2558</v>
      </c>
      <c r="F80" s="12">
        <v>4</v>
      </c>
      <c r="G80" s="12">
        <v>675</v>
      </c>
      <c r="H80" s="12">
        <v>25</v>
      </c>
      <c r="I80" s="12">
        <f t="shared" si="2"/>
        <v>650</v>
      </c>
      <c r="J80" s="11" t="s">
        <v>119</v>
      </c>
      <c r="K80" s="11" t="s">
        <v>33</v>
      </c>
      <c r="L80" s="11" t="s">
        <v>2122</v>
      </c>
      <c r="M80" s="11"/>
      <c r="N80" s="11"/>
      <c r="O80" s="11"/>
      <c r="P80" s="11"/>
      <c r="Q80">
        <v>1</v>
      </c>
    </row>
    <row r="81" spans="1:17" x14ac:dyDescent="0.25">
      <c r="A81" s="11"/>
      <c r="B81" s="11" t="s">
        <v>27</v>
      </c>
      <c r="C81" s="11" t="s">
        <v>2559</v>
      </c>
      <c r="D81" s="11" t="s">
        <v>2560</v>
      </c>
      <c r="E81" s="11" t="s">
        <v>2561</v>
      </c>
      <c r="F81" s="12">
        <v>3</v>
      </c>
      <c r="G81" s="12">
        <v>595</v>
      </c>
      <c r="H81" s="12">
        <v>25</v>
      </c>
      <c r="I81" s="12">
        <f t="shared" si="2"/>
        <v>570</v>
      </c>
      <c r="J81" s="11" t="s">
        <v>119</v>
      </c>
      <c r="K81" s="11" t="s">
        <v>33</v>
      </c>
      <c r="L81" s="11" t="s">
        <v>2122</v>
      </c>
      <c r="M81" s="11"/>
      <c r="N81" s="11"/>
      <c r="O81" s="11"/>
      <c r="P81" s="11"/>
      <c r="Q81">
        <v>1</v>
      </c>
    </row>
    <row r="82" spans="1:17" x14ac:dyDescent="0.25">
      <c r="A82" s="11"/>
      <c r="B82" s="11" t="s">
        <v>27</v>
      </c>
      <c r="C82" s="11" t="s">
        <v>2562</v>
      </c>
      <c r="D82" s="11" t="s">
        <v>2563</v>
      </c>
      <c r="E82" s="11" t="s">
        <v>2564</v>
      </c>
      <c r="F82" s="12">
        <v>10</v>
      </c>
      <c r="G82" s="12">
        <v>815</v>
      </c>
      <c r="H82" s="12">
        <v>25</v>
      </c>
      <c r="I82" s="12">
        <f t="shared" si="2"/>
        <v>790</v>
      </c>
      <c r="J82" s="11" t="s">
        <v>119</v>
      </c>
      <c r="K82" s="11" t="s">
        <v>33</v>
      </c>
      <c r="L82" s="11" t="s">
        <v>2122</v>
      </c>
      <c r="M82" s="11"/>
      <c r="N82" s="11"/>
      <c r="O82" s="11"/>
      <c r="P82" s="11"/>
      <c r="Q82">
        <v>1</v>
      </c>
    </row>
    <row r="83" spans="1:17" x14ac:dyDescent="0.25">
      <c r="A83" s="11"/>
      <c r="B83" s="11" t="s">
        <v>27</v>
      </c>
      <c r="C83" s="11" t="s">
        <v>2565</v>
      </c>
      <c r="D83" s="11" t="s">
        <v>2566</v>
      </c>
      <c r="E83" s="11" t="s">
        <v>2567</v>
      </c>
      <c r="F83" s="11" t="s">
        <v>118</v>
      </c>
      <c r="G83" s="12">
        <v>280</v>
      </c>
      <c r="H83" s="12">
        <v>20</v>
      </c>
      <c r="I83" s="12">
        <f t="shared" si="2"/>
        <v>260</v>
      </c>
      <c r="J83" s="11" t="s">
        <v>119</v>
      </c>
      <c r="K83" s="11" t="s">
        <v>33</v>
      </c>
      <c r="L83" s="11" t="s">
        <v>2122</v>
      </c>
      <c r="M83" s="11"/>
      <c r="N83" s="11"/>
      <c r="O83" s="11"/>
      <c r="P83" s="11"/>
      <c r="Q83">
        <v>1</v>
      </c>
    </row>
    <row r="84" spans="1:17" x14ac:dyDescent="0.25">
      <c r="A84" s="11"/>
      <c r="B84" s="11" t="s">
        <v>27</v>
      </c>
      <c r="C84" s="11" t="s">
        <v>2568</v>
      </c>
      <c r="D84" s="11" t="s">
        <v>2569</v>
      </c>
      <c r="E84" s="11" t="s">
        <v>2570</v>
      </c>
      <c r="F84" s="12">
        <v>10</v>
      </c>
      <c r="G84" s="12">
        <v>285</v>
      </c>
      <c r="H84" s="12">
        <v>25</v>
      </c>
      <c r="I84" s="12">
        <f t="shared" si="2"/>
        <v>260</v>
      </c>
      <c r="J84" s="11" t="s">
        <v>119</v>
      </c>
      <c r="K84" s="11" t="s">
        <v>33</v>
      </c>
      <c r="L84" s="11" t="s">
        <v>2122</v>
      </c>
      <c r="M84" s="11"/>
      <c r="N84" s="11"/>
      <c r="O84" s="11"/>
      <c r="P84" s="11"/>
      <c r="Q84">
        <v>1</v>
      </c>
    </row>
    <row r="85" spans="1:17" x14ac:dyDescent="0.25">
      <c r="A85" s="11"/>
      <c r="B85" s="11" t="s">
        <v>27</v>
      </c>
      <c r="C85" s="11" t="s">
        <v>2571</v>
      </c>
      <c r="D85" s="11" t="s">
        <v>2572</v>
      </c>
      <c r="E85" s="11" t="s">
        <v>2573</v>
      </c>
      <c r="F85" s="11" t="s">
        <v>44</v>
      </c>
      <c r="G85" s="12">
        <v>495</v>
      </c>
      <c r="H85" s="12">
        <v>25</v>
      </c>
      <c r="I85" s="12">
        <f t="shared" si="2"/>
        <v>470</v>
      </c>
      <c r="J85" s="11" t="s">
        <v>119</v>
      </c>
      <c r="K85" s="11" t="s">
        <v>33</v>
      </c>
      <c r="L85" s="11" t="s">
        <v>2122</v>
      </c>
      <c r="M85" s="11"/>
      <c r="N85" s="11"/>
      <c r="O85" s="11"/>
      <c r="P85" s="11"/>
      <c r="Q85">
        <v>1</v>
      </c>
    </row>
    <row r="86" spans="1:17" x14ac:dyDescent="0.25">
      <c r="A86" s="11"/>
      <c r="B86" s="11" t="s">
        <v>27</v>
      </c>
      <c r="C86" s="11" t="s">
        <v>2574</v>
      </c>
      <c r="D86" s="11" t="s">
        <v>2575</v>
      </c>
      <c r="E86" s="11" t="s">
        <v>1428</v>
      </c>
      <c r="F86" s="12">
        <v>10</v>
      </c>
      <c r="G86" s="12">
        <v>1015</v>
      </c>
      <c r="H86" s="12">
        <v>25</v>
      </c>
      <c r="I86" s="12">
        <f t="shared" si="2"/>
        <v>990</v>
      </c>
      <c r="J86" s="11" t="s">
        <v>119</v>
      </c>
      <c r="K86" s="11" t="s">
        <v>33</v>
      </c>
      <c r="L86" s="11" t="s">
        <v>2122</v>
      </c>
      <c r="M86" s="11"/>
      <c r="N86" s="11"/>
      <c r="O86" s="11"/>
      <c r="P86" s="11"/>
      <c r="Q86">
        <v>1</v>
      </c>
    </row>
    <row r="87" spans="1:17" x14ac:dyDescent="0.25">
      <c r="A87" s="11"/>
      <c r="B87" s="11" t="s">
        <v>27</v>
      </c>
      <c r="C87" s="11" t="s">
        <v>2576</v>
      </c>
      <c r="D87" s="11" t="s">
        <v>2577</v>
      </c>
      <c r="E87" s="11" t="s">
        <v>2578</v>
      </c>
      <c r="F87" s="11" t="s">
        <v>44</v>
      </c>
      <c r="G87" s="12">
        <v>615</v>
      </c>
      <c r="H87" s="12">
        <v>25</v>
      </c>
      <c r="I87" s="12">
        <f t="shared" si="2"/>
        <v>590</v>
      </c>
      <c r="J87" s="11" t="s">
        <v>119</v>
      </c>
      <c r="K87" s="11" t="s">
        <v>33</v>
      </c>
      <c r="L87" s="11" t="s">
        <v>2122</v>
      </c>
      <c r="M87" s="11"/>
      <c r="N87" s="11"/>
      <c r="O87" s="11"/>
      <c r="P87" s="11"/>
      <c r="Q87">
        <v>1</v>
      </c>
    </row>
    <row r="88" spans="1:17" x14ac:dyDescent="0.25">
      <c r="A88" s="11"/>
      <c r="B88" s="11" t="s">
        <v>27</v>
      </c>
      <c r="C88" s="11" t="s">
        <v>2579</v>
      </c>
      <c r="D88" s="11" t="s">
        <v>2580</v>
      </c>
      <c r="E88" s="11" t="s">
        <v>2581</v>
      </c>
      <c r="F88" s="12">
        <v>3</v>
      </c>
      <c r="G88" s="12">
        <v>855</v>
      </c>
      <c r="H88" s="12">
        <v>25</v>
      </c>
      <c r="I88" s="12">
        <f t="shared" si="2"/>
        <v>830</v>
      </c>
      <c r="J88" s="11" t="s">
        <v>119</v>
      </c>
      <c r="K88" s="11" t="s">
        <v>33</v>
      </c>
      <c r="L88" s="11" t="s">
        <v>2122</v>
      </c>
      <c r="M88" s="11"/>
      <c r="N88" s="11"/>
      <c r="O88" s="11"/>
      <c r="P88" s="11"/>
      <c r="Q88">
        <v>1</v>
      </c>
    </row>
    <row r="89" spans="1:17" x14ac:dyDescent="0.25">
      <c r="A89" s="11"/>
      <c r="B89" s="11" t="s">
        <v>27</v>
      </c>
      <c r="C89" s="11" t="s">
        <v>2582</v>
      </c>
      <c r="D89" s="11" t="s">
        <v>2583</v>
      </c>
      <c r="E89" s="11" t="s">
        <v>2584</v>
      </c>
      <c r="F89" s="12">
        <v>3</v>
      </c>
      <c r="G89" s="12">
        <v>655</v>
      </c>
      <c r="H89" s="12">
        <v>25</v>
      </c>
      <c r="I89" s="12">
        <f t="shared" si="2"/>
        <v>630</v>
      </c>
      <c r="J89" s="11" t="s">
        <v>119</v>
      </c>
      <c r="K89" s="11" t="s">
        <v>33</v>
      </c>
      <c r="L89" s="11" t="s">
        <v>2122</v>
      </c>
      <c r="M89" s="11"/>
      <c r="N89" s="11"/>
      <c r="O89" s="11"/>
      <c r="P89" s="11"/>
      <c r="Q89">
        <v>1</v>
      </c>
    </row>
    <row r="90" spans="1:17" x14ac:dyDescent="0.25">
      <c r="A90" s="11"/>
      <c r="B90" s="11" t="s">
        <v>27</v>
      </c>
      <c r="C90" s="11" t="s">
        <v>2585</v>
      </c>
      <c r="D90" s="11" t="s">
        <v>2586</v>
      </c>
      <c r="E90" s="11" t="s">
        <v>2587</v>
      </c>
      <c r="F90" s="11" t="s">
        <v>44</v>
      </c>
      <c r="G90" s="12">
        <v>745</v>
      </c>
      <c r="H90" s="12">
        <v>25</v>
      </c>
      <c r="I90" s="12">
        <f t="shared" si="2"/>
        <v>720</v>
      </c>
      <c r="J90" s="11" t="s">
        <v>119</v>
      </c>
      <c r="K90" s="11" t="s">
        <v>33</v>
      </c>
      <c r="L90" s="11" t="s">
        <v>2122</v>
      </c>
      <c r="M90" s="11"/>
      <c r="N90" s="11"/>
      <c r="O90" s="11"/>
      <c r="P90" s="11"/>
      <c r="Q90">
        <v>1</v>
      </c>
    </row>
    <row r="91" spans="1:17" x14ac:dyDescent="0.25">
      <c r="A91" s="11"/>
      <c r="B91" s="11" t="s">
        <v>27</v>
      </c>
      <c r="C91" s="11" t="s">
        <v>2588</v>
      </c>
      <c r="D91" s="11" t="s">
        <v>2589</v>
      </c>
      <c r="E91" s="11" t="s">
        <v>2590</v>
      </c>
      <c r="F91" s="12">
        <v>5</v>
      </c>
      <c r="G91" s="12">
        <v>905</v>
      </c>
      <c r="H91" s="12">
        <v>25</v>
      </c>
      <c r="I91" s="12">
        <f t="shared" si="2"/>
        <v>880</v>
      </c>
      <c r="J91" s="11" t="s">
        <v>119</v>
      </c>
      <c r="K91" s="11" t="s">
        <v>33</v>
      </c>
      <c r="L91" s="11" t="s">
        <v>2122</v>
      </c>
      <c r="M91" s="11"/>
      <c r="N91" s="11"/>
      <c r="O91" s="11"/>
      <c r="P91" s="11"/>
      <c r="Q91">
        <v>1</v>
      </c>
    </row>
    <row r="92" spans="1:17" x14ac:dyDescent="0.25">
      <c r="A92" s="11"/>
      <c r="B92" s="11" t="s">
        <v>27</v>
      </c>
      <c r="C92" s="11" t="s">
        <v>2591</v>
      </c>
      <c r="D92" s="11" t="s">
        <v>2592</v>
      </c>
      <c r="E92" s="11" t="s">
        <v>2593</v>
      </c>
      <c r="F92" s="12">
        <v>1</v>
      </c>
      <c r="G92" s="12">
        <v>845</v>
      </c>
      <c r="H92" s="12">
        <v>25</v>
      </c>
      <c r="I92" s="12">
        <f t="shared" si="2"/>
        <v>820</v>
      </c>
      <c r="J92" s="11" t="s">
        <v>119</v>
      </c>
      <c r="K92" s="11" t="s">
        <v>33</v>
      </c>
      <c r="L92" s="11" t="s">
        <v>2122</v>
      </c>
      <c r="M92" s="11"/>
      <c r="N92" s="11"/>
      <c r="O92" s="11"/>
      <c r="P92" s="11"/>
      <c r="Q92">
        <v>1</v>
      </c>
    </row>
    <row r="93" spans="1:17" x14ac:dyDescent="0.25">
      <c r="A93" s="11"/>
      <c r="B93" s="11" t="s">
        <v>27</v>
      </c>
      <c r="C93" s="11" t="s">
        <v>2594</v>
      </c>
      <c r="D93" s="11" t="s">
        <v>2595</v>
      </c>
      <c r="E93" s="11" t="s">
        <v>2596</v>
      </c>
      <c r="F93" s="11" t="s">
        <v>44</v>
      </c>
      <c r="G93" s="12">
        <v>1285</v>
      </c>
      <c r="H93" s="12">
        <v>25</v>
      </c>
      <c r="I93" s="12">
        <f t="shared" si="2"/>
        <v>1260</v>
      </c>
      <c r="J93" s="11" t="s">
        <v>119</v>
      </c>
      <c r="K93" s="11" t="s">
        <v>33</v>
      </c>
      <c r="L93" s="11" t="s">
        <v>2122</v>
      </c>
      <c r="M93" s="11"/>
      <c r="N93" s="11"/>
      <c r="O93" s="11"/>
      <c r="P93" s="11"/>
      <c r="Q93">
        <v>1</v>
      </c>
    </row>
    <row r="94" spans="1:17" x14ac:dyDescent="0.25">
      <c r="A94" s="11"/>
      <c r="B94" s="11" t="s">
        <v>27</v>
      </c>
      <c r="C94" s="11" t="s">
        <v>2597</v>
      </c>
      <c r="D94" s="11" t="s">
        <v>2598</v>
      </c>
      <c r="E94" s="11" t="s">
        <v>2599</v>
      </c>
      <c r="F94" s="12">
        <v>10</v>
      </c>
      <c r="G94" s="12">
        <v>1265</v>
      </c>
      <c r="H94" s="12">
        <v>25</v>
      </c>
      <c r="I94" s="12">
        <f t="shared" si="2"/>
        <v>1240</v>
      </c>
      <c r="J94" s="11" t="s">
        <v>119</v>
      </c>
      <c r="K94" s="11" t="s">
        <v>33</v>
      </c>
      <c r="L94" s="11" t="s">
        <v>2122</v>
      </c>
      <c r="M94" s="11"/>
      <c r="N94" s="11"/>
      <c r="O94" s="11"/>
      <c r="P94" s="11"/>
      <c r="Q94">
        <v>1</v>
      </c>
    </row>
    <row r="95" spans="1:17" x14ac:dyDescent="0.25">
      <c r="A95" s="11"/>
      <c r="B95" s="11" t="s">
        <v>27</v>
      </c>
      <c r="C95" s="11" t="s">
        <v>2600</v>
      </c>
      <c r="D95" s="11" t="s">
        <v>2601</v>
      </c>
      <c r="E95" s="11" t="s">
        <v>2602</v>
      </c>
      <c r="F95" s="12">
        <v>5</v>
      </c>
      <c r="G95" s="12">
        <v>1375</v>
      </c>
      <c r="H95" s="12">
        <v>25</v>
      </c>
      <c r="I95" s="12">
        <f t="shared" si="2"/>
        <v>1350</v>
      </c>
      <c r="J95" s="11" t="s">
        <v>119</v>
      </c>
      <c r="K95" s="11" t="s">
        <v>33</v>
      </c>
      <c r="L95" s="11" t="s">
        <v>2122</v>
      </c>
      <c r="M95" s="11"/>
      <c r="N95" s="11"/>
      <c r="O95" s="11"/>
      <c r="P95" s="11"/>
      <c r="Q95">
        <v>1</v>
      </c>
    </row>
    <row r="96" spans="1:17" x14ac:dyDescent="0.25">
      <c r="A96" s="11"/>
      <c r="B96" s="11" t="s">
        <v>27</v>
      </c>
      <c r="C96" s="11" t="s">
        <v>2603</v>
      </c>
      <c r="D96" s="11" t="s">
        <v>2604</v>
      </c>
      <c r="E96" s="11" t="s">
        <v>2605</v>
      </c>
      <c r="F96" s="11" t="s">
        <v>118</v>
      </c>
      <c r="G96" s="12">
        <v>1120</v>
      </c>
      <c r="H96" s="12">
        <v>20</v>
      </c>
      <c r="I96" s="12">
        <f t="shared" si="2"/>
        <v>1100</v>
      </c>
      <c r="J96" s="11" t="s">
        <v>119</v>
      </c>
      <c r="K96" s="11" t="s">
        <v>33</v>
      </c>
      <c r="L96" s="11" t="s">
        <v>2122</v>
      </c>
      <c r="M96" s="11"/>
      <c r="N96" s="11"/>
      <c r="O96" s="11"/>
      <c r="P96" s="11"/>
      <c r="Q96">
        <v>1</v>
      </c>
    </row>
    <row r="97" spans="1:17" x14ac:dyDescent="0.25">
      <c r="A97" s="11"/>
      <c r="B97" s="11" t="s">
        <v>27</v>
      </c>
      <c r="C97" s="11" t="s">
        <v>2606</v>
      </c>
      <c r="D97" s="11" t="s">
        <v>2607</v>
      </c>
      <c r="E97" s="11" t="s">
        <v>2608</v>
      </c>
      <c r="F97" s="12">
        <v>10</v>
      </c>
      <c r="G97" s="12">
        <v>715</v>
      </c>
      <c r="H97" s="12">
        <v>25</v>
      </c>
      <c r="I97" s="12">
        <f t="shared" si="2"/>
        <v>690</v>
      </c>
      <c r="J97" s="11" t="s">
        <v>119</v>
      </c>
      <c r="K97" s="11" t="s">
        <v>33</v>
      </c>
      <c r="L97" s="11" t="s">
        <v>2122</v>
      </c>
      <c r="M97" s="11"/>
      <c r="N97" s="11"/>
      <c r="O97" s="11"/>
      <c r="P97" s="11"/>
      <c r="Q97">
        <v>1</v>
      </c>
    </row>
    <row r="98" spans="1:17" x14ac:dyDescent="0.25">
      <c r="A98" s="11"/>
      <c r="B98" s="11" t="s">
        <v>27</v>
      </c>
      <c r="C98" s="11" t="s">
        <v>2609</v>
      </c>
      <c r="D98" s="11" t="s">
        <v>2610</v>
      </c>
      <c r="E98" s="11" t="s">
        <v>2611</v>
      </c>
      <c r="F98" s="11" t="s">
        <v>118</v>
      </c>
      <c r="G98" s="12">
        <v>510</v>
      </c>
      <c r="H98" s="12">
        <v>20</v>
      </c>
      <c r="I98" s="12">
        <f t="shared" si="2"/>
        <v>490</v>
      </c>
      <c r="J98" s="11" t="s">
        <v>119</v>
      </c>
      <c r="K98" s="11" t="s">
        <v>33</v>
      </c>
      <c r="L98" s="11" t="s">
        <v>2122</v>
      </c>
      <c r="M98" s="24" t="s">
        <v>2665</v>
      </c>
      <c r="N98" s="11"/>
      <c r="O98" s="11"/>
      <c r="P98" s="11"/>
      <c r="Q98">
        <v>1</v>
      </c>
    </row>
    <row r="99" spans="1:17" x14ac:dyDescent="0.25">
      <c r="A99" s="11"/>
      <c r="B99" s="11" t="s">
        <v>27</v>
      </c>
      <c r="C99" s="11" t="s">
        <v>2612</v>
      </c>
      <c r="D99" s="11" t="s">
        <v>2613</v>
      </c>
      <c r="E99" s="11" t="s">
        <v>2614</v>
      </c>
      <c r="F99" s="12">
        <v>3</v>
      </c>
      <c r="G99" s="12">
        <v>355</v>
      </c>
      <c r="H99" s="12">
        <v>25</v>
      </c>
      <c r="I99" s="12">
        <f t="shared" ref="I99:I117" si="3">G99-H99</f>
        <v>330</v>
      </c>
      <c r="J99" s="11" t="s">
        <v>119</v>
      </c>
      <c r="K99" s="11" t="s">
        <v>33</v>
      </c>
      <c r="L99" s="11" t="s">
        <v>2122</v>
      </c>
      <c r="M99" s="11"/>
      <c r="N99" s="11"/>
      <c r="O99" s="11"/>
      <c r="P99" s="11"/>
      <c r="Q99">
        <v>1</v>
      </c>
    </row>
    <row r="100" spans="1:17" x14ac:dyDescent="0.25">
      <c r="A100" s="11"/>
      <c r="B100" s="11" t="s">
        <v>27</v>
      </c>
      <c r="C100" s="11" t="s">
        <v>2615</v>
      </c>
      <c r="D100" s="11" t="s">
        <v>2616</v>
      </c>
      <c r="E100" s="11" t="s">
        <v>2111</v>
      </c>
      <c r="F100" s="12">
        <v>1</v>
      </c>
      <c r="G100" s="12">
        <v>695</v>
      </c>
      <c r="H100" s="12">
        <v>25</v>
      </c>
      <c r="I100" s="12">
        <f t="shared" si="3"/>
        <v>670</v>
      </c>
      <c r="J100" s="11" t="s">
        <v>119</v>
      </c>
      <c r="K100" s="11" t="s">
        <v>33</v>
      </c>
      <c r="L100" s="11" t="s">
        <v>2122</v>
      </c>
      <c r="M100" s="11"/>
      <c r="N100" s="11"/>
      <c r="O100" s="11"/>
      <c r="P100" s="11"/>
      <c r="Q100">
        <v>1</v>
      </c>
    </row>
    <row r="101" spans="1:17" x14ac:dyDescent="0.25">
      <c r="A101" s="11"/>
      <c r="B101" s="11" t="s">
        <v>27</v>
      </c>
      <c r="C101" s="11" t="s">
        <v>2617</v>
      </c>
      <c r="D101" s="11" t="s">
        <v>2618</v>
      </c>
      <c r="E101" s="11" t="s">
        <v>2619</v>
      </c>
      <c r="F101" s="12">
        <v>10</v>
      </c>
      <c r="G101" s="12">
        <v>695</v>
      </c>
      <c r="H101" s="12">
        <v>25</v>
      </c>
      <c r="I101" s="12">
        <f t="shared" si="3"/>
        <v>670</v>
      </c>
      <c r="J101" s="11" t="s">
        <v>119</v>
      </c>
      <c r="K101" s="11" t="s">
        <v>33</v>
      </c>
      <c r="L101" s="11" t="s">
        <v>2122</v>
      </c>
      <c r="M101" s="11"/>
      <c r="N101" s="11"/>
      <c r="O101" s="11"/>
      <c r="P101" s="11"/>
      <c r="Q101">
        <v>1</v>
      </c>
    </row>
    <row r="102" spans="1:17" x14ac:dyDescent="0.25">
      <c r="A102" s="11"/>
      <c r="B102" s="11" t="s">
        <v>27</v>
      </c>
      <c r="C102" s="11" t="s">
        <v>2620</v>
      </c>
      <c r="D102" s="11" t="s">
        <v>2621</v>
      </c>
      <c r="E102" s="11" t="s">
        <v>2622</v>
      </c>
      <c r="F102" s="12">
        <v>11</v>
      </c>
      <c r="G102" s="12">
        <v>595</v>
      </c>
      <c r="H102" s="12">
        <v>25</v>
      </c>
      <c r="I102" s="12">
        <f t="shared" si="3"/>
        <v>570</v>
      </c>
      <c r="J102" s="11" t="s">
        <v>119</v>
      </c>
      <c r="K102" s="11" t="s">
        <v>33</v>
      </c>
      <c r="L102" s="11" t="s">
        <v>2122</v>
      </c>
      <c r="M102" s="11"/>
      <c r="N102" s="11"/>
      <c r="O102" s="11"/>
      <c r="P102" s="11"/>
      <c r="Q102">
        <v>1</v>
      </c>
    </row>
    <row r="103" spans="1:17" x14ac:dyDescent="0.25">
      <c r="A103" s="11"/>
      <c r="B103" s="11" t="s">
        <v>27</v>
      </c>
      <c r="C103" s="11" t="s">
        <v>2623</v>
      </c>
      <c r="D103" s="11" t="s">
        <v>2624</v>
      </c>
      <c r="E103" s="11" t="s">
        <v>2625</v>
      </c>
      <c r="F103" s="12">
        <v>4</v>
      </c>
      <c r="G103" s="12">
        <v>1265</v>
      </c>
      <c r="H103" s="12">
        <v>25</v>
      </c>
      <c r="I103" s="12">
        <f t="shared" si="3"/>
        <v>1240</v>
      </c>
      <c r="J103" s="11" t="s">
        <v>119</v>
      </c>
      <c r="K103" s="11" t="s">
        <v>33</v>
      </c>
      <c r="L103" s="11" t="s">
        <v>2122</v>
      </c>
      <c r="M103" s="11"/>
      <c r="N103" s="11"/>
      <c r="O103" s="11"/>
      <c r="P103" s="11"/>
      <c r="Q103">
        <v>1</v>
      </c>
    </row>
    <row r="104" spans="1:17" x14ac:dyDescent="0.25">
      <c r="A104" s="11"/>
      <c r="B104" s="11" t="s">
        <v>27</v>
      </c>
      <c r="C104" s="11" t="s">
        <v>2626</v>
      </c>
      <c r="D104" s="11" t="s">
        <v>2627</v>
      </c>
      <c r="E104" s="11" t="s">
        <v>2628</v>
      </c>
      <c r="F104" s="12">
        <v>1</v>
      </c>
      <c r="G104" s="12">
        <v>3065</v>
      </c>
      <c r="H104" s="12">
        <v>35</v>
      </c>
      <c r="I104" s="12">
        <f t="shared" si="3"/>
        <v>3030</v>
      </c>
      <c r="J104" s="11" t="s">
        <v>119</v>
      </c>
      <c r="K104" s="11" t="s">
        <v>33</v>
      </c>
      <c r="L104" s="11" t="s">
        <v>2122</v>
      </c>
      <c r="M104" s="11"/>
      <c r="N104" s="11"/>
      <c r="O104" s="11"/>
      <c r="P104" s="11"/>
      <c r="Q104">
        <v>1</v>
      </c>
    </row>
    <row r="105" spans="1:17" x14ac:dyDescent="0.25">
      <c r="A105" s="11"/>
      <c r="B105" s="11" t="s">
        <v>27</v>
      </c>
      <c r="C105" s="11" t="s">
        <v>2629</v>
      </c>
      <c r="D105" s="11" t="s">
        <v>2630</v>
      </c>
      <c r="E105" s="11" t="s">
        <v>2631</v>
      </c>
      <c r="F105" s="12">
        <v>4</v>
      </c>
      <c r="G105" s="12">
        <v>445</v>
      </c>
      <c r="H105" s="12">
        <v>25</v>
      </c>
      <c r="I105" s="12">
        <f t="shared" si="3"/>
        <v>420</v>
      </c>
      <c r="J105" s="11" t="s">
        <v>119</v>
      </c>
      <c r="K105" s="11" t="s">
        <v>33</v>
      </c>
      <c r="L105" s="11" t="s">
        <v>2122</v>
      </c>
      <c r="M105" s="11"/>
      <c r="N105" s="11"/>
      <c r="O105" s="11"/>
      <c r="P105" s="11"/>
      <c r="Q105">
        <v>1</v>
      </c>
    </row>
    <row r="106" spans="1:17" x14ac:dyDescent="0.25">
      <c r="A106" s="11"/>
      <c r="B106" s="11" t="s">
        <v>27</v>
      </c>
      <c r="C106" s="11" t="s">
        <v>2632</v>
      </c>
      <c r="D106" s="11" t="s">
        <v>2633</v>
      </c>
      <c r="E106" s="11" t="s">
        <v>2634</v>
      </c>
      <c r="F106" s="11" t="s">
        <v>118</v>
      </c>
      <c r="G106" s="12">
        <v>1410</v>
      </c>
      <c r="H106" s="12">
        <v>20</v>
      </c>
      <c r="I106" s="12">
        <f t="shared" si="3"/>
        <v>1390</v>
      </c>
      <c r="J106" s="11" t="s">
        <v>119</v>
      </c>
      <c r="K106" s="11" t="s">
        <v>33</v>
      </c>
      <c r="L106" s="11" t="s">
        <v>2122</v>
      </c>
      <c r="M106" s="11"/>
      <c r="N106" s="11"/>
      <c r="O106" s="11"/>
      <c r="P106" s="11"/>
      <c r="Q106">
        <v>1</v>
      </c>
    </row>
    <row r="107" spans="1:17" x14ac:dyDescent="0.25">
      <c r="A107" s="11"/>
      <c r="B107" s="11" t="s">
        <v>27</v>
      </c>
      <c r="C107" s="11" t="s">
        <v>2635</v>
      </c>
      <c r="D107" s="11" t="s">
        <v>2636</v>
      </c>
      <c r="E107" s="11" t="s">
        <v>2637</v>
      </c>
      <c r="F107" s="12">
        <v>1</v>
      </c>
      <c r="G107" s="12">
        <v>925</v>
      </c>
      <c r="H107" s="12">
        <v>25</v>
      </c>
      <c r="I107" s="12">
        <f t="shared" si="3"/>
        <v>900</v>
      </c>
      <c r="J107" s="11" t="s">
        <v>119</v>
      </c>
      <c r="K107" s="11" t="s">
        <v>33</v>
      </c>
      <c r="L107" s="11" t="s">
        <v>2122</v>
      </c>
      <c r="M107" s="11"/>
      <c r="N107" s="11"/>
      <c r="O107" s="11"/>
      <c r="P107" s="11"/>
      <c r="Q107">
        <v>1</v>
      </c>
    </row>
    <row r="108" spans="1:17" x14ac:dyDescent="0.25">
      <c r="A108" s="11"/>
      <c r="B108" s="11" t="s">
        <v>27</v>
      </c>
      <c r="C108" s="11" t="s">
        <v>2638</v>
      </c>
      <c r="D108" s="11" t="s">
        <v>2639</v>
      </c>
      <c r="E108" s="11" t="s">
        <v>2640</v>
      </c>
      <c r="F108" s="11" t="s">
        <v>118</v>
      </c>
      <c r="G108" s="12">
        <v>190</v>
      </c>
      <c r="H108" s="12">
        <v>20</v>
      </c>
      <c r="I108" s="12">
        <f t="shared" si="3"/>
        <v>170</v>
      </c>
      <c r="J108" s="11" t="s">
        <v>119</v>
      </c>
      <c r="K108" s="11" t="s">
        <v>33</v>
      </c>
      <c r="L108" s="11" t="s">
        <v>2122</v>
      </c>
      <c r="M108" s="11"/>
      <c r="N108" s="11"/>
      <c r="O108" s="11"/>
      <c r="P108" s="11"/>
      <c r="Q108">
        <v>1</v>
      </c>
    </row>
    <row r="109" spans="1:17" x14ac:dyDescent="0.25">
      <c r="A109" s="11"/>
      <c r="B109" s="11" t="s">
        <v>27</v>
      </c>
      <c r="C109" s="11" t="s">
        <v>2641</v>
      </c>
      <c r="D109" s="11" t="s">
        <v>2642</v>
      </c>
      <c r="E109" s="11" t="s">
        <v>2643</v>
      </c>
      <c r="F109" s="12">
        <v>5</v>
      </c>
      <c r="G109" s="12">
        <v>2530</v>
      </c>
      <c r="H109" s="12">
        <v>30</v>
      </c>
      <c r="I109" s="12">
        <f t="shared" si="3"/>
        <v>2500</v>
      </c>
      <c r="J109" s="11" t="s">
        <v>119</v>
      </c>
      <c r="K109" s="11" t="s">
        <v>33</v>
      </c>
      <c r="L109" s="11" t="s">
        <v>2122</v>
      </c>
      <c r="M109" s="11"/>
      <c r="N109" s="11"/>
      <c r="O109" s="11"/>
      <c r="P109" s="11"/>
      <c r="Q109">
        <v>1</v>
      </c>
    </row>
    <row r="110" spans="1:17" x14ac:dyDescent="0.25">
      <c r="A110" s="11"/>
      <c r="B110" s="11" t="s">
        <v>27</v>
      </c>
      <c r="C110" s="11" t="s">
        <v>2644</v>
      </c>
      <c r="D110" s="11" t="s">
        <v>2645</v>
      </c>
      <c r="E110" s="11" t="s">
        <v>2646</v>
      </c>
      <c r="F110" s="12">
        <v>10</v>
      </c>
      <c r="G110" s="12">
        <v>325</v>
      </c>
      <c r="H110" s="12">
        <v>25</v>
      </c>
      <c r="I110" s="12">
        <f t="shared" si="3"/>
        <v>300</v>
      </c>
      <c r="J110" s="11" t="s">
        <v>119</v>
      </c>
      <c r="K110" s="11" t="s">
        <v>33</v>
      </c>
      <c r="L110" s="11" t="s">
        <v>2122</v>
      </c>
      <c r="M110" s="11"/>
      <c r="N110" s="11"/>
      <c r="O110" s="11"/>
      <c r="P110" s="11"/>
      <c r="Q110">
        <v>1</v>
      </c>
    </row>
    <row r="111" spans="1:17" x14ac:dyDescent="0.25">
      <c r="A111" s="11"/>
      <c r="B111" s="11" t="s">
        <v>27</v>
      </c>
      <c r="C111" s="11" t="s">
        <v>2647</v>
      </c>
      <c r="D111" s="11" t="s">
        <v>2648</v>
      </c>
      <c r="E111" s="11" t="s">
        <v>2649</v>
      </c>
      <c r="F111" s="12">
        <v>5</v>
      </c>
      <c r="G111" s="12">
        <v>675</v>
      </c>
      <c r="H111" s="12">
        <v>25</v>
      </c>
      <c r="I111" s="12">
        <f t="shared" si="3"/>
        <v>650</v>
      </c>
      <c r="J111" s="11" t="s">
        <v>119</v>
      </c>
      <c r="K111" s="11" t="s">
        <v>33</v>
      </c>
      <c r="L111" s="11" t="s">
        <v>2122</v>
      </c>
      <c r="M111" s="11"/>
      <c r="N111" s="11"/>
      <c r="O111" s="11"/>
      <c r="P111" s="11"/>
      <c r="Q111">
        <v>1</v>
      </c>
    </row>
    <row r="112" spans="1:17" x14ac:dyDescent="0.25">
      <c r="A112" s="11"/>
      <c r="B112" s="11" t="s">
        <v>27</v>
      </c>
      <c r="C112" s="11" t="s">
        <v>2650</v>
      </c>
      <c r="D112" s="11" t="s">
        <v>2651</v>
      </c>
      <c r="E112" s="11" t="s">
        <v>2652</v>
      </c>
      <c r="F112" s="12">
        <v>11</v>
      </c>
      <c r="G112" s="12">
        <v>515</v>
      </c>
      <c r="H112" s="12">
        <v>25</v>
      </c>
      <c r="I112" s="12">
        <f t="shared" si="3"/>
        <v>490</v>
      </c>
      <c r="J112" s="11" t="s">
        <v>119</v>
      </c>
      <c r="K112" s="11" t="s">
        <v>33</v>
      </c>
      <c r="L112" s="11" t="s">
        <v>2122</v>
      </c>
      <c r="M112" s="11"/>
      <c r="N112" s="11"/>
      <c r="O112" s="11"/>
      <c r="P112" s="11"/>
      <c r="Q112">
        <v>1</v>
      </c>
    </row>
    <row r="113" spans="1:17" s="2" customFormat="1" x14ac:dyDescent="0.25">
      <c r="A113" s="16"/>
      <c r="B113" s="16" t="s">
        <v>27</v>
      </c>
      <c r="C113" s="16" t="s">
        <v>2653</v>
      </c>
      <c r="D113" s="16" t="s">
        <v>2654</v>
      </c>
      <c r="E113" s="16" t="s">
        <v>2655</v>
      </c>
      <c r="F113" s="16" t="s">
        <v>996</v>
      </c>
      <c r="G113" s="17">
        <v>920</v>
      </c>
      <c r="H113" s="17">
        <v>0</v>
      </c>
      <c r="I113" s="17">
        <f t="shared" si="3"/>
        <v>920</v>
      </c>
      <c r="J113" s="16" t="s">
        <v>153</v>
      </c>
      <c r="K113" s="16" t="s">
        <v>33</v>
      </c>
      <c r="L113" s="16" t="s">
        <v>2122</v>
      </c>
      <c r="M113" s="16" t="s">
        <v>997</v>
      </c>
      <c r="N113" s="16" t="s">
        <v>156</v>
      </c>
      <c r="O113" s="16"/>
      <c r="P113" s="16" t="s">
        <v>157</v>
      </c>
      <c r="Q113" s="2">
        <v>1</v>
      </c>
    </row>
    <row r="114" spans="1:17" s="2" customFormat="1" x14ac:dyDescent="0.25">
      <c r="A114" s="16"/>
      <c r="B114" s="16" t="s">
        <v>27</v>
      </c>
      <c r="C114" s="16" t="s">
        <v>2656</v>
      </c>
      <c r="D114" s="16" t="s">
        <v>2657</v>
      </c>
      <c r="E114" s="16" t="s">
        <v>2658</v>
      </c>
      <c r="F114" s="16" t="s">
        <v>996</v>
      </c>
      <c r="G114" s="17">
        <v>670</v>
      </c>
      <c r="H114" s="17">
        <v>0</v>
      </c>
      <c r="I114" s="17">
        <f t="shared" si="3"/>
        <v>670</v>
      </c>
      <c r="J114" s="16" t="s">
        <v>153</v>
      </c>
      <c r="K114" s="16" t="s">
        <v>33</v>
      </c>
      <c r="L114" s="16" t="s">
        <v>2122</v>
      </c>
      <c r="M114" s="16" t="s">
        <v>997</v>
      </c>
      <c r="N114" s="16" t="s">
        <v>156</v>
      </c>
      <c r="O114" s="16"/>
      <c r="P114" s="16" t="s">
        <v>157</v>
      </c>
      <c r="Q114" s="2">
        <v>1</v>
      </c>
    </row>
    <row r="115" spans="1:17" s="2" customFormat="1" x14ac:dyDescent="0.25">
      <c r="A115" s="16"/>
      <c r="B115" s="16" t="s">
        <v>27</v>
      </c>
      <c r="C115" s="16" t="s">
        <v>2659</v>
      </c>
      <c r="D115" s="16" t="s">
        <v>2660</v>
      </c>
      <c r="E115" s="16" t="s">
        <v>2661</v>
      </c>
      <c r="F115" s="16" t="s">
        <v>996</v>
      </c>
      <c r="G115" s="17">
        <v>550</v>
      </c>
      <c r="H115" s="17">
        <v>0</v>
      </c>
      <c r="I115" s="17">
        <f t="shared" si="3"/>
        <v>550</v>
      </c>
      <c r="J115" s="16" t="s">
        <v>153</v>
      </c>
      <c r="K115" s="16" t="s">
        <v>33</v>
      </c>
      <c r="L115" s="16" t="s">
        <v>2122</v>
      </c>
      <c r="M115" s="16" t="s">
        <v>997</v>
      </c>
      <c r="N115" s="16" t="s">
        <v>156</v>
      </c>
      <c r="O115" s="16"/>
      <c r="P115" s="16" t="s">
        <v>157</v>
      </c>
      <c r="Q115" s="2">
        <v>1</v>
      </c>
    </row>
    <row r="116" spans="1:17" s="2" customFormat="1" x14ac:dyDescent="0.25">
      <c r="A116" s="16"/>
      <c r="B116" s="16" t="s">
        <v>27</v>
      </c>
      <c r="C116" s="16" t="s">
        <v>2662</v>
      </c>
      <c r="D116" s="16" t="s">
        <v>2663</v>
      </c>
      <c r="E116" s="16" t="s">
        <v>2664</v>
      </c>
      <c r="F116" s="16" t="s">
        <v>996</v>
      </c>
      <c r="G116" s="17">
        <v>2280</v>
      </c>
      <c r="H116" s="17">
        <v>0</v>
      </c>
      <c r="I116" s="17">
        <f t="shared" si="3"/>
        <v>2280</v>
      </c>
      <c r="J116" s="16" t="s">
        <v>153</v>
      </c>
      <c r="K116" s="16" t="s">
        <v>33</v>
      </c>
      <c r="L116" s="16" t="s">
        <v>2122</v>
      </c>
      <c r="M116" s="16" t="s">
        <v>997</v>
      </c>
      <c r="N116" s="16" t="s">
        <v>156</v>
      </c>
      <c r="O116" s="16"/>
      <c r="P116" s="16" t="s">
        <v>157</v>
      </c>
      <c r="Q116" s="2">
        <v>1</v>
      </c>
    </row>
    <row r="117" spans="1:17" s="2" customFormat="1" x14ac:dyDescent="0.25">
      <c r="A117" s="16"/>
      <c r="B117" s="16" t="s">
        <v>27</v>
      </c>
      <c r="C117" s="16" t="s">
        <v>2151</v>
      </c>
      <c r="D117" s="16" t="s">
        <v>2152</v>
      </c>
      <c r="E117" s="16" t="s">
        <v>2153</v>
      </c>
      <c r="F117" s="17">
        <v>10</v>
      </c>
      <c r="G117" s="17">
        <v>565</v>
      </c>
      <c r="H117" s="17">
        <v>25</v>
      </c>
      <c r="I117" s="17">
        <f t="shared" si="3"/>
        <v>540</v>
      </c>
      <c r="J117" s="16" t="s">
        <v>153</v>
      </c>
      <c r="K117" s="16" t="s">
        <v>33</v>
      </c>
      <c r="L117" s="16"/>
      <c r="M117" s="16" t="s">
        <v>155</v>
      </c>
      <c r="N117" s="16" t="s">
        <v>156</v>
      </c>
      <c r="O117" s="16" t="s">
        <v>156</v>
      </c>
      <c r="P117" s="16" t="s">
        <v>157</v>
      </c>
      <c r="Q117" s="2">
        <v>1</v>
      </c>
    </row>
    <row r="119" spans="1:17" x14ac:dyDescent="0.25">
      <c r="D119" s="1">
        <f>COUNTA(D3:D117)</f>
        <v>115</v>
      </c>
      <c r="G119" s="1">
        <f t="shared" ref="G119:Q119" si="4">SUBTOTAL(9,G3:G117)</f>
        <v>105890</v>
      </c>
      <c r="H119" s="1">
        <f t="shared" si="4"/>
        <v>2965</v>
      </c>
      <c r="I119" s="1">
        <f t="shared" si="4"/>
        <v>102925</v>
      </c>
      <c r="J119" s="1">
        <f t="shared" si="4"/>
        <v>0</v>
      </c>
      <c r="K119" s="1">
        <f t="shared" si="4"/>
        <v>0</v>
      </c>
      <c r="L119" s="1">
        <f t="shared" si="4"/>
        <v>0</v>
      </c>
      <c r="M119" s="1">
        <f t="shared" si="4"/>
        <v>0</v>
      </c>
      <c r="N119" s="1">
        <f t="shared" si="4"/>
        <v>0</v>
      </c>
      <c r="O119" s="1">
        <f t="shared" si="4"/>
        <v>0</v>
      </c>
      <c r="P119" s="1">
        <f t="shared" si="4"/>
        <v>0</v>
      </c>
      <c r="Q119" s="1">
        <f t="shared" si="4"/>
        <v>115</v>
      </c>
    </row>
    <row r="120" spans="1:17" x14ac:dyDescent="0.25">
      <c r="H120">
        <f>-25*17</f>
        <v>-425</v>
      </c>
    </row>
    <row r="121" spans="1:17" x14ac:dyDescent="0.25">
      <c r="A121" s="1" t="s">
        <v>27</v>
      </c>
      <c r="C121" s="60" t="s">
        <v>158</v>
      </c>
      <c r="D121" s="60"/>
      <c r="E121" s="4" t="s">
        <v>159</v>
      </c>
      <c r="H121">
        <f>-17*25</f>
        <v>-425</v>
      </c>
      <c r="K121" s="6" t="s">
        <v>2121</v>
      </c>
      <c r="L121" s="6" t="s">
        <v>160</v>
      </c>
      <c r="M121" s="6" t="s">
        <v>159</v>
      </c>
      <c r="O121" s="4" t="s">
        <v>161</v>
      </c>
    </row>
    <row r="122" spans="1:17" x14ac:dyDescent="0.25">
      <c r="A122" t="s">
        <v>2122</v>
      </c>
      <c r="B122" s="3" t="s">
        <v>162</v>
      </c>
      <c r="C122" s="61">
        <f>SUMIFS(I$3:I$117,B$3:B$117,A$121,L$3:L$117,A$122)</f>
        <v>102385</v>
      </c>
      <c r="D122" s="61"/>
      <c r="E122" s="3">
        <f>SUMIFS(Q$3:Q$117,B$3:B$117,A$121,L$3:L$117,A$122)</f>
        <v>114</v>
      </c>
      <c r="F122" t="s">
        <v>163</v>
      </c>
      <c r="H122">
        <f>-7*30</f>
        <v>-210</v>
      </c>
      <c r="K122" t="s">
        <v>164</v>
      </c>
      <c r="L122">
        <f>SUMIFS(G$3:G$117,J$3:J$117,K$121)</f>
        <v>45940</v>
      </c>
      <c r="M122">
        <f>SUMIFS(Q$3:Q$117,J$3:J$117,K$121)-INT(COUNTIFS(J$3:J$117,K$121,M$3:M$117,"*gộp*")/2)</f>
        <v>49</v>
      </c>
      <c r="O122" t="s">
        <v>2334</v>
      </c>
      <c r="P122">
        <f>L127</f>
        <v>44880</v>
      </c>
    </row>
    <row r="123" spans="1:17" x14ac:dyDescent="0.25">
      <c r="B123" s="2" t="s">
        <v>166</v>
      </c>
      <c r="C123" s="62">
        <v>0</v>
      </c>
      <c r="D123" s="62"/>
      <c r="K123" t="s">
        <v>167</v>
      </c>
      <c r="L123">
        <f>SUM(H120:H122)</f>
        <v>-1060</v>
      </c>
      <c r="M123">
        <f>SUMIFS(Q$3:Q$117,J$3:J$117,K$121)-INT(COUNTIFS(J$3:J$117,K$121,M$3:M$117,"*gộp*")/2)</f>
        <v>49</v>
      </c>
      <c r="O123" t="s">
        <v>33</v>
      </c>
      <c r="P123">
        <f>L135</f>
        <v>25019</v>
      </c>
    </row>
    <row r="124" spans="1:17" x14ac:dyDescent="0.25">
      <c r="B124" s="2" t="s">
        <v>168</v>
      </c>
      <c r="C124" s="62">
        <f>-SUMIFS(I$3:I$117,B$3:B$117,A$121,P$3:P$117,"xx",N$3:N$117,"x")</f>
        <v>-4960</v>
      </c>
      <c r="D124" s="62"/>
      <c r="E124" s="2">
        <f>SUMIFS(Q$3:Q$117,B$3:B$117,A$121,P$3:P$117,"xx",N$3:N$117,"x")</f>
        <v>5</v>
      </c>
      <c r="K124" t="s">
        <v>169</v>
      </c>
      <c r="L124">
        <f>-M124*2</f>
        <v>0</v>
      </c>
      <c r="M124">
        <f>COUNTIFS(K$3:K$117,K$121,L$3:L$117,A$122)-(COUNTIFS(K$3:K$117,K$121,M$3:M$117,"*gộp*")/2)-COUNTIFS(K$3:K$117,K$121,M$3:M$117,"*đơn trả*")-COUNTIFS(K$3:K$117,K$121,M$3:M$117,"*hàng tỉnh*")</f>
        <v>0</v>
      </c>
      <c r="O124" t="s">
        <v>119</v>
      </c>
      <c r="P124">
        <f>L143</f>
        <v>28015</v>
      </c>
    </row>
    <row r="125" spans="1:17" x14ac:dyDescent="0.25">
      <c r="B125" s="4" t="s">
        <v>170</v>
      </c>
      <c r="C125" s="60">
        <f>SUBTOTAL(9,C122:C124)</f>
        <v>97425</v>
      </c>
      <c r="D125" s="60"/>
      <c r="E125">
        <f>E122</f>
        <v>114</v>
      </c>
      <c r="K125" s="7" t="s">
        <v>155</v>
      </c>
      <c r="O125" t="s">
        <v>171</v>
      </c>
      <c r="P125">
        <f>-C129</f>
        <v>-97425</v>
      </c>
    </row>
    <row r="126" spans="1:17" x14ac:dyDescent="0.25">
      <c r="B126" s="2" t="s">
        <v>172</v>
      </c>
      <c r="C126" s="58"/>
      <c r="D126" s="58"/>
      <c r="K126" s="2" t="s">
        <v>173</v>
      </c>
      <c r="O126" s="4" t="s">
        <v>174</v>
      </c>
      <c r="P126" s="4">
        <f>SUBTOTAL(9,P122:P125)</f>
        <v>489</v>
      </c>
    </row>
    <row r="127" spans="1:17" x14ac:dyDescent="0.25">
      <c r="B127" s="8" t="s">
        <v>175</v>
      </c>
      <c r="C127" s="58"/>
      <c r="D127" s="58"/>
      <c r="L127" s="9">
        <f>SUBTOTAL(9,L122:L126)</f>
        <v>44880</v>
      </c>
      <c r="M127" s="9">
        <f>M122</f>
        <v>49</v>
      </c>
    </row>
    <row r="129" spans="2:13" x14ac:dyDescent="0.25">
      <c r="B129" s="1" t="s">
        <v>176</v>
      </c>
      <c r="C129" s="59">
        <f>C125+C126+C127</f>
        <v>97425</v>
      </c>
      <c r="D129" s="59"/>
      <c r="E129" s="1" t="s">
        <v>177</v>
      </c>
      <c r="K129" s="6" t="s">
        <v>33</v>
      </c>
      <c r="L129" s="6" t="s">
        <v>160</v>
      </c>
      <c r="M129" s="6" t="s">
        <v>159</v>
      </c>
    </row>
    <row r="130" spans="2:13" x14ac:dyDescent="0.25">
      <c r="K130" t="s">
        <v>164</v>
      </c>
      <c r="L130">
        <f>SUMIFS(G$3:G$117,J$3:J$117,K$129)</f>
        <v>25715</v>
      </c>
      <c r="M130">
        <f>SUMIFS(Q$3:Q$117,J$3:J$117,K$129)-INT(COUNTIFS(J$3:J$117,K$129,M$3:M$117,"*gộp*")/2)</f>
        <v>25</v>
      </c>
    </row>
    <row r="131" spans="2:13" x14ac:dyDescent="0.25">
      <c r="K131" t="s">
        <v>167</v>
      </c>
      <c r="L131">
        <f>-SUMIFS(H$3:H$117,J$3:J$117,K$129)+M131*5</f>
        <v>-480</v>
      </c>
      <c r="M131">
        <f>SUMIFS(Q$3:Q$117,J$3:J$117,K$129)-INT(COUNTIFS(J$3:J$117,K$129,M$3:M$117,"*gộp*")/2)</f>
        <v>25</v>
      </c>
    </row>
    <row r="132" spans="2:13" x14ac:dyDescent="0.25">
      <c r="K132" t="s">
        <v>169</v>
      </c>
      <c r="L132">
        <f>-M132*2</f>
        <v>-216</v>
      </c>
      <c r="M132">
        <f>COUNTIFS(K$3:K$117,K$129,L$3:L$117,A$122)-(COUNTIFS(K$3:K$117,K$129,M$3:M$117,"*gộp*")/2)-COUNTIFS(K$3:K$117,K$129,M$3:M$117,"*đơn trả*")-COUNTIFS(K$3:K$117,K$129,M$3:M$117,"*hàng tỉnh*")</f>
        <v>108</v>
      </c>
    </row>
    <row r="133" spans="2:13" x14ac:dyDescent="0.25">
      <c r="K133" s="7" t="s">
        <v>155</v>
      </c>
    </row>
    <row r="134" spans="2:13" x14ac:dyDescent="0.25">
      <c r="K134" s="2" t="s">
        <v>173</v>
      </c>
    </row>
    <row r="135" spans="2:13" x14ac:dyDescent="0.25">
      <c r="L135" s="9">
        <f>SUBTOTAL(9,L130:L134)</f>
        <v>25019</v>
      </c>
      <c r="M135" s="9">
        <f>M130</f>
        <v>25</v>
      </c>
    </row>
    <row r="137" spans="2:13" x14ac:dyDescent="0.25">
      <c r="K137" s="6" t="s">
        <v>119</v>
      </c>
      <c r="L137" s="6" t="s">
        <v>160</v>
      </c>
      <c r="M137" s="6" t="s">
        <v>159</v>
      </c>
    </row>
    <row r="138" spans="2:13" x14ac:dyDescent="0.25">
      <c r="K138" t="s">
        <v>164</v>
      </c>
      <c r="L138">
        <f>SUMIFS(G$3:G$117,J$3:J$117,K$137)</f>
        <v>29250</v>
      </c>
      <c r="M138">
        <f>SUMIFS(Q$3:Q$117,J$3:J$117,K$137)-INT(COUNTIFS(J$3:J$117,K$137,M$3:M$117,"*gộp*")/2)</f>
        <v>35</v>
      </c>
    </row>
    <row r="139" spans="2:13" x14ac:dyDescent="0.25">
      <c r="K139" t="s">
        <v>167</v>
      </c>
      <c r="L139">
        <f>-SUMIFS(H$3:H$117,J$3:J$117,K$137)+M139*5</f>
        <v>-690</v>
      </c>
      <c r="M139">
        <f>SUMIFS(Q$3:Q$117,J$3:J$117,K$137)-INT(COUNTIFS(J$3:J$117,K$137,M$3:M$117,"*gộp*")/2)</f>
        <v>35</v>
      </c>
    </row>
    <row r="140" spans="2:13" x14ac:dyDescent="0.25">
      <c r="K140" t="s">
        <v>169</v>
      </c>
      <c r="L140">
        <f>-M140*2</f>
        <v>0</v>
      </c>
      <c r="M140">
        <f>COUNTIFS(K$3:K$117,K$137,L$3:L$117,A$122)-(COUNTIFS(K$3:K$117,K$137,M$3:M$117,"*gộp*")/2)-COUNTIFS(K$3:K$117,K$137,M$3:M$117,"*đơn trả*")-COUNTIFS(K$3:K$117,K$137,M$3:M$117,"*hàng tỉnh*")</f>
        <v>0</v>
      </c>
    </row>
    <row r="141" spans="2:13" x14ac:dyDescent="0.25">
      <c r="K141" s="7" t="s">
        <v>155</v>
      </c>
      <c r="L141" s="18">
        <v>-545</v>
      </c>
      <c r="M141" s="18" t="s">
        <v>178</v>
      </c>
    </row>
    <row r="142" spans="2:13" x14ac:dyDescent="0.25">
      <c r="K142" s="2" t="s">
        <v>173</v>
      </c>
    </row>
    <row r="143" spans="2:13" x14ac:dyDescent="0.25">
      <c r="L143" s="9">
        <f>SUBTOTAL(9,L138:L142)</f>
        <v>28015</v>
      </c>
      <c r="M143" s="9">
        <f>M138</f>
        <v>35</v>
      </c>
    </row>
  </sheetData>
  <autoFilter ref="A2:P117" xr:uid="{00000000-0009-0000-0000-000000000000}">
    <sortState xmlns:xlrd2="http://schemas.microsoft.com/office/spreadsheetml/2017/richdata2" ref="A3:P117">
      <sortCondition ref="J2:J117"/>
    </sortState>
  </autoFilter>
  <mergeCells count="8">
    <mergeCell ref="C127:D127"/>
    <mergeCell ref="C129:D129"/>
    <mergeCell ref="C121:D121"/>
    <mergeCell ref="C122:D122"/>
    <mergeCell ref="C123:D123"/>
    <mergeCell ref="C124:D124"/>
    <mergeCell ref="C125:D125"/>
    <mergeCell ref="C126:D126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A642-4944-4076-A9AE-5A21E245C7CE}">
  <dimension ref="A2:R214"/>
  <sheetViews>
    <sheetView topLeftCell="A173" zoomScale="90" zoomScaleNormal="90" workbookViewId="0">
      <selection activeCell="H81" sqref="H81"/>
    </sheetView>
  </sheetViews>
  <sheetFormatPr defaultRowHeight="15" x14ac:dyDescent="0.25"/>
  <cols>
    <col min="1" max="1" width="12.7109375" customWidth="1"/>
    <col min="2" max="2" width="9.140625" customWidth="1"/>
    <col min="3" max="3" width="39.28515625" bestFit="1" customWidth="1"/>
    <col min="4" max="4" width="10.5703125" bestFit="1" customWidth="1"/>
    <col min="5" max="5" width="78.5703125" bestFit="1" customWidth="1"/>
    <col min="6" max="6" width="10.7109375" bestFit="1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85546875" customWidth="1"/>
    <col min="14" max="14" width="9.7109375" customWidth="1"/>
    <col min="15" max="15" width="10.42578125" customWidth="1"/>
    <col min="16" max="16" width="8.42578125" bestFit="1" customWidth="1"/>
  </cols>
  <sheetData>
    <row r="2" spans="1:17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7" x14ac:dyDescent="0.25">
      <c r="A3" s="11" t="s">
        <v>59</v>
      </c>
      <c r="B3" s="11" t="s">
        <v>27</v>
      </c>
      <c r="C3" s="11" t="s">
        <v>211</v>
      </c>
      <c r="D3" s="11"/>
      <c r="E3" s="11" t="s">
        <v>2668</v>
      </c>
      <c r="F3" s="11" t="s">
        <v>44</v>
      </c>
      <c r="G3" s="12">
        <v>6710</v>
      </c>
      <c r="H3" s="12">
        <v>60</v>
      </c>
      <c r="I3" s="12">
        <f t="shared" ref="I3:I34" si="0">G3-H3</f>
        <v>6650</v>
      </c>
      <c r="J3" s="11" t="s">
        <v>2669</v>
      </c>
      <c r="K3" s="11" t="s">
        <v>33</v>
      </c>
      <c r="L3" s="11" t="s">
        <v>2667</v>
      </c>
      <c r="M3" s="11"/>
      <c r="N3" s="11"/>
      <c r="O3" s="11"/>
      <c r="P3" s="11"/>
      <c r="Q3" s="11">
        <v>1</v>
      </c>
    </row>
    <row r="4" spans="1:17" x14ac:dyDescent="0.25">
      <c r="A4" s="11" t="s">
        <v>59</v>
      </c>
      <c r="B4" s="11" t="s">
        <v>27</v>
      </c>
      <c r="C4" s="11" t="s">
        <v>2674</v>
      </c>
      <c r="D4" s="11"/>
      <c r="E4" s="11" t="s">
        <v>1449</v>
      </c>
      <c r="F4" s="12">
        <v>6</v>
      </c>
      <c r="G4" s="12">
        <v>1990</v>
      </c>
      <c r="H4" s="12">
        <v>30</v>
      </c>
      <c r="I4" s="12">
        <f t="shared" si="0"/>
        <v>1960</v>
      </c>
      <c r="J4" s="11" t="s">
        <v>2669</v>
      </c>
      <c r="K4" s="11" t="s">
        <v>33</v>
      </c>
      <c r="L4" s="11" t="s">
        <v>2667</v>
      </c>
      <c r="M4" s="11"/>
      <c r="N4" s="11"/>
      <c r="O4" s="11"/>
      <c r="P4" s="11"/>
      <c r="Q4" s="11">
        <v>1</v>
      </c>
    </row>
    <row r="5" spans="1:17" x14ac:dyDescent="0.25">
      <c r="A5" s="11" t="s">
        <v>59</v>
      </c>
      <c r="B5" s="11" t="s">
        <v>27</v>
      </c>
      <c r="C5" s="11" t="s">
        <v>2677</v>
      </c>
      <c r="D5" s="11"/>
      <c r="E5" s="11" t="s">
        <v>2678</v>
      </c>
      <c r="F5" s="12">
        <v>7</v>
      </c>
      <c r="G5" s="12">
        <v>2420</v>
      </c>
      <c r="H5" s="12">
        <v>35</v>
      </c>
      <c r="I5" s="12">
        <f t="shared" si="0"/>
        <v>2385</v>
      </c>
      <c r="J5" s="11" t="s">
        <v>2669</v>
      </c>
      <c r="K5" s="11" t="s">
        <v>33</v>
      </c>
      <c r="L5" s="11" t="s">
        <v>2667</v>
      </c>
      <c r="M5" s="11"/>
      <c r="N5" s="11"/>
      <c r="O5" s="11"/>
      <c r="P5" s="11"/>
      <c r="Q5" s="11">
        <v>1</v>
      </c>
    </row>
    <row r="6" spans="1:17" x14ac:dyDescent="0.25">
      <c r="A6" s="11"/>
      <c r="B6" s="11" t="s">
        <v>27</v>
      </c>
      <c r="C6" s="11" t="s">
        <v>2681</v>
      </c>
      <c r="D6" s="11" t="s">
        <v>2682</v>
      </c>
      <c r="E6" s="11" t="s">
        <v>2683</v>
      </c>
      <c r="F6" s="12">
        <v>7</v>
      </c>
      <c r="G6" s="12">
        <v>610</v>
      </c>
      <c r="H6" s="12">
        <v>30</v>
      </c>
      <c r="I6" s="12">
        <f t="shared" si="0"/>
        <v>580</v>
      </c>
      <c r="J6" s="11" t="s">
        <v>2669</v>
      </c>
      <c r="K6" s="11" t="s">
        <v>33</v>
      </c>
      <c r="L6" s="11" t="s">
        <v>2667</v>
      </c>
      <c r="M6" s="11"/>
      <c r="N6" s="11"/>
      <c r="O6" s="11"/>
      <c r="P6" s="11"/>
      <c r="Q6" s="11">
        <v>1</v>
      </c>
    </row>
    <row r="7" spans="1:17" x14ac:dyDescent="0.25">
      <c r="A7" s="11"/>
      <c r="B7" s="11" t="s">
        <v>27</v>
      </c>
      <c r="C7" s="11" t="s">
        <v>2693</v>
      </c>
      <c r="D7" s="11" t="s">
        <v>2694</v>
      </c>
      <c r="E7" s="11" t="s">
        <v>2695</v>
      </c>
      <c r="F7" s="12">
        <v>9</v>
      </c>
      <c r="G7" s="12">
        <v>1190</v>
      </c>
      <c r="H7" s="12">
        <v>30</v>
      </c>
      <c r="I7" s="12">
        <f t="shared" si="0"/>
        <v>1160</v>
      </c>
      <c r="J7" s="11" t="s">
        <v>2669</v>
      </c>
      <c r="K7" s="11" t="s">
        <v>33</v>
      </c>
      <c r="L7" s="11" t="s">
        <v>2667</v>
      </c>
      <c r="M7" s="11"/>
      <c r="N7" s="11"/>
      <c r="O7" s="11"/>
      <c r="P7" s="11"/>
      <c r="Q7" s="11">
        <v>1</v>
      </c>
    </row>
    <row r="8" spans="1:17" x14ac:dyDescent="0.25">
      <c r="A8" s="11"/>
      <c r="B8" s="11" t="s">
        <v>27</v>
      </c>
      <c r="C8" s="11" t="s">
        <v>2699</v>
      </c>
      <c r="D8" s="11" t="s">
        <v>2700</v>
      </c>
      <c r="E8" s="11" t="s">
        <v>2701</v>
      </c>
      <c r="F8" s="11" t="s">
        <v>55</v>
      </c>
      <c r="G8" s="12">
        <v>955</v>
      </c>
      <c r="H8" s="12">
        <v>35</v>
      </c>
      <c r="I8" s="12">
        <f t="shared" si="0"/>
        <v>920</v>
      </c>
      <c r="J8" s="11" t="s">
        <v>2669</v>
      </c>
      <c r="K8" s="11" t="s">
        <v>33</v>
      </c>
      <c r="L8" s="11" t="s">
        <v>2667</v>
      </c>
      <c r="M8" s="11"/>
      <c r="N8" s="11"/>
      <c r="O8" s="11"/>
      <c r="P8" s="11"/>
      <c r="Q8" s="11">
        <v>1</v>
      </c>
    </row>
    <row r="9" spans="1:17" x14ac:dyDescent="0.25">
      <c r="A9" s="11"/>
      <c r="B9" s="11" t="s">
        <v>27</v>
      </c>
      <c r="C9" s="11" t="s">
        <v>2702</v>
      </c>
      <c r="D9" s="11" t="s">
        <v>2703</v>
      </c>
      <c r="E9" s="11" t="s">
        <v>2704</v>
      </c>
      <c r="F9" s="11" t="s">
        <v>444</v>
      </c>
      <c r="G9" s="12">
        <v>45</v>
      </c>
      <c r="H9" s="12">
        <v>45</v>
      </c>
      <c r="I9" s="12">
        <f t="shared" si="0"/>
        <v>0</v>
      </c>
      <c r="J9" s="11" t="s">
        <v>2669</v>
      </c>
      <c r="K9" s="11" t="s">
        <v>33</v>
      </c>
      <c r="L9" s="11" t="s">
        <v>2667</v>
      </c>
      <c r="M9" s="11"/>
      <c r="N9" s="11"/>
      <c r="O9" s="11"/>
      <c r="P9" s="11"/>
      <c r="Q9" s="11">
        <v>1</v>
      </c>
    </row>
    <row r="10" spans="1:17" x14ac:dyDescent="0.25">
      <c r="A10" s="11"/>
      <c r="B10" s="11" t="s">
        <v>27</v>
      </c>
      <c r="C10" s="11" t="s">
        <v>2714</v>
      </c>
      <c r="D10" s="11" t="s">
        <v>2715</v>
      </c>
      <c r="E10" s="11" t="s">
        <v>2716</v>
      </c>
      <c r="F10" s="11" t="s">
        <v>104</v>
      </c>
      <c r="G10" s="12">
        <v>1410</v>
      </c>
      <c r="H10" s="12">
        <v>30</v>
      </c>
      <c r="I10" s="12">
        <f t="shared" si="0"/>
        <v>1380</v>
      </c>
      <c r="J10" s="11" t="s">
        <v>2669</v>
      </c>
      <c r="K10" s="11" t="s">
        <v>33</v>
      </c>
      <c r="L10" s="11" t="s">
        <v>2667</v>
      </c>
      <c r="M10" s="11"/>
      <c r="N10" s="11"/>
      <c r="O10" s="11"/>
      <c r="P10" s="11"/>
      <c r="Q10" s="11">
        <v>1</v>
      </c>
    </row>
    <row r="11" spans="1:17" x14ac:dyDescent="0.25">
      <c r="A11" s="11"/>
      <c r="B11" s="11" t="s">
        <v>27</v>
      </c>
      <c r="C11" s="11" t="s">
        <v>2717</v>
      </c>
      <c r="D11" s="11" t="s">
        <v>2718</v>
      </c>
      <c r="E11" s="11" t="s">
        <v>2719</v>
      </c>
      <c r="F11" s="11" t="s">
        <v>104</v>
      </c>
      <c r="G11" s="12">
        <v>420</v>
      </c>
      <c r="H11" s="12">
        <v>30</v>
      </c>
      <c r="I11" s="12">
        <f t="shared" si="0"/>
        <v>390</v>
      </c>
      <c r="J11" s="11" t="s">
        <v>2669</v>
      </c>
      <c r="K11" s="11" t="s">
        <v>33</v>
      </c>
      <c r="L11" s="11" t="s">
        <v>2667</v>
      </c>
      <c r="M11" s="11"/>
      <c r="N11" s="11"/>
      <c r="O11" s="11"/>
      <c r="P11" s="11"/>
      <c r="Q11" s="11">
        <v>1</v>
      </c>
    </row>
    <row r="12" spans="1:17" x14ac:dyDescent="0.25">
      <c r="A12" s="11"/>
      <c r="B12" s="11" t="s">
        <v>27</v>
      </c>
      <c r="C12" s="11" t="s">
        <v>2723</v>
      </c>
      <c r="D12" s="11" t="s">
        <v>2724</v>
      </c>
      <c r="E12" s="11" t="s">
        <v>2725</v>
      </c>
      <c r="F12" s="11" t="s">
        <v>48</v>
      </c>
      <c r="G12" s="12">
        <v>1860</v>
      </c>
      <c r="H12" s="12">
        <v>30</v>
      </c>
      <c r="I12" s="12">
        <f t="shared" si="0"/>
        <v>1830</v>
      </c>
      <c r="J12" s="11" t="s">
        <v>2669</v>
      </c>
      <c r="K12" s="11" t="s">
        <v>33</v>
      </c>
      <c r="L12" s="11" t="s">
        <v>2667</v>
      </c>
      <c r="M12" s="11"/>
      <c r="N12" s="11"/>
      <c r="O12" s="11"/>
      <c r="P12" s="11"/>
      <c r="Q12" s="11">
        <v>1</v>
      </c>
    </row>
    <row r="13" spans="1:17" x14ac:dyDescent="0.25">
      <c r="A13" s="11"/>
      <c r="B13" s="11" t="s">
        <v>27</v>
      </c>
      <c r="C13" s="11" t="s">
        <v>2726</v>
      </c>
      <c r="D13" s="11" t="s">
        <v>2727</v>
      </c>
      <c r="E13" s="11" t="s">
        <v>2728</v>
      </c>
      <c r="F13" s="11" t="s">
        <v>31</v>
      </c>
      <c r="G13" s="12">
        <v>2535</v>
      </c>
      <c r="H13" s="12">
        <v>25</v>
      </c>
      <c r="I13" s="12">
        <f t="shared" si="0"/>
        <v>2510</v>
      </c>
      <c r="J13" s="11" t="s">
        <v>2669</v>
      </c>
      <c r="K13" s="11" t="s">
        <v>33</v>
      </c>
      <c r="L13" s="11" t="s">
        <v>2667</v>
      </c>
      <c r="M13" s="11"/>
      <c r="N13" s="11"/>
      <c r="O13" s="11"/>
      <c r="P13" s="11"/>
      <c r="Q13" s="11">
        <v>1</v>
      </c>
    </row>
    <row r="14" spans="1:17" x14ac:dyDescent="0.25">
      <c r="A14" s="11"/>
      <c r="B14" s="11" t="s">
        <v>27</v>
      </c>
      <c r="C14" s="11" t="s">
        <v>2729</v>
      </c>
      <c r="D14" s="11" t="s">
        <v>2730</v>
      </c>
      <c r="E14" s="11" t="s">
        <v>2731</v>
      </c>
      <c r="F14" s="11" t="s">
        <v>48</v>
      </c>
      <c r="G14" s="12">
        <v>280</v>
      </c>
      <c r="H14" s="12">
        <v>30</v>
      </c>
      <c r="I14" s="12">
        <f t="shared" si="0"/>
        <v>250</v>
      </c>
      <c r="J14" s="11" t="s">
        <v>2669</v>
      </c>
      <c r="K14" s="11" t="s">
        <v>33</v>
      </c>
      <c r="L14" s="11" t="s">
        <v>2667</v>
      </c>
      <c r="M14" s="11"/>
      <c r="N14" s="11"/>
      <c r="O14" s="11"/>
      <c r="P14" s="11"/>
      <c r="Q14" s="11">
        <v>1</v>
      </c>
    </row>
    <row r="15" spans="1:17" x14ac:dyDescent="0.25">
      <c r="A15" s="11"/>
      <c r="B15" s="11" t="s">
        <v>27</v>
      </c>
      <c r="C15" s="11" t="s">
        <v>2732</v>
      </c>
      <c r="D15" s="11" t="s">
        <v>2733</v>
      </c>
      <c r="E15" s="11" t="s">
        <v>2734</v>
      </c>
      <c r="F15" s="12">
        <v>9</v>
      </c>
      <c r="G15" s="12">
        <v>320</v>
      </c>
      <c r="H15" s="12">
        <v>30</v>
      </c>
      <c r="I15" s="12">
        <f t="shared" si="0"/>
        <v>290</v>
      </c>
      <c r="J15" s="11" t="s">
        <v>2669</v>
      </c>
      <c r="K15" s="11" t="s">
        <v>33</v>
      </c>
      <c r="L15" s="11" t="s">
        <v>2667</v>
      </c>
      <c r="M15" s="11"/>
      <c r="N15" s="11"/>
      <c r="O15" s="11"/>
      <c r="P15" s="11"/>
      <c r="Q15" s="11">
        <v>1</v>
      </c>
    </row>
    <row r="16" spans="1:17" x14ac:dyDescent="0.25">
      <c r="A16" s="11"/>
      <c r="B16" s="11" t="s">
        <v>27</v>
      </c>
      <c r="C16" s="11" t="s">
        <v>2741</v>
      </c>
      <c r="D16" s="11" t="s">
        <v>2742</v>
      </c>
      <c r="E16" s="11" t="s">
        <v>2743</v>
      </c>
      <c r="F16" s="11" t="s">
        <v>104</v>
      </c>
      <c r="G16" s="12">
        <v>420</v>
      </c>
      <c r="H16" s="12">
        <v>30</v>
      </c>
      <c r="I16" s="12">
        <f t="shared" si="0"/>
        <v>390</v>
      </c>
      <c r="J16" s="11" t="s">
        <v>2669</v>
      </c>
      <c r="K16" s="11" t="s">
        <v>33</v>
      </c>
      <c r="L16" s="11" t="s">
        <v>2667</v>
      </c>
      <c r="M16" s="11"/>
      <c r="N16" s="11"/>
      <c r="O16" s="11"/>
      <c r="P16" s="11"/>
      <c r="Q16" s="11">
        <v>1</v>
      </c>
    </row>
    <row r="17" spans="1:17" x14ac:dyDescent="0.25">
      <c r="A17" s="11"/>
      <c r="B17" s="11" t="s">
        <v>27</v>
      </c>
      <c r="C17" s="11" t="s">
        <v>2752</v>
      </c>
      <c r="D17" s="11" t="s">
        <v>2753</v>
      </c>
      <c r="E17" s="11" t="s">
        <v>2754</v>
      </c>
      <c r="F17" s="11" t="s">
        <v>55</v>
      </c>
      <c r="G17" s="12">
        <v>325</v>
      </c>
      <c r="H17" s="12">
        <v>35</v>
      </c>
      <c r="I17" s="12">
        <f t="shared" si="0"/>
        <v>290</v>
      </c>
      <c r="J17" s="11" t="s">
        <v>2669</v>
      </c>
      <c r="K17" s="11" t="s">
        <v>33</v>
      </c>
      <c r="L17" s="11" t="s">
        <v>2667</v>
      </c>
      <c r="M17" s="24" t="s">
        <v>1217</v>
      </c>
      <c r="N17" s="11"/>
      <c r="O17" s="11"/>
      <c r="P17" s="11"/>
      <c r="Q17" s="11">
        <v>1</v>
      </c>
    </row>
    <row r="18" spans="1:17" x14ac:dyDescent="0.25">
      <c r="A18" s="11"/>
      <c r="B18" s="11" t="s">
        <v>27</v>
      </c>
      <c r="C18" s="11" t="s">
        <v>2818</v>
      </c>
      <c r="D18" s="11" t="s">
        <v>2819</v>
      </c>
      <c r="E18" s="11" t="s">
        <v>2754</v>
      </c>
      <c r="F18" s="11" t="s">
        <v>55</v>
      </c>
      <c r="G18" s="12">
        <v>260</v>
      </c>
      <c r="H18" s="12">
        <v>0</v>
      </c>
      <c r="I18" s="12">
        <f t="shared" si="0"/>
        <v>260</v>
      </c>
      <c r="J18" s="11" t="s">
        <v>2669</v>
      </c>
      <c r="K18" s="11" t="s">
        <v>33</v>
      </c>
      <c r="L18" s="11" t="s">
        <v>2667</v>
      </c>
      <c r="M18" s="24" t="s">
        <v>1217</v>
      </c>
      <c r="N18" s="11"/>
      <c r="O18" s="11"/>
      <c r="P18" s="11"/>
      <c r="Q18" s="11">
        <v>1</v>
      </c>
    </row>
    <row r="19" spans="1:17" x14ac:dyDescent="0.25">
      <c r="A19" s="11"/>
      <c r="B19" s="11" t="s">
        <v>27</v>
      </c>
      <c r="C19" s="11" t="s">
        <v>2755</v>
      </c>
      <c r="D19" s="11" t="s">
        <v>2756</v>
      </c>
      <c r="E19" s="11" t="s">
        <v>2757</v>
      </c>
      <c r="F19" s="11" t="s">
        <v>31</v>
      </c>
      <c r="G19" s="12">
        <v>1655</v>
      </c>
      <c r="H19" s="12">
        <v>25</v>
      </c>
      <c r="I19" s="12">
        <f t="shared" si="0"/>
        <v>1630</v>
      </c>
      <c r="J19" s="11" t="s">
        <v>2669</v>
      </c>
      <c r="K19" s="11" t="s">
        <v>33</v>
      </c>
      <c r="L19" s="11" t="s">
        <v>2667</v>
      </c>
      <c r="M19" s="11"/>
      <c r="N19" s="11"/>
      <c r="O19" s="11"/>
      <c r="P19" s="11"/>
      <c r="Q19" s="11">
        <v>1</v>
      </c>
    </row>
    <row r="20" spans="1:17" x14ac:dyDescent="0.25">
      <c r="A20" s="11"/>
      <c r="B20" s="11" t="s">
        <v>27</v>
      </c>
      <c r="C20" s="11" t="s">
        <v>2758</v>
      </c>
      <c r="D20" s="11" t="s">
        <v>2759</v>
      </c>
      <c r="E20" s="11" t="s">
        <v>2760</v>
      </c>
      <c r="F20" s="11" t="s">
        <v>48</v>
      </c>
      <c r="G20" s="12">
        <v>1170</v>
      </c>
      <c r="H20" s="12">
        <v>30</v>
      </c>
      <c r="I20" s="12">
        <f t="shared" si="0"/>
        <v>1140</v>
      </c>
      <c r="J20" s="11" t="s">
        <v>2669</v>
      </c>
      <c r="K20" s="11" t="s">
        <v>33</v>
      </c>
      <c r="L20" s="11" t="s">
        <v>2667</v>
      </c>
      <c r="M20" s="11"/>
      <c r="N20" s="11"/>
      <c r="O20" s="11"/>
      <c r="P20" s="11"/>
      <c r="Q20" s="11">
        <v>1</v>
      </c>
    </row>
    <row r="21" spans="1:17" x14ac:dyDescent="0.25">
      <c r="A21" s="11"/>
      <c r="B21" s="11" t="s">
        <v>27</v>
      </c>
      <c r="C21" s="11" t="s">
        <v>2776</v>
      </c>
      <c r="D21" s="11" t="s">
        <v>2777</v>
      </c>
      <c r="E21" s="11" t="s">
        <v>2778</v>
      </c>
      <c r="F21" s="12">
        <v>9</v>
      </c>
      <c r="G21" s="12">
        <v>1350</v>
      </c>
      <c r="H21" s="12">
        <v>30</v>
      </c>
      <c r="I21" s="12">
        <f t="shared" si="0"/>
        <v>1320</v>
      </c>
      <c r="J21" s="11" t="s">
        <v>2669</v>
      </c>
      <c r="K21" s="11" t="s">
        <v>33</v>
      </c>
      <c r="L21" s="11" t="s">
        <v>2667</v>
      </c>
      <c r="M21" s="11"/>
      <c r="N21" s="11"/>
      <c r="O21" s="11"/>
      <c r="P21" s="11"/>
      <c r="Q21" s="11">
        <v>1</v>
      </c>
    </row>
    <row r="22" spans="1:17" x14ac:dyDescent="0.25">
      <c r="A22" s="11"/>
      <c r="B22" s="11" t="s">
        <v>27</v>
      </c>
      <c r="C22" s="11" t="s">
        <v>2782</v>
      </c>
      <c r="D22" s="11" t="s">
        <v>2783</v>
      </c>
      <c r="E22" s="11" t="s">
        <v>2784</v>
      </c>
      <c r="F22" s="12">
        <v>9</v>
      </c>
      <c r="G22" s="12">
        <v>1020</v>
      </c>
      <c r="H22" s="12">
        <v>30</v>
      </c>
      <c r="I22" s="12">
        <f t="shared" si="0"/>
        <v>990</v>
      </c>
      <c r="J22" s="11" t="s">
        <v>2669</v>
      </c>
      <c r="K22" s="11" t="s">
        <v>33</v>
      </c>
      <c r="L22" s="11" t="s">
        <v>2667</v>
      </c>
      <c r="M22" s="11"/>
      <c r="N22" s="11"/>
      <c r="O22" s="11"/>
      <c r="P22" s="11"/>
      <c r="Q22" s="11">
        <v>1</v>
      </c>
    </row>
    <row r="23" spans="1:17" x14ac:dyDescent="0.25">
      <c r="A23" s="11"/>
      <c r="B23" s="11" t="s">
        <v>27</v>
      </c>
      <c r="C23" s="11" t="s">
        <v>2800</v>
      </c>
      <c r="D23" s="11" t="s">
        <v>2801</v>
      </c>
      <c r="E23" s="11" t="s">
        <v>2802</v>
      </c>
      <c r="F23" s="12">
        <v>7</v>
      </c>
      <c r="G23" s="12">
        <v>1890</v>
      </c>
      <c r="H23" s="12">
        <v>30</v>
      </c>
      <c r="I23" s="12">
        <f t="shared" si="0"/>
        <v>1860</v>
      </c>
      <c r="J23" s="11" t="s">
        <v>2669</v>
      </c>
      <c r="K23" s="11" t="s">
        <v>33</v>
      </c>
      <c r="L23" s="11" t="s">
        <v>2667</v>
      </c>
      <c r="M23" s="11"/>
      <c r="N23" s="11"/>
      <c r="O23" s="11"/>
      <c r="P23" s="11"/>
      <c r="Q23" s="11">
        <v>1</v>
      </c>
    </row>
    <row r="24" spans="1:17" x14ac:dyDescent="0.25">
      <c r="A24" s="11"/>
      <c r="B24" s="11" t="s">
        <v>27</v>
      </c>
      <c r="C24" s="11" t="s">
        <v>2806</v>
      </c>
      <c r="D24" s="11" t="s">
        <v>2807</v>
      </c>
      <c r="E24" s="11" t="s">
        <v>2808</v>
      </c>
      <c r="F24" s="12">
        <v>12</v>
      </c>
      <c r="G24" s="12">
        <v>430</v>
      </c>
      <c r="H24" s="12">
        <v>30</v>
      </c>
      <c r="I24" s="12">
        <f t="shared" si="0"/>
        <v>400</v>
      </c>
      <c r="J24" s="11" t="s">
        <v>2669</v>
      </c>
      <c r="K24" s="11" t="s">
        <v>33</v>
      </c>
      <c r="L24" s="11" t="s">
        <v>2667</v>
      </c>
      <c r="M24" s="11"/>
      <c r="N24" s="11"/>
      <c r="O24" s="11"/>
      <c r="P24" s="11"/>
      <c r="Q24" s="11">
        <v>1</v>
      </c>
    </row>
    <row r="25" spans="1:17" x14ac:dyDescent="0.25">
      <c r="A25" s="11"/>
      <c r="B25" s="11" t="s">
        <v>27</v>
      </c>
      <c r="C25" s="11" t="s">
        <v>2809</v>
      </c>
      <c r="D25" s="11" t="s">
        <v>2810</v>
      </c>
      <c r="E25" s="11" t="s">
        <v>2811</v>
      </c>
      <c r="F25" s="12">
        <v>9</v>
      </c>
      <c r="G25" s="12">
        <v>420</v>
      </c>
      <c r="H25" s="12">
        <v>30</v>
      </c>
      <c r="I25" s="12">
        <f t="shared" si="0"/>
        <v>390</v>
      </c>
      <c r="J25" s="11" t="s">
        <v>2669</v>
      </c>
      <c r="K25" s="11" t="s">
        <v>33</v>
      </c>
      <c r="L25" s="11" t="s">
        <v>2667</v>
      </c>
      <c r="M25" s="11"/>
      <c r="N25" s="11"/>
      <c r="O25" s="11"/>
      <c r="P25" s="11"/>
      <c r="Q25" s="11">
        <v>1</v>
      </c>
    </row>
    <row r="26" spans="1:17" x14ac:dyDescent="0.25">
      <c r="A26" s="11"/>
      <c r="B26" s="11" t="s">
        <v>27</v>
      </c>
      <c r="C26" s="11" t="s">
        <v>2815</v>
      </c>
      <c r="D26" s="11" t="s">
        <v>2816</v>
      </c>
      <c r="E26" s="11" t="s">
        <v>2817</v>
      </c>
      <c r="F26" s="11" t="s">
        <v>48</v>
      </c>
      <c r="G26" s="12">
        <v>320</v>
      </c>
      <c r="H26" s="12">
        <v>30</v>
      </c>
      <c r="I26" s="12">
        <f t="shared" si="0"/>
        <v>290</v>
      </c>
      <c r="J26" s="11" t="s">
        <v>2669</v>
      </c>
      <c r="K26" s="11" t="s">
        <v>33</v>
      </c>
      <c r="L26" s="11" t="s">
        <v>2667</v>
      </c>
      <c r="M26" s="11"/>
      <c r="N26" s="11"/>
      <c r="O26" s="11"/>
      <c r="P26" s="11"/>
      <c r="Q26" s="11">
        <v>1</v>
      </c>
    </row>
    <row r="27" spans="1:17" x14ac:dyDescent="0.25">
      <c r="A27" s="11"/>
      <c r="B27" s="11" t="s">
        <v>27</v>
      </c>
      <c r="C27" s="11" t="s">
        <v>2829</v>
      </c>
      <c r="D27" s="11" t="s">
        <v>2830</v>
      </c>
      <c r="E27" s="11" t="s">
        <v>2831</v>
      </c>
      <c r="F27" s="11" t="s">
        <v>31</v>
      </c>
      <c r="G27" s="12">
        <v>255</v>
      </c>
      <c r="H27" s="12">
        <v>25</v>
      </c>
      <c r="I27" s="12">
        <f t="shared" si="0"/>
        <v>230</v>
      </c>
      <c r="J27" s="11" t="s">
        <v>2669</v>
      </c>
      <c r="K27" s="11" t="s">
        <v>33</v>
      </c>
      <c r="L27" s="11" t="s">
        <v>2667</v>
      </c>
      <c r="M27" s="11"/>
      <c r="N27" s="11"/>
      <c r="O27" s="11"/>
      <c r="P27" s="11"/>
      <c r="Q27" s="11">
        <v>1</v>
      </c>
    </row>
    <row r="28" spans="1:17" x14ac:dyDescent="0.25">
      <c r="A28" s="11"/>
      <c r="B28" s="11" t="s">
        <v>27</v>
      </c>
      <c r="C28" s="11" t="s">
        <v>2834</v>
      </c>
      <c r="D28" s="11" t="s">
        <v>2835</v>
      </c>
      <c r="E28" s="11" t="s">
        <v>2836</v>
      </c>
      <c r="F28" s="12">
        <v>9</v>
      </c>
      <c r="G28" s="12">
        <v>560</v>
      </c>
      <c r="H28" s="12">
        <v>30</v>
      </c>
      <c r="I28" s="12">
        <f t="shared" si="0"/>
        <v>530</v>
      </c>
      <c r="J28" s="11" t="s">
        <v>2669</v>
      </c>
      <c r="K28" s="11" t="s">
        <v>33</v>
      </c>
      <c r="L28" s="11" t="s">
        <v>2667</v>
      </c>
      <c r="M28" s="11"/>
      <c r="N28" s="11"/>
      <c r="O28" s="11"/>
      <c r="P28" s="11"/>
      <c r="Q28" s="11">
        <v>1</v>
      </c>
    </row>
    <row r="29" spans="1:17" x14ac:dyDescent="0.25">
      <c r="A29" s="11"/>
      <c r="B29" s="11" t="s">
        <v>27</v>
      </c>
      <c r="C29" s="11" t="s">
        <v>2837</v>
      </c>
      <c r="D29" s="11" t="s">
        <v>2838</v>
      </c>
      <c r="E29" s="11" t="s">
        <v>2839</v>
      </c>
      <c r="F29" s="12">
        <v>11</v>
      </c>
      <c r="G29" s="12">
        <v>255</v>
      </c>
      <c r="H29" s="12">
        <v>25</v>
      </c>
      <c r="I29" s="12">
        <f t="shared" si="0"/>
        <v>230</v>
      </c>
      <c r="J29" s="11" t="s">
        <v>2669</v>
      </c>
      <c r="K29" s="11" t="s">
        <v>33</v>
      </c>
      <c r="L29" s="11" t="s">
        <v>2667</v>
      </c>
      <c r="M29" s="11"/>
      <c r="N29" s="11"/>
      <c r="O29" s="11"/>
      <c r="P29" s="11"/>
      <c r="Q29" s="11">
        <v>1</v>
      </c>
    </row>
    <row r="30" spans="1:17" x14ac:dyDescent="0.25">
      <c r="A30" s="11"/>
      <c r="B30" s="11" t="s">
        <v>27</v>
      </c>
      <c r="C30" s="11" t="s">
        <v>2840</v>
      </c>
      <c r="D30" s="11" t="s">
        <v>2841</v>
      </c>
      <c r="E30" s="11" t="s">
        <v>2842</v>
      </c>
      <c r="F30" s="11" t="s">
        <v>48</v>
      </c>
      <c r="G30" s="12">
        <v>1060</v>
      </c>
      <c r="H30" s="12">
        <v>30</v>
      </c>
      <c r="I30" s="12">
        <f t="shared" si="0"/>
        <v>1030</v>
      </c>
      <c r="J30" s="11" t="s">
        <v>2669</v>
      </c>
      <c r="K30" s="11" t="s">
        <v>33</v>
      </c>
      <c r="L30" s="11" t="s">
        <v>2667</v>
      </c>
      <c r="M30" s="11"/>
      <c r="N30" s="11"/>
      <c r="O30" s="11"/>
      <c r="P30" s="11"/>
      <c r="Q30" s="11">
        <v>1</v>
      </c>
    </row>
    <row r="31" spans="1:17" x14ac:dyDescent="0.25">
      <c r="A31" s="11"/>
      <c r="B31" s="11" t="s">
        <v>27</v>
      </c>
      <c r="C31" s="11" t="s">
        <v>2843</v>
      </c>
      <c r="D31" s="11" t="s">
        <v>2844</v>
      </c>
      <c r="E31" s="11" t="s">
        <v>2845</v>
      </c>
      <c r="F31" s="12">
        <v>7</v>
      </c>
      <c r="G31" s="12">
        <v>450</v>
      </c>
      <c r="H31" s="12">
        <v>30</v>
      </c>
      <c r="I31" s="12">
        <f t="shared" si="0"/>
        <v>420</v>
      </c>
      <c r="J31" s="11" t="s">
        <v>2669</v>
      </c>
      <c r="K31" s="11" t="s">
        <v>33</v>
      </c>
      <c r="L31" s="11" t="s">
        <v>2667</v>
      </c>
      <c r="M31" s="11"/>
      <c r="N31" s="11"/>
      <c r="O31" s="11"/>
      <c r="P31" s="11"/>
      <c r="Q31" s="11">
        <v>1</v>
      </c>
    </row>
    <row r="32" spans="1:17" x14ac:dyDescent="0.25">
      <c r="A32" s="11"/>
      <c r="B32" s="11" t="s">
        <v>27</v>
      </c>
      <c r="C32" s="11" t="s">
        <v>2846</v>
      </c>
      <c r="D32" s="11" t="s">
        <v>2847</v>
      </c>
      <c r="E32" s="11" t="s">
        <v>1570</v>
      </c>
      <c r="F32" s="11" t="s">
        <v>55</v>
      </c>
      <c r="G32" s="12">
        <v>1355</v>
      </c>
      <c r="H32" s="12">
        <v>35</v>
      </c>
      <c r="I32" s="12">
        <f t="shared" si="0"/>
        <v>1320</v>
      </c>
      <c r="J32" s="11" t="s">
        <v>2669</v>
      </c>
      <c r="K32" s="11" t="s">
        <v>33</v>
      </c>
      <c r="L32" s="11" t="s">
        <v>2667</v>
      </c>
      <c r="M32" s="11"/>
      <c r="N32" s="11"/>
      <c r="O32" s="11"/>
      <c r="P32" s="11"/>
      <c r="Q32" s="11">
        <v>1</v>
      </c>
    </row>
    <row r="33" spans="1:17" x14ac:dyDescent="0.25">
      <c r="A33" s="11"/>
      <c r="B33" s="11" t="s">
        <v>27</v>
      </c>
      <c r="C33" s="11" t="s">
        <v>2848</v>
      </c>
      <c r="D33" s="11" t="s">
        <v>2849</v>
      </c>
      <c r="E33" s="11" t="s">
        <v>2850</v>
      </c>
      <c r="F33" s="12">
        <v>12</v>
      </c>
      <c r="G33" s="12">
        <v>420</v>
      </c>
      <c r="H33" s="12">
        <v>30</v>
      </c>
      <c r="I33" s="12">
        <f t="shared" si="0"/>
        <v>390</v>
      </c>
      <c r="J33" s="11" t="s">
        <v>2669</v>
      </c>
      <c r="K33" s="11" t="s">
        <v>33</v>
      </c>
      <c r="L33" s="11" t="s">
        <v>2667</v>
      </c>
      <c r="M33" s="11"/>
      <c r="N33" s="11"/>
      <c r="O33" s="11"/>
      <c r="P33" s="11"/>
      <c r="Q33" s="11">
        <v>1</v>
      </c>
    </row>
    <row r="34" spans="1:17" x14ac:dyDescent="0.25">
      <c r="A34" s="11"/>
      <c r="B34" s="11" t="s">
        <v>27</v>
      </c>
      <c r="C34" s="11" t="s">
        <v>2851</v>
      </c>
      <c r="D34" s="11" t="s">
        <v>2852</v>
      </c>
      <c r="E34" s="11" t="s">
        <v>2853</v>
      </c>
      <c r="F34" s="11" t="s">
        <v>48</v>
      </c>
      <c r="G34" s="12">
        <v>1420</v>
      </c>
      <c r="H34" s="12">
        <v>30</v>
      </c>
      <c r="I34" s="12">
        <f t="shared" si="0"/>
        <v>1390</v>
      </c>
      <c r="J34" s="11" t="s">
        <v>2669</v>
      </c>
      <c r="K34" s="11" t="s">
        <v>33</v>
      </c>
      <c r="L34" s="11" t="s">
        <v>2667</v>
      </c>
      <c r="M34" s="11"/>
      <c r="N34" s="11"/>
      <c r="O34" s="11"/>
      <c r="P34" s="11"/>
      <c r="Q34" s="11">
        <v>1</v>
      </c>
    </row>
    <row r="35" spans="1:17" x14ac:dyDescent="0.25">
      <c r="A35" s="11"/>
      <c r="B35" s="11" t="s">
        <v>27</v>
      </c>
      <c r="C35" s="11" t="s">
        <v>2854</v>
      </c>
      <c r="D35" s="11" t="s">
        <v>2855</v>
      </c>
      <c r="E35" s="11" t="s">
        <v>2856</v>
      </c>
      <c r="F35" s="12">
        <v>9</v>
      </c>
      <c r="G35" s="12">
        <v>320</v>
      </c>
      <c r="H35" s="12">
        <v>30</v>
      </c>
      <c r="I35" s="12">
        <f t="shared" ref="I35:I66" si="1">G35-H35</f>
        <v>290</v>
      </c>
      <c r="J35" s="11" t="s">
        <v>2669</v>
      </c>
      <c r="K35" s="11" t="s">
        <v>33</v>
      </c>
      <c r="L35" s="11" t="s">
        <v>2667</v>
      </c>
      <c r="M35" s="11"/>
      <c r="N35" s="11"/>
      <c r="O35" s="11"/>
      <c r="P35" s="11"/>
      <c r="Q35" s="11">
        <v>1</v>
      </c>
    </row>
    <row r="36" spans="1:17" x14ac:dyDescent="0.25">
      <c r="A36" s="11"/>
      <c r="B36" s="11" t="s">
        <v>27</v>
      </c>
      <c r="C36" s="11" t="s">
        <v>2862</v>
      </c>
      <c r="D36" s="11" t="s">
        <v>2863</v>
      </c>
      <c r="E36" s="11" t="s">
        <v>2864</v>
      </c>
      <c r="F36" s="11" t="s">
        <v>55</v>
      </c>
      <c r="G36" s="12">
        <v>375</v>
      </c>
      <c r="H36" s="12">
        <v>35</v>
      </c>
      <c r="I36" s="12">
        <f t="shared" si="1"/>
        <v>340</v>
      </c>
      <c r="J36" s="11" t="s">
        <v>2669</v>
      </c>
      <c r="K36" s="11" t="s">
        <v>33</v>
      </c>
      <c r="L36" s="11" t="s">
        <v>2667</v>
      </c>
      <c r="M36" s="11"/>
      <c r="N36" s="11"/>
      <c r="O36" s="11"/>
      <c r="P36" s="11"/>
      <c r="Q36" s="11">
        <v>1</v>
      </c>
    </row>
    <row r="37" spans="1:17" x14ac:dyDescent="0.25">
      <c r="A37" s="11"/>
      <c r="B37" s="11" t="s">
        <v>27</v>
      </c>
      <c r="C37" s="11" t="s">
        <v>2620</v>
      </c>
      <c r="D37" s="11" t="s">
        <v>2868</v>
      </c>
      <c r="E37" s="11" t="s">
        <v>2869</v>
      </c>
      <c r="F37" s="12">
        <v>11</v>
      </c>
      <c r="G37" s="12">
        <v>375</v>
      </c>
      <c r="H37" s="12">
        <v>25</v>
      </c>
      <c r="I37" s="12">
        <f t="shared" si="1"/>
        <v>350</v>
      </c>
      <c r="J37" s="11" t="s">
        <v>2669</v>
      </c>
      <c r="K37" s="11" t="s">
        <v>33</v>
      </c>
      <c r="L37" s="11" t="s">
        <v>2667</v>
      </c>
      <c r="M37" s="11"/>
      <c r="N37" s="11"/>
      <c r="O37" s="11"/>
      <c r="P37" s="11"/>
      <c r="Q37" s="11">
        <v>1</v>
      </c>
    </row>
    <row r="38" spans="1:17" x14ac:dyDescent="0.25">
      <c r="A38" s="11"/>
      <c r="B38" s="11" t="s">
        <v>27</v>
      </c>
      <c r="C38" s="11" t="s">
        <v>2873</v>
      </c>
      <c r="D38" s="11" t="s">
        <v>2874</v>
      </c>
      <c r="E38" s="11" t="s">
        <v>2875</v>
      </c>
      <c r="F38" s="11" t="s">
        <v>31</v>
      </c>
      <c r="G38" s="12">
        <v>395</v>
      </c>
      <c r="H38" s="12">
        <v>25</v>
      </c>
      <c r="I38" s="12">
        <f t="shared" si="1"/>
        <v>370</v>
      </c>
      <c r="J38" s="11" t="s">
        <v>2669</v>
      </c>
      <c r="K38" s="11" t="s">
        <v>33</v>
      </c>
      <c r="L38" s="11" t="s">
        <v>2667</v>
      </c>
      <c r="M38" s="11"/>
      <c r="N38" s="11"/>
      <c r="O38" s="11"/>
      <c r="P38" s="11"/>
      <c r="Q38" s="11">
        <v>1</v>
      </c>
    </row>
    <row r="39" spans="1:17" x14ac:dyDescent="0.25">
      <c r="A39" s="11"/>
      <c r="B39" s="11" t="s">
        <v>27</v>
      </c>
      <c r="C39" s="11" t="s">
        <v>2887</v>
      </c>
      <c r="D39" s="11" t="s">
        <v>2888</v>
      </c>
      <c r="E39" s="11" t="s">
        <v>2889</v>
      </c>
      <c r="F39" s="12">
        <v>9</v>
      </c>
      <c r="G39" s="12">
        <v>860</v>
      </c>
      <c r="H39" s="12">
        <v>30</v>
      </c>
      <c r="I39" s="12">
        <f t="shared" si="1"/>
        <v>830</v>
      </c>
      <c r="J39" s="11" t="s">
        <v>2669</v>
      </c>
      <c r="K39" s="11" t="s">
        <v>33</v>
      </c>
      <c r="L39" s="11" t="s">
        <v>2667</v>
      </c>
      <c r="M39" s="11"/>
      <c r="N39" s="11"/>
      <c r="O39" s="11"/>
      <c r="P39" s="11"/>
      <c r="Q39" s="11">
        <v>1</v>
      </c>
    </row>
    <row r="40" spans="1:17" x14ac:dyDescent="0.25">
      <c r="A40" s="11"/>
      <c r="B40" s="11" t="s">
        <v>27</v>
      </c>
      <c r="C40" s="11" t="s">
        <v>2890</v>
      </c>
      <c r="D40" s="11" t="s">
        <v>2891</v>
      </c>
      <c r="E40" s="11" t="s">
        <v>2892</v>
      </c>
      <c r="F40" s="11" t="s">
        <v>104</v>
      </c>
      <c r="G40" s="12">
        <v>440</v>
      </c>
      <c r="H40" s="12">
        <v>30</v>
      </c>
      <c r="I40" s="12">
        <f t="shared" si="1"/>
        <v>410</v>
      </c>
      <c r="J40" s="11" t="s">
        <v>2669</v>
      </c>
      <c r="K40" s="11" t="s">
        <v>33</v>
      </c>
      <c r="L40" s="11" t="s">
        <v>2667</v>
      </c>
      <c r="M40" s="11"/>
      <c r="N40" s="11"/>
      <c r="O40" s="11"/>
      <c r="P40" s="11"/>
      <c r="Q40" s="11">
        <v>1</v>
      </c>
    </row>
    <row r="41" spans="1:17" x14ac:dyDescent="0.25">
      <c r="A41" s="11"/>
      <c r="B41" s="11" t="s">
        <v>27</v>
      </c>
      <c r="C41" s="11" t="s">
        <v>2893</v>
      </c>
      <c r="D41" s="11" t="s">
        <v>2894</v>
      </c>
      <c r="E41" s="11" t="s">
        <v>2895</v>
      </c>
      <c r="F41" s="11" t="s">
        <v>444</v>
      </c>
      <c r="G41" s="12">
        <v>765</v>
      </c>
      <c r="H41" s="12">
        <v>35</v>
      </c>
      <c r="I41" s="12">
        <f t="shared" si="1"/>
        <v>730</v>
      </c>
      <c r="J41" s="11" t="s">
        <v>2669</v>
      </c>
      <c r="K41" s="11" t="s">
        <v>33</v>
      </c>
      <c r="L41" s="11" t="s">
        <v>2667</v>
      </c>
      <c r="M41" s="11"/>
      <c r="N41" s="11"/>
      <c r="O41" s="11"/>
      <c r="P41" s="11"/>
      <c r="Q41" s="11">
        <v>1</v>
      </c>
    </row>
    <row r="42" spans="1:17" x14ac:dyDescent="0.25">
      <c r="A42" s="11"/>
      <c r="B42" s="11" t="s">
        <v>27</v>
      </c>
      <c r="C42" s="11" t="s">
        <v>2899</v>
      </c>
      <c r="D42" s="11" t="s">
        <v>2900</v>
      </c>
      <c r="E42" s="11" t="s">
        <v>2901</v>
      </c>
      <c r="F42" s="11" t="s">
        <v>31</v>
      </c>
      <c r="G42" s="12">
        <v>725</v>
      </c>
      <c r="H42" s="12">
        <v>25</v>
      </c>
      <c r="I42" s="12">
        <f t="shared" si="1"/>
        <v>700</v>
      </c>
      <c r="J42" s="11" t="s">
        <v>2669</v>
      </c>
      <c r="K42" s="11" t="s">
        <v>33</v>
      </c>
      <c r="L42" s="11" t="s">
        <v>2667</v>
      </c>
      <c r="M42" s="11"/>
      <c r="N42" s="11"/>
      <c r="O42" s="11"/>
      <c r="P42" s="11"/>
      <c r="Q42" s="11">
        <v>1</v>
      </c>
    </row>
    <row r="43" spans="1:17" x14ac:dyDescent="0.25">
      <c r="A43" s="11"/>
      <c r="B43" s="11" t="s">
        <v>27</v>
      </c>
      <c r="C43" s="11" t="s">
        <v>2908</v>
      </c>
      <c r="D43" s="11" t="s">
        <v>2909</v>
      </c>
      <c r="E43" s="11" t="s">
        <v>2910</v>
      </c>
      <c r="F43" s="12">
        <v>12</v>
      </c>
      <c r="G43" s="12">
        <v>420</v>
      </c>
      <c r="H43" s="12">
        <v>30</v>
      </c>
      <c r="I43" s="12">
        <f t="shared" si="1"/>
        <v>390</v>
      </c>
      <c r="J43" s="11" t="s">
        <v>2669</v>
      </c>
      <c r="K43" s="11" t="s">
        <v>33</v>
      </c>
      <c r="L43" s="11" t="s">
        <v>2667</v>
      </c>
      <c r="M43" s="11"/>
      <c r="N43" s="11"/>
      <c r="O43" s="11"/>
      <c r="P43" s="11"/>
      <c r="Q43" s="11">
        <v>1</v>
      </c>
    </row>
    <row r="44" spans="1:17" x14ac:dyDescent="0.25">
      <c r="A44" s="11"/>
      <c r="B44" s="11" t="s">
        <v>27</v>
      </c>
      <c r="C44" s="11" t="s">
        <v>2944</v>
      </c>
      <c r="D44" s="11" t="s">
        <v>2945</v>
      </c>
      <c r="E44" s="11" t="s">
        <v>2946</v>
      </c>
      <c r="F44" s="12">
        <v>7</v>
      </c>
      <c r="G44" s="12">
        <v>470</v>
      </c>
      <c r="H44" s="12">
        <v>30</v>
      </c>
      <c r="I44" s="12">
        <f t="shared" si="1"/>
        <v>440</v>
      </c>
      <c r="J44" s="11" t="s">
        <v>2669</v>
      </c>
      <c r="K44" s="11" t="s">
        <v>33</v>
      </c>
      <c r="L44" s="11" t="s">
        <v>2667</v>
      </c>
      <c r="M44" s="11"/>
      <c r="N44" s="11"/>
      <c r="O44" s="11"/>
      <c r="P44" s="11"/>
      <c r="Q44" s="11">
        <v>1</v>
      </c>
    </row>
    <row r="45" spans="1:17" x14ac:dyDescent="0.25">
      <c r="A45" s="11"/>
      <c r="B45" s="11" t="s">
        <v>27</v>
      </c>
      <c r="C45" s="11" t="s">
        <v>2952</v>
      </c>
      <c r="D45" s="11" t="s">
        <v>2953</v>
      </c>
      <c r="E45" s="11" t="s">
        <v>2954</v>
      </c>
      <c r="F45" s="11" t="s">
        <v>104</v>
      </c>
      <c r="G45" s="12">
        <v>180</v>
      </c>
      <c r="H45" s="12">
        <v>30</v>
      </c>
      <c r="I45" s="12">
        <f t="shared" si="1"/>
        <v>150</v>
      </c>
      <c r="J45" s="11" t="s">
        <v>2669</v>
      </c>
      <c r="K45" s="11" t="s">
        <v>33</v>
      </c>
      <c r="L45" s="11" t="s">
        <v>2667</v>
      </c>
      <c r="M45" s="11"/>
      <c r="N45" s="11"/>
      <c r="O45" s="11"/>
      <c r="P45" s="11"/>
      <c r="Q45" s="11">
        <v>1</v>
      </c>
    </row>
    <row r="46" spans="1:17" x14ac:dyDescent="0.25">
      <c r="A46" s="11"/>
      <c r="B46" s="11" t="s">
        <v>27</v>
      </c>
      <c r="C46" s="11" t="s">
        <v>2958</v>
      </c>
      <c r="D46" s="11" t="s">
        <v>2959</v>
      </c>
      <c r="E46" s="11" t="s">
        <v>2960</v>
      </c>
      <c r="F46" s="12">
        <v>7</v>
      </c>
      <c r="G46" s="12">
        <v>620</v>
      </c>
      <c r="H46" s="12">
        <v>30</v>
      </c>
      <c r="I46" s="12">
        <f t="shared" si="1"/>
        <v>590</v>
      </c>
      <c r="J46" s="11" t="s">
        <v>2669</v>
      </c>
      <c r="K46" s="11" t="s">
        <v>33</v>
      </c>
      <c r="L46" s="11" t="s">
        <v>2667</v>
      </c>
      <c r="M46" s="11"/>
      <c r="N46" s="11"/>
      <c r="O46" s="11"/>
      <c r="P46" s="11"/>
      <c r="Q46" s="11">
        <v>1</v>
      </c>
    </row>
    <row r="47" spans="1:17" x14ac:dyDescent="0.25">
      <c r="A47" s="11"/>
      <c r="B47" s="11" t="s">
        <v>27</v>
      </c>
      <c r="C47" s="11" t="s">
        <v>2961</v>
      </c>
      <c r="D47" s="11" t="s">
        <v>2962</v>
      </c>
      <c r="E47" s="11" t="s">
        <v>2963</v>
      </c>
      <c r="F47" s="12">
        <v>9</v>
      </c>
      <c r="G47" s="12">
        <v>1600</v>
      </c>
      <c r="H47" s="12">
        <v>30</v>
      </c>
      <c r="I47" s="12">
        <f t="shared" si="1"/>
        <v>1570</v>
      </c>
      <c r="J47" s="11" t="s">
        <v>2669</v>
      </c>
      <c r="K47" s="11" t="s">
        <v>33</v>
      </c>
      <c r="L47" s="11" t="s">
        <v>2667</v>
      </c>
      <c r="M47" s="11"/>
      <c r="N47" s="11"/>
      <c r="O47" s="11"/>
      <c r="P47" s="11"/>
      <c r="Q47" s="11">
        <v>1</v>
      </c>
    </row>
    <row r="48" spans="1:17" x14ac:dyDescent="0.25">
      <c r="A48" s="11"/>
      <c r="B48" s="11" t="s">
        <v>27</v>
      </c>
      <c r="C48" s="11" t="s">
        <v>2964</v>
      </c>
      <c r="D48" s="11" t="s">
        <v>2965</v>
      </c>
      <c r="E48" s="11" t="s">
        <v>2966</v>
      </c>
      <c r="F48" s="11" t="s">
        <v>31</v>
      </c>
      <c r="G48" s="12">
        <v>635</v>
      </c>
      <c r="H48" s="12">
        <v>25</v>
      </c>
      <c r="I48" s="12">
        <f t="shared" si="1"/>
        <v>610</v>
      </c>
      <c r="J48" s="11" t="s">
        <v>2669</v>
      </c>
      <c r="K48" s="11" t="s">
        <v>33</v>
      </c>
      <c r="L48" s="11" t="s">
        <v>2667</v>
      </c>
      <c r="M48" s="11"/>
      <c r="N48" s="11"/>
      <c r="O48" s="11"/>
      <c r="P48" s="11"/>
      <c r="Q48" s="11">
        <v>1</v>
      </c>
    </row>
    <row r="49" spans="1:17" x14ac:dyDescent="0.25">
      <c r="A49" s="11"/>
      <c r="B49" s="11" t="s">
        <v>27</v>
      </c>
      <c r="C49" s="11" t="s">
        <v>2427</v>
      </c>
      <c r="D49" s="11" t="s">
        <v>2973</v>
      </c>
      <c r="E49" s="11" t="s">
        <v>2429</v>
      </c>
      <c r="F49" s="12">
        <v>9</v>
      </c>
      <c r="G49" s="12">
        <v>1670</v>
      </c>
      <c r="H49" s="12">
        <v>30</v>
      </c>
      <c r="I49" s="12">
        <f t="shared" si="1"/>
        <v>1640</v>
      </c>
      <c r="J49" s="11" t="s">
        <v>2669</v>
      </c>
      <c r="K49" s="11" t="s">
        <v>33</v>
      </c>
      <c r="L49" s="11" t="s">
        <v>2667</v>
      </c>
      <c r="M49" s="11"/>
      <c r="N49" s="11"/>
      <c r="O49" s="11"/>
      <c r="P49" s="11"/>
      <c r="Q49" s="11">
        <v>1</v>
      </c>
    </row>
    <row r="50" spans="1:17" x14ac:dyDescent="0.25">
      <c r="A50" s="11"/>
      <c r="B50" s="11" t="s">
        <v>27</v>
      </c>
      <c r="C50" s="11" t="s">
        <v>2977</v>
      </c>
      <c r="D50" s="11" t="s">
        <v>2978</v>
      </c>
      <c r="E50" s="11" t="s">
        <v>2979</v>
      </c>
      <c r="F50" s="12">
        <v>7</v>
      </c>
      <c r="G50" s="12">
        <v>390</v>
      </c>
      <c r="H50" s="12">
        <v>30</v>
      </c>
      <c r="I50" s="12">
        <f t="shared" si="1"/>
        <v>360</v>
      </c>
      <c r="J50" s="11" t="s">
        <v>2669</v>
      </c>
      <c r="K50" s="11" t="s">
        <v>33</v>
      </c>
      <c r="L50" s="11" t="s">
        <v>2667</v>
      </c>
      <c r="M50" s="11"/>
      <c r="N50" s="11"/>
      <c r="O50" s="11"/>
      <c r="P50" s="11"/>
      <c r="Q50" s="11">
        <v>1</v>
      </c>
    </row>
    <row r="51" spans="1:17" x14ac:dyDescent="0.25">
      <c r="A51" s="11"/>
      <c r="B51" s="11" t="s">
        <v>27</v>
      </c>
      <c r="C51" s="11" t="s">
        <v>2980</v>
      </c>
      <c r="D51" s="11" t="s">
        <v>2981</v>
      </c>
      <c r="E51" s="11" t="s">
        <v>2982</v>
      </c>
      <c r="F51" s="12">
        <v>7</v>
      </c>
      <c r="G51" s="12">
        <v>1100</v>
      </c>
      <c r="H51" s="12">
        <v>30</v>
      </c>
      <c r="I51" s="12">
        <f t="shared" si="1"/>
        <v>1070</v>
      </c>
      <c r="J51" s="11" t="s">
        <v>2669</v>
      </c>
      <c r="K51" s="11" t="s">
        <v>33</v>
      </c>
      <c r="L51" s="11" t="s">
        <v>2667</v>
      </c>
      <c r="M51" s="11"/>
      <c r="N51" s="11"/>
      <c r="O51" s="11"/>
      <c r="P51" s="11"/>
      <c r="Q51" s="11">
        <v>1</v>
      </c>
    </row>
    <row r="52" spans="1:17" x14ac:dyDescent="0.25">
      <c r="A52" s="11"/>
      <c r="B52" s="11" t="s">
        <v>27</v>
      </c>
      <c r="C52" s="11" t="s">
        <v>2986</v>
      </c>
      <c r="D52" s="11" t="s">
        <v>2987</v>
      </c>
      <c r="E52" s="11" t="s">
        <v>2988</v>
      </c>
      <c r="F52" s="12">
        <v>7</v>
      </c>
      <c r="G52" s="12">
        <v>320</v>
      </c>
      <c r="H52" s="12">
        <v>30</v>
      </c>
      <c r="I52" s="12">
        <f t="shared" si="1"/>
        <v>290</v>
      </c>
      <c r="J52" s="11" t="s">
        <v>2669</v>
      </c>
      <c r="K52" s="11" t="s">
        <v>33</v>
      </c>
      <c r="L52" s="11" t="s">
        <v>2667</v>
      </c>
      <c r="M52" s="11"/>
      <c r="N52" s="11"/>
      <c r="O52" s="11"/>
      <c r="P52" s="11"/>
      <c r="Q52" s="11">
        <v>1</v>
      </c>
    </row>
    <row r="53" spans="1:17" x14ac:dyDescent="0.25">
      <c r="A53" s="11"/>
      <c r="B53" s="11" t="s">
        <v>27</v>
      </c>
      <c r="C53" s="11" t="s">
        <v>3016</v>
      </c>
      <c r="D53" s="11" t="s">
        <v>3017</v>
      </c>
      <c r="E53" s="11" t="s">
        <v>3018</v>
      </c>
      <c r="F53" s="11" t="s">
        <v>31</v>
      </c>
      <c r="G53" s="12">
        <v>375</v>
      </c>
      <c r="H53" s="12">
        <v>25</v>
      </c>
      <c r="I53" s="12">
        <f t="shared" si="1"/>
        <v>350</v>
      </c>
      <c r="J53" s="11" t="s">
        <v>2669</v>
      </c>
      <c r="K53" s="11" t="s">
        <v>33</v>
      </c>
      <c r="L53" s="11" t="s">
        <v>2667</v>
      </c>
      <c r="M53" s="24" t="s">
        <v>2335</v>
      </c>
      <c r="N53" s="11"/>
      <c r="O53" s="11"/>
      <c r="P53" s="11"/>
      <c r="Q53" s="11">
        <v>1</v>
      </c>
    </row>
    <row r="54" spans="1:17" x14ac:dyDescent="0.25">
      <c r="A54" s="11"/>
      <c r="B54" s="11" t="s">
        <v>27</v>
      </c>
      <c r="C54" s="11" t="s">
        <v>3019</v>
      </c>
      <c r="D54" s="11" t="s">
        <v>3020</v>
      </c>
      <c r="E54" s="11" t="s">
        <v>3021</v>
      </c>
      <c r="F54" s="12">
        <v>8</v>
      </c>
      <c r="G54" s="12">
        <v>640</v>
      </c>
      <c r="H54" s="12">
        <v>30</v>
      </c>
      <c r="I54" s="12">
        <f t="shared" si="1"/>
        <v>610</v>
      </c>
      <c r="J54" s="11" t="s">
        <v>2669</v>
      </c>
      <c r="K54" s="11" t="s">
        <v>33</v>
      </c>
      <c r="L54" s="11" t="s">
        <v>2667</v>
      </c>
      <c r="M54" s="11"/>
      <c r="N54" s="11"/>
      <c r="O54" s="11"/>
      <c r="P54" s="11"/>
      <c r="Q54" s="11">
        <v>1</v>
      </c>
    </row>
    <row r="55" spans="1:17" x14ac:dyDescent="0.25">
      <c r="A55" s="11"/>
      <c r="B55" s="11" t="s">
        <v>27</v>
      </c>
      <c r="C55" s="11" t="s">
        <v>3031</v>
      </c>
      <c r="D55" s="11" t="s">
        <v>3032</v>
      </c>
      <c r="E55" s="11" t="s">
        <v>3033</v>
      </c>
      <c r="F55" s="12">
        <v>12</v>
      </c>
      <c r="G55" s="12">
        <v>620</v>
      </c>
      <c r="H55" s="12">
        <v>30</v>
      </c>
      <c r="I55" s="12">
        <f t="shared" si="1"/>
        <v>590</v>
      </c>
      <c r="J55" s="11" t="s">
        <v>2669</v>
      </c>
      <c r="K55" s="11" t="s">
        <v>33</v>
      </c>
      <c r="L55" s="11" t="s">
        <v>2667</v>
      </c>
      <c r="M55" s="11"/>
      <c r="N55" s="11"/>
      <c r="O55" s="11"/>
      <c r="P55" s="11"/>
      <c r="Q55" s="11">
        <v>1</v>
      </c>
    </row>
    <row r="56" spans="1:17" x14ac:dyDescent="0.25">
      <c r="A56" s="11"/>
      <c r="B56" s="11" t="s">
        <v>27</v>
      </c>
      <c r="C56" s="11" t="s">
        <v>3037</v>
      </c>
      <c r="D56" s="11" t="s">
        <v>3038</v>
      </c>
      <c r="E56" s="11" t="s">
        <v>3039</v>
      </c>
      <c r="F56" s="12">
        <v>8</v>
      </c>
      <c r="G56" s="12">
        <v>330</v>
      </c>
      <c r="H56" s="12">
        <v>30</v>
      </c>
      <c r="I56" s="12">
        <f t="shared" si="1"/>
        <v>300</v>
      </c>
      <c r="J56" s="11" t="s">
        <v>2669</v>
      </c>
      <c r="K56" s="11" t="s">
        <v>33</v>
      </c>
      <c r="L56" s="11" t="s">
        <v>2667</v>
      </c>
      <c r="M56" s="11"/>
      <c r="N56" s="11"/>
      <c r="O56" s="11"/>
      <c r="P56" s="11"/>
      <c r="Q56" s="11">
        <v>1</v>
      </c>
    </row>
    <row r="57" spans="1:17" x14ac:dyDescent="0.25">
      <c r="A57" s="11"/>
      <c r="B57" s="11" t="s">
        <v>27</v>
      </c>
      <c r="C57" s="11" t="s">
        <v>3044</v>
      </c>
      <c r="D57" s="11" t="s">
        <v>3045</v>
      </c>
      <c r="E57" s="11" t="s">
        <v>3046</v>
      </c>
      <c r="F57" s="11" t="s">
        <v>55</v>
      </c>
      <c r="G57" s="12">
        <v>325</v>
      </c>
      <c r="H57" s="12">
        <v>35</v>
      </c>
      <c r="I57" s="12">
        <f t="shared" si="1"/>
        <v>290</v>
      </c>
      <c r="J57" s="11" t="s">
        <v>2669</v>
      </c>
      <c r="K57" s="11" t="s">
        <v>33</v>
      </c>
      <c r="L57" s="11" t="s">
        <v>2667</v>
      </c>
      <c r="M57" s="11"/>
      <c r="N57" s="11"/>
      <c r="O57" s="11"/>
      <c r="P57" s="11"/>
      <c r="Q57" s="11">
        <v>1</v>
      </c>
    </row>
    <row r="58" spans="1:17" x14ac:dyDescent="0.25">
      <c r="A58" s="11"/>
      <c r="B58" s="11" t="s">
        <v>27</v>
      </c>
      <c r="C58" s="11" t="s">
        <v>2368</v>
      </c>
      <c r="D58" s="11" t="s">
        <v>3050</v>
      </c>
      <c r="E58" s="11" t="s">
        <v>2370</v>
      </c>
      <c r="F58" s="11" t="s">
        <v>444</v>
      </c>
      <c r="G58" s="12">
        <v>1345</v>
      </c>
      <c r="H58" s="12">
        <v>35</v>
      </c>
      <c r="I58" s="12">
        <f t="shared" si="1"/>
        <v>1310</v>
      </c>
      <c r="J58" s="11" t="s">
        <v>2669</v>
      </c>
      <c r="K58" s="11" t="s">
        <v>33</v>
      </c>
      <c r="L58" s="11" t="s">
        <v>2667</v>
      </c>
      <c r="M58" s="11"/>
      <c r="N58" s="11"/>
      <c r="O58" s="11"/>
      <c r="P58" s="11"/>
      <c r="Q58" s="11">
        <v>1</v>
      </c>
    </row>
    <row r="59" spans="1:17" x14ac:dyDescent="0.25">
      <c r="A59" s="11"/>
      <c r="B59" s="11" t="s">
        <v>27</v>
      </c>
      <c r="C59" s="11" t="s">
        <v>3051</v>
      </c>
      <c r="D59" s="11" t="s">
        <v>3052</v>
      </c>
      <c r="E59" s="11" t="s">
        <v>3053</v>
      </c>
      <c r="F59" s="12">
        <v>7</v>
      </c>
      <c r="G59" s="12">
        <v>480</v>
      </c>
      <c r="H59" s="12">
        <v>30</v>
      </c>
      <c r="I59" s="12">
        <f t="shared" si="1"/>
        <v>450</v>
      </c>
      <c r="J59" s="11" t="s">
        <v>2669</v>
      </c>
      <c r="K59" s="11" t="s">
        <v>33</v>
      </c>
      <c r="L59" s="11" t="s">
        <v>2667</v>
      </c>
      <c r="M59" s="11"/>
      <c r="N59" s="11"/>
      <c r="O59" s="11"/>
      <c r="P59" s="11"/>
      <c r="Q59" s="11">
        <v>1</v>
      </c>
    </row>
    <row r="60" spans="1:17" x14ac:dyDescent="0.25">
      <c r="A60" s="11"/>
      <c r="B60" s="11" t="s">
        <v>27</v>
      </c>
      <c r="C60" s="11" t="s">
        <v>3057</v>
      </c>
      <c r="D60" s="11" t="s">
        <v>3058</v>
      </c>
      <c r="E60" s="11" t="s">
        <v>3059</v>
      </c>
      <c r="F60" s="11" t="s">
        <v>48</v>
      </c>
      <c r="G60" s="12">
        <v>670</v>
      </c>
      <c r="H60" s="12">
        <v>30</v>
      </c>
      <c r="I60" s="12">
        <f t="shared" si="1"/>
        <v>640</v>
      </c>
      <c r="J60" s="11" t="s">
        <v>2669</v>
      </c>
      <c r="K60" s="11" t="s">
        <v>33</v>
      </c>
      <c r="L60" s="11" t="s">
        <v>2667</v>
      </c>
      <c r="M60" s="11"/>
      <c r="N60" s="11"/>
      <c r="O60" s="11"/>
      <c r="P60" s="11"/>
      <c r="Q60" s="11">
        <v>1</v>
      </c>
    </row>
    <row r="61" spans="1:17" x14ac:dyDescent="0.25">
      <c r="A61" s="11"/>
      <c r="B61" s="11" t="s">
        <v>27</v>
      </c>
      <c r="C61" s="11" t="s">
        <v>3073</v>
      </c>
      <c r="D61" s="11" t="s">
        <v>3074</v>
      </c>
      <c r="E61" s="11" t="s">
        <v>3075</v>
      </c>
      <c r="F61" s="11" t="s">
        <v>31</v>
      </c>
      <c r="G61" s="12">
        <v>1265</v>
      </c>
      <c r="H61" s="12">
        <v>25</v>
      </c>
      <c r="I61" s="12">
        <f t="shared" si="1"/>
        <v>1240</v>
      </c>
      <c r="J61" s="11" t="s">
        <v>2669</v>
      </c>
      <c r="K61" s="11" t="s">
        <v>33</v>
      </c>
      <c r="L61" s="11" t="s">
        <v>2667</v>
      </c>
      <c r="M61" s="11"/>
      <c r="N61" s="11"/>
      <c r="O61" s="11"/>
      <c r="P61" s="11"/>
      <c r="Q61" s="11">
        <v>1</v>
      </c>
    </row>
    <row r="62" spans="1:17" x14ac:dyDescent="0.25">
      <c r="A62" s="11"/>
      <c r="B62" s="11" t="s">
        <v>27</v>
      </c>
      <c r="C62" s="11" t="s">
        <v>3078</v>
      </c>
      <c r="D62" s="11" t="s">
        <v>3079</v>
      </c>
      <c r="E62" s="11" t="s">
        <v>3080</v>
      </c>
      <c r="F62" s="11" t="s">
        <v>44</v>
      </c>
      <c r="G62" s="12">
        <v>545</v>
      </c>
      <c r="H62" s="12">
        <v>25</v>
      </c>
      <c r="I62" s="12">
        <f t="shared" si="1"/>
        <v>520</v>
      </c>
      <c r="J62" s="11" t="s">
        <v>2669</v>
      </c>
      <c r="K62" s="11" t="s">
        <v>33</v>
      </c>
      <c r="L62" s="11" t="s">
        <v>2667</v>
      </c>
      <c r="M62" s="11"/>
      <c r="N62" s="11"/>
      <c r="O62" s="11"/>
      <c r="P62" s="11"/>
      <c r="Q62" s="11">
        <v>1</v>
      </c>
    </row>
    <row r="63" spans="1:17" x14ac:dyDescent="0.25">
      <c r="A63" s="11"/>
      <c r="B63" s="11" t="s">
        <v>27</v>
      </c>
      <c r="C63" s="11" t="s">
        <v>3081</v>
      </c>
      <c r="D63" s="11" t="s">
        <v>3082</v>
      </c>
      <c r="E63" s="11" t="s">
        <v>3083</v>
      </c>
      <c r="F63" s="11" t="s">
        <v>48</v>
      </c>
      <c r="G63" s="12">
        <v>1180</v>
      </c>
      <c r="H63" s="12">
        <v>30</v>
      </c>
      <c r="I63" s="12">
        <f t="shared" si="1"/>
        <v>1150</v>
      </c>
      <c r="J63" s="11" t="s">
        <v>2669</v>
      </c>
      <c r="K63" s="11" t="s">
        <v>33</v>
      </c>
      <c r="L63" s="11" t="s">
        <v>2667</v>
      </c>
      <c r="M63" s="11"/>
      <c r="N63" s="11"/>
      <c r="O63" s="11"/>
      <c r="P63" s="11"/>
      <c r="Q63" s="11">
        <v>1</v>
      </c>
    </row>
    <row r="64" spans="1:17" x14ac:dyDescent="0.25">
      <c r="A64" s="11"/>
      <c r="B64" s="11" t="s">
        <v>27</v>
      </c>
      <c r="C64" s="11" t="s">
        <v>3084</v>
      </c>
      <c r="D64" s="11" t="s">
        <v>3085</v>
      </c>
      <c r="E64" s="11" t="s">
        <v>3086</v>
      </c>
      <c r="F64" s="11" t="s">
        <v>48</v>
      </c>
      <c r="G64" s="12">
        <v>1510</v>
      </c>
      <c r="H64" s="12">
        <v>30</v>
      </c>
      <c r="I64" s="12">
        <f t="shared" si="1"/>
        <v>1480</v>
      </c>
      <c r="J64" s="11" t="s">
        <v>2669</v>
      </c>
      <c r="K64" s="11" t="s">
        <v>33</v>
      </c>
      <c r="L64" s="11" t="s">
        <v>2667</v>
      </c>
      <c r="M64" s="11"/>
      <c r="N64" s="11"/>
      <c r="O64" s="11"/>
      <c r="P64" s="11"/>
      <c r="Q64" s="11">
        <v>1</v>
      </c>
    </row>
    <row r="65" spans="1:17" x14ac:dyDescent="0.25">
      <c r="A65" s="11"/>
      <c r="B65" s="11" t="s">
        <v>27</v>
      </c>
      <c r="C65" s="11" t="s">
        <v>3096</v>
      </c>
      <c r="D65" s="11" t="s">
        <v>3097</v>
      </c>
      <c r="E65" s="11" t="s">
        <v>3098</v>
      </c>
      <c r="F65" s="12">
        <v>12</v>
      </c>
      <c r="G65" s="12">
        <v>780</v>
      </c>
      <c r="H65" s="12">
        <v>30</v>
      </c>
      <c r="I65" s="12">
        <f t="shared" si="1"/>
        <v>750</v>
      </c>
      <c r="J65" s="11" t="s">
        <v>2669</v>
      </c>
      <c r="K65" s="11" t="s">
        <v>33</v>
      </c>
      <c r="L65" s="11" t="s">
        <v>2667</v>
      </c>
      <c r="M65" s="11"/>
      <c r="N65" s="11"/>
      <c r="O65" s="11"/>
      <c r="P65" s="11"/>
      <c r="Q65" s="11">
        <v>1</v>
      </c>
    </row>
    <row r="66" spans="1:17" x14ac:dyDescent="0.25">
      <c r="A66" s="11"/>
      <c r="B66" s="11" t="s">
        <v>27</v>
      </c>
      <c r="C66" s="11" t="s">
        <v>3099</v>
      </c>
      <c r="D66" s="11" t="s">
        <v>3100</v>
      </c>
      <c r="E66" s="11" t="s">
        <v>3101</v>
      </c>
      <c r="F66" s="11" t="s">
        <v>104</v>
      </c>
      <c r="G66" s="12">
        <v>420</v>
      </c>
      <c r="H66" s="12">
        <v>30</v>
      </c>
      <c r="I66" s="12">
        <f t="shared" si="1"/>
        <v>390</v>
      </c>
      <c r="J66" s="11" t="s">
        <v>2669</v>
      </c>
      <c r="K66" s="11" t="s">
        <v>33</v>
      </c>
      <c r="L66" s="11" t="s">
        <v>2667</v>
      </c>
      <c r="M66" s="11"/>
      <c r="N66" s="11"/>
      <c r="O66" s="11"/>
      <c r="P66" s="11"/>
      <c r="Q66" s="11">
        <v>1</v>
      </c>
    </row>
    <row r="67" spans="1:17" x14ac:dyDescent="0.25">
      <c r="A67" s="11"/>
      <c r="B67" s="11" t="s">
        <v>27</v>
      </c>
      <c r="C67" s="11" t="s">
        <v>3105</v>
      </c>
      <c r="D67" s="11" t="s">
        <v>3106</v>
      </c>
      <c r="E67" s="11" t="s">
        <v>3107</v>
      </c>
      <c r="F67" s="11" t="s">
        <v>48</v>
      </c>
      <c r="G67" s="12">
        <v>460</v>
      </c>
      <c r="H67" s="12">
        <v>30</v>
      </c>
      <c r="I67" s="12">
        <f t="shared" ref="I67:I98" si="2">G67-H67</f>
        <v>430</v>
      </c>
      <c r="J67" s="11" t="s">
        <v>2669</v>
      </c>
      <c r="K67" s="11" t="s">
        <v>33</v>
      </c>
      <c r="L67" s="11" t="s">
        <v>2667</v>
      </c>
      <c r="M67" s="11"/>
      <c r="N67" s="11"/>
      <c r="O67" s="11"/>
      <c r="P67" s="11"/>
      <c r="Q67" s="11">
        <v>1</v>
      </c>
    </row>
    <row r="68" spans="1:17" x14ac:dyDescent="0.25">
      <c r="A68" s="11"/>
      <c r="B68" s="11" t="s">
        <v>27</v>
      </c>
      <c r="C68" s="11" t="s">
        <v>3111</v>
      </c>
      <c r="D68" s="11" t="s">
        <v>3112</v>
      </c>
      <c r="E68" s="11" t="s">
        <v>3113</v>
      </c>
      <c r="F68" s="12">
        <v>12</v>
      </c>
      <c r="G68" s="12">
        <v>910</v>
      </c>
      <c r="H68" s="12">
        <v>30</v>
      </c>
      <c r="I68" s="12">
        <f t="shared" si="2"/>
        <v>880</v>
      </c>
      <c r="J68" s="11" t="s">
        <v>2669</v>
      </c>
      <c r="K68" s="11" t="s">
        <v>33</v>
      </c>
      <c r="L68" s="11" t="s">
        <v>2667</v>
      </c>
      <c r="M68" s="11"/>
      <c r="N68" s="11"/>
      <c r="O68" s="11"/>
      <c r="P68" s="11"/>
      <c r="Q68" s="11">
        <v>1</v>
      </c>
    </row>
    <row r="69" spans="1:17" x14ac:dyDescent="0.25">
      <c r="A69" s="11"/>
      <c r="B69" s="11" t="s">
        <v>27</v>
      </c>
      <c r="C69" s="11" t="s">
        <v>3114</v>
      </c>
      <c r="D69" s="11" t="s">
        <v>3115</v>
      </c>
      <c r="E69" s="11" t="s">
        <v>3116</v>
      </c>
      <c r="F69" s="11" t="s">
        <v>31</v>
      </c>
      <c r="G69" s="12">
        <v>1875</v>
      </c>
      <c r="H69" s="12">
        <v>25</v>
      </c>
      <c r="I69" s="12">
        <f t="shared" si="2"/>
        <v>1850</v>
      </c>
      <c r="J69" s="11" t="s">
        <v>2669</v>
      </c>
      <c r="K69" s="11" t="s">
        <v>33</v>
      </c>
      <c r="L69" s="11" t="s">
        <v>2667</v>
      </c>
      <c r="M69" s="11"/>
      <c r="N69" s="11"/>
      <c r="O69" s="11"/>
      <c r="P69" s="11"/>
      <c r="Q69" s="11">
        <v>1</v>
      </c>
    </row>
    <row r="70" spans="1:17" x14ac:dyDescent="0.25">
      <c r="A70" s="11"/>
      <c r="B70" s="11" t="s">
        <v>27</v>
      </c>
      <c r="C70" s="11" t="s">
        <v>3134</v>
      </c>
      <c r="D70" s="11" t="s">
        <v>3135</v>
      </c>
      <c r="E70" s="11" t="s">
        <v>3136</v>
      </c>
      <c r="F70" s="11" t="s">
        <v>31</v>
      </c>
      <c r="G70" s="12">
        <v>445</v>
      </c>
      <c r="H70" s="12">
        <v>25</v>
      </c>
      <c r="I70" s="12">
        <f t="shared" si="2"/>
        <v>420</v>
      </c>
      <c r="J70" s="11" t="s">
        <v>2669</v>
      </c>
      <c r="K70" s="11" t="s">
        <v>33</v>
      </c>
      <c r="L70" s="11" t="s">
        <v>2667</v>
      </c>
      <c r="M70" s="11"/>
      <c r="N70" s="11"/>
      <c r="O70" s="11"/>
      <c r="P70" s="11"/>
      <c r="Q70" s="11">
        <v>1</v>
      </c>
    </row>
    <row r="71" spans="1:17" x14ac:dyDescent="0.25">
      <c r="A71" s="11"/>
      <c r="B71" s="11" t="s">
        <v>27</v>
      </c>
      <c r="C71" s="11" t="s">
        <v>3137</v>
      </c>
      <c r="D71" s="11" t="s">
        <v>3138</v>
      </c>
      <c r="E71" s="11" t="s">
        <v>3139</v>
      </c>
      <c r="F71" s="12">
        <v>7</v>
      </c>
      <c r="G71" s="12">
        <v>480</v>
      </c>
      <c r="H71" s="12">
        <v>30</v>
      </c>
      <c r="I71" s="12">
        <f t="shared" si="2"/>
        <v>450</v>
      </c>
      <c r="J71" s="11" t="s">
        <v>2669</v>
      </c>
      <c r="K71" s="11" t="s">
        <v>33</v>
      </c>
      <c r="L71" s="11" t="s">
        <v>2667</v>
      </c>
      <c r="M71" s="11"/>
      <c r="N71" s="11"/>
      <c r="O71" s="11"/>
      <c r="P71" s="11"/>
      <c r="Q71" s="11">
        <v>1</v>
      </c>
    </row>
    <row r="72" spans="1:17" x14ac:dyDescent="0.25">
      <c r="A72" s="11"/>
      <c r="B72" s="11" t="s">
        <v>27</v>
      </c>
      <c r="C72" s="11" t="s">
        <v>3140</v>
      </c>
      <c r="D72" s="11" t="s">
        <v>3141</v>
      </c>
      <c r="E72" s="11" t="s">
        <v>3142</v>
      </c>
      <c r="F72" s="12">
        <v>9</v>
      </c>
      <c r="G72" s="12">
        <v>460</v>
      </c>
      <c r="H72" s="12">
        <v>30</v>
      </c>
      <c r="I72" s="12">
        <f t="shared" si="2"/>
        <v>430</v>
      </c>
      <c r="J72" s="11" t="s">
        <v>2669</v>
      </c>
      <c r="K72" s="11" t="s">
        <v>33</v>
      </c>
      <c r="L72" s="11" t="s">
        <v>2667</v>
      </c>
      <c r="M72" s="11"/>
      <c r="N72" s="11"/>
      <c r="O72" s="11"/>
      <c r="P72" s="11"/>
      <c r="Q72" s="11">
        <v>1</v>
      </c>
    </row>
    <row r="73" spans="1:17" x14ac:dyDescent="0.25">
      <c r="A73" s="11"/>
      <c r="B73" s="11" t="s">
        <v>27</v>
      </c>
      <c r="C73" s="11" t="s">
        <v>3143</v>
      </c>
      <c r="D73" s="11" t="s">
        <v>3144</v>
      </c>
      <c r="E73" s="11" t="s">
        <v>3145</v>
      </c>
      <c r="F73" s="12">
        <v>8</v>
      </c>
      <c r="G73" s="12">
        <v>440</v>
      </c>
      <c r="H73" s="12">
        <v>30</v>
      </c>
      <c r="I73" s="12">
        <f t="shared" si="2"/>
        <v>410</v>
      </c>
      <c r="J73" s="11" t="s">
        <v>2669</v>
      </c>
      <c r="K73" s="11" t="s">
        <v>33</v>
      </c>
      <c r="L73" s="11" t="s">
        <v>2667</v>
      </c>
      <c r="M73" s="11"/>
      <c r="N73" s="11"/>
      <c r="O73" s="11"/>
      <c r="P73" s="11"/>
      <c r="Q73" s="11">
        <v>1</v>
      </c>
    </row>
    <row r="74" spans="1:17" x14ac:dyDescent="0.25">
      <c r="A74" s="11"/>
      <c r="B74" s="11" t="s">
        <v>27</v>
      </c>
      <c r="C74" s="11" t="s">
        <v>3146</v>
      </c>
      <c r="D74" s="11" t="s">
        <v>3147</v>
      </c>
      <c r="E74" s="11" t="s">
        <v>3148</v>
      </c>
      <c r="F74" s="12">
        <v>9</v>
      </c>
      <c r="G74" s="12">
        <v>360</v>
      </c>
      <c r="H74" s="12">
        <v>30</v>
      </c>
      <c r="I74" s="12">
        <f t="shared" si="2"/>
        <v>330</v>
      </c>
      <c r="J74" s="11" t="s">
        <v>2669</v>
      </c>
      <c r="K74" s="11" t="s">
        <v>33</v>
      </c>
      <c r="L74" s="11" t="s">
        <v>2667</v>
      </c>
      <c r="M74" s="11"/>
      <c r="N74" s="11"/>
      <c r="O74" s="11"/>
      <c r="P74" s="11"/>
      <c r="Q74" s="11">
        <v>1</v>
      </c>
    </row>
    <row r="75" spans="1:17" x14ac:dyDescent="0.25">
      <c r="A75" s="11"/>
      <c r="B75" s="11" t="s">
        <v>27</v>
      </c>
      <c r="C75" s="11" t="s">
        <v>3152</v>
      </c>
      <c r="D75" s="11" t="s">
        <v>3153</v>
      </c>
      <c r="E75" s="11" t="s">
        <v>3154</v>
      </c>
      <c r="F75" s="12">
        <v>7</v>
      </c>
      <c r="G75" s="12">
        <v>620</v>
      </c>
      <c r="H75" s="12">
        <v>30</v>
      </c>
      <c r="I75" s="12">
        <f t="shared" si="2"/>
        <v>590</v>
      </c>
      <c r="J75" s="11" t="s">
        <v>2669</v>
      </c>
      <c r="K75" s="11" t="s">
        <v>33</v>
      </c>
      <c r="L75" s="11" t="s">
        <v>2667</v>
      </c>
      <c r="M75" s="11"/>
      <c r="N75" s="11"/>
      <c r="O75" s="11"/>
      <c r="P75" s="11"/>
      <c r="Q75" s="11">
        <v>1</v>
      </c>
    </row>
    <row r="76" spans="1:17" x14ac:dyDescent="0.25">
      <c r="A76" s="11"/>
      <c r="B76" s="11" t="s">
        <v>27</v>
      </c>
      <c r="C76" s="11" t="s">
        <v>3155</v>
      </c>
      <c r="D76" s="11" t="s">
        <v>3156</v>
      </c>
      <c r="E76" s="11" t="s">
        <v>3157</v>
      </c>
      <c r="F76" s="11" t="s">
        <v>55</v>
      </c>
      <c r="G76" s="12">
        <v>655</v>
      </c>
      <c r="H76" s="12">
        <v>35</v>
      </c>
      <c r="I76" s="12">
        <f t="shared" si="2"/>
        <v>620</v>
      </c>
      <c r="J76" s="11" t="s">
        <v>2669</v>
      </c>
      <c r="K76" s="11" t="s">
        <v>33</v>
      </c>
      <c r="L76" s="11" t="s">
        <v>2667</v>
      </c>
      <c r="M76" s="11"/>
      <c r="N76" s="11"/>
      <c r="O76" s="11"/>
      <c r="P76" s="11"/>
      <c r="Q76" s="11">
        <v>1</v>
      </c>
    </row>
    <row r="77" spans="1:17" x14ac:dyDescent="0.25">
      <c r="A77" s="11"/>
      <c r="B77" s="11" t="s">
        <v>27</v>
      </c>
      <c r="C77" s="11" t="s">
        <v>3164</v>
      </c>
      <c r="D77" s="11" t="s">
        <v>3165</v>
      </c>
      <c r="E77" s="11" t="s">
        <v>3166</v>
      </c>
      <c r="F77" s="11" t="s">
        <v>104</v>
      </c>
      <c r="G77" s="12">
        <v>1130</v>
      </c>
      <c r="H77" s="12">
        <v>30</v>
      </c>
      <c r="I77" s="12">
        <f t="shared" si="2"/>
        <v>1100</v>
      </c>
      <c r="J77" s="11" t="s">
        <v>2669</v>
      </c>
      <c r="K77" s="11" t="s">
        <v>33</v>
      </c>
      <c r="L77" s="11" t="s">
        <v>2667</v>
      </c>
      <c r="M77" s="11"/>
      <c r="N77" s="11"/>
      <c r="O77" s="11"/>
      <c r="P77" s="11"/>
      <c r="Q77" s="11">
        <v>1</v>
      </c>
    </row>
    <row r="78" spans="1:17" x14ac:dyDescent="0.25">
      <c r="A78" s="11"/>
      <c r="B78" s="11" t="s">
        <v>27</v>
      </c>
      <c r="C78" s="11" t="s">
        <v>3170</v>
      </c>
      <c r="D78" s="11" t="s">
        <v>3171</v>
      </c>
      <c r="E78" s="11" t="s">
        <v>3172</v>
      </c>
      <c r="F78" s="12">
        <v>12</v>
      </c>
      <c r="G78" s="12">
        <v>400</v>
      </c>
      <c r="H78" s="12">
        <v>30</v>
      </c>
      <c r="I78" s="12">
        <f t="shared" si="2"/>
        <v>370</v>
      </c>
      <c r="J78" s="11" t="s">
        <v>2669</v>
      </c>
      <c r="K78" s="11" t="s">
        <v>33</v>
      </c>
      <c r="L78" s="11" t="s">
        <v>2667</v>
      </c>
      <c r="M78" s="11"/>
      <c r="N78" s="11"/>
      <c r="O78" s="11"/>
      <c r="P78" s="11"/>
      <c r="Q78" s="11">
        <v>1</v>
      </c>
    </row>
    <row r="79" spans="1:17" x14ac:dyDescent="0.25">
      <c r="A79" s="11"/>
      <c r="B79" s="11" t="s">
        <v>27</v>
      </c>
      <c r="C79" s="11" t="s">
        <v>3176</v>
      </c>
      <c r="D79" s="11" t="s">
        <v>3177</v>
      </c>
      <c r="E79" s="11" t="s">
        <v>3178</v>
      </c>
      <c r="F79" s="12">
        <v>8</v>
      </c>
      <c r="G79" s="12">
        <v>440</v>
      </c>
      <c r="H79" s="12">
        <v>30</v>
      </c>
      <c r="I79" s="12">
        <f t="shared" si="2"/>
        <v>410</v>
      </c>
      <c r="J79" s="11" t="s">
        <v>2669</v>
      </c>
      <c r="K79" s="11" t="s">
        <v>33</v>
      </c>
      <c r="L79" s="11" t="s">
        <v>2667</v>
      </c>
      <c r="M79" s="11"/>
      <c r="N79" s="11"/>
      <c r="O79" s="11"/>
      <c r="P79" s="11"/>
      <c r="Q79" s="11">
        <v>1</v>
      </c>
    </row>
    <row r="80" spans="1:17" x14ac:dyDescent="0.25">
      <c r="A80" s="11"/>
      <c r="B80" s="11" t="s">
        <v>27</v>
      </c>
      <c r="C80" s="11" t="s">
        <v>3182</v>
      </c>
      <c r="D80" s="11" t="s">
        <v>3183</v>
      </c>
      <c r="E80" s="11" t="s">
        <v>3184</v>
      </c>
      <c r="F80" s="12">
        <v>12</v>
      </c>
      <c r="G80" s="12">
        <v>420</v>
      </c>
      <c r="H80" s="12">
        <v>30</v>
      </c>
      <c r="I80" s="12">
        <f t="shared" si="2"/>
        <v>390</v>
      </c>
      <c r="J80" s="11" t="s">
        <v>2669</v>
      </c>
      <c r="K80" s="11" t="s">
        <v>33</v>
      </c>
      <c r="L80" s="11" t="s">
        <v>2667</v>
      </c>
      <c r="M80" s="11"/>
      <c r="N80" s="11"/>
      <c r="O80" s="11"/>
      <c r="P80" s="11"/>
      <c r="Q80" s="11">
        <v>1</v>
      </c>
    </row>
    <row r="81" spans="1:18" x14ac:dyDescent="0.25">
      <c r="A81" s="11" t="s">
        <v>59</v>
      </c>
      <c r="B81" s="11" t="s">
        <v>27</v>
      </c>
      <c r="C81" s="11" t="s">
        <v>2666</v>
      </c>
      <c r="D81" s="11"/>
      <c r="E81" s="11" t="s">
        <v>1873</v>
      </c>
      <c r="F81" s="12">
        <v>12</v>
      </c>
      <c r="G81" s="12">
        <v>0</v>
      </c>
      <c r="H81" s="12">
        <v>40</v>
      </c>
      <c r="I81" s="12">
        <f t="shared" si="2"/>
        <v>-40</v>
      </c>
      <c r="J81" s="11" t="s">
        <v>33</v>
      </c>
      <c r="K81" s="11" t="s">
        <v>33</v>
      </c>
      <c r="L81" s="11" t="s">
        <v>2667</v>
      </c>
      <c r="M81" s="11"/>
      <c r="N81" s="11"/>
      <c r="O81" s="11"/>
      <c r="P81" s="11"/>
      <c r="Q81" s="11">
        <v>1</v>
      </c>
      <c r="R81" s="5">
        <f>H81</f>
        <v>40</v>
      </c>
    </row>
    <row r="82" spans="1:18" x14ac:dyDescent="0.25">
      <c r="A82" s="11" t="s">
        <v>59</v>
      </c>
      <c r="B82" s="11" t="s">
        <v>27</v>
      </c>
      <c r="C82" s="11" t="s">
        <v>2672</v>
      </c>
      <c r="D82" s="11"/>
      <c r="E82" s="11" t="s">
        <v>2673</v>
      </c>
      <c r="F82" s="12">
        <v>12</v>
      </c>
      <c r="G82" s="12">
        <v>0</v>
      </c>
      <c r="H82" s="12">
        <v>35</v>
      </c>
      <c r="I82" s="12">
        <f t="shared" si="2"/>
        <v>-35</v>
      </c>
      <c r="J82" s="11" t="s">
        <v>33</v>
      </c>
      <c r="K82" s="11" t="s">
        <v>33</v>
      </c>
      <c r="L82" s="11" t="s">
        <v>2667</v>
      </c>
      <c r="M82" s="11"/>
      <c r="N82" s="11"/>
      <c r="O82" s="11"/>
      <c r="P82" s="11"/>
      <c r="Q82" s="11">
        <v>1</v>
      </c>
      <c r="R82" s="5">
        <f t="shared" ref="R82:R83" si="3">H82</f>
        <v>35</v>
      </c>
    </row>
    <row r="83" spans="1:18" x14ac:dyDescent="0.25">
      <c r="A83" s="11" t="s">
        <v>59</v>
      </c>
      <c r="B83" s="11" t="s">
        <v>27</v>
      </c>
      <c r="C83" s="11" t="s">
        <v>113</v>
      </c>
      <c r="D83" s="11"/>
      <c r="E83" s="11" t="s">
        <v>2675</v>
      </c>
      <c r="F83" s="11" t="s">
        <v>68</v>
      </c>
      <c r="G83" s="12">
        <v>0</v>
      </c>
      <c r="H83" s="12">
        <v>30</v>
      </c>
      <c r="I83" s="12">
        <f t="shared" si="2"/>
        <v>-30</v>
      </c>
      <c r="J83" s="11" t="s">
        <v>33</v>
      </c>
      <c r="K83" s="11" t="s">
        <v>33</v>
      </c>
      <c r="L83" s="11" t="s">
        <v>2667</v>
      </c>
      <c r="M83" s="11"/>
      <c r="N83" s="11"/>
      <c r="O83" s="11"/>
      <c r="P83" s="11"/>
      <c r="Q83" s="11">
        <v>1</v>
      </c>
      <c r="R83" s="5">
        <f t="shared" si="3"/>
        <v>30</v>
      </c>
    </row>
    <row r="84" spans="1:18" x14ac:dyDescent="0.25">
      <c r="A84" s="11" t="s">
        <v>59</v>
      </c>
      <c r="B84" s="11" t="s">
        <v>27</v>
      </c>
      <c r="C84" s="11" t="s">
        <v>1110</v>
      </c>
      <c r="D84" s="11"/>
      <c r="E84" s="11" t="s">
        <v>2676</v>
      </c>
      <c r="F84" s="11" t="s">
        <v>78</v>
      </c>
      <c r="G84" s="12">
        <v>1605</v>
      </c>
      <c r="H84" s="12">
        <v>25</v>
      </c>
      <c r="I84" s="12">
        <f t="shared" si="2"/>
        <v>1580</v>
      </c>
      <c r="J84" s="11" t="s">
        <v>33</v>
      </c>
      <c r="K84" s="11" t="s">
        <v>33</v>
      </c>
      <c r="L84" s="11" t="s">
        <v>2667</v>
      </c>
      <c r="M84" s="11"/>
      <c r="N84" s="11"/>
      <c r="O84" s="11"/>
      <c r="P84" s="11"/>
      <c r="Q84" s="11">
        <v>1</v>
      </c>
    </row>
    <row r="85" spans="1:18" x14ac:dyDescent="0.25">
      <c r="A85" s="11"/>
      <c r="B85" s="11" t="s">
        <v>27</v>
      </c>
      <c r="C85" s="11" t="s">
        <v>2687</v>
      </c>
      <c r="D85" s="11" t="s">
        <v>2688</v>
      </c>
      <c r="E85" s="11" t="s">
        <v>2689</v>
      </c>
      <c r="F85" s="11" t="s">
        <v>68</v>
      </c>
      <c r="G85" s="12">
        <v>1045</v>
      </c>
      <c r="H85" s="12">
        <v>25</v>
      </c>
      <c r="I85" s="12">
        <f t="shared" si="2"/>
        <v>1020</v>
      </c>
      <c r="J85" s="11" t="s">
        <v>33</v>
      </c>
      <c r="K85" s="11" t="s">
        <v>33</v>
      </c>
      <c r="L85" s="11" t="s">
        <v>2667</v>
      </c>
      <c r="M85" s="11"/>
      <c r="N85" s="11"/>
      <c r="O85" s="11"/>
      <c r="P85" s="11"/>
      <c r="Q85" s="11">
        <v>1</v>
      </c>
    </row>
    <row r="86" spans="1:18" x14ac:dyDescent="0.25">
      <c r="A86" s="11"/>
      <c r="B86" s="11" t="s">
        <v>27</v>
      </c>
      <c r="C86" s="11" t="s">
        <v>2696</v>
      </c>
      <c r="D86" s="11" t="s">
        <v>2697</v>
      </c>
      <c r="E86" s="11" t="s">
        <v>2698</v>
      </c>
      <c r="F86" s="11" t="s">
        <v>104</v>
      </c>
      <c r="G86" s="12">
        <v>700</v>
      </c>
      <c r="H86" s="12">
        <v>30</v>
      </c>
      <c r="I86" s="12">
        <f t="shared" si="2"/>
        <v>670</v>
      </c>
      <c r="J86" s="11" t="s">
        <v>33</v>
      </c>
      <c r="K86" s="11" t="s">
        <v>33</v>
      </c>
      <c r="L86" s="11" t="s">
        <v>2667</v>
      </c>
      <c r="M86" s="11"/>
      <c r="N86" s="11"/>
      <c r="O86" s="11"/>
      <c r="P86" s="11"/>
      <c r="Q86" s="11">
        <v>1</v>
      </c>
    </row>
    <row r="87" spans="1:18" x14ac:dyDescent="0.25">
      <c r="A87" s="11"/>
      <c r="B87" s="11" t="s">
        <v>27</v>
      </c>
      <c r="C87" s="11" t="s">
        <v>2705</v>
      </c>
      <c r="D87" s="11" t="s">
        <v>2706</v>
      </c>
      <c r="E87" s="11" t="s">
        <v>2707</v>
      </c>
      <c r="F87" s="12">
        <v>2</v>
      </c>
      <c r="G87" s="12">
        <v>1910</v>
      </c>
      <c r="H87" s="12">
        <v>30</v>
      </c>
      <c r="I87" s="12">
        <f t="shared" si="2"/>
        <v>1880</v>
      </c>
      <c r="J87" s="11" t="s">
        <v>33</v>
      </c>
      <c r="K87" s="11" t="s">
        <v>33</v>
      </c>
      <c r="L87" s="11" t="s">
        <v>2667</v>
      </c>
      <c r="M87" s="11"/>
      <c r="N87" s="11"/>
      <c r="O87" s="11"/>
      <c r="P87" s="11"/>
      <c r="Q87" s="11">
        <v>1</v>
      </c>
    </row>
    <row r="88" spans="1:18" x14ac:dyDescent="0.25">
      <c r="A88" s="11"/>
      <c r="B88" s="11" t="s">
        <v>27</v>
      </c>
      <c r="C88" s="11" t="s">
        <v>2720</v>
      </c>
      <c r="D88" s="11" t="s">
        <v>2721</v>
      </c>
      <c r="E88" s="11" t="s">
        <v>2722</v>
      </c>
      <c r="F88" s="11" t="s">
        <v>104</v>
      </c>
      <c r="G88" s="12">
        <v>2192</v>
      </c>
      <c r="H88" s="12">
        <v>35</v>
      </c>
      <c r="I88" s="12">
        <f t="shared" si="2"/>
        <v>2157</v>
      </c>
      <c r="J88" s="11" t="s">
        <v>33</v>
      </c>
      <c r="K88" s="11" t="s">
        <v>33</v>
      </c>
      <c r="L88" s="11" t="s">
        <v>2667</v>
      </c>
      <c r="M88" s="11"/>
      <c r="N88" s="11"/>
      <c r="O88" s="11"/>
      <c r="P88" s="11"/>
      <c r="Q88" s="11">
        <v>1</v>
      </c>
    </row>
    <row r="89" spans="1:18" x14ac:dyDescent="0.25">
      <c r="A89" s="11"/>
      <c r="B89" s="11" t="s">
        <v>27</v>
      </c>
      <c r="C89" s="11" t="s">
        <v>2735</v>
      </c>
      <c r="D89" s="11" t="s">
        <v>2736</v>
      </c>
      <c r="E89" s="11" t="s">
        <v>2737</v>
      </c>
      <c r="F89" s="11" t="s">
        <v>68</v>
      </c>
      <c r="G89" s="12">
        <v>555</v>
      </c>
      <c r="H89" s="12">
        <v>25</v>
      </c>
      <c r="I89" s="12">
        <f t="shared" si="2"/>
        <v>530</v>
      </c>
      <c r="J89" s="11" t="s">
        <v>33</v>
      </c>
      <c r="K89" s="11" t="s">
        <v>33</v>
      </c>
      <c r="L89" s="11" t="s">
        <v>2667</v>
      </c>
      <c r="M89" s="11"/>
      <c r="N89" s="11"/>
      <c r="O89" s="11"/>
      <c r="P89" s="11"/>
      <c r="Q89" s="11">
        <v>1</v>
      </c>
    </row>
    <row r="90" spans="1:18" x14ac:dyDescent="0.25">
      <c r="A90" s="11"/>
      <c r="B90" s="11" t="s">
        <v>27</v>
      </c>
      <c r="C90" s="11" t="s">
        <v>2738</v>
      </c>
      <c r="D90" s="11" t="s">
        <v>2739</v>
      </c>
      <c r="E90" s="11" t="s">
        <v>2740</v>
      </c>
      <c r="F90" s="11" t="s">
        <v>68</v>
      </c>
      <c r="G90" s="12">
        <v>665</v>
      </c>
      <c r="H90" s="12">
        <v>25</v>
      </c>
      <c r="I90" s="12">
        <f t="shared" si="2"/>
        <v>640</v>
      </c>
      <c r="J90" s="11" t="s">
        <v>33</v>
      </c>
      <c r="K90" s="11" t="s">
        <v>33</v>
      </c>
      <c r="L90" s="11" t="s">
        <v>2667</v>
      </c>
      <c r="M90" s="11"/>
      <c r="N90" s="11"/>
      <c r="O90" s="11"/>
      <c r="P90" s="11"/>
      <c r="Q90" s="11">
        <v>1</v>
      </c>
    </row>
    <row r="91" spans="1:18" x14ac:dyDescent="0.25">
      <c r="A91" s="11"/>
      <c r="B91" s="11" t="s">
        <v>27</v>
      </c>
      <c r="C91" s="11" t="s">
        <v>2770</v>
      </c>
      <c r="D91" s="11" t="s">
        <v>2771</v>
      </c>
      <c r="E91" s="11" t="s">
        <v>2772</v>
      </c>
      <c r="F91" s="11" t="s">
        <v>78</v>
      </c>
      <c r="G91" s="12">
        <v>450</v>
      </c>
      <c r="H91" s="12">
        <v>20</v>
      </c>
      <c r="I91" s="12">
        <f t="shared" si="2"/>
        <v>430</v>
      </c>
      <c r="J91" s="11" t="s">
        <v>33</v>
      </c>
      <c r="K91" s="11" t="s">
        <v>33</v>
      </c>
      <c r="L91" s="11" t="s">
        <v>2667</v>
      </c>
      <c r="M91" s="11"/>
      <c r="N91" s="11"/>
      <c r="O91" s="11"/>
      <c r="P91" s="11"/>
      <c r="Q91" s="11">
        <v>1</v>
      </c>
    </row>
    <row r="92" spans="1:18" x14ac:dyDescent="0.25">
      <c r="A92" s="11"/>
      <c r="B92" s="11" t="s">
        <v>27</v>
      </c>
      <c r="C92" s="11" t="s">
        <v>2773</v>
      </c>
      <c r="D92" s="11" t="s">
        <v>2774</v>
      </c>
      <c r="E92" s="11" t="s">
        <v>2775</v>
      </c>
      <c r="F92" s="11" t="s">
        <v>68</v>
      </c>
      <c r="G92" s="12">
        <v>1945</v>
      </c>
      <c r="H92" s="12">
        <v>25</v>
      </c>
      <c r="I92" s="12">
        <f t="shared" si="2"/>
        <v>1920</v>
      </c>
      <c r="J92" s="11" t="s">
        <v>33</v>
      </c>
      <c r="K92" s="11" t="s">
        <v>33</v>
      </c>
      <c r="L92" s="11" t="s">
        <v>2667</v>
      </c>
      <c r="M92" s="11"/>
      <c r="N92" s="11"/>
      <c r="O92" s="11"/>
      <c r="P92" s="11"/>
      <c r="Q92" s="11">
        <v>1</v>
      </c>
    </row>
    <row r="93" spans="1:18" x14ac:dyDescent="0.25">
      <c r="A93" s="11"/>
      <c r="B93" s="11" t="s">
        <v>27</v>
      </c>
      <c r="C93" s="11" t="s">
        <v>2788</v>
      </c>
      <c r="D93" s="11" t="s">
        <v>2789</v>
      </c>
      <c r="E93" s="11" t="s">
        <v>2790</v>
      </c>
      <c r="F93" s="11" t="s">
        <v>104</v>
      </c>
      <c r="G93" s="12">
        <v>330</v>
      </c>
      <c r="H93" s="12">
        <v>30</v>
      </c>
      <c r="I93" s="12">
        <f t="shared" si="2"/>
        <v>300</v>
      </c>
      <c r="J93" s="11" t="s">
        <v>33</v>
      </c>
      <c r="K93" s="11" t="s">
        <v>33</v>
      </c>
      <c r="L93" s="11" t="s">
        <v>2667</v>
      </c>
      <c r="M93" s="11"/>
      <c r="N93" s="11"/>
      <c r="O93" s="11"/>
      <c r="P93" s="11"/>
      <c r="Q93" s="11">
        <v>1</v>
      </c>
    </row>
    <row r="94" spans="1:18" x14ac:dyDescent="0.25">
      <c r="A94" s="11"/>
      <c r="B94" s="11" t="s">
        <v>27</v>
      </c>
      <c r="C94" s="11" t="s">
        <v>2791</v>
      </c>
      <c r="D94" s="11" t="s">
        <v>2792</v>
      </c>
      <c r="E94" s="11" t="s">
        <v>2793</v>
      </c>
      <c r="F94" s="11" t="s">
        <v>78</v>
      </c>
      <c r="G94" s="12">
        <v>910</v>
      </c>
      <c r="H94" s="12">
        <v>20</v>
      </c>
      <c r="I94" s="12">
        <f t="shared" si="2"/>
        <v>890</v>
      </c>
      <c r="J94" s="11" t="s">
        <v>33</v>
      </c>
      <c r="K94" s="11" t="s">
        <v>33</v>
      </c>
      <c r="L94" s="11" t="s">
        <v>2667</v>
      </c>
      <c r="M94" s="11"/>
      <c r="N94" s="11"/>
      <c r="O94" s="11"/>
      <c r="P94" s="11"/>
      <c r="Q94" s="11">
        <v>1</v>
      </c>
    </row>
    <row r="95" spans="1:18" x14ac:dyDescent="0.25">
      <c r="A95" s="11"/>
      <c r="B95" s="11" t="s">
        <v>27</v>
      </c>
      <c r="C95" s="11" t="s">
        <v>2794</v>
      </c>
      <c r="D95" s="11" t="s">
        <v>2795</v>
      </c>
      <c r="E95" s="11" t="s">
        <v>2796</v>
      </c>
      <c r="F95" s="11" t="s">
        <v>68</v>
      </c>
      <c r="G95" s="12">
        <v>315</v>
      </c>
      <c r="H95" s="12">
        <v>25</v>
      </c>
      <c r="I95" s="12">
        <f t="shared" si="2"/>
        <v>290</v>
      </c>
      <c r="J95" s="11" t="s">
        <v>33</v>
      </c>
      <c r="K95" s="11" t="s">
        <v>33</v>
      </c>
      <c r="L95" s="11" t="s">
        <v>2667</v>
      </c>
      <c r="M95" s="11"/>
      <c r="N95" s="11"/>
      <c r="O95" s="11"/>
      <c r="P95" s="11"/>
      <c r="Q95" s="11">
        <v>1</v>
      </c>
    </row>
    <row r="96" spans="1:18" x14ac:dyDescent="0.25">
      <c r="A96" s="11"/>
      <c r="B96" s="11" t="s">
        <v>27</v>
      </c>
      <c r="C96" s="11" t="s">
        <v>2797</v>
      </c>
      <c r="D96" s="11" t="s">
        <v>2798</v>
      </c>
      <c r="E96" s="11" t="s">
        <v>2799</v>
      </c>
      <c r="F96" s="11" t="s">
        <v>78</v>
      </c>
      <c r="G96" s="12">
        <v>360</v>
      </c>
      <c r="H96" s="12">
        <v>20</v>
      </c>
      <c r="I96" s="12">
        <f t="shared" si="2"/>
        <v>340</v>
      </c>
      <c r="J96" s="11" t="s">
        <v>33</v>
      </c>
      <c r="K96" s="11" t="s">
        <v>33</v>
      </c>
      <c r="L96" s="11" t="s">
        <v>2667</v>
      </c>
      <c r="M96" s="11"/>
      <c r="N96" s="11"/>
      <c r="O96" s="11"/>
      <c r="P96" s="11"/>
      <c r="Q96" s="11">
        <v>1</v>
      </c>
    </row>
    <row r="97" spans="1:17" x14ac:dyDescent="0.25">
      <c r="A97" s="11"/>
      <c r="B97" s="11" t="s">
        <v>27</v>
      </c>
      <c r="C97" s="11" t="s">
        <v>2812</v>
      </c>
      <c r="D97" s="11" t="s">
        <v>2813</v>
      </c>
      <c r="E97" s="11" t="s">
        <v>2814</v>
      </c>
      <c r="F97" s="11" t="s">
        <v>68</v>
      </c>
      <c r="G97" s="12">
        <v>355</v>
      </c>
      <c r="H97" s="12">
        <v>25</v>
      </c>
      <c r="I97" s="12">
        <f t="shared" si="2"/>
        <v>330</v>
      </c>
      <c r="J97" s="11" t="s">
        <v>33</v>
      </c>
      <c r="K97" s="11" t="s">
        <v>33</v>
      </c>
      <c r="L97" s="11" t="s">
        <v>2667</v>
      </c>
      <c r="M97" s="11"/>
      <c r="N97" s="11"/>
      <c r="O97" s="11"/>
      <c r="P97" s="11"/>
      <c r="Q97" s="11">
        <v>1</v>
      </c>
    </row>
    <row r="98" spans="1:17" x14ac:dyDescent="0.25">
      <c r="A98" s="11"/>
      <c r="B98" s="11" t="s">
        <v>27</v>
      </c>
      <c r="C98" s="11" t="s">
        <v>2826</v>
      </c>
      <c r="D98" s="11" t="s">
        <v>2827</v>
      </c>
      <c r="E98" s="11" t="s">
        <v>2828</v>
      </c>
      <c r="F98" s="12">
        <v>2</v>
      </c>
      <c r="G98" s="12">
        <v>1010</v>
      </c>
      <c r="H98" s="12">
        <v>30</v>
      </c>
      <c r="I98" s="12">
        <f t="shared" si="2"/>
        <v>980</v>
      </c>
      <c r="J98" s="11" t="s">
        <v>33</v>
      </c>
      <c r="K98" s="11" t="s">
        <v>33</v>
      </c>
      <c r="L98" s="11" t="s">
        <v>2667</v>
      </c>
      <c r="M98" s="11"/>
      <c r="N98" s="11"/>
      <c r="O98" s="11"/>
      <c r="P98" s="11"/>
      <c r="Q98" s="11">
        <v>1</v>
      </c>
    </row>
    <row r="99" spans="1:17" x14ac:dyDescent="0.25">
      <c r="A99" s="11"/>
      <c r="B99" s="11" t="s">
        <v>27</v>
      </c>
      <c r="C99" s="11" t="s">
        <v>2629</v>
      </c>
      <c r="D99" s="11" t="s">
        <v>2857</v>
      </c>
      <c r="E99" s="11" t="s">
        <v>2858</v>
      </c>
      <c r="F99" s="12">
        <v>12</v>
      </c>
      <c r="G99" s="12">
        <v>850</v>
      </c>
      <c r="H99" s="12">
        <v>30</v>
      </c>
      <c r="I99" s="12">
        <f t="shared" ref="I99:I130" si="4">G99-H99</f>
        <v>820</v>
      </c>
      <c r="J99" s="11" t="s">
        <v>33</v>
      </c>
      <c r="K99" s="11" t="s">
        <v>33</v>
      </c>
      <c r="L99" s="11" t="s">
        <v>2667</v>
      </c>
      <c r="M99" s="11"/>
      <c r="N99" s="11"/>
      <c r="O99" s="11"/>
      <c r="P99" s="11"/>
      <c r="Q99" s="11">
        <v>1</v>
      </c>
    </row>
    <row r="100" spans="1:17" x14ac:dyDescent="0.25">
      <c r="A100" s="11"/>
      <c r="B100" s="11" t="s">
        <v>27</v>
      </c>
      <c r="C100" s="11" t="s">
        <v>2865</v>
      </c>
      <c r="D100" s="11" t="s">
        <v>2866</v>
      </c>
      <c r="E100" s="11" t="s">
        <v>2867</v>
      </c>
      <c r="F100" s="11" t="s">
        <v>68</v>
      </c>
      <c r="G100" s="12">
        <v>645</v>
      </c>
      <c r="H100" s="12">
        <v>25</v>
      </c>
      <c r="I100" s="12">
        <f t="shared" si="4"/>
        <v>620</v>
      </c>
      <c r="J100" s="11" t="s">
        <v>33</v>
      </c>
      <c r="K100" s="11" t="s">
        <v>33</v>
      </c>
      <c r="L100" s="11" t="s">
        <v>2667</v>
      </c>
      <c r="M100" s="11"/>
      <c r="N100" s="11"/>
      <c r="O100" s="11"/>
      <c r="P100" s="11"/>
      <c r="Q100" s="11">
        <v>1</v>
      </c>
    </row>
    <row r="101" spans="1:17" x14ac:dyDescent="0.25">
      <c r="A101" s="11"/>
      <c r="B101" s="11" t="s">
        <v>27</v>
      </c>
      <c r="C101" s="11" t="s">
        <v>2870</v>
      </c>
      <c r="D101" s="11" t="s">
        <v>2871</v>
      </c>
      <c r="E101" s="11" t="s">
        <v>2872</v>
      </c>
      <c r="F101" s="11" t="s">
        <v>78</v>
      </c>
      <c r="G101" s="12">
        <v>1030</v>
      </c>
      <c r="H101" s="12">
        <v>20</v>
      </c>
      <c r="I101" s="12">
        <f t="shared" si="4"/>
        <v>1010</v>
      </c>
      <c r="J101" s="11" t="s">
        <v>33</v>
      </c>
      <c r="K101" s="11" t="s">
        <v>33</v>
      </c>
      <c r="L101" s="11" t="s">
        <v>2667</v>
      </c>
      <c r="M101" s="11"/>
      <c r="N101" s="11"/>
      <c r="O101" s="11"/>
      <c r="P101" s="11"/>
      <c r="Q101" s="11">
        <v>1</v>
      </c>
    </row>
    <row r="102" spans="1:17" x14ac:dyDescent="0.25">
      <c r="A102" s="11"/>
      <c r="B102" s="11" t="s">
        <v>27</v>
      </c>
      <c r="C102" s="11" t="s">
        <v>2876</v>
      </c>
      <c r="D102" s="11" t="s">
        <v>5538</v>
      </c>
      <c r="E102" s="11" t="s">
        <v>2877</v>
      </c>
      <c r="F102" s="11" t="s">
        <v>68</v>
      </c>
      <c r="G102" s="12">
        <v>1325</v>
      </c>
      <c r="H102" s="12">
        <v>25</v>
      </c>
      <c r="I102" s="12">
        <f t="shared" si="4"/>
        <v>1300</v>
      </c>
      <c r="J102" s="11" t="s">
        <v>33</v>
      </c>
      <c r="K102" s="11" t="s">
        <v>33</v>
      </c>
      <c r="L102" s="11" t="s">
        <v>2667</v>
      </c>
      <c r="M102" s="11"/>
      <c r="N102" s="11"/>
      <c r="O102" s="11"/>
      <c r="P102" s="11"/>
      <c r="Q102" s="11">
        <v>1</v>
      </c>
    </row>
    <row r="103" spans="1:17" x14ac:dyDescent="0.25">
      <c r="A103" s="11"/>
      <c r="B103" s="11" t="s">
        <v>27</v>
      </c>
      <c r="C103" s="11" t="s">
        <v>2902</v>
      </c>
      <c r="D103" s="11" t="s">
        <v>2903</v>
      </c>
      <c r="E103" s="11" t="s">
        <v>2904</v>
      </c>
      <c r="F103" s="11" t="s">
        <v>68</v>
      </c>
      <c r="G103" s="12">
        <v>695</v>
      </c>
      <c r="H103" s="12">
        <v>25</v>
      </c>
      <c r="I103" s="12">
        <f t="shared" si="4"/>
        <v>670</v>
      </c>
      <c r="J103" s="11" t="s">
        <v>33</v>
      </c>
      <c r="K103" s="11" t="s">
        <v>33</v>
      </c>
      <c r="L103" s="11" t="s">
        <v>2667</v>
      </c>
      <c r="M103" s="11"/>
      <c r="N103" s="11"/>
      <c r="O103" s="11"/>
      <c r="P103" s="11"/>
      <c r="Q103" s="11">
        <v>1</v>
      </c>
    </row>
    <row r="104" spans="1:17" x14ac:dyDescent="0.25">
      <c r="A104" s="11"/>
      <c r="B104" s="11" t="s">
        <v>27</v>
      </c>
      <c r="C104" s="11" t="s">
        <v>2905</v>
      </c>
      <c r="D104" s="11" t="s">
        <v>2906</v>
      </c>
      <c r="E104" s="11" t="s">
        <v>2907</v>
      </c>
      <c r="F104" s="12">
        <v>2</v>
      </c>
      <c r="G104" s="12">
        <v>670</v>
      </c>
      <c r="H104" s="12">
        <v>30</v>
      </c>
      <c r="I104" s="12">
        <f t="shared" si="4"/>
        <v>640</v>
      </c>
      <c r="J104" s="11" t="s">
        <v>33</v>
      </c>
      <c r="K104" s="11" t="s">
        <v>33</v>
      </c>
      <c r="L104" s="11" t="s">
        <v>2667</v>
      </c>
      <c r="M104" s="11"/>
      <c r="N104" s="11"/>
      <c r="O104" s="11"/>
      <c r="P104" s="11"/>
      <c r="Q104" s="11">
        <v>1</v>
      </c>
    </row>
    <row r="105" spans="1:17" x14ac:dyDescent="0.25">
      <c r="A105" s="11"/>
      <c r="B105" s="11" t="s">
        <v>27</v>
      </c>
      <c r="C105" s="11" t="s">
        <v>2911</v>
      </c>
      <c r="D105" s="11" t="s">
        <v>2912</v>
      </c>
      <c r="E105" s="11" t="s">
        <v>2913</v>
      </c>
      <c r="F105" s="11" t="s">
        <v>68</v>
      </c>
      <c r="G105" s="12">
        <v>1685</v>
      </c>
      <c r="H105" s="12">
        <v>25</v>
      </c>
      <c r="I105" s="12">
        <f t="shared" si="4"/>
        <v>1660</v>
      </c>
      <c r="J105" s="11" t="s">
        <v>33</v>
      </c>
      <c r="K105" s="11" t="s">
        <v>33</v>
      </c>
      <c r="L105" s="11" t="s">
        <v>2667</v>
      </c>
      <c r="M105" s="11"/>
      <c r="N105" s="11"/>
      <c r="O105" s="11"/>
      <c r="P105" s="11"/>
      <c r="Q105" s="11">
        <v>1</v>
      </c>
    </row>
    <row r="106" spans="1:17" x14ac:dyDescent="0.25">
      <c r="A106" s="11"/>
      <c r="B106" s="11" t="s">
        <v>27</v>
      </c>
      <c r="C106" s="11" t="s">
        <v>2923</v>
      </c>
      <c r="D106" s="11" t="s">
        <v>2924</v>
      </c>
      <c r="E106" s="11" t="s">
        <v>2925</v>
      </c>
      <c r="F106" s="12">
        <v>2</v>
      </c>
      <c r="G106" s="12">
        <v>480</v>
      </c>
      <c r="H106" s="12">
        <v>30</v>
      </c>
      <c r="I106" s="12">
        <f t="shared" si="4"/>
        <v>450</v>
      </c>
      <c r="J106" s="11" t="s">
        <v>33</v>
      </c>
      <c r="K106" s="11" t="s">
        <v>33</v>
      </c>
      <c r="L106" s="11" t="s">
        <v>2667</v>
      </c>
      <c r="M106" s="11"/>
      <c r="N106" s="11"/>
      <c r="O106" s="11"/>
      <c r="P106" s="11"/>
      <c r="Q106" s="11">
        <v>1</v>
      </c>
    </row>
    <row r="107" spans="1:17" x14ac:dyDescent="0.25">
      <c r="A107" s="11"/>
      <c r="B107" s="11" t="s">
        <v>27</v>
      </c>
      <c r="C107" s="11" t="s">
        <v>2932</v>
      </c>
      <c r="D107" s="11" t="s">
        <v>2933</v>
      </c>
      <c r="E107" s="11" t="s">
        <v>2934</v>
      </c>
      <c r="F107" s="11" t="s">
        <v>44</v>
      </c>
      <c r="G107" s="12">
        <v>455</v>
      </c>
      <c r="H107" s="12">
        <v>25</v>
      </c>
      <c r="I107" s="12">
        <f t="shared" si="4"/>
        <v>430</v>
      </c>
      <c r="J107" s="11" t="s">
        <v>33</v>
      </c>
      <c r="K107" s="11" t="s">
        <v>33</v>
      </c>
      <c r="L107" s="11" t="s">
        <v>2667</v>
      </c>
      <c r="M107" s="11"/>
      <c r="N107" s="11"/>
      <c r="O107" s="11"/>
      <c r="P107" s="11"/>
      <c r="Q107" s="11">
        <v>1</v>
      </c>
    </row>
    <row r="108" spans="1:17" x14ac:dyDescent="0.25">
      <c r="A108" s="11"/>
      <c r="B108" s="11" t="s">
        <v>27</v>
      </c>
      <c r="C108" s="11" t="s">
        <v>2935</v>
      </c>
      <c r="D108" s="11" t="s">
        <v>2936</v>
      </c>
      <c r="E108" s="11" t="s">
        <v>2937</v>
      </c>
      <c r="F108" s="11" t="s">
        <v>68</v>
      </c>
      <c r="G108" s="12">
        <v>435</v>
      </c>
      <c r="H108" s="12">
        <v>25</v>
      </c>
      <c r="I108" s="12">
        <f t="shared" si="4"/>
        <v>410</v>
      </c>
      <c r="J108" s="11" t="s">
        <v>33</v>
      </c>
      <c r="K108" s="11" t="s">
        <v>33</v>
      </c>
      <c r="L108" s="11" t="s">
        <v>2667</v>
      </c>
      <c r="M108" s="11"/>
      <c r="N108" s="11"/>
      <c r="O108" s="11"/>
      <c r="P108" s="11"/>
      <c r="Q108" s="11">
        <v>1</v>
      </c>
    </row>
    <row r="109" spans="1:17" x14ac:dyDescent="0.25">
      <c r="A109" s="11"/>
      <c r="B109" s="11" t="s">
        <v>27</v>
      </c>
      <c r="C109" s="11" t="s">
        <v>2938</v>
      </c>
      <c r="D109" s="11" t="s">
        <v>2939</v>
      </c>
      <c r="E109" s="11" t="s">
        <v>2940</v>
      </c>
      <c r="F109" s="11" t="s">
        <v>44</v>
      </c>
      <c r="G109" s="12">
        <v>375</v>
      </c>
      <c r="H109" s="12">
        <v>25</v>
      </c>
      <c r="I109" s="12">
        <f t="shared" si="4"/>
        <v>350</v>
      </c>
      <c r="J109" s="11" t="s">
        <v>33</v>
      </c>
      <c r="K109" s="11" t="s">
        <v>33</v>
      </c>
      <c r="L109" s="11" t="s">
        <v>2667</v>
      </c>
      <c r="M109" s="11"/>
      <c r="N109" s="11"/>
      <c r="O109" s="11"/>
      <c r="P109" s="11"/>
      <c r="Q109" s="11">
        <v>1</v>
      </c>
    </row>
    <row r="110" spans="1:17" x14ac:dyDescent="0.25">
      <c r="A110" s="11"/>
      <c r="B110" s="11" t="s">
        <v>27</v>
      </c>
      <c r="C110" s="11" t="s">
        <v>2941</v>
      </c>
      <c r="D110" s="11" t="s">
        <v>2942</v>
      </c>
      <c r="E110" s="11" t="s">
        <v>2943</v>
      </c>
      <c r="F110" s="11" t="s">
        <v>78</v>
      </c>
      <c r="G110" s="12">
        <v>2065</v>
      </c>
      <c r="H110" s="12">
        <v>25</v>
      </c>
      <c r="I110" s="12">
        <f t="shared" si="4"/>
        <v>2040</v>
      </c>
      <c r="J110" s="11" t="s">
        <v>33</v>
      </c>
      <c r="K110" s="11" t="s">
        <v>33</v>
      </c>
      <c r="L110" s="11" t="s">
        <v>2667</v>
      </c>
      <c r="M110" s="11"/>
      <c r="N110" s="11"/>
      <c r="O110" s="11"/>
      <c r="P110" s="11"/>
      <c r="Q110" s="11">
        <v>1</v>
      </c>
    </row>
    <row r="111" spans="1:17" x14ac:dyDescent="0.25">
      <c r="A111" s="11"/>
      <c r="B111" s="11" t="s">
        <v>27</v>
      </c>
      <c r="C111" s="11" t="s">
        <v>2290</v>
      </c>
      <c r="D111" s="11" t="s">
        <v>2947</v>
      </c>
      <c r="E111" s="11" t="s">
        <v>2948</v>
      </c>
      <c r="F111" s="11" t="s">
        <v>78</v>
      </c>
      <c r="G111" s="12">
        <v>790</v>
      </c>
      <c r="H111" s="12">
        <v>20</v>
      </c>
      <c r="I111" s="12">
        <f t="shared" si="4"/>
        <v>770</v>
      </c>
      <c r="J111" s="11" t="s">
        <v>33</v>
      </c>
      <c r="K111" s="11" t="s">
        <v>33</v>
      </c>
      <c r="L111" s="11" t="s">
        <v>2667</v>
      </c>
      <c r="M111" s="11"/>
      <c r="N111" s="11"/>
      <c r="O111" s="11"/>
      <c r="P111" s="11"/>
      <c r="Q111" s="11">
        <v>1</v>
      </c>
    </row>
    <row r="112" spans="1:17" x14ac:dyDescent="0.25">
      <c r="A112" s="11"/>
      <c r="B112" s="11" t="s">
        <v>27</v>
      </c>
      <c r="C112" s="11" t="s">
        <v>2949</v>
      </c>
      <c r="D112" s="11" t="s">
        <v>2950</v>
      </c>
      <c r="E112" s="11" t="s">
        <v>2951</v>
      </c>
      <c r="F112" s="11" t="s">
        <v>78</v>
      </c>
      <c r="G112" s="12">
        <v>1340</v>
      </c>
      <c r="H112" s="12">
        <v>20</v>
      </c>
      <c r="I112" s="12">
        <f t="shared" si="4"/>
        <v>1320</v>
      </c>
      <c r="J112" s="11" t="s">
        <v>33</v>
      </c>
      <c r="K112" s="11" t="s">
        <v>33</v>
      </c>
      <c r="L112" s="11" t="s">
        <v>2667</v>
      </c>
      <c r="M112" s="11"/>
      <c r="N112" s="11"/>
      <c r="O112" s="11"/>
      <c r="P112" s="11"/>
      <c r="Q112" s="11">
        <v>1</v>
      </c>
    </row>
    <row r="113" spans="1:18" x14ac:dyDescent="0.25">
      <c r="A113" s="11"/>
      <c r="B113" s="11" t="s">
        <v>27</v>
      </c>
      <c r="C113" s="11" t="s">
        <v>2955</v>
      </c>
      <c r="D113" s="11" t="s">
        <v>2956</v>
      </c>
      <c r="E113" s="11" t="s">
        <v>2957</v>
      </c>
      <c r="F113" s="11" t="s">
        <v>78</v>
      </c>
      <c r="G113" s="12">
        <v>510</v>
      </c>
      <c r="H113" s="12">
        <v>20</v>
      </c>
      <c r="I113" s="12">
        <f t="shared" si="4"/>
        <v>490</v>
      </c>
      <c r="J113" s="11" t="s">
        <v>33</v>
      </c>
      <c r="K113" s="11" t="s">
        <v>33</v>
      </c>
      <c r="L113" s="11" t="s">
        <v>2667</v>
      </c>
      <c r="M113" s="11"/>
      <c r="N113" s="11"/>
      <c r="O113" s="11"/>
      <c r="P113" s="11"/>
      <c r="Q113" s="11">
        <v>1</v>
      </c>
    </row>
    <row r="114" spans="1:18" x14ac:dyDescent="0.25">
      <c r="A114" s="11"/>
      <c r="B114" s="11" t="s">
        <v>27</v>
      </c>
      <c r="C114" s="11" t="s">
        <v>2967</v>
      </c>
      <c r="D114" s="11" t="s">
        <v>2968</v>
      </c>
      <c r="E114" s="11" t="s">
        <v>2969</v>
      </c>
      <c r="F114" s="12">
        <v>2</v>
      </c>
      <c r="G114" s="12">
        <v>1410</v>
      </c>
      <c r="H114" s="12">
        <v>30</v>
      </c>
      <c r="I114" s="12">
        <f t="shared" si="4"/>
        <v>1380</v>
      </c>
      <c r="J114" s="11" t="s">
        <v>33</v>
      </c>
      <c r="K114" s="11" t="s">
        <v>33</v>
      </c>
      <c r="L114" s="11" t="s">
        <v>2667</v>
      </c>
      <c r="M114" s="11"/>
      <c r="N114" s="11"/>
      <c r="O114" s="11"/>
      <c r="P114" s="11"/>
      <c r="Q114" s="11">
        <v>1</v>
      </c>
    </row>
    <row r="115" spans="1:18" x14ac:dyDescent="0.25">
      <c r="A115" s="11"/>
      <c r="B115" s="11" t="s">
        <v>27</v>
      </c>
      <c r="C115" s="11" t="s">
        <v>2970</v>
      </c>
      <c r="D115" s="11" t="s">
        <v>2971</v>
      </c>
      <c r="E115" s="11" t="s">
        <v>2972</v>
      </c>
      <c r="F115" s="11" t="s">
        <v>78</v>
      </c>
      <c r="G115" s="12">
        <v>370</v>
      </c>
      <c r="H115" s="12">
        <v>20</v>
      </c>
      <c r="I115" s="12">
        <f t="shared" si="4"/>
        <v>350</v>
      </c>
      <c r="J115" s="11" t="s">
        <v>33</v>
      </c>
      <c r="K115" s="11" t="s">
        <v>33</v>
      </c>
      <c r="L115" s="11" t="s">
        <v>2667</v>
      </c>
      <c r="M115" s="11"/>
      <c r="N115" s="11"/>
      <c r="O115" s="11"/>
      <c r="P115" s="11"/>
      <c r="Q115" s="11">
        <v>1</v>
      </c>
    </row>
    <row r="116" spans="1:18" x14ac:dyDescent="0.25">
      <c r="A116" s="11"/>
      <c r="B116" s="11" t="s">
        <v>27</v>
      </c>
      <c r="C116" s="11" t="s">
        <v>2974</v>
      </c>
      <c r="D116" s="11" t="s">
        <v>2975</v>
      </c>
      <c r="E116" s="11" t="s">
        <v>2976</v>
      </c>
      <c r="F116" s="11" t="s">
        <v>78</v>
      </c>
      <c r="G116" s="12">
        <v>710</v>
      </c>
      <c r="H116" s="12">
        <v>20</v>
      </c>
      <c r="I116" s="12">
        <f t="shared" si="4"/>
        <v>690</v>
      </c>
      <c r="J116" s="11" t="s">
        <v>33</v>
      </c>
      <c r="K116" s="11" t="s">
        <v>33</v>
      </c>
      <c r="L116" s="11" t="s">
        <v>2667</v>
      </c>
      <c r="M116" s="11"/>
      <c r="N116" s="11"/>
      <c r="O116" s="11"/>
      <c r="P116" s="11"/>
      <c r="Q116" s="11">
        <v>1</v>
      </c>
    </row>
    <row r="117" spans="1:18" x14ac:dyDescent="0.25">
      <c r="A117" s="11"/>
      <c r="B117" s="11" t="s">
        <v>27</v>
      </c>
      <c r="C117" s="11" t="s">
        <v>3004</v>
      </c>
      <c r="D117" s="11" t="s">
        <v>3005</v>
      </c>
      <c r="E117" s="11" t="s">
        <v>3006</v>
      </c>
      <c r="F117" s="11" t="s">
        <v>78</v>
      </c>
      <c r="G117" s="12">
        <v>610</v>
      </c>
      <c r="H117" s="12">
        <v>20</v>
      </c>
      <c r="I117" s="12">
        <f t="shared" si="4"/>
        <v>590</v>
      </c>
      <c r="J117" s="11" t="s">
        <v>33</v>
      </c>
      <c r="K117" s="11" t="s">
        <v>33</v>
      </c>
      <c r="L117" s="11" t="s">
        <v>2667</v>
      </c>
      <c r="M117" s="11"/>
      <c r="N117" s="11"/>
      <c r="O117" s="11"/>
      <c r="P117" s="11"/>
      <c r="Q117" s="11">
        <v>1</v>
      </c>
    </row>
    <row r="118" spans="1:18" x14ac:dyDescent="0.25">
      <c r="A118" s="11"/>
      <c r="B118" s="11" t="s">
        <v>27</v>
      </c>
      <c r="C118" s="11" t="s">
        <v>3013</v>
      </c>
      <c r="D118" s="11" t="s">
        <v>3014</v>
      </c>
      <c r="E118" s="11" t="s">
        <v>3015</v>
      </c>
      <c r="F118" s="11" t="s">
        <v>78</v>
      </c>
      <c r="G118" s="12">
        <v>1820</v>
      </c>
      <c r="H118" s="12">
        <v>20</v>
      </c>
      <c r="I118" s="12">
        <f t="shared" si="4"/>
        <v>1800</v>
      </c>
      <c r="J118" s="11" t="s">
        <v>33</v>
      </c>
      <c r="K118" s="11" t="s">
        <v>33</v>
      </c>
      <c r="L118" s="11" t="s">
        <v>2667</v>
      </c>
      <c r="M118" s="11"/>
      <c r="N118" s="11"/>
      <c r="O118" s="11"/>
      <c r="P118" s="11"/>
      <c r="Q118" s="11">
        <v>1</v>
      </c>
    </row>
    <row r="119" spans="1:18" x14ac:dyDescent="0.25">
      <c r="A119" s="11"/>
      <c r="B119" s="11" t="s">
        <v>27</v>
      </c>
      <c r="C119" s="11" t="s">
        <v>3025</v>
      </c>
      <c r="D119" s="11" t="s">
        <v>3026</v>
      </c>
      <c r="E119" s="11" t="s">
        <v>3027</v>
      </c>
      <c r="F119" s="11" t="s">
        <v>68</v>
      </c>
      <c r="G119" s="12">
        <v>1495</v>
      </c>
      <c r="H119" s="12">
        <v>25</v>
      </c>
      <c r="I119" s="12">
        <f t="shared" si="4"/>
        <v>1470</v>
      </c>
      <c r="J119" s="11" t="s">
        <v>33</v>
      </c>
      <c r="K119" s="11" t="s">
        <v>33</v>
      </c>
      <c r="L119" s="11" t="s">
        <v>2667</v>
      </c>
      <c r="M119" s="11"/>
      <c r="N119" s="11"/>
      <c r="O119" s="11"/>
      <c r="P119" s="11"/>
      <c r="Q119" s="11">
        <v>1</v>
      </c>
    </row>
    <row r="120" spans="1:18" x14ac:dyDescent="0.25">
      <c r="A120" s="11"/>
      <c r="B120" s="11" t="s">
        <v>27</v>
      </c>
      <c r="C120" s="11" t="s">
        <v>236</v>
      </c>
      <c r="D120" s="11" t="s">
        <v>3040</v>
      </c>
      <c r="E120" s="11" t="s">
        <v>238</v>
      </c>
      <c r="F120" s="12">
        <v>12</v>
      </c>
      <c r="G120" s="12">
        <v>0</v>
      </c>
      <c r="H120" s="12">
        <v>30</v>
      </c>
      <c r="I120" s="12">
        <f t="shared" si="4"/>
        <v>-30</v>
      </c>
      <c r="J120" s="11" t="s">
        <v>33</v>
      </c>
      <c r="K120" s="11" t="s">
        <v>33</v>
      </c>
      <c r="L120" s="11" t="s">
        <v>2667</v>
      </c>
      <c r="M120" s="11"/>
      <c r="N120" s="11"/>
      <c r="O120" s="11"/>
      <c r="P120" s="11"/>
      <c r="Q120" s="11">
        <v>1</v>
      </c>
      <c r="R120" s="5">
        <f>H120</f>
        <v>30</v>
      </c>
    </row>
    <row r="121" spans="1:18" x14ac:dyDescent="0.25">
      <c r="A121" s="11"/>
      <c r="B121" s="11" t="s">
        <v>27</v>
      </c>
      <c r="C121" s="11" t="s">
        <v>3041</v>
      </c>
      <c r="D121" s="11" t="s">
        <v>3042</v>
      </c>
      <c r="E121" s="11" t="s">
        <v>3043</v>
      </c>
      <c r="F121" s="11" t="s">
        <v>68</v>
      </c>
      <c r="G121" s="12">
        <v>1325</v>
      </c>
      <c r="H121" s="12">
        <v>25</v>
      </c>
      <c r="I121" s="12">
        <f t="shared" si="4"/>
        <v>1300</v>
      </c>
      <c r="J121" s="11" t="s">
        <v>33</v>
      </c>
      <c r="K121" s="11" t="s">
        <v>33</v>
      </c>
      <c r="L121" s="11" t="s">
        <v>2667</v>
      </c>
      <c r="M121" s="11"/>
      <c r="N121" s="11"/>
      <c r="O121" s="11"/>
      <c r="P121" s="11"/>
      <c r="Q121" s="11">
        <v>1</v>
      </c>
    </row>
    <row r="122" spans="1:18" x14ac:dyDescent="0.25">
      <c r="A122" s="11"/>
      <c r="B122" s="11" t="s">
        <v>27</v>
      </c>
      <c r="C122" s="11" t="s">
        <v>3054</v>
      </c>
      <c r="D122" s="11" t="s">
        <v>3055</v>
      </c>
      <c r="E122" s="11" t="s">
        <v>3056</v>
      </c>
      <c r="F122" s="12">
        <v>2</v>
      </c>
      <c r="G122" s="12">
        <v>750</v>
      </c>
      <c r="H122" s="12">
        <v>30</v>
      </c>
      <c r="I122" s="12">
        <f t="shared" si="4"/>
        <v>720</v>
      </c>
      <c r="J122" s="11" t="s">
        <v>33</v>
      </c>
      <c r="K122" s="11" t="s">
        <v>33</v>
      </c>
      <c r="L122" s="11" t="s">
        <v>2667</v>
      </c>
      <c r="M122" s="11"/>
      <c r="N122" s="11"/>
      <c r="O122" s="11"/>
      <c r="P122" s="11"/>
      <c r="Q122" s="11">
        <v>1</v>
      </c>
    </row>
    <row r="123" spans="1:18" x14ac:dyDescent="0.25">
      <c r="A123" s="11"/>
      <c r="B123" s="11" t="s">
        <v>27</v>
      </c>
      <c r="C123" s="11" t="s">
        <v>1979</v>
      </c>
      <c r="D123" s="11" t="s">
        <v>3066</v>
      </c>
      <c r="E123" s="11" t="s">
        <v>1981</v>
      </c>
      <c r="F123" s="12">
        <v>2</v>
      </c>
      <c r="G123" s="12">
        <v>420</v>
      </c>
      <c r="H123" s="12">
        <v>30</v>
      </c>
      <c r="I123" s="12">
        <f t="shared" si="4"/>
        <v>390</v>
      </c>
      <c r="J123" s="11" t="s">
        <v>33</v>
      </c>
      <c r="K123" s="11" t="s">
        <v>33</v>
      </c>
      <c r="L123" s="11" t="s">
        <v>2667</v>
      </c>
      <c r="M123" s="11"/>
      <c r="N123" s="11"/>
      <c r="O123" s="11"/>
      <c r="P123" s="11"/>
      <c r="Q123" s="11">
        <v>1</v>
      </c>
    </row>
    <row r="124" spans="1:18" x14ac:dyDescent="0.25">
      <c r="A124" s="11"/>
      <c r="B124" s="11" t="s">
        <v>27</v>
      </c>
      <c r="C124" s="11" t="s">
        <v>3067</v>
      </c>
      <c r="D124" s="11" t="s">
        <v>3068</v>
      </c>
      <c r="E124" s="11" t="s">
        <v>3069</v>
      </c>
      <c r="F124" s="12">
        <v>2</v>
      </c>
      <c r="G124" s="12">
        <v>480</v>
      </c>
      <c r="H124" s="12">
        <v>30</v>
      </c>
      <c r="I124" s="12">
        <f t="shared" si="4"/>
        <v>450</v>
      </c>
      <c r="J124" s="11" t="s">
        <v>33</v>
      </c>
      <c r="K124" s="11" t="s">
        <v>33</v>
      </c>
      <c r="L124" s="11" t="s">
        <v>2667</v>
      </c>
      <c r="M124" s="11"/>
      <c r="N124" s="11"/>
      <c r="O124" s="11"/>
      <c r="P124" s="11"/>
      <c r="Q124" s="11">
        <v>1</v>
      </c>
    </row>
    <row r="125" spans="1:18" x14ac:dyDescent="0.25">
      <c r="A125" s="11"/>
      <c r="B125" s="11" t="s">
        <v>27</v>
      </c>
      <c r="C125" s="11" t="s">
        <v>3093</v>
      </c>
      <c r="D125" s="11" t="s">
        <v>3094</v>
      </c>
      <c r="E125" s="11" t="s">
        <v>3095</v>
      </c>
      <c r="F125" s="11" t="s">
        <v>78</v>
      </c>
      <c r="G125" s="12">
        <v>1000</v>
      </c>
      <c r="H125" s="12">
        <v>20</v>
      </c>
      <c r="I125" s="12">
        <f t="shared" si="4"/>
        <v>980</v>
      </c>
      <c r="J125" s="11" t="s">
        <v>33</v>
      </c>
      <c r="K125" s="11" t="s">
        <v>33</v>
      </c>
      <c r="L125" s="11" t="s">
        <v>2667</v>
      </c>
      <c r="M125" s="11"/>
      <c r="N125" s="11"/>
      <c r="O125" s="11"/>
      <c r="P125" s="11"/>
      <c r="Q125" s="11">
        <v>1</v>
      </c>
    </row>
    <row r="126" spans="1:18" x14ac:dyDescent="0.25">
      <c r="A126" s="11"/>
      <c r="B126" s="11" t="s">
        <v>27</v>
      </c>
      <c r="C126" s="11" t="s">
        <v>3102</v>
      </c>
      <c r="D126" s="11" t="s">
        <v>3103</v>
      </c>
      <c r="E126" s="11" t="s">
        <v>3104</v>
      </c>
      <c r="F126" s="11" t="s">
        <v>68</v>
      </c>
      <c r="G126" s="12">
        <v>515</v>
      </c>
      <c r="H126" s="12">
        <v>25</v>
      </c>
      <c r="I126" s="12">
        <f t="shared" si="4"/>
        <v>490</v>
      </c>
      <c r="J126" s="11" t="s">
        <v>33</v>
      </c>
      <c r="K126" s="11" t="s">
        <v>33</v>
      </c>
      <c r="L126" s="11" t="s">
        <v>2667</v>
      </c>
      <c r="M126" s="11"/>
      <c r="N126" s="11"/>
      <c r="O126" s="11"/>
      <c r="P126" s="11"/>
      <c r="Q126" s="11">
        <v>1</v>
      </c>
    </row>
    <row r="127" spans="1:18" x14ac:dyDescent="0.25">
      <c r="A127" s="11"/>
      <c r="B127" s="11" t="s">
        <v>27</v>
      </c>
      <c r="C127" s="11" t="s">
        <v>3108</v>
      </c>
      <c r="D127" s="11" t="s">
        <v>3109</v>
      </c>
      <c r="E127" s="11" t="s">
        <v>3110</v>
      </c>
      <c r="F127" s="11" t="s">
        <v>68</v>
      </c>
      <c r="G127" s="12">
        <v>415</v>
      </c>
      <c r="H127" s="12">
        <v>25</v>
      </c>
      <c r="I127" s="12">
        <f t="shared" si="4"/>
        <v>390</v>
      </c>
      <c r="J127" s="11" t="s">
        <v>33</v>
      </c>
      <c r="K127" s="11" t="s">
        <v>33</v>
      </c>
      <c r="L127" s="11" t="s">
        <v>2667</v>
      </c>
      <c r="M127" s="11"/>
      <c r="N127" s="11"/>
      <c r="O127" s="11"/>
      <c r="P127" s="11"/>
      <c r="Q127" s="11">
        <v>1</v>
      </c>
    </row>
    <row r="128" spans="1:18" x14ac:dyDescent="0.25">
      <c r="A128" s="11"/>
      <c r="B128" s="11" t="s">
        <v>27</v>
      </c>
      <c r="C128" s="11" t="s">
        <v>3117</v>
      </c>
      <c r="D128" s="11" t="s">
        <v>3118</v>
      </c>
      <c r="E128" s="11" t="s">
        <v>3119</v>
      </c>
      <c r="F128" s="11" t="s">
        <v>68</v>
      </c>
      <c r="G128" s="12">
        <v>295</v>
      </c>
      <c r="H128" s="12">
        <v>25</v>
      </c>
      <c r="I128" s="12">
        <f t="shared" si="4"/>
        <v>270</v>
      </c>
      <c r="J128" s="11" t="s">
        <v>33</v>
      </c>
      <c r="K128" s="11" t="s">
        <v>33</v>
      </c>
      <c r="L128" s="11" t="s">
        <v>2667</v>
      </c>
      <c r="M128" s="11"/>
      <c r="N128" s="11"/>
      <c r="O128" s="11"/>
      <c r="P128" s="11"/>
      <c r="Q128" s="11">
        <v>1</v>
      </c>
    </row>
    <row r="129" spans="1:18" x14ac:dyDescent="0.25">
      <c r="A129" s="11"/>
      <c r="B129" s="11" t="s">
        <v>27</v>
      </c>
      <c r="C129" s="11" t="s">
        <v>416</v>
      </c>
      <c r="D129" s="11" t="s">
        <v>3126</v>
      </c>
      <c r="E129" s="11" t="s">
        <v>1873</v>
      </c>
      <c r="F129" s="12">
        <v>12</v>
      </c>
      <c r="G129" s="12">
        <v>0</v>
      </c>
      <c r="H129" s="12">
        <v>30</v>
      </c>
      <c r="I129" s="12">
        <f t="shared" si="4"/>
        <v>-30</v>
      </c>
      <c r="J129" s="11" t="s">
        <v>33</v>
      </c>
      <c r="K129" s="11" t="s">
        <v>33</v>
      </c>
      <c r="L129" s="11" t="s">
        <v>2667</v>
      </c>
      <c r="M129" s="11"/>
      <c r="N129" s="11"/>
      <c r="O129" s="11"/>
      <c r="P129" s="11"/>
      <c r="Q129" s="11">
        <v>1</v>
      </c>
      <c r="R129" s="5">
        <f>H129</f>
        <v>30</v>
      </c>
    </row>
    <row r="130" spans="1:18" x14ac:dyDescent="0.25">
      <c r="A130" s="11"/>
      <c r="B130" s="11" t="s">
        <v>27</v>
      </c>
      <c r="C130" s="11" t="s">
        <v>3130</v>
      </c>
      <c r="D130" s="11" t="s">
        <v>3131</v>
      </c>
      <c r="E130" s="11" t="s">
        <v>96</v>
      </c>
      <c r="F130" s="11" t="s">
        <v>78</v>
      </c>
      <c r="G130" s="12">
        <v>510</v>
      </c>
      <c r="H130" s="12">
        <v>20</v>
      </c>
      <c r="I130" s="12">
        <f t="shared" si="4"/>
        <v>490</v>
      </c>
      <c r="J130" s="11" t="s">
        <v>33</v>
      </c>
      <c r="K130" s="11" t="s">
        <v>33</v>
      </c>
      <c r="L130" s="11" t="s">
        <v>2667</v>
      </c>
      <c r="M130" s="11"/>
      <c r="N130" s="11"/>
      <c r="O130" s="11"/>
      <c r="P130" s="11"/>
      <c r="Q130" s="11">
        <v>1</v>
      </c>
    </row>
    <row r="131" spans="1:18" x14ac:dyDescent="0.25">
      <c r="A131" s="11"/>
      <c r="B131" s="11" t="s">
        <v>27</v>
      </c>
      <c r="C131" s="11" t="s">
        <v>2166</v>
      </c>
      <c r="D131" s="11" t="s">
        <v>3132</v>
      </c>
      <c r="E131" s="11" t="s">
        <v>3133</v>
      </c>
      <c r="F131" s="11" t="s">
        <v>104</v>
      </c>
      <c r="G131" s="12">
        <v>440</v>
      </c>
      <c r="H131" s="12">
        <v>30</v>
      </c>
      <c r="I131" s="12">
        <f t="shared" ref="I131:I162" si="5">G131-H131</f>
        <v>410</v>
      </c>
      <c r="J131" s="11" t="s">
        <v>33</v>
      </c>
      <c r="K131" s="11" t="s">
        <v>33</v>
      </c>
      <c r="L131" s="11" t="s">
        <v>2667</v>
      </c>
      <c r="M131" s="11"/>
      <c r="N131" s="11"/>
      <c r="O131" s="11"/>
      <c r="P131" s="11"/>
      <c r="Q131" s="11">
        <v>1</v>
      </c>
    </row>
    <row r="132" spans="1:18" x14ac:dyDescent="0.25">
      <c r="A132" s="11"/>
      <c r="B132" s="11" t="s">
        <v>27</v>
      </c>
      <c r="C132" s="11" t="s">
        <v>3161</v>
      </c>
      <c r="D132" s="11" t="s">
        <v>3162</v>
      </c>
      <c r="E132" s="11" t="s">
        <v>3163</v>
      </c>
      <c r="F132" s="11" t="s">
        <v>68</v>
      </c>
      <c r="G132" s="12">
        <v>795</v>
      </c>
      <c r="H132" s="12">
        <v>25</v>
      </c>
      <c r="I132" s="12">
        <f t="shared" si="5"/>
        <v>770</v>
      </c>
      <c r="J132" s="11" t="s">
        <v>33</v>
      </c>
      <c r="K132" s="11" t="s">
        <v>33</v>
      </c>
      <c r="L132" s="11" t="s">
        <v>2667</v>
      </c>
      <c r="M132" s="11"/>
      <c r="N132" s="11"/>
      <c r="O132" s="11"/>
      <c r="P132" s="11"/>
      <c r="Q132" s="11">
        <v>1</v>
      </c>
    </row>
    <row r="133" spans="1:18" x14ac:dyDescent="0.25">
      <c r="A133" s="11"/>
      <c r="B133" s="11" t="s">
        <v>27</v>
      </c>
      <c r="C133" s="11" t="s">
        <v>3167</v>
      </c>
      <c r="D133" s="11" t="s">
        <v>3168</v>
      </c>
      <c r="E133" s="11" t="s">
        <v>3169</v>
      </c>
      <c r="F133" s="11" t="s">
        <v>78</v>
      </c>
      <c r="G133" s="12">
        <v>650</v>
      </c>
      <c r="H133" s="12">
        <v>20</v>
      </c>
      <c r="I133" s="12">
        <f t="shared" si="5"/>
        <v>630</v>
      </c>
      <c r="J133" s="11" t="s">
        <v>33</v>
      </c>
      <c r="K133" s="11" t="s">
        <v>33</v>
      </c>
      <c r="L133" s="11" t="s">
        <v>2667</v>
      </c>
      <c r="M133" s="11"/>
      <c r="N133" s="11"/>
      <c r="O133" s="11"/>
      <c r="P133" s="11"/>
      <c r="Q133" s="11">
        <v>1</v>
      </c>
    </row>
    <row r="134" spans="1:18" x14ac:dyDescent="0.25">
      <c r="A134" s="11"/>
      <c r="B134" s="11" t="s">
        <v>27</v>
      </c>
      <c r="C134" s="11" t="s">
        <v>3173</v>
      </c>
      <c r="D134" s="11" t="s">
        <v>3174</v>
      </c>
      <c r="E134" s="11" t="s">
        <v>3175</v>
      </c>
      <c r="F134" s="11" t="s">
        <v>78</v>
      </c>
      <c r="G134" s="12">
        <v>760</v>
      </c>
      <c r="H134" s="12">
        <v>20</v>
      </c>
      <c r="I134" s="12">
        <f t="shared" si="5"/>
        <v>740</v>
      </c>
      <c r="J134" s="11" t="s">
        <v>33</v>
      </c>
      <c r="K134" s="11" t="s">
        <v>33</v>
      </c>
      <c r="L134" s="11" t="s">
        <v>2667</v>
      </c>
      <c r="M134" s="11"/>
      <c r="N134" s="11"/>
      <c r="O134" s="11"/>
      <c r="P134" s="11"/>
      <c r="Q134" s="11">
        <v>1</v>
      </c>
    </row>
    <row r="135" spans="1:18" x14ac:dyDescent="0.25">
      <c r="A135" s="11" t="s">
        <v>59</v>
      </c>
      <c r="B135" s="11" t="s">
        <v>27</v>
      </c>
      <c r="C135" s="11" t="s">
        <v>2670</v>
      </c>
      <c r="D135" s="11"/>
      <c r="E135" s="11" t="s">
        <v>2671</v>
      </c>
      <c r="F135" s="11" t="s">
        <v>44</v>
      </c>
      <c r="G135" s="12">
        <v>800</v>
      </c>
      <c r="H135" s="12">
        <v>30</v>
      </c>
      <c r="I135" s="12">
        <f t="shared" si="5"/>
        <v>770</v>
      </c>
      <c r="J135" s="11" t="s">
        <v>119</v>
      </c>
      <c r="K135" s="11" t="s">
        <v>33</v>
      </c>
      <c r="L135" s="11" t="s">
        <v>2667</v>
      </c>
      <c r="M135" s="24" t="s">
        <v>340</v>
      </c>
      <c r="N135" s="11"/>
      <c r="O135" s="11"/>
      <c r="P135" s="11"/>
      <c r="Q135" s="11">
        <v>1</v>
      </c>
      <c r="R135" s="5">
        <f>H135</f>
        <v>30</v>
      </c>
    </row>
    <row r="136" spans="1:18" x14ac:dyDescent="0.25">
      <c r="A136" s="11" t="s">
        <v>59</v>
      </c>
      <c r="B136" s="11" t="s">
        <v>27</v>
      </c>
      <c r="C136" s="11" t="s">
        <v>2679</v>
      </c>
      <c r="D136" s="11"/>
      <c r="E136" s="11" t="s">
        <v>2680</v>
      </c>
      <c r="F136" s="12">
        <v>5</v>
      </c>
      <c r="G136" s="12">
        <v>0</v>
      </c>
      <c r="H136" s="12">
        <v>30</v>
      </c>
      <c r="I136" s="12">
        <f t="shared" si="5"/>
        <v>-30</v>
      </c>
      <c r="J136" s="11" t="s">
        <v>119</v>
      </c>
      <c r="K136" s="11" t="s">
        <v>33</v>
      </c>
      <c r="L136" s="11" t="s">
        <v>2667</v>
      </c>
      <c r="M136" s="11"/>
      <c r="N136" s="11"/>
      <c r="O136" s="11"/>
      <c r="P136" s="11"/>
      <c r="Q136" s="11">
        <v>1</v>
      </c>
      <c r="R136" s="5">
        <f>H136</f>
        <v>30</v>
      </c>
    </row>
    <row r="137" spans="1:18" x14ac:dyDescent="0.25">
      <c r="A137" s="11"/>
      <c r="B137" s="11" t="s">
        <v>27</v>
      </c>
      <c r="C137" s="11" t="s">
        <v>2684</v>
      </c>
      <c r="D137" s="11" t="s">
        <v>2685</v>
      </c>
      <c r="E137" s="11" t="s">
        <v>2686</v>
      </c>
      <c r="F137" s="12">
        <v>3</v>
      </c>
      <c r="G137" s="12">
        <v>515</v>
      </c>
      <c r="H137" s="12">
        <v>25</v>
      </c>
      <c r="I137" s="12">
        <f t="shared" si="5"/>
        <v>490</v>
      </c>
      <c r="J137" s="11" t="s">
        <v>119</v>
      </c>
      <c r="K137" s="11" t="s">
        <v>33</v>
      </c>
      <c r="L137" s="11" t="s">
        <v>2667</v>
      </c>
      <c r="M137" s="11"/>
      <c r="N137" s="11"/>
      <c r="O137" s="11"/>
      <c r="P137" s="11"/>
      <c r="Q137" s="11">
        <v>1</v>
      </c>
    </row>
    <row r="138" spans="1:18" x14ac:dyDescent="0.25">
      <c r="A138" s="11"/>
      <c r="B138" s="11" t="s">
        <v>27</v>
      </c>
      <c r="C138" s="11" t="s">
        <v>2690</v>
      </c>
      <c r="D138" s="11" t="s">
        <v>2691</v>
      </c>
      <c r="E138" s="11" t="s">
        <v>2692</v>
      </c>
      <c r="F138" s="12">
        <v>1</v>
      </c>
      <c r="G138" s="12">
        <v>345</v>
      </c>
      <c r="H138" s="12">
        <v>25</v>
      </c>
      <c r="I138" s="12">
        <f t="shared" si="5"/>
        <v>320</v>
      </c>
      <c r="J138" s="11" t="s">
        <v>119</v>
      </c>
      <c r="K138" s="11" t="s">
        <v>33</v>
      </c>
      <c r="L138" s="11" t="s">
        <v>2667</v>
      </c>
      <c r="M138" s="11"/>
      <c r="N138" s="11"/>
      <c r="O138" s="11"/>
      <c r="P138" s="11"/>
      <c r="Q138" s="11">
        <v>1</v>
      </c>
    </row>
    <row r="139" spans="1:18" x14ac:dyDescent="0.25">
      <c r="A139" s="11"/>
      <c r="B139" s="11" t="s">
        <v>27</v>
      </c>
      <c r="C139" s="11" t="s">
        <v>2708</v>
      </c>
      <c r="D139" s="11" t="s">
        <v>2709</v>
      </c>
      <c r="E139" s="11" t="s">
        <v>2710</v>
      </c>
      <c r="F139" s="12">
        <v>4</v>
      </c>
      <c r="G139" s="12">
        <v>4536</v>
      </c>
      <c r="H139" s="12">
        <v>40</v>
      </c>
      <c r="I139" s="12">
        <f t="shared" si="5"/>
        <v>4496</v>
      </c>
      <c r="J139" s="11" t="s">
        <v>119</v>
      </c>
      <c r="K139" s="11" t="s">
        <v>33</v>
      </c>
      <c r="L139" s="11" t="s">
        <v>2667</v>
      </c>
      <c r="M139" s="11"/>
      <c r="N139" s="11"/>
      <c r="O139" s="11"/>
      <c r="P139" s="11"/>
      <c r="Q139" s="11">
        <v>1</v>
      </c>
    </row>
    <row r="140" spans="1:18" x14ac:dyDescent="0.25">
      <c r="A140" s="11"/>
      <c r="B140" s="11" t="s">
        <v>27</v>
      </c>
      <c r="C140" s="11" t="s">
        <v>2711</v>
      </c>
      <c r="D140" s="11" t="s">
        <v>2712</v>
      </c>
      <c r="E140" s="11" t="s">
        <v>2713</v>
      </c>
      <c r="F140" s="12">
        <v>1</v>
      </c>
      <c r="G140" s="12">
        <v>605</v>
      </c>
      <c r="H140" s="12">
        <v>25</v>
      </c>
      <c r="I140" s="12">
        <f t="shared" si="5"/>
        <v>580</v>
      </c>
      <c r="J140" s="11" t="s">
        <v>119</v>
      </c>
      <c r="K140" s="11" t="s">
        <v>33</v>
      </c>
      <c r="L140" s="11" t="s">
        <v>2667</v>
      </c>
      <c r="M140" s="11"/>
      <c r="N140" s="11"/>
      <c r="O140" s="11"/>
      <c r="P140" s="11"/>
      <c r="Q140" s="11">
        <v>1</v>
      </c>
    </row>
    <row r="141" spans="1:18" x14ac:dyDescent="0.25">
      <c r="A141" s="11"/>
      <c r="B141" s="11" t="s">
        <v>27</v>
      </c>
      <c r="C141" s="11" t="s">
        <v>1991</v>
      </c>
      <c r="D141" s="11" t="s">
        <v>2744</v>
      </c>
      <c r="E141" s="11" t="s">
        <v>2745</v>
      </c>
      <c r="F141" s="11" t="s">
        <v>44</v>
      </c>
      <c r="G141" s="12">
        <v>1585</v>
      </c>
      <c r="H141" s="12">
        <v>25</v>
      </c>
      <c r="I141" s="12">
        <f t="shared" si="5"/>
        <v>1560</v>
      </c>
      <c r="J141" s="11" t="s">
        <v>119</v>
      </c>
      <c r="K141" s="11" t="s">
        <v>33</v>
      </c>
      <c r="L141" s="11" t="s">
        <v>2667</v>
      </c>
      <c r="M141" s="11"/>
      <c r="N141" s="11"/>
      <c r="O141" s="11"/>
      <c r="P141" s="11"/>
      <c r="Q141" s="11">
        <v>1</v>
      </c>
    </row>
    <row r="142" spans="1:18" x14ac:dyDescent="0.25">
      <c r="A142" s="11"/>
      <c r="B142" s="11" t="s">
        <v>27</v>
      </c>
      <c r="C142" s="11" t="s">
        <v>2746</v>
      </c>
      <c r="D142" s="11" t="s">
        <v>2747</v>
      </c>
      <c r="E142" s="11" t="s">
        <v>2748</v>
      </c>
      <c r="F142" s="11" t="s">
        <v>44</v>
      </c>
      <c r="G142" s="12">
        <v>395</v>
      </c>
      <c r="H142" s="12">
        <v>25</v>
      </c>
      <c r="I142" s="12">
        <f t="shared" si="5"/>
        <v>370</v>
      </c>
      <c r="J142" s="11" t="s">
        <v>119</v>
      </c>
      <c r="K142" s="11" t="s">
        <v>33</v>
      </c>
      <c r="L142" s="11" t="s">
        <v>2667</v>
      </c>
      <c r="M142" s="11"/>
      <c r="N142" s="11"/>
      <c r="O142" s="11"/>
      <c r="P142" s="11"/>
      <c r="Q142" s="11">
        <v>1</v>
      </c>
    </row>
    <row r="143" spans="1:18" x14ac:dyDescent="0.25">
      <c r="A143" s="11"/>
      <c r="B143" s="11" t="s">
        <v>27</v>
      </c>
      <c r="C143" s="11" t="s">
        <v>2749</v>
      </c>
      <c r="D143" s="11" t="s">
        <v>2750</v>
      </c>
      <c r="E143" s="11" t="s">
        <v>2751</v>
      </c>
      <c r="F143" s="11" t="s">
        <v>44</v>
      </c>
      <c r="G143" s="12">
        <v>445</v>
      </c>
      <c r="H143" s="12">
        <v>25</v>
      </c>
      <c r="I143" s="12">
        <f t="shared" si="5"/>
        <v>420</v>
      </c>
      <c r="J143" s="11" t="s">
        <v>119</v>
      </c>
      <c r="K143" s="11" t="s">
        <v>33</v>
      </c>
      <c r="L143" s="11" t="s">
        <v>2667</v>
      </c>
      <c r="M143" s="11"/>
      <c r="N143" s="11"/>
      <c r="O143" s="11"/>
      <c r="P143" s="11"/>
      <c r="Q143" s="11">
        <v>1</v>
      </c>
    </row>
    <row r="144" spans="1:18" x14ac:dyDescent="0.25">
      <c r="A144" s="11"/>
      <c r="B144" s="11" t="s">
        <v>27</v>
      </c>
      <c r="C144" s="11" t="s">
        <v>2761</v>
      </c>
      <c r="D144" s="11" t="s">
        <v>2762</v>
      </c>
      <c r="E144" s="11" t="s">
        <v>2763</v>
      </c>
      <c r="F144" s="12">
        <v>10</v>
      </c>
      <c r="G144" s="12">
        <v>515</v>
      </c>
      <c r="H144" s="12">
        <v>25</v>
      </c>
      <c r="I144" s="12">
        <f t="shared" si="5"/>
        <v>490</v>
      </c>
      <c r="J144" s="11" t="s">
        <v>119</v>
      </c>
      <c r="K144" s="11" t="s">
        <v>33</v>
      </c>
      <c r="L144" s="11" t="s">
        <v>2667</v>
      </c>
      <c r="M144" s="11"/>
      <c r="N144" s="11"/>
      <c r="O144" s="11"/>
      <c r="P144" s="11"/>
      <c r="Q144" s="11">
        <v>1</v>
      </c>
    </row>
    <row r="145" spans="1:18" x14ac:dyDescent="0.25">
      <c r="A145" s="11"/>
      <c r="B145" s="11" t="s">
        <v>27</v>
      </c>
      <c r="C145" s="11" t="s">
        <v>2764</v>
      </c>
      <c r="D145" s="11" t="s">
        <v>2765</v>
      </c>
      <c r="E145" s="11" t="s">
        <v>2766</v>
      </c>
      <c r="F145" s="12">
        <v>4</v>
      </c>
      <c r="G145" s="12">
        <v>515</v>
      </c>
      <c r="H145" s="12">
        <v>25</v>
      </c>
      <c r="I145" s="12">
        <f t="shared" si="5"/>
        <v>490</v>
      </c>
      <c r="J145" s="11" t="s">
        <v>119</v>
      </c>
      <c r="K145" s="11" t="s">
        <v>33</v>
      </c>
      <c r="L145" s="11" t="s">
        <v>2667</v>
      </c>
      <c r="M145" s="11"/>
      <c r="N145" s="11"/>
      <c r="O145" s="11"/>
      <c r="P145" s="11"/>
      <c r="Q145" s="11">
        <v>1</v>
      </c>
    </row>
    <row r="146" spans="1:18" x14ac:dyDescent="0.25">
      <c r="A146" s="11"/>
      <c r="B146" s="11" t="s">
        <v>27</v>
      </c>
      <c r="C146" s="11" t="s">
        <v>2767</v>
      </c>
      <c r="D146" s="11" t="s">
        <v>2768</v>
      </c>
      <c r="E146" s="11" t="s">
        <v>2769</v>
      </c>
      <c r="F146" s="12">
        <v>4</v>
      </c>
      <c r="G146" s="12">
        <v>465</v>
      </c>
      <c r="H146" s="12">
        <v>25</v>
      </c>
      <c r="I146" s="12">
        <f t="shared" si="5"/>
        <v>440</v>
      </c>
      <c r="J146" s="11" t="s">
        <v>119</v>
      </c>
      <c r="K146" s="11" t="s">
        <v>33</v>
      </c>
      <c r="L146" s="11" t="s">
        <v>2667</v>
      </c>
      <c r="M146" s="11"/>
      <c r="N146" s="11"/>
      <c r="O146" s="11"/>
      <c r="P146" s="11"/>
      <c r="Q146" s="11">
        <v>1</v>
      </c>
    </row>
    <row r="147" spans="1:18" x14ac:dyDescent="0.25">
      <c r="A147" s="11"/>
      <c r="B147" s="11" t="s">
        <v>27</v>
      </c>
      <c r="C147" s="11" t="s">
        <v>2779</v>
      </c>
      <c r="D147" s="11" t="s">
        <v>2780</v>
      </c>
      <c r="E147" s="11" t="s">
        <v>2781</v>
      </c>
      <c r="F147" s="12">
        <v>3</v>
      </c>
      <c r="G147" s="12">
        <v>355</v>
      </c>
      <c r="H147" s="12">
        <v>25</v>
      </c>
      <c r="I147" s="12">
        <f t="shared" si="5"/>
        <v>330</v>
      </c>
      <c r="J147" s="11" t="s">
        <v>119</v>
      </c>
      <c r="K147" s="11" t="s">
        <v>33</v>
      </c>
      <c r="L147" s="11" t="s">
        <v>2667</v>
      </c>
      <c r="M147" s="11"/>
      <c r="N147" s="11"/>
      <c r="O147" s="11"/>
      <c r="P147" s="11"/>
      <c r="Q147" s="11">
        <v>1</v>
      </c>
    </row>
    <row r="148" spans="1:18" x14ac:dyDescent="0.25">
      <c r="A148" s="11"/>
      <c r="B148" s="11" t="s">
        <v>27</v>
      </c>
      <c r="C148" s="11" t="s">
        <v>2785</v>
      </c>
      <c r="D148" s="11" t="s">
        <v>2786</v>
      </c>
      <c r="E148" s="11" t="s">
        <v>2787</v>
      </c>
      <c r="F148" s="12">
        <v>10</v>
      </c>
      <c r="G148" s="12">
        <v>445</v>
      </c>
      <c r="H148" s="12">
        <v>25</v>
      </c>
      <c r="I148" s="12">
        <f t="shared" si="5"/>
        <v>420</v>
      </c>
      <c r="J148" s="11" t="s">
        <v>119</v>
      </c>
      <c r="K148" s="11" t="s">
        <v>33</v>
      </c>
      <c r="L148" s="11" t="s">
        <v>2667</v>
      </c>
      <c r="M148" s="11"/>
      <c r="N148" s="11"/>
      <c r="O148" s="11"/>
      <c r="P148" s="11"/>
      <c r="Q148" s="11">
        <v>1</v>
      </c>
    </row>
    <row r="149" spans="1:18" x14ac:dyDescent="0.25">
      <c r="A149" s="11"/>
      <c r="B149" s="11" t="s">
        <v>27</v>
      </c>
      <c r="C149" s="11" t="s">
        <v>2803</v>
      </c>
      <c r="D149" s="11" t="s">
        <v>2804</v>
      </c>
      <c r="E149" s="11" t="s">
        <v>2805</v>
      </c>
      <c r="F149" s="11" t="s">
        <v>44</v>
      </c>
      <c r="G149" s="12">
        <v>345</v>
      </c>
      <c r="H149" s="12">
        <v>25</v>
      </c>
      <c r="I149" s="12">
        <f t="shared" si="5"/>
        <v>320</v>
      </c>
      <c r="J149" s="11" t="s">
        <v>119</v>
      </c>
      <c r="K149" s="11" t="s">
        <v>33</v>
      </c>
      <c r="L149" s="11" t="s">
        <v>2667</v>
      </c>
      <c r="M149" s="11"/>
      <c r="N149" s="11"/>
      <c r="O149" s="11"/>
      <c r="P149" s="11"/>
      <c r="Q149" s="11">
        <v>1</v>
      </c>
    </row>
    <row r="150" spans="1:18" x14ac:dyDescent="0.25">
      <c r="A150" s="11"/>
      <c r="B150" s="11" t="s">
        <v>27</v>
      </c>
      <c r="C150" s="11" t="s">
        <v>2820</v>
      </c>
      <c r="D150" s="11" t="s">
        <v>2821</v>
      </c>
      <c r="E150" s="11" t="s">
        <v>2822</v>
      </c>
      <c r="F150" s="12">
        <v>10</v>
      </c>
      <c r="G150" s="12">
        <v>325</v>
      </c>
      <c r="H150" s="12">
        <v>25</v>
      </c>
      <c r="I150" s="12">
        <f t="shared" si="5"/>
        <v>300</v>
      </c>
      <c r="J150" s="11" t="s">
        <v>119</v>
      </c>
      <c r="K150" s="11" t="s">
        <v>33</v>
      </c>
      <c r="L150" s="11" t="s">
        <v>2667</v>
      </c>
      <c r="M150" s="11"/>
      <c r="N150" s="11"/>
      <c r="O150" s="11"/>
      <c r="P150" s="11"/>
      <c r="Q150" s="11">
        <v>1</v>
      </c>
    </row>
    <row r="151" spans="1:18" x14ac:dyDescent="0.25">
      <c r="A151" s="11"/>
      <c r="B151" s="11" t="s">
        <v>27</v>
      </c>
      <c r="C151" s="11" t="s">
        <v>2823</v>
      </c>
      <c r="D151" s="11" t="s">
        <v>2824</v>
      </c>
      <c r="E151" s="11" t="s">
        <v>2825</v>
      </c>
      <c r="F151" s="12">
        <v>1</v>
      </c>
      <c r="G151" s="12">
        <v>675</v>
      </c>
      <c r="H151" s="12">
        <v>25</v>
      </c>
      <c r="I151" s="12">
        <f t="shared" si="5"/>
        <v>650</v>
      </c>
      <c r="J151" s="11" t="s">
        <v>119</v>
      </c>
      <c r="K151" s="11" t="s">
        <v>33</v>
      </c>
      <c r="L151" s="11" t="s">
        <v>2667</v>
      </c>
      <c r="M151" s="11"/>
      <c r="N151" s="11"/>
      <c r="O151" s="11"/>
      <c r="P151" s="11"/>
      <c r="Q151" s="11">
        <v>1</v>
      </c>
    </row>
    <row r="152" spans="1:18" x14ac:dyDescent="0.25">
      <c r="A152" s="11"/>
      <c r="B152" s="11" t="s">
        <v>27</v>
      </c>
      <c r="C152" s="11" t="s">
        <v>2832</v>
      </c>
      <c r="D152" s="11" t="s">
        <v>2833</v>
      </c>
      <c r="E152" s="11" t="s">
        <v>1118</v>
      </c>
      <c r="F152" s="11" t="s">
        <v>44</v>
      </c>
      <c r="G152" s="12">
        <v>515</v>
      </c>
      <c r="H152" s="12">
        <v>25</v>
      </c>
      <c r="I152" s="12">
        <f t="shared" si="5"/>
        <v>490</v>
      </c>
      <c r="J152" s="11" t="s">
        <v>119</v>
      </c>
      <c r="K152" s="11" t="s">
        <v>33</v>
      </c>
      <c r="L152" s="11" t="s">
        <v>2667</v>
      </c>
      <c r="M152" s="11"/>
      <c r="N152" s="11"/>
      <c r="O152" s="11"/>
      <c r="P152" s="11"/>
      <c r="Q152" s="11">
        <v>1</v>
      </c>
    </row>
    <row r="153" spans="1:18" x14ac:dyDescent="0.25">
      <c r="A153" s="11"/>
      <c r="B153" s="11" t="s">
        <v>27</v>
      </c>
      <c r="C153" s="11" t="s">
        <v>2859</v>
      </c>
      <c r="D153" s="11" t="s">
        <v>2860</v>
      </c>
      <c r="E153" s="11" t="s">
        <v>2861</v>
      </c>
      <c r="F153" s="12">
        <v>10</v>
      </c>
      <c r="G153" s="12">
        <v>765</v>
      </c>
      <c r="H153" s="12">
        <v>25</v>
      </c>
      <c r="I153" s="12">
        <f t="shared" si="5"/>
        <v>740</v>
      </c>
      <c r="J153" s="11" t="s">
        <v>119</v>
      </c>
      <c r="K153" s="11" t="s">
        <v>33</v>
      </c>
      <c r="L153" s="11" t="s">
        <v>2667</v>
      </c>
      <c r="M153" s="11"/>
      <c r="N153" s="11"/>
      <c r="O153" s="11"/>
      <c r="P153" s="11"/>
      <c r="Q153" s="11">
        <v>1</v>
      </c>
    </row>
    <row r="154" spans="1:18" x14ac:dyDescent="0.25">
      <c r="A154" s="11"/>
      <c r="B154" s="11" t="s">
        <v>27</v>
      </c>
      <c r="C154" s="11" t="s">
        <v>2878</v>
      </c>
      <c r="D154" s="11" t="s">
        <v>2879</v>
      </c>
      <c r="E154" s="11" t="s">
        <v>2880</v>
      </c>
      <c r="F154" s="11" t="s">
        <v>44</v>
      </c>
      <c r="G154" s="12">
        <v>1555</v>
      </c>
      <c r="H154" s="12">
        <v>25</v>
      </c>
      <c r="I154" s="12">
        <f t="shared" si="5"/>
        <v>1530</v>
      </c>
      <c r="J154" s="11" t="s">
        <v>119</v>
      </c>
      <c r="K154" s="11" t="s">
        <v>33</v>
      </c>
      <c r="L154" s="11" t="s">
        <v>2667</v>
      </c>
      <c r="M154" s="11"/>
      <c r="N154" s="11"/>
      <c r="O154" s="11"/>
      <c r="P154" s="11"/>
      <c r="Q154" s="11">
        <v>1</v>
      </c>
    </row>
    <row r="155" spans="1:18" x14ac:dyDescent="0.25">
      <c r="A155" s="11"/>
      <c r="B155" s="11" t="s">
        <v>27</v>
      </c>
      <c r="C155" s="11" t="s">
        <v>2881</v>
      </c>
      <c r="D155" s="11" t="s">
        <v>2882</v>
      </c>
      <c r="E155" s="11" t="s">
        <v>2883</v>
      </c>
      <c r="F155" s="12">
        <v>1</v>
      </c>
      <c r="G155" s="12">
        <v>515</v>
      </c>
      <c r="H155" s="12">
        <v>25</v>
      </c>
      <c r="I155" s="12">
        <f t="shared" si="5"/>
        <v>490</v>
      </c>
      <c r="J155" s="11" t="s">
        <v>119</v>
      </c>
      <c r="K155" s="11" t="s">
        <v>33</v>
      </c>
      <c r="L155" s="11" t="s">
        <v>2667</v>
      </c>
      <c r="M155" s="11"/>
      <c r="N155" s="11"/>
      <c r="O155" s="11"/>
      <c r="P155" s="11"/>
      <c r="Q155" s="11">
        <v>1</v>
      </c>
    </row>
    <row r="156" spans="1:18" x14ac:dyDescent="0.25">
      <c r="A156" s="11"/>
      <c r="B156" s="11" t="s">
        <v>27</v>
      </c>
      <c r="C156" s="11" t="s">
        <v>2884</v>
      </c>
      <c r="D156" s="11" t="s">
        <v>2885</v>
      </c>
      <c r="E156" s="11" t="s">
        <v>2886</v>
      </c>
      <c r="F156" s="12">
        <v>1</v>
      </c>
      <c r="G156" s="12">
        <v>645</v>
      </c>
      <c r="H156" s="12">
        <v>25</v>
      </c>
      <c r="I156" s="12">
        <f t="shared" si="5"/>
        <v>620</v>
      </c>
      <c r="J156" s="11" t="s">
        <v>119</v>
      </c>
      <c r="K156" s="11" t="s">
        <v>33</v>
      </c>
      <c r="L156" s="11" t="s">
        <v>2667</v>
      </c>
      <c r="M156" s="11"/>
      <c r="N156" s="11"/>
      <c r="O156" s="11"/>
      <c r="P156" s="11"/>
      <c r="Q156" s="11">
        <v>1</v>
      </c>
    </row>
    <row r="157" spans="1:18" x14ac:dyDescent="0.25">
      <c r="A157" s="11"/>
      <c r="B157" s="11" t="s">
        <v>27</v>
      </c>
      <c r="C157" s="11" t="s">
        <v>2896</v>
      </c>
      <c r="D157" s="11" t="s">
        <v>2897</v>
      </c>
      <c r="E157" s="11" t="s">
        <v>2898</v>
      </c>
      <c r="F157" s="11" t="s">
        <v>118</v>
      </c>
      <c r="G157" s="12">
        <v>430</v>
      </c>
      <c r="H157" s="12">
        <v>20</v>
      </c>
      <c r="I157" s="12">
        <f t="shared" si="5"/>
        <v>410</v>
      </c>
      <c r="J157" s="11" t="s">
        <v>119</v>
      </c>
      <c r="K157" s="11" t="s">
        <v>33</v>
      </c>
      <c r="L157" s="11" t="s">
        <v>2667</v>
      </c>
      <c r="M157" s="11"/>
      <c r="N157" s="11"/>
      <c r="O157" s="11"/>
      <c r="P157" s="11"/>
      <c r="Q157" s="11">
        <v>1</v>
      </c>
    </row>
    <row r="158" spans="1:18" x14ac:dyDescent="0.25">
      <c r="A158" s="11"/>
      <c r="B158" s="11" t="s">
        <v>27</v>
      </c>
      <c r="C158" s="11" t="s">
        <v>2914</v>
      </c>
      <c r="D158" s="11" t="s">
        <v>2915</v>
      </c>
      <c r="E158" s="11" t="s">
        <v>2916</v>
      </c>
      <c r="F158" s="12">
        <v>1</v>
      </c>
      <c r="G158" s="12">
        <v>0</v>
      </c>
      <c r="H158" s="12">
        <v>25</v>
      </c>
      <c r="I158" s="12">
        <f t="shared" si="5"/>
        <v>-25</v>
      </c>
      <c r="J158" s="11" t="s">
        <v>119</v>
      </c>
      <c r="K158" s="11" t="s">
        <v>33</v>
      </c>
      <c r="L158" s="11" t="s">
        <v>2667</v>
      </c>
      <c r="M158" s="11"/>
      <c r="N158" s="11"/>
      <c r="O158" s="11"/>
      <c r="P158" s="11"/>
      <c r="Q158" s="11">
        <v>1</v>
      </c>
      <c r="R158" s="5">
        <f>H158</f>
        <v>25</v>
      </c>
    </row>
    <row r="159" spans="1:18" x14ac:dyDescent="0.25">
      <c r="A159" s="11"/>
      <c r="B159" s="11" t="s">
        <v>27</v>
      </c>
      <c r="C159" s="11" t="s">
        <v>2920</v>
      </c>
      <c r="D159" s="11" t="s">
        <v>2921</v>
      </c>
      <c r="E159" s="11" t="s">
        <v>2922</v>
      </c>
      <c r="F159" s="11" t="s">
        <v>118</v>
      </c>
      <c r="G159" s="12">
        <v>540</v>
      </c>
      <c r="H159" s="12">
        <v>20</v>
      </c>
      <c r="I159" s="12">
        <f t="shared" si="5"/>
        <v>520</v>
      </c>
      <c r="J159" s="11" t="s">
        <v>119</v>
      </c>
      <c r="K159" s="11" t="s">
        <v>33</v>
      </c>
      <c r="L159" s="11" t="s">
        <v>2667</v>
      </c>
      <c r="M159" s="11"/>
      <c r="N159" s="11"/>
      <c r="O159" s="11"/>
      <c r="P159" s="11"/>
      <c r="Q159" s="11">
        <v>1</v>
      </c>
    </row>
    <row r="160" spans="1:18" x14ac:dyDescent="0.25">
      <c r="A160" s="11"/>
      <c r="B160" s="11" t="s">
        <v>27</v>
      </c>
      <c r="C160" s="11" t="s">
        <v>2926</v>
      </c>
      <c r="D160" s="11" t="s">
        <v>2927</v>
      </c>
      <c r="E160" s="11" t="s">
        <v>2928</v>
      </c>
      <c r="F160" s="12">
        <v>5</v>
      </c>
      <c r="G160" s="12">
        <v>915</v>
      </c>
      <c r="H160" s="12">
        <v>25</v>
      </c>
      <c r="I160" s="12">
        <f t="shared" si="5"/>
        <v>890</v>
      </c>
      <c r="J160" s="11" t="s">
        <v>119</v>
      </c>
      <c r="K160" s="11" t="s">
        <v>33</v>
      </c>
      <c r="L160" s="11" t="s">
        <v>2667</v>
      </c>
      <c r="M160" s="11"/>
      <c r="N160" s="11"/>
      <c r="O160" s="11"/>
      <c r="P160" s="11"/>
      <c r="Q160" s="11">
        <v>1</v>
      </c>
    </row>
    <row r="161" spans="1:18" x14ac:dyDescent="0.25">
      <c r="A161" s="11"/>
      <c r="B161" s="11" t="s">
        <v>27</v>
      </c>
      <c r="C161" s="11" t="s">
        <v>2929</v>
      </c>
      <c r="D161" s="11" t="s">
        <v>2930</v>
      </c>
      <c r="E161" s="11" t="s">
        <v>2931</v>
      </c>
      <c r="F161" s="12">
        <v>10</v>
      </c>
      <c r="G161" s="12">
        <v>595</v>
      </c>
      <c r="H161" s="12">
        <v>25</v>
      </c>
      <c r="I161" s="12">
        <f t="shared" si="5"/>
        <v>570</v>
      </c>
      <c r="J161" s="11" t="s">
        <v>119</v>
      </c>
      <c r="K161" s="11" t="s">
        <v>33</v>
      </c>
      <c r="L161" s="11" t="s">
        <v>2667</v>
      </c>
      <c r="M161" s="11"/>
      <c r="N161" s="11"/>
      <c r="O161" s="11"/>
      <c r="P161" s="11"/>
      <c r="Q161" s="11">
        <v>1</v>
      </c>
    </row>
    <row r="162" spans="1:18" x14ac:dyDescent="0.25">
      <c r="A162" s="11"/>
      <c r="B162" s="11" t="s">
        <v>27</v>
      </c>
      <c r="C162" s="11" t="s">
        <v>2983</v>
      </c>
      <c r="D162" s="11" t="s">
        <v>2984</v>
      </c>
      <c r="E162" s="11" t="s">
        <v>2985</v>
      </c>
      <c r="F162" s="12">
        <v>1</v>
      </c>
      <c r="G162" s="12">
        <v>725</v>
      </c>
      <c r="H162" s="12">
        <v>25</v>
      </c>
      <c r="I162" s="12">
        <f t="shared" si="5"/>
        <v>700</v>
      </c>
      <c r="J162" s="11" t="s">
        <v>119</v>
      </c>
      <c r="K162" s="11" t="s">
        <v>33</v>
      </c>
      <c r="L162" s="11" t="s">
        <v>2667</v>
      </c>
      <c r="M162" s="11"/>
      <c r="N162" s="11"/>
      <c r="O162" s="11"/>
      <c r="P162" s="11"/>
      <c r="Q162" s="11">
        <v>1</v>
      </c>
    </row>
    <row r="163" spans="1:18" x14ac:dyDescent="0.25">
      <c r="A163" s="11"/>
      <c r="B163" s="11" t="s">
        <v>27</v>
      </c>
      <c r="C163" s="11" t="s">
        <v>2989</v>
      </c>
      <c r="D163" s="11" t="s">
        <v>2990</v>
      </c>
      <c r="E163" s="11" t="s">
        <v>2991</v>
      </c>
      <c r="F163" s="11" t="s">
        <v>44</v>
      </c>
      <c r="G163" s="12">
        <v>355</v>
      </c>
      <c r="H163" s="12">
        <v>25</v>
      </c>
      <c r="I163" s="12">
        <f t="shared" ref="I163:I188" si="6">G163-H163</f>
        <v>330</v>
      </c>
      <c r="J163" s="11" t="s">
        <v>119</v>
      </c>
      <c r="K163" s="11" t="s">
        <v>33</v>
      </c>
      <c r="L163" s="11" t="s">
        <v>2667</v>
      </c>
      <c r="M163" s="11"/>
      <c r="N163" s="11"/>
      <c r="O163" s="11"/>
      <c r="P163" s="11"/>
      <c r="Q163" s="11">
        <v>1</v>
      </c>
    </row>
    <row r="164" spans="1:18" x14ac:dyDescent="0.25">
      <c r="A164" s="11"/>
      <c r="B164" s="11" t="s">
        <v>27</v>
      </c>
      <c r="C164" s="11" t="s">
        <v>2992</v>
      </c>
      <c r="D164" s="11" t="s">
        <v>2993</v>
      </c>
      <c r="E164" s="11" t="s">
        <v>2994</v>
      </c>
      <c r="F164" s="11" t="s">
        <v>44</v>
      </c>
      <c r="G164" s="12">
        <v>0</v>
      </c>
      <c r="H164" s="12">
        <v>25</v>
      </c>
      <c r="I164" s="12">
        <f t="shared" si="6"/>
        <v>-25</v>
      </c>
      <c r="J164" s="11" t="s">
        <v>119</v>
      </c>
      <c r="K164" s="11" t="s">
        <v>33</v>
      </c>
      <c r="L164" s="11" t="s">
        <v>2667</v>
      </c>
      <c r="M164" s="11"/>
      <c r="N164" s="11"/>
      <c r="O164" s="11"/>
      <c r="P164" s="11"/>
      <c r="Q164" s="11">
        <v>1</v>
      </c>
      <c r="R164" s="5">
        <f>H164</f>
        <v>25</v>
      </c>
    </row>
    <row r="165" spans="1:18" x14ac:dyDescent="0.25">
      <c r="A165" s="11"/>
      <c r="B165" s="11" t="s">
        <v>27</v>
      </c>
      <c r="C165" s="11" t="s">
        <v>2995</v>
      </c>
      <c r="D165" s="11" t="s">
        <v>2996</v>
      </c>
      <c r="E165" s="11" t="s">
        <v>2997</v>
      </c>
      <c r="F165" s="12">
        <v>1</v>
      </c>
      <c r="G165" s="12">
        <v>1005</v>
      </c>
      <c r="H165" s="12">
        <v>25</v>
      </c>
      <c r="I165" s="12">
        <f t="shared" si="6"/>
        <v>980</v>
      </c>
      <c r="J165" s="11" t="s">
        <v>119</v>
      </c>
      <c r="K165" s="11" t="s">
        <v>33</v>
      </c>
      <c r="L165" s="11" t="s">
        <v>2667</v>
      </c>
      <c r="M165" s="11"/>
      <c r="N165" s="11"/>
      <c r="O165" s="11"/>
      <c r="P165" s="11"/>
      <c r="Q165" s="11">
        <v>1</v>
      </c>
    </row>
    <row r="166" spans="1:18" x14ac:dyDescent="0.25">
      <c r="A166" s="11"/>
      <c r="B166" s="11" t="s">
        <v>27</v>
      </c>
      <c r="C166" s="11" t="s">
        <v>2998</v>
      </c>
      <c r="D166" s="11" t="s">
        <v>2999</v>
      </c>
      <c r="E166" s="11" t="s">
        <v>3000</v>
      </c>
      <c r="F166" s="11" t="s">
        <v>44</v>
      </c>
      <c r="G166" s="12">
        <v>1635</v>
      </c>
      <c r="H166" s="12">
        <v>25</v>
      </c>
      <c r="I166" s="12">
        <f t="shared" si="6"/>
        <v>1610</v>
      </c>
      <c r="J166" s="11" t="s">
        <v>119</v>
      </c>
      <c r="K166" s="11" t="s">
        <v>33</v>
      </c>
      <c r="L166" s="11" t="s">
        <v>2667</v>
      </c>
      <c r="M166" s="11"/>
      <c r="N166" s="11"/>
      <c r="O166" s="11"/>
      <c r="P166" s="11"/>
      <c r="Q166" s="11">
        <v>1</v>
      </c>
    </row>
    <row r="167" spans="1:18" x14ac:dyDescent="0.25">
      <c r="A167" s="11"/>
      <c r="B167" s="11" t="s">
        <v>27</v>
      </c>
      <c r="C167" s="11" t="s">
        <v>3007</v>
      </c>
      <c r="D167" s="11" t="s">
        <v>3008</v>
      </c>
      <c r="E167" s="11" t="s">
        <v>3009</v>
      </c>
      <c r="F167" s="11" t="s">
        <v>118</v>
      </c>
      <c r="G167" s="12">
        <v>500</v>
      </c>
      <c r="H167" s="12">
        <v>20</v>
      </c>
      <c r="I167" s="12">
        <f t="shared" si="6"/>
        <v>480</v>
      </c>
      <c r="J167" s="11" t="s">
        <v>119</v>
      </c>
      <c r="K167" s="11" t="s">
        <v>33</v>
      </c>
      <c r="L167" s="11" t="s">
        <v>2667</v>
      </c>
      <c r="M167" s="11"/>
      <c r="N167" s="11"/>
      <c r="O167" s="11"/>
      <c r="P167" s="11"/>
      <c r="Q167" s="11">
        <v>1</v>
      </c>
    </row>
    <row r="168" spans="1:18" x14ac:dyDescent="0.25">
      <c r="A168" s="11"/>
      <c r="B168" s="11" t="s">
        <v>27</v>
      </c>
      <c r="C168" s="11" t="s">
        <v>3010</v>
      </c>
      <c r="D168" s="11" t="s">
        <v>3011</v>
      </c>
      <c r="E168" s="11" t="s">
        <v>3012</v>
      </c>
      <c r="F168" s="11" t="s">
        <v>44</v>
      </c>
      <c r="G168" s="12">
        <v>378</v>
      </c>
      <c r="H168" s="12">
        <v>25</v>
      </c>
      <c r="I168" s="12">
        <f t="shared" si="6"/>
        <v>353</v>
      </c>
      <c r="J168" s="11" t="s">
        <v>119</v>
      </c>
      <c r="K168" s="11" t="s">
        <v>33</v>
      </c>
      <c r="L168" s="11" t="s">
        <v>2667</v>
      </c>
      <c r="M168" s="24" t="s">
        <v>340</v>
      </c>
      <c r="N168" s="11"/>
      <c r="O168" s="11"/>
      <c r="P168" s="11"/>
      <c r="Q168" s="11">
        <v>1</v>
      </c>
      <c r="R168" s="5">
        <f>H168</f>
        <v>25</v>
      </c>
    </row>
    <row r="169" spans="1:18" x14ac:dyDescent="0.25">
      <c r="A169" s="11"/>
      <c r="B169" s="11" t="s">
        <v>27</v>
      </c>
      <c r="C169" s="11" t="s">
        <v>3022</v>
      </c>
      <c r="D169" s="11" t="s">
        <v>3023</v>
      </c>
      <c r="E169" s="11" t="s">
        <v>3024</v>
      </c>
      <c r="F169" s="11" t="s">
        <v>44</v>
      </c>
      <c r="G169" s="12">
        <v>1185</v>
      </c>
      <c r="H169" s="12">
        <v>25</v>
      </c>
      <c r="I169" s="12">
        <f t="shared" si="6"/>
        <v>1160</v>
      </c>
      <c r="J169" s="11" t="s">
        <v>119</v>
      </c>
      <c r="K169" s="11" t="s">
        <v>33</v>
      </c>
      <c r="L169" s="11" t="s">
        <v>2667</v>
      </c>
      <c r="M169" s="11"/>
      <c r="N169" s="11"/>
      <c r="O169" s="11"/>
      <c r="P169" s="11"/>
      <c r="Q169" s="11">
        <v>1</v>
      </c>
    </row>
    <row r="170" spans="1:18" x14ac:dyDescent="0.25">
      <c r="A170" s="11"/>
      <c r="B170" s="11" t="s">
        <v>27</v>
      </c>
      <c r="C170" s="11" t="s">
        <v>3028</v>
      </c>
      <c r="D170" s="11" t="s">
        <v>3029</v>
      </c>
      <c r="E170" s="11" t="s">
        <v>3030</v>
      </c>
      <c r="F170" s="11" t="s">
        <v>118</v>
      </c>
      <c r="G170" s="12">
        <v>390</v>
      </c>
      <c r="H170" s="12">
        <v>20</v>
      </c>
      <c r="I170" s="12">
        <f t="shared" si="6"/>
        <v>370</v>
      </c>
      <c r="J170" s="11" t="s">
        <v>119</v>
      </c>
      <c r="K170" s="11" t="s">
        <v>33</v>
      </c>
      <c r="L170" s="11" t="s">
        <v>2667</v>
      </c>
      <c r="M170" s="11"/>
      <c r="N170" s="11"/>
      <c r="O170" s="11"/>
      <c r="P170" s="11"/>
      <c r="Q170" s="11">
        <v>1</v>
      </c>
    </row>
    <row r="171" spans="1:18" x14ac:dyDescent="0.25">
      <c r="A171" s="11"/>
      <c r="B171" s="11" t="s">
        <v>27</v>
      </c>
      <c r="C171" s="11" t="s">
        <v>3034</v>
      </c>
      <c r="D171" s="11" t="s">
        <v>3035</v>
      </c>
      <c r="E171" s="11" t="s">
        <v>3036</v>
      </c>
      <c r="F171" s="11" t="s">
        <v>118</v>
      </c>
      <c r="G171" s="12">
        <v>630</v>
      </c>
      <c r="H171" s="12">
        <v>20</v>
      </c>
      <c r="I171" s="12">
        <f t="shared" si="6"/>
        <v>610</v>
      </c>
      <c r="J171" s="11" t="s">
        <v>119</v>
      </c>
      <c r="K171" s="11" t="s">
        <v>33</v>
      </c>
      <c r="L171" s="11" t="s">
        <v>2667</v>
      </c>
      <c r="M171" s="11"/>
      <c r="N171" s="11"/>
      <c r="O171" s="11"/>
      <c r="P171" s="11"/>
      <c r="Q171" s="11">
        <v>1</v>
      </c>
    </row>
    <row r="172" spans="1:18" x14ac:dyDescent="0.25">
      <c r="A172" s="11"/>
      <c r="B172" s="11" t="s">
        <v>27</v>
      </c>
      <c r="C172" s="11" t="s">
        <v>3047</v>
      </c>
      <c r="D172" s="11" t="s">
        <v>3048</v>
      </c>
      <c r="E172" s="11" t="s">
        <v>3049</v>
      </c>
      <c r="F172" s="11" t="s">
        <v>118</v>
      </c>
      <c r="G172" s="12">
        <v>560</v>
      </c>
      <c r="H172" s="12">
        <v>20</v>
      </c>
      <c r="I172" s="12">
        <f t="shared" si="6"/>
        <v>540</v>
      </c>
      <c r="J172" s="11" t="s">
        <v>119</v>
      </c>
      <c r="K172" s="11" t="s">
        <v>33</v>
      </c>
      <c r="L172" s="11" t="s">
        <v>2667</v>
      </c>
      <c r="M172" s="11"/>
      <c r="N172" s="11"/>
      <c r="O172" s="11"/>
      <c r="P172" s="11"/>
      <c r="Q172" s="11">
        <v>1</v>
      </c>
    </row>
    <row r="173" spans="1:18" x14ac:dyDescent="0.25">
      <c r="A173" s="11"/>
      <c r="B173" s="11" t="s">
        <v>27</v>
      </c>
      <c r="C173" s="11" t="s">
        <v>3060</v>
      </c>
      <c r="D173" s="11" t="s">
        <v>3061</v>
      </c>
      <c r="E173" s="11" t="s">
        <v>3062</v>
      </c>
      <c r="F173" s="11" t="s">
        <v>44</v>
      </c>
      <c r="G173" s="12">
        <v>1175</v>
      </c>
      <c r="H173" s="12">
        <v>25</v>
      </c>
      <c r="I173" s="12">
        <f t="shared" si="6"/>
        <v>1150</v>
      </c>
      <c r="J173" s="11" t="s">
        <v>119</v>
      </c>
      <c r="K173" s="11" t="s">
        <v>33</v>
      </c>
      <c r="L173" s="11" t="s">
        <v>2667</v>
      </c>
      <c r="M173" s="11"/>
      <c r="N173" s="11"/>
      <c r="O173" s="11"/>
      <c r="P173" s="11"/>
      <c r="Q173" s="11">
        <v>1</v>
      </c>
    </row>
    <row r="174" spans="1:18" x14ac:dyDescent="0.25">
      <c r="A174" s="11"/>
      <c r="B174" s="11" t="s">
        <v>27</v>
      </c>
      <c r="C174" s="11" t="s">
        <v>3063</v>
      </c>
      <c r="D174" s="11" t="s">
        <v>3064</v>
      </c>
      <c r="E174" s="11" t="s">
        <v>3065</v>
      </c>
      <c r="F174" s="12">
        <v>5</v>
      </c>
      <c r="G174" s="12">
        <v>715</v>
      </c>
      <c r="H174" s="12">
        <v>25</v>
      </c>
      <c r="I174" s="12">
        <f t="shared" si="6"/>
        <v>690</v>
      </c>
      <c r="J174" s="11" t="s">
        <v>119</v>
      </c>
      <c r="K174" s="11" t="s">
        <v>33</v>
      </c>
      <c r="L174" s="11" t="s">
        <v>2667</v>
      </c>
      <c r="M174" s="11"/>
      <c r="N174" s="11"/>
      <c r="O174" s="11"/>
      <c r="P174" s="11"/>
      <c r="Q174" s="11">
        <v>1</v>
      </c>
    </row>
    <row r="175" spans="1:18" x14ac:dyDescent="0.25">
      <c r="A175" s="11"/>
      <c r="B175" s="11" t="s">
        <v>27</v>
      </c>
      <c r="C175" s="11" t="s">
        <v>3070</v>
      </c>
      <c r="D175" s="11" t="s">
        <v>3071</v>
      </c>
      <c r="E175" s="11" t="s">
        <v>3072</v>
      </c>
      <c r="F175" s="12">
        <v>5</v>
      </c>
      <c r="G175" s="12">
        <v>465</v>
      </c>
      <c r="H175" s="12">
        <v>25</v>
      </c>
      <c r="I175" s="12">
        <f t="shared" si="6"/>
        <v>440</v>
      </c>
      <c r="J175" s="11" t="s">
        <v>119</v>
      </c>
      <c r="K175" s="11" t="s">
        <v>33</v>
      </c>
      <c r="L175" s="11" t="s">
        <v>2667</v>
      </c>
      <c r="M175" s="11"/>
      <c r="N175" s="11"/>
      <c r="O175" s="11"/>
      <c r="P175" s="11"/>
      <c r="Q175" s="11">
        <v>1</v>
      </c>
    </row>
    <row r="176" spans="1:18" x14ac:dyDescent="0.25">
      <c r="A176" s="11"/>
      <c r="B176" s="11" t="s">
        <v>27</v>
      </c>
      <c r="C176" s="11" t="s">
        <v>1050</v>
      </c>
      <c r="D176" s="11" t="s">
        <v>3076</v>
      </c>
      <c r="E176" s="11" t="s">
        <v>3077</v>
      </c>
      <c r="F176" s="11" t="s">
        <v>118</v>
      </c>
      <c r="G176" s="12">
        <v>370</v>
      </c>
      <c r="H176" s="12">
        <v>20</v>
      </c>
      <c r="I176" s="12">
        <f t="shared" si="6"/>
        <v>350</v>
      </c>
      <c r="J176" s="11" t="s">
        <v>119</v>
      </c>
      <c r="K176" s="11" t="s">
        <v>33</v>
      </c>
      <c r="L176" s="11" t="s">
        <v>2667</v>
      </c>
      <c r="M176" s="11"/>
      <c r="N176" s="11"/>
      <c r="O176" s="11"/>
      <c r="P176" s="11"/>
      <c r="Q176" s="11">
        <v>1</v>
      </c>
    </row>
    <row r="177" spans="1:17" x14ac:dyDescent="0.25">
      <c r="A177" s="11"/>
      <c r="B177" s="11" t="s">
        <v>27</v>
      </c>
      <c r="C177" s="11" t="s">
        <v>3087</v>
      </c>
      <c r="D177" s="11" t="s">
        <v>3088</v>
      </c>
      <c r="E177" s="11" t="s">
        <v>3089</v>
      </c>
      <c r="F177" s="12">
        <v>3</v>
      </c>
      <c r="G177" s="12">
        <v>1105</v>
      </c>
      <c r="H177" s="12">
        <v>25</v>
      </c>
      <c r="I177" s="12">
        <f t="shared" si="6"/>
        <v>1080</v>
      </c>
      <c r="J177" s="11" t="s">
        <v>119</v>
      </c>
      <c r="K177" s="11" t="s">
        <v>33</v>
      </c>
      <c r="L177" s="11" t="s">
        <v>2667</v>
      </c>
      <c r="M177" s="11"/>
      <c r="N177" s="11"/>
      <c r="O177" s="11"/>
      <c r="P177" s="11"/>
      <c r="Q177" s="11">
        <v>1</v>
      </c>
    </row>
    <row r="178" spans="1:17" x14ac:dyDescent="0.25">
      <c r="A178" s="11"/>
      <c r="B178" s="11" t="s">
        <v>27</v>
      </c>
      <c r="C178" s="11" t="s">
        <v>3090</v>
      </c>
      <c r="D178" s="11" t="s">
        <v>3091</v>
      </c>
      <c r="E178" s="11" t="s">
        <v>3092</v>
      </c>
      <c r="F178" s="11" t="s">
        <v>118</v>
      </c>
      <c r="G178" s="12">
        <v>720</v>
      </c>
      <c r="H178" s="12">
        <v>20</v>
      </c>
      <c r="I178" s="12">
        <f t="shared" si="6"/>
        <v>700</v>
      </c>
      <c r="J178" s="11" t="s">
        <v>119</v>
      </c>
      <c r="K178" s="11" t="s">
        <v>33</v>
      </c>
      <c r="L178" s="11" t="s">
        <v>2667</v>
      </c>
      <c r="M178" s="11"/>
      <c r="N178" s="11"/>
      <c r="O178" s="11"/>
      <c r="P178" s="11"/>
      <c r="Q178" s="11">
        <v>1</v>
      </c>
    </row>
    <row r="179" spans="1:17" x14ac:dyDescent="0.25">
      <c r="A179" s="11"/>
      <c r="B179" s="11" t="s">
        <v>27</v>
      </c>
      <c r="C179" s="11" t="s">
        <v>3120</v>
      </c>
      <c r="D179" s="11" t="s">
        <v>3121</v>
      </c>
      <c r="E179" s="11" t="s">
        <v>3122</v>
      </c>
      <c r="F179" s="12">
        <v>1</v>
      </c>
      <c r="G179" s="12">
        <v>625</v>
      </c>
      <c r="H179" s="12">
        <v>25</v>
      </c>
      <c r="I179" s="12">
        <f t="shared" si="6"/>
        <v>600</v>
      </c>
      <c r="J179" s="11" t="s">
        <v>119</v>
      </c>
      <c r="K179" s="11" t="s">
        <v>33</v>
      </c>
      <c r="L179" s="11" t="s">
        <v>2667</v>
      </c>
      <c r="M179" s="11"/>
      <c r="N179" s="11"/>
      <c r="O179" s="11"/>
      <c r="P179" s="11"/>
      <c r="Q179" s="11">
        <v>1</v>
      </c>
    </row>
    <row r="180" spans="1:17" x14ac:dyDescent="0.25">
      <c r="A180" s="11"/>
      <c r="B180" s="11" t="s">
        <v>27</v>
      </c>
      <c r="C180" s="11" t="s">
        <v>3123</v>
      </c>
      <c r="D180" s="11" t="s">
        <v>3124</v>
      </c>
      <c r="E180" s="11" t="s">
        <v>3125</v>
      </c>
      <c r="F180" s="11" t="s">
        <v>44</v>
      </c>
      <c r="G180" s="12">
        <v>955</v>
      </c>
      <c r="H180" s="12">
        <v>25</v>
      </c>
      <c r="I180" s="12">
        <f t="shared" si="6"/>
        <v>930</v>
      </c>
      <c r="J180" s="11" t="s">
        <v>119</v>
      </c>
      <c r="K180" s="11" t="s">
        <v>33</v>
      </c>
      <c r="L180" s="11" t="s">
        <v>2667</v>
      </c>
      <c r="M180" s="11"/>
      <c r="N180" s="11"/>
      <c r="O180" s="11"/>
      <c r="P180" s="11"/>
      <c r="Q180" s="11">
        <v>1</v>
      </c>
    </row>
    <row r="181" spans="1:17" x14ac:dyDescent="0.25">
      <c r="A181" s="11"/>
      <c r="B181" s="11" t="s">
        <v>27</v>
      </c>
      <c r="C181" s="11" t="s">
        <v>3127</v>
      </c>
      <c r="D181" s="11" t="s">
        <v>3128</v>
      </c>
      <c r="E181" s="11" t="s">
        <v>3129</v>
      </c>
      <c r="F181" s="12">
        <v>4</v>
      </c>
      <c r="G181" s="12">
        <v>705</v>
      </c>
      <c r="H181" s="12">
        <v>25</v>
      </c>
      <c r="I181" s="12">
        <f t="shared" si="6"/>
        <v>680</v>
      </c>
      <c r="J181" s="11" t="s">
        <v>119</v>
      </c>
      <c r="K181" s="11" t="s">
        <v>33</v>
      </c>
      <c r="L181" s="11" t="s">
        <v>2667</v>
      </c>
      <c r="M181" s="11"/>
      <c r="N181" s="11"/>
      <c r="O181" s="11"/>
      <c r="P181" s="11"/>
      <c r="Q181" s="11">
        <v>1</v>
      </c>
    </row>
    <row r="182" spans="1:17" x14ac:dyDescent="0.25">
      <c r="A182" s="11"/>
      <c r="B182" s="11" t="s">
        <v>27</v>
      </c>
      <c r="C182" s="11" t="s">
        <v>3149</v>
      </c>
      <c r="D182" s="11" t="s">
        <v>3150</v>
      </c>
      <c r="E182" s="11" t="s">
        <v>3151</v>
      </c>
      <c r="F182" s="11" t="s">
        <v>118</v>
      </c>
      <c r="G182" s="12">
        <v>430</v>
      </c>
      <c r="H182" s="12">
        <v>20</v>
      </c>
      <c r="I182" s="12">
        <f t="shared" si="6"/>
        <v>410</v>
      </c>
      <c r="J182" s="11" t="s">
        <v>119</v>
      </c>
      <c r="K182" s="11" t="s">
        <v>33</v>
      </c>
      <c r="L182" s="11" t="s">
        <v>2667</v>
      </c>
      <c r="M182" s="11"/>
      <c r="N182" s="11"/>
      <c r="O182" s="11"/>
      <c r="P182" s="11"/>
      <c r="Q182" s="11">
        <v>1</v>
      </c>
    </row>
    <row r="183" spans="1:17" x14ac:dyDescent="0.25">
      <c r="A183" s="11"/>
      <c r="B183" s="11" t="s">
        <v>27</v>
      </c>
      <c r="C183" s="11" t="s">
        <v>3158</v>
      </c>
      <c r="D183" s="11" t="s">
        <v>3159</v>
      </c>
      <c r="E183" s="11" t="s">
        <v>3160</v>
      </c>
      <c r="F183" s="12">
        <v>1</v>
      </c>
      <c r="G183" s="12">
        <v>505</v>
      </c>
      <c r="H183" s="12">
        <v>25</v>
      </c>
      <c r="I183" s="12">
        <f t="shared" si="6"/>
        <v>480</v>
      </c>
      <c r="J183" s="11" t="s">
        <v>119</v>
      </c>
      <c r="K183" s="11" t="s">
        <v>33</v>
      </c>
      <c r="L183" s="11" t="s">
        <v>2667</v>
      </c>
      <c r="M183" s="11"/>
      <c r="N183" s="11"/>
      <c r="O183" s="11"/>
      <c r="P183" s="11"/>
      <c r="Q183" s="11">
        <v>1</v>
      </c>
    </row>
    <row r="184" spans="1:17" x14ac:dyDescent="0.25">
      <c r="A184" s="11"/>
      <c r="B184" s="11" t="s">
        <v>27</v>
      </c>
      <c r="C184" s="11" t="s">
        <v>3179</v>
      </c>
      <c r="D184" s="11" t="s">
        <v>3180</v>
      </c>
      <c r="E184" s="11" t="s">
        <v>3181</v>
      </c>
      <c r="F184" s="11" t="s">
        <v>44</v>
      </c>
      <c r="G184" s="12">
        <v>455</v>
      </c>
      <c r="H184" s="12">
        <v>25</v>
      </c>
      <c r="I184" s="12">
        <f t="shared" si="6"/>
        <v>430</v>
      </c>
      <c r="J184" s="11" t="s">
        <v>119</v>
      </c>
      <c r="K184" s="11" t="s">
        <v>33</v>
      </c>
      <c r="L184" s="11" t="s">
        <v>2667</v>
      </c>
      <c r="M184" s="11"/>
      <c r="N184" s="11"/>
      <c r="O184" s="11"/>
      <c r="P184" s="11"/>
      <c r="Q184" s="11">
        <v>1</v>
      </c>
    </row>
    <row r="185" spans="1:17" s="2" customFormat="1" x14ac:dyDescent="0.25">
      <c r="A185" s="16"/>
      <c r="B185" s="16" t="s">
        <v>27</v>
      </c>
      <c r="C185" s="16" t="s">
        <v>2917</v>
      </c>
      <c r="D185" s="16" t="s">
        <v>2918</v>
      </c>
      <c r="E185" s="16" t="s">
        <v>2919</v>
      </c>
      <c r="F185" s="16" t="s">
        <v>996</v>
      </c>
      <c r="G185" s="17">
        <v>840</v>
      </c>
      <c r="H185" s="17">
        <v>0</v>
      </c>
      <c r="I185" s="17">
        <f t="shared" si="6"/>
        <v>840</v>
      </c>
      <c r="J185" s="16" t="s">
        <v>153</v>
      </c>
      <c r="K185" s="16" t="s">
        <v>33</v>
      </c>
      <c r="L185" s="16" t="s">
        <v>2667</v>
      </c>
      <c r="M185" s="16" t="s">
        <v>997</v>
      </c>
      <c r="N185" s="16" t="s">
        <v>156</v>
      </c>
      <c r="O185" s="16"/>
      <c r="P185" s="16" t="s">
        <v>157</v>
      </c>
      <c r="Q185" s="16">
        <v>1</v>
      </c>
    </row>
    <row r="186" spans="1:17" s="2" customFormat="1" x14ac:dyDescent="0.25">
      <c r="A186" s="16"/>
      <c r="B186" s="16" t="s">
        <v>27</v>
      </c>
      <c r="C186" s="16" t="s">
        <v>3001</v>
      </c>
      <c r="D186" s="16" t="s">
        <v>3002</v>
      </c>
      <c r="E186" s="16" t="s">
        <v>3003</v>
      </c>
      <c r="F186" s="16" t="s">
        <v>996</v>
      </c>
      <c r="G186" s="17">
        <v>980</v>
      </c>
      <c r="H186" s="17">
        <v>0</v>
      </c>
      <c r="I186" s="17">
        <f t="shared" si="6"/>
        <v>980</v>
      </c>
      <c r="J186" s="16" t="s">
        <v>153</v>
      </c>
      <c r="K186" s="16" t="s">
        <v>33</v>
      </c>
      <c r="L186" s="16" t="s">
        <v>2667</v>
      </c>
      <c r="M186" s="16" t="s">
        <v>997</v>
      </c>
      <c r="N186" s="16" t="s">
        <v>156</v>
      </c>
      <c r="O186" s="16"/>
      <c r="P186" s="16" t="s">
        <v>157</v>
      </c>
      <c r="Q186" s="16">
        <v>1</v>
      </c>
    </row>
    <row r="187" spans="1:17" s="2" customFormat="1" x14ac:dyDescent="0.25">
      <c r="A187" s="16"/>
      <c r="B187" s="16" t="s">
        <v>27</v>
      </c>
      <c r="C187" s="16" t="s">
        <v>1362</v>
      </c>
      <c r="D187" s="16" t="s">
        <v>1363</v>
      </c>
      <c r="E187" s="16" t="s">
        <v>1364</v>
      </c>
      <c r="F187" s="17">
        <v>6</v>
      </c>
      <c r="G187" s="17">
        <v>1165</v>
      </c>
      <c r="H187" s="17">
        <v>25</v>
      </c>
      <c r="I187" s="17">
        <f t="shared" si="6"/>
        <v>1140</v>
      </c>
      <c r="J187" s="16" t="s">
        <v>153</v>
      </c>
      <c r="K187" s="16" t="s">
        <v>33</v>
      </c>
      <c r="L187" s="16" t="s">
        <v>1345</v>
      </c>
      <c r="M187" s="16" t="s">
        <v>155</v>
      </c>
      <c r="N187" s="16" t="s">
        <v>156</v>
      </c>
      <c r="O187" s="16" t="s">
        <v>156</v>
      </c>
      <c r="P187" s="16" t="s">
        <v>157</v>
      </c>
      <c r="Q187" s="16">
        <v>1</v>
      </c>
    </row>
    <row r="188" spans="1:17" s="2" customFormat="1" x14ac:dyDescent="0.25">
      <c r="A188" s="16"/>
      <c r="B188" s="16" t="s">
        <v>27</v>
      </c>
      <c r="C188" s="16" t="s">
        <v>2594</v>
      </c>
      <c r="D188" s="16" t="s">
        <v>2595</v>
      </c>
      <c r="E188" s="16" t="s">
        <v>2596</v>
      </c>
      <c r="F188" s="16" t="s">
        <v>44</v>
      </c>
      <c r="G188" s="17">
        <v>1285</v>
      </c>
      <c r="H188" s="17">
        <v>25</v>
      </c>
      <c r="I188" s="17">
        <f t="shared" si="6"/>
        <v>1260</v>
      </c>
      <c r="J188" s="16" t="s">
        <v>153</v>
      </c>
      <c r="K188" s="16" t="s">
        <v>33</v>
      </c>
      <c r="L188" s="16" t="s">
        <v>2122</v>
      </c>
      <c r="M188" s="16" t="s">
        <v>155</v>
      </c>
      <c r="N188" s="16" t="s">
        <v>156</v>
      </c>
      <c r="O188" s="16" t="s">
        <v>156</v>
      </c>
      <c r="P188" s="16" t="s">
        <v>157</v>
      </c>
      <c r="Q188" s="16">
        <v>1</v>
      </c>
    </row>
    <row r="190" spans="1:17" x14ac:dyDescent="0.25">
      <c r="D190" s="1">
        <f>COUNTA(D3:D188)</f>
        <v>177</v>
      </c>
      <c r="G190" s="1">
        <f t="shared" ref="G190:Q190" si="7">SUBTOTAL(9,G3:G188)</f>
        <v>148686</v>
      </c>
      <c r="H190" s="1">
        <f t="shared" si="7"/>
        <v>5000</v>
      </c>
      <c r="I190" s="1">
        <f t="shared" si="7"/>
        <v>143686</v>
      </c>
      <c r="J190" s="1">
        <f t="shared" si="7"/>
        <v>0</v>
      </c>
      <c r="K190" s="1">
        <f t="shared" si="7"/>
        <v>0</v>
      </c>
      <c r="L190" s="1">
        <f t="shared" si="7"/>
        <v>0</v>
      </c>
      <c r="M190" s="1">
        <f t="shared" si="7"/>
        <v>0</v>
      </c>
      <c r="N190" s="1">
        <f t="shared" si="7"/>
        <v>0</v>
      </c>
      <c r="O190" s="1">
        <f t="shared" si="7"/>
        <v>0</v>
      </c>
      <c r="P190" s="1">
        <f t="shared" si="7"/>
        <v>0</v>
      </c>
      <c r="Q190" s="1">
        <f t="shared" si="7"/>
        <v>186</v>
      </c>
    </row>
    <row r="191" spans="1:17" x14ac:dyDescent="0.25">
      <c r="H191">
        <f>-31*17</f>
        <v>-527</v>
      </c>
      <c r="I191">
        <v>17</v>
      </c>
    </row>
    <row r="192" spans="1:17" x14ac:dyDescent="0.25">
      <c r="A192" s="1" t="s">
        <v>27</v>
      </c>
      <c r="C192" s="60" t="s">
        <v>158</v>
      </c>
      <c r="D192" s="60"/>
      <c r="E192" s="4" t="s">
        <v>159</v>
      </c>
      <c r="H192">
        <f>-37*25</f>
        <v>-925</v>
      </c>
      <c r="K192" s="6" t="s">
        <v>33</v>
      </c>
      <c r="L192" s="6" t="s">
        <v>160</v>
      </c>
      <c r="M192" s="6" t="s">
        <v>159</v>
      </c>
      <c r="O192" s="4" t="s">
        <v>161</v>
      </c>
    </row>
    <row r="193" spans="1:16" x14ac:dyDescent="0.25">
      <c r="A193" t="s">
        <v>2667</v>
      </c>
      <c r="B193" s="3" t="s">
        <v>162</v>
      </c>
      <c r="C193" s="61">
        <f>SUMIFS(I$3:I$188,B$3:B$188,A$192,L$3:L$188,A$193)</f>
        <v>141286</v>
      </c>
      <c r="D193" s="61"/>
      <c r="E193" s="3">
        <f>SUMIFS(Q$3:Q$188,B$3:B$188,A$192,L$3:L$188,A$193)</f>
        <v>184</v>
      </c>
      <c r="F193" t="s">
        <v>163</v>
      </c>
      <c r="H193">
        <f>-9*30</f>
        <v>-270</v>
      </c>
      <c r="K193" t="s">
        <v>164</v>
      </c>
      <c r="L193">
        <f>SUMIFS(G$3:G$188,J$3:J$188,K$192)</f>
        <v>42467</v>
      </c>
      <c r="M193">
        <f>SUMIFS(Q$3:Q$188,J$3:J$188,K$192)-INT(COUNTIFS(J$3:J$188,K$192,M$3:M$188,"*gộp*")/2)</f>
        <v>54</v>
      </c>
      <c r="O193" t="s">
        <v>33</v>
      </c>
      <c r="P193">
        <f>L198</f>
        <v>40994</v>
      </c>
    </row>
    <row r="194" spans="1:16" x14ac:dyDescent="0.25">
      <c r="B194" s="2" t="s">
        <v>166</v>
      </c>
      <c r="C194" s="62">
        <v>0</v>
      </c>
      <c r="D194" s="62"/>
      <c r="K194" t="s">
        <v>167</v>
      </c>
      <c r="L194">
        <f>-SUMIFS(H$3:H$188,J$3:J$188,K$192)+M194*5</f>
        <v>-1115</v>
      </c>
      <c r="M194">
        <f>SUMIFS(Q$3:Q$188,J$3:J$188,K$192)-INT(COUNTIFS(J$3:J$188,K$192,M$3:M$188,"*gộp*")/2)</f>
        <v>54</v>
      </c>
      <c r="O194" t="s">
        <v>3185</v>
      </c>
      <c r="P194">
        <f>L206</f>
        <v>64141</v>
      </c>
    </row>
    <row r="195" spans="1:16" x14ac:dyDescent="0.25">
      <c r="B195" s="2" t="s">
        <v>168</v>
      </c>
      <c r="C195" s="62">
        <f>-SUMIFS(I$3:I$188,B$3:B$188,A$192,P$3:P$188,"xx",N$3:N$188,"x")</f>
        <v>-4220</v>
      </c>
      <c r="D195" s="62"/>
      <c r="E195" s="2">
        <f>SUMIFS(Q$3:Q$188,B$3:B$188,A$192,P$3:P$188,"xx",N$3:N$188,"x")</f>
        <v>4</v>
      </c>
      <c r="K195" t="s">
        <v>169</v>
      </c>
      <c r="L195">
        <f>-M195*2</f>
        <v>-358</v>
      </c>
      <c r="M195">
        <f>COUNTIFS(K$3:K$188,K$192,L$3:L$188,A$193)-(COUNTIFS(K$3:K$188,K$192,M$3:M$188,"*gộp*")/2)-COUNTIFS(K$3:K$188,K$192,M$3:M$188,"*đơn trả*")-COUNTIFS(K$3:K$188,K$192,M$3:M$188,"*hàng tỉnh*")</f>
        <v>179</v>
      </c>
      <c r="O195" t="s">
        <v>119</v>
      </c>
      <c r="P195">
        <f>L214</f>
        <v>32684</v>
      </c>
    </row>
    <row r="196" spans="1:16" x14ac:dyDescent="0.25">
      <c r="B196" s="4" t="s">
        <v>170</v>
      </c>
      <c r="C196" s="60">
        <f>SUBTOTAL(9,C193:C195)</f>
        <v>137066</v>
      </c>
      <c r="D196" s="60"/>
      <c r="E196">
        <f>E193</f>
        <v>184</v>
      </c>
      <c r="K196" s="7" t="s">
        <v>155</v>
      </c>
      <c r="O196" t="s">
        <v>171</v>
      </c>
      <c r="P196">
        <f>-C200</f>
        <v>-137066</v>
      </c>
    </row>
    <row r="197" spans="1:16" x14ac:dyDescent="0.25">
      <c r="B197" s="2" t="s">
        <v>172</v>
      </c>
      <c r="C197" s="58"/>
      <c r="D197" s="58"/>
      <c r="K197" s="2" t="s">
        <v>173</v>
      </c>
      <c r="O197" s="4" t="s">
        <v>174</v>
      </c>
      <c r="P197" s="4">
        <f>SUBTOTAL(9,P193:P196)</f>
        <v>753</v>
      </c>
    </row>
    <row r="198" spans="1:16" x14ac:dyDescent="0.25">
      <c r="B198" s="8" t="s">
        <v>175</v>
      </c>
      <c r="C198" s="58"/>
      <c r="D198" s="58"/>
      <c r="L198" s="9">
        <f>SUBTOTAL(9,L193:L197)</f>
        <v>40994</v>
      </c>
      <c r="M198" s="9">
        <f>M193</f>
        <v>54</v>
      </c>
    </row>
    <row r="200" spans="1:16" x14ac:dyDescent="0.25">
      <c r="B200" s="1" t="s">
        <v>176</v>
      </c>
      <c r="C200" s="59">
        <f>C196+C197+C198</f>
        <v>137066</v>
      </c>
      <c r="D200" s="59"/>
      <c r="E200" s="1" t="s">
        <v>177</v>
      </c>
      <c r="K200" s="6" t="s">
        <v>2669</v>
      </c>
      <c r="L200" s="6" t="s">
        <v>160</v>
      </c>
      <c r="M200" s="6" t="s">
        <v>159</v>
      </c>
    </row>
    <row r="201" spans="1:16" x14ac:dyDescent="0.25">
      <c r="K201" t="s">
        <v>164</v>
      </c>
      <c r="L201">
        <f>SUMIFS(G$3:G$188,J$3:J$188,K$200)</f>
        <v>67020</v>
      </c>
      <c r="M201">
        <f>SUMIFS(Q$3:Q$188,J$3:J$188,K$200)-INT(COUNTIFS(J$3:J$188,K$200,M$3:M$188,"*gộp*")/2)</f>
        <v>77</v>
      </c>
    </row>
    <row r="202" spans="1:16" x14ac:dyDescent="0.25">
      <c r="K202" t="s">
        <v>167</v>
      </c>
      <c r="L202">
        <f>SUM(H191:H193)</f>
        <v>-1722</v>
      </c>
      <c r="M202">
        <f>SUMIFS(Q$3:Q$188,J$3:J$188,K$200)-INT(COUNTIFS(J$3:J$188,K$200,M$3:M$188,"*gộp*")/2)</f>
        <v>77</v>
      </c>
    </row>
    <row r="203" spans="1:16" x14ac:dyDescent="0.25">
      <c r="K203" t="s">
        <v>169</v>
      </c>
      <c r="L203">
        <f>-M203*2</f>
        <v>0</v>
      </c>
      <c r="M203">
        <f>COUNTIFS(K$3:K$188,K$200,L$3:L$188,A$193)-(COUNTIFS(K$3:K$188,K$200,M$3:M$188,"*gộp*")/2)-COUNTIFS(K$3:K$188,K$200,M$3:M$188,"*đơn trả*")-COUNTIFS(K$3:K$188,K$200,M$3:M$188,"*hàng tỉnh*")</f>
        <v>0</v>
      </c>
    </row>
    <row r="204" spans="1:16" x14ac:dyDescent="0.25">
      <c r="K204" s="7" t="s">
        <v>155</v>
      </c>
      <c r="L204" s="18">
        <v>-1157</v>
      </c>
      <c r="M204" s="18" t="s">
        <v>178</v>
      </c>
    </row>
    <row r="205" spans="1:16" x14ac:dyDescent="0.25">
      <c r="K205" s="2" t="s">
        <v>173</v>
      </c>
    </row>
    <row r="206" spans="1:16" x14ac:dyDescent="0.25">
      <c r="L206" s="9">
        <f>SUBTOTAL(9,L201:L205)</f>
        <v>64141</v>
      </c>
      <c r="M206" s="9">
        <f>M201</f>
        <v>77</v>
      </c>
    </row>
    <row r="208" spans="1:16" x14ac:dyDescent="0.25">
      <c r="K208" s="6" t="s">
        <v>119</v>
      </c>
      <c r="L208" s="6" t="s">
        <v>160</v>
      </c>
      <c r="M208" s="6" t="s">
        <v>159</v>
      </c>
    </row>
    <row r="209" spans="11:13" x14ac:dyDescent="0.25">
      <c r="K209" t="s">
        <v>164</v>
      </c>
      <c r="L209">
        <f>SUMIFS(G$3:G$188,J$3:J$188,K$208)</f>
        <v>34929</v>
      </c>
      <c r="M209">
        <f>SUMIFS(Q$3:Q$188,J$3:J$188,K$208)-INT(COUNTIFS(J$3:J$188,K$208,M$3:M$188,"*gộp*")/2)</f>
        <v>50</v>
      </c>
    </row>
    <row r="210" spans="11:13" x14ac:dyDescent="0.25">
      <c r="K210" t="s">
        <v>167</v>
      </c>
      <c r="L210">
        <f>-SUMIFS(H$3:H$188,J$3:J$188,K$208)+M210*5</f>
        <v>-980</v>
      </c>
      <c r="M210">
        <f>SUMIFS(Q$3:Q$188,J$3:J$188,K$208)-INT(COUNTIFS(J$3:J$188,K$208,M$3:M$188,"*gộp*")/2)</f>
        <v>50</v>
      </c>
    </row>
    <row r="211" spans="11:13" x14ac:dyDescent="0.25">
      <c r="K211" t="s">
        <v>169</v>
      </c>
      <c r="L211">
        <f>-M211*2</f>
        <v>0</v>
      </c>
      <c r="M211">
        <f>COUNTIFS(K$3:K$188,K$208,L$3:L$188,A$193)-(COUNTIFS(K$3:K$188,K$208,M$3:M$188,"*gộp*")/2)-COUNTIFS(K$3:K$188,K$208,M$3:M$188,"*đơn trả*")-COUNTIFS(K$3:K$188,K$208,M$3:M$188,"*hàng tỉnh*")</f>
        <v>0</v>
      </c>
    </row>
    <row r="212" spans="11:13" x14ac:dyDescent="0.25">
      <c r="K212" s="7" t="s">
        <v>155</v>
      </c>
      <c r="L212" s="18">
        <v>-1265</v>
      </c>
      <c r="M212" s="18" t="s">
        <v>178</v>
      </c>
    </row>
    <row r="213" spans="11:13" x14ac:dyDescent="0.25">
      <c r="K213" s="2" t="s">
        <v>173</v>
      </c>
    </row>
    <row r="214" spans="11:13" x14ac:dyDescent="0.25">
      <c r="L214" s="9">
        <f>SUBTOTAL(9,L209:L213)</f>
        <v>32684</v>
      </c>
      <c r="M214" s="9">
        <f>M209</f>
        <v>50</v>
      </c>
    </row>
  </sheetData>
  <autoFilter ref="A2:P188" xr:uid="{00000000-0009-0000-0000-000000000000}">
    <sortState xmlns:xlrd2="http://schemas.microsoft.com/office/spreadsheetml/2017/richdata2" ref="A3:P188">
      <sortCondition ref="J2:J188"/>
    </sortState>
  </autoFilter>
  <mergeCells count="8">
    <mergeCell ref="C198:D198"/>
    <mergeCell ref="C200:D200"/>
    <mergeCell ref="C192:D192"/>
    <mergeCell ref="C193:D193"/>
    <mergeCell ref="C194:D194"/>
    <mergeCell ref="C195:D195"/>
    <mergeCell ref="C196:D196"/>
    <mergeCell ref="C197:D197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E571-FB28-43BD-AC8C-99D2034DF372}">
  <dimension ref="A2:R111"/>
  <sheetViews>
    <sheetView topLeftCell="D1" zoomScale="80" zoomScaleNormal="80" workbookViewId="0">
      <selection activeCell="H19" sqref="H19"/>
    </sheetView>
  </sheetViews>
  <sheetFormatPr defaultRowHeight="15" x14ac:dyDescent="0.25"/>
  <cols>
    <col min="1" max="1" width="12.7109375" customWidth="1"/>
    <col min="2" max="2" width="9" customWidth="1"/>
    <col min="3" max="3" width="44.42578125" bestFit="1" customWidth="1"/>
    <col min="4" max="4" width="11.5703125" bestFit="1" customWidth="1"/>
    <col min="5" max="5" width="127.42578125" customWidth="1"/>
    <col min="6" max="6" width="12.140625" bestFit="1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2.140625" customWidth="1"/>
    <col min="12" max="12" width="12.5703125" bestFit="1" customWidth="1"/>
    <col min="13" max="13" width="29.85546875" bestFit="1" customWidth="1"/>
    <col min="14" max="14" width="9.7109375" customWidth="1"/>
    <col min="15" max="15" width="10.42578125" customWidth="1"/>
    <col min="16" max="16" width="10.140625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190</v>
      </c>
      <c r="D3" s="11" t="s">
        <v>3186</v>
      </c>
      <c r="E3" s="11" t="s">
        <v>3187</v>
      </c>
      <c r="F3" s="12">
        <v>7</v>
      </c>
      <c r="G3" s="12">
        <v>580</v>
      </c>
      <c r="H3" s="12">
        <v>30</v>
      </c>
      <c r="I3" s="12">
        <f t="shared" ref="I3:I34" si="0">G3-H3</f>
        <v>550</v>
      </c>
      <c r="J3" s="11" t="s">
        <v>2669</v>
      </c>
      <c r="K3" s="11" t="s">
        <v>33</v>
      </c>
      <c r="L3" s="11" t="s">
        <v>2667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3188</v>
      </c>
      <c r="D4" s="11" t="s">
        <v>3189</v>
      </c>
      <c r="E4" s="11" t="s">
        <v>3190</v>
      </c>
      <c r="F4" s="12">
        <v>9</v>
      </c>
      <c r="G4" s="12">
        <v>900</v>
      </c>
      <c r="H4" s="12">
        <v>30</v>
      </c>
      <c r="I4" s="12">
        <f t="shared" si="0"/>
        <v>870</v>
      </c>
      <c r="J4" s="11" t="s">
        <v>2669</v>
      </c>
      <c r="K4" s="11" t="s">
        <v>33</v>
      </c>
      <c r="L4" s="11" t="s">
        <v>2667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3191</v>
      </c>
      <c r="D5" s="11" t="s">
        <v>3192</v>
      </c>
      <c r="E5" s="11" t="s">
        <v>3193</v>
      </c>
      <c r="F5" s="12">
        <v>8</v>
      </c>
      <c r="G5" s="12">
        <v>1000</v>
      </c>
      <c r="H5" s="12">
        <v>30</v>
      </c>
      <c r="I5" s="12">
        <f t="shared" si="0"/>
        <v>970</v>
      </c>
      <c r="J5" s="11" t="s">
        <v>2669</v>
      </c>
      <c r="K5" s="11" t="s">
        <v>33</v>
      </c>
      <c r="L5" s="11" t="s">
        <v>2667</v>
      </c>
      <c r="M5" s="24" t="s">
        <v>4591</v>
      </c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3194</v>
      </c>
      <c r="D6" s="11" t="s">
        <v>3195</v>
      </c>
      <c r="E6" s="11" t="s">
        <v>3196</v>
      </c>
      <c r="F6" s="12">
        <v>8</v>
      </c>
      <c r="G6" s="12">
        <v>520</v>
      </c>
      <c r="H6" s="12">
        <v>30</v>
      </c>
      <c r="I6" s="12">
        <f t="shared" si="0"/>
        <v>490</v>
      </c>
      <c r="J6" s="11" t="s">
        <v>2669</v>
      </c>
      <c r="K6" s="11" t="s">
        <v>33</v>
      </c>
      <c r="L6" s="11" t="s">
        <v>2667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3197</v>
      </c>
      <c r="D7" s="11" t="s">
        <v>3198</v>
      </c>
      <c r="E7" s="11" t="s">
        <v>3199</v>
      </c>
      <c r="F7" s="11" t="s">
        <v>48</v>
      </c>
      <c r="G7" s="12">
        <v>380</v>
      </c>
      <c r="H7" s="12">
        <v>30</v>
      </c>
      <c r="I7" s="12">
        <f t="shared" si="0"/>
        <v>350</v>
      </c>
      <c r="J7" s="11" t="s">
        <v>2669</v>
      </c>
      <c r="K7" s="11" t="s">
        <v>33</v>
      </c>
      <c r="L7" s="11" t="s">
        <v>2667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2307</v>
      </c>
      <c r="D8" s="11" t="s">
        <v>3200</v>
      </c>
      <c r="E8" s="11" t="s">
        <v>2309</v>
      </c>
      <c r="F8" s="12">
        <v>8</v>
      </c>
      <c r="G8" s="12">
        <v>2105</v>
      </c>
      <c r="H8" s="12">
        <v>35</v>
      </c>
      <c r="I8" s="12">
        <f t="shared" si="0"/>
        <v>2070</v>
      </c>
      <c r="J8" s="11" t="s">
        <v>2669</v>
      </c>
      <c r="K8" s="11" t="s">
        <v>33</v>
      </c>
      <c r="L8" s="11" t="s">
        <v>2667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3201</v>
      </c>
      <c r="D9" s="11" t="s">
        <v>3202</v>
      </c>
      <c r="E9" s="11" t="s">
        <v>3203</v>
      </c>
      <c r="F9" s="11" t="s">
        <v>31</v>
      </c>
      <c r="G9" s="12">
        <v>425</v>
      </c>
      <c r="H9" s="12">
        <v>25</v>
      </c>
      <c r="I9" s="12">
        <f t="shared" si="0"/>
        <v>400</v>
      </c>
      <c r="J9" s="11" t="s">
        <v>2669</v>
      </c>
      <c r="K9" s="11" t="s">
        <v>33</v>
      </c>
      <c r="L9" s="11" t="s">
        <v>2667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3204</v>
      </c>
      <c r="D10" s="11" t="s">
        <v>3205</v>
      </c>
      <c r="E10" s="11" t="s">
        <v>3206</v>
      </c>
      <c r="F10" s="12">
        <v>11</v>
      </c>
      <c r="G10" s="12">
        <v>795</v>
      </c>
      <c r="H10" s="12">
        <v>25</v>
      </c>
      <c r="I10" s="12">
        <f t="shared" si="0"/>
        <v>770</v>
      </c>
      <c r="J10" s="11" t="s">
        <v>2669</v>
      </c>
      <c r="K10" s="11" t="s">
        <v>33</v>
      </c>
      <c r="L10" s="11" t="s">
        <v>2667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3207</v>
      </c>
      <c r="D11" s="11" t="s">
        <v>3208</v>
      </c>
      <c r="E11" s="11" t="s">
        <v>3209</v>
      </c>
      <c r="F11" s="12">
        <v>7</v>
      </c>
      <c r="G11" s="12">
        <v>520</v>
      </c>
      <c r="H11" s="12">
        <v>30</v>
      </c>
      <c r="I11" s="12">
        <f t="shared" si="0"/>
        <v>490</v>
      </c>
      <c r="J11" s="11" t="s">
        <v>2669</v>
      </c>
      <c r="K11" s="11" t="s">
        <v>33</v>
      </c>
      <c r="L11" s="11" t="s">
        <v>2667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3210</v>
      </c>
      <c r="D12" s="11" t="s">
        <v>3211</v>
      </c>
      <c r="E12" s="11" t="s">
        <v>3212</v>
      </c>
      <c r="F12" s="11" t="s">
        <v>55</v>
      </c>
      <c r="G12" s="12">
        <v>175</v>
      </c>
      <c r="H12" s="12">
        <v>35</v>
      </c>
      <c r="I12" s="12">
        <f t="shared" si="0"/>
        <v>140</v>
      </c>
      <c r="J12" s="11" t="s">
        <v>2669</v>
      </c>
      <c r="K12" s="11" t="s">
        <v>33</v>
      </c>
      <c r="L12" s="11" t="s">
        <v>2667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3213</v>
      </c>
      <c r="D13" s="11" t="s">
        <v>3214</v>
      </c>
      <c r="E13" s="11" t="s">
        <v>3215</v>
      </c>
      <c r="F13" s="12">
        <v>8</v>
      </c>
      <c r="G13" s="12">
        <v>450</v>
      </c>
      <c r="H13" s="12">
        <v>30</v>
      </c>
      <c r="I13" s="12">
        <f t="shared" si="0"/>
        <v>420</v>
      </c>
      <c r="J13" s="11" t="s">
        <v>2669</v>
      </c>
      <c r="K13" s="11" t="s">
        <v>33</v>
      </c>
      <c r="L13" s="11" t="s">
        <v>2667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3216</v>
      </c>
      <c r="D14" s="11" t="s">
        <v>3217</v>
      </c>
      <c r="E14" s="11" t="s">
        <v>3218</v>
      </c>
      <c r="F14" s="12">
        <v>7</v>
      </c>
      <c r="G14" s="12">
        <v>880</v>
      </c>
      <c r="H14" s="12">
        <v>30</v>
      </c>
      <c r="I14" s="12">
        <f t="shared" si="0"/>
        <v>850</v>
      </c>
      <c r="J14" s="11" t="s">
        <v>2669</v>
      </c>
      <c r="K14" s="11" t="s">
        <v>33</v>
      </c>
      <c r="L14" s="11" t="s">
        <v>2667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3219</v>
      </c>
      <c r="D15" s="11" t="s">
        <v>3220</v>
      </c>
      <c r="E15" s="11" t="s">
        <v>3221</v>
      </c>
      <c r="F15" s="12">
        <v>9</v>
      </c>
      <c r="G15" s="12">
        <v>730</v>
      </c>
      <c r="H15" s="12">
        <v>30</v>
      </c>
      <c r="I15" s="12">
        <f t="shared" si="0"/>
        <v>700</v>
      </c>
      <c r="J15" s="11" t="s">
        <v>2669</v>
      </c>
      <c r="K15" s="11" t="s">
        <v>33</v>
      </c>
      <c r="L15" s="11" t="s">
        <v>2667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3222</v>
      </c>
      <c r="D16" s="11" t="s">
        <v>3223</v>
      </c>
      <c r="E16" s="11" t="s">
        <v>3224</v>
      </c>
      <c r="F16" s="12">
        <v>8</v>
      </c>
      <c r="G16" s="12">
        <v>1738</v>
      </c>
      <c r="H16" s="12">
        <v>30</v>
      </c>
      <c r="I16" s="12">
        <f t="shared" si="0"/>
        <v>1708</v>
      </c>
      <c r="J16" s="11" t="s">
        <v>2669</v>
      </c>
      <c r="K16" s="11" t="s">
        <v>33</v>
      </c>
      <c r="L16" s="11" t="s">
        <v>2667</v>
      </c>
      <c r="M16" s="24" t="s">
        <v>6078</v>
      </c>
      <c r="N16" s="11"/>
      <c r="O16" s="11"/>
      <c r="P16" s="11"/>
      <c r="Q16" s="11">
        <v>1</v>
      </c>
      <c r="R16" s="5">
        <f>H16</f>
        <v>30</v>
      </c>
    </row>
    <row r="17" spans="1:18" x14ac:dyDescent="0.25">
      <c r="A17" s="11"/>
      <c r="B17" s="11" t="s">
        <v>27</v>
      </c>
      <c r="C17" s="11" t="s">
        <v>3225</v>
      </c>
      <c r="D17" s="11" t="s">
        <v>3226</v>
      </c>
      <c r="E17" s="11" t="s">
        <v>3227</v>
      </c>
      <c r="F17" s="12">
        <v>12</v>
      </c>
      <c r="G17" s="12">
        <v>850</v>
      </c>
      <c r="H17" s="12">
        <v>30</v>
      </c>
      <c r="I17" s="12">
        <f t="shared" si="0"/>
        <v>820</v>
      </c>
      <c r="J17" s="11" t="s">
        <v>2669</v>
      </c>
      <c r="K17" s="11" t="s">
        <v>33</v>
      </c>
      <c r="L17" s="11" t="s">
        <v>2667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3228</v>
      </c>
      <c r="D18" s="11" t="s">
        <v>3229</v>
      </c>
      <c r="E18" s="11" t="s">
        <v>3230</v>
      </c>
      <c r="F18" s="12">
        <v>9</v>
      </c>
      <c r="G18" s="12">
        <v>940</v>
      </c>
      <c r="H18" s="12">
        <v>30</v>
      </c>
      <c r="I18" s="12">
        <f t="shared" si="0"/>
        <v>910</v>
      </c>
      <c r="J18" s="11" t="s">
        <v>2669</v>
      </c>
      <c r="K18" s="11" t="s">
        <v>33</v>
      </c>
      <c r="L18" s="11" t="s">
        <v>2667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3231</v>
      </c>
      <c r="D19" s="11" t="s">
        <v>3232</v>
      </c>
      <c r="E19" s="11" t="s">
        <v>3233</v>
      </c>
      <c r="F19" s="11" t="s">
        <v>31</v>
      </c>
      <c r="G19" s="12">
        <v>960</v>
      </c>
      <c r="H19" s="12">
        <v>30</v>
      </c>
      <c r="I19" s="12">
        <f t="shared" si="0"/>
        <v>930</v>
      </c>
      <c r="J19" s="11" t="s">
        <v>2669</v>
      </c>
      <c r="K19" s="11" t="s">
        <v>33</v>
      </c>
      <c r="L19" s="11" t="s">
        <v>2667</v>
      </c>
      <c r="M19" s="29" t="s">
        <v>6079</v>
      </c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3234</v>
      </c>
      <c r="D20" s="11" t="s">
        <v>3235</v>
      </c>
      <c r="E20" s="11" t="s">
        <v>3236</v>
      </c>
      <c r="F20" s="12">
        <v>7</v>
      </c>
      <c r="G20" s="12">
        <v>580</v>
      </c>
      <c r="H20" s="12">
        <v>30</v>
      </c>
      <c r="I20" s="12">
        <f t="shared" si="0"/>
        <v>550</v>
      </c>
      <c r="J20" s="11" t="s">
        <v>2669</v>
      </c>
      <c r="K20" s="11" t="s">
        <v>33</v>
      </c>
      <c r="L20" s="11" t="s">
        <v>2667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3237</v>
      </c>
      <c r="D21" s="11" t="s">
        <v>3238</v>
      </c>
      <c r="E21" s="11" t="s">
        <v>3239</v>
      </c>
      <c r="F21" s="12">
        <v>9</v>
      </c>
      <c r="G21" s="12">
        <v>950</v>
      </c>
      <c r="H21" s="12">
        <v>30</v>
      </c>
      <c r="I21" s="12">
        <f t="shared" si="0"/>
        <v>920</v>
      </c>
      <c r="J21" s="11" t="s">
        <v>2669</v>
      </c>
      <c r="K21" s="11" t="s">
        <v>33</v>
      </c>
      <c r="L21" s="11" t="s">
        <v>2667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3240</v>
      </c>
      <c r="D22" s="11" t="s">
        <v>3241</v>
      </c>
      <c r="E22" s="11" t="s">
        <v>3242</v>
      </c>
      <c r="F22" s="12">
        <v>6</v>
      </c>
      <c r="G22" s="12">
        <v>1025</v>
      </c>
      <c r="H22" s="12">
        <v>25</v>
      </c>
      <c r="I22" s="12">
        <f t="shared" si="0"/>
        <v>1000</v>
      </c>
      <c r="J22" s="11" t="s">
        <v>2669</v>
      </c>
      <c r="K22" s="11" t="s">
        <v>33</v>
      </c>
      <c r="L22" s="11" t="s">
        <v>2667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3243</v>
      </c>
      <c r="D23" s="11" t="s">
        <v>3244</v>
      </c>
      <c r="E23" s="11" t="s">
        <v>3245</v>
      </c>
      <c r="F23" s="12">
        <v>8</v>
      </c>
      <c r="G23" s="12">
        <v>520</v>
      </c>
      <c r="H23" s="12">
        <v>30</v>
      </c>
      <c r="I23" s="12">
        <f t="shared" si="0"/>
        <v>490</v>
      </c>
      <c r="J23" s="11" t="s">
        <v>2669</v>
      </c>
      <c r="K23" s="11" t="s">
        <v>33</v>
      </c>
      <c r="L23" s="11" t="s">
        <v>2667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3246</v>
      </c>
      <c r="D24" s="11" t="s">
        <v>3247</v>
      </c>
      <c r="E24" s="11" t="s">
        <v>3248</v>
      </c>
      <c r="F24" s="12">
        <v>7</v>
      </c>
      <c r="G24" s="12">
        <v>1960</v>
      </c>
      <c r="H24" s="12">
        <v>30</v>
      </c>
      <c r="I24" s="12">
        <f t="shared" si="0"/>
        <v>1930</v>
      </c>
      <c r="J24" s="11" t="s">
        <v>2669</v>
      </c>
      <c r="K24" s="11" t="s">
        <v>33</v>
      </c>
      <c r="L24" s="11" t="s">
        <v>2667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3249</v>
      </c>
      <c r="D25" s="11" t="s">
        <v>3250</v>
      </c>
      <c r="E25" s="11" t="s">
        <v>3251</v>
      </c>
      <c r="F25" s="11" t="s">
        <v>55</v>
      </c>
      <c r="G25" s="12">
        <v>455</v>
      </c>
      <c r="H25" s="12">
        <v>35</v>
      </c>
      <c r="I25" s="12">
        <f t="shared" si="0"/>
        <v>420</v>
      </c>
      <c r="J25" s="11" t="s">
        <v>2669</v>
      </c>
      <c r="K25" s="11" t="s">
        <v>33</v>
      </c>
      <c r="L25" s="11" t="s">
        <v>2667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3252</v>
      </c>
      <c r="D26" s="11" t="s">
        <v>3253</v>
      </c>
      <c r="E26" s="11" t="s">
        <v>3254</v>
      </c>
      <c r="F26" s="11" t="s">
        <v>48</v>
      </c>
      <c r="G26" s="12">
        <v>200</v>
      </c>
      <c r="H26" s="12">
        <v>30</v>
      </c>
      <c r="I26" s="12">
        <f t="shared" si="0"/>
        <v>170</v>
      </c>
      <c r="J26" s="11" t="s">
        <v>2669</v>
      </c>
      <c r="K26" s="11" t="s">
        <v>33</v>
      </c>
      <c r="L26" s="11" t="s">
        <v>2667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3255</v>
      </c>
      <c r="D27" s="11" t="s">
        <v>3256</v>
      </c>
      <c r="E27" s="11" t="s">
        <v>3257</v>
      </c>
      <c r="F27" s="11" t="s">
        <v>104</v>
      </c>
      <c r="G27" s="12">
        <v>2055</v>
      </c>
      <c r="H27" s="12">
        <v>35</v>
      </c>
      <c r="I27" s="12">
        <f t="shared" si="0"/>
        <v>2020</v>
      </c>
      <c r="J27" s="11" t="s">
        <v>2669</v>
      </c>
      <c r="K27" s="11" t="s">
        <v>33</v>
      </c>
      <c r="L27" s="11" t="s">
        <v>2667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3258</v>
      </c>
      <c r="D28" s="11" t="s">
        <v>3259</v>
      </c>
      <c r="E28" s="11" t="s">
        <v>3260</v>
      </c>
      <c r="F28" s="12">
        <v>8</v>
      </c>
      <c r="G28" s="12">
        <v>460</v>
      </c>
      <c r="H28" s="12">
        <v>30</v>
      </c>
      <c r="I28" s="12">
        <f t="shared" si="0"/>
        <v>430</v>
      </c>
      <c r="J28" s="11" t="s">
        <v>2669</v>
      </c>
      <c r="K28" s="11" t="s">
        <v>33</v>
      </c>
      <c r="L28" s="11" t="s">
        <v>2667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3261</v>
      </c>
      <c r="D29" s="11" t="s">
        <v>3262</v>
      </c>
      <c r="E29" s="11" t="s">
        <v>3263</v>
      </c>
      <c r="F29" s="12">
        <v>6</v>
      </c>
      <c r="G29" s="12">
        <v>915</v>
      </c>
      <c r="H29" s="12">
        <v>25</v>
      </c>
      <c r="I29" s="12">
        <f t="shared" si="0"/>
        <v>890</v>
      </c>
      <c r="J29" s="11" t="s">
        <v>2669</v>
      </c>
      <c r="K29" s="11" t="s">
        <v>33</v>
      </c>
      <c r="L29" s="11" t="s">
        <v>2667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3264</v>
      </c>
      <c r="D30" s="11" t="s">
        <v>3265</v>
      </c>
      <c r="E30" s="11" t="s">
        <v>3266</v>
      </c>
      <c r="F30" s="11" t="s">
        <v>202</v>
      </c>
      <c r="G30" s="12">
        <v>418</v>
      </c>
      <c r="H30" s="12">
        <v>35</v>
      </c>
      <c r="I30" s="12">
        <f t="shared" si="0"/>
        <v>383</v>
      </c>
      <c r="J30" s="11" t="s">
        <v>2669</v>
      </c>
      <c r="K30" s="11" t="s">
        <v>33</v>
      </c>
      <c r="L30" s="11" t="s">
        <v>2667</v>
      </c>
      <c r="M30" s="24" t="s">
        <v>340</v>
      </c>
      <c r="N30" s="11"/>
      <c r="O30" s="11"/>
      <c r="P30" s="11"/>
      <c r="Q30" s="11">
        <v>1</v>
      </c>
      <c r="R30" s="5">
        <f>H30</f>
        <v>35</v>
      </c>
    </row>
    <row r="31" spans="1:18" x14ac:dyDescent="0.25">
      <c r="A31" s="11"/>
      <c r="B31" s="11" t="s">
        <v>27</v>
      </c>
      <c r="C31" s="11" t="s">
        <v>3267</v>
      </c>
      <c r="D31" s="11" t="s">
        <v>3268</v>
      </c>
      <c r="E31" s="11" t="s">
        <v>3269</v>
      </c>
      <c r="F31" s="12">
        <v>8</v>
      </c>
      <c r="G31" s="12">
        <v>610</v>
      </c>
      <c r="H31" s="12">
        <v>30</v>
      </c>
      <c r="I31" s="12">
        <f t="shared" si="0"/>
        <v>580</v>
      </c>
      <c r="J31" s="11" t="s">
        <v>2669</v>
      </c>
      <c r="K31" s="11" t="s">
        <v>33</v>
      </c>
      <c r="L31" s="11" t="s">
        <v>2667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3270</v>
      </c>
      <c r="D32" s="11" t="s">
        <v>3271</v>
      </c>
      <c r="E32" s="11" t="s">
        <v>3272</v>
      </c>
      <c r="F32" s="11" t="s">
        <v>444</v>
      </c>
      <c r="G32" s="12">
        <v>1075</v>
      </c>
      <c r="H32" s="12">
        <v>35</v>
      </c>
      <c r="I32" s="12">
        <f t="shared" si="0"/>
        <v>1040</v>
      </c>
      <c r="J32" s="11" t="s">
        <v>2669</v>
      </c>
      <c r="K32" s="11" t="s">
        <v>33</v>
      </c>
      <c r="L32" s="11" t="s">
        <v>2667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3273</v>
      </c>
      <c r="D33" s="11" t="s">
        <v>3274</v>
      </c>
      <c r="E33" s="11" t="s">
        <v>3275</v>
      </c>
      <c r="F33" s="11" t="s">
        <v>104</v>
      </c>
      <c r="G33" s="12">
        <v>598</v>
      </c>
      <c r="H33" s="12">
        <v>30</v>
      </c>
      <c r="I33" s="12">
        <f t="shared" si="0"/>
        <v>568</v>
      </c>
      <c r="J33" s="11" t="s">
        <v>2669</v>
      </c>
      <c r="K33" s="11" t="s">
        <v>33</v>
      </c>
      <c r="L33" s="11" t="s">
        <v>2667</v>
      </c>
      <c r="M33" s="24" t="s">
        <v>340</v>
      </c>
      <c r="N33" s="11"/>
      <c r="O33" s="11"/>
      <c r="P33" s="11"/>
      <c r="Q33" s="11">
        <v>1</v>
      </c>
      <c r="R33" s="5">
        <f>H33</f>
        <v>30</v>
      </c>
    </row>
    <row r="34" spans="1:18" x14ac:dyDescent="0.25">
      <c r="A34" s="11"/>
      <c r="B34" s="11" t="s">
        <v>27</v>
      </c>
      <c r="C34" s="11" t="s">
        <v>3276</v>
      </c>
      <c r="D34" s="11" t="s">
        <v>3277</v>
      </c>
      <c r="E34" s="11" t="s">
        <v>3278</v>
      </c>
      <c r="F34" s="11" t="s">
        <v>31</v>
      </c>
      <c r="G34" s="12">
        <v>1375</v>
      </c>
      <c r="H34" s="12">
        <v>25</v>
      </c>
      <c r="I34" s="12">
        <f t="shared" si="0"/>
        <v>1350</v>
      </c>
      <c r="J34" s="11" t="s">
        <v>2669</v>
      </c>
      <c r="K34" s="11" t="s">
        <v>33</v>
      </c>
      <c r="L34" s="11" t="s">
        <v>2667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2500</v>
      </c>
      <c r="D35" s="11" t="s">
        <v>3279</v>
      </c>
      <c r="E35" s="11" t="s">
        <v>3280</v>
      </c>
      <c r="F35" s="11" t="s">
        <v>78</v>
      </c>
      <c r="G35" s="12">
        <v>360</v>
      </c>
      <c r="H35" s="12">
        <v>20</v>
      </c>
      <c r="I35" s="12">
        <f t="shared" ref="I35:I66" si="1">G35-H35</f>
        <v>340</v>
      </c>
      <c r="J35" s="11" t="s">
        <v>33</v>
      </c>
      <c r="K35" s="11" t="s">
        <v>33</v>
      </c>
      <c r="L35" s="11" t="s">
        <v>2667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3281</v>
      </c>
      <c r="D36" s="11" t="s">
        <v>3282</v>
      </c>
      <c r="E36" s="11" t="s">
        <v>3283</v>
      </c>
      <c r="F36" s="11" t="s">
        <v>68</v>
      </c>
      <c r="G36" s="12">
        <v>955</v>
      </c>
      <c r="H36" s="12">
        <v>25</v>
      </c>
      <c r="I36" s="12">
        <f t="shared" si="1"/>
        <v>930</v>
      </c>
      <c r="J36" s="11" t="s">
        <v>33</v>
      </c>
      <c r="K36" s="11" t="s">
        <v>33</v>
      </c>
      <c r="L36" s="11" t="s">
        <v>2667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3284</v>
      </c>
      <c r="D37" s="11" t="s">
        <v>3285</v>
      </c>
      <c r="E37" s="11" t="s">
        <v>3286</v>
      </c>
      <c r="F37" s="11" t="s">
        <v>78</v>
      </c>
      <c r="G37" s="12">
        <v>2075</v>
      </c>
      <c r="H37" s="12">
        <v>25</v>
      </c>
      <c r="I37" s="12">
        <f t="shared" si="1"/>
        <v>2050</v>
      </c>
      <c r="J37" s="11" t="s">
        <v>33</v>
      </c>
      <c r="K37" s="11" t="s">
        <v>33</v>
      </c>
      <c r="L37" s="11" t="s">
        <v>2667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3287</v>
      </c>
      <c r="D38" s="11" t="s">
        <v>3288</v>
      </c>
      <c r="E38" s="11" t="s">
        <v>3289</v>
      </c>
      <c r="F38" s="11" t="s">
        <v>68</v>
      </c>
      <c r="G38" s="12">
        <v>835</v>
      </c>
      <c r="H38" s="12">
        <v>25</v>
      </c>
      <c r="I38" s="12">
        <f t="shared" si="1"/>
        <v>810</v>
      </c>
      <c r="J38" s="11" t="s">
        <v>33</v>
      </c>
      <c r="K38" s="11" t="s">
        <v>33</v>
      </c>
      <c r="L38" s="11" t="s">
        <v>2667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3290</v>
      </c>
      <c r="D39" s="11" t="s">
        <v>3291</v>
      </c>
      <c r="E39" s="11" t="s">
        <v>3292</v>
      </c>
      <c r="F39" s="11" t="s">
        <v>78</v>
      </c>
      <c r="G39" s="12">
        <v>1110</v>
      </c>
      <c r="H39" s="12">
        <v>20</v>
      </c>
      <c r="I39" s="12">
        <f t="shared" si="1"/>
        <v>1090</v>
      </c>
      <c r="J39" s="11" t="s">
        <v>33</v>
      </c>
      <c r="K39" s="11" t="s">
        <v>33</v>
      </c>
      <c r="L39" s="11" t="s">
        <v>2667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3293</v>
      </c>
      <c r="D40" s="11" t="s">
        <v>3294</v>
      </c>
      <c r="E40" s="11" t="s">
        <v>3295</v>
      </c>
      <c r="F40" s="11" t="s">
        <v>68</v>
      </c>
      <c r="G40" s="12">
        <v>1505</v>
      </c>
      <c r="H40" s="12">
        <v>25</v>
      </c>
      <c r="I40" s="12">
        <f t="shared" si="1"/>
        <v>1480</v>
      </c>
      <c r="J40" s="11" t="s">
        <v>33</v>
      </c>
      <c r="K40" s="11" t="s">
        <v>33</v>
      </c>
      <c r="L40" s="11" t="s">
        <v>2667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3102</v>
      </c>
      <c r="D41" s="11" t="s">
        <v>3296</v>
      </c>
      <c r="E41" s="11" t="s">
        <v>3104</v>
      </c>
      <c r="F41" s="11" t="s">
        <v>68</v>
      </c>
      <c r="G41" s="12">
        <v>1715</v>
      </c>
      <c r="H41" s="12">
        <v>25</v>
      </c>
      <c r="I41" s="12">
        <f t="shared" si="1"/>
        <v>1690</v>
      </c>
      <c r="J41" s="11" t="s">
        <v>33</v>
      </c>
      <c r="K41" s="11" t="s">
        <v>33</v>
      </c>
      <c r="L41" s="11" t="s">
        <v>2667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3297</v>
      </c>
      <c r="D42" s="11" t="s">
        <v>3298</v>
      </c>
      <c r="E42" s="11" t="s">
        <v>3299</v>
      </c>
      <c r="F42" s="11" t="s">
        <v>68</v>
      </c>
      <c r="G42" s="12">
        <v>705</v>
      </c>
      <c r="H42" s="12">
        <v>25</v>
      </c>
      <c r="I42" s="12">
        <f t="shared" si="1"/>
        <v>680</v>
      </c>
      <c r="J42" s="11" t="s">
        <v>33</v>
      </c>
      <c r="K42" s="11" t="s">
        <v>33</v>
      </c>
      <c r="L42" s="11" t="s">
        <v>2667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3300</v>
      </c>
      <c r="D43" s="11" t="s">
        <v>3301</v>
      </c>
      <c r="E43" s="11" t="s">
        <v>3302</v>
      </c>
      <c r="F43" s="11" t="s">
        <v>104</v>
      </c>
      <c r="G43" s="12">
        <v>1110</v>
      </c>
      <c r="H43" s="12">
        <v>30</v>
      </c>
      <c r="I43" s="12">
        <f t="shared" si="1"/>
        <v>1080</v>
      </c>
      <c r="J43" s="11" t="s">
        <v>33</v>
      </c>
      <c r="K43" s="11" t="s">
        <v>33</v>
      </c>
      <c r="L43" s="11" t="s">
        <v>2667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3303</v>
      </c>
      <c r="D44" s="11" t="s">
        <v>3304</v>
      </c>
      <c r="E44" s="11" t="s">
        <v>3305</v>
      </c>
      <c r="F44" s="11" t="s">
        <v>78</v>
      </c>
      <c r="G44" s="12">
        <v>550</v>
      </c>
      <c r="H44" s="12">
        <v>20</v>
      </c>
      <c r="I44" s="12">
        <f t="shared" si="1"/>
        <v>530</v>
      </c>
      <c r="J44" s="11" t="s">
        <v>33</v>
      </c>
      <c r="K44" s="11" t="s">
        <v>33</v>
      </c>
      <c r="L44" s="11" t="s">
        <v>2667</v>
      </c>
      <c r="M44" s="11"/>
      <c r="N44" s="11"/>
      <c r="O44" s="11"/>
      <c r="P44" s="11"/>
      <c r="Q44" s="11">
        <v>1</v>
      </c>
    </row>
    <row r="45" spans="1:18" x14ac:dyDescent="0.25">
      <c r="A45" s="11"/>
      <c r="B45" s="11" t="s">
        <v>27</v>
      </c>
      <c r="C45" s="11" t="s">
        <v>2062</v>
      </c>
      <c r="D45" s="11" t="s">
        <v>3306</v>
      </c>
      <c r="E45" s="11" t="s">
        <v>3307</v>
      </c>
      <c r="F45" s="11" t="s">
        <v>68</v>
      </c>
      <c r="G45" s="12">
        <v>255</v>
      </c>
      <c r="H45" s="12">
        <v>25</v>
      </c>
      <c r="I45" s="12">
        <f t="shared" si="1"/>
        <v>230</v>
      </c>
      <c r="J45" s="11" t="s">
        <v>33</v>
      </c>
      <c r="K45" s="11" t="s">
        <v>33</v>
      </c>
      <c r="L45" s="11" t="s">
        <v>2667</v>
      </c>
      <c r="M45" s="11"/>
      <c r="N45" s="11"/>
      <c r="O45" s="11"/>
      <c r="P45" s="11"/>
      <c r="Q45" s="11">
        <v>1</v>
      </c>
    </row>
    <row r="46" spans="1:18" x14ac:dyDescent="0.25">
      <c r="A46" s="11"/>
      <c r="B46" s="11" t="s">
        <v>27</v>
      </c>
      <c r="C46" s="11" t="s">
        <v>3308</v>
      </c>
      <c r="D46" s="11" t="s">
        <v>3309</v>
      </c>
      <c r="E46" s="11" t="s">
        <v>3310</v>
      </c>
      <c r="F46" s="11" t="s">
        <v>68</v>
      </c>
      <c r="G46" s="12">
        <v>1515</v>
      </c>
      <c r="H46" s="12">
        <v>25</v>
      </c>
      <c r="I46" s="12">
        <f t="shared" si="1"/>
        <v>1490</v>
      </c>
      <c r="J46" s="11" t="s">
        <v>33</v>
      </c>
      <c r="K46" s="11" t="s">
        <v>33</v>
      </c>
      <c r="L46" s="11" t="s">
        <v>2667</v>
      </c>
      <c r="M46" s="11"/>
      <c r="N46" s="11"/>
      <c r="O46" s="11"/>
      <c r="P46" s="11"/>
      <c r="Q46" s="11">
        <v>1</v>
      </c>
    </row>
    <row r="47" spans="1:18" x14ac:dyDescent="0.25">
      <c r="A47" s="11"/>
      <c r="B47" s="11" t="s">
        <v>27</v>
      </c>
      <c r="C47" s="11" t="s">
        <v>3311</v>
      </c>
      <c r="D47" s="11" t="s">
        <v>3312</v>
      </c>
      <c r="E47" s="11" t="s">
        <v>3313</v>
      </c>
      <c r="F47" s="12">
        <v>12</v>
      </c>
      <c r="G47" s="12">
        <v>0</v>
      </c>
      <c r="H47" s="12">
        <v>30</v>
      </c>
      <c r="I47" s="12">
        <f t="shared" si="1"/>
        <v>-30</v>
      </c>
      <c r="J47" s="11" t="s">
        <v>33</v>
      </c>
      <c r="K47" s="11" t="s">
        <v>33</v>
      </c>
      <c r="L47" s="11" t="s">
        <v>2667</v>
      </c>
      <c r="M47" s="11"/>
      <c r="N47" s="11"/>
      <c r="O47" s="11"/>
      <c r="P47" s="11"/>
      <c r="Q47" s="11">
        <v>1</v>
      </c>
      <c r="R47" s="5">
        <f>H47</f>
        <v>30</v>
      </c>
    </row>
    <row r="48" spans="1:18" x14ac:dyDescent="0.25">
      <c r="A48" s="11"/>
      <c r="B48" s="11" t="s">
        <v>27</v>
      </c>
      <c r="C48" s="11" t="s">
        <v>3314</v>
      </c>
      <c r="D48" s="11" t="s">
        <v>3315</v>
      </c>
      <c r="E48" s="11" t="s">
        <v>3316</v>
      </c>
      <c r="F48" s="11" t="s">
        <v>104</v>
      </c>
      <c r="G48" s="12">
        <v>218</v>
      </c>
      <c r="H48" s="12">
        <v>30</v>
      </c>
      <c r="I48" s="12">
        <f t="shared" si="1"/>
        <v>188</v>
      </c>
      <c r="J48" s="11" t="s">
        <v>33</v>
      </c>
      <c r="K48" s="11" t="s">
        <v>33</v>
      </c>
      <c r="L48" s="11" t="s">
        <v>2667</v>
      </c>
      <c r="M48" s="24" t="s">
        <v>340</v>
      </c>
      <c r="N48" s="11"/>
      <c r="O48" s="11"/>
      <c r="P48" s="11"/>
      <c r="Q48" s="11">
        <v>1</v>
      </c>
      <c r="R48" s="5">
        <f>H48</f>
        <v>30</v>
      </c>
    </row>
    <row r="49" spans="1:18" x14ac:dyDescent="0.25">
      <c r="A49" s="11"/>
      <c r="B49" s="11" t="s">
        <v>27</v>
      </c>
      <c r="C49" s="11" t="s">
        <v>3317</v>
      </c>
      <c r="D49" s="11" t="s">
        <v>3318</v>
      </c>
      <c r="E49" s="11" t="s">
        <v>3319</v>
      </c>
      <c r="F49" s="11" t="s">
        <v>78</v>
      </c>
      <c r="G49" s="12">
        <v>1060</v>
      </c>
      <c r="H49" s="12">
        <v>20</v>
      </c>
      <c r="I49" s="12">
        <f t="shared" si="1"/>
        <v>1040</v>
      </c>
      <c r="J49" s="11" t="s">
        <v>33</v>
      </c>
      <c r="K49" s="11" t="s">
        <v>33</v>
      </c>
      <c r="L49" s="11" t="s">
        <v>2667</v>
      </c>
      <c r="M49" s="11"/>
      <c r="N49" s="11"/>
      <c r="O49" s="11"/>
      <c r="P49" s="11"/>
      <c r="Q49" s="11">
        <v>1</v>
      </c>
    </row>
    <row r="50" spans="1:18" x14ac:dyDescent="0.25">
      <c r="A50" s="11"/>
      <c r="B50" s="11" t="s">
        <v>27</v>
      </c>
      <c r="C50" s="11" t="s">
        <v>3320</v>
      </c>
      <c r="D50" s="11" t="s">
        <v>3321</v>
      </c>
      <c r="E50" s="11" t="s">
        <v>3322</v>
      </c>
      <c r="F50" s="11" t="s">
        <v>78</v>
      </c>
      <c r="G50" s="12">
        <v>750</v>
      </c>
      <c r="H50" s="12">
        <v>20</v>
      </c>
      <c r="I50" s="12">
        <f t="shared" si="1"/>
        <v>730</v>
      </c>
      <c r="J50" s="11" t="s">
        <v>33</v>
      </c>
      <c r="K50" s="11" t="s">
        <v>33</v>
      </c>
      <c r="L50" s="11" t="s">
        <v>2667</v>
      </c>
      <c r="M50" s="11"/>
      <c r="N50" s="11"/>
      <c r="O50" s="11"/>
      <c r="P50" s="11"/>
      <c r="Q50" s="11">
        <v>1</v>
      </c>
    </row>
    <row r="51" spans="1:18" x14ac:dyDescent="0.25">
      <c r="A51" s="11"/>
      <c r="B51" s="11" t="s">
        <v>27</v>
      </c>
      <c r="C51" s="11" t="s">
        <v>3323</v>
      </c>
      <c r="D51" s="11" t="s">
        <v>3324</v>
      </c>
      <c r="E51" s="11" t="s">
        <v>3325</v>
      </c>
      <c r="F51" s="11" t="s">
        <v>78</v>
      </c>
      <c r="G51" s="12">
        <v>820</v>
      </c>
      <c r="H51" s="12">
        <v>20</v>
      </c>
      <c r="I51" s="12">
        <f t="shared" si="1"/>
        <v>800</v>
      </c>
      <c r="J51" s="11" t="s">
        <v>33</v>
      </c>
      <c r="K51" s="11" t="s">
        <v>33</v>
      </c>
      <c r="L51" s="11" t="s">
        <v>2667</v>
      </c>
      <c r="M51" s="11"/>
      <c r="N51" s="11"/>
      <c r="O51" s="11"/>
      <c r="P51" s="11"/>
      <c r="Q51" s="11">
        <v>1</v>
      </c>
    </row>
    <row r="52" spans="1:18" x14ac:dyDescent="0.25">
      <c r="A52" s="11"/>
      <c r="B52" s="11" t="s">
        <v>27</v>
      </c>
      <c r="C52" s="11" t="s">
        <v>3326</v>
      </c>
      <c r="D52" s="11" t="s">
        <v>3327</v>
      </c>
      <c r="E52" s="11" t="s">
        <v>3328</v>
      </c>
      <c r="F52" s="11" t="s">
        <v>104</v>
      </c>
      <c r="G52" s="12">
        <v>918</v>
      </c>
      <c r="H52" s="12">
        <v>30</v>
      </c>
      <c r="I52" s="12">
        <f t="shared" si="1"/>
        <v>888</v>
      </c>
      <c r="J52" s="11" t="s">
        <v>33</v>
      </c>
      <c r="K52" s="11" t="s">
        <v>33</v>
      </c>
      <c r="L52" s="11" t="s">
        <v>2667</v>
      </c>
      <c r="M52" s="24" t="s">
        <v>340</v>
      </c>
      <c r="N52" s="11"/>
      <c r="O52" s="11"/>
      <c r="P52" s="11"/>
      <c r="Q52" s="11">
        <v>1</v>
      </c>
      <c r="R52" s="5">
        <f>H52</f>
        <v>30</v>
      </c>
    </row>
    <row r="53" spans="1:18" x14ac:dyDescent="0.25">
      <c r="A53" s="11"/>
      <c r="B53" s="11" t="s">
        <v>27</v>
      </c>
      <c r="C53" s="11" t="s">
        <v>3329</v>
      </c>
      <c r="D53" s="11" t="s">
        <v>3330</v>
      </c>
      <c r="E53" s="11" t="s">
        <v>3331</v>
      </c>
      <c r="F53" s="11" t="s">
        <v>104</v>
      </c>
      <c r="G53" s="12">
        <v>2305</v>
      </c>
      <c r="H53" s="12">
        <v>35</v>
      </c>
      <c r="I53" s="12">
        <f t="shared" si="1"/>
        <v>2270</v>
      </c>
      <c r="J53" s="11" t="s">
        <v>33</v>
      </c>
      <c r="K53" s="11" t="s">
        <v>33</v>
      </c>
      <c r="L53" s="11" t="s">
        <v>2667</v>
      </c>
      <c r="M53" s="11"/>
      <c r="N53" s="11"/>
      <c r="O53" s="11"/>
      <c r="P53" s="11"/>
      <c r="Q53" s="11">
        <v>1</v>
      </c>
    </row>
    <row r="54" spans="1:18" x14ac:dyDescent="0.25">
      <c r="A54" s="11"/>
      <c r="B54" s="11" t="s">
        <v>27</v>
      </c>
      <c r="C54" s="11" t="s">
        <v>3332</v>
      </c>
      <c r="D54" s="11" t="s">
        <v>3333</v>
      </c>
      <c r="E54" s="11" t="s">
        <v>3334</v>
      </c>
      <c r="F54" s="11" t="s">
        <v>118</v>
      </c>
      <c r="G54" s="12">
        <v>700</v>
      </c>
      <c r="H54" s="12">
        <v>20</v>
      </c>
      <c r="I54" s="12">
        <f t="shared" si="1"/>
        <v>680</v>
      </c>
      <c r="J54" s="11" t="s">
        <v>119</v>
      </c>
      <c r="K54" s="11" t="s">
        <v>33</v>
      </c>
      <c r="L54" s="11" t="s">
        <v>2667</v>
      </c>
      <c r="M54" s="11"/>
      <c r="N54" s="11"/>
      <c r="O54" s="11"/>
      <c r="P54" s="11"/>
      <c r="Q54" s="11">
        <v>1</v>
      </c>
    </row>
    <row r="55" spans="1:18" x14ac:dyDescent="0.25">
      <c r="A55" s="11"/>
      <c r="B55" s="11" t="s">
        <v>27</v>
      </c>
      <c r="C55" s="11" t="s">
        <v>3335</v>
      </c>
      <c r="D55" s="11" t="s">
        <v>3336</v>
      </c>
      <c r="E55" s="11" t="s">
        <v>3337</v>
      </c>
      <c r="F55" s="12">
        <v>3</v>
      </c>
      <c r="G55" s="12">
        <v>515</v>
      </c>
      <c r="H55" s="12">
        <v>25</v>
      </c>
      <c r="I55" s="12">
        <f t="shared" si="1"/>
        <v>490</v>
      </c>
      <c r="J55" s="11" t="s">
        <v>119</v>
      </c>
      <c r="K55" s="11" t="s">
        <v>33</v>
      </c>
      <c r="L55" s="11" t="s">
        <v>2667</v>
      </c>
      <c r="M55" s="11"/>
      <c r="N55" s="11"/>
      <c r="O55" s="11"/>
      <c r="P55" s="11"/>
      <c r="Q55" s="11">
        <v>1</v>
      </c>
    </row>
    <row r="56" spans="1:18" x14ac:dyDescent="0.25">
      <c r="A56" s="11"/>
      <c r="B56" s="11" t="s">
        <v>27</v>
      </c>
      <c r="C56" s="11" t="s">
        <v>3338</v>
      </c>
      <c r="D56" s="11" t="s">
        <v>3339</v>
      </c>
      <c r="E56" s="11" t="s">
        <v>3340</v>
      </c>
      <c r="F56" s="11" t="s">
        <v>44</v>
      </c>
      <c r="G56" s="12">
        <v>935</v>
      </c>
      <c r="H56" s="12">
        <v>25</v>
      </c>
      <c r="I56" s="12">
        <f t="shared" si="1"/>
        <v>910</v>
      </c>
      <c r="J56" s="11" t="s">
        <v>119</v>
      </c>
      <c r="K56" s="11" t="s">
        <v>33</v>
      </c>
      <c r="L56" s="11" t="s">
        <v>2667</v>
      </c>
      <c r="M56" s="11"/>
      <c r="N56" s="11"/>
      <c r="O56" s="11"/>
      <c r="P56" s="11"/>
      <c r="Q56" s="11">
        <v>1</v>
      </c>
    </row>
    <row r="57" spans="1:18" x14ac:dyDescent="0.25">
      <c r="A57" s="11"/>
      <c r="B57" s="11" t="s">
        <v>27</v>
      </c>
      <c r="C57" s="11" t="s">
        <v>3341</v>
      </c>
      <c r="D57" s="11" t="s">
        <v>3342</v>
      </c>
      <c r="E57" s="11" t="s">
        <v>3343</v>
      </c>
      <c r="F57" s="11" t="s">
        <v>44</v>
      </c>
      <c r="G57" s="12">
        <v>1545</v>
      </c>
      <c r="H57" s="12">
        <v>25</v>
      </c>
      <c r="I57" s="12">
        <f t="shared" si="1"/>
        <v>1520</v>
      </c>
      <c r="J57" s="11" t="s">
        <v>119</v>
      </c>
      <c r="K57" s="11" t="s">
        <v>33</v>
      </c>
      <c r="L57" s="11" t="s">
        <v>2667</v>
      </c>
      <c r="M57" s="11"/>
      <c r="N57" s="11"/>
      <c r="O57" s="11"/>
      <c r="P57" s="11"/>
      <c r="Q57" s="11">
        <v>1</v>
      </c>
    </row>
    <row r="58" spans="1:18" x14ac:dyDescent="0.25">
      <c r="A58" s="11"/>
      <c r="B58" s="11" t="s">
        <v>27</v>
      </c>
      <c r="C58" s="11" t="s">
        <v>3344</v>
      </c>
      <c r="D58" s="11" t="s">
        <v>3345</v>
      </c>
      <c r="E58" s="11" t="s">
        <v>3346</v>
      </c>
      <c r="F58" s="11" t="s">
        <v>44</v>
      </c>
      <c r="G58" s="12">
        <v>935</v>
      </c>
      <c r="H58" s="12">
        <v>25</v>
      </c>
      <c r="I58" s="12">
        <f t="shared" si="1"/>
        <v>910</v>
      </c>
      <c r="J58" s="11" t="s">
        <v>119</v>
      </c>
      <c r="K58" s="11" t="s">
        <v>33</v>
      </c>
      <c r="L58" s="11" t="s">
        <v>2667</v>
      </c>
      <c r="M58" s="11"/>
      <c r="N58" s="11"/>
      <c r="O58" s="11"/>
      <c r="P58" s="11"/>
      <c r="Q58" s="11">
        <v>1</v>
      </c>
    </row>
    <row r="59" spans="1:18" x14ac:dyDescent="0.25">
      <c r="A59" s="11"/>
      <c r="B59" s="11" t="s">
        <v>27</v>
      </c>
      <c r="C59" s="11" t="s">
        <v>3347</v>
      </c>
      <c r="D59" s="11" t="s">
        <v>3348</v>
      </c>
      <c r="E59" s="11" t="s">
        <v>3349</v>
      </c>
      <c r="F59" s="11" t="s">
        <v>44</v>
      </c>
      <c r="G59" s="12">
        <v>675</v>
      </c>
      <c r="H59" s="12">
        <v>25</v>
      </c>
      <c r="I59" s="12">
        <f t="shared" si="1"/>
        <v>650</v>
      </c>
      <c r="J59" s="11" t="s">
        <v>119</v>
      </c>
      <c r="K59" s="11" t="s">
        <v>33</v>
      </c>
      <c r="L59" s="11" t="s">
        <v>2667</v>
      </c>
      <c r="M59" s="11"/>
      <c r="N59" s="11"/>
      <c r="O59" s="11"/>
      <c r="P59" s="11"/>
      <c r="Q59" s="11">
        <v>1</v>
      </c>
    </row>
    <row r="60" spans="1:18" x14ac:dyDescent="0.25">
      <c r="A60" s="11"/>
      <c r="B60" s="11" t="s">
        <v>27</v>
      </c>
      <c r="C60" s="11" t="s">
        <v>3350</v>
      </c>
      <c r="D60" s="11" t="s">
        <v>3351</v>
      </c>
      <c r="E60" s="11" t="s">
        <v>3352</v>
      </c>
      <c r="F60" s="12">
        <v>4</v>
      </c>
      <c r="G60" s="12">
        <v>915</v>
      </c>
      <c r="H60" s="12">
        <v>25</v>
      </c>
      <c r="I60" s="12">
        <f t="shared" si="1"/>
        <v>890</v>
      </c>
      <c r="J60" s="11" t="s">
        <v>119</v>
      </c>
      <c r="K60" s="11" t="s">
        <v>33</v>
      </c>
      <c r="L60" s="11" t="s">
        <v>2667</v>
      </c>
      <c r="M60" s="11"/>
      <c r="N60" s="11"/>
      <c r="O60" s="11"/>
      <c r="P60" s="11"/>
      <c r="Q60" s="11">
        <v>1</v>
      </c>
    </row>
    <row r="61" spans="1:18" x14ac:dyDescent="0.25">
      <c r="A61" s="11"/>
      <c r="B61" s="11" t="s">
        <v>27</v>
      </c>
      <c r="C61" s="11" t="s">
        <v>3353</v>
      </c>
      <c r="D61" s="11" t="s">
        <v>3354</v>
      </c>
      <c r="E61" s="11" t="s">
        <v>3355</v>
      </c>
      <c r="F61" s="12">
        <v>10</v>
      </c>
      <c r="G61" s="12">
        <v>545</v>
      </c>
      <c r="H61" s="12">
        <v>25</v>
      </c>
      <c r="I61" s="12">
        <f t="shared" si="1"/>
        <v>520</v>
      </c>
      <c r="J61" s="11" t="s">
        <v>119</v>
      </c>
      <c r="K61" s="11" t="s">
        <v>33</v>
      </c>
      <c r="L61" s="11" t="s">
        <v>2667</v>
      </c>
      <c r="M61" s="11"/>
      <c r="N61" s="11"/>
      <c r="O61" s="11"/>
      <c r="P61" s="11"/>
      <c r="Q61" s="11">
        <v>1</v>
      </c>
    </row>
    <row r="62" spans="1:18" x14ac:dyDescent="0.25">
      <c r="A62" s="11"/>
      <c r="B62" s="11" t="s">
        <v>27</v>
      </c>
      <c r="C62" s="11" t="s">
        <v>3356</v>
      </c>
      <c r="D62" s="11" t="s">
        <v>3357</v>
      </c>
      <c r="E62" s="11" t="s">
        <v>3358</v>
      </c>
      <c r="F62" s="11" t="s">
        <v>44</v>
      </c>
      <c r="G62" s="12">
        <v>415</v>
      </c>
      <c r="H62" s="12">
        <v>25</v>
      </c>
      <c r="I62" s="12">
        <f t="shared" si="1"/>
        <v>390</v>
      </c>
      <c r="J62" s="11" t="s">
        <v>119</v>
      </c>
      <c r="K62" s="11" t="s">
        <v>33</v>
      </c>
      <c r="L62" s="11" t="s">
        <v>2667</v>
      </c>
      <c r="M62" s="11"/>
      <c r="N62" s="11"/>
      <c r="O62" s="11"/>
      <c r="P62" s="11"/>
      <c r="Q62" s="11">
        <v>1</v>
      </c>
    </row>
    <row r="63" spans="1:18" x14ac:dyDescent="0.25">
      <c r="A63" s="11"/>
      <c r="B63" s="11" t="s">
        <v>27</v>
      </c>
      <c r="C63" s="11" t="s">
        <v>3359</v>
      </c>
      <c r="D63" s="11" t="s">
        <v>3360</v>
      </c>
      <c r="E63" s="11" t="s">
        <v>3361</v>
      </c>
      <c r="F63" s="11" t="s">
        <v>118</v>
      </c>
      <c r="G63" s="12">
        <v>360</v>
      </c>
      <c r="H63" s="12">
        <v>20</v>
      </c>
      <c r="I63" s="12">
        <f t="shared" si="1"/>
        <v>340</v>
      </c>
      <c r="J63" s="11" t="s">
        <v>119</v>
      </c>
      <c r="K63" s="11" t="s">
        <v>33</v>
      </c>
      <c r="L63" s="11" t="s">
        <v>2667</v>
      </c>
      <c r="M63" s="11"/>
      <c r="N63" s="11"/>
      <c r="O63" s="11"/>
      <c r="P63" s="11"/>
      <c r="Q63" s="11">
        <v>1</v>
      </c>
    </row>
    <row r="64" spans="1:18" x14ac:dyDescent="0.25">
      <c r="A64" s="11"/>
      <c r="B64" s="11" t="s">
        <v>27</v>
      </c>
      <c r="C64" s="11" t="s">
        <v>3362</v>
      </c>
      <c r="D64" s="11" t="s">
        <v>3363</v>
      </c>
      <c r="E64" s="11" t="s">
        <v>3364</v>
      </c>
      <c r="F64" s="11" t="s">
        <v>44</v>
      </c>
      <c r="G64" s="12">
        <v>355</v>
      </c>
      <c r="H64" s="12">
        <v>25</v>
      </c>
      <c r="I64" s="12">
        <f t="shared" si="1"/>
        <v>330</v>
      </c>
      <c r="J64" s="11" t="s">
        <v>119</v>
      </c>
      <c r="K64" s="11" t="s">
        <v>33</v>
      </c>
      <c r="L64" s="11" t="s">
        <v>2667</v>
      </c>
      <c r="M64" s="11"/>
      <c r="N64" s="11"/>
      <c r="O64" s="11"/>
      <c r="P64" s="11"/>
      <c r="Q64" s="11">
        <v>1</v>
      </c>
    </row>
    <row r="65" spans="1:18" x14ac:dyDescent="0.25">
      <c r="A65" s="11"/>
      <c r="B65" s="11" t="s">
        <v>27</v>
      </c>
      <c r="C65" s="11" t="s">
        <v>1997</v>
      </c>
      <c r="D65" s="11" t="s">
        <v>3365</v>
      </c>
      <c r="E65" s="11" t="s">
        <v>3366</v>
      </c>
      <c r="F65" s="11" t="s">
        <v>118</v>
      </c>
      <c r="G65" s="12">
        <v>1280</v>
      </c>
      <c r="H65" s="12">
        <v>20</v>
      </c>
      <c r="I65" s="12">
        <f t="shared" si="1"/>
        <v>1260</v>
      </c>
      <c r="J65" s="11" t="s">
        <v>119</v>
      </c>
      <c r="K65" s="11" t="s">
        <v>33</v>
      </c>
      <c r="L65" s="11" t="s">
        <v>2667</v>
      </c>
      <c r="M65" s="11"/>
      <c r="N65" s="11"/>
      <c r="O65" s="11"/>
      <c r="P65" s="11"/>
      <c r="Q65" s="11">
        <v>1</v>
      </c>
    </row>
    <row r="66" spans="1:18" x14ac:dyDescent="0.25">
      <c r="A66" s="11"/>
      <c r="B66" s="11" t="s">
        <v>27</v>
      </c>
      <c r="C66" s="11" t="s">
        <v>3367</v>
      </c>
      <c r="D66" s="11" t="s">
        <v>3368</v>
      </c>
      <c r="E66" s="11" t="s">
        <v>3369</v>
      </c>
      <c r="F66" s="11" t="s">
        <v>44</v>
      </c>
      <c r="G66" s="12">
        <v>598</v>
      </c>
      <c r="H66" s="12">
        <v>25</v>
      </c>
      <c r="I66" s="12">
        <f t="shared" si="1"/>
        <v>573</v>
      </c>
      <c r="J66" s="11" t="s">
        <v>119</v>
      </c>
      <c r="K66" s="11" t="s">
        <v>33</v>
      </c>
      <c r="L66" s="11" t="s">
        <v>2667</v>
      </c>
      <c r="M66" s="24" t="s">
        <v>340</v>
      </c>
      <c r="N66" s="11"/>
      <c r="O66" s="11"/>
      <c r="P66" s="11"/>
      <c r="Q66" s="11">
        <v>1</v>
      </c>
      <c r="R66" s="5">
        <f>H66</f>
        <v>25</v>
      </c>
    </row>
    <row r="67" spans="1:18" x14ac:dyDescent="0.25">
      <c r="A67" s="11"/>
      <c r="B67" s="11" t="s">
        <v>27</v>
      </c>
      <c r="C67" s="11" t="s">
        <v>3370</v>
      </c>
      <c r="D67" s="11" t="s">
        <v>3371</v>
      </c>
      <c r="E67" s="11" t="s">
        <v>3372</v>
      </c>
      <c r="F67" s="11" t="s">
        <v>118</v>
      </c>
      <c r="G67" s="12">
        <v>310</v>
      </c>
      <c r="H67" s="12">
        <v>20</v>
      </c>
      <c r="I67" s="12">
        <f t="shared" ref="I67:I85" si="2">G67-H67</f>
        <v>290</v>
      </c>
      <c r="J67" s="11" t="s">
        <v>119</v>
      </c>
      <c r="K67" s="11" t="s">
        <v>33</v>
      </c>
      <c r="L67" s="11" t="s">
        <v>2667</v>
      </c>
      <c r="M67" s="11"/>
      <c r="N67" s="11"/>
      <c r="O67" s="11"/>
      <c r="P67" s="11"/>
      <c r="Q67" s="11">
        <v>1</v>
      </c>
    </row>
    <row r="68" spans="1:18" x14ac:dyDescent="0.25">
      <c r="A68" s="11"/>
      <c r="B68" s="11" t="s">
        <v>27</v>
      </c>
      <c r="C68" s="11" t="s">
        <v>3373</v>
      </c>
      <c r="D68" s="11" t="s">
        <v>3374</v>
      </c>
      <c r="E68" s="11" t="s">
        <v>3375</v>
      </c>
      <c r="F68" s="12">
        <v>3</v>
      </c>
      <c r="G68" s="12">
        <v>435</v>
      </c>
      <c r="H68" s="12">
        <v>25</v>
      </c>
      <c r="I68" s="12">
        <f t="shared" si="2"/>
        <v>410</v>
      </c>
      <c r="J68" s="11" t="s">
        <v>119</v>
      </c>
      <c r="K68" s="11" t="s">
        <v>33</v>
      </c>
      <c r="L68" s="11" t="s">
        <v>2667</v>
      </c>
      <c r="M68" s="24" t="s">
        <v>3425</v>
      </c>
      <c r="N68" s="11"/>
      <c r="O68" s="11"/>
      <c r="P68" s="11"/>
      <c r="Q68" s="11">
        <v>1</v>
      </c>
    </row>
    <row r="69" spans="1:18" x14ac:dyDescent="0.25">
      <c r="A69" s="11"/>
      <c r="B69" s="11" t="s">
        <v>27</v>
      </c>
      <c r="C69" s="11" t="s">
        <v>3376</v>
      </c>
      <c r="D69" s="11" t="s">
        <v>3377</v>
      </c>
      <c r="E69" s="11" t="s">
        <v>3378</v>
      </c>
      <c r="F69" s="12">
        <v>3</v>
      </c>
      <c r="G69" s="12">
        <v>1265</v>
      </c>
      <c r="H69" s="12">
        <v>25</v>
      </c>
      <c r="I69" s="12">
        <f t="shared" si="2"/>
        <v>1240</v>
      </c>
      <c r="J69" s="11" t="s">
        <v>119</v>
      </c>
      <c r="K69" s="11" t="s">
        <v>33</v>
      </c>
      <c r="L69" s="11" t="s">
        <v>2667</v>
      </c>
      <c r="M69" s="11"/>
      <c r="N69" s="11"/>
      <c r="O69" s="11"/>
      <c r="P69" s="11"/>
      <c r="Q69" s="11">
        <v>1</v>
      </c>
    </row>
    <row r="70" spans="1:18" x14ac:dyDescent="0.25">
      <c r="A70" s="11"/>
      <c r="B70" s="11" t="s">
        <v>27</v>
      </c>
      <c r="C70" s="11" t="s">
        <v>3379</v>
      </c>
      <c r="D70" s="11" t="s">
        <v>3380</v>
      </c>
      <c r="E70" s="11" t="s">
        <v>3381</v>
      </c>
      <c r="F70" s="11" t="s">
        <v>44</v>
      </c>
      <c r="G70" s="12">
        <v>435</v>
      </c>
      <c r="H70" s="12">
        <v>25</v>
      </c>
      <c r="I70" s="12">
        <f t="shared" si="2"/>
        <v>410</v>
      </c>
      <c r="J70" s="11" t="s">
        <v>119</v>
      </c>
      <c r="K70" s="11" t="s">
        <v>33</v>
      </c>
      <c r="L70" s="11" t="s">
        <v>2667</v>
      </c>
      <c r="M70" s="11"/>
      <c r="N70" s="11"/>
      <c r="O70" s="11"/>
      <c r="P70" s="11"/>
      <c r="Q70" s="11">
        <v>1</v>
      </c>
    </row>
    <row r="71" spans="1:18" x14ac:dyDescent="0.25">
      <c r="A71" s="11"/>
      <c r="B71" s="11" t="s">
        <v>27</v>
      </c>
      <c r="C71" s="11" t="s">
        <v>3382</v>
      </c>
      <c r="D71" s="11" t="s">
        <v>3383</v>
      </c>
      <c r="E71" s="11" t="s">
        <v>3384</v>
      </c>
      <c r="F71" s="11" t="s">
        <v>44</v>
      </c>
      <c r="G71" s="12">
        <v>535</v>
      </c>
      <c r="H71" s="12">
        <v>25</v>
      </c>
      <c r="I71" s="12">
        <f t="shared" si="2"/>
        <v>510</v>
      </c>
      <c r="J71" s="11" t="s">
        <v>119</v>
      </c>
      <c r="K71" s="11" t="s">
        <v>33</v>
      </c>
      <c r="L71" s="11" t="s">
        <v>2667</v>
      </c>
      <c r="M71" s="11"/>
      <c r="N71" s="11"/>
      <c r="O71" s="11"/>
      <c r="P71" s="11"/>
      <c r="Q71" s="11">
        <v>1</v>
      </c>
    </row>
    <row r="72" spans="1:18" x14ac:dyDescent="0.25">
      <c r="A72" s="11"/>
      <c r="B72" s="11" t="s">
        <v>27</v>
      </c>
      <c r="C72" s="11" t="s">
        <v>3385</v>
      </c>
      <c r="D72" s="11" t="s">
        <v>3386</v>
      </c>
      <c r="E72" s="11" t="s">
        <v>3387</v>
      </c>
      <c r="F72" s="11" t="s">
        <v>44</v>
      </c>
      <c r="G72" s="12">
        <v>1265</v>
      </c>
      <c r="H72" s="12">
        <v>25</v>
      </c>
      <c r="I72" s="12">
        <f t="shared" si="2"/>
        <v>1240</v>
      </c>
      <c r="J72" s="11" t="s">
        <v>119</v>
      </c>
      <c r="K72" s="11" t="s">
        <v>33</v>
      </c>
      <c r="L72" s="11" t="s">
        <v>2667</v>
      </c>
      <c r="M72" s="11"/>
      <c r="N72" s="11"/>
      <c r="O72" s="11"/>
      <c r="P72" s="11"/>
      <c r="Q72" s="11">
        <v>1</v>
      </c>
    </row>
    <row r="73" spans="1:18" x14ac:dyDescent="0.25">
      <c r="A73" s="11"/>
      <c r="B73" s="11" t="s">
        <v>27</v>
      </c>
      <c r="C73" s="11" t="s">
        <v>3388</v>
      </c>
      <c r="D73" s="11" t="s">
        <v>3389</v>
      </c>
      <c r="E73" s="11" t="s">
        <v>3390</v>
      </c>
      <c r="F73" s="11" t="s">
        <v>118</v>
      </c>
      <c r="G73" s="12">
        <v>1080</v>
      </c>
      <c r="H73" s="12">
        <v>20</v>
      </c>
      <c r="I73" s="12">
        <f t="shared" si="2"/>
        <v>1060</v>
      </c>
      <c r="J73" s="11" t="s">
        <v>119</v>
      </c>
      <c r="K73" s="11" t="s">
        <v>33</v>
      </c>
      <c r="L73" s="11" t="s">
        <v>2667</v>
      </c>
      <c r="M73" s="11"/>
      <c r="N73" s="11"/>
      <c r="O73" s="11"/>
      <c r="P73" s="11"/>
      <c r="Q73" s="11">
        <v>1</v>
      </c>
    </row>
    <row r="74" spans="1:18" x14ac:dyDescent="0.25">
      <c r="A74" s="11"/>
      <c r="B74" s="11" t="s">
        <v>27</v>
      </c>
      <c r="C74" s="11" t="s">
        <v>3391</v>
      </c>
      <c r="D74" s="11" t="s">
        <v>3392</v>
      </c>
      <c r="E74" s="11" t="s">
        <v>3393</v>
      </c>
      <c r="F74" s="12">
        <v>1</v>
      </c>
      <c r="G74" s="12">
        <v>4240</v>
      </c>
      <c r="H74" s="12">
        <v>40</v>
      </c>
      <c r="I74" s="12">
        <f t="shared" si="2"/>
        <v>4200</v>
      </c>
      <c r="J74" s="11" t="s">
        <v>119</v>
      </c>
      <c r="K74" s="11" t="s">
        <v>33</v>
      </c>
      <c r="L74" s="11" t="s">
        <v>2667</v>
      </c>
      <c r="M74" s="11"/>
      <c r="N74" s="11"/>
      <c r="O74" s="11"/>
      <c r="P74" s="11"/>
      <c r="Q74" s="11">
        <v>1</v>
      </c>
    </row>
    <row r="75" spans="1:18" x14ac:dyDescent="0.25">
      <c r="A75" s="11"/>
      <c r="B75" s="11" t="s">
        <v>27</v>
      </c>
      <c r="C75" s="11" t="s">
        <v>3394</v>
      </c>
      <c r="D75" s="11" t="s">
        <v>3395</v>
      </c>
      <c r="E75" s="11" t="s">
        <v>3396</v>
      </c>
      <c r="F75" s="11" t="s">
        <v>118</v>
      </c>
      <c r="G75" s="12">
        <v>1570</v>
      </c>
      <c r="H75" s="12">
        <v>20</v>
      </c>
      <c r="I75" s="12">
        <f t="shared" si="2"/>
        <v>1550</v>
      </c>
      <c r="J75" s="11" t="s">
        <v>119</v>
      </c>
      <c r="K75" s="11" t="s">
        <v>33</v>
      </c>
      <c r="L75" s="11" t="s">
        <v>2667</v>
      </c>
      <c r="M75" s="11"/>
      <c r="N75" s="11"/>
      <c r="O75" s="11"/>
      <c r="P75" s="11"/>
      <c r="Q75" s="11">
        <v>1</v>
      </c>
    </row>
    <row r="76" spans="1:18" x14ac:dyDescent="0.25">
      <c r="A76" s="11"/>
      <c r="B76" s="11" t="s">
        <v>27</v>
      </c>
      <c r="C76" s="11" t="s">
        <v>3397</v>
      </c>
      <c r="D76" s="11" t="s">
        <v>3398</v>
      </c>
      <c r="E76" s="11" t="s">
        <v>259</v>
      </c>
      <c r="F76" s="11" t="s">
        <v>44</v>
      </c>
      <c r="G76" s="12">
        <v>905</v>
      </c>
      <c r="H76" s="12">
        <v>25</v>
      </c>
      <c r="I76" s="12">
        <f t="shared" si="2"/>
        <v>880</v>
      </c>
      <c r="J76" s="11" t="s">
        <v>119</v>
      </c>
      <c r="K76" s="11" t="s">
        <v>33</v>
      </c>
      <c r="L76" s="11" t="s">
        <v>2667</v>
      </c>
      <c r="M76" s="11"/>
      <c r="N76" s="11"/>
      <c r="O76" s="11"/>
      <c r="P76" s="11"/>
      <c r="Q76" s="11">
        <v>1</v>
      </c>
    </row>
    <row r="77" spans="1:18" x14ac:dyDescent="0.25">
      <c r="A77" s="11"/>
      <c r="B77" s="11" t="s">
        <v>27</v>
      </c>
      <c r="C77" s="11" t="s">
        <v>3399</v>
      </c>
      <c r="D77" s="11" t="s">
        <v>3400</v>
      </c>
      <c r="E77" s="11" t="s">
        <v>3401</v>
      </c>
      <c r="F77" s="12">
        <v>10</v>
      </c>
      <c r="G77" s="12">
        <v>1595</v>
      </c>
      <c r="H77" s="12">
        <v>25</v>
      </c>
      <c r="I77" s="12">
        <f t="shared" si="2"/>
        <v>1570</v>
      </c>
      <c r="J77" s="11" t="s">
        <v>119</v>
      </c>
      <c r="K77" s="11" t="s">
        <v>33</v>
      </c>
      <c r="L77" s="11" t="s">
        <v>2667</v>
      </c>
      <c r="M77" s="11"/>
      <c r="N77" s="11"/>
      <c r="O77" s="11"/>
      <c r="P77" s="11"/>
      <c r="Q77" s="11">
        <v>1</v>
      </c>
    </row>
    <row r="78" spans="1:18" x14ac:dyDescent="0.25">
      <c r="A78" s="11"/>
      <c r="B78" s="11" t="s">
        <v>27</v>
      </c>
      <c r="C78" s="11" t="s">
        <v>3402</v>
      </c>
      <c r="D78" s="11" t="s">
        <v>3403</v>
      </c>
      <c r="E78" s="11" t="s">
        <v>3404</v>
      </c>
      <c r="F78" s="12">
        <v>10</v>
      </c>
      <c r="G78" s="12">
        <v>1395</v>
      </c>
      <c r="H78" s="12">
        <v>25</v>
      </c>
      <c r="I78" s="12">
        <f t="shared" si="2"/>
        <v>1370</v>
      </c>
      <c r="J78" s="11" t="s">
        <v>119</v>
      </c>
      <c r="K78" s="11" t="s">
        <v>33</v>
      </c>
      <c r="L78" s="11" t="s">
        <v>2667</v>
      </c>
      <c r="M78" s="11"/>
      <c r="N78" s="11"/>
      <c r="O78" s="11"/>
      <c r="P78" s="11"/>
      <c r="Q78" s="11">
        <v>1</v>
      </c>
    </row>
    <row r="79" spans="1:18" x14ac:dyDescent="0.25">
      <c r="A79" s="11"/>
      <c r="B79" s="11" t="s">
        <v>27</v>
      </c>
      <c r="C79" s="11" t="s">
        <v>2301</v>
      </c>
      <c r="D79" s="11" t="s">
        <v>3405</v>
      </c>
      <c r="E79" s="11" t="s">
        <v>3406</v>
      </c>
      <c r="F79" s="12">
        <v>1</v>
      </c>
      <c r="G79" s="12">
        <v>725</v>
      </c>
      <c r="H79" s="12">
        <v>25</v>
      </c>
      <c r="I79" s="12">
        <f t="shared" si="2"/>
        <v>700</v>
      </c>
      <c r="J79" s="11" t="s">
        <v>119</v>
      </c>
      <c r="K79" s="11" t="s">
        <v>33</v>
      </c>
      <c r="L79" s="11" t="s">
        <v>2667</v>
      </c>
      <c r="M79" s="11"/>
      <c r="N79" s="11"/>
      <c r="O79" s="11"/>
      <c r="P79" s="11"/>
      <c r="Q79" s="11">
        <v>1</v>
      </c>
    </row>
    <row r="80" spans="1:18" x14ac:dyDescent="0.25">
      <c r="A80" s="11"/>
      <c r="B80" s="11" t="s">
        <v>27</v>
      </c>
      <c r="C80" s="11" t="s">
        <v>3407</v>
      </c>
      <c r="D80" s="11" t="s">
        <v>3408</v>
      </c>
      <c r="E80" s="11" t="s">
        <v>3409</v>
      </c>
      <c r="F80" s="12">
        <v>4</v>
      </c>
      <c r="G80" s="12">
        <v>1205</v>
      </c>
      <c r="H80" s="12">
        <v>25</v>
      </c>
      <c r="I80" s="12">
        <f t="shared" si="2"/>
        <v>1180</v>
      </c>
      <c r="J80" s="11" t="s">
        <v>119</v>
      </c>
      <c r="K80" s="11" t="s">
        <v>33</v>
      </c>
      <c r="L80" s="11" t="s">
        <v>2667</v>
      </c>
      <c r="M80" s="11"/>
      <c r="N80" s="11"/>
      <c r="O80" s="11"/>
      <c r="P80" s="11"/>
      <c r="Q80" s="11">
        <v>1</v>
      </c>
    </row>
    <row r="81" spans="1:18" x14ac:dyDescent="0.25">
      <c r="A81" s="11"/>
      <c r="B81" s="11" t="s">
        <v>27</v>
      </c>
      <c r="C81" s="11" t="s">
        <v>3410</v>
      </c>
      <c r="D81" s="11" t="s">
        <v>3411</v>
      </c>
      <c r="E81" s="11" t="s">
        <v>3412</v>
      </c>
      <c r="F81" s="11" t="s">
        <v>44</v>
      </c>
      <c r="G81" s="12">
        <v>378</v>
      </c>
      <c r="H81" s="12">
        <v>25</v>
      </c>
      <c r="I81" s="12">
        <f t="shared" si="2"/>
        <v>353</v>
      </c>
      <c r="J81" s="11" t="s">
        <v>119</v>
      </c>
      <c r="K81" s="11" t="s">
        <v>33</v>
      </c>
      <c r="L81" s="11" t="s">
        <v>2667</v>
      </c>
      <c r="M81" s="24" t="s">
        <v>340</v>
      </c>
      <c r="N81" s="11"/>
      <c r="O81" s="11"/>
      <c r="P81" s="11"/>
      <c r="Q81" s="11">
        <v>1</v>
      </c>
      <c r="R81" s="5">
        <f>H81</f>
        <v>25</v>
      </c>
    </row>
    <row r="82" spans="1:18" x14ac:dyDescent="0.25">
      <c r="A82" s="11"/>
      <c r="B82" s="11" t="s">
        <v>27</v>
      </c>
      <c r="C82" s="11" t="s">
        <v>3413</v>
      </c>
      <c r="D82" s="11" t="s">
        <v>3414</v>
      </c>
      <c r="E82" s="11" t="s">
        <v>3415</v>
      </c>
      <c r="F82" s="11" t="s">
        <v>44</v>
      </c>
      <c r="G82" s="12">
        <v>0</v>
      </c>
      <c r="H82" s="12">
        <v>25</v>
      </c>
      <c r="I82" s="12">
        <f t="shared" si="2"/>
        <v>-25</v>
      </c>
      <c r="J82" s="11" t="s">
        <v>119</v>
      </c>
      <c r="K82" s="11" t="s">
        <v>33</v>
      </c>
      <c r="L82" s="11" t="s">
        <v>2667</v>
      </c>
      <c r="M82" s="11"/>
      <c r="N82" s="11"/>
      <c r="O82" s="11"/>
      <c r="P82" s="11"/>
      <c r="Q82" s="11">
        <v>1</v>
      </c>
      <c r="R82" s="5">
        <f>H82</f>
        <v>25</v>
      </c>
    </row>
    <row r="83" spans="1:18" x14ac:dyDescent="0.25">
      <c r="A83" s="11"/>
      <c r="B83" s="11" t="s">
        <v>27</v>
      </c>
      <c r="C83" s="11" t="s">
        <v>3416</v>
      </c>
      <c r="D83" s="11" t="s">
        <v>3417</v>
      </c>
      <c r="E83" s="11" t="s">
        <v>3418</v>
      </c>
      <c r="F83" s="11" t="s">
        <v>118</v>
      </c>
      <c r="G83" s="12">
        <v>910</v>
      </c>
      <c r="H83" s="12">
        <v>20</v>
      </c>
      <c r="I83" s="12">
        <f t="shared" si="2"/>
        <v>890</v>
      </c>
      <c r="J83" s="11" t="s">
        <v>119</v>
      </c>
      <c r="K83" s="11" t="s">
        <v>33</v>
      </c>
      <c r="L83" s="11" t="s">
        <v>2667</v>
      </c>
      <c r="M83" s="11"/>
      <c r="N83" s="11"/>
      <c r="O83" s="11"/>
      <c r="P83" s="11"/>
      <c r="Q83" s="11">
        <v>1</v>
      </c>
    </row>
    <row r="84" spans="1:18" x14ac:dyDescent="0.25">
      <c r="A84" s="11"/>
      <c r="B84" s="11" t="s">
        <v>27</v>
      </c>
      <c r="C84" s="11" t="s">
        <v>3419</v>
      </c>
      <c r="D84" s="11" t="s">
        <v>3420</v>
      </c>
      <c r="E84" s="11" t="s">
        <v>3421</v>
      </c>
      <c r="F84" s="11" t="s">
        <v>118</v>
      </c>
      <c r="G84" s="12">
        <v>540</v>
      </c>
      <c r="H84" s="12">
        <v>20</v>
      </c>
      <c r="I84" s="12">
        <f t="shared" si="2"/>
        <v>520</v>
      </c>
      <c r="J84" s="11" t="s">
        <v>119</v>
      </c>
      <c r="K84" s="11" t="s">
        <v>33</v>
      </c>
      <c r="L84" s="11" t="s">
        <v>2667</v>
      </c>
      <c r="M84" s="11"/>
      <c r="N84" s="11"/>
      <c r="O84" s="11"/>
      <c r="P84" s="11"/>
      <c r="Q84" s="11">
        <v>1</v>
      </c>
    </row>
    <row r="85" spans="1:18" x14ac:dyDescent="0.25">
      <c r="A85" s="11"/>
      <c r="B85" s="11" t="s">
        <v>27</v>
      </c>
      <c r="C85" s="11" t="s">
        <v>3422</v>
      </c>
      <c r="D85" s="11" t="s">
        <v>3423</v>
      </c>
      <c r="E85" s="11" t="s">
        <v>3424</v>
      </c>
      <c r="F85" s="12">
        <v>1</v>
      </c>
      <c r="G85" s="12">
        <v>1185</v>
      </c>
      <c r="H85" s="12">
        <v>25</v>
      </c>
      <c r="I85" s="12">
        <f t="shared" si="2"/>
        <v>1160</v>
      </c>
      <c r="J85" s="11" t="s">
        <v>119</v>
      </c>
      <c r="K85" s="11" t="s">
        <v>33</v>
      </c>
      <c r="L85" s="11" t="s">
        <v>2667</v>
      </c>
      <c r="M85" s="11"/>
      <c r="N85" s="11"/>
      <c r="O85" s="11"/>
      <c r="P85" s="11"/>
      <c r="Q85" s="11">
        <v>1</v>
      </c>
    </row>
    <row r="87" spans="1:18" x14ac:dyDescent="0.25">
      <c r="D87" s="1">
        <f>COUNTA(D3:D85)</f>
        <v>83</v>
      </c>
      <c r="G87" s="1">
        <f t="shared" ref="G87:Q87" si="3">SUBTOTAL(9,G3:G85)</f>
        <v>75651</v>
      </c>
      <c r="H87" s="1">
        <f t="shared" si="3"/>
        <v>2215</v>
      </c>
      <c r="I87" s="1">
        <f t="shared" si="3"/>
        <v>73436</v>
      </c>
      <c r="J87" s="1">
        <f t="shared" si="3"/>
        <v>0</v>
      </c>
      <c r="K87" s="1">
        <f t="shared" si="3"/>
        <v>0</v>
      </c>
      <c r="L87" s="1">
        <f t="shared" si="3"/>
        <v>0</v>
      </c>
      <c r="M87" s="1">
        <f t="shared" si="3"/>
        <v>0</v>
      </c>
      <c r="N87" s="1">
        <f t="shared" si="3"/>
        <v>0</v>
      </c>
      <c r="O87" s="1">
        <f t="shared" si="3"/>
        <v>0</v>
      </c>
      <c r="P87" s="1">
        <f t="shared" si="3"/>
        <v>0</v>
      </c>
      <c r="Q87" s="1">
        <f t="shared" si="3"/>
        <v>83</v>
      </c>
    </row>
    <row r="88" spans="1:18" x14ac:dyDescent="0.25">
      <c r="H88">
        <f>-19*17</f>
        <v>-323</v>
      </c>
    </row>
    <row r="89" spans="1:18" x14ac:dyDescent="0.25">
      <c r="A89" s="1" t="s">
        <v>27</v>
      </c>
      <c r="C89" s="60" t="s">
        <v>158</v>
      </c>
      <c r="D89" s="60"/>
      <c r="E89" s="4" t="s">
        <v>159</v>
      </c>
      <c r="H89">
        <f>-9*25</f>
        <v>-225</v>
      </c>
      <c r="K89" s="6" t="s">
        <v>2669</v>
      </c>
      <c r="L89" s="6" t="s">
        <v>160</v>
      </c>
      <c r="M89" s="6" t="s">
        <v>159</v>
      </c>
      <c r="O89" s="4" t="s">
        <v>161</v>
      </c>
    </row>
    <row r="90" spans="1:18" x14ac:dyDescent="0.25">
      <c r="A90" t="s">
        <v>2667</v>
      </c>
      <c r="B90" s="3" t="s">
        <v>162</v>
      </c>
      <c r="C90" s="61">
        <f>SUMIFS(I$3:I$85,B$3:B$85,A$89,L$3:L$85,A$90)</f>
        <v>73436</v>
      </c>
      <c r="D90" s="61"/>
      <c r="E90" s="3">
        <f>SUMIFS(Q$3:Q$85,B$3:B$85,A$89,L$3:L$85,A$90)</f>
        <v>83</v>
      </c>
      <c r="F90" t="s">
        <v>163</v>
      </c>
      <c r="H90">
        <f>-4*30</f>
        <v>-120</v>
      </c>
      <c r="K90" t="s">
        <v>164</v>
      </c>
      <c r="L90">
        <f>SUMIFS(G$3:G$85,J$3:J$85,K$89)</f>
        <v>27144</v>
      </c>
      <c r="M90">
        <f>SUMIFS(Q$3:Q$85,J$3:J$85,K$89)-INT(COUNTIFS(J$3:J$85,K$89,M$3:M$85,"*gộp*")/2)</f>
        <v>32</v>
      </c>
      <c r="O90" t="s">
        <v>3185</v>
      </c>
      <c r="P90">
        <f>L95</f>
        <v>26476</v>
      </c>
    </row>
    <row r="91" spans="1:18" x14ac:dyDescent="0.25">
      <c r="B91" s="2" t="s">
        <v>166</v>
      </c>
      <c r="C91" s="62">
        <v>0</v>
      </c>
      <c r="D91" s="62"/>
      <c r="K91" t="s">
        <v>167</v>
      </c>
      <c r="L91">
        <f>SUM(H88:H90)</f>
        <v>-668</v>
      </c>
      <c r="M91">
        <f>SUMIFS(Q$3:Q$85,J$3:J$85,K$89)-INT(COUNTIFS(J$3:J$85,K$89,M$3:M$85,"*gộp*")/2)</f>
        <v>32</v>
      </c>
      <c r="O91" t="s">
        <v>33</v>
      </c>
      <c r="P91">
        <f>L103</f>
        <v>18215</v>
      </c>
    </row>
    <row r="92" spans="1:18" x14ac:dyDescent="0.25">
      <c r="B92" s="2" t="s">
        <v>168</v>
      </c>
      <c r="C92" s="62">
        <f>-SUMIFS(I$3:I$85,B$3:B$85,A$89,P$3:P$85,"xx",N$3:N$85,"x")</f>
        <v>0</v>
      </c>
      <c r="D92" s="62"/>
      <c r="E92" s="2">
        <f>SUMIFS(Q$3:Q$85,B$3:B$85,A$89,P$3:P$85,"xx",N$3:N$85,"x")</f>
        <v>0</v>
      </c>
      <c r="K92" t="s">
        <v>169</v>
      </c>
      <c r="L92">
        <f>-M92*2</f>
        <v>0</v>
      </c>
      <c r="M92">
        <f>COUNTIFS(K$3:K$85,K$89,L$3:L$85,A$90)-(COUNTIFS(K$3:K$85,K$89,M$3:M$85,"*gộp*")/2)-COUNTIFS(K$3:K$85,K$89,M$3:M$85,"*đơn trả*")-COUNTIFS(K$3:K$85,K$89,M$3:M$85,"*hàng tỉnh*")</f>
        <v>0</v>
      </c>
      <c r="O92" t="s">
        <v>119</v>
      </c>
      <c r="P92">
        <f>L111</f>
        <v>29131</v>
      </c>
    </row>
    <row r="93" spans="1:18" x14ac:dyDescent="0.25">
      <c r="B93" s="4" t="s">
        <v>170</v>
      </c>
      <c r="C93" s="60">
        <f>SUBTOTAL(9,C90:C92)</f>
        <v>73436</v>
      </c>
      <c r="D93" s="60"/>
      <c r="E93">
        <f>E90</f>
        <v>83</v>
      </c>
      <c r="K93" s="7" t="s">
        <v>155</v>
      </c>
      <c r="O93" t="s">
        <v>171</v>
      </c>
      <c r="P93">
        <f>-C97</f>
        <v>-73436</v>
      </c>
    </row>
    <row r="94" spans="1:18" x14ac:dyDescent="0.25">
      <c r="B94" s="2" t="s">
        <v>172</v>
      </c>
      <c r="C94" s="58"/>
      <c r="D94" s="58"/>
      <c r="K94" s="2" t="s">
        <v>173</v>
      </c>
      <c r="O94" s="4" t="s">
        <v>174</v>
      </c>
      <c r="P94" s="4">
        <f>SUBTOTAL(9,P90:P93)</f>
        <v>386</v>
      </c>
    </row>
    <row r="95" spans="1:18" x14ac:dyDescent="0.25">
      <c r="B95" s="8" t="s">
        <v>175</v>
      </c>
      <c r="C95" s="58"/>
      <c r="D95" s="58"/>
      <c r="L95" s="9">
        <f>SUBTOTAL(9,L90:L94)</f>
        <v>26476</v>
      </c>
      <c r="M95" s="9">
        <f>M90</f>
        <v>32</v>
      </c>
    </row>
    <row r="97" spans="2:13" x14ac:dyDescent="0.25">
      <c r="B97" s="1" t="s">
        <v>176</v>
      </c>
      <c r="C97" s="59">
        <f>C93+C94+C95</f>
        <v>73436</v>
      </c>
      <c r="D97" s="59"/>
      <c r="E97" s="1" t="s">
        <v>177</v>
      </c>
      <c r="K97" s="6" t="s">
        <v>33</v>
      </c>
      <c r="L97" s="6" t="s">
        <v>160</v>
      </c>
      <c r="M97" s="6" t="s">
        <v>159</v>
      </c>
    </row>
    <row r="98" spans="2:13" x14ac:dyDescent="0.25">
      <c r="K98" t="s">
        <v>164</v>
      </c>
      <c r="L98">
        <f>SUMIFS(G$3:G$85,J$3:J$85,K$97)</f>
        <v>18761</v>
      </c>
      <c r="M98">
        <f>SUMIFS(Q$3:Q$85,J$3:J$85,K$97)-INT(COUNTIFS(J$3:J$85,K$97,M$3:M$85,"*gộp*")/2)</f>
        <v>19</v>
      </c>
    </row>
    <row r="99" spans="2:13" x14ac:dyDescent="0.25">
      <c r="K99" t="s">
        <v>167</v>
      </c>
      <c r="L99">
        <f>-SUMIFS(H$3:H$85,J$3:J$85,K$97)+M99*5</f>
        <v>-380</v>
      </c>
      <c r="M99">
        <f>SUMIFS(Q$3:Q$85,J$3:J$85,K$97)-INT(COUNTIFS(J$3:J$85,K$97,M$3:M$85,"*gộp*")/2)</f>
        <v>19</v>
      </c>
    </row>
    <row r="100" spans="2:13" x14ac:dyDescent="0.25">
      <c r="K100" t="s">
        <v>169</v>
      </c>
      <c r="L100">
        <f>-M100*2</f>
        <v>-166</v>
      </c>
      <c r="M100">
        <f>COUNTIFS(K$3:K$85,K$97,L$3:L$85,A$90)-(COUNTIFS(K$3:K$85,K$97,M$3:M$85,"*gộp*")/2)-COUNTIFS(K$3:K$85,K$97,M$3:M$85,"*đơn trả*")-COUNTIFS(K$3:K$85,K$97,M$3:M$85,"*hàng tỉnh*")</f>
        <v>83</v>
      </c>
    </row>
    <row r="101" spans="2:13" x14ac:dyDescent="0.25">
      <c r="K101" s="7" t="s">
        <v>155</v>
      </c>
    </row>
    <row r="102" spans="2:13" x14ac:dyDescent="0.25">
      <c r="K102" s="2" t="s">
        <v>173</v>
      </c>
    </row>
    <row r="103" spans="2:13" x14ac:dyDescent="0.25">
      <c r="L103" s="9">
        <f>SUBTOTAL(9,L98:L102)</f>
        <v>18215</v>
      </c>
      <c r="M103" s="9">
        <f>M98</f>
        <v>19</v>
      </c>
    </row>
    <row r="105" spans="2:13" x14ac:dyDescent="0.25">
      <c r="K105" s="6" t="s">
        <v>119</v>
      </c>
      <c r="L105" s="6" t="s">
        <v>160</v>
      </c>
      <c r="M105" s="6" t="s">
        <v>159</v>
      </c>
    </row>
    <row r="106" spans="2:13" x14ac:dyDescent="0.25">
      <c r="K106" t="s">
        <v>164</v>
      </c>
      <c r="L106">
        <f>SUMIFS(G$3:G$85,J$3:J$85,K$105)</f>
        <v>29746</v>
      </c>
      <c r="M106">
        <f>SUMIFS(Q$3:Q$85,J$3:J$85,K$105)-INT(COUNTIFS(J$3:J$85,K$105,M$3:M$85,"*gộp*")/2)</f>
        <v>32</v>
      </c>
    </row>
    <row r="107" spans="2:13" x14ac:dyDescent="0.25">
      <c r="K107" t="s">
        <v>167</v>
      </c>
      <c r="L107">
        <f>-SUMIFS(H$3:H$85,J$3:J$85,K$105)+M107*5</f>
        <v>-615</v>
      </c>
      <c r="M107">
        <f>SUMIFS(Q$3:Q$85,J$3:J$85,K$105)-INT(COUNTIFS(J$3:J$85,K$105,M$3:M$85,"*gộp*")/2)</f>
        <v>32</v>
      </c>
    </row>
    <row r="108" spans="2:13" x14ac:dyDescent="0.25">
      <c r="K108" t="s">
        <v>169</v>
      </c>
      <c r="L108">
        <f>-M108*2</f>
        <v>0</v>
      </c>
      <c r="M108">
        <f>COUNTIFS(K$3:K$85,K$105,L$3:L$85,A$90)-(COUNTIFS(K$3:K$85,K$105,M$3:M$85,"*gộp*")/2)-COUNTIFS(K$3:K$85,K$105,M$3:M$85,"*đơn trả*")-COUNTIFS(K$3:K$85,K$105,M$3:M$85,"*hàng tỉnh*")</f>
        <v>0</v>
      </c>
    </row>
    <row r="109" spans="2:13" x14ac:dyDescent="0.25">
      <c r="K109" s="7" t="s">
        <v>155</v>
      </c>
    </row>
    <row r="110" spans="2:13" x14ac:dyDescent="0.25">
      <c r="K110" s="2" t="s">
        <v>173</v>
      </c>
    </row>
    <row r="111" spans="2:13" x14ac:dyDescent="0.25">
      <c r="L111" s="9">
        <f>SUBTOTAL(9,L106:L110)</f>
        <v>29131</v>
      </c>
      <c r="M111" s="9">
        <f>M106</f>
        <v>32</v>
      </c>
    </row>
  </sheetData>
  <autoFilter ref="A2:P85" xr:uid="{00000000-0009-0000-0000-000000000000}">
    <sortState xmlns:xlrd2="http://schemas.microsoft.com/office/spreadsheetml/2017/richdata2" ref="A3:P85">
      <sortCondition ref="J2:J85"/>
    </sortState>
  </autoFilter>
  <mergeCells count="8">
    <mergeCell ref="C95:D95"/>
    <mergeCell ref="C97:D97"/>
    <mergeCell ref="C89:D89"/>
    <mergeCell ref="C90:D90"/>
    <mergeCell ref="C91:D91"/>
    <mergeCell ref="C92:D92"/>
    <mergeCell ref="C93:D93"/>
    <mergeCell ref="C94:D94"/>
  </mergeCells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0474-3AD0-4C0C-B68E-D68D438DA8D1}">
  <dimension ref="A2:R197"/>
  <sheetViews>
    <sheetView topLeftCell="A151" zoomScale="90" zoomScaleNormal="90" workbookViewId="0">
      <selection activeCell="D27" sqref="D27"/>
    </sheetView>
  </sheetViews>
  <sheetFormatPr defaultRowHeight="15" x14ac:dyDescent="0.25"/>
  <cols>
    <col min="1" max="1" width="12.7109375" customWidth="1"/>
    <col min="2" max="2" width="8.28515625" customWidth="1"/>
    <col min="3" max="3" width="28.7109375" customWidth="1"/>
    <col min="4" max="4" width="10.85546875" customWidth="1"/>
    <col min="5" max="5" width="89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26.42578125" bestFit="1" customWidth="1"/>
    <col min="14" max="14" width="9.7109375" customWidth="1"/>
    <col min="15" max="15" width="10.42578125" customWidth="1"/>
    <col min="16" max="16" width="7.7109375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3426</v>
      </c>
      <c r="D3" s="11" t="s">
        <v>3427</v>
      </c>
      <c r="E3" s="11" t="s">
        <v>3428</v>
      </c>
      <c r="F3" s="12">
        <v>6</v>
      </c>
      <c r="G3" s="12">
        <v>415</v>
      </c>
      <c r="H3" s="12">
        <v>25</v>
      </c>
      <c r="I3" s="12">
        <f t="shared" ref="I3:I34" si="0">G3-H3</f>
        <v>390</v>
      </c>
      <c r="J3" s="11" t="s">
        <v>3429</v>
      </c>
      <c r="K3" s="11" t="s">
        <v>33</v>
      </c>
      <c r="L3" s="11" t="s">
        <v>3430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3434</v>
      </c>
      <c r="D4" s="11" t="s">
        <v>3435</v>
      </c>
      <c r="E4" s="11" t="s">
        <v>3436</v>
      </c>
      <c r="F4" s="12">
        <v>12</v>
      </c>
      <c r="G4" s="12">
        <v>1640</v>
      </c>
      <c r="H4" s="12">
        <v>30</v>
      </c>
      <c r="I4" s="12">
        <f t="shared" si="0"/>
        <v>1610</v>
      </c>
      <c r="J4" s="11" t="s">
        <v>3429</v>
      </c>
      <c r="K4" s="11" t="s">
        <v>33</v>
      </c>
      <c r="L4" s="11" t="s">
        <v>3430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3437</v>
      </c>
      <c r="D5" s="11" t="s">
        <v>3438</v>
      </c>
      <c r="E5" s="11" t="s">
        <v>3439</v>
      </c>
      <c r="F5" s="11" t="s">
        <v>104</v>
      </c>
      <c r="G5" s="12">
        <v>840</v>
      </c>
      <c r="H5" s="12">
        <v>30</v>
      </c>
      <c r="I5" s="12">
        <f t="shared" si="0"/>
        <v>810</v>
      </c>
      <c r="J5" s="11" t="s">
        <v>3429</v>
      </c>
      <c r="K5" s="11" t="s">
        <v>33</v>
      </c>
      <c r="L5" s="11" t="s">
        <v>3430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3440</v>
      </c>
      <c r="D6" s="11" t="s">
        <v>3441</v>
      </c>
      <c r="E6" s="11" t="s">
        <v>3442</v>
      </c>
      <c r="F6" s="12">
        <v>6</v>
      </c>
      <c r="G6" s="12">
        <v>1765</v>
      </c>
      <c r="H6" s="12">
        <v>25</v>
      </c>
      <c r="I6" s="12">
        <f t="shared" si="0"/>
        <v>1740</v>
      </c>
      <c r="J6" s="11" t="s">
        <v>3429</v>
      </c>
      <c r="K6" s="11" t="s">
        <v>33</v>
      </c>
      <c r="L6" s="11" t="s">
        <v>3430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3446</v>
      </c>
      <c r="D7" s="11" t="s">
        <v>3447</v>
      </c>
      <c r="E7" s="11" t="s">
        <v>3448</v>
      </c>
      <c r="F7" s="11" t="s">
        <v>48</v>
      </c>
      <c r="G7" s="12">
        <v>460</v>
      </c>
      <c r="H7" s="12">
        <v>30</v>
      </c>
      <c r="I7" s="12">
        <f t="shared" si="0"/>
        <v>430</v>
      </c>
      <c r="J7" s="11" t="s">
        <v>3429</v>
      </c>
      <c r="K7" s="11" t="s">
        <v>33</v>
      </c>
      <c r="L7" s="11" t="s">
        <v>3430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3455</v>
      </c>
      <c r="D8" s="11" t="s">
        <v>3456</v>
      </c>
      <c r="E8" s="11" t="s">
        <v>3457</v>
      </c>
      <c r="F8" s="11" t="s">
        <v>104</v>
      </c>
      <c r="G8" s="12">
        <v>610</v>
      </c>
      <c r="H8" s="12">
        <v>30</v>
      </c>
      <c r="I8" s="12">
        <f t="shared" si="0"/>
        <v>580</v>
      </c>
      <c r="J8" s="11" t="s">
        <v>3429</v>
      </c>
      <c r="K8" s="11" t="s">
        <v>33</v>
      </c>
      <c r="L8" s="11" t="s">
        <v>3430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3458</v>
      </c>
      <c r="D9" s="11" t="s">
        <v>3459</v>
      </c>
      <c r="E9" s="11" t="s">
        <v>3460</v>
      </c>
      <c r="F9" s="11" t="s">
        <v>48</v>
      </c>
      <c r="G9" s="12">
        <v>360</v>
      </c>
      <c r="H9" s="12">
        <v>30</v>
      </c>
      <c r="I9" s="12">
        <f t="shared" si="0"/>
        <v>330</v>
      </c>
      <c r="J9" s="11" t="s">
        <v>3429</v>
      </c>
      <c r="K9" s="11" t="s">
        <v>33</v>
      </c>
      <c r="L9" s="11" t="s">
        <v>3430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3464</v>
      </c>
      <c r="D10" s="11" t="s">
        <v>3465</v>
      </c>
      <c r="E10" s="11" t="s">
        <v>3466</v>
      </c>
      <c r="F10" s="11" t="s">
        <v>48</v>
      </c>
      <c r="G10" s="12">
        <v>1630</v>
      </c>
      <c r="H10" s="12">
        <v>30</v>
      </c>
      <c r="I10" s="12">
        <f t="shared" si="0"/>
        <v>1600</v>
      </c>
      <c r="J10" s="11" t="s">
        <v>3429</v>
      </c>
      <c r="K10" s="11" t="s">
        <v>33</v>
      </c>
      <c r="L10" s="11" t="s">
        <v>3430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3476</v>
      </c>
      <c r="D11" s="11" t="s">
        <v>3477</v>
      </c>
      <c r="E11" s="11" t="s">
        <v>3478</v>
      </c>
      <c r="F11" s="12">
        <v>7</v>
      </c>
      <c r="G11" s="12">
        <v>448</v>
      </c>
      <c r="H11" s="12">
        <v>30</v>
      </c>
      <c r="I11" s="12">
        <f t="shared" si="0"/>
        <v>418</v>
      </c>
      <c r="J11" s="11" t="s">
        <v>3429</v>
      </c>
      <c r="K11" s="11" t="s">
        <v>33</v>
      </c>
      <c r="L11" s="11" t="s">
        <v>3430</v>
      </c>
      <c r="M11" s="24" t="s">
        <v>340</v>
      </c>
      <c r="N11" s="11"/>
      <c r="O11" s="11"/>
      <c r="P11" s="11"/>
      <c r="Q11" s="11">
        <v>1</v>
      </c>
      <c r="R11" s="5">
        <f>H11</f>
        <v>30</v>
      </c>
    </row>
    <row r="12" spans="1:18" x14ac:dyDescent="0.25">
      <c r="A12" s="11"/>
      <c r="B12" s="11" t="s">
        <v>27</v>
      </c>
      <c r="C12" s="11" t="s">
        <v>3488</v>
      </c>
      <c r="D12" s="11" t="s">
        <v>3489</v>
      </c>
      <c r="E12" s="11" t="s">
        <v>3490</v>
      </c>
      <c r="F12" s="12">
        <v>6</v>
      </c>
      <c r="G12" s="12">
        <v>355</v>
      </c>
      <c r="H12" s="12">
        <v>25</v>
      </c>
      <c r="I12" s="12">
        <f t="shared" si="0"/>
        <v>330</v>
      </c>
      <c r="J12" s="11" t="s">
        <v>3429</v>
      </c>
      <c r="K12" s="11" t="s">
        <v>33</v>
      </c>
      <c r="L12" s="11" t="s">
        <v>3430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3498</v>
      </c>
      <c r="D13" s="11" t="s">
        <v>3499</v>
      </c>
      <c r="E13" s="11" t="s">
        <v>3500</v>
      </c>
      <c r="F13" s="12">
        <v>7</v>
      </c>
      <c r="G13" s="12">
        <v>910</v>
      </c>
      <c r="H13" s="12">
        <v>30</v>
      </c>
      <c r="I13" s="12">
        <f t="shared" si="0"/>
        <v>880</v>
      </c>
      <c r="J13" s="11" t="s">
        <v>3429</v>
      </c>
      <c r="K13" s="11" t="s">
        <v>33</v>
      </c>
      <c r="L13" s="11" t="s">
        <v>3430</v>
      </c>
      <c r="M13" s="24" t="s">
        <v>6066</v>
      </c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3501</v>
      </c>
      <c r="D14" s="11" t="s">
        <v>3502</v>
      </c>
      <c r="E14" s="11" t="s">
        <v>3503</v>
      </c>
      <c r="F14" s="12">
        <v>9</v>
      </c>
      <c r="G14" s="12">
        <v>0</v>
      </c>
      <c r="H14" s="12">
        <v>30</v>
      </c>
      <c r="I14" s="12">
        <f t="shared" si="0"/>
        <v>-30</v>
      </c>
      <c r="J14" s="11" t="s">
        <v>3429</v>
      </c>
      <c r="K14" s="11" t="s">
        <v>33</v>
      </c>
      <c r="L14" s="11" t="s">
        <v>3430</v>
      </c>
      <c r="M14" s="24" t="s">
        <v>6076</v>
      </c>
      <c r="N14" s="11"/>
      <c r="O14" s="11"/>
      <c r="P14" s="11"/>
      <c r="Q14" s="11">
        <v>1</v>
      </c>
      <c r="R14" s="5">
        <f>H14</f>
        <v>30</v>
      </c>
    </row>
    <row r="15" spans="1:18" x14ac:dyDescent="0.25">
      <c r="A15" s="11"/>
      <c r="B15" s="11" t="s">
        <v>27</v>
      </c>
      <c r="C15" s="11" t="s">
        <v>2245</v>
      </c>
      <c r="D15" s="11" t="s">
        <v>3507</v>
      </c>
      <c r="E15" s="11" t="s">
        <v>2247</v>
      </c>
      <c r="F15" s="12">
        <v>7</v>
      </c>
      <c r="G15" s="12">
        <v>320</v>
      </c>
      <c r="H15" s="12">
        <v>30</v>
      </c>
      <c r="I15" s="12">
        <f t="shared" si="0"/>
        <v>290</v>
      </c>
      <c r="J15" s="11" t="s">
        <v>3429</v>
      </c>
      <c r="K15" s="11" t="s">
        <v>33</v>
      </c>
      <c r="L15" s="11" t="s">
        <v>3430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3508</v>
      </c>
      <c r="D16" s="11" t="s">
        <v>3509</v>
      </c>
      <c r="E16" s="11" t="s">
        <v>3510</v>
      </c>
      <c r="F16" s="12">
        <v>8</v>
      </c>
      <c r="G16" s="12">
        <v>1020</v>
      </c>
      <c r="H16" s="12">
        <v>30</v>
      </c>
      <c r="I16" s="12">
        <f t="shared" si="0"/>
        <v>990</v>
      </c>
      <c r="J16" s="11" t="s">
        <v>3429</v>
      </c>
      <c r="K16" s="11" t="s">
        <v>33</v>
      </c>
      <c r="L16" s="11" t="s">
        <v>3430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3514</v>
      </c>
      <c r="D17" s="11" t="s">
        <v>3515</v>
      </c>
      <c r="E17" s="11" t="s">
        <v>3516</v>
      </c>
      <c r="F17" s="11" t="s">
        <v>48</v>
      </c>
      <c r="G17" s="12">
        <v>920</v>
      </c>
      <c r="H17" s="12">
        <v>30</v>
      </c>
      <c r="I17" s="12">
        <f t="shared" si="0"/>
        <v>890</v>
      </c>
      <c r="J17" s="11" t="s">
        <v>3429</v>
      </c>
      <c r="K17" s="11" t="s">
        <v>33</v>
      </c>
      <c r="L17" s="11" t="s">
        <v>3430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3532</v>
      </c>
      <c r="D18" s="11" t="s">
        <v>3533</v>
      </c>
      <c r="E18" s="11" t="s">
        <v>3534</v>
      </c>
      <c r="F18" s="12">
        <v>8</v>
      </c>
      <c r="G18" s="12">
        <v>418</v>
      </c>
      <c r="H18" s="12">
        <v>30</v>
      </c>
      <c r="I18" s="12">
        <f t="shared" si="0"/>
        <v>388</v>
      </c>
      <c r="J18" s="11" t="s">
        <v>3429</v>
      </c>
      <c r="K18" s="11" t="s">
        <v>33</v>
      </c>
      <c r="L18" s="11" t="s">
        <v>3430</v>
      </c>
      <c r="M18" s="24" t="s">
        <v>340</v>
      </c>
      <c r="N18" s="11"/>
      <c r="O18" s="11"/>
      <c r="P18" s="11"/>
      <c r="Q18" s="11">
        <v>1</v>
      </c>
      <c r="R18" s="5">
        <f>H18</f>
        <v>30</v>
      </c>
    </row>
    <row r="19" spans="1:18" x14ac:dyDescent="0.25">
      <c r="A19" s="11"/>
      <c r="B19" s="11" t="s">
        <v>27</v>
      </c>
      <c r="C19" s="11" t="s">
        <v>3535</v>
      </c>
      <c r="D19" s="11" t="s">
        <v>3536</v>
      </c>
      <c r="E19" s="11" t="s">
        <v>3537</v>
      </c>
      <c r="F19" s="11" t="s">
        <v>48</v>
      </c>
      <c r="G19" s="12">
        <v>450</v>
      </c>
      <c r="H19" s="12">
        <v>30</v>
      </c>
      <c r="I19" s="12">
        <f t="shared" si="0"/>
        <v>420</v>
      </c>
      <c r="J19" s="11" t="s">
        <v>3429</v>
      </c>
      <c r="K19" s="11" t="s">
        <v>33</v>
      </c>
      <c r="L19" s="11" t="s">
        <v>3430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3541</v>
      </c>
      <c r="D20" s="11" t="s">
        <v>3542</v>
      </c>
      <c r="E20" s="11" t="s">
        <v>2312</v>
      </c>
      <c r="F20" s="12">
        <v>7</v>
      </c>
      <c r="G20" s="12">
        <v>2045</v>
      </c>
      <c r="H20" s="12">
        <v>35</v>
      </c>
      <c r="I20" s="12">
        <f t="shared" si="0"/>
        <v>2010</v>
      </c>
      <c r="J20" s="11" t="s">
        <v>3429</v>
      </c>
      <c r="K20" s="11" t="s">
        <v>33</v>
      </c>
      <c r="L20" s="11" t="s">
        <v>3430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3549</v>
      </c>
      <c r="D21" s="11" t="s">
        <v>3550</v>
      </c>
      <c r="E21" s="11" t="s">
        <v>3551</v>
      </c>
      <c r="F21" s="12">
        <v>7</v>
      </c>
      <c r="G21" s="12">
        <v>1030</v>
      </c>
      <c r="H21" s="12">
        <v>30</v>
      </c>
      <c r="I21" s="12">
        <f t="shared" si="0"/>
        <v>1000</v>
      </c>
      <c r="J21" s="11" t="s">
        <v>3429</v>
      </c>
      <c r="K21" s="11" t="s">
        <v>33</v>
      </c>
      <c r="L21" s="11" t="s">
        <v>3430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3558</v>
      </c>
      <c r="D22" s="11" t="s">
        <v>3559</v>
      </c>
      <c r="E22" s="11" t="s">
        <v>3560</v>
      </c>
      <c r="F22" s="11" t="s">
        <v>48</v>
      </c>
      <c r="G22" s="12">
        <v>560</v>
      </c>
      <c r="H22" s="12">
        <v>30</v>
      </c>
      <c r="I22" s="12">
        <f t="shared" si="0"/>
        <v>530</v>
      </c>
      <c r="J22" s="11" t="s">
        <v>3429</v>
      </c>
      <c r="K22" s="11" t="s">
        <v>33</v>
      </c>
      <c r="L22" s="11" t="s">
        <v>3430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3573</v>
      </c>
      <c r="D23" s="11" t="s">
        <v>3574</v>
      </c>
      <c r="E23" s="11" t="s">
        <v>3575</v>
      </c>
      <c r="F23" s="12">
        <v>8</v>
      </c>
      <c r="G23" s="12">
        <v>790</v>
      </c>
      <c r="H23" s="12">
        <v>30</v>
      </c>
      <c r="I23" s="12">
        <f t="shared" si="0"/>
        <v>760</v>
      </c>
      <c r="J23" s="11" t="s">
        <v>3429</v>
      </c>
      <c r="K23" s="11" t="s">
        <v>33</v>
      </c>
      <c r="L23" s="11" t="s">
        <v>3430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3576</v>
      </c>
      <c r="D24" s="11" t="s">
        <v>3577</v>
      </c>
      <c r="E24" s="11" t="s">
        <v>3578</v>
      </c>
      <c r="F24" s="11" t="s">
        <v>48</v>
      </c>
      <c r="G24" s="12">
        <v>540</v>
      </c>
      <c r="H24" s="12">
        <v>30</v>
      </c>
      <c r="I24" s="12">
        <f t="shared" si="0"/>
        <v>510</v>
      </c>
      <c r="J24" s="11" t="s">
        <v>3429</v>
      </c>
      <c r="K24" s="11" t="s">
        <v>33</v>
      </c>
      <c r="L24" s="11" t="s">
        <v>3430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3579</v>
      </c>
      <c r="D25" s="11" t="s">
        <v>3580</v>
      </c>
      <c r="E25" s="11" t="s">
        <v>3581</v>
      </c>
      <c r="F25" s="11" t="s">
        <v>104</v>
      </c>
      <c r="G25" s="12">
        <v>920</v>
      </c>
      <c r="H25" s="12">
        <v>30</v>
      </c>
      <c r="I25" s="12">
        <f t="shared" si="0"/>
        <v>890</v>
      </c>
      <c r="J25" s="11" t="s">
        <v>3429</v>
      </c>
      <c r="K25" s="11" t="s">
        <v>33</v>
      </c>
      <c r="L25" s="11" t="s">
        <v>3430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3582</v>
      </c>
      <c r="D26" s="11" t="s">
        <v>3583</v>
      </c>
      <c r="E26" s="11" t="s">
        <v>3584</v>
      </c>
      <c r="F26" s="12">
        <v>7</v>
      </c>
      <c r="G26" s="12">
        <v>850</v>
      </c>
      <c r="H26" s="12">
        <v>30</v>
      </c>
      <c r="I26" s="12">
        <f t="shared" si="0"/>
        <v>820</v>
      </c>
      <c r="J26" s="11" t="s">
        <v>3429</v>
      </c>
      <c r="K26" s="11" t="s">
        <v>33</v>
      </c>
      <c r="L26" s="11" t="s">
        <v>3430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3585</v>
      </c>
      <c r="D27" s="11" t="s">
        <v>3586</v>
      </c>
      <c r="E27" s="11" t="s">
        <v>3587</v>
      </c>
      <c r="F27" s="11" t="s">
        <v>44</v>
      </c>
      <c r="G27" s="12">
        <v>0</v>
      </c>
      <c r="H27" s="12">
        <v>25</v>
      </c>
      <c r="I27" s="12">
        <f t="shared" si="0"/>
        <v>-25</v>
      </c>
      <c r="J27" s="11" t="s">
        <v>3429</v>
      </c>
      <c r="K27" s="11" t="s">
        <v>33</v>
      </c>
      <c r="L27" s="11" t="s">
        <v>3430</v>
      </c>
      <c r="M27" s="24" t="s">
        <v>6073</v>
      </c>
      <c r="N27" s="11"/>
      <c r="O27" s="11"/>
      <c r="P27" s="11"/>
      <c r="Q27" s="11">
        <v>1</v>
      </c>
      <c r="R27" s="5">
        <f>H27</f>
        <v>25</v>
      </c>
    </row>
    <row r="28" spans="1:18" x14ac:dyDescent="0.25">
      <c r="A28" s="11"/>
      <c r="B28" s="11" t="s">
        <v>27</v>
      </c>
      <c r="C28" s="11" t="s">
        <v>3590</v>
      </c>
      <c r="D28" s="11" t="s">
        <v>3591</v>
      </c>
      <c r="E28" s="11" t="s">
        <v>3592</v>
      </c>
      <c r="F28" s="11" t="s">
        <v>48</v>
      </c>
      <c r="G28" s="12">
        <v>320</v>
      </c>
      <c r="H28" s="12">
        <v>30</v>
      </c>
      <c r="I28" s="12">
        <f t="shared" si="0"/>
        <v>290</v>
      </c>
      <c r="J28" s="11" t="s">
        <v>3429</v>
      </c>
      <c r="K28" s="11" t="s">
        <v>33</v>
      </c>
      <c r="L28" s="11" t="s">
        <v>3430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3596</v>
      </c>
      <c r="D29" s="11" t="s">
        <v>3597</v>
      </c>
      <c r="E29" s="11" t="s">
        <v>3598</v>
      </c>
      <c r="F29" s="11" t="s">
        <v>31</v>
      </c>
      <c r="G29" s="12">
        <v>1065</v>
      </c>
      <c r="H29" s="12">
        <v>25</v>
      </c>
      <c r="I29" s="12">
        <f t="shared" si="0"/>
        <v>1040</v>
      </c>
      <c r="J29" s="11" t="s">
        <v>3429</v>
      </c>
      <c r="K29" s="11" t="s">
        <v>33</v>
      </c>
      <c r="L29" s="11" t="s">
        <v>3430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3607</v>
      </c>
      <c r="D30" s="11" t="s">
        <v>3608</v>
      </c>
      <c r="E30" s="11" t="s">
        <v>3609</v>
      </c>
      <c r="F30" s="12">
        <v>12</v>
      </c>
      <c r="G30" s="12">
        <v>810</v>
      </c>
      <c r="H30" s="12">
        <v>30</v>
      </c>
      <c r="I30" s="12">
        <f t="shared" si="0"/>
        <v>780</v>
      </c>
      <c r="J30" s="11" t="s">
        <v>3429</v>
      </c>
      <c r="K30" s="11" t="s">
        <v>33</v>
      </c>
      <c r="L30" s="11" t="s">
        <v>3430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3610</v>
      </c>
      <c r="D31" s="11" t="s">
        <v>3611</v>
      </c>
      <c r="E31" s="11" t="s">
        <v>3612</v>
      </c>
      <c r="F31" s="11" t="s">
        <v>55</v>
      </c>
      <c r="G31" s="12">
        <v>2045</v>
      </c>
      <c r="H31" s="12">
        <v>35</v>
      </c>
      <c r="I31" s="12">
        <f t="shared" si="0"/>
        <v>2010</v>
      </c>
      <c r="J31" s="11" t="s">
        <v>3429</v>
      </c>
      <c r="K31" s="11" t="s">
        <v>33</v>
      </c>
      <c r="L31" s="11" t="s">
        <v>3430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3613</v>
      </c>
      <c r="D32" s="11" t="s">
        <v>3614</v>
      </c>
      <c r="E32" s="11" t="s">
        <v>3615</v>
      </c>
      <c r="F32" s="12">
        <v>9</v>
      </c>
      <c r="G32" s="12">
        <v>1660</v>
      </c>
      <c r="H32" s="12">
        <v>30</v>
      </c>
      <c r="I32" s="12">
        <f t="shared" si="0"/>
        <v>1630</v>
      </c>
      <c r="J32" s="11" t="s">
        <v>3429</v>
      </c>
      <c r="K32" s="11" t="s">
        <v>33</v>
      </c>
      <c r="L32" s="11" t="s">
        <v>3430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3616</v>
      </c>
      <c r="D33" s="11" t="s">
        <v>3617</v>
      </c>
      <c r="E33" s="11" t="s">
        <v>3618</v>
      </c>
      <c r="F33" s="12">
        <v>7</v>
      </c>
      <c r="G33" s="12">
        <v>378</v>
      </c>
      <c r="H33" s="12">
        <v>30</v>
      </c>
      <c r="I33" s="12">
        <f t="shared" si="0"/>
        <v>348</v>
      </c>
      <c r="J33" s="11" t="s">
        <v>3429</v>
      </c>
      <c r="K33" s="11" t="s">
        <v>33</v>
      </c>
      <c r="L33" s="11" t="s">
        <v>3430</v>
      </c>
      <c r="M33" s="24" t="s">
        <v>6077</v>
      </c>
      <c r="N33" s="11"/>
      <c r="O33" s="11"/>
      <c r="P33" s="11"/>
      <c r="Q33" s="11">
        <v>1</v>
      </c>
      <c r="R33" s="5">
        <f>H33</f>
        <v>30</v>
      </c>
    </row>
    <row r="34" spans="1:18" x14ac:dyDescent="0.25">
      <c r="A34" s="11"/>
      <c r="B34" s="11" t="s">
        <v>27</v>
      </c>
      <c r="C34" s="11" t="s">
        <v>2266</v>
      </c>
      <c r="D34" s="11" t="s">
        <v>3637</v>
      </c>
      <c r="E34" s="11" t="s">
        <v>3638</v>
      </c>
      <c r="F34" s="11" t="s">
        <v>31</v>
      </c>
      <c r="G34" s="12">
        <v>378</v>
      </c>
      <c r="H34" s="12">
        <v>25</v>
      </c>
      <c r="I34" s="12">
        <f t="shared" si="0"/>
        <v>353</v>
      </c>
      <c r="J34" s="11" t="s">
        <v>3429</v>
      </c>
      <c r="K34" s="11" t="s">
        <v>33</v>
      </c>
      <c r="L34" s="11" t="s">
        <v>3430</v>
      </c>
      <c r="M34" s="24" t="s">
        <v>340</v>
      </c>
      <c r="N34" s="11"/>
      <c r="O34" s="11"/>
      <c r="P34" s="11"/>
      <c r="Q34" s="11">
        <v>1</v>
      </c>
      <c r="R34" s="5">
        <f>H34</f>
        <v>25</v>
      </c>
    </row>
    <row r="35" spans="1:18" x14ac:dyDescent="0.25">
      <c r="A35" s="11"/>
      <c r="B35" s="11" t="s">
        <v>27</v>
      </c>
      <c r="C35" s="11" t="s">
        <v>3642</v>
      </c>
      <c r="D35" s="11" t="s">
        <v>3643</v>
      </c>
      <c r="E35" s="11" t="s">
        <v>3644</v>
      </c>
      <c r="F35" s="12">
        <v>7</v>
      </c>
      <c r="G35" s="12">
        <v>0</v>
      </c>
      <c r="H35" s="12">
        <v>30</v>
      </c>
      <c r="I35" s="12">
        <f t="shared" ref="I35:I66" si="1">G35-H35</f>
        <v>-30</v>
      </c>
      <c r="J35" s="11" t="s">
        <v>3429</v>
      </c>
      <c r="K35" s="11" t="s">
        <v>33</v>
      </c>
      <c r="L35" s="11" t="s">
        <v>3430</v>
      </c>
      <c r="M35" s="11"/>
      <c r="N35" s="11"/>
      <c r="O35" s="11"/>
      <c r="P35" s="11"/>
      <c r="Q35" s="11">
        <v>1</v>
      </c>
      <c r="R35" s="5">
        <f>H35</f>
        <v>30</v>
      </c>
    </row>
    <row r="36" spans="1:18" x14ac:dyDescent="0.25">
      <c r="A36" s="11"/>
      <c r="B36" s="11" t="s">
        <v>27</v>
      </c>
      <c r="C36" s="11" t="s">
        <v>3659</v>
      </c>
      <c r="D36" s="11" t="s">
        <v>3660</v>
      </c>
      <c r="E36" s="11" t="s">
        <v>3661</v>
      </c>
      <c r="F36" s="12">
        <v>8</v>
      </c>
      <c r="G36" s="12">
        <v>360</v>
      </c>
      <c r="H36" s="12">
        <v>30</v>
      </c>
      <c r="I36" s="12">
        <f t="shared" si="1"/>
        <v>330</v>
      </c>
      <c r="J36" s="11" t="s">
        <v>3429</v>
      </c>
      <c r="K36" s="11" t="s">
        <v>33</v>
      </c>
      <c r="L36" s="11" t="s">
        <v>3430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3662</v>
      </c>
      <c r="D37" s="11" t="s">
        <v>3663</v>
      </c>
      <c r="E37" s="11" t="s">
        <v>3664</v>
      </c>
      <c r="F37" s="12">
        <v>8</v>
      </c>
      <c r="G37" s="12">
        <v>620</v>
      </c>
      <c r="H37" s="12">
        <v>30</v>
      </c>
      <c r="I37" s="12">
        <f t="shared" si="1"/>
        <v>590</v>
      </c>
      <c r="J37" s="11" t="s">
        <v>3429</v>
      </c>
      <c r="K37" s="11" t="s">
        <v>33</v>
      </c>
      <c r="L37" s="11" t="s">
        <v>3430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3665</v>
      </c>
      <c r="D38" s="11" t="s">
        <v>3666</v>
      </c>
      <c r="E38" s="11" t="s">
        <v>3667</v>
      </c>
      <c r="F38" s="11" t="s">
        <v>44</v>
      </c>
      <c r="G38" s="12">
        <v>615</v>
      </c>
      <c r="H38" s="12">
        <v>25</v>
      </c>
      <c r="I38" s="12">
        <f t="shared" si="1"/>
        <v>590</v>
      </c>
      <c r="J38" s="11" t="s">
        <v>3429</v>
      </c>
      <c r="K38" s="11" t="s">
        <v>33</v>
      </c>
      <c r="L38" s="11" t="s">
        <v>3430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3668</v>
      </c>
      <c r="D39" s="11" t="s">
        <v>3669</v>
      </c>
      <c r="E39" s="11" t="s">
        <v>3670</v>
      </c>
      <c r="F39" s="11" t="s">
        <v>202</v>
      </c>
      <c r="G39" s="12">
        <v>1055</v>
      </c>
      <c r="H39" s="12">
        <v>35</v>
      </c>
      <c r="I39" s="12">
        <f t="shared" si="1"/>
        <v>1020</v>
      </c>
      <c r="J39" s="11" t="s">
        <v>3429</v>
      </c>
      <c r="K39" s="11" t="s">
        <v>33</v>
      </c>
      <c r="L39" s="11" t="s">
        <v>3430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3671</v>
      </c>
      <c r="D40" s="11" t="s">
        <v>3672</v>
      </c>
      <c r="E40" s="11" t="s">
        <v>1124</v>
      </c>
      <c r="F40" s="12">
        <v>12</v>
      </c>
      <c r="G40" s="12">
        <v>1000</v>
      </c>
      <c r="H40" s="12">
        <v>30</v>
      </c>
      <c r="I40" s="12">
        <f t="shared" si="1"/>
        <v>970</v>
      </c>
      <c r="J40" s="11" t="s">
        <v>3429</v>
      </c>
      <c r="K40" s="11" t="s">
        <v>33</v>
      </c>
      <c r="L40" s="11" t="s">
        <v>3430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3685</v>
      </c>
      <c r="D41" s="11" t="s">
        <v>3686</v>
      </c>
      <c r="E41" s="11" t="s">
        <v>3687</v>
      </c>
      <c r="F41" s="12">
        <v>9</v>
      </c>
      <c r="G41" s="12">
        <v>590</v>
      </c>
      <c r="H41" s="12">
        <v>30</v>
      </c>
      <c r="I41" s="12">
        <f t="shared" si="1"/>
        <v>560</v>
      </c>
      <c r="J41" s="11" t="s">
        <v>3429</v>
      </c>
      <c r="K41" s="11" t="s">
        <v>33</v>
      </c>
      <c r="L41" s="11" t="s">
        <v>3430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2148</v>
      </c>
      <c r="D42" s="11" t="s">
        <v>3690</v>
      </c>
      <c r="E42" s="11" t="s">
        <v>3691</v>
      </c>
      <c r="F42" s="12">
        <v>7</v>
      </c>
      <c r="G42" s="12">
        <v>520</v>
      </c>
      <c r="H42" s="12">
        <v>30</v>
      </c>
      <c r="I42" s="12">
        <f t="shared" si="1"/>
        <v>490</v>
      </c>
      <c r="J42" s="11" t="s">
        <v>3429</v>
      </c>
      <c r="K42" s="11" t="s">
        <v>33</v>
      </c>
      <c r="L42" s="11" t="s">
        <v>3430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2591</v>
      </c>
      <c r="D43" s="11" t="s">
        <v>3695</v>
      </c>
      <c r="E43" s="11" t="s">
        <v>3696</v>
      </c>
      <c r="F43" s="11" t="s">
        <v>202</v>
      </c>
      <c r="G43" s="12">
        <v>1235</v>
      </c>
      <c r="H43" s="12">
        <v>35</v>
      </c>
      <c r="I43" s="12">
        <f t="shared" si="1"/>
        <v>1200</v>
      </c>
      <c r="J43" s="11" t="s">
        <v>3429</v>
      </c>
      <c r="K43" s="11" t="s">
        <v>33</v>
      </c>
      <c r="L43" s="11" t="s">
        <v>3430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3703</v>
      </c>
      <c r="D44" s="11" t="s">
        <v>3704</v>
      </c>
      <c r="E44" s="11" t="s">
        <v>3705</v>
      </c>
      <c r="F44" s="11" t="s">
        <v>444</v>
      </c>
      <c r="G44" s="12">
        <v>248</v>
      </c>
      <c r="H44" s="12">
        <v>35</v>
      </c>
      <c r="I44" s="12">
        <f t="shared" si="1"/>
        <v>213</v>
      </c>
      <c r="J44" s="11" t="s">
        <v>3429</v>
      </c>
      <c r="K44" s="11" t="s">
        <v>33</v>
      </c>
      <c r="L44" s="11" t="s">
        <v>3430</v>
      </c>
      <c r="M44" s="24" t="s">
        <v>340</v>
      </c>
      <c r="N44" s="11"/>
      <c r="O44" s="11"/>
      <c r="P44" s="11"/>
      <c r="Q44" s="11">
        <v>1</v>
      </c>
      <c r="R44" s="5">
        <f>H44</f>
        <v>35</v>
      </c>
    </row>
    <row r="45" spans="1:18" x14ac:dyDescent="0.25">
      <c r="A45" s="11"/>
      <c r="B45" s="11" t="s">
        <v>27</v>
      </c>
      <c r="C45" s="11" t="s">
        <v>3706</v>
      </c>
      <c r="D45" s="11" t="s">
        <v>3707</v>
      </c>
      <c r="E45" s="11" t="s">
        <v>3708</v>
      </c>
      <c r="F45" s="12">
        <v>12</v>
      </c>
      <c r="G45" s="12">
        <v>360</v>
      </c>
      <c r="H45" s="12">
        <v>30</v>
      </c>
      <c r="I45" s="12">
        <f t="shared" si="1"/>
        <v>330</v>
      </c>
      <c r="J45" s="11" t="s">
        <v>3429</v>
      </c>
      <c r="K45" s="11" t="s">
        <v>33</v>
      </c>
      <c r="L45" s="11" t="s">
        <v>3430</v>
      </c>
      <c r="M45" s="11"/>
      <c r="N45" s="11"/>
      <c r="O45" s="11"/>
      <c r="P45" s="11"/>
      <c r="Q45" s="11">
        <v>1</v>
      </c>
    </row>
    <row r="46" spans="1:18" x14ac:dyDescent="0.25">
      <c r="A46" s="11"/>
      <c r="B46" s="11" t="s">
        <v>27</v>
      </c>
      <c r="C46" s="11" t="s">
        <v>3709</v>
      </c>
      <c r="D46" s="11" t="s">
        <v>3710</v>
      </c>
      <c r="E46" s="11" t="s">
        <v>3711</v>
      </c>
      <c r="F46" s="11" t="s">
        <v>104</v>
      </c>
      <c r="G46" s="12">
        <v>670</v>
      </c>
      <c r="H46" s="12">
        <v>30</v>
      </c>
      <c r="I46" s="12">
        <f t="shared" si="1"/>
        <v>640</v>
      </c>
      <c r="J46" s="11" t="s">
        <v>3429</v>
      </c>
      <c r="K46" s="11" t="s">
        <v>33</v>
      </c>
      <c r="L46" s="11" t="s">
        <v>3430</v>
      </c>
      <c r="M46" s="11"/>
      <c r="N46" s="11"/>
      <c r="O46" s="11"/>
      <c r="P46" s="11"/>
      <c r="Q46" s="11">
        <v>1</v>
      </c>
    </row>
    <row r="47" spans="1:18" x14ac:dyDescent="0.25">
      <c r="A47" s="11"/>
      <c r="B47" s="11" t="s">
        <v>27</v>
      </c>
      <c r="C47" s="11" t="s">
        <v>3716</v>
      </c>
      <c r="D47" s="11" t="s">
        <v>3717</v>
      </c>
      <c r="E47" s="11" t="s">
        <v>3718</v>
      </c>
      <c r="F47" s="11" t="s">
        <v>55</v>
      </c>
      <c r="G47" s="12">
        <v>645</v>
      </c>
      <c r="H47" s="12">
        <v>35</v>
      </c>
      <c r="I47" s="12">
        <f t="shared" si="1"/>
        <v>610</v>
      </c>
      <c r="J47" s="11" t="s">
        <v>3429</v>
      </c>
      <c r="K47" s="11" t="s">
        <v>33</v>
      </c>
      <c r="L47" s="11" t="s">
        <v>3430</v>
      </c>
      <c r="M47" s="11"/>
      <c r="N47" s="11"/>
      <c r="O47" s="11"/>
      <c r="P47" s="11"/>
      <c r="Q47" s="11">
        <v>1</v>
      </c>
    </row>
    <row r="48" spans="1:18" x14ac:dyDescent="0.25">
      <c r="A48" s="11"/>
      <c r="B48" s="11" t="s">
        <v>27</v>
      </c>
      <c r="C48" s="11" t="s">
        <v>3719</v>
      </c>
      <c r="D48" s="11" t="s">
        <v>3720</v>
      </c>
      <c r="E48" s="11" t="s">
        <v>3721</v>
      </c>
      <c r="F48" s="12">
        <v>6</v>
      </c>
      <c r="G48" s="12">
        <v>645</v>
      </c>
      <c r="H48" s="12">
        <v>25</v>
      </c>
      <c r="I48" s="12">
        <f t="shared" si="1"/>
        <v>620</v>
      </c>
      <c r="J48" s="11" t="s">
        <v>3429</v>
      </c>
      <c r="K48" s="11" t="s">
        <v>33</v>
      </c>
      <c r="L48" s="11" t="s">
        <v>3430</v>
      </c>
      <c r="M48" s="11"/>
      <c r="N48" s="11"/>
      <c r="O48" s="11"/>
      <c r="P48" s="11"/>
      <c r="Q48" s="11">
        <v>1</v>
      </c>
    </row>
    <row r="49" spans="1:18" x14ac:dyDescent="0.25">
      <c r="A49" s="11"/>
      <c r="B49" s="11" t="s">
        <v>27</v>
      </c>
      <c r="C49" s="11" t="s">
        <v>3722</v>
      </c>
      <c r="D49" s="11" t="s">
        <v>3723</v>
      </c>
      <c r="E49" s="11" t="s">
        <v>3724</v>
      </c>
      <c r="F49" s="11" t="s">
        <v>31</v>
      </c>
      <c r="G49" s="12">
        <v>1085</v>
      </c>
      <c r="H49" s="12">
        <v>25</v>
      </c>
      <c r="I49" s="12">
        <f t="shared" si="1"/>
        <v>1060</v>
      </c>
      <c r="J49" s="11" t="s">
        <v>3429</v>
      </c>
      <c r="K49" s="11" t="s">
        <v>33</v>
      </c>
      <c r="L49" s="11" t="s">
        <v>3430</v>
      </c>
      <c r="M49" s="11"/>
      <c r="N49" s="11"/>
      <c r="O49" s="11"/>
      <c r="P49" s="11"/>
      <c r="Q49" s="11">
        <v>1</v>
      </c>
    </row>
    <row r="50" spans="1:18" x14ac:dyDescent="0.25">
      <c r="A50" s="11"/>
      <c r="B50" s="11" t="s">
        <v>27</v>
      </c>
      <c r="C50" s="11" t="s">
        <v>3725</v>
      </c>
      <c r="D50" s="11" t="s">
        <v>3726</v>
      </c>
      <c r="E50" s="11" t="s">
        <v>3727</v>
      </c>
      <c r="F50" s="12">
        <v>9</v>
      </c>
      <c r="G50" s="12">
        <v>558</v>
      </c>
      <c r="H50" s="12">
        <v>30</v>
      </c>
      <c r="I50" s="12">
        <f t="shared" si="1"/>
        <v>528</v>
      </c>
      <c r="J50" s="11" t="s">
        <v>3429</v>
      </c>
      <c r="K50" s="11" t="s">
        <v>33</v>
      </c>
      <c r="L50" s="11" t="s">
        <v>3430</v>
      </c>
      <c r="M50" s="24" t="s">
        <v>340</v>
      </c>
      <c r="N50" s="11"/>
      <c r="O50" s="11"/>
      <c r="P50" s="11"/>
      <c r="Q50" s="11">
        <v>1</v>
      </c>
      <c r="R50" s="5">
        <f>H50</f>
        <v>30</v>
      </c>
    </row>
    <row r="51" spans="1:18" x14ac:dyDescent="0.25">
      <c r="A51" s="11"/>
      <c r="B51" s="11" t="s">
        <v>27</v>
      </c>
      <c r="C51" s="11" t="s">
        <v>3728</v>
      </c>
      <c r="D51" s="11" t="s">
        <v>3729</v>
      </c>
      <c r="E51" s="11" t="s">
        <v>3730</v>
      </c>
      <c r="F51" s="12">
        <v>7</v>
      </c>
      <c r="G51" s="12">
        <v>770</v>
      </c>
      <c r="H51" s="12">
        <v>30</v>
      </c>
      <c r="I51" s="12">
        <f t="shared" si="1"/>
        <v>740</v>
      </c>
      <c r="J51" s="11" t="s">
        <v>3429</v>
      </c>
      <c r="K51" s="11" t="s">
        <v>33</v>
      </c>
      <c r="L51" s="11" t="s">
        <v>3430</v>
      </c>
      <c r="M51" s="11"/>
      <c r="N51" s="11"/>
      <c r="O51" s="11"/>
      <c r="P51" s="11"/>
      <c r="Q51" s="11">
        <v>1</v>
      </c>
    </row>
    <row r="52" spans="1:18" x14ac:dyDescent="0.25">
      <c r="A52" s="11"/>
      <c r="B52" s="11" t="s">
        <v>27</v>
      </c>
      <c r="C52" s="11" t="s">
        <v>3731</v>
      </c>
      <c r="D52" s="11" t="s">
        <v>3732</v>
      </c>
      <c r="E52" s="11" t="s">
        <v>3733</v>
      </c>
      <c r="F52" s="11" t="s">
        <v>55</v>
      </c>
      <c r="G52" s="12">
        <v>1148</v>
      </c>
      <c r="H52" s="12">
        <v>35</v>
      </c>
      <c r="I52" s="12">
        <f t="shared" si="1"/>
        <v>1113</v>
      </c>
      <c r="J52" s="11" t="s">
        <v>3429</v>
      </c>
      <c r="K52" s="11" t="s">
        <v>33</v>
      </c>
      <c r="L52" s="11" t="s">
        <v>3430</v>
      </c>
      <c r="M52" s="24" t="s">
        <v>340</v>
      </c>
      <c r="N52" s="11"/>
      <c r="O52" s="11"/>
      <c r="P52" s="11"/>
      <c r="Q52" s="11">
        <v>1</v>
      </c>
      <c r="R52" s="5">
        <f t="shared" ref="R52:R53" si="2">H52</f>
        <v>35</v>
      </c>
    </row>
    <row r="53" spans="1:18" x14ac:dyDescent="0.25">
      <c r="A53" s="11"/>
      <c r="B53" s="11" t="s">
        <v>27</v>
      </c>
      <c r="C53" s="11" t="s">
        <v>3734</v>
      </c>
      <c r="D53" s="11" t="s">
        <v>3735</v>
      </c>
      <c r="E53" s="11" t="s">
        <v>3736</v>
      </c>
      <c r="F53" s="12">
        <v>8</v>
      </c>
      <c r="G53" s="12">
        <v>258</v>
      </c>
      <c r="H53" s="12">
        <v>30</v>
      </c>
      <c r="I53" s="12">
        <f t="shared" si="1"/>
        <v>228</v>
      </c>
      <c r="J53" s="11" t="s">
        <v>3429</v>
      </c>
      <c r="K53" s="11" t="s">
        <v>33</v>
      </c>
      <c r="L53" s="11" t="s">
        <v>3430</v>
      </c>
      <c r="M53" s="24" t="s">
        <v>340</v>
      </c>
      <c r="N53" s="11"/>
      <c r="O53" s="11"/>
      <c r="P53" s="11"/>
      <c r="Q53" s="11">
        <v>1</v>
      </c>
      <c r="R53" s="5">
        <f t="shared" si="2"/>
        <v>30</v>
      </c>
    </row>
    <row r="54" spans="1:18" x14ac:dyDescent="0.25">
      <c r="A54" s="11"/>
      <c r="B54" s="11" t="s">
        <v>27</v>
      </c>
      <c r="C54" s="11" t="s">
        <v>3737</v>
      </c>
      <c r="D54" s="11" t="s">
        <v>3738</v>
      </c>
      <c r="E54" s="11" t="s">
        <v>3739</v>
      </c>
      <c r="F54" s="12">
        <v>5</v>
      </c>
      <c r="G54" s="12">
        <v>435</v>
      </c>
      <c r="H54" s="12">
        <v>25</v>
      </c>
      <c r="I54" s="12">
        <f t="shared" si="1"/>
        <v>410</v>
      </c>
      <c r="J54" s="11" t="s">
        <v>3429</v>
      </c>
      <c r="K54" s="11" t="s">
        <v>33</v>
      </c>
      <c r="L54" s="11" t="s">
        <v>3430</v>
      </c>
      <c r="M54" s="11"/>
      <c r="N54" s="11"/>
      <c r="O54" s="11"/>
      <c r="P54" s="11"/>
      <c r="Q54" s="11">
        <v>1</v>
      </c>
    </row>
    <row r="55" spans="1:18" x14ac:dyDescent="0.25">
      <c r="A55" s="11"/>
      <c r="B55" s="11" t="s">
        <v>27</v>
      </c>
      <c r="C55" s="11" t="s">
        <v>2412</v>
      </c>
      <c r="D55" s="11" t="s">
        <v>3740</v>
      </c>
      <c r="E55" s="11" t="s">
        <v>3741</v>
      </c>
      <c r="F55" s="11" t="s">
        <v>31</v>
      </c>
      <c r="G55" s="12">
        <v>305</v>
      </c>
      <c r="H55" s="12">
        <v>25</v>
      </c>
      <c r="I55" s="12">
        <f t="shared" si="1"/>
        <v>280</v>
      </c>
      <c r="J55" s="11" t="s">
        <v>3429</v>
      </c>
      <c r="K55" s="11" t="s">
        <v>33</v>
      </c>
      <c r="L55" s="11" t="s">
        <v>3430</v>
      </c>
      <c r="M55" s="11"/>
      <c r="N55" s="11"/>
      <c r="O55" s="11"/>
      <c r="P55" s="11"/>
      <c r="Q55" s="11">
        <v>1</v>
      </c>
    </row>
    <row r="56" spans="1:18" x14ac:dyDescent="0.25">
      <c r="A56" s="11"/>
      <c r="B56" s="11" t="s">
        <v>27</v>
      </c>
      <c r="C56" s="11" t="s">
        <v>3742</v>
      </c>
      <c r="D56" s="11" t="s">
        <v>3743</v>
      </c>
      <c r="E56" s="11" t="s">
        <v>3744</v>
      </c>
      <c r="F56" s="11" t="s">
        <v>48</v>
      </c>
      <c r="G56" s="12">
        <v>450</v>
      </c>
      <c r="H56" s="12">
        <v>30</v>
      </c>
      <c r="I56" s="12">
        <f t="shared" si="1"/>
        <v>420</v>
      </c>
      <c r="J56" s="11" t="s">
        <v>3429</v>
      </c>
      <c r="K56" s="11" t="s">
        <v>33</v>
      </c>
      <c r="L56" s="11" t="s">
        <v>3430</v>
      </c>
      <c r="M56" s="11"/>
      <c r="N56" s="11"/>
      <c r="O56" s="11"/>
      <c r="P56" s="11"/>
      <c r="Q56" s="11">
        <v>1</v>
      </c>
    </row>
    <row r="57" spans="1:18" x14ac:dyDescent="0.25">
      <c r="A57" s="11"/>
      <c r="B57" s="11" t="s">
        <v>27</v>
      </c>
      <c r="C57" s="11" t="s">
        <v>3745</v>
      </c>
      <c r="D57" s="11" t="s">
        <v>3746</v>
      </c>
      <c r="E57" s="11" t="s">
        <v>3747</v>
      </c>
      <c r="F57" s="12">
        <v>7</v>
      </c>
      <c r="G57" s="12">
        <v>390</v>
      </c>
      <c r="H57" s="12">
        <v>30</v>
      </c>
      <c r="I57" s="12">
        <f t="shared" si="1"/>
        <v>360</v>
      </c>
      <c r="J57" s="11" t="s">
        <v>3429</v>
      </c>
      <c r="K57" s="11" t="s">
        <v>33</v>
      </c>
      <c r="L57" s="11" t="s">
        <v>3430</v>
      </c>
      <c r="M57" s="11"/>
      <c r="N57" s="11"/>
      <c r="O57" s="11"/>
      <c r="P57" s="11"/>
      <c r="Q57" s="11">
        <v>1</v>
      </c>
    </row>
    <row r="58" spans="1:18" x14ac:dyDescent="0.25">
      <c r="A58" s="11"/>
      <c r="B58" s="11" t="s">
        <v>27</v>
      </c>
      <c r="C58" s="11" t="s">
        <v>3748</v>
      </c>
      <c r="D58" s="11" t="s">
        <v>3749</v>
      </c>
      <c r="E58" s="11" t="s">
        <v>3750</v>
      </c>
      <c r="F58" s="12">
        <v>7</v>
      </c>
      <c r="G58" s="12">
        <v>950</v>
      </c>
      <c r="H58" s="12">
        <v>30</v>
      </c>
      <c r="I58" s="12">
        <f t="shared" si="1"/>
        <v>920</v>
      </c>
      <c r="J58" s="11" t="s">
        <v>3429</v>
      </c>
      <c r="K58" s="11" t="s">
        <v>33</v>
      </c>
      <c r="L58" s="11" t="s">
        <v>3430</v>
      </c>
      <c r="M58" s="11"/>
      <c r="N58" s="11"/>
      <c r="O58" s="11"/>
      <c r="P58" s="11"/>
      <c r="Q58" s="11">
        <v>1</v>
      </c>
    </row>
    <row r="59" spans="1:18" x14ac:dyDescent="0.25">
      <c r="A59" s="11"/>
      <c r="B59" s="11" t="s">
        <v>27</v>
      </c>
      <c r="C59" s="11" t="s">
        <v>3751</v>
      </c>
      <c r="D59" s="11" t="s">
        <v>3752</v>
      </c>
      <c r="E59" s="11" t="s">
        <v>3753</v>
      </c>
      <c r="F59" s="11" t="s">
        <v>31</v>
      </c>
      <c r="G59" s="12">
        <v>365</v>
      </c>
      <c r="H59" s="12">
        <v>25</v>
      </c>
      <c r="I59" s="12">
        <f t="shared" si="1"/>
        <v>340</v>
      </c>
      <c r="J59" s="11" t="s">
        <v>3429</v>
      </c>
      <c r="K59" s="11" t="s">
        <v>33</v>
      </c>
      <c r="L59" s="11" t="s">
        <v>3430</v>
      </c>
      <c r="M59" s="11"/>
      <c r="N59" s="11"/>
      <c r="O59" s="11"/>
      <c r="P59" s="11"/>
      <c r="Q59" s="11">
        <v>1</v>
      </c>
    </row>
    <row r="60" spans="1:18" x14ac:dyDescent="0.25">
      <c r="A60" s="11"/>
      <c r="B60" s="11" t="s">
        <v>27</v>
      </c>
      <c r="C60" s="11" t="s">
        <v>642</v>
      </c>
      <c r="D60" s="11" t="s">
        <v>3754</v>
      </c>
      <c r="E60" s="11" t="s">
        <v>3755</v>
      </c>
      <c r="F60" s="11" t="s">
        <v>55</v>
      </c>
      <c r="G60" s="12">
        <v>465</v>
      </c>
      <c r="H60" s="12">
        <v>35</v>
      </c>
      <c r="I60" s="12">
        <f t="shared" si="1"/>
        <v>430</v>
      </c>
      <c r="J60" s="11" t="s">
        <v>3429</v>
      </c>
      <c r="K60" s="11" t="s">
        <v>33</v>
      </c>
      <c r="L60" s="11" t="s">
        <v>3430</v>
      </c>
      <c r="M60" s="11"/>
      <c r="N60" s="11"/>
      <c r="O60" s="11"/>
      <c r="P60" s="11"/>
      <c r="Q60" s="11">
        <v>1</v>
      </c>
    </row>
    <row r="61" spans="1:18" x14ac:dyDescent="0.25">
      <c r="A61" s="11"/>
      <c r="B61" s="11" t="s">
        <v>27</v>
      </c>
      <c r="C61" s="11" t="s">
        <v>3759</v>
      </c>
      <c r="D61" s="11" t="s">
        <v>3760</v>
      </c>
      <c r="E61" s="11" t="s">
        <v>3761</v>
      </c>
      <c r="F61" s="12">
        <v>8</v>
      </c>
      <c r="G61" s="12">
        <v>450</v>
      </c>
      <c r="H61" s="12">
        <v>30</v>
      </c>
      <c r="I61" s="12">
        <f t="shared" si="1"/>
        <v>420</v>
      </c>
      <c r="J61" s="11" t="s">
        <v>3429</v>
      </c>
      <c r="K61" s="11" t="s">
        <v>33</v>
      </c>
      <c r="L61" s="11" t="s">
        <v>3430</v>
      </c>
      <c r="M61" s="11"/>
      <c r="N61" s="11"/>
      <c r="O61" s="11"/>
      <c r="P61" s="11"/>
      <c r="Q61" s="11">
        <v>1</v>
      </c>
    </row>
    <row r="62" spans="1:18" x14ac:dyDescent="0.25">
      <c r="A62" s="11"/>
      <c r="B62" s="11" t="s">
        <v>27</v>
      </c>
      <c r="C62" s="11" t="s">
        <v>3765</v>
      </c>
      <c r="D62" s="11" t="s">
        <v>3766</v>
      </c>
      <c r="E62" s="11" t="s">
        <v>3767</v>
      </c>
      <c r="F62" s="11" t="s">
        <v>202</v>
      </c>
      <c r="G62" s="12">
        <v>525</v>
      </c>
      <c r="H62" s="12">
        <v>35</v>
      </c>
      <c r="I62" s="12">
        <f t="shared" si="1"/>
        <v>490</v>
      </c>
      <c r="J62" s="11" t="s">
        <v>3429</v>
      </c>
      <c r="K62" s="11" t="s">
        <v>33</v>
      </c>
      <c r="L62" s="11" t="s">
        <v>3430</v>
      </c>
      <c r="M62" s="11"/>
      <c r="N62" s="11"/>
      <c r="O62" s="11"/>
      <c r="P62" s="11"/>
      <c r="Q62" s="11">
        <v>1</v>
      </c>
    </row>
    <row r="63" spans="1:18" x14ac:dyDescent="0.25">
      <c r="A63" s="11"/>
      <c r="B63" s="11" t="s">
        <v>27</v>
      </c>
      <c r="C63" s="11" t="s">
        <v>3768</v>
      </c>
      <c r="D63" s="11" t="s">
        <v>3769</v>
      </c>
      <c r="E63" s="11" t="s">
        <v>3770</v>
      </c>
      <c r="F63" s="11" t="s">
        <v>202</v>
      </c>
      <c r="G63" s="12">
        <v>1785</v>
      </c>
      <c r="H63" s="12">
        <v>35</v>
      </c>
      <c r="I63" s="12">
        <f t="shared" si="1"/>
        <v>1750</v>
      </c>
      <c r="J63" s="11" t="s">
        <v>3429</v>
      </c>
      <c r="K63" s="11" t="s">
        <v>33</v>
      </c>
      <c r="L63" s="11" t="s">
        <v>3430</v>
      </c>
      <c r="M63" s="11"/>
      <c r="N63" s="11"/>
      <c r="O63" s="11"/>
      <c r="P63" s="11"/>
      <c r="Q63" s="11">
        <v>1</v>
      </c>
    </row>
    <row r="64" spans="1:18" x14ac:dyDescent="0.25">
      <c r="A64" s="11"/>
      <c r="B64" s="11" t="s">
        <v>27</v>
      </c>
      <c r="C64" s="11" t="s">
        <v>190</v>
      </c>
      <c r="D64" s="11" t="s">
        <v>3774</v>
      </c>
      <c r="E64" s="11" t="s">
        <v>3775</v>
      </c>
      <c r="F64" s="11" t="s">
        <v>48</v>
      </c>
      <c r="G64" s="12">
        <v>870</v>
      </c>
      <c r="H64" s="12">
        <v>30</v>
      </c>
      <c r="I64" s="12">
        <f t="shared" si="1"/>
        <v>840</v>
      </c>
      <c r="J64" s="11" t="s">
        <v>3429</v>
      </c>
      <c r="K64" s="11" t="s">
        <v>33</v>
      </c>
      <c r="L64" s="11" t="s">
        <v>3430</v>
      </c>
      <c r="M64" s="11"/>
      <c r="N64" s="11"/>
      <c r="O64" s="11"/>
      <c r="P64" s="11"/>
      <c r="Q64" s="11">
        <v>1</v>
      </c>
    </row>
    <row r="65" spans="1:18" x14ac:dyDescent="0.25">
      <c r="A65" s="11"/>
      <c r="B65" s="11" t="s">
        <v>27</v>
      </c>
      <c r="C65" s="11" t="s">
        <v>3779</v>
      </c>
      <c r="D65" s="11" t="s">
        <v>3780</v>
      </c>
      <c r="E65" s="11" t="s">
        <v>3781</v>
      </c>
      <c r="F65" s="11" t="s">
        <v>444</v>
      </c>
      <c r="G65" s="12">
        <v>855</v>
      </c>
      <c r="H65" s="12">
        <v>35</v>
      </c>
      <c r="I65" s="12">
        <f t="shared" si="1"/>
        <v>820</v>
      </c>
      <c r="J65" s="11" t="s">
        <v>3429</v>
      </c>
      <c r="K65" s="11" t="s">
        <v>33</v>
      </c>
      <c r="L65" s="11" t="s">
        <v>3430</v>
      </c>
      <c r="M65" s="11"/>
      <c r="N65" s="11"/>
      <c r="O65" s="11"/>
      <c r="P65" s="11"/>
      <c r="Q65" s="11">
        <v>1</v>
      </c>
    </row>
    <row r="66" spans="1:18" x14ac:dyDescent="0.25">
      <c r="A66" s="11"/>
      <c r="B66" s="11" t="s">
        <v>27</v>
      </c>
      <c r="C66" s="11" t="s">
        <v>3782</v>
      </c>
      <c r="D66" s="11" t="s">
        <v>3783</v>
      </c>
      <c r="E66" s="11" t="s">
        <v>3784</v>
      </c>
      <c r="F66" s="12">
        <v>7</v>
      </c>
      <c r="G66" s="12">
        <v>688</v>
      </c>
      <c r="H66" s="12">
        <v>30</v>
      </c>
      <c r="I66" s="12">
        <f t="shared" si="1"/>
        <v>658</v>
      </c>
      <c r="J66" s="11" t="s">
        <v>3429</v>
      </c>
      <c r="K66" s="11" t="s">
        <v>33</v>
      </c>
      <c r="L66" s="11" t="s">
        <v>3430</v>
      </c>
      <c r="M66" s="24" t="s">
        <v>340</v>
      </c>
      <c r="N66" s="11"/>
      <c r="O66" s="11"/>
      <c r="P66" s="11"/>
      <c r="Q66" s="11">
        <v>1</v>
      </c>
      <c r="R66" s="5">
        <f>H66</f>
        <v>30</v>
      </c>
    </row>
    <row r="67" spans="1:18" x14ac:dyDescent="0.25">
      <c r="A67" s="11"/>
      <c r="B67" s="11" t="s">
        <v>27</v>
      </c>
      <c r="C67" s="11" t="s">
        <v>3785</v>
      </c>
      <c r="D67" s="11" t="s">
        <v>3786</v>
      </c>
      <c r="E67" s="11" t="s">
        <v>3787</v>
      </c>
      <c r="F67" s="12">
        <v>12</v>
      </c>
      <c r="G67" s="12">
        <v>1250</v>
      </c>
      <c r="H67" s="12">
        <v>30</v>
      </c>
      <c r="I67" s="12">
        <f t="shared" ref="I67:I98" si="3">G67-H67</f>
        <v>1220</v>
      </c>
      <c r="J67" s="11" t="s">
        <v>3429</v>
      </c>
      <c r="K67" s="11" t="s">
        <v>33</v>
      </c>
      <c r="L67" s="11" t="s">
        <v>3430</v>
      </c>
      <c r="M67" s="11"/>
      <c r="N67" s="11"/>
      <c r="O67" s="11"/>
      <c r="P67" s="11"/>
      <c r="Q67" s="11">
        <v>1</v>
      </c>
    </row>
    <row r="68" spans="1:18" x14ac:dyDescent="0.25">
      <c r="A68" s="11"/>
      <c r="B68" s="11" t="s">
        <v>27</v>
      </c>
      <c r="C68" s="11" t="s">
        <v>3788</v>
      </c>
      <c r="D68" s="11" t="s">
        <v>3789</v>
      </c>
      <c r="E68" s="11" t="s">
        <v>3790</v>
      </c>
      <c r="F68" s="12">
        <v>9</v>
      </c>
      <c r="G68" s="12">
        <v>520</v>
      </c>
      <c r="H68" s="12">
        <v>30</v>
      </c>
      <c r="I68" s="12">
        <f t="shared" si="3"/>
        <v>490</v>
      </c>
      <c r="J68" s="11" t="s">
        <v>3429</v>
      </c>
      <c r="K68" s="11" t="s">
        <v>33</v>
      </c>
      <c r="L68" s="11" t="s">
        <v>3430</v>
      </c>
      <c r="M68" s="11"/>
      <c r="N68" s="11"/>
      <c r="O68" s="11"/>
      <c r="P68" s="11"/>
      <c r="Q68" s="11">
        <v>1</v>
      </c>
    </row>
    <row r="69" spans="1:18" x14ac:dyDescent="0.25">
      <c r="A69" s="11"/>
      <c r="B69" s="11" t="s">
        <v>27</v>
      </c>
      <c r="C69" s="11" t="s">
        <v>3791</v>
      </c>
      <c r="D69" s="11" t="s">
        <v>3792</v>
      </c>
      <c r="E69" s="11" t="s">
        <v>3793</v>
      </c>
      <c r="F69" s="11" t="s">
        <v>104</v>
      </c>
      <c r="G69" s="12">
        <v>590</v>
      </c>
      <c r="H69" s="12">
        <v>30</v>
      </c>
      <c r="I69" s="12">
        <f t="shared" si="3"/>
        <v>560</v>
      </c>
      <c r="J69" s="11" t="s">
        <v>3429</v>
      </c>
      <c r="K69" s="11" t="s">
        <v>33</v>
      </c>
      <c r="L69" s="11" t="s">
        <v>3430</v>
      </c>
      <c r="M69" s="11"/>
      <c r="N69" s="11"/>
      <c r="O69" s="11"/>
      <c r="P69" s="11"/>
      <c r="Q69" s="11">
        <v>1</v>
      </c>
    </row>
    <row r="70" spans="1:18" x14ac:dyDescent="0.25">
      <c r="A70" s="11"/>
      <c r="B70" s="11" t="s">
        <v>27</v>
      </c>
      <c r="C70" s="11" t="s">
        <v>3794</v>
      </c>
      <c r="D70" s="11" t="s">
        <v>3795</v>
      </c>
      <c r="E70" s="11" t="s">
        <v>3796</v>
      </c>
      <c r="F70" s="11" t="s">
        <v>48</v>
      </c>
      <c r="G70" s="12">
        <v>260</v>
      </c>
      <c r="H70" s="12">
        <v>30</v>
      </c>
      <c r="I70" s="12">
        <f t="shared" si="3"/>
        <v>230</v>
      </c>
      <c r="J70" s="11" t="s">
        <v>3429</v>
      </c>
      <c r="K70" s="11" t="s">
        <v>33</v>
      </c>
      <c r="L70" s="11" t="s">
        <v>3430</v>
      </c>
      <c r="M70" s="11"/>
      <c r="N70" s="11"/>
      <c r="O70" s="11"/>
      <c r="P70" s="11"/>
      <c r="Q70" s="11">
        <v>1</v>
      </c>
    </row>
    <row r="71" spans="1:18" x14ac:dyDescent="0.25">
      <c r="A71" s="11"/>
      <c r="B71" s="11" t="s">
        <v>27</v>
      </c>
      <c r="C71" s="11" t="s">
        <v>3802</v>
      </c>
      <c r="D71" s="11" t="s">
        <v>3803</v>
      </c>
      <c r="E71" s="11" t="s">
        <v>3804</v>
      </c>
      <c r="F71" s="11" t="s">
        <v>104</v>
      </c>
      <c r="G71" s="12">
        <v>520</v>
      </c>
      <c r="H71" s="12">
        <v>30</v>
      </c>
      <c r="I71" s="12">
        <f t="shared" si="3"/>
        <v>490</v>
      </c>
      <c r="J71" s="11" t="s">
        <v>3429</v>
      </c>
      <c r="K71" s="11" t="s">
        <v>33</v>
      </c>
      <c r="L71" s="11" t="s">
        <v>3430</v>
      </c>
      <c r="M71" s="11"/>
      <c r="N71" s="11"/>
      <c r="O71" s="11"/>
      <c r="P71" s="11"/>
      <c r="Q71" s="11">
        <v>1</v>
      </c>
    </row>
    <row r="72" spans="1:18" x14ac:dyDescent="0.25">
      <c r="A72" s="11"/>
      <c r="B72" s="11" t="s">
        <v>27</v>
      </c>
      <c r="C72" s="11" t="s">
        <v>3805</v>
      </c>
      <c r="D72" s="11" t="s">
        <v>3806</v>
      </c>
      <c r="E72" s="11" t="s">
        <v>3807</v>
      </c>
      <c r="F72" s="11" t="s">
        <v>55</v>
      </c>
      <c r="G72" s="12">
        <v>645</v>
      </c>
      <c r="H72" s="12">
        <v>35</v>
      </c>
      <c r="I72" s="12">
        <f t="shared" si="3"/>
        <v>610</v>
      </c>
      <c r="J72" s="11" t="s">
        <v>3429</v>
      </c>
      <c r="K72" s="11" t="s">
        <v>33</v>
      </c>
      <c r="L72" s="11" t="s">
        <v>3430</v>
      </c>
      <c r="M72" s="11"/>
      <c r="N72" s="11"/>
      <c r="O72" s="11"/>
      <c r="P72" s="11"/>
      <c r="Q72" s="11">
        <v>1</v>
      </c>
    </row>
    <row r="73" spans="1:18" x14ac:dyDescent="0.25">
      <c r="A73" s="11"/>
      <c r="B73" s="11" t="s">
        <v>27</v>
      </c>
      <c r="C73" s="11" t="s">
        <v>3808</v>
      </c>
      <c r="D73" s="11" t="s">
        <v>3809</v>
      </c>
      <c r="E73" s="11" t="s">
        <v>3810</v>
      </c>
      <c r="F73" s="11" t="s">
        <v>55</v>
      </c>
      <c r="G73" s="12">
        <v>465</v>
      </c>
      <c r="H73" s="12">
        <v>35</v>
      </c>
      <c r="I73" s="12">
        <f t="shared" si="3"/>
        <v>430</v>
      </c>
      <c r="J73" s="11" t="s">
        <v>3429</v>
      </c>
      <c r="K73" s="11" t="s">
        <v>33</v>
      </c>
      <c r="L73" s="11" t="s">
        <v>3430</v>
      </c>
      <c r="M73" s="11"/>
      <c r="N73" s="11"/>
      <c r="O73" s="11"/>
      <c r="P73" s="11"/>
      <c r="Q73" s="11">
        <v>1</v>
      </c>
    </row>
    <row r="74" spans="1:18" x14ac:dyDescent="0.25">
      <c r="A74" s="11"/>
      <c r="B74" s="11" t="s">
        <v>27</v>
      </c>
      <c r="C74" s="11" t="s">
        <v>3814</v>
      </c>
      <c r="D74" s="11" t="s">
        <v>3815</v>
      </c>
      <c r="E74" s="11" t="s">
        <v>3816</v>
      </c>
      <c r="F74" s="11" t="s">
        <v>48</v>
      </c>
      <c r="G74" s="12">
        <v>320</v>
      </c>
      <c r="H74" s="12">
        <v>30</v>
      </c>
      <c r="I74" s="12">
        <f t="shared" si="3"/>
        <v>290</v>
      </c>
      <c r="J74" s="11" t="s">
        <v>3429</v>
      </c>
      <c r="K74" s="11" t="s">
        <v>33</v>
      </c>
      <c r="L74" s="11" t="s">
        <v>3430</v>
      </c>
      <c r="M74" s="11"/>
      <c r="N74" s="11"/>
      <c r="O74" s="11"/>
      <c r="P74" s="11"/>
      <c r="Q74" s="11">
        <v>1</v>
      </c>
    </row>
    <row r="75" spans="1:18" x14ac:dyDescent="0.25">
      <c r="A75" s="11"/>
      <c r="B75" s="11" t="s">
        <v>27</v>
      </c>
      <c r="C75" s="11" t="s">
        <v>3817</v>
      </c>
      <c r="D75" s="11" t="s">
        <v>3818</v>
      </c>
      <c r="E75" s="11" t="s">
        <v>3819</v>
      </c>
      <c r="F75" s="12">
        <v>7</v>
      </c>
      <c r="G75" s="12">
        <v>1240</v>
      </c>
      <c r="H75" s="12">
        <v>30</v>
      </c>
      <c r="I75" s="12">
        <f t="shared" si="3"/>
        <v>1210</v>
      </c>
      <c r="J75" s="11" t="s">
        <v>3429</v>
      </c>
      <c r="K75" s="11" t="s">
        <v>33</v>
      </c>
      <c r="L75" s="11" t="s">
        <v>3430</v>
      </c>
      <c r="M75" s="11"/>
      <c r="N75" s="11"/>
      <c r="O75" s="11"/>
      <c r="P75" s="11"/>
      <c r="Q75" s="11">
        <v>1</v>
      </c>
    </row>
    <row r="76" spans="1:18" x14ac:dyDescent="0.25">
      <c r="A76" s="11"/>
      <c r="B76" s="11" t="s">
        <v>27</v>
      </c>
      <c r="C76" s="11" t="s">
        <v>3826</v>
      </c>
      <c r="D76" s="11" t="s">
        <v>3827</v>
      </c>
      <c r="E76" s="11" t="s">
        <v>3828</v>
      </c>
      <c r="F76" s="11" t="s">
        <v>48</v>
      </c>
      <c r="G76" s="12">
        <v>1410</v>
      </c>
      <c r="H76" s="12">
        <v>30</v>
      </c>
      <c r="I76" s="12">
        <f t="shared" si="3"/>
        <v>1380</v>
      </c>
      <c r="J76" s="11" t="s">
        <v>3429</v>
      </c>
      <c r="K76" s="11" t="s">
        <v>33</v>
      </c>
      <c r="L76" s="11" t="s">
        <v>3430</v>
      </c>
      <c r="M76" s="11"/>
      <c r="N76" s="11"/>
      <c r="O76" s="11"/>
      <c r="P76" s="11"/>
      <c r="Q76" s="11">
        <v>1</v>
      </c>
    </row>
    <row r="77" spans="1:18" x14ac:dyDescent="0.25">
      <c r="A77" s="11"/>
      <c r="B77" s="11" t="s">
        <v>27</v>
      </c>
      <c r="C77" s="11" t="s">
        <v>3835</v>
      </c>
      <c r="D77" s="11" t="s">
        <v>3836</v>
      </c>
      <c r="E77" s="11" t="s">
        <v>3837</v>
      </c>
      <c r="F77" s="12">
        <v>12</v>
      </c>
      <c r="G77" s="12">
        <v>760</v>
      </c>
      <c r="H77" s="12">
        <v>30</v>
      </c>
      <c r="I77" s="12">
        <f t="shared" si="3"/>
        <v>730</v>
      </c>
      <c r="J77" s="11" t="s">
        <v>3429</v>
      </c>
      <c r="K77" s="11" t="s">
        <v>33</v>
      </c>
      <c r="L77" s="11" t="s">
        <v>3430</v>
      </c>
      <c r="M77" s="11"/>
      <c r="N77" s="11"/>
      <c r="O77" s="11"/>
      <c r="P77" s="11"/>
      <c r="Q77" s="11">
        <v>1</v>
      </c>
    </row>
    <row r="78" spans="1:18" x14ac:dyDescent="0.25">
      <c r="A78" s="11"/>
      <c r="B78" s="11" t="s">
        <v>27</v>
      </c>
      <c r="C78" s="11" t="s">
        <v>3838</v>
      </c>
      <c r="D78" s="11" t="s">
        <v>3839</v>
      </c>
      <c r="E78" s="11" t="s">
        <v>3840</v>
      </c>
      <c r="F78" s="11" t="s">
        <v>48</v>
      </c>
      <c r="G78" s="12">
        <v>1640</v>
      </c>
      <c r="H78" s="12">
        <v>30</v>
      </c>
      <c r="I78" s="12">
        <f t="shared" si="3"/>
        <v>1610</v>
      </c>
      <c r="J78" s="11" t="s">
        <v>3429</v>
      </c>
      <c r="K78" s="11" t="s">
        <v>33</v>
      </c>
      <c r="L78" s="11" t="s">
        <v>3430</v>
      </c>
      <c r="M78" s="11"/>
      <c r="N78" s="11"/>
      <c r="O78" s="11"/>
      <c r="P78" s="11"/>
      <c r="Q78" s="11">
        <v>1</v>
      </c>
    </row>
    <row r="79" spans="1:18" x14ac:dyDescent="0.25">
      <c r="A79" s="11"/>
      <c r="B79" s="11" t="s">
        <v>27</v>
      </c>
      <c r="C79" s="11" t="s">
        <v>3841</v>
      </c>
      <c r="D79" s="11" t="s">
        <v>3842</v>
      </c>
      <c r="E79" s="11" t="s">
        <v>3843</v>
      </c>
      <c r="F79" s="11" t="s">
        <v>55</v>
      </c>
      <c r="G79" s="12">
        <v>685</v>
      </c>
      <c r="H79" s="12">
        <v>35</v>
      </c>
      <c r="I79" s="12">
        <f t="shared" si="3"/>
        <v>650</v>
      </c>
      <c r="J79" s="11" t="s">
        <v>3429</v>
      </c>
      <c r="K79" s="11" t="s">
        <v>33</v>
      </c>
      <c r="L79" s="11" t="s">
        <v>3430</v>
      </c>
      <c r="M79" s="11"/>
      <c r="N79" s="11"/>
      <c r="O79" s="11"/>
      <c r="P79" s="11"/>
      <c r="Q79" s="11">
        <v>1</v>
      </c>
    </row>
    <row r="80" spans="1:18" x14ac:dyDescent="0.25">
      <c r="A80" s="11"/>
      <c r="B80" s="11" t="s">
        <v>27</v>
      </c>
      <c r="C80" s="11" t="s">
        <v>3844</v>
      </c>
      <c r="D80" s="11" t="s">
        <v>3845</v>
      </c>
      <c r="E80" s="11" t="s">
        <v>3846</v>
      </c>
      <c r="F80" s="11" t="s">
        <v>31</v>
      </c>
      <c r="G80" s="12">
        <v>435</v>
      </c>
      <c r="H80" s="12">
        <v>25</v>
      </c>
      <c r="I80" s="12">
        <f t="shared" si="3"/>
        <v>410</v>
      </c>
      <c r="J80" s="11" t="s">
        <v>3429</v>
      </c>
      <c r="K80" s="11" t="s">
        <v>33</v>
      </c>
      <c r="L80" s="11" t="s">
        <v>3430</v>
      </c>
      <c r="M80" s="11"/>
      <c r="N80" s="11"/>
      <c r="O80" s="11"/>
      <c r="P80" s="11"/>
      <c r="Q80" s="11">
        <v>1</v>
      </c>
    </row>
    <row r="81" spans="1:18" x14ac:dyDescent="0.25">
      <c r="A81" s="11"/>
      <c r="B81" s="11" t="s">
        <v>27</v>
      </c>
      <c r="C81" s="11" t="s">
        <v>3853</v>
      </c>
      <c r="D81" s="11" t="s">
        <v>3854</v>
      </c>
      <c r="E81" s="11" t="s">
        <v>3855</v>
      </c>
      <c r="F81" s="11" t="s">
        <v>31</v>
      </c>
      <c r="G81" s="12">
        <v>705</v>
      </c>
      <c r="H81" s="12">
        <v>25</v>
      </c>
      <c r="I81" s="12">
        <f t="shared" si="3"/>
        <v>680</v>
      </c>
      <c r="J81" s="11" t="s">
        <v>3429</v>
      </c>
      <c r="K81" s="11" t="s">
        <v>33</v>
      </c>
      <c r="L81" s="11" t="s">
        <v>3430</v>
      </c>
      <c r="M81" s="11"/>
      <c r="N81" s="11"/>
      <c r="O81" s="11"/>
      <c r="P81" s="11"/>
      <c r="Q81" s="11">
        <v>1</v>
      </c>
    </row>
    <row r="82" spans="1:18" x14ac:dyDescent="0.25">
      <c r="A82" s="11"/>
      <c r="B82" s="11" t="s">
        <v>27</v>
      </c>
      <c r="C82" s="11" t="s">
        <v>3862</v>
      </c>
      <c r="D82" s="11" t="s">
        <v>3863</v>
      </c>
      <c r="E82" s="11" t="s">
        <v>3864</v>
      </c>
      <c r="F82" s="12">
        <v>12</v>
      </c>
      <c r="G82" s="12">
        <v>528</v>
      </c>
      <c r="H82" s="12">
        <v>30</v>
      </c>
      <c r="I82" s="12">
        <f t="shared" si="3"/>
        <v>498</v>
      </c>
      <c r="J82" s="11" t="s">
        <v>3429</v>
      </c>
      <c r="K82" s="11" t="s">
        <v>33</v>
      </c>
      <c r="L82" s="11" t="s">
        <v>3430</v>
      </c>
      <c r="M82" s="24" t="s">
        <v>340</v>
      </c>
      <c r="N82" s="11"/>
      <c r="O82" s="11"/>
      <c r="P82" s="11"/>
      <c r="Q82" s="11">
        <v>1</v>
      </c>
      <c r="R82" s="5">
        <f>H82</f>
        <v>30</v>
      </c>
    </row>
    <row r="83" spans="1:18" x14ac:dyDescent="0.25">
      <c r="A83" s="11"/>
      <c r="B83" s="11" t="s">
        <v>27</v>
      </c>
      <c r="C83" s="11" t="s">
        <v>3865</v>
      </c>
      <c r="D83" s="11" t="s">
        <v>3866</v>
      </c>
      <c r="E83" s="11" t="s">
        <v>1202</v>
      </c>
      <c r="F83" s="12">
        <v>8</v>
      </c>
      <c r="G83" s="12">
        <v>580</v>
      </c>
      <c r="H83" s="12">
        <v>30</v>
      </c>
      <c r="I83" s="12">
        <f t="shared" si="3"/>
        <v>550</v>
      </c>
      <c r="J83" s="11" t="s">
        <v>3429</v>
      </c>
      <c r="K83" s="11" t="s">
        <v>33</v>
      </c>
      <c r="L83" s="11" t="s">
        <v>3430</v>
      </c>
      <c r="M83" s="11"/>
      <c r="N83" s="11"/>
      <c r="O83" s="11"/>
      <c r="P83" s="11"/>
      <c r="Q83" s="11">
        <v>1</v>
      </c>
    </row>
    <row r="84" spans="1:18" x14ac:dyDescent="0.25">
      <c r="A84" s="11"/>
      <c r="B84" s="11" t="s">
        <v>27</v>
      </c>
      <c r="C84" s="11" t="s">
        <v>3867</v>
      </c>
      <c r="D84" s="11" t="s">
        <v>3868</v>
      </c>
      <c r="E84" s="11" t="s">
        <v>3869</v>
      </c>
      <c r="F84" s="12">
        <v>7</v>
      </c>
      <c r="G84" s="12">
        <v>670</v>
      </c>
      <c r="H84" s="12">
        <v>30</v>
      </c>
      <c r="I84" s="12">
        <f t="shared" si="3"/>
        <v>640</v>
      </c>
      <c r="J84" s="11" t="s">
        <v>3429</v>
      </c>
      <c r="K84" s="11" t="s">
        <v>33</v>
      </c>
      <c r="L84" s="11" t="s">
        <v>3430</v>
      </c>
      <c r="M84" s="11"/>
      <c r="N84" s="11"/>
      <c r="O84" s="11"/>
      <c r="P84" s="11"/>
      <c r="Q84" s="11">
        <v>1</v>
      </c>
    </row>
    <row r="85" spans="1:18" x14ac:dyDescent="0.25">
      <c r="A85" s="11"/>
      <c r="B85" s="11" t="s">
        <v>27</v>
      </c>
      <c r="C85" s="11" t="s">
        <v>3870</v>
      </c>
      <c r="D85" s="11" t="s">
        <v>3871</v>
      </c>
      <c r="E85" s="11" t="s">
        <v>3872</v>
      </c>
      <c r="F85" s="12">
        <v>12</v>
      </c>
      <c r="G85" s="12">
        <v>860</v>
      </c>
      <c r="H85" s="12">
        <v>30</v>
      </c>
      <c r="I85" s="12">
        <f t="shared" si="3"/>
        <v>830</v>
      </c>
      <c r="J85" s="11" t="s">
        <v>3429</v>
      </c>
      <c r="K85" s="11" t="s">
        <v>33</v>
      </c>
      <c r="L85" s="11" t="s">
        <v>3430</v>
      </c>
      <c r="M85" s="11"/>
      <c r="N85" s="11"/>
      <c r="O85" s="11"/>
      <c r="P85" s="11"/>
      <c r="Q85" s="11">
        <v>1</v>
      </c>
    </row>
    <row r="86" spans="1:18" x14ac:dyDescent="0.25">
      <c r="A86" s="11"/>
      <c r="B86" s="11" t="s">
        <v>27</v>
      </c>
      <c r="C86" s="11" t="s">
        <v>3876</v>
      </c>
      <c r="D86" s="11" t="s">
        <v>3877</v>
      </c>
      <c r="E86" s="11" t="s">
        <v>3878</v>
      </c>
      <c r="F86" s="12">
        <v>12</v>
      </c>
      <c r="G86" s="12">
        <v>850</v>
      </c>
      <c r="H86" s="12">
        <v>30</v>
      </c>
      <c r="I86" s="12">
        <f t="shared" si="3"/>
        <v>820</v>
      </c>
      <c r="J86" s="11" t="s">
        <v>3429</v>
      </c>
      <c r="K86" s="11" t="s">
        <v>33</v>
      </c>
      <c r="L86" s="11" t="s">
        <v>3430</v>
      </c>
      <c r="M86" s="11"/>
      <c r="N86" s="11"/>
      <c r="O86" s="11"/>
      <c r="P86" s="11"/>
      <c r="Q86" s="11">
        <v>1</v>
      </c>
    </row>
    <row r="87" spans="1:18" x14ac:dyDescent="0.25">
      <c r="A87" s="11"/>
      <c r="B87" s="11" t="s">
        <v>27</v>
      </c>
      <c r="C87" s="11" t="s">
        <v>3882</v>
      </c>
      <c r="D87" s="11" t="s">
        <v>3883</v>
      </c>
      <c r="E87" s="11" t="s">
        <v>3884</v>
      </c>
      <c r="F87" s="11" t="s">
        <v>444</v>
      </c>
      <c r="G87" s="12">
        <v>2330</v>
      </c>
      <c r="H87" s="12">
        <v>40</v>
      </c>
      <c r="I87" s="12">
        <f t="shared" si="3"/>
        <v>2290</v>
      </c>
      <c r="J87" s="11" t="s">
        <v>3429</v>
      </c>
      <c r="K87" s="11" t="s">
        <v>33</v>
      </c>
      <c r="L87" s="11" t="s">
        <v>3430</v>
      </c>
      <c r="M87" s="11"/>
      <c r="N87" s="11"/>
      <c r="O87" s="11"/>
      <c r="P87" s="11"/>
      <c r="Q87" s="11">
        <v>1</v>
      </c>
    </row>
    <row r="88" spans="1:18" x14ac:dyDescent="0.25">
      <c r="A88" s="11"/>
      <c r="B88" s="11" t="s">
        <v>27</v>
      </c>
      <c r="C88" s="11" t="s">
        <v>3888</v>
      </c>
      <c r="D88" s="11" t="s">
        <v>3889</v>
      </c>
      <c r="E88" s="11" t="s">
        <v>3890</v>
      </c>
      <c r="F88" s="12">
        <v>9</v>
      </c>
      <c r="G88" s="12">
        <v>1330</v>
      </c>
      <c r="H88" s="12">
        <v>30</v>
      </c>
      <c r="I88" s="12">
        <f t="shared" si="3"/>
        <v>1300</v>
      </c>
      <c r="J88" s="11" t="s">
        <v>3429</v>
      </c>
      <c r="K88" s="11" t="s">
        <v>33</v>
      </c>
      <c r="L88" s="11" t="s">
        <v>3430</v>
      </c>
      <c r="M88" s="11"/>
      <c r="N88" s="11"/>
      <c r="O88" s="11"/>
      <c r="P88" s="11"/>
      <c r="Q88" s="11">
        <v>1</v>
      </c>
    </row>
    <row r="89" spans="1:18" x14ac:dyDescent="0.25">
      <c r="A89" s="11"/>
      <c r="B89" s="11" t="s">
        <v>27</v>
      </c>
      <c r="C89" s="11" t="s">
        <v>3894</v>
      </c>
      <c r="D89" s="11" t="s">
        <v>3895</v>
      </c>
      <c r="E89" s="11" t="s">
        <v>3896</v>
      </c>
      <c r="F89" s="11" t="s">
        <v>55</v>
      </c>
      <c r="G89" s="12">
        <v>385</v>
      </c>
      <c r="H89" s="12">
        <v>35</v>
      </c>
      <c r="I89" s="12">
        <f t="shared" si="3"/>
        <v>350</v>
      </c>
      <c r="J89" s="11" t="s">
        <v>3429</v>
      </c>
      <c r="K89" s="11" t="s">
        <v>33</v>
      </c>
      <c r="L89" s="11" t="s">
        <v>3430</v>
      </c>
      <c r="M89" s="11"/>
      <c r="N89" s="11"/>
      <c r="O89" s="11"/>
      <c r="P89" s="11"/>
      <c r="Q89" s="11">
        <v>1</v>
      </c>
    </row>
    <row r="90" spans="1:18" x14ac:dyDescent="0.25">
      <c r="A90" s="11" t="s">
        <v>59</v>
      </c>
      <c r="B90" s="11" t="s">
        <v>27</v>
      </c>
      <c r="C90" s="11" t="s">
        <v>1069</v>
      </c>
      <c r="D90" s="11"/>
      <c r="E90" s="11" t="s">
        <v>3897</v>
      </c>
      <c r="F90" s="11" t="s">
        <v>444</v>
      </c>
      <c r="G90" s="12">
        <v>820</v>
      </c>
      <c r="H90" s="12">
        <v>40</v>
      </c>
      <c r="I90" s="12">
        <f t="shared" si="3"/>
        <v>780</v>
      </c>
      <c r="J90" s="11" t="s">
        <v>3429</v>
      </c>
      <c r="K90" s="11" t="s">
        <v>33</v>
      </c>
      <c r="L90" s="11" t="s">
        <v>3430</v>
      </c>
      <c r="M90" s="11"/>
      <c r="N90" s="11"/>
      <c r="O90" s="11"/>
      <c r="P90" s="11"/>
      <c r="Q90" s="11">
        <v>1</v>
      </c>
    </row>
    <row r="91" spans="1:18" x14ac:dyDescent="0.25">
      <c r="A91" s="11" t="s">
        <v>59</v>
      </c>
      <c r="B91" s="11" t="s">
        <v>27</v>
      </c>
      <c r="C91" s="11" t="s">
        <v>3898</v>
      </c>
      <c r="D91" s="11"/>
      <c r="E91" s="11" t="s">
        <v>3899</v>
      </c>
      <c r="F91" s="12">
        <v>6</v>
      </c>
      <c r="G91" s="12">
        <v>0</v>
      </c>
      <c r="H91" s="12">
        <v>30</v>
      </c>
      <c r="I91" s="12">
        <f t="shared" si="3"/>
        <v>-30</v>
      </c>
      <c r="J91" s="11" t="s">
        <v>3429</v>
      </c>
      <c r="K91" s="11" t="s">
        <v>33</v>
      </c>
      <c r="L91" s="11" t="s">
        <v>3430</v>
      </c>
      <c r="M91" s="11"/>
      <c r="N91" s="11"/>
      <c r="O91" s="11"/>
      <c r="P91" s="11"/>
      <c r="Q91" s="11">
        <v>1</v>
      </c>
      <c r="R91" s="5">
        <f t="shared" ref="R91:R93" si="4">H91</f>
        <v>30</v>
      </c>
    </row>
    <row r="92" spans="1:18" x14ac:dyDescent="0.25">
      <c r="A92" s="11" t="s">
        <v>59</v>
      </c>
      <c r="B92" s="11" t="s">
        <v>27</v>
      </c>
      <c r="C92" s="11" t="s">
        <v>3902</v>
      </c>
      <c r="D92" s="11"/>
      <c r="E92" s="11" t="s">
        <v>3903</v>
      </c>
      <c r="F92" s="11" t="s">
        <v>44</v>
      </c>
      <c r="G92" s="12">
        <v>0</v>
      </c>
      <c r="H92" s="12">
        <v>30</v>
      </c>
      <c r="I92" s="12">
        <f t="shared" si="3"/>
        <v>-30</v>
      </c>
      <c r="J92" s="11" t="s">
        <v>3429</v>
      </c>
      <c r="K92" s="11" t="s">
        <v>33</v>
      </c>
      <c r="L92" s="11" t="s">
        <v>3430</v>
      </c>
      <c r="M92" s="11"/>
      <c r="N92" s="11"/>
      <c r="O92" s="11"/>
      <c r="P92" s="11"/>
      <c r="Q92" s="11">
        <v>1</v>
      </c>
      <c r="R92" s="5">
        <f t="shared" si="4"/>
        <v>30</v>
      </c>
    </row>
    <row r="93" spans="1:18" x14ac:dyDescent="0.25">
      <c r="A93" s="11" t="s">
        <v>59</v>
      </c>
      <c r="B93" s="11" t="s">
        <v>27</v>
      </c>
      <c r="C93" s="11" t="s">
        <v>3904</v>
      </c>
      <c r="D93" s="11"/>
      <c r="E93" s="11" t="s">
        <v>3905</v>
      </c>
      <c r="F93" s="12">
        <v>5</v>
      </c>
      <c r="G93" s="12">
        <v>0</v>
      </c>
      <c r="H93" s="12">
        <v>30</v>
      </c>
      <c r="I93" s="12">
        <f t="shared" si="3"/>
        <v>-30</v>
      </c>
      <c r="J93" s="11" t="s">
        <v>3429</v>
      </c>
      <c r="K93" s="11" t="s">
        <v>33</v>
      </c>
      <c r="L93" s="11" t="s">
        <v>3430</v>
      </c>
      <c r="M93" s="11"/>
      <c r="N93" s="11"/>
      <c r="O93" s="11"/>
      <c r="P93" s="11"/>
      <c r="Q93" s="11">
        <v>1</v>
      </c>
      <c r="R93" s="5">
        <f t="shared" si="4"/>
        <v>30</v>
      </c>
    </row>
    <row r="94" spans="1:18" x14ac:dyDescent="0.25">
      <c r="A94" s="11"/>
      <c r="B94" s="11" t="s">
        <v>27</v>
      </c>
      <c r="C94" s="11" t="s">
        <v>3443</v>
      </c>
      <c r="D94" s="11" t="s">
        <v>3444</v>
      </c>
      <c r="E94" s="11" t="s">
        <v>3445</v>
      </c>
      <c r="F94" s="11" t="s">
        <v>68</v>
      </c>
      <c r="G94" s="12">
        <v>655</v>
      </c>
      <c r="H94" s="12">
        <v>25</v>
      </c>
      <c r="I94" s="12">
        <f t="shared" si="3"/>
        <v>630</v>
      </c>
      <c r="J94" s="11" t="s">
        <v>33</v>
      </c>
      <c r="K94" s="11" t="s">
        <v>33</v>
      </c>
      <c r="L94" s="11" t="s">
        <v>3430</v>
      </c>
      <c r="M94" s="11"/>
      <c r="N94" s="11"/>
      <c r="O94" s="11"/>
      <c r="P94" s="11"/>
      <c r="Q94" s="11">
        <v>1</v>
      </c>
    </row>
    <row r="95" spans="1:18" x14ac:dyDescent="0.25">
      <c r="A95" s="11"/>
      <c r="B95" s="11" t="s">
        <v>27</v>
      </c>
      <c r="C95" s="11" t="s">
        <v>3461</v>
      </c>
      <c r="D95" s="11" t="s">
        <v>3462</v>
      </c>
      <c r="E95" s="11" t="s">
        <v>3463</v>
      </c>
      <c r="F95" s="11" t="s">
        <v>68</v>
      </c>
      <c r="G95" s="12">
        <v>208</v>
      </c>
      <c r="H95" s="12">
        <v>25</v>
      </c>
      <c r="I95" s="12">
        <f t="shared" si="3"/>
        <v>183</v>
      </c>
      <c r="J95" s="11" t="s">
        <v>33</v>
      </c>
      <c r="K95" s="11" t="s">
        <v>33</v>
      </c>
      <c r="L95" s="11" t="s">
        <v>3430</v>
      </c>
      <c r="M95" s="24" t="s">
        <v>340</v>
      </c>
      <c r="N95" s="11"/>
      <c r="O95" s="11"/>
      <c r="P95" s="11"/>
      <c r="Q95" s="11">
        <v>1</v>
      </c>
      <c r="R95" s="5">
        <f>H95</f>
        <v>25</v>
      </c>
    </row>
    <row r="96" spans="1:18" x14ac:dyDescent="0.25">
      <c r="A96" s="11"/>
      <c r="B96" s="11" t="s">
        <v>27</v>
      </c>
      <c r="C96" s="11" t="s">
        <v>3470</v>
      </c>
      <c r="D96" s="11" t="s">
        <v>3471</v>
      </c>
      <c r="E96" s="11" t="s">
        <v>3472</v>
      </c>
      <c r="F96" s="11" t="s">
        <v>68</v>
      </c>
      <c r="G96" s="12">
        <v>1040</v>
      </c>
      <c r="H96" s="12">
        <v>20</v>
      </c>
      <c r="I96" s="12">
        <f t="shared" si="3"/>
        <v>1020</v>
      </c>
      <c r="J96" s="11" t="s">
        <v>33</v>
      </c>
      <c r="K96" s="11" t="s">
        <v>33</v>
      </c>
      <c r="L96" s="11" t="s">
        <v>3430</v>
      </c>
      <c r="M96" s="11"/>
      <c r="N96" s="11"/>
      <c r="O96" s="11"/>
      <c r="P96" s="11"/>
      <c r="Q96" s="11">
        <v>1</v>
      </c>
    </row>
    <row r="97" spans="1:18" x14ac:dyDescent="0.25">
      <c r="A97" s="11"/>
      <c r="B97" s="11" t="s">
        <v>27</v>
      </c>
      <c r="C97" s="11" t="s">
        <v>3479</v>
      </c>
      <c r="D97" s="11" t="s">
        <v>3480</v>
      </c>
      <c r="E97" s="11" t="s">
        <v>3481</v>
      </c>
      <c r="F97" s="11" t="s">
        <v>68</v>
      </c>
      <c r="G97" s="12">
        <v>1385</v>
      </c>
      <c r="H97" s="12">
        <v>25</v>
      </c>
      <c r="I97" s="12">
        <f t="shared" si="3"/>
        <v>1360</v>
      </c>
      <c r="J97" s="11" t="s">
        <v>33</v>
      </c>
      <c r="K97" s="11" t="s">
        <v>33</v>
      </c>
      <c r="L97" s="11" t="s">
        <v>3430</v>
      </c>
      <c r="M97" s="11"/>
      <c r="N97" s="11"/>
      <c r="O97" s="11"/>
      <c r="P97" s="11"/>
      <c r="Q97" s="11">
        <v>1</v>
      </c>
    </row>
    <row r="98" spans="1:18" x14ac:dyDescent="0.25">
      <c r="A98" s="11"/>
      <c r="B98" s="11" t="s">
        <v>27</v>
      </c>
      <c r="C98" s="11" t="s">
        <v>3485</v>
      </c>
      <c r="D98" s="11" t="s">
        <v>3486</v>
      </c>
      <c r="E98" s="11" t="s">
        <v>3487</v>
      </c>
      <c r="F98" s="11" t="s">
        <v>78</v>
      </c>
      <c r="G98" s="12">
        <v>440</v>
      </c>
      <c r="H98" s="12">
        <v>20</v>
      </c>
      <c r="I98" s="12">
        <f t="shared" si="3"/>
        <v>420</v>
      </c>
      <c r="J98" s="11" t="s">
        <v>33</v>
      </c>
      <c r="K98" s="11" t="s">
        <v>33</v>
      </c>
      <c r="L98" s="11" t="s">
        <v>3430</v>
      </c>
      <c r="M98" s="11"/>
      <c r="N98" s="11"/>
      <c r="O98" s="11"/>
      <c r="P98" s="11"/>
      <c r="Q98" s="11">
        <v>1</v>
      </c>
    </row>
    <row r="99" spans="1:18" x14ac:dyDescent="0.25">
      <c r="A99" s="11"/>
      <c r="B99" s="11" t="s">
        <v>27</v>
      </c>
      <c r="C99" s="11" t="s">
        <v>3491</v>
      </c>
      <c r="D99" s="11" t="s">
        <v>3492</v>
      </c>
      <c r="E99" s="11" t="s">
        <v>3493</v>
      </c>
      <c r="F99" s="11" t="s">
        <v>78</v>
      </c>
      <c r="G99" s="12">
        <v>930</v>
      </c>
      <c r="H99" s="12">
        <v>20</v>
      </c>
      <c r="I99" s="12">
        <f t="shared" ref="I99:I130" si="5">G99-H99</f>
        <v>910</v>
      </c>
      <c r="J99" s="11" t="s">
        <v>33</v>
      </c>
      <c r="K99" s="11" t="s">
        <v>33</v>
      </c>
      <c r="L99" s="11" t="s">
        <v>3430</v>
      </c>
      <c r="M99" s="11"/>
      <c r="N99" s="11"/>
      <c r="O99" s="11"/>
      <c r="P99" s="11"/>
      <c r="Q99" s="11">
        <v>1</v>
      </c>
    </row>
    <row r="100" spans="1:18" x14ac:dyDescent="0.25">
      <c r="A100" s="11"/>
      <c r="B100" s="11" t="s">
        <v>27</v>
      </c>
      <c r="C100" s="11" t="s">
        <v>3494</v>
      </c>
      <c r="D100" s="11" t="s">
        <v>3495</v>
      </c>
      <c r="E100" s="11" t="s">
        <v>3496</v>
      </c>
      <c r="F100" s="11" t="s">
        <v>78</v>
      </c>
      <c r="G100" s="12">
        <v>720</v>
      </c>
      <c r="H100" s="12">
        <v>20</v>
      </c>
      <c r="I100" s="12">
        <f t="shared" si="5"/>
        <v>700</v>
      </c>
      <c r="J100" s="11" t="s">
        <v>33</v>
      </c>
      <c r="K100" s="11" t="s">
        <v>33</v>
      </c>
      <c r="L100" s="11" t="s">
        <v>3430</v>
      </c>
      <c r="M100" s="11"/>
      <c r="N100" s="11"/>
      <c r="O100" s="11"/>
      <c r="P100" s="11"/>
      <c r="Q100" s="11">
        <v>1</v>
      </c>
    </row>
    <row r="101" spans="1:18" x14ac:dyDescent="0.25">
      <c r="A101" s="11"/>
      <c r="B101" s="11" t="s">
        <v>27</v>
      </c>
      <c r="C101" s="11" t="s">
        <v>3504</v>
      </c>
      <c r="D101" s="11" t="s">
        <v>3505</v>
      </c>
      <c r="E101" s="11" t="s">
        <v>3506</v>
      </c>
      <c r="F101" s="11" t="s">
        <v>78</v>
      </c>
      <c r="G101" s="12">
        <v>880</v>
      </c>
      <c r="H101" s="12">
        <v>20</v>
      </c>
      <c r="I101" s="12">
        <f t="shared" si="5"/>
        <v>860</v>
      </c>
      <c r="J101" s="11" t="s">
        <v>33</v>
      </c>
      <c r="K101" s="11" t="s">
        <v>33</v>
      </c>
      <c r="L101" s="11" t="s">
        <v>3430</v>
      </c>
      <c r="M101" s="11"/>
      <c r="N101" s="11"/>
      <c r="O101" s="11"/>
      <c r="P101" s="11"/>
      <c r="Q101" s="11">
        <v>1</v>
      </c>
    </row>
    <row r="102" spans="1:18" x14ac:dyDescent="0.25">
      <c r="A102" s="11"/>
      <c r="B102" s="11" t="s">
        <v>27</v>
      </c>
      <c r="C102" s="11" t="s">
        <v>3511</v>
      </c>
      <c r="D102" s="11" t="s">
        <v>3512</v>
      </c>
      <c r="E102" s="11" t="s">
        <v>3513</v>
      </c>
      <c r="F102" s="11" t="s">
        <v>68</v>
      </c>
      <c r="G102" s="12">
        <v>435</v>
      </c>
      <c r="H102" s="12">
        <v>25</v>
      </c>
      <c r="I102" s="12">
        <f t="shared" si="5"/>
        <v>410</v>
      </c>
      <c r="J102" s="11" t="s">
        <v>33</v>
      </c>
      <c r="K102" s="11" t="s">
        <v>33</v>
      </c>
      <c r="L102" s="11" t="s">
        <v>3430</v>
      </c>
      <c r="M102" s="11"/>
      <c r="N102" s="11"/>
      <c r="O102" s="11"/>
      <c r="P102" s="11"/>
      <c r="Q102" s="11">
        <v>1</v>
      </c>
    </row>
    <row r="103" spans="1:18" x14ac:dyDescent="0.25">
      <c r="A103" s="11"/>
      <c r="B103" s="11" t="s">
        <v>27</v>
      </c>
      <c r="C103" s="11" t="s">
        <v>3517</v>
      </c>
      <c r="D103" s="11" t="s">
        <v>3518</v>
      </c>
      <c r="E103" s="11" t="s">
        <v>3519</v>
      </c>
      <c r="F103" s="11" t="s">
        <v>78</v>
      </c>
      <c r="G103" s="12">
        <v>470</v>
      </c>
      <c r="H103" s="12">
        <v>20</v>
      </c>
      <c r="I103" s="12">
        <f t="shared" si="5"/>
        <v>450</v>
      </c>
      <c r="J103" s="11" t="s">
        <v>33</v>
      </c>
      <c r="K103" s="11" t="s">
        <v>33</v>
      </c>
      <c r="L103" s="11" t="s">
        <v>3430</v>
      </c>
      <c r="M103" s="11"/>
      <c r="N103" s="11"/>
      <c r="O103" s="11"/>
      <c r="P103" s="11"/>
      <c r="Q103" s="11">
        <v>1</v>
      </c>
    </row>
    <row r="104" spans="1:18" x14ac:dyDescent="0.25">
      <c r="A104" s="11"/>
      <c r="B104" s="11" t="s">
        <v>27</v>
      </c>
      <c r="C104" s="11" t="s">
        <v>3526</v>
      </c>
      <c r="D104" s="11" t="s">
        <v>3527</v>
      </c>
      <c r="E104" s="11" t="s">
        <v>3528</v>
      </c>
      <c r="F104" s="11" t="s">
        <v>78</v>
      </c>
      <c r="G104" s="12">
        <v>740</v>
      </c>
      <c r="H104" s="12">
        <v>20</v>
      </c>
      <c r="I104" s="12">
        <f t="shared" si="5"/>
        <v>720</v>
      </c>
      <c r="J104" s="11" t="s">
        <v>33</v>
      </c>
      <c r="K104" s="11" t="s">
        <v>33</v>
      </c>
      <c r="L104" s="11" t="s">
        <v>3430</v>
      </c>
      <c r="M104" s="11"/>
      <c r="N104" s="11"/>
      <c r="O104" s="11"/>
      <c r="P104" s="11"/>
      <c r="Q104" s="11">
        <v>1</v>
      </c>
    </row>
    <row r="105" spans="1:18" x14ac:dyDescent="0.25">
      <c r="A105" s="11"/>
      <c r="B105" s="11" t="s">
        <v>27</v>
      </c>
      <c r="C105" s="11" t="s">
        <v>3529</v>
      </c>
      <c r="D105" s="11" t="s">
        <v>3530</v>
      </c>
      <c r="E105" s="11" t="s">
        <v>3531</v>
      </c>
      <c r="F105" s="11" t="s">
        <v>68</v>
      </c>
      <c r="G105" s="12">
        <v>755</v>
      </c>
      <c r="H105" s="12">
        <v>25</v>
      </c>
      <c r="I105" s="12">
        <f t="shared" si="5"/>
        <v>730</v>
      </c>
      <c r="J105" s="11" t="s">
        <v>33</v>
      </c>
      <c r="K105" s="11" t="s">
        <v>33</v>
      </c>
      <c r="L105" s="11" t="s">
        <v>3430</v>
      </c>
      <c r="M105" s="11"/>
      <c r="N105" s="11"/>
      <c r="O105" s="11"/>
      <c r="P105" s="11"/>
      <c r="Q105" s="11">
        <v>1</v>
      </c>
    </row>
    <row r="106" spans="1:18" x14ac:dyDescent="0.25">
      <c r="A106" s="11"/>
      <c r="B106" s="11" t="s">
        <v>27</v>
      </c>
      <c r="C106" s="11" t="s">
        <v>3543</v>
      </c>
      <c r="D106" s="11" t="s">
        <v>3544</v>
      </c>
      <c r="E106" s="11" t="s">
        <v>3545</v>
      </c>
      <c r="F106" s="12">
        <v>2</v>
      </c>
      <c r="G106" s="12">
        <v>1300</v>
      </c>
      <c r="H106" s="12">
        <v>30</v>
      </c>
      <c r="I106" s="12">
        <f t="shared" si="5"/>
        <v>1270</v>
      </c>
      <c r="J106" s="11" t="s">
        <v>33</v>
      </c>
      <c r="K106" s="11" t="s">
        <v>33</v>
      </c>
      <c r="L106" s="11" t="s">
        <v>3430</v>
      </c>
      <c r="M106" s="11"/>
      <c r="N106" s="11"/>
      <c r="O106" s="11"/>
      <c r="P106" s="11"/>
      <c r="Q106" s="11">
        <v>1</v>
      </c>
    </row>
    <row r="107" spans="1:18" x14ac:dyDescent="0.25">
      <c r="A107" s="11"/>
      <c r="B107" s="11" t="s">
        <v>27</v>
      </c>
      <c r="C107" s="11" t="s">
        <v>3546</v>
      </c>
      <c r="D107" s="11" t="s">
        <v>3547</v>
      </c>
      <c r="E107" s="11" t="s">
        <v>3548</v>
      </c>
      <c r="F107" s="11" t="s">
        <v>78</v>
      </c>
      <c r="G107" s="12">
        <v>790</v>
      </c>
      <c r="H107" s="12">
        <v>20</v>
      </c>
      <c r="I107" s="12">
        <f t="shared" si="5"/>
        <v>770</v>
      </c>
      <c r="J107" s="11" t="s">
        <v>33</v>
      </c>
      <c r="K107" s="11" t="s">
        <v>33</v>
      </c>
      <c r="L107" s="11" t="s">
        <v>3430</v>
      </c>
      <c r="M107" s="11"/>
      <c r="N107" s="11"/>
      <c r="O107" s="11"/>
      <c r="P107" s="11"/>
      <c r="Q107" s="11">
        <v>1</v>
      </c>
    </row>
    <row r="108" spans="1:18" x14ac:dyDescent="0.25">
      <c r="A108" s="11"/>
      <c r="B108" s="11" t="s">
        <v>27</v>
      </c>
      <c r="C108" s="11" t="s">
        <v>3555</v>
      </c>
      <c r="D108" s="11" t="s">
        <v>3556</v>
      </c>
      <c r="E108" s="11" t="s">
        <v>3557</v>
      </c>
      <c r="F108" s="11" t="s">
        <v>78</v>
      </c>
      <c r="G108" s="12">
        <v>398</v>
      </c>
      <c r="H108" s="12">
        <v>20</v>
      </c>
      <c r="I108" s="12">
        <f t="shared" si="5"/>
        <v>378</v>
      </c>
      <c r="J108" s="11" t="s">
        <v>33</v>
      </c>
      <c r="K108" s="11" t="s">
        <v>33</v>
      </c>
      <c r="L108" s="11" t="s">
        <v>3430</v>
      </c>
      <c r="M108" s="24" t="s">
        <v>340</v>
      </c>
      <c r="N108" s="11"/>
      <c r="O108" s="11"/>
      <c r="P108" s="11"/>
      <c r="Q108" s="11">
        <v>1</v>
      </c>
      <c r="R108" s="5">
        <f>H108</f>
        <v>20</v>
      </c>
    </row>
    <row r="109" spans="1:18" x14ac:dyDescent="0.25">
      <c r="A109" s="11"/>
      <c r="B109" s="11" t="s">
        <v>27</v>
      </c>
      <c r="C109" s="11" t="s">
        <v>3567</v>
      </c>
      <c r="D109" s="11" t="s">
        <v>3568</v>
      </c>
      <c r="E109" s="11" t="s">
        <v>3569</v>
      </c>
      <c r="F109" s="12">
        <v>2</v>
      </c>
      <c r="G109" s="12">
        <v>620</v>
      </c>
      <c r="H109" s="12">
        <v>30</v>
      </c>
      <c r="I109" s="12">
        <f t="shared" si="5"/>
        <v>590</v>
      </c>
      <c r="J109" s="11" t="s">
        <v>33</v>
      </c>
      <c r="K109" s="11" t="s">
        <v>33</v>
      </c>
      <c r="L109" s="11" t="s">
        <v>3430</v>
      </c>
      <c r="M109" s="11"/>
      <c r="N109" s="11"/>
      <c r="O109" s="11"/>
      <c r="P109" s="11"/>
      <c r="Q109" s="11">
        <v>1</v>
      </c>
    </row>
    <row r="110" spans="1:18" x14ac:dyDescent="0.25">
      <c r="A110" s="11"/>
      <c r="B110" s="11" t="s">
        <v>27</v>
      </c>
      <c r="C110" s="11" t="s">
        <v>3593</v>
      </c>
      <c r="D110" s="11" t="s">
        <v>3594</v>
      </c>
      <c r="E110" s="11" t="s">
        <v>3595</v>
      </c>
      <c r="F110" s="11" t="s">
        <v>78</v>
      </c>
      <c r="G110" s="12">
        <v>2055</v>
      </c>
      <c r="H110" s="12">
        <v>25</v>
      </c>
      <c r="I110" s="12">
        <f t="shared" si="5"/>
        <v>2030</v>
      </c>
      <c r="J110" s="11" t="s">
        <v>33</v>
      </c>
      <c r="K110" s="11" t="s">
        <v>33</v>
      </c>
      <c r="L110" s="11" t="s">
        <v>3430</v>
      </c>
      <c r="M110" s="11"/>
      <c r="N110" s="11"/>
      <c r="O110" s="11"/>
      <c r="P110" s="11"/>
      <c r="Q110" s="11">
        <v>1</v>
      </c>
    </row>
    <row r="111" spans="1:18" x14ac:dyDescent="0.25">
      <c r="A111" s="11"/>
      <c r="B111" s="11" t="s">
        <v>27</v>
      </c>
      <c r="C111" s="11" t="s">
        <v>3599</v>
      </c>
      <c r="D111" s="11" t="s">
        <v>3600</v>
      </c>
      <c r="E111" s="11" t="s">
        <v>3601</v>
      </c>
      <c r="F111" s="11" t="s">
        <v>78</v>
      </c>
      <c r="G111" s="12">
        <v>1860</v>
      </c>
      <c r="H111" s="12">
        <v>20</v>
      </c>
      <c r="I111" s="12">
        <f t="shared" si="5"/>
        <v>1840</v>
      </c>
      <c r="J111" s="11" t="s">
        <v>33</v>
      </c>
      <c r="K111" s="11" t="s">
        <v>33</v>
      </c>
      <c r="L111" s="11" t="s">
        <v>3430</v>
      </c>
      <c r="M111" s="11"/>
      <c r="N111" s="11"/>
      <c r="O111" s="11"/>
      <c r="P111" s="11"/>
      <c r="Q111" s="11">
        <v>1</v>
      </c>
    </row>
    <row r="112" spans="1:18" x14ac:dyDescent="0.25">
      <c r="A112" s="11"/>
      <c r="B112" s="11" t="s">
        <v>27</v>
      </c>
      <c r="C112" s="11" t="s">
        <v>3602</v>
      </c>
      <c r="D112" s="11" t="s">
        <v>3603</v>
      </c>
      <c r="E112" s="11" t="s">
        <v>3604</v>
      </c>
      <c r="F112" s="11" t="s">
        <v>78</v>
      </c>
      <c r="G112" s="12">
        <v>2018</v>
      </c>
      <c r="H112" s="12">
        <v>25</v>
      </c>
      <c r="I112" s="12">
        <f t="shared" si="5"/>
        <v>1993</v>
      </c>
      <c r="J112" s="11" t="s">
        <v>33</v>
      </c>
      <c r="K112" s="11" t="s">
        <v>33</v>
      </c>
      <c r="L112" s="11" t="s">
        <v>3430</v>
      </c>
      <c r="M112" s="24" t="s">
        <v>340</v>
      </c>
      <c r="N112" s="11"/>
      <c r="O112" s="11"/>
      <c r="P112" s="11"/>
      <c r="Q112" s="11">
        <v>1</v>
      </c>
      <c r="R112" s="5">
        <f>H112</f>
        <v>25</v>
      </c>
    </row>
    <row r="113" spans="1:18" x14ac:dyDescent="0.25">
      <c r="A113" s="11"/>
      <c r="B113" s="11" t="s">
        <v>27</v>
      </c>
      <c r="C113" s="11" t="s">
        <v>3631</v>
      </c>
      <c r="D113" s="11" t="s">
        <v>3632</v>
      </c>
      <c r="E113" s="11" t="s">
        <v>3633</v>
      </c>
      <c r="F113" s="11" t="s">
        <v>68</v>
      </c>
      <c r="G113" s="12">
        <v>375</v>
      </c>
      <c r="H113" s="12">
        <v>25</v>
      </c>
      <c r="I113" s="12">
        <f t="shared" si="5"/>
        <v>350</v>
      </c>
      <c r="J113" s="11" t="s">
        <v>33</v>
      </c>
      <c r="K113" s="11" t="s">
        <v>33</v>
      </c>
      <c r="L113" s="11" t="s">
        <v>3430</v>
      </c>
      <c r="M113" s="11"/>
      <c r="N113" s="11"/>
      <c r="O113" s="11"/>
      <c r="P113" s="11"/>
      <c r="Q113" s="11">
        <v>1</v>
      </c>
    </row>
    <row r="114" spans="1:18" x14ac:dyDescent="0.25">
      <c r="A114" s="11"/>
      <c r="B114" s="11" t="s">
        <v>27</v>
      </c>
      <c r="C114" s="11" t="s">
        <v>3634</v>
      </c>
      <c r="D114" s="11" t="s">
        <v>3635</v>
      </c>
      <c r="E114" s="11" t="s">
        <v>3636</v>
      </c>
      <c r="F114" s="11" t="s">
        <v>68</v>
      </c>
      <c r="G114" s="12">
        <v>395</v>
      </c>
      <c r="H114" s="12">
        <v>25</v>
      </c>
      <c r="I114" s="12">
        <f t="shared" si="5"/>
        <v>370</v>
      </c>
      <c r="J114" s="11" t="s">
        <v>33</v>
      </c>
      <c r="K114" s="11" t="s">
        <v>33</v>
      </c>
      <c r="L114" s="11" t="s">
        <v>3430</v>
      </c>
      <c r="M114" s="11"/>
      <c r="N114" s="11"/>
      <c r="O114" s="11"/>
      <c r="P114" s="11"/>
      <c r="Q114" s="11">
        <v>1</v>
      </c>
    </row>
    <row r="115" spans="1:18" x14ac:dyDescent="0.25">
      <c r="A115" s="11"/>
      <c r="B115" s="11" t="s">
        <v>27</v>
      </c>
      <c r="C115" s="11" t="s">
        <v>3648</v>
      </c>
      <c r="D115" s="11" t="s">
        <v>3649</v>
      </c>
      <c r="E115" s="11" t="s">
        <v>2508</v>
      </c>
      <c r="F115" s="11" t="s">
        <v>68</v>
      </c>
      <c r="G115" s="12">
        <v>385</v>
      </c>
      <c r="H115" s="12">
        <v>25</v>
      </c>
      <c r="I115" s="12">
        <f t="shared" si="5"/>
        <v>360</v>
      </c>
      <c r="J115" s="11" t="s">
        <v>33</v>
      </c>
      <c r="K115" s="11" t="s">
        <v>33</v>
      </c>
      <c r="L115" s="11" t="s">
        <v>3430</v>
      </c>
      <c r="M115" s="11"/>
      <c r="N115" s="11"/>
      <c r="O115" s="11"/>
      <c r="P115" s="11"/>
      <c r="Q115" s="11">
        <v>1</v>
      </c>
    </row>
    <row r="116" spans="1:18" x14ac:dyDescent="0.25">
      <c r="A116" s="11"/>
      <c r="B116" s="11" t="s">
        <v>27</v>
      </c>
      <c r="C116" s="11" t="s">
        <v>3673</v>
      </c>
      <c r="D116" s="11" t="s">
        <v>3674</v>
      </c>
      <c r="E116" s="11" t="s">
        <v>3675</v>
      </c>
      <c r="F116" s="12">
        <v>2</v>
      </c>
      <c r="G116" s="12">
        <v>240</v>
      </c>
      <c r="H116" s="12">
        <v>30</v>
      </c>
      <c r="I116" s="12">
        <f t="shared" si="5"/>
        <v>210</v>
      </c>
      <c r="J116" s="11" t="s">
        <v>33</v>
      </c>
      <c r="K116" s="11" t="s">
        <v>33</v>
      </c>
      <c r="L116" s="11" t="s">
        <v>3430</v>
      </c>
      <c r="M116" s="11"/>
      <c r="N116" s="11"/>
      <c r="O116" s="11"/>
      <c r="P116" s="11"/>
      <c r="Q116" s="11">
        <v>1</v>
      </c>
    </row>
    <row r="117" spans="1:18" x14ac:dyDescent="0.25">
      <c r="A117" s="11"/>
      <c r="B117" s="11" t="s">
        <v>27</v>
      </c>
      <c r="C117" s="11" t="s">
        <v>3676</v>
      </c>
      <c r="D117" s="11" t="s">
        <v>3677</v>
      </c>
      <c r="E117" s="11" t="s">
        <v>3678</v>
      </c>
      <c r="F117" s="11" t="s">
        <v>78</v>
      </c>
      <c r="G117" s="12">
        <v>1670</v>
      </c>
      <c r="H117" s="12">
        <v>20</v>
      </c>
      <c r="I117" s="12">
        <f t="shared" si="5"/>
        <v>1650</v>
      </c>
      <c r="J117" s="11" t="s">
        <v>33</v>
      </c>
      <c r="K117" s="11" t="s">
        <v>33</v>
      </c>
      <c r="L117" s="11" t="s">
        <v>3430</v>
      </c>
      <c r="M117" s="11"/>
      <c r="N117" s="11"/>
      <c r="O117" s="11"/>
      <c r="P117" s="11"/>
      <c r="Q117" s="11">
        <v>1</v>
      </c>
    </row>
    <row r="118" spans="1:18" x14ac:dyDescent="0.25">
      <c r="A118" s="11"/>
      <c r="B118" s="11" t="s">
        <v>27</v>
      </c>
      <c r="C118" s="11" t="s">
        <v>3682</v>
      </c>
      <c r="D118" s="11" t="s">
        <v>3683</v>
      </c>
      <c r="E118" s="11" t="s">
        <v>3684</v>
      </c>
      <c r="F118" s="11" t="s">
        <v>68</v>
      </c>
      <c r="G118" s="12">
        <v>995</v>
      </c>
      <c r="H118" s="12">
        <v>25</v>
      </c>
      <c r="I118" s="12">
        <f t="shared" si="5"/>
        <v>970</v>
      </c>
      <c r="J118" s="11" t="s">
        <v>33</v>
      </c>
      <c r="K118" s="11" t="s">
        <v>33</v>
      </c>
      <c r="L118" s="11" t="s">
        <v>3430</v>
      </c>
      <c r="M118" s="11"/>
      <c r="N118" s="11"/>
      <c r="O118" s="11"/>
      <c r="P118" s="11"/>
      <c r="Q118" s="11">
        <v>1</v>
      </c>
    </row>
    <row r="119" spans="1:18" x14ac:dyDescent="0.25">
      <c r="A119" s="11"/>
      <c r="B119" s="11" t="s">
        <v>27</v>
      </c>
      <c r="C119" s="11" t="s">
        <v>2088</v>
      </c>
      <c r="D119" s="11" t="s">
        <v>3712</v>
      </c>
      <c r="E119" s="11" t="s">
        <v>2090</v>
      </c>
      <c r="F119" s="12">
        <v>2</v>
      </c>
      <c r="G119" s="12">
        <v>640</v>
      </c>
      <c r="H119" s="12">
        <v>30</v>
      </c>
      <c r="I119" s="12">
        <f t="shared" si="5"/>
        <v>610</v>
      </c>
      <c r="J119" s="11" t="s">
        <v>33</v>
      </c>
      <c r="K119" s="11" t="s">
        <v>33</v>
      </c>
      <c r="L119" s="11" t="s">
        <v>3430</v>
      </c>
      <c r="M119" s="11"/>
      <c r="N119" s="11"/>
      <c r="O119" s="11"/>
      <c r="P119" s="11"/>
      <c r="Q119" s="11">
        <v>1</v>
      </c>
    </row>
    <row r="120" spans="1:18" x14ac:dyDescent="0.25">
      <c r="A120" s="11"/>
      <c r="B120" s="11" t="s">
        <v>27</v>
      </c>
      <c r="C120" s="11" t="s">
        <v>3756</v>
      </c>
      <c r="D120" s="11" t="s">
        <v>3757</v>
      </c>
      <c r="E120" s="11" t="s">
        <v>3758</v>
      </c>
      <c r="F120" s="12">
        <v>2</v>
      </c>
      <c r="G120" s="12">
        <v>520</v>
      </c>
      <c r="H120" s="12">
        <v>30</v>
      </c>
      <c r="I120" s="12">
        <f t="shared" si="5"/>
        <v>490</v>
      </c>
      <c r="J120" s="11" t="s">
        <v>33</v>
      </c>
      <c r="K120" s="11" t="s">
        <v>33</v>
      </c>
      <c r="L120" s="11" t="s">
        <v>3430</v>
      </c>
      <c r="M120" s="11"/>
      <c r="N120" s="11"/>
      <c r="O120" s="11"/>
      <c r="P120" s="11"/>
      <c r="Q120" s="11">
        <v>1</v>
      </c>
    </row>
    <row r="121" spans="1:18" x14ac:dyDescent="0.25">
      <c r="A121" s="11"/>
      <c r="B121" s="11" t="s">
        <v>27</v>
      </c>
      <c r="C121" s="11" t="s">
        <v>3771</v>
      </c>
      <c r="D121" s="11" t="s">
        <v>3772</v>
      </c>
      <c r="E121" s="11" t="s">
        <v>3773</v>
      </c>
      <c r="F121" s="12">
        <v>12</v>
      </c>
      <c r="G121" s="12">
        <v>720</v>
      </c>
      <c r="H121" s="12">
        <v>30</v>
      </c>
      <c r="I121" s="12">
        <f t="shared" si="5"/>
        <v>690</v>
      </c>
      <c r="J121" s="11" t="s">
        <v>33</v>
      </c>
      <c r="K121" s="11" t="s">
        <v>33</v>
      </c>
      <c r="L121" s="11" t="s">
        <v>3430</v>
      </c>
      <c r="M121" s="11"/>
      <c r="N121" s="11"/>
      <c r="O121" s="11"/>
      <c r="P121" s="11"/>
      <c r="Q121" s="11">
        <v>1</v>
      </c>
    </row>
    <row r="122" spans="1:18" x14ac:dyDescent="0.25">
      <c r="A122" s="11"/>
      <c r="B122" s="11" t="s">
        <v>27</v>
      </c>
      <c r="C122" s="11" t="s">
        <v>3776</v>
      </c>
      <c r="D122" s="11" t="s">
        <v>3777</v>
      </c>
      <c r="E122" s="11" t="s">
        <v>3778</v>
      </c>
      <c r="F122" s="11" t="s">
        <v>68</v>
      </c>
      <c r="G122" s="12">
        <v>1048</v>
      </c>
      <c r="H122" s="12">
        <v>25</v>
      </c>
      <c r="I122" s="12">
        <f t="shared" si="5"/>
        <v>1023</v>
      </c>
      <c r="J122" s="11" t="s">
        <v>33</v>
      </c>
      <c r="K122" s="11" t="s">
        <v>33</v>
      </c>
      <c r="L122" s="11" t="s">
        <v>3430</v>
      </c>
      <c r="M122" s="24" t="s">
        <v>340</v>
      </c>
      <c r="N122" s="11"/>
      <c r="O122" s="11"/>
      <c r="P122" s="11"/>
      <c r="Q122" s="11">
        <v>1</v>
      </c>
      <c r="R122" s="5">
        <f>H122</f>
        <v>25</v>
      </c>
    </row>
    <row r="123" spans="1:18" x14ac:dyDescent="0.25">
      <c r="A123" s="11"/>
      <c r="B123" s="11" t="s">
        <v>27</v>
      </c>
      <c r="C123" s="11" t="s">
        <v>3799</v>
      </c>
      <c r="D123" s="11" t="s">
        <v>3800</v>
      </c>
      <c r="E123" s="11" t="s">
        <v>3801</v>
      </c>
      <c r="F123" s="11" t="s">
        <v>68</v>
      </c>
      <c r="G123" s="12">
        <v>415</v>
      </c>
      <c r="H123" s="12">
        <v>25</v>
      </c>
      <c r="I123" s="12">
        <f t="shared" si="5"/>
        <v>390</v>
      </c>
      <c r="J123" s="11" t="s">
        <v>33</v>
      </c>
      <c r="K123" s="11" t="s">
        <v>33</v>
      </c>
      <c r="L123" s="11" t="s">
        <v>3430</v>
      </c>
      <c r="M123" s="11"/>
      <c r="N123" s="11"/>
      <c r="O123" s="11"/>
      <c r="P123" s="11"/>
      <c r="Q123" s="11">
        <v>1</v>
      </c>
    </row>
    <row r="124" spans="1:18" x14ac:dyDescent="0.25">
      <c r="A124" s="11"/>
      <c r="B124" s="11" t="s">
        <v>27</v>
      </c>
      <c r="C124" s="11" t="s">
        <v>3811</v>
      </c>
      <c r="D124" s="11" t="s">
        <v>3812</v>
      </c>
      <c r="E124" s="11" t="s">
        <v>3813</v>
      </c>
      <c r="F124" s="11" t="s">
        <v>78</v>
      </c>
      <c r="G124" s="12">
        <v>490</v>
      </c>
      <c r="H124" s="12">
        <v>20</v>
      </c>
      <c r="I124" s="12">
        <f t="shared" si="5"/>
        <v>470</v>
      </c>
      <c r="J124" s="11" t="s">
        <v>33</v>
      </c>
      <c r="K124" s="11" t="s">
        <v>33</v>
      </c>
      <c r="L124" s="11" t="s">
        <v>3430</v>
      </c>
      <c r="M124" s="11"/>
      <c r="N124" s="11"/>
      <c r="O124" s="11"/>
      <c r="P124" s="11"/>
      <c r="Q124" s="11">
        <v>1</v>
      </c>
    </row>
    <row r="125" spans="1:18" x14ac:dyDescent="0.25">
      <c r="A125" s="11"/>
      <c r="B125" s="11" t="s">
        <v>27</v>
      </c>
      <c r="C125" s="11" t="s">
        <v>3820</v>
      </c>
      <c r="D125" s="11" t="s">
        <v>3821</v>
      </c>
      <c r="E125" s="11" t="s">
        <v>3822</v>
      </c>
      <c r="F125" s="11" t="s">
        <v>68</v>
      </c>
      <c r="G125" s="12">
        <v>315</v>
      </c>
      <c r="H125" s="12">
        <v>25</v>
      </c>
      <c r="I125" s="12">
        <f t="shared" si="5"/>
        <v>290</v>
      </c>
      <c r="J125" s="11" t="s">
        <v>33</v>
      </c>
      <c r="K125" s="11" t="s">
        <v>33</v>
      </c>
      <c r="L125" s="11" t="s">
        <v>3430</v>
      </c>
      <c r="M125" s="11"/>
      <c r="N125" s="11"/>
      <c r="O125" s="11"/>
      <c r="P125" s="11"/>
      <c r="Q125" s="11">
        <v>1</v>
      </c>
    </row>
    <row r="126" spans="1:18" x14ac:dyDescent="0.25">
      <c r="A126" s="11"/>
      <c r="B126" s="11" t="s">
        <v>27</v>
      </c>
      <c r="C126" s="11" t="s">
        <v>3829</v>
      </c>
      <c r="D126" s="11" t="s">
        <v>3830</v>
      </c>
      <c r="E126" s="11" t="s">
        <v>3831</v>
      </c>
      <c r="F126" s="12">
        <v>2</v>
      </c>
      <c r="G126" s="12">
        <v>350</v>
      </c>
      <c r="H126" s="12">
        <v>30</v>
      </c>
      <c r="I126" s="12">
        <f t="shared" si="5"/>
        <v>320</v>
      </c>
      <c r="J126" s="11" t="s">
        <v>33</v>
      </c>
      <c r="K126" s="11" t="s">
        <v>33</v>
      </c>
      <c r="L126" s="11" t="s">
        <v>3430</v>
      </c>
      <c r="M126" s="11"/>
      <c r="N126" s="11"/>
      <c r="O126" s="11"/>
      <c r="P126" s="11"/>
      <c r="Q126" s="11">
        <v>1</v>
      </c>
    </row>
    <row r="127" spans="1:18" x14ac:dyDescent="0.25">
      <c r="A127" s="11"/>
      <c r="B127" s="11" t="s">
        <v>27</v>
      </c>
      <c r="C127" s="11" t="s">
        <v>3847</v>
      </c>
      <c r="D127" s="11" t="s">
        <v>3848</v>
      </c>
      <c r="E127" s="11" t="s">
        <v>3849</v>
      </c>
      <c r="F127" s="11" t="s">
        <v>68</v>
      </c>
      <c r="G127" s="12">
        <v>785</v>
      </c>
      <c r="H127" s="12">
        <v>25</v>
      </c>
      <c r="I127" s="12">
        <f t="shared" si="5"/>
        <v>760</v>
      </c>
      <c r="J127" s="11" t="s">
        <v>33</v>
      </c>
      <c r="K127" s="11" t="s">
        <v>33</v>
      </c>
      <c r="L127" s="11" t="s">
        <v>3430</v>
      </c>
      <c r="M127" s="11"/>
      <c r="N127" s="11"/>
      <c r="O127" s="11"/>
      <c r="P127" s="11"/>
      <c r="Q127" s="11">
        <v>1</v>
      </c>
    </row>
    <row r="128" spans="1:18" x14ac:dyDescent="0.25">
      <c r="A128" s="11"/>
      <c r="B128" s="11" t="s">
        <v>27</v>
      </c>
      <c r="C128" s="11" t="s">
        <v>3856</v>
      </c>
      <c r="D128" s="11" t="s">
        <v>3857</v>
      </c>
      <c r="E128" s="11" t="s">
        <v>3858</v>
      </c>
      <c r="F128" s="11" t="s">
        <v>78</v>
      </c>
      <c r="G128" s="12">
        <v>1810</v>
      </c>
      <c r="H128" s="12">
        <v>20</v>
      </c>
      <c r="I128" s="12">
        <f t="shared" si="5"/>
        <v>1790</v>
      </c>
      <c r="J128" s="11" t="s">
        <v>33</v>
      </c>
      <c r="K128" s="11" t="s">
        <v>33</v>
      </c>
      <c r="L128" s="11" t="s">
        <v>3430</v>
      </c>
      <c r="M128" s="11"/>
      <c r="N128" s="11"/>
      <c r="O128" s="11"/>
      <c r="P128" s="11"/>
      <c r="Q128" s="11">
        <v>1</v>
      </c>
    </row>
    <row r="129" spans="1:18" x14ac:dyDescent="0.25">
      <c r="A129" s="11"/>
      <c r="B129" s="11" t="s">
        <v>27</v>
      </c>
      <c r="C129" s="11" t="s">
        <v>3873</v>
      </c>
      <c r="D129" s="11" t="s">
        <v>3874</v>
      </c>
      <c r="E129" s="11" t="s">
        <v>3875</v>
      </c>
      <c r="F129" s="11" t="s">
        <v>78</v>
      </c>
      <c r="G129" s="12">
        <v>590</v>
      </c>
      <c r="H129" s="12">
        <v>20</v>
      </c>
      <c r="I129" s="12">
        <f t="shared" si="5"/>
        <v>570</v>
      </c>
      <c r="J129" s="11" t="s">
        <v>33</v>
      </c>
      <c r="K129" s="11" t="s">
        <v>33</v>
      </c>
      <c r="L129" s="11" t="s">
        <v>3430</v>
      </c>
      <c r="M129" s="11"/>
      <c r="N129" s="11"/>
      <c r="O129" s="11"/>
      <c r="P129" s="11"/>
      <c r="Q129" s="11">
        <v>1</v>
      </c>
    </row>
    <row r="130" spans="1:18" x14ac:dyDescent="0.25">
      <c r="A130" s="11"/>
      <c r="B130" s="11" t="s">
        <v>27</v>
      </c>
      <c r="C130" s="11" t="s">
        <v>3885</v>
      </c>
      <c r="D130" s="11" t="s">
        <v>3886</v>
      </c>
      <c r="E130" s="11" t="s">
        <v>3887</v>
      </c>
      <c r="F130" s="11" t="s">
        <v>78</v>
      </c>
      <c r="G130" s="12">
        <v>1340</v>
      </c>
      <c r="H130" s="12">
        <v>20</v>
      </c>
      <c r="I130" s="12">
        <f t="shared" si="5"/>
        <v>1320</v>
      </c>
      <c r="J130" s="11" t="s">
        <v>33</v>
      </c>
      <c r="K130" s="11" t="s">
        <v>33</v>
      </c>
      <c r="L130" s="11" t="s">
        <v>3430</v>
      </c>
      <c r="M130" s="11"/>
      <c r="N130" s="11"/>
      <c r="O130" s="11"/>
      <c r="P130" s="11"/>
      <c r="Q130" s="11">
        <v>1</v>
      </c>
    </row>
    <row r="131" spans="1:18" x14ac:dyDescent="0.25">
      <c r="A131" s="11"/>
      <c r="B131" s="11" t="s">
        <v>27</v>
      </c>
      <c r="C131" s="11" t="s">
        <v>3891</v>
      </c>
      <c r="D131" s="11" t="s">
        <v>3892</v>
      </c>
      <c r="E131" s="11" t="s">
        <v>3893</v>
      </c>
      <c r="F131" s="11" t="s">
        <v>78</v>
      </c>
      <c r="G131" s="12">
        <v>1000</v>
      </c>
      <c r="H131" s="12">
        <v>20</v>
      </c>
      <c r="I131" s="12">
        <f t="shared" ref="I131:I162" si="6">G131-H131</f>
        <v>980</v>
      </c>
      <c r="J131" s="11" t="s">
        <v>33</v>
      </c>
      <c r="K131" s="11" t="s">
        <v>33</v>
      </c>
      <c r="L131" s="11" t="s">
        <v>3430</v>
      </c>
      <c r="M131" s="11"/>
      <c r="N131" s="11"/>
      <c r="O131" s="11"/>
      <c r="P131" s="11"/>
      <c r="Q131" s="11">
        <v>1</v>
      </c>
    </row>
    <row r="132" spans="1:18" x14ac:dyDescent="0.25">
      <c r="A132" s="11"/>
      <c r="B132" s="11" t="s">
        <v>27</v>
      </c>
      <c r="C132" s="11" t="s">
        <v>3431</v>
      </c>
      <c r="D132" s="11" t="s">
        <v>3432</v>
      </c>
      <c r="E132" s="11" t="s">
        <v>3433</v>
      </c>
      <c r="F132" s="12">
        <v>3</v>
      </c>
      <c r="G132" s="12">
        <v>1815</v>
      </c>
      <c r="H132" s="12">
        <v>25</v>
      </c>
      <c r="I132" s="12">
        <f t="shared" si="6"/>
        <v>1790</v>
      </c>
      <c r="J132" s="11" t="s">
        <v>119</v>
      </c>
      <c r="K132" s="11" t="s">
        <v>33</v>
      </c>
      <c r="L132" s="11" t="s">
        <v>3430</v>
      </c>
      <c r="M132" s="11"/>
      <c r="N132" s="11"/>
      <c r="O132" s="11"/>
      <c r="P132" s="11"/>
      <c r="Q132" s="11">
        <v>1</v>
      </c>
    </row>
    <row r="133" spans="1:18" x14ac:dyDescent="0.25">
      <c r="A133" s="11"/>
      <c r="B133" s="11" t="s">
        <v>27</v>
      </c>
      <c r="C133" s="11" t="s">
        <v>3449</v>
      </c>
      <c r="D133" s="11" t="s">
        <v>3450</v>
      </c>
      <c r="E133" s="11" t="s">
        <v>3451</v>
      </c>
      <c r="F133" s="12">
        <v>1</v>
      </c>
      <c r="G133" s="12">
        <v>448</v>
      </c>
      <c r="H133" s="12">
        <v>25</v>
      </c>
      <c r="I133" s="12">
        <f t="shared" si="6"/>
        <v>423</v>
      </c>
      <c r="J133" s="11" t="s">
        <v>119</v>
      </c>
      <c r="K133" s="11" t="s">
        <v>33</v>
      </c>
      <c r="L133" s="11" t="s">
        <v>3430</v>
      </c>
      <c r="M133" s="24" t="s">
        <v>340</v>
      </c>
      <c r="N133" s="11"/>
      <c r="O133" s="11"/>
      <c r="P133" s="11"/>
      <c r="Q133" s="11">
        <v>1</v>
      </c>
      <c r="R133" s="5">
        <f t="shared" ref="R133:R134" si="7">H133</f>
        <v>25</v>
      </c>
    </row>
    <row r="134" spans="1:18" x14ac:dyDescent="0.25">
      <c r="A134" s="11"/>
      <c r="B134" s="11" t="s">
        <v>27</v>
      </c>
      <c r="C134" s="11" t="s">
        <v>3452</v>
      </c>
      <c r="D134" s="11" t="s">
        <v>3453</v>
      </c>
      <c r="E134" s="11" t="s">
        <v>3454</v>
      </c>
      <c r="F134" s="12">
        <v>3</v>
      </c>
      <c r="G134" s="12">
        <v>2588</v>
      </c>
      <c r="H134" s="12">
        <v>30</v>
      </c>
      <c r="I134" s="12">
        <f t="shared" si="6"/>
        <v>2558</v>
      </c>
      <c r="J134" s="11" t="s">
        <v>119</v>
      </c>
      <c r="K134" s="11" t="s">
        <v>33</v>
      </c>
      <c r="L134" s="11" t="s">
        <v>3430</v>
      </c>
      <c r="M134" s="24" t="s">
        <v>340</v>
      </c>
      <c r="N134" s="11"/>
      <c r="O134" s="11"/>
      <c r="P134" s="11"/>
      <c r="Q134" s="11">
        <v>1</v>
      </c>
      <c r="R134" s="5">
        <f t="shared" si="7"/>
        <v>30</v>
      </c>
    </row>
    <row r="135" spans="1:18" x14ac:dyDescent="0.25">
      <c r="A135" s="11"/>
      <c r="B135" s="11" t="s">
        <v>27</v>
      </c>
      <c r="C135" s="11" t="s">
        <v>3467</v>
      </c>
      <c r="D135" s="11" t="s">
        <v>3468</v>
      </c>
      <c r="E135" s="11" t="s">
        <v>3469</v>
      </c>
      <c r="F135" s="12">
        <v>4</v>
      </c>
      <c r="G135" s="12">
        <v>595</v>
      </c>
      <c r="H135" s="12">
        <v>25</v>
      </c>
      <c r="I135" s="12">
        <f t="shared" si="6"/>
        <v>570</v>
      </c>
      <c r="J135" s="11" t="s">
        <v>119</v>
      </c>
      <c r="K135" s="11" t="s">
        <v>33</v>
      </c>
      <c r="L135" s="11" t="s">
        <v>3430</v>
      </c>
      <c r="M135" s="11"/>
      <c r="N135" s="11"/>
      <c r="O135" s="11"/>
      <c r="P135" s="11"/>
      <c r="Q135" s="11">
        <v>1</v>
      </c>
    </row>
    <row r="136" spans="1:18" x14ac:dyDescent="0.25">
      <c r="A136" s="11"/>
      <c r="B136" s="11" t="s">
        <v>27</v>
      </c>
      <c r="C136" s="11" t="s">
        <v>3473</v>
      </c>
      <c r="D136" s="11" t="s">
        <v>3474</v>
      </c>
      <c r="E136" s="11" t="s">
        <v>3475</v>
      </c>
      <c r="F136" s="11" t="s">
        <v>44</v>
      </c>
      <c r="G136" s="12">
        <v>1675</v>
      </c>
      <c r="H136" s="12">
        <v>25</v>
      </c>
      <c r="I136" s="12">
        <f t="shared" si="6"/>
        <v>1650</v>
      </c>
      <c r="J136" s="11" t="s">
        <v>119</v>
      </c>
      <c r="K136" s="11" t="s">
        <v>33</v>
      </c>
      <c r="L136" s="11" t="s">
        <v>3430</v>
      </c>
      <c r="M136" s="11"/>
      <c r="N136" s="11"/>
      <c r="O136" s="11"/>
      <c r="P136" s="11"/>
      <c r="Q136" s="11">
        <v>1</v>
      </c>
    </row>
    <row r="137" spans="1:18" x14ac:dyDescent="0.25">
      <c r="A137" s="11"/>
      <c r="B137" s="11" t="s">
        <v>27</v>
      </c>
      <c r="C137" s="11" t="s">
        <v>3482</v>
      </c>
      <c r="D137" s="11" t="s">
        <v>3483</v>
      </c>
      <c r="E137" s="11" t="s">
        <v>3484</v>
      </c>
      <c r="F137" s="11" t="s">
        <v>44</v>
      </c>
      <c r="G137" s="12">
        <v>2270</v>
      </c>
      <c r="H137" s="12">
        <v>30</v>
      </c>
      <c r="I137" s="12">
        <f t="shared" si="6"/>
        <v>2240</v>
      </c>
      <c r="J137" s="11" t="s">
        <v>119</v>
      </c>
      <c r="K137" s="11" t="s">
        <v>33</v>
      </c>
      <c r="L137" s="11" t="s">
        <v>3430</v>
      </c>
      <c r="M137" s="11"/>
      <c r="N137" s="11"/>
      <c r="O137" s="11"/>
      <c r="P137" s="11"/>
      <c r="Q137" s="11">
        <v>1</v>
      </c>
    </row>
    <row r="138" spans="1:18" x14ac:dyDescent="0.25">
      <c r="A138" s="11"/>
      <c r="B138" s="11" t="s">
        <v>27</v>
      </c>
      <c r="C138" s="11" t="s">
        <v>2929</v>
      </c>
      <c r="D138" s="11" t="s">
        <v>3497</v>
      </c>
      <c r="E138" s="11" t="s">
        <v>2931</v>
      </c>
      <c r="F138" s="12">
        <v>10</v>
      </c>
      <c r="G138" s="12">
        <v>2390</v>
      </c>
      <c r="H138" s="12">
        <v>30</v>
      </c>
      <c r="I138" s="12">
        <f t="shared" si="6"/>
        <v>2360</v>
      </c>
      <c r="J138" s="11" t="s">
        <v>119</v>
      </c>
      <c r="K138" s="11" t="s">
        <v>33</v>
      </c>
      <c r="L138" s="11" t="s">
        <v>3430</v>
      </c>
      <c r="M138" s="11"/>
      <c r="N138" s="11"/>
      <c r="O138" s="11"/>
      <c r="P138" s="11"/>
      <c r="Q138" s="11">
        <v>1</v>
      </c>
    </row>
    <row r="139" spans="1:18" x14ac:dyDescent="0.25">
      <c r="A139" s="11"/>
      <c r="B139" s="11" t="s">
        <v>27</v>
      </c>
      <c r="C139" s="11" t="s">
        <v>3520</v>
      </c>
      <c r="D139" s="11" t="s">
        <v>3521</v>
      </c>
      <c r="E139" s="11" t="s">
        <v>3522</v>
      </c>
      <c r="F139" s="11" t="s">
        <v>44</v>
      </c>
      <c r="G139" s="12">
        <v>935</v>
      </c>
      <c r="H139" s="12">
        <v>25</v>
      </c>
      <c r="I139" s="12">
        <f t="shared" si="6"/>
        <v>910</v>
      </c>
      <c r="J139" s="11" t="s">
        <v>119</v>
      </c>
      <c r="K139" s="11" t="s">
        <v>33</v>
      </c>
      <c r="L139" s="11" t="s">
        <v>3430</v>
      </c>
      <c r="M139" s="11"/>
      <c r="N139" s="11"/>
      <c r="O139" s="11"/>
      <c r="P139" s="11"/>
      <c r="Q139" s="11">
        <v>1</v>
      </c>
    </row>
    <row r="140" spans="1:18" x14ac:dyDescent="0.25">
      <c r="A140" s="11"/>
      <c r="B140" s="11" t="s">
        <v>27</v>
      </c>
      <c r="C140" s="11" t="s">
        <v>3523</v>
      </c>
      <c r="D140" s="11" t="s">
        <v>3524</v>
      </c>
      <c r="E140" s="11" t="s">
        <v>3525</v>
      </c>
      <c r="F140" s="11" t="s">
        <v>44</v>
      </c>
      <c r="G140" s="12">
        <v>408</v>
      </c>
      <c r="H140" s="12">
        <v>25</v>
      </c>
      <c r="I140" s="12">
        <f t="shared" si="6"/>
        <v>383</v>
      </c>
      <c r="J140" s="11" t="s">
        <v>119</v>
      </c>
      <c r="K140" s="11" t="s">
        <v>33</v>
      </c>
      <c r="L140" s="11" t="s">
        <v>3430</v>
      </c>
      <c r="M140" s="24" t="s">
        <v>340</v>
      </c>
      <c r="N140" s="11"/>
      <c r="O140" s="11"/>
      <c r="P140" s="11"/>
      <c r="Q140" s="11">
        <v>1</v>
      </c>
      <c r="R140" s="5">
        <f>H140</f>
        <v>25</v>
      </c>
    </row>
    <row r="141" spans="1:18" x14ac:dyDescent="0.25">
      <c r="A141" s="11"/>
      <c r="B141" s="11" t="s">
        <v>27</v>
      </c>
      <c r="C141" s="11" t="s">
        <v>3538</v>
      </c>
      <c r="D141" s="11" t="s">
        <v>3539</v>
      </c>
      <c r="E141" s="11" t="s">
        <v>3540</v>
      </c>
      <c r="F141" s="11" t="s">
        <v>44</v>
      </c>
      <c r="G141" s="12">
        <v>515</v>
      </c>
      <c r="H141" s="12">
        <v>25</v>
      </c>
      <c r="I141" s="12">
        <f t="shared" si="6"/>
        <v>490</v>
      </c>
      <c r="J141" s="11" t="s">
        <v>119</v>
      </c>
      <c r="K141" s="11" t="s">
        <v>33</v>
      </c>
      <c r="L141" s="11" t="s">
        <v>3430</v>
      </c>
      <c r="M141" s="11"/>
      <c r="N141" s="11"/>
      <c r="O141" s="11"/>
      <c r="P141" s="11"/>
      <c r="Q141" s="11">
        <v>1</v>
      </c>
    </row>
    <row r="142" spans="1:18" x14ac:dyDescent="0.25">
      <c r="A142" s="11"/>
      <c r="B142" s="11" t="s">
        <v>27</v>
      </c>
      <c r="C142" s="11" t="s">
        <v>3552</v>
      </c>
      <c r="D142" s="11" t="s">
        <v>3553</v>
      </c>
      <c r="E142" s="11" t="s">
        <v>3554</v>
      </c>
      <c r="F142" s="11" t="s">
        <v>44</v>
      </c>
      <c r="G142" s="12">
        <v>615</v>
      </c>
      <c r="H142" s="12">
        <v>25</v>
      </c>
      <c r="I142" s="12">
        <f t="shared" si="6"/>
        <v>590</v>
      </c>
      <c r="J142" s="11" t="s">
        <v>119</v>
      </c>
      <c r="K142" s="11" t="s">
        <v>33</v>
      </c>
      <c r="L142" s="11" t="s">
        <v>3430</v>
      </c>
      <c r="M142" s="11"/>
      <c r="N142" s="11"/>
      <c r="O142" s="11"/>
      <c r="P142" s="11"/>
      <c r="Q142" s="11">
        <v>1</v>
      </c>
    </row>
    <row r="143" spans="1:18" x14ac:dyDescent="0.25">
      <c r="A143" s="11"/>
      <c r="B143" s="11" t="s">
        <v>27</v>
      </c>
      <c r="C143" s="11" t="s">
        <v>3561</v>
      </c>
      <c r="D143" s="11" t="s">
        <v>3562</v>
      </c>
      <c r="E143" s="11" t="s">
        <v>3563</v>
      </c>
      <c r="F143" s="12">
        <v>1</v>
      </c>
      <c r="G143" s="12">
        <v>515</v>
      </c>
      <c r="H143" s="12">
        <v>25</v>
      </c>
      <c r="I143" s="12">
        <f t="shared" si="6"/>
        <v>490</v>
      </c>
      <c r="J143" s="11" t="s">
        <v>119</v>
      </c>
      <c r="K143" s="11" t="s">
        <v>33</v>
      </c>
      <c r="L143" s="11" t="s">
        <v>3430</v>
      </c>
      <c r="M143" s="11"/>
      <c r="N143" s="11"/>
      <c r="O143" s="11"/>
      <c r="P143" s="11"/>
      <c r="Q143" s="11">
        <v>1</v>
      </c>
    </row>
    <row r="144" spans="1:18" x14ac:dyDescent="0.25">
      <c r="A144" s="11"/>
      <c r="B144" s="11" t="s">
        <v>27</v>
      </c>
      <c r="C144" s="11" t="s">
        <v>3564</v>
      </c>
      <c r="D144" s="11" t="s">
        <v>3565</v>
      </c>
      <c r="E144" s="11" t="s">
        <v>3566</v>
      </c>
      <c r="F144" s="12">
        <v>10</v>
      </c>
      <c r="G144" s="12">
        <v>465</v>
      </c>
      <c r="H144" s="12">
        <v>25</v>
      </c>
      <c r="I144" s="12">
        <f t="shared" si="6"/>
        <v>440</v>
      </c>
      <c r="J144" s="11" t="s">
        <v>119</v>
      </c>
      <c r="K144" s="11" t="s">
        <v>33</v>
      </c>
      <c r="L144" s="11" t="s">
        <v>3430</v>
      </c>
      <c r="M144" s="11"/>
      <c r="N144" s="11"/>
      <c r="O144" s="11"/>
      <c r="P144" s="11"/>
      <c r="Q144" s="11">
        <v>1</v>
      </c>
    </row>
    <row r="145" spans="1:18" x14ac:dyDescent="0.25">
      <c r="A145" s="11"/>
      <c r="B145" s="11" t="s">
        <v>27</v>
      </c>
      <c r="C145" s="11" t="s">
        <v>3570</v>
      </c>
      <c r="D145" s="11" t="s">
        <v>3571</v>
      </c>
      <c r="E145" s="11" t="s">
        <v>3572</v>
      </c>
      <c r="F145" s="12">
        <v>4</v>
      </c>
      <c r="G145" s="12">
        <v>245</v>
      </c>
      <c r="H145" s="12">
        <v>25</v>
      </c>
      <c r="I145" s="12">
        <f t="shared" si="6"/>
        <v>220</v>
      </c>
      <c r="J145" s="11" t="s">
        <v>119</v>
      </c>
      <c r="K145" s="11" t="s">
        <v>33</v>
      </c>
      <c r="L145" s="11" t="s">
        <v>3430</v>
      </c>
      <c r="M145" s="11"/>
      <c r="N145" s="11"/>
      <c r="O145" s="11"/>
      <c r="P145" s="11"/>
      <c r="Q145" s="11">
        <v>1</v>
      </c>
    </row>
    <row r="146" spans="1:18" x14ac:dyDescent="0.25">
      <c r="A146" s="11"/>
      <c r="B146" s="11" t="s">
        <v>27</v>
      </c>
      <c r="C146" s="11" t="s">
        <v>3588</v>
      </c>
      <c r="D146" s="11" t="s">
        <v>3589</v>
      </c>
      <c r="E146" s="11" t="s">
        <v>1431</v>
      </c>
      <c r="F146" s="12">
        <v>10</v>
      </c>
      <c r="G146" s="12">
        <v>1485</v>
      </c>
      <c r="H146" s="12">
        <v>25</v>
      </c>
      <c r="I146" s="12">
        <f t="shared" si="6"/>
        <v>1460</v>
      </c>
      <c r="J146" s="11" t="s">
        <v>119</v>
      </c>
      <c r="K146" s="11" t="s">
        <v>33</v>
      </c>
      <c r="L146" s="11" t="s">
        <v>3430</v>
      </c>
      <c r="M146" s="11"/>
      <c r="N146" s="11"/>
      <c r="O146" s="11"/>
      <c r="P146" s="11"/>
      <c r="Q146" s="11">
        <v>1</v>
      </c>
    </row>
    <row r="147" spans="1:18" x14ac:dyDescent="0.25">
      <c r="A147" s="11"/>
      <c r="B147" s="11" t="s">
        <v>27</v>
      </c>
      <c r="C147" s="11" t="s">
        <v>290</v>
      </c>
      <c r="D147" s="11" t="s">
        <v>3605</v>
      </c>
      <c r="E147" s="11" t="s">
        <v>3606</v>
      </c>
      <c r="F147" s="12">
        <v>5</v>
      </c>
      <c r="G147" s="12">
        <v>2400</v>
      </c>
      <c r="H147" s="12">
        <v>30</v>
      </c>
      <c r="I147" s="12">
        <f t="shared" si="6"/>
        <v>2370</v>
      </c>
      <c r="J147" s="11" t="s">
        <v>119</v>
      </c>
      <c r="K147" s="11" t="s">
        <v>33</v>
      </c>
      <c r="L147" s="11" t="s">
        <v>3430</v>
      </c>
      <c r="M147" s="11"/>
      <c r="N147" s="11"/>
      <c r="O147" s="11"/>
      <c r="P147" s="11"/>
      <c r="Q147" s="11">
        <v>1</v>
      </c>
    </row>
    <row r="148" spans="1:18" x14ac:dyDescent="0.25">
      <c r="A148" s="11"/>
      <c r="B148" s="11" t="s">
        <v>27</v>
      </c>
      <c r="C148" s="11" t="s">
        <v>3619</v>
      </c>
      <c r="D148" s="11" t="s">
        <v>3620</v>
      </c>
      <c r="E148" s="11" t="s">
        <v>3621</v>
      </c>
      <c r="F148" s="12">
        <v>5</v>
      </c>
      <c r="G148" s="12">
        <v>1388</v>
      </c>
      <c r="H148" s="12">
        <v>25</v>
      </c>
      <c r="I148" s="12">
        <f t="shared" si="6"/>
        <v>1363</v>
      </c>
      <c r="J148" s="11" t="s">
        <v>119</v>
      </c>
      <c r="K148" s="11" t="s">
        <v>33</v>
      </c>
      <c r="L148" s="11" t="s">
        <v>3430</v>
      </c>
      <c r="M148" s="24" t="s">
        <v>340</v>
      </c>
      <c r="N148" s="11"/>
      <c r="O148" s="11"/>
      <c r="P148" s="11"/>
      <c r="Q148" s="11">
        <v>1</v>
      </c>
      <c r="R148" s="5">
        <f>H148</f>
        <v>25</v>
      </c>
    </row>
    <row r="149" spans="1:18" x14ac:dyDescent="0.25">
      <c r="A149" s="11"/>
      <c r="B149" s="11" t="s">
        <v>27</v>
      </c>
      <c r="C149" s="11" t="s">
        <v>3622</v>
      </c>
      <c r="D149" s="11" t="s">
        <v>3623</v>
      </c>
      <c r="E149" s="11" t="s">
        <v>3624</v>
      </c>
      <c r="F149" s="11" t="s">
        <v>44</v>
      </c>
      <c r="G149" s="12">
        <v>315</v>
      </c>
      <c r="H149" s="12">
        <v>25</v>
      </c>
      <c r="I149" s="12">
        <f t="shared" si="6"/>
        <v>290</v>
      </c>
      <c r="J149" s="11" t="s">
        <v>119</v>
      </c>
      <c r="K149" s="11" t="s">
        <v>33</v>
      </c>
      <c r="L149" s="11" t="s">
        <v>3430</v>
      </c>
      <c r="M149" s="11"/>
      <c r="N149" s="11"/>
      <c r="O149" s="11"/>
      <c r="P149" s="11"/>
      <c r="Q149" s="11">
        <v>1</v>
      </c>
    </row>
    <row r="150" spans="1:18" x14ac:dyDescent="0.25">
      <c r="A150" s="11"/>
      <c r="B150" s="11" t="s">
        <v>27</v>
      </c>
      <c r="C150" s="11" t="s">
        <v>3625</v>
      </c>
      <c r="D150" s="11" t="s">
        <v>3626</v>
      </c>
      <c r="E150" s="11" t="s">
        <v>3627</v>
      </c>
      <c r="F150" s="12">
        <v>10</v>
      </c>
      <c r="G150" s="12">
        <v>2040</v>
      </c>
      <c r="H150" s="12">
        <v>30</v>
      </c>
      <c r="I150" s="12">
        <f t="shared" si="6"/>
        <v>2010</v>
      </c>
      <c r="J150" s="11" t="s">
        <v>119</v>
      </c>
      <c r="K150" s="11" t="s">
        <v>33</v>
      </c>
      <c r="L150" s="11" t="s">
        <v>3430</v>
      </c>
      <c r="M150" s="11"/>
      <c r="N150" s="11"/>
      <c r="O150" s="11"/>
      <c r="P150" s="11"/>
      <c r="Q150" s="11">
        <v>1</v>
      </c>
    </row>
    <row r="151" spans="1:18" x14ac:dyDescent="0.25">
      <c r="A151" s="11"/>
      <c r="B151" s="11" t="s">
        <v>27</v>
      </c>
      <c r="C151" s="11" t="s">
        <v>3639</v>
      </c>
      <c r="D151" s="11" t="s">
        <v>3640</v>
      </c>
      <c r="E151" s="11" t="s">
        <v>3641</v>
      </c>
      <c r="F151" s="12">
        <v>3</v>
      </c>
      <c r="G151" s="12">
        <v>515</v>
      </c>
      <c r="H151" s="12">
        <v>25</v>
      </c>
      <c r="I151" s="12">
        <f t="shared" si="6"/>
        <v>490</v>
      </c>
      <c r="J151" s="11" t="s">
        <v>119</v>
      </c>
      <c r="K151" s="11" t="s">
        <v>33</v>
      </c>
      <c r="L151" s="11" t="s">
        <v>3430</v>
      </c>
      <c r="M151" s="11"/>
      <c r="N151" s="11"/>
      <c r="O151" s="11"/>
      <c r="P151" s="11"/>
      <c r="Q151" s="11">
        <v>1</v>
      </c>
    </row>
    <row r="152" spans="1:18" x14ac:dyDescent="0.25">
      <c r="A152" s="11"/>
      <c r="B152" s="11" t="s">
        <v>27</v>
      </c>
      <c r="C152" s="11" t="s">
        <v>3645</v>
      </c>
      <c r="D152" s="11" t="s">
        <v>3646</v>
      </c>
      <c r="E152" s="11" t="s">
        <v>3647</v>
      </c>
      <c r="F152" s="11" t="s">
        <v>118</v>
      </c>
      <c r="G152" s="12">
        <v>378</v>
      </c>
      <c r="H152" s="12">
        <v>20</v>
      </c>
      <c r="I152" s="12">
        <f t="shared" si="6"/>
        <v>358</v>
      </c>
      <c r="J152" s="11" t="s">
        <v>119</v>
      </c>
      <c r="K152" s="11" t="s">
        <v>33</v>
      </c>
      <c r="L152" s="11" t="s">
        <v>3430</v>
      </c>
      <c r="M152" s="24" t="s">
        <v>340</v>
      </c>
      <c r="N152" s="11"/>
      <c r="O152" s="11"/>
      <c r="P152" s="11"/>
      <c r="Q152" s="11">
        <v>1</v>
      </c>
      <c r="R152" s="5">
        <f>H152</f>
        <v>20</v>
      </c>
    </row>
    <row r="153" spans="1:18" x14ac:dyDescent="0.25">
      <c r="A153" s="11"/>
      <c r="B153" s="11" t="s">
        <v>27</v>
      </c>
      <c r="C153" s="11" t="s">
        <v>3650</v>
      </c>
      <c r="D153" s="11" t="s">
        <v>3651</v>
      </c>
      <c r="E153" s="11" t="s">
        <v>3652</v>
      </c>
      <c r="F153" s="11" t="s">
        <v>118</v>
      </c>
      <c r="G153" s="12">
        <v>730</v>
      </c>
      <c r="H153" s="12">
        <v>20</v>
      </c>
      <c r="I153" s="12">
        <f t="shared" si="6"/>
        <v>710</v>
      </c>
      <c r="J153" s="11" t="s">
        <v>119</v>
      </c>
      <c r="K153" s="11" t="s">
        <v>33</v>
      </c>
      <c r="L153" s="11" t="s">
        <v>3430</v>
      </c>
      <c r="M153" s="11"/>
      <c r="N153" s="11"/>
      <c r="O153" s="11"/>
      <c r="P153" s="11"/>
      <c r="Q153" s="11">
        <v>1</v>
      </c>
    </row>
    <row r="154" spans="1:18" x14ac:dyDescent="0.25">
      <c r="A154" s="11"/>
      <c r="B154" s="11" t="s">
        <v>27</v>
      </c>
      <c r="C154" s="11" t="s">
        <v>3653</v>
      </c>
      <c r="D154" s="11" t="s">
        <v>3654</v>
      </c>
      <c r="E154" s="11" t="s">
        <v>3655</v>
      </c>
      <c r="F154" s="12">
        <v>2</v>
      </c>
      <c r="G154" s="12">
        <v>1660</v>
      </c>
      <c r="H154" s="12">
        <v>30</v>
      </c>
      <c r="I154" s="12">
        <f t="shared" si="6"/>
        <v>1630</v>
      </c>
      <c r="J154" s="11" t="s">
        <v>119</v>
      </c>
      <c r="K154" s="11" t="s">
        <v>33</v>
      </c>
      <c r="L154" s="11" t="s">
        <v>3430</v>
      </c>
      <c r="M154" s="11"/>
      <c r="N154" s="11"/>
      <c r="O154" s="11"/>
      <c r="P154" s="11"/>
      <c r="Q154" s="11">
        <v>1</v>
      </c>
    </row>
    <row r="155" spans="1:18" x14ac:dyDescent="0.25">
      <c r="A155" s="11"/>
      <c r="B155" s="11" t="s">
        <v>27</v>
      </c>
      <c r="C155" s="11" t="s">
        <v>3679</v>
      </c>
      <c r="D155" s="11" t="s">
        <v>3680</v>
      </c>
      <c r="E155" s="11" t="s">
        <v>3681</v>
      </c>
      <c r="F155" s="11" t="s">
        <v>44</v>
      </c>
      <c r="G155" s="12">
        <v>995</v>
      </c>
      <c r="H155" s="12">
        <v>25</v>
      </c>
      <c r="I155" s="12">
        <f t="shared" si="6"/>
        <v>970</v>
      </c>
      <c r="J155" s="11" t="s">
        <v>119</v>
      </c>
      <c r="K155" s="11" t="s">
        <v>33</v>
      </c>
      <c r="L155" s="11" t="s">
        <v>3430</v>
      </c>
      <c r="M155" s="11"/>
      <c r="N155" s="11"/>
      <c r="O155" s="11"/>
      <c r="P155" s="11"/>
      <c r="Q155" s="11">
        <v>1</v>
      </c>
    </row>
    <row r="156" spans="1:18" x14ac:dyDescent="0.25">
      <c r="A156" s="11"/>
      <c r="B156" s="11" t="s">
        <v>27</v>
      </c>
      <c r="C156" s="11" t="s">
        <v>3688</v>
      </c>
      <c r="D156" s="11" t="s">
        <v>3689</v>
      </c>
      <c r="E156" s="11" t="s">
        <v>3125</v>
      </c>
      <c r="F156" s="11" t="s">
        <v>44</v>
      </c>
      <c r="G156" s="12">
        <v>435</v>
      </c>
      <c r="H156" s="12">
        <v>25</v>
      </c>
      <c r="I156" s="12">
        <f t="shared" si="6"/>
        <v>410</v>
      </c>
      <c r="J156" s="11" t="s">
        <v>119</v>
      </c>
      <c r="K156" s="11" t="s">
        <v>33</v>
      </c>
      <c r="L156" s="11" t="s">
        <v>3430</v>
      </c>
      <c r="M156" s="11"/>
      <c r="N156" s="11"/>
      <c r="O156" s="11"/>
      <c r="P156" s="11"/>
      <c r="Q156" s="11">
        <v>1</v>
      </c>
    </row>
    <row r="157" spans="1:18" x14ac:dyDescent="0.25">
      <c r="A157" s="11"/>
      <c r="B157" s="11" t="s">
        <v>27</v>
      </c>
      <c r="C157" s="11" t="s">
        <v>3692</v>
      </c>
      <c r="D157" s="11" t="s">
        <v>3693</v>
      </c>
      <c r="E157" s="11" t="s">
        <v>3694</v>
      </c>
      <c r="F157" s="12">
        <v>1</v>
      </c>
      <c r="G157" s="12">
        <v>1678</v>
      </c>
      <c r="H157" s="12">
        <v>25</v>
      </c>
      <c r="I157" s="12">
        <f t="shared" si="6"/>
        <v>1653</v>
      </c>
      <c r="J157" s="11" t="s">
        <v>119</v>
      </c>
      <c r="K157" s="11" t="s">
        <v>33</v>
      </c>
      <c r="L157" s="11" t="s">
        <v>3430</v>
      </c>
      <c r="M157" s="24" t="s">
        <v>340</v>
      </c>
      <c r="N157" s="11"/>
      <c r="O157" s="11"/>
      <c r="P157" s="11"/>
      <c r="Q157" s="11">
        <v>1</v>
      </c>
      <c r="R157" s="5">
        <f>H157</f>
        <v>25</v>
      </c>
    </row>
    <row r="158" spans="1:18" x14ac:dyDescent="0.25">
      <c r="A158" s="11"/>
      <c r="B158" s="11" t="s">
        <v>27</v>
      </c>
      <c r="C158" s="11" t="s">
        <v>3697</v>
      </c>
      <c r="D158" s="11" t="s">
        <v>3698</v>
      </c>
      <c r="E158" s="11" t="s">
        <v>3699</v>
      </c>
      <c r="F158" s="12">
        <v>3</v>
      </c>
      <c r="G158" s="12">
        <v>715</v>
      </c>
      <c r="H158" s="12">
        <v>25</v>
      </c>
      <c r="I158" s="12">
        <f t="shared" si="6"/>
        <v>690</v>
      </c>
      <c r="J158" s="11" t="s">
        <v>119</v>
      </c>
      <c r="K158" s="11" t="s">
        <v>33</v>
      </c>
      <c r="L158" s="11" t="s">
        <v>3430</v>
      </c>
      <c r="M158" s="11"/>
      <c r="N158" s="11"/>
      <c r="O158" s="11"/>
      <c r="P158" s="11"/>
      <c r="Q158" s="11">
        <v>1</v>
      </c>
    </row>
    <row r="159" spans="1:18" x14ac:dyDescent="0.25">
      <c r="A159" s="11"/>
      <c r="B159" s="11" t="s">
        <v>27</v>
      </c>
      <c r="C159" s="11" t="s">
        <v>3700</v>
      </c>
      <c r="D159" s="11" t="s">
        <v>3701</v>
      </c>
      <c r="E159" s="11" t="s">
        <v>3702</v>
      </c>
      <c r="F159" s="12">
        <v>10</v>
      </c>
      <c r="G159" s="12">
        <v>675</v>
      </c>
      <c r="H159" s="12">
        <v>25</v>
      </c>
      <c r="I159" s="12">
        <f t="shared" si="6"/>
        <v>650</v>
      </c>
      <c r="J159" s="11" t="s">
        <v>119</v>
      </c>
      <c r="K159" s="11" t="s">
        <v>33</v>
      </c>
      <c r="L159" s="11" t="s">
        <v>3430</v>
      </c>
      <c r="M159" s="11"/>
      <c r="N159" s="11"/>
      <c r="O159" s="11"/>
      <c r="P159" s="11"/>
      <c r="Q159" s="11">
        <v>1</v>
      </c>
    </row>
    <row r="160" spans="1:18" x14ac:dyDescent="0.25">
      <c r="A160" s="11"/>
      <c r="B160" s="11" t="s">
        <v>27</v>
      </c>
      <c r="C160" s="11" t="s">
        <v>3762</v>
      </c>
      <c r="D160" s="11" t="s">
        <v>3763</v>
      </c>
      <c r="E160" s="11" t="s">
        <v>3764</v>
      </c>
      <c r="F160" s="12">
        <v>1</v>
      </c>
      <c r="G160" s="12">
        <v>415</v>
      </c>
      <c r="H160" s="12">
        <v>25</v>
      </c>
      <c r="I160" s="12">
        <f t="shared" si="6"/>
        <v>390</v>
      </c>
      <c r="J160" s="11" t="s">
        <v>119</v>
      </c>
      <c r="K160" s="11" t="s">
        <v>33</v>
      </c>
      <c r="L160" s="11" t="s">
        <v>3430</v>
      </c>
      <c r="M160" s="11"/>
      <c r="N160" s="11"/>
      <c r="O160" s="11"/>
      <c r="P160" s="11"/>
      <c r="Q160" s="11">
        <v>1</v>
      </c>
    </row>
    <row r="161" spans="1:18" x14ac:dyDescent="0.25">
      <c r="A161" s="11"/>
      <c r="B161" s="11" t="s">
        <v>27</v>
      </c>
      <c r="C161" s="11" t="s">
        <v>2500</v>
      </c>
      <c r="D161" s="11" t="s">
        <v>3797</v>
      </c>
      <c r="E161" s="11" t="s">
        <v>3798</v>
      </c>
      <c r="F161" s="12">
        <v>1</v>
      </c>
      <c r="G161" s="12">
        <v>375</v>
      </c>
      <c r="H161" s="12">
        <v>25</v>
      </c>
      <c r="I161" s="12">
        <f t="shared" si="6"/>
        <v>350</v>
      </c>
      <c r="J161" s="11" t="s">
        <v>119</v>
      </c>
      <c r="K161" s="11" t="s">
        <v>33</v>
      </c>
      <c r="L161" s="11" t="s">
        <v>3430</v>
      </c>
      <c r="M161" s="11"/>
      <c r="N161" s="11"/>
      <c r="O161" s="11"/>
      <c r="P161" s="11"/>
      <c r="Q161" s="11">
        <v>1</v>
      </c>
    </row>
    <row r="162" spans="1:18" x14ac:dyDescent="0.25">
      <c r="A162" s="11"/>
      <c r="B162" s="11" t="s">
        <v>27</v>
      </c>
      <c r="C162" s="11" t="s">
        <v>3823</v>
      </c>
      <c r="D162" s="11" t="s">
        <v>3824</v>
      </c>
      <c r="E162" s="11" t="s">
        <v>3825</v>
      </c>
      <c r="F162" s="12">
        <v>1</v>
      </c>
      <c r="G162" s="12">
        <v>1345</v>
      </c>
      <c r="H162" s="12">
        <v>25</v>
      </c>
      <c r="I162" s="12">
        <f t="shared" si="6"/>
        <v>1320</v>
      </c>
      <c r="J162" s="11" t="s">
        <v>119</v>
      </c>
      <c r="K162" s="11" t="s">
        <v>33</v>
      </c>
      <c r="L162" s="11" t="s">
        <v>3430</v>
      </c>
      <c r="M162" s="11"/>
      <c r="N162" s="11"/>
      <c r="O162" s="11"/>
      <c r="P162" s="11"/>
      <c r="Q162" s="11">
        <v>1</v>
      </c>
    </row>
    <row r="163" spans="1:18" x14ac:dyDescent="0.25">
      <c r="A163" s="11"/>
      <c r="B163" s="11" t="s">
        <v>27</v>
      </c>
      <c r="C163" s="11" t="s">
        <v>3832</v>
      </c>
      <c r="D163" s="11" t="s">
        <v>3833</v>
      </c>
      <c r="E163" s="11" t="s">
        <v>3834</v>
      </c>
      <c r="F163" s="12">
        <v>11</v>
      </c>
      <c r="G163" s="12">
        <v>215</v>
      </c>
      <c r="H163" s="12">
        <v>25</v>
      </c>
      <c r="I163" s="12">
        <f t="shared" ref="I163:I171" si="8">G163-H163</f>
        <v>190</v>
      </c>
      <c r="J163" s="11" t="s">
        <v>119</v>
      </c>
      <c r="K163" s="11" t="s">
        <v>33</v>
      </c>
      <c r="L163" s="11" t="s">
        <v>3430</v>
      </c>
      <c r="M163" s="11"/>
      <c r="N163" s="11"/>
      <c r="O163" s="11"/>
      <c r="P163" s="11"/>
      <c r="Q163" s="11">
        <v>1</v>
      </c>
    </row>
    <row r="164" spans="1:18" x14ac:dyDescent="0.25">
      <c r="A164" s="11"/>
      <c r="B164" s="11" t="s">
        <v>27</v>
      </c>
      <c r="C164" s="11" t="s">
        <v>3850</v>
      </c>
      <c r="D164" s="11" t="s">
        <v>3851</v>
      </c>
      <c r="E164" s="11" t="s">
        <v>3852</v>
      </c>
      <c r="F164" s="11" t="s">
        <v>118</v>
      </c>
      <c r="G164" s="12">
        <v>250</v>
      </c>
      <c r="H164" s="12">
        <v>20</v>
      </c>
      <c r="I164" s="12">
        <f t="shared" si="8"/>
        <v>230</v>
      </c>
      <c r="J164" s="11" t="s">
        <v>119</v>
      </c>
      <c r="K164" s="11" t="s">
        <v>33</v>
      </c>
      <c r="L164" s="11" t="s">
        <v>3430</v>
      </c>
      <c r="M164" s="11"/>
      <c r="N164" s="11"/>
      <c r="O164" s="11"/>
      <c r="P164" s="11"/>
      <c r="Q164" s="11">
        <v>1</v>
      </c>
    </row>
    <row r="165" spans="1:18" x14ac:dyDescent="0.25">
      <c r="A165" s="11"/>
      <c r="B165" s="11" t="s">
        <v>27</v>
      </c>
      <c r="C165" s="11" t="s">
        <v>3879</v>
      </c>
      <c r="D165" s="11" t="s">
        <v>3880</v>
      </c>
      <c r="E165" s="11" t="s">
        <v>3881</v>
      </c>
      <c r="F165" s="12">
        <v>5</v>
      </c>
      <c r="G165" s="12">
        <v>825</v>
      </c>
      <c r="H165" s="12">
        <v>25</v>
      </c>
      <c r="I165" s="12">
        <f t="shared" si="8"/>
        <v>800</v>
      </c>
      <c r="J165" s="11" t="s">
        <v>119</v>
      </c>
      <c r="K165" s="11" t="s">
        <v>33</v>
      </c>
      <c r="L165" s="11" t="s">
        <v>3430</v>
      </c>
      <c r="M165" s="11"/>
      <c r="N165" s="11"/>
      <c r="O165" s="11"/>
      <c r="P165" s="11"/>
      <c r="Q165" s="11">
        <v>1</v>
      </c>
    </row>
    <row r="166" spans="1:18" x14ac:dyDescent="0.25">
      <c r="A166" s="11" t="s">
        <v>59</v>
      </c>
      <c r="B166" s="11" t="s">
        <v>27</v>
      </c>
      <c r="C166" s="11" t="s">
        <v>632</v>
      </c>
      <c r="D166" s="11"/>
      <c r="E166" s="11" t="s">
        <v>569</v>
      </c>
      <c r="F166" s="12">
        <v>1</v>
      </c>
      <c r="G166" s="12">
        <v>0</v>
      </c>
      <c r="H166" s="12">
        <v>40</v>
      </c>
      <c r="I166" s="12">
        <f t="shared" si="8"/>
        <v>-40</v>
      </c>
      <c r="J166" s="11" t="s">
        <v>119</v>
      </c>
      <c r="K166" s="11" t="s">
        <v>33</v>
      </c>
      <c r="L166" s="11" t="s">
        <v>3430</v>
      </c>
      <c r="M166" s="11"/>
      <c r="N166" s="11"/>
      <c r="O166" s="11"/>
      <c r="P166" s="11"/>
      <c r="Q166" s="11">
        <v>1</v>
      </c>
      <c r="R166" s="5">
        <f t="shared" ref="R166:R167" si="9">H166</f>
        <v>40</v>
      </c>
    </row>
    <row r="167" spans="1:18" x14ac:dyDescent="0.25">
      <c r="A167" s="11" t="s">
        <v>59</v>
      </c>
      <c r="B167" s="11" t="s">
        <v>27</v>
      </c>
      <c r="C167" s="11" t="s">
        <v>3900</v>
      </c>
      <c r="D167" s="11"/>
      <c r="E167" s="11" t="s">
        <v>3901</v>
      </c>
      <c r="F167" s="11" t="s">
        <v>44</v>
      </c>
      <c r="G167" s="12">
        <v>0</v>
      </c>
      <c r="H167" s="12">
        <v>30</v>
      </c>
      <c r="I167" s="12">
        <f t="shared" si="8"/>
        <v>-30</v>
      </c>
      <c r="J167" s="11" t="s">
        <v>119</v>
      </c>
      <c r="K167" s="11" t="s">
        <v>33</v>
      </c>
      <c r="L167" s="11" t="s">
        <v>3430</v>
      </c>
      <c r="M167" s="11"/>
      <c r="N167" s="11"/>
      <c r="O167" s="11"/>
      <c r="P167" s="11"/>
      <c r="Q167" s="11">
        <v>1</v>
      </c>
      <c r="R167" s="5">
        <f t="shared" si="9"/>
        <v>30</v>
      </c>
    </row>
    <row r="168" spans="1:18" s="2" customFormat="1" x14ac:dyDescent="0.25">
      <c r="A168" s="16"/>
      <c r="B168" s="16" t="s">
        <v>27</v>
      </c>
      <c r="C168" s="16" t="s">
        <v>3628</v>
      </c>
      <c r="D168" s="16" t="s">
        <v>3629</v>
      </c>
      <c r="E168" s="16" t="s">
        <v>3630</v>
      </c>
      <c r="F168" s="16" t="s">
        <v>996</v>
      </c>
      <c r="G168" s="17">
        <v>420</v>
      </c>
      <c r="H168" s="17">
        <v>0</v>
      </c>
      <c r="I168" s="17">
        <f t="shared" si="8"/>
        <v>420</v>
      </c>
      <c r="J168" s="16" t="s">
        <v>153</v>
      </c>
      <c r="K168" s="16" t="s">
        <v>33</v>
      </c>
      <c r="L168" s="16" t="s">
        <v>3430</v>
      </c>
      <c r="M168" s="16" t="s">
        <v>997</v>
      </c>
      <c r="N168" s="16" t="s">
        <v>156</v>
      </c>
      <c r="O168" s="16"/>
      <c r="P168" s="16" t="s">
        <v>157</v>
      </c>
      <c r="Q168" s="16">
        <v>1</v>
      </c>
    </row>
    <row r="169" spans="1:18" s="2" customFormat="1" x14ac:dyDescent="0.25">
      <c r="A169" s="16"/>
      <c r="B169" s="16" t="s">
        <v>27</v>
      </c>
      <c r="C169" s="16" t="s">
        <v>3656</v>
      </c>
      <c r="D169" s="16" t="s">
        <v>3657</v>
      </c>
      <c r="E169" s="16" t="s">
        <v>3658</v>
      </c>
      <c r="F169" s="16" t="s">
        <v>996</v>
      </c>
      <c r="G169" s="17">
        <v>1950</v>
      </c>
      <c r="H169" s="17">
        <v>0</v>
      </c>
      <c r="I169" s="17">
        <f t="shared" si="8"/>
        <v>1950</v>
      </c>
      <c r="J169" s="16" t="s">
        <v>153</v>
      </c>
      <c r="K169" s="16" t="s">
        <v>33</v>
      </c>
      <c r="L169" s="16" t="s">
        <v>3430</v>
      </c>
      <c r="M169" s="16" t="s">
        <v>997</v>
      </c>
      <c r="N169" s="16" t="s">
        <v>156</v>
      </c>
      <c r="O169" s="16"/>
      <c r="P169" s="16" t="s">
        <v>157</v>
      </c>
      <c r="Q169" s="16">
        <v>1</v>
      </c>
    </row>
    <row r="170" spans="1:18" s="2" customFormat="1" x14ac:dyDescent="0.25">
      <c r="A170" s="16"/>
      <c r="B170" s="16" t="s">
        <v>27</v>
      </c>
      <c r="C170" s="16" t="s">
        <v>3713</v>
      </c>
      <c r="D170" s="16" t="s">
        <v>3714</v>
      </c>
      <c r="E170" s="16" t="s">
        <v>3715</v>
      </c>
      <c r="F170" s="16" t="s">
        <v>996</v>
      </c>
      <c r="G170" s="17">
        <v>550</v>
      </c>
      <c r="H170" s="17">
        <v>0</v>
      </c>
      <c r="I170" s="17">
        <f t="shared" si="8"/>
        <v>550</v>
      </c>
      <c r="J170" s="16" t="s">
        <v>153</v>
      </c>
      <c r="K170" s="16" t="s">
        <v>33</v>
      </c>
      <c r="L170" s="16" t="s">
        <v>3430</v>
      </c>
      <c r="M170" s="16" t="s">
        <v>997</v>
      </c>
      <c r="N170" s="16" t="s">
        <v>156</v>
      </c>
      <c r="O170" s="16"/>
      <c r="P170" s="16" t="s">
        <v>157</v>
      </c>
      <c r="Q170" s="16">
        <v>1</v>
      </c>
    </row>
    <row r="171" spans="1:18" s="2" customFormat="1" x14ac:dyDescent="0.25">
      <c r="A171" s="16"/>
      <c r="B171" s="16" t="s">
        <v>27</v>
      </c>
      <c r="C171" s="16" t="s">
        <v>3859</v>
      </c>
      <c r="D171" s="16" t="s">
        <v>3860</v>
      </c>
      <c r="E171" s="16" t="s">
        <v>3861</v>
      </c>
      <c r="F171" s="16" t="s">
        <v>996</v>
      </c>
      <c r="G171" s="17">
        <v>280</v>
      </c>
      <c r="H171" s="17">
        <v>0</v>
      </c>
      <c r="I171" s="17">
        <f t="shared" si="8"/>
        <v>280</v>
      </c>
      <c r="J171" s="16" t="s">
        <v>153</v>
      </c>
      <c r="K171" s="16" t="s">
        <v>33</v>
      </c>
      <c r="L171" s="16" t="s">
        <v>3430</v>
      </c>
      <c r="M171" s="16" t="s">
        <v>997</v>
      </c>
      <c r="N171" s="16" t="s">
        <v>156</v>
      </c>
      <c r="O171" s="16"/>
      <c r="P171" s="16" t="s">
        <v>157</v>
      </c>
      <c r="Q171" s="16">
        <v>1</v>
      </c>
    </row>
    <row r="173" spans="1:18" x14ac:dyDescent="0.25">
      <c r="D173" s="1">
        <f>COUNTA(D3:D171)</f>
        <v>163</v>
      </c>
      <c r="G173" s="1">
        <f t="shared" ref="G173:Q173" si="10">SUBTOTAL(9,G3:G171)</f>
        <v>135960</v>
      </c>
      <c r="H173" s="1">
        <f t="shared" si="10"/>
        <v>4595</v>
      </c>
      <c r="I173" s="1">
        <f t="shared" si="10"/>
        <v>131365</v>
      </c>
      <c r="J173" s="1">
        <f t="shared" si="10"/>
        <v>0</v>
      </c>
      <c r="K173" s="1">
        <f t="shared" si="10"/>
        <v>0</v>
      </c>
      <c r="L173" s="1">
        <f t="shared" si="10"/>
        <v>0</v>
      </c>
      <c r="M173" s="1">
        <f t="shared" si="10"/>
        <v>0</v>
      </c>
      <c r="N173" s="1">
        <f t="shared" si="10"/>
        <v>0</v>
      </c>
      <c r="O173" s="1">
        <f t="shared" si="10"/>
        <v>0</v>
      </c>
      <c r="P173" s="1">
        <f t="shared" si="10"/>
        <v>0</v>
      </c>
      <c r="Q173" s="1">
        <f t="shared" si="10"/>
        <v>169</v>
      </c>
    </row>
    <row r="174" spans="1:18" x14ac:dyDescent="0.25">
      <c r="H174">
        <f>-40*17</f>
        <v>-680</v>
      </c>
    </row>
    <row r="175" spans="1:18" x14ac:dyDescent="0.25">
      <c r="A175" s="1" t="s">
        <v>27</v>
      </c>
      <c r="C175" s="60" t="s">
        <v>158</v>
      </c>
      <c r="D175" s="60"/>
      <c r="E175" s="4" t="s">
        <v>159</v>
      </c>
      <c r="H175">
        <f>-35*25</f>
        <v>-875</v>
      </c>
      <c r="K175" s="6" t="s">
        <v>3429</v>
      </c>
      <c r="L175" s="6" t="s">
        <v>160</v>
      </c>
      <c r="M175" s="6" t="s">
        <v>159</v>
      </c>
      <c r="O175" s="4" t="s">
        <v>161</v>
      </c>
    </row>
    <row r="176" spans="1:18" x14ac:dyDescent="0.25">
      <c r="A176" t="s">
        <v>3430</v>
      </c>
      <c r="B176" s="3" t="s">
        <v>162</v>
      </c>
      <c r="C176" s="61">
        <f>SUMIFS(I$3:I$171,B$3:B$171,A$175,L$3:L$171,A$176)</f>
        <v>131365</v>
      </c>
      <c r="D176" s="61"/>
      <c r="E176" s="3">
        <f>SUMIFS(Q$3:Q$171,B$3:B$171,A$175,L$3:L$171,A$176)</f>
        <v>169</v>
      </c>
      <c r="F176" t="s">
        <v>163</v>
      </c>
      <c r="H176">
        <f>-16*30</f>
        <v>-480</v>
      </c>
      <c r="K176" t="s">
        <v>164</v>
      </c>
      <c r="L176">
        <f>SUMIFS(G$3:G$171,J$3:J$171,K$175)</f>
        <v>66665</v>
      </c>
      <c r="M176">
        <f>SUMIFS(Q$3:Q$171,J$3:J$171,K$175)-INT(COUNTIFS(J$3:J$171,K$175,M$3:M$171,"*gộp*")/2)</f>
        <v>91</v>
      </c>
      <c r="O176" t="s">
        <v>3906</v>
      </c>
      <c r="P176">
        <f>L181</f>
        <v>64630</v>
      </c>
    </row>
    <row r="177" spans="2:16" x14ac:dyDescent="0.25">
      <c r="B177" s="2" t="s">
        <v>166</v>
      </c>
      <c r="C177" s="62">
        <v>0</v>
      </c>
      <c r="D177" s="62"/>
      <c r="K177" t="s">
        <v>167</v>
      </c>
      <c r="L177">
        <f>SUM(H174:H176)</f>
        <v>-2035</v>
      </c>
      <c r="M177">
        <f>SUMIFS(Q$3:Q$171,J$3:J$171,K$175)-INT(COUNTIFS(J$3:J$171,K$175,M$3:M$171,"*gộp*")/2)</f>
        <v>91</v>
      </c>
      <c r="O177" t="s">
        <v>119</v>
      </c>
      <c r="P177">
        <f>L189</f>
        <v>33558</v>
      </c>
    </row>
    <row r="178" spans="2:16" x14ac:dyDescent="0.25">
      <c r="B178" s="2" t="s">
        <v>168</v>
      </c>
      <c r="C178" s="62">
        <f>-SUMIFS(I$3:I$171,B$3:B$171,A$175,P$3:P$171,"xx",N$3:N$171,"x")</f>
        <v>-3200</v>
      </c>
      <c r="D178" s="62"/>
      <c r="E178" s="2">
        <f>SUMIFS(Q$3:Q$171,B$3:B$171,A$175,P$3:P$171,"xx",N$3:N$171,"x")</f>
        <v>4</v>
      </c>
      <c r="K178" t="s">
        <v>169</v>
      </c>
      <c r="L178">
        <f>-M178*2</f>
        <v>0</v>
      </c>
      <c r="M178">
        <f>COUNTIFS(K$3:K$171,K$175,L$3:L$171,A$176)-(COUNTIFS(K$3:K$171,K$175,M$3:M$171,"*gộp*")/2)-COUNTIFS(K$3:K$171,K$175,M$3:M$171,"*đơn trả*")-COUNTIFS(K$3:K$171,K$175,M$3:M$171,"*hàng tỉnh*")</f>
        <v>0</v>
      </c>
      <c r="O178" t="s">
        <v>33</v>
      </c>
      <c r="P178">
        <f>L197</f>
        <v>30737</v>
      </c>
    </row>
    <row r="179" spans="2:16" x14ac:dyDescent="0.25">
      <c r="B179" s="4" t="s">
        <v>170</v>
      </c>
      <c r="C179" s="60">
        <f>SUBTOTAL(9,C176:C178)</f>
        <v>128165</v>
      </c>
      <c r="D179" s="60"/>
      <c r="E179">
        <f>E176</f>
        <v>169</v>
      </c>
      <c r="K179" s="7" t="s">
        <v>155</v>
      </c>
      <c r="O179" t="s">
        <v>171</v>
      </c>
      <c r="P179">
        <f>-C183</f>
        <v>-128165</v>
      </c>
    </row>
    <row r="180" spans="2:16" x14ac:dyDescent="0.25">
      <c r="B180" s="2" t="s">
        <v>172</v>
      </c>
      <c r="C180" s="58"/>
      <c r="D180" s="58"/>
      <c r="K180" s="2" t="s">
        <v>173</v>
      </c>
      <c r="O180" s="4" t="s">
        <v>174</v>
      </c>
      <c r="P180" s="4">
        <f>SUBTOTAL(9,P176:P179)</f>
        <v>760</v>
      </c>
    </row>
    <row r="181" spans="2:16" x14ac:dyDescent="0.25">
      <c r="B181" s="8" t="s">
        <v>175</v>
      </c>
      <c r="C181" s="58"/>
      <c r="D181" s="58"/>
      <c r="L181" s="9">
        <f>SUBTOTAL(9,L176:L180)</f>
        <v>64630</v>
      </c>
      <c r="M181" s="9">
        <f>M176</f>
        <v>91</v>
      </c>
    </row>
    <row r="183" spans="2:16" x14ac:dyDescent="0.25">
      <c r="B183" s="1" t="s">
        <v>176</v>
      </c>
      <c r="C183" s="59">
        <f>C179+C180+C181</f>
        <v>128165</v>
      </c>
      <c r="D183" s="59"/>
      <c r="E183" s="1" t="s">
        <v>177</v>
      </c>
      <c r="K183" s="6" t="s">
        <v>119</v>
      </c>
      <c r="L183" s="6" t="s">
        <v>160</v>
      </c>
      <c r="M183" s="6" t="s">
        <v>159</v>
      </c>
    </row>
    <row r="184" spans="2:16" x14ac:dyDescent="0.25">
      <c r="K184" t="s">
        <v>164</v>
      </c>
      <c r="L184">
        <f>SUMIFS(G$3:G$171,J$3:J$171,K$183)</f>
        <v>34313</v>
      </c>
      <c r="M184">
        <f>SUMIFS(Q$3:Q$171,J$3:J$171,K$183)-INT(COUNTIFS(J$3:J$171,K$183,M$3:M$171,"*gộp*")/2)</f>
        <v>36</v>
      </c>
    </row>
    <row r="185" spans="2:16" x14ac:dyDescent="0.25">
      <c r="K185" t="s">
        <v>167</v>
      </c>
      <c r="L185">
        <f>-SUMIFS(H$3:H$171,J$3:J$171,K$183)+M185*5</f>
        <v>-755</v>
      </c>
      <c r="M185">
        <f>SUMIFS(Q$3:Q$171,J$3:J$171,K$183)-INT(COUNTIFS(J$3:J$171,K$183,M$3:M$171,"*gộp*")/2)</f>
        <v>36</v>
      </c>
    </row>
    <row r="186" spans="2:16" x14ac:dyDescent="0.25">
      <c r="K186" t="s">
        <v>169</v>
      </c>
      <c r="L186">
        <f>-M186*2</f>
        <v>0</v>
      </c>
      <c r="M186">
        <f>COUNTIFS(K$3:K$171,K$183,L$3:L$171,A$176)-(COUNTIFS(K$3:K$171,K$183,M$3:M$171,"*gộp*")/2)-COUNTIFS(K$3:K$171,K$183,M$3:M$171,"*đơn trả*")-COUNTIFS(K$3:K$171,K$183,M$3:M$171,"*hàng tỉnh*")</f>
        <v>0</v>
      </c>
    </row>
    <row r="187" spans="2:16" x14ac:dyDescent="0.25">
      <c r="K187" s="7" t="s">
        <v>155</v>
      </c>
    </row>
    <row r="188" spans="2:16" x14ac:dyDescent="0.25">
      <c r="K188" s="2" t="s">
        <v>173</v>
      </c>
    </row>
    <row r="189" spans="2:16" x14ac:dyDescent="0.25">
      <c r="L189" s="9">
        <f>SUBTOTAL(9,L184:L188)</f>
        <v>33558</v>
      </c>
      <c r="M189" s="9">
        <f>M184</f>
        <v>36</v>
      </c>
    </row>
    <row r="191" spans="2:16" x14ac:dyDescent="0.25">
      <c r="K191" s="6" t="s">
        <v>33</v>
      </c>
      <c r="L191" s="6" t="s">
        <v>160</v>
      </c>
      <c r="M191" s="6" t="s">
        <v>159</v>
      </c>
    </row>
    <row r="192" spans="2:16" x14ac:dyDescent="0.25">
      <c r="K192" t="s">
        <v>164</v>
      </c>
      <c r="L192">
        <f>SUMIFS(G$3:G$171,J$3:J$171,K$191)</f>
        <v>31782</v>
      </c>
      <c r="M192">
        <f>SUMIFS(Q$3:Q$171,J$3:J$171,K$191)-INT(COUNTIFS(J$3:J$171,K$191,M$3:M$171,"*gộp*")/2)</f>
        <v>38</v>
      </c>
    </row>
    <row r="193" spans="11:13" x14ac:dyDescent="0.25">
      <c r="K193" t="s">
        <v>167</v>
      </c>
      <c r="L193">
        <f>-SUMIFS(H$3:H$171,J$3:J$171,K$191)+M193*5</f>
        <v>-715</v>
      </c>
      <c r="M193">
        <f>SUMIFS(Q$3:Q$171,J$3:J$171,K$191)-INT(COUNTIFS(J$3:J$171,K$191,M$3:M$171,"*gộp*")/2)</f>
        <v>38</v>
      </c>
    </row>
    <row r="194" spans="11:13" x14ac:dyDescent="0.25">
      <c r="K194" t="s">
        <v>169</v>
      </c>
      <c r="L194">
        <f>-M194*2</f>
        <v>-330</v>
      </c>
      <c r="M194">
        <f>COUNTIFS(K$3:K$171,K$191,L$3:L$171,A$176)-(COUNTIFS(K$3:K$171,K$191,M$3:M$171,"*gộp*")/2)-COUNTIFS(K$3:K$171,K$191,M$3:M$171,"*đơn trả*")-COUNTIFS(K$3:K$171,K$191,M$3:M$171,"*hàng tỉnh*")</f>
        <v>165</v>
      </c>
    </row>
    <row r="195" spans="11:13" x14ac:dyDescent="0.25">
      <c r="K195" s="7" t="s">
        <v>155</v>
      </c>
    </row>
    <row r="196" spans="11:13" x14ac:dyDescent="0.25">
      <c r="K196" s="2" t="s">
        <v>173</v>
      </c>
    </row>
    <row r="197" spans="11:13" x14ac:dyDescent="0.25">
      <c r="L197" s="9">
        <f>SUBTOTAL(9,L192:L196)</f>
        <v>30737</v>
      </c>
      <c r="M197" s="9">
        <f>M192</f>
        <v>38</v>
      </c>
    </row>
  </sheetData>
  <autoFilter ref="A2:P171" xr:uid="{00000000-0009-0000-0000-000000000000}">
    <sortState xmlns:xlrd2="http://schemas.microsoft.com/office/spreadsheetml/2017/richdata2" ref="A3:P171">
      <sortCondition ref="J2:J171"/>
    </sortState>
  </autoFilter>
  <mergeCells count="8">
    <mergeCell ref="C181:D181"/>
    <mergeCell ref="C183:D183"/>
    <mergeCell ref="C175:D175"/>
    <mergeCell ref="C176:D176"/>
    <mergeCell ref="C177:D177"/>
    <mergeCell ref="C178:D178"/>
    <mergeCell ref="C179:D179"/>
    <mergeCell ref="C180:D180"/>
  </mergeCells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4DE2-1D5A-4F2B-8126-689A2AD551E3}">
  <dimension ref="A2:R140"/>
  <sheetViews>
    <sheetView topLeftCell="B94" zoomScale="90" zoomScaleNormal="90" workbookViewId="0">
      <selection activeCell="D51" sqref="D51"/>
    </sheetView>
  </sheetViews>
  <sheetFormatPr defaultRowHeight="15" x14ac:dyDescent="0.25"/>
  <cols>
    <col min="1" max="1" width="12.7109375" customWidth="1"/>
    <col min="2" max="2" width="7.28515625" customWidth="1"/>
    <col min="3" max="3" width="49" customWidth="1"/>
    <col min="4" max="4" width="9.85546875" customWidth="1"/>
    <col min="5" max="5" width="72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22.5703125" bestFit="1" customWidth="1"/>
    <col min="12" max="12" width="12.5703125" bestFit="1" customWidth="1"/>
    <col min="13" max="13" width="22.5703125" customWidth="1"/>
    <col min="14" max="14" width="9.7109375" customWidth="1"/>
    <col min="15" max="15" width="10.42578125" customWidth="1"/>
    <col min="16" max="16" width="8.42578125" bestFit="1" customWidth="1"/>
  </cols>
  <sheetData>
    <row r="2" spans="1:17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7" x14ac:dyDescent="0.25">
      <c r="A3" s="11"/>
      <c r="B3" s="11" t="s">
        <v>27</v>
      </c>
      <c r="C3" s="11" t="s">
        <v>3916</v>
      </c>
      <c r="D3" s="11" t="s">
        <v>3917</v>
      </c>
      <c r="E3" s="11" t="s">
        <v>3918</v>
      </c>
      <c r="F3" s="12">
        <v>2</v>
      </c>
      <c r="G3" s="12">
        <v>3610</v>
      </c>
      <c r="H3" s="12">
        <v>40</v>
      </c>
      <c r="I3" s="12">
        <f t="shared" ref="I3:I34" si="0">G3-H3</f>
        <v>3570</v>
      </c>
      <c r="J3" s="11" t="s">
        <v>3429</v>
      </c>
      <c r="K3" s="11" t="s">
        <v>33</v>
      </c>
      <c r="L3" s="11" t="s">
        <v>3430</v>
      </c>
      <c r="M3" s="11"/>
      <c r="N3" s="11"/>
      <c r="O3" s="11"/>
      <c r="P3" s="11"/>
      <c r="Q3" s="11">
        <v>1</v>
      </c>
    </row>
    <row r="4" spans="1:17" x14ac:dyDescent="0.25">
      <c r="A4" s="11"/>
      <c r="B4" s="11" t="s">
        <v>27</v>
      </c>
      <c r="C4" s="11" t="s">
        <v>3922</v>
      </c>
      <c r="D4" s="11" t="s">
        <v>3923</v>
      </c>
      <c r="E4" s="11" t="s">
        <v>3924</v>
      </c>
      <c r="F4" s="12">
        <v>7</v>
      </c>
      <c r="G4" s="12">
        <v>2440</v>
      </c>
      <c r="H4" s="12">
        <v>30</v>
      </c>
      <c r="I4" s="12">
        <f t="shared" si="0"/>
        <v>2410</v>
      </c>
      <c r="J4" s="11" t="s">
        <v>3429</v>
      </c>
      <c r="K4" s="11" t="s">
        <v>33</v>
      </c>
      <c r="L4" s="11" t="s">
        <v>3430</v>
      </c>
      <c r="M4" s="24" t="s">
        <v>1217</v>
      </c>
      <c r="N4" s="11"/>
      <c r="O4" s="11"/>
      <c r="P4" s="11"/>
      <c r="Q4" s="11">
        <v>1</v>
      </c>
    </row>
    <row r="5" spans="1:17" x14ac:dyDescent="0.25">
      <c r="A5" s="11"/>
      <c r="B5" s="11" t="s">
        <v>27</v>
      </c>
      <c r="C5" s="11" t="s">
        <v>3922</v>
      </c>
      <c r="D5" s="11" t="s">
        <v>3930</v>
      </c>
      <c r="E5" s="11" t="s">
        <v>3924</v>
      </c>
      <c r="F5" s="12">
        <v>7</v>
      </c>
      <c r="G5" s="12">
        <v>3950</v>
      </c>
      <c r="H5" s="12">
        <v>0</v>
      </c>
      <c r="I5" s="12">
        <f t="shared" si="0"/>
        <v>3950</v>
      </c>
      <c r="J5" s="11" t="s">
        <v>3429</v>
      </c>
      <c r="K5" s="11" t="s">
        <v>33</v>
      </c>
      <c r="L5" s="11" t="s">
        <v>3430</v>
      </c>
      <c r="M5" s="24" t="s">
        <v>1217</v>
      </c>
      <c r="N5" s="11"/>
      <c r="O5" s="11"/>
      <c r="P5" s="11"/>
      <c r="Q5" s="11">
        <v>1</v>
      </c>
    </row>
    <row r="6" spans="1:17" x14ac:dyDescent="0.25">
      <c r="A6" s="11"/>
      <c r="B6" s="11" t="s">
        <v>27</v>
      </c>
      <c r="C6" s="11" t="s">
        <v>3925</v>
      </c>
      <c r="D6" s="11" t="s">
        <v>3926</v>
      </c>
      <c r="E6" s="11" t="s">
        <v>3927</v>
      </c>
      <c r="F6" s="12">
        <v>12</v>
      </c>
      <c r="G6" s="12">
        <v>1730</v>
      </c>
      <c r="H6" s="12">
        <v>30</v>
      </c>
      <c r="I6" s="12">
        <f t="shared" si="0"/>
        <v>1700</v>
      </c>
      <c r="J6" s="11" t="s">
        <v>3429</v>
      </c>
      <c r="K6" s="11" t="s">
        <v>33</v>
      </c>
      <c r="L6" s="11" t="s">
        <v>3430</v>
      </c>
      <c r="M6" s="11"/>
      <c r="N6" s="11"/>
      <c r="O6" s="11"/>
      <c r="P6" s="11"/>
      <c r="Q6" s="11">
        <v>1</v>
      </c>
    </row>
    <row r="7" spans="1:17" x14ac:dyDescent="0.25">
      <c r="A7" s="11"/>
      <c r="B7" s="11" t="s">
        <v>27</v>
      </c>
      <c r="C7" s="11" t="s">
        <v>3931</v>
      </c>
      <c r="D7" s="11" t="s">
        <v>3932</v>
      </c>
      <c r="E7" s="11" t="s">
        <v>3933</v>
      </c>
      <c r="F7" s="12">
        <v>9</v>
      </c>
      <c r="G7" s="12">
        <v>580</v>
      </c>
      <c r="H7" s="12">
        <v>30</v>
      </c>
      <c r="I7" s="12">
        <f t="shared" si="0"/>
        <v>550</v>
      </c>
      <c r="J7" s="11" t="s">
        <v>3429</v>
      </c>
      <c r="K7" s="11" t="s">
        <v>33</v>
      </c>
      <c r="L7" s="11" t="s">
        <v>3430</v>
      </c>
      <c r="M7" s="11"/>
      <c r="N7" s="11"/>
      <c r="O7" s="11"/>
      <c r="P7" s="11"/>
      <c r="Q7" s="11">
        <v>1</v>
      </c>
    </row>
    <row r="8" spans="1:17" x14ac:dyDescent="0.25">
      <c r="A8" s="11"/>
      <c r="B8" s="11" t="s">
        <v>27</v>
      </c>
      <c r="C8" s="11" t="s">
        <v>2368</v>
      </c>
      <c r="D8" s="11" t="s">
        <v>3938</v>
      </c>
      <c r="E8" s="11" t="s">
        <v>2370</v>
      </c>
      <c r="F8" s="11" t="s">
        <v>444</v>
      </c>
      <c r="G8" s="12">
        <v>1085</v>
      </c>
      <c r="H8" s="12">
        <v>35</v>
      </c>
      <c r="I8" s="12">
        <f t="shared" si="0"/>
        <v>1050</v>
      </c>
      <c r="J8" s="11" t="s">
        <v>3429</v>
      </c>
      <c r="K8" s="11" t="s">
        <v>33</v>
      </c>
      <c r="L8" s="11" t="s">
        <v>3430</v>
      </c>
      <c r="M8" s="11"/>
      <c r="N8" s="11"/>
      <c r="O8" s="11"/>
      <c r="P8" s="11"/>
      <c r="Q8" s="11">
        <v>1</v>
      </c>
    </row>
    <row r="9" spans="1:17" x14ac:dyDescent="0.25">
      <c r="A9" s="11"/>
      <c r="B9" s="11" t="s">
        <v>27</v>
      </c>
      <c r="C9" s="11" t="s">
        <v>3939</v>
      </c>
      <c r="D9" s="11" t="s">
        <v>3940</v>
      </c>
      <c r="E9" s="11" t="s">
        <v>3941</v>
      </c>
      <c r="F9" s="11" t="s">
        <v>48</v>
      </c>
      <c r="G9" s="12">
        <v>470</v>
      </c>
      <c r="H9" s="12">
        <v>30</v>
      </c>
      <c r="I9" s="12">
        <f t="shared" si="0"/>
        <v>440</v>
      </c>
      <c r="J9" s="11" t="s">
        <v>3429</v>
      </c>
      <c r="K9" s="11" t="s">
        <v>33</v>
      </c>
      <c r="L9" s="11" t="s">
        <v>3430</v>
      </c>
      <c r="M9" s="11"/>
      <c r="N9" s="11"/>
      <c r="O9" s="11"/>
      <c r="P9" s="11"/>
      <c r="Q9" s="11">
        <v>1</v>
      </c>
    </row>
    <row r="10" spans="1:17" x14ac:dyDescent="0.25">
      <c r="A10" s="11"/>
      <c r="B10" s="11" t="s">
        <v>27</v>
      </c>
      <c r="C10" s="11" t="s">
        <v>3942</v>
      </c>
      <c r="D10" s="11" t="s">
        <v>3943</v>
      </c>
      <c r="E10" s="11" t="s">
        <v>3944</v>
      </c>
      <c r="F10" s="11" t="s">
        <v>55</v>
      </c>
      <c r="G10" s="12">
        <v>1345</v>
      </c>
      <c r="H10" s="12">
        <v>35</v>
      </c>
      <c r="I10" s="12">
        <f t="shared" si="0"/>
        <v>1310</v>
      </c>
      <c r="J10" s="11" t="s">
        <v>3429</v>
      </c>
      <c r="K10" s="11" t="s">
        <v>33</v>
      </c>
      <c r="L10" s="11" t="s">
        <v>3430</v>
      </c>
      <c r="M10" s="11"/>
      <c r="N10" s="11"/>
      <c r="O10" s="11"/>
      <c r="P10" s="11"/>
      <c r="Q10" s="11">
        <v>1</v>
      </c>
    </row>
    <row r="11" spans="1:17" x14ac:dyDescent="0.25">
      <c r="A11" s="11"/>
      <c r="B11" s="11" t="s">
        <v>27</v>
      </c>
      <c r="C11" s="11" t="s">
        <v>3948</v>
      </c>
      <c r="D11" s="11" t="s">
        <v>3949</v>
      </c>
      <c r="E11" s="11" t="s">
        <v>3950</v>
      </c>
      <c r="F11" s="11" t="s">
        <v>55</v>
      </c>
      <c r="G11" s="12">
        <v>345</v>
      </c>
      <c r="H11" s="12">
        <v>35</v>
      </c>
      <c r="I11" s="12">
        <f t="shared" si="0"/>
        <v>310</v>
      </c>
      <c r="J11" s="11" t="s">
        <v>3429</v>
      </c>
      <c r="K11" s="11" t="s">
        <v>33</v>
      </c>
      <c r="L11" s="11" t="s">
        <v>3430</v>
      </c>
      <c r="M11" s="11"/>
      <c r="N11" s="11"/>
      <c r="O11" s="11"/>
      <c r="P11" s="11"/>
      <c r="Q11" s="11">
        <v>1</v>
      </c>
    </row>
    <row r="12" spans="1:17" x14ac:dyDescent="0.25">
      <c r="A12" s="11"/>
      <c r="B12" s="11" t="s">
        <v>27</v>
      </c>
      <c r="C12" s="11" t="s">
        <v>2021</v>
      </c>
      <c r="D12" s="11" t="s">
        <v>3954</v>
      </c>
      <c r="E12" s="11" t="s">
        <v>2023</v>
      </c>
      <c r="F12" s="11" t="s">
        <v>31</v>
      </c>
      <c r="G12" s="12">
        <v>385</v>
      </c>
      <c r="H12" s="12">
        <v>25</v>
      </c>
      <c r="I12" s="12">
        <f t="shared" si="0"/>
        <v>360</v>
      </c>
      <c r="J12" s="11" t="s">
        <v>3429</v>
      </c>
      <c r="K12" s="11" t="s">
        <v>33</v>
      </c>
      <c r="L12" s="11" t="s">
        <v>3430</v>
      </c>
      <c r="M12" s="11"/>
      <c r="N12" s="11"/>
      <c r="O12" s="11"/>
      <c r="P12" s="11"/>
      <c r="Q12" s="11">
        <v>1</v>
      </c>
    </row>
    <row r="13" spans="1:17" x14ac:dyDescent="0.25">
      <c r="A13" s="11"/>
      <c r="B13" s="11" t="s">
        <v>27</v>
      </c>
      <c r="C13" s="11" t="s">
        <v>2938</v>
      </c>
      <c r="D13" s="11" t="s">
        <v>3958</v>
      </c>
      <c r="E13" s="11" t="s">
        <v>3959</v>
      </c>
      <c r="F13" s="11" t="s">
        <v>44</v>
      </c>
      <c r="G13" s="12">
        <v>605</v>
      </c>
      <c r="H13" s="12">
        <v>25</v>
      </c>
      <c r="I13" s="12">
        <f t="shared" si="0"/>
        <v>580</v>
      </c>
      <c r="J13" s="11" t="s">
        <v>3429</v>
      </c>
      <c r="K13" s="11" t="s">
        <v>33</v>
      </c>
      <c r="L13" s="11" t="s">
        <v>3430</v>
      </c>
      <c r="M13" s="24" t="s">
        <v>6074</v>
      </c>
      <c r="N13" s="11"/>
      <c r="O13" s="11"/>
      <c r="P13" s="11"/>
      <c r="Q13" s="11">
        <v>1</v>
      </c>
    </row>
    <row r="14" spans="1:17" x14ac:dyDescent="0.25">
      <c r="A14" s="11"/>
      <c r="B14" s="11" t="s">
        <v>27</v>
      </c>
      <c r="C14" s="11" t="s">
        <v>3963</v>
      </c>
      <c r="D14" s="11" t="s">
        <v>3964</v>
      </c>
      <c r="E14" s="11" t="s">
        <v>3965</v>
      </c>
      <c r="F14" s="12">
        <v>8</v>
      </c>
      <c r="G14" s="12">
        <v>400</v>
      </c>
      <c r="H14" s="12">
        <v>30</v>
      </c>
      <c r="I14" s="12">
        <f t="shared" si="0"/>
        <v>370</v>
      </c>
      <c r="J14" s="11" t="s">
        <v>3429</v>
      </c>
      <c r="K14" s="11" t="s">
        <v>33</v>
      </c>
      <c r="L14" s="11" t="s">
        <v>3430</v>
      </c>
      <c r="M14" s="11"/>
      <c r="N14" s="11"/>
      <c r="O14" s="11"/>
      <c r="P14" s="11"/>
      <c r="Q14" s="11">
        <v>1</v>
      </c>
    </row>
    <row r="15" spans="1:17" x14ac:dyDescent="0.25">
      <c r="A15" s="11"/>
      <c r="B15" s="11" t="s">
        <v>27</v>
      </c>
      <c r="C15" s="11" t="s">
        <v>3969</v>
      </c>
      <c r="D15" s="11" t="s">
        <v>3970</v>
      </c>
      <c r="E15" s="11" t="s">
        <v>3971</v>
      </c>
      <c r="F15" s="11" t="s">
        <v>48</v>
      </c>
      <c r="G15" s="12">
        <v>1310</v>
      </c>
      <c r="H15" s="12">
        <v>30</v>
      </c>
      <c r="I15" s="12">
        <f t="shared" si="0"/>
        <v>1280</v>
      </c>
      <c r="J15" s="11" t="s">
        <v>3429</v>
      </c>
      <c r="K15" s="11" t="s">
        <v>33</v>
      </c>
      <c r="L15" s="11" t="s">
        <v>3430</v>
      </c>
      <c r="M15" s="11"/>
      <c r="N15" s="11"/>
      <c r="O15" s="11"/>
      <c r="P15" s="11"/>
      <c r="Q15" s="11">
        <v>1</v>
      </c>
    </row>
    <row r="16" spans="1:17" x14ac:dyDescent="0.25">
      <c r="A16" s="11"/>
      <c r="B16" s="11" t="s">
        <v>27</v>
      </c>
      <c r="C16" s="11" t="s">
        <v>3972</v>
      </c>
      <c r="D16" s="11" t="s">
        <v>3973</v>
      </c>
      <c r="E16" s="11" t="s">
        <v>3974</v>
      </c>
      <c r="F16" s="11" t="s">
        <v>31</v>
      </c>
      <c r="G16" s="12">
        <v>0</v>
      </c>
      <c r="H16" s="12">
        <v>25</v>
      </c>
      <c r="I16" s="12">
        <f t="shared" si="0"/>
        <v>-25</v>
      </c>
      <c r="J16" s="11" t="s">
        <v>3429</v>
      </c>
      <c r="K16" s="11" t="s">
        <v>33</v>
      </c>
      <c r="L16" s="11" t="s">
        <v>3430</v>
      </c>
      <c r="M16" s="11"/>
      <c r="N16" s="11"/>
      <c r="O16" s="11"/>
      <c r="P16" s="11"/>
      <c r="Q16" s="11">
        <v>1</v>
      </c>
    </row>
    <row r="17" spans="1:18" s="15" customFormat="1" x14ac:dyDescent="0.25">
      <c r="A17" s="13"/>
      <c r="B17" s="13" t="s">
        <v>27</v>
      </c>
      <c r="C17" s="13" t="s">
        <v>2812</v>
      </c>
      <c r="D17" s="13" t="s">
        <v>3975</v>
      </c>
      <c r="E17" s="13" t="s">
        <v>2814</v>
      </c>
      <c r="F17" s="13" t="s">
        <v>44</v>
      </c>
      <c r="G17" s="14">
        <v>0</v>
      </c>
      <c r="H17" s="14">
        <v>25</v>
      </c>
      <c r="I17" s="14">
        <f t="shared" si="0"/>
        <v>-25</v>
      </c>
      <c r="J17" s="13" t="s">
        <v>3429</v>
      </c>
      <c r="K17" s="13" t="s">
        <v>33</v>
      </c>
      <c r="L17" s="13" t="s">
        <v>3430</v>
      </c>
      <c r="M17" s="13" t="s">
        <v>100</v>
      </c>
      <c r="N17" s="13"/>
      <c r="O17" s="13"/>
      <c r="P17" s="13"/>
      <c r="Q17" s="13">
        <v>1</v>
      </c>
    </row>
    <row r="18" spans="1:18" x14ac:dyDescent="0.25">
      <c r="A18" s="11"/>
      <c r="B18" s="11" t="s">
        <v>27</v>
      </c>
      <c r="C18" s="11" t="s">
        <v>2133</v>
      </c>
      <c r="D18" s="11" t="s">
        <v>3979</v>
      </c>
      <c r="E18" s="11" t="s">
        <v>2135</v>
      </c>
      <c r="F18" s="12">
        <v>2</v>
      </c>
      <c r="G18" s="12">
        <v>130</v>
      </c>
      <c r="H18" s="12">
        <v>30</v>
      </c>
      <c r="I18" s="12">
        <f t="shared" si="0"/>
        <v>100</v>
      </c>
      <c r="J18" s="11" t="s">
        <v>3429</v>
      </c>
      <c r="K18" s="11" t="s">
        <v>33</v>
      </c>
      <c r="L18" s="11" t="s">
        <v>3430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3980</v>
      </c>
      <c r="D19" s="11" t="s">
        <v>3981</v>
      </c>
      <c r="E19" s="11" t="s">
        <v>3982</v>
      </c>
      <c r="F19" s="11" t="s">
        <v>31</v>
      </c>
      <c r="G19" s="12">
        <v>795</v>
      </c>
      <c r="H19" s="12">
        <v>25</v>
      </c>
      <c r="I19" s="12">
        <f t="shared" si="0"/>
        <v>770</v>
      </c>
      <c r="J19" s="11" t="s">
        <v>3429</v>
      </c>
      <c r="K19" s="11" t="s">
        <v>33</v>
      </c>
      <c r="L19" s="11" t="s">
        <v>3430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3986</v>
      </c>
      <c r="D20" s="11" t="s">
        <v>3987</v>
      </c>
      <c r="E20" s="11" t="s">
        <v>3988</v>
      </c>
      <c r="F20" s="12">
        <v>7</v>
      </c>
      <c r="G20" s="12">
        <v>1190</v>
      </c>
      <c r="H20" s="12">
        <v>30</v>
      </c>
      <c r="I20" s="12">
        <f t="shared" si="0"/>
        <v>1160</v>
      </c>
      <c r="J20" s="11" t="s">
        <v>3429</v>
      </c>
      <c r="K20" s="11" t="s">
        <v>33</v>
      </c>
      <c r="L20" s="11" t="s">
        <v>3430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3989</v>
      </c>
      <c r="D21" s="11" t="s">
        <v>3990</v>
      </c>
      <c r="E21" s="11" t="s">
        <v>3991</v>
      </c>
      <c r="F21" s="12">
        <v>7</v>
      </c>
      <c r="G21" s="12">
        <v>1400</v>
      </c>
      <c r="H21" s="12">
        <v>30</v>
      </c>
      <c r="I21" s="12">
        <f t="shared" si="0"/>
        <v>1370</v>
      </c>
      <c r="J21" s="11" t="s">
        <v>3429</v>
      </c>
      <c r="K21" s="11" t="s">
        <v>33</v>
      </c>
      <c r="L21" s="11" t="s">
        <v>3430</v>
      </c>
      <c r="M21" s="11"/>
      <c r="N21" s="11"/>
      <c r="O21" s="11"/>
      <c r="P21" s="11"/>
      <c r="Q21" s="11">
        <v>1</v>
      </c>
    </row>
    <row r="22" spans="1:18" s="15" customFormat="1" x14ac:dyDescent="0.25">
      <c r="A22" s="13"/>
      <c r="B22" s="13" t="s">
        <v>27</v>
      </c>
      <c r="C22" s="13" t="s">
        <v>3995</v>
      </c>
      <c r="D22" s="13" t="s">
        <v>3996</v>
      </c>
      <c r="E22" s="13" t="s">
        <v>3997</v>
      </c>
      <c r="F22" s="13" t="s">
        <v>31</v>
      </c>
      <c r="G22" s="14">
        <v>0</v>
      </c>
      <c r="H22" s="14">
        <v>25</v>
      </c>
      <c r="I22" s="14">
        <f t="shared" si="0"/>
        <v>-25</v>
      </c>
      <c r="J22" s="13" t="s">
        <v>3429</v>
      </c>
      <c r="K22" s="13" t="s">
        <v>33</v>
      </c>
      <c r="L22" s="13" t="s">
        <v>3430</v>
      </c>
      <c r="M22" s="13" t="s">
        <v>100</v>
      </c>
      <c r="N22" s="13"/>
      <c r="O22" s="13"/>
      <c r="P22" s="13"/>
      <c r="Q22" s="13">
        <v>1</v>
      </c>
    </row>
    <row r="23" spans="1:18" x14ac:dyDescent="0.25">
      <c r="A23" s="11"/>
      <c r="B23" s="11" t="s">
        <v>27</v>
      </c>
      <c r="C23" s="11" t="s">
        <v>3998</v>
      </c>
      <c r="D23" s="11" t="s">
        <v>3999</v>
      </c>
      <c r="E23" s="11" t="s">
        <v>4000</v>
      </c>
      <c r="F23" s="11" t="s">
        <v>31</v>
      </c>
      <c r="G23" s="12">
        <v>465</v>
      </c>
      <c r="H23" s="12">
        <v>25</v>
      </c>
      <c r="I23" s="12">
        <f t="shared" si="0"/>
        <v>440</v>
      </c>
      <c r="J23" s="11" t="s">
        <v>3429</v>
      </c>
      <c r="K23" s="11" t="s">
        <v>33</v>
      </c>
      <c r="L23" s="11" t="s">
        <v>3430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4001</v>
      </c>
      <c r="D24" s="11" t="s">
        <v>4002</v>
      </c>
      <c r="E24" s="11" t="s">
        <v>4003</v>
      </c>
      <c r="F24" s="12">
        <v>9</v>
      </c>
      <c r="G24" s="12">
        <v>1260</v>
      </c>
      <c r="H24" s="12">
        <v>30</v>
      </c>
      <c r="I24" s="12">
        <f t="shared" si="0"/>
        <v>1230</v>
      </c>
      <c r="J24" s="11" t="s">
        <v>3429</v>
      </c>
      <c r="K24" s="11" t="s">
        <v>33</v>
      </c>
      <c r="L24" s="11" t="s">
        <v>3430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4004</v>
      </c>
      <c r="D25" s="11" t="s">
        <v>4005</v>
      </c>
      <c r="E25" s="11" t="s">
        <v>4006</v>
      </c>
      <c r="F25" s="11" t="s">
        <v>104</v>
      </c>
      <c r="G25" s="12">
        <v>798</v>
      </c>
      <c r="H25" s="12">
        <v>30</v>
      </c>
      <c r="I25" s="12">
        <f t="shared" si="0"/>
        <v>768</v>
      </c>
      <c r="J25" s="11" t="s">
        <v>3429</v>
      </c>
      <c r="K25" s="11" t="s">
        <v>33</v>
      </c>
      <c r="L25" s="11" t="s">
        <v>3430</v>
      </c>
      <c r="M25" s="24" t="s">
        <v>340</v>
      </c>
      <c r="N25" s="11"/>
      <c r="O25" s="11"/>
      <c r="P25" s="11"/>
      <c r="Q25" s="11">
        <v>1</v>
      </c>
      <c r="R25" s="5">
        <f>H25</f>
        <v>30</v>
      </c>
    </row>
    <row r="26" spans="1:18" x14ac:dyDescent="0.25">
      <c r="A26" s="11"/>
      <c r="B26" s="11" t="s">
        <v>27</v>
      </c>
      <c r="C26" s="11" t="s">
        <v>4007</v>
      </c>
      <c r="D26" s="11" t="s">
        <v>4008</v>
      </c>
      <c r="E26" s="11" t="s">
        <v>4009</v>
      </c>
      <c r="F26" s="11" t="s">
        <v>104</v>
      </c>
      <c r="G26" s="12">
        <v>618</v>
      </c>
      <c r="H26" s="12">
        <v>30</v>
      </c>
      <c r="I26" s="12">
        <f t="shared" si="0"/>
        <v>588</v>
      </c>
      <c r="J26" s="11" t="s">
        <v>3429</v>
      </c>
      <c r="K26" s="11" t="s">
        <v>33</v>
      </c>
      <c r="L26" s="11" t="s">
        <v>3430</v>
      </c>
      <c r="M26" s="24" t="s">
        <v>340</v>
      </c>
      <c r="N26" s="11"/>
      <c r="O26" s="11"/>
      <c r="P26" s="11"/>
      <c r="Q26" s="11">
        <v>1</v>
      </c>
      <c r="R26" s="5">
        <f>H26</f>
        <v>30</v>
      </c>
    </row>
    <row r="27" spans="1:18" x14ac:dyDescent="0.25">
      <c r="A27" s="11"/>
      <c r="B27" s="11" t="s">
        <v>27</v>
      </c>
      <c r="C27" s="11" t="s">
        <v>4013</v>
      </c>
      <c r="D27" s="11" t="s">
        <v>4014</v>
      </c>
      <c r="E27" s="11" t="s">
        <v>4015</v>
      </c>
      <c r="F27" s="12">
        <v>12</v>
      </c>
      <c r="G27" s="12">
        <v>2240</v>
      </c>
      <c r="H27" s="12">
        <v>30</v>
      </c>
      <c r="I27" s="12">
        <f t="shared" si="0"/>
        <v>2210</v>
      </c>
      <c r="J27" s="11" t="s">
        <v>3429</v>
      </c>
      <c r="K27" s="11" t="s">
        <v>33</v>
      </c>
      <c r="L27" s="11" t="s">
        <v>3430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4016</v>
      </c>
      <c r="D28" s="11" t="s">
        <v>4017</v>
      </c>
      <c r="E28" s="11" t="s">
        <v>4018</v>
      </c>
      <c r="F28" s="11" t="s">
        <v>48</v>
      </c>
      <c r="G28" s="12">
        <v>520</v>
      </c>
      <c r="H28" s="12">
        <v>30</v>
      </c>
      <c r="I28" s="12">
        <f t="shared" si="0"/>
        <v>490</v>
      </c>
      <c r="J28" s="11" t="s">
        <v>3429</v>
      </c>
      <c r="K28" s="11" t="s">
        <v>33</v>
      </c>
      <c r="L28" s="11" t="s">
        <v>3430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4022</v>
      </c>
      <c r="D29" s="11" t="s">
        <v>4023</v>
      </c>
      <c r="E29" s="11" t="s">
        <v>391</v>
      </c>
      <c r="F29" s="12">
        <v>8</v>
      </c>
      <c r="G29" s="12">
        <v>1580</v>
      </c>
      <c r="H29" s="12">
        <v>30</v>
      </c>
      <c r="I29" s="12">
        <f t="shared" si="0"/>
        <v>1550</v>
      </c>
      <c r="J29" s="11" t="s">
        <v>3429</v>
      </c>
      <c r="K29" s="11" t="s">
        <v>33</v>
      </c>
      <c r="L29" s="11" t="s">
        <v>3430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4027</v>
      </c>
      <c r="D30" s="11" t="s">
        <v>4028</v>
      </c>
      <c r="E30" s="11" t="s">
        <v>4029</v>
      </c>
      <c r="F30" s="11" t="s">
        <v>55</v>
      </c>
      <c r="G30" s="12">
        <v>2105</v>
      </c>
      <c r="H30" s="12">
        <v>35</v>
      </c>
      <c r="I30" s="12">
        <f t="shared" si="0"/>
        <v>2070</v>
      </c>
      <c r="J30" s="11" t="s">
        <v>3429</v>
      </c>
      <c r="K30" s="11" t="s">
        <v>33</v>
      </c>
      <c r="L30" s="11" t="s">
        <v>3430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3762</v>
      </c>
      <c r="D31" s="11" t="s">
        <v>4030</v>
      </c>
      <c r="E31" s="11" t="s">
        <v>4031</v>
      </c>
      <c r="F31" s="12">
        <v>7</v>
      </c>
      <c r="G31" s="12">
        <v>450</v>
      </c>
      <c r="H31" s="12">
        <v>30</v>
      </c>
      <c r="I31" s="12">
        <f t="shared" si="0"/>
        <v>420</v>
      </c>
      <c r="J31" s="11" t="s">
        <v>3429</v>
      </c>
      <c r="K31" s="11" t="s">
        <v>33</v>
      </c>
      <c r="L31" s="11" t="s">
        <v>3430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4032</v>
      </c>
      <c r="D32" s="11" t="s">
        <v>4033</v>
      </c>
      <c r="E32" s="11" t="s">
        <v>4034</v>
      </c>
      <c r="F32" s="12">
        <v>7</v>
      </c>
      <c r="G32" s="12">
        <v>2010</v>
      </c>
      <c r="H32" s="12">
        <v>30</v>
      </c>
      <c r="I32" s="12">
        <f t="shared" si="0"/>
        <v>1980</v>
      </c>
      <c r="J32" s="11" t="s">
        <v>3429</v>
      </c>
      <c r="K32" s="11" t="s">
        <v>33</v>
      </c>
      <c r="L32" s="11" t="s">
        <v>3430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4035</v>
      </c>
      <c r="D33" s="11" t="s">
        <v>4036</v>
      </c>
      <c r="E33" s="11" t="s">
        <v>4037</v>
      </c>
      <c r="F33" s="12">
        <v>6</v>
      </c>
      <c r="G33" s="12">
        <v>0</v>
      </c>
      <c r="H33" s="12">
        <v>25</v>
      </c>
      <c r="I33" s="12">
        <f t="shared" si="0"/>
        <v>-25</v>
      </c>
      <c r="J33" s="11" t="s">
        <v>3429</v>
      </c>
      <c r="K33" s="11" t="s">
        <v>33</v>
      </c>
      <c r="L33" s="11" t="s">
        <v>3430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4038</v>
      </c>
      <c r="D34" s="11" t="s">
        <v>4039</v>
      </c>
      <c r="E34" s="11" t="s">
        <v>4040</v>
      </c>
      <c r="F34" s="12">
        <v>12</v>
      </c>
      <c r="G34" s="12">
        <v>230</v>
      </c>
      <c r="H34" s="12">
        <v>30</v>
      </c>
      <c r="I34" s="12">
        <f t="shared" si="0"/>
        <v>200</v>
      </c>
      <c r="J34" s="11" t="s">
        <v>3429</v>
      </c>
      <c r="K34" s="11" t="s">
        <v>33</v>
      </c>
      <c r="L34" s="11" t="s">
        <v>3430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4041</v>
      </c>
      <c r="D35" s="11" t="s">
        <v>4042</v>
      </c>
      <c r="E35" s="11" t="s">
        <v>4043</v>
      </c>
      <c r="F35" s="12">
        <v>8</v>
      </c>
      <c r="G35" s="12">
        <v>520</v>
      </c>
      <c r="H35" s="12">
        <v>30</v>
      </c>
      <c r="I35" s="12">
        <f t="shared" ref="I35:I66" si="1">G35-H35</f>
        <v>490</v>
      </c>
      <c r="J35" s="11" t="s">
        <v>3429</v>
      </c>
      <c r="K35" s="11" t="s">
        <v>33</v>
      </c>
      <c r="L35" s="11" t="s">
        <v>3430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583</v>
      </c>
      <c r="D36" s="11" t="s">
        <v>4044</v>
      </c>
      <c r="E36" s="11" t="s">
        <v>585</v>
      </c>
      <c r="F36" s="11" t="s">
        <v>31</v>
      </c>
      <c r="G36" s="12">
        <v>2820</v>
      </c>
      <c r="H36" s="12">
        <v>30</v>
      </c>
      <c r="I36" s="12">
        <f t="shared" si="1"/>
        <v>2790</v>
      </c>
      <c r="J36" s="11" t="s">
        <v>3429</v>
      </c>
      <c r="K36" s="11" t="s">
        <v>33</v>
      </c>
      <c r="L36" s="11" t="s">
        <v>3430</v>
      </c>
      <c r="M36" s="24" t="s">
        <v>340</v>
      </c>
      <c r="N36" s="11"/>
      <c r="O36" s="11"/>
      <c r="P36" s="11"/>
      <c r="Q36" s="11">
        <v>1</v>
      </c>
      <c r="R36" s="5">
        <f t="shared" ref="R36:R37" si="2">H36</f>
        <v>30</v>
      </c>
    </row>
    <row r="37" spans="1:18" x14ac:dyDescent="0.25">
      <c r="A37" s="11"/>
      <c r="B37" s="11" t="s">
        <v>27</v>
      </c>
      <c r="C37" s="11" t="s">
        <v>4045</v>
      </c>
      <c r="D37" s="11" t="s">
        <v>4046</v>
      </c>
      <c r="E37" s="11" t="s">
        <v>2035</v>
      </c>
      <c r="F37" s="11" t="s">
        <v>44</v>
      </c>
      <c r="G37" s="12">
        <v>798</v>
      </c>
      <c r="H37" s="12">
        <v>25</v>
      </c>
      <c r="I37" s="12">
        <f t="shared" si="1"/>
        <v>773</v>
      </c>
      <c r="J37" s="11" t="s">
        <v>3429</v>
      </c>
      <c r="K37" s="11" t="s">
        <v>33</v>
      </c>
      <c r="L37" s="11" t="s">
        <v>3430</v>
      </c>
      <c r="M37" s="24" t="s">
        <v>340</v>
      </c>
      <c r="N37" s="11"/>
      <c r="O37" s="11"/>
      <c r="P37" s="11"/>
      <c r="Q37" s="11">
        <v>1</v>
      </c>
      <c r="R37" s="5">
        <f t="shared" si="2"/>
        <v>25</v>
      </c>
    </row>
    <row r="38" spans="1:18" x14ac:dyDescent="0.25">
      <c r="A38" s="11"/>
      <c r="B38" s="11" t="s">
        <v>27</v>
      </c>
      <c r="C38" s="11" t="s">
        <v>4047</v>
      </c>
      <c r="D38" s="11" t="s">
        <v>4048</v>
      </c>
      <c r="E38" s="11" t="s">
        <v>4049</v>
      </c>
      <c r="F38" s="11" t="s">
        <v>444</v>
      </c>
      <c r="G38" s="12">
        <v>325</v>
      </c>
      <c r="H38" s="12">
        <v>35</v>
      </c>
      <c r="I38" s="12">
        <f t="shared" si="1"/>
        <v>290</v>
      </c>
      <c r="J38" s="11" t="s">
        <v>3429</v>
      </c>
      <c r="K38" s="11" t="s">
        <v>33</v>
      </c>
      <c r="L38" s="11" t="s">
        <v>3430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4050</v>
      </c>
      <c r="D39" s="11" t="s">
        <v>4051</v>
      </c>
      <c r="E39" s="11" t="s">
        <v>4052</v>
      </c>
      <c r="F39" s="11" t="s">
        <v>48</v>
      </c>
      <c r="G39" s="12">
        <v>1270</v>
      </c>
      <c r="H39" s="12">
        <v>30</v>
      </c>
      <c r="I39" s="12">
        <f t="shared" si="1"/>
        <v>1240</v>
      </c>
      <c r="J39" s="11" t="s">
        <v>3429</v>
      </c>
      <c r="K39" s="11" t="s">
        <v>33</v>
      </c>
      <c r="L39" s="11" t="s">
        <v>3430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4056</v>
      </c>
      <c r="D40" s="11" t="s">
        <v>4057</v>
      </c>
      <c r="E40" s="11" t="s">
        <v>4058</v>
      </c>
      <c r="F40" s="12">
        <v>7</v>
      </c>
      <c r="G40" s="12">
        <v>1950</v>
      </c>
      <c r="H40" s="12">
        <v>30</v>
      </c>
      <c r="I40" s="12">
        <f t="shared" si="1"/>
        <v>1920</v>
      </c>
      <c r="J40" s="11" t="s">
        <v>3429</v>
      </c>
      <c r="K40" s="11" t="s">
        <v>33</v>
      </c>
      <c r="L40" s="11" t="s">
        <v>3430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4059</v>
      </c>
      <c r="D41" s="11" t="s">
        <v>4060</v>
      </c>
      <c r="E41" s="11" t="s">
        <v>4061</v>
      </c>
      <c r="F41" s="12">
        <v>7</v>
      </c>
      <c r="G41" s="12">
        <v>320</v>
      </c>
      <c r="H41" s="12">
        <v>30</v>
      </c>
      <c r="I41" s="12">
        <f t="shared" si="1"/>
        <v>290</v>
      </c>
      <c r="J41" s="11" t="s">
        <v>3429</v>
      </c>
      <c r="K41" s="11" t="s">
        <v>33</v>
      </c>
      <c r="L41" s="11" t="s">
        <v>3430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4062</v>
      </c>
      <c r="D42" s="11" t="s">
        <v>4063</v>
      </c>
      <c r="E42" s="11" t="s">
        <v>4064</v>
      </c>
      <c r="F42" s="11" t="s">
        <v>444</v>
      </c>
      <c r="G42" s="12">
        <v>525</v>
      </c>
      <c r="H42" s="12">
        <v>35</v>
      </c>
      <c r="I42" s="12">
        <f t="shared" si="1"/>
        <v>490</v>
      </c>
      <c r="J42" s="11" t="s">
        <v>3429</v>
      </c>
      <c r="K42" s="11" t="s">
        <v>33</v>
      </c>
      <c r="L42" s="11" t="s">
        <v>3430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4071</v>
      </c>
      <c r="D43" s="11" t="s">
        <v>4072</v>
      </c>
      <c r="E43" s="11" t="s">
        <v>4073</v>
      </c>
      <c r="F43" s="11" t="s">
        <v>55</v>
      </c>
      <c r="G43" s="12">
        <v>2148</v>
      </c>
      <c r="H43" s="12">
        <v>40</v>
      </c>
      <c r="I43" s="12">
        <f t="shared" si="1"/>
        <v>2108</v>
      </c>
      <c r="J43" s="11" t="s">
        <v>3429</v>
      </c>
      <c r="K43" s="11" t="s">
        <v>33</v>
      </c>
      <c r="L43" s="11" t="s">
        <v>3430</v>
      </c>
      <c r="M43" s="24" t="s">
        <v>340</v>
      </c>
      <c r="N43" s="11"/>
      <c r="O43" s="11"/>
      <c r="P43" s="11"/>
      <c r="Q43" s="11">
        <v>1</v>
      </c>
      <c r="R43" s="5">
        <f>H43</f>
        <v>40</v>
      </c>
    </row>
    <row r="44" spans="1:18" x14ac:dyDescent="0.25">
      <c r="A44" s="11"/>
      <c r="B44" s="11" t="s">
        <v>27</v>
      </c>
      <c r="C44" s="11" t="s">
        <v>4074</v>
      </c>
      <c r="D44" s="11" t="s">
        <v>4075</v>
      </c>
      <c r="E44" s="11" t="s">
        <v>4076</v>
      </c>
      <c r="F44" s="11" t="s">
        <v>48</v>
      </c>
      <c r="G44" s="12">
        <v>890</v>
      </c>
      <c r="H44" s="12">
        <v>30</v>
      </c>
      <c r="I44" s="12">
        <f t="shared" si="1"/>
        <v>860</v>
      </c>
      <c r="J44" s="11" t="s">
        <v>3429</v>
      </c>
      <c r="K44" s="11" t="s">
        <v>33</v>
      </c>
      <c r="L44" s="11" t="s">
        <v>3430</v>
      </c>
      <c r="M44" s="11"/>
      <c r="N44" s="11"/>
      <c r="O44" s="11"/>
      <c r="P44" s="11"/>
      <c r="Q44" s="11">
        <v>1</v>
      </c>
    </row>
    <row r="45" spans="1:18" x14ac:dyDescent="0.25">
      <c r="A45" s="11"/>
      <c r="B45" s="11" t="s">
        <v>27</v>
      </c>
      <c r="C45" s="11" t="s">
        <v>4080</v>
      </c>
      <c r="D45" s="11" t="s">
        <v>4081</v>
      </c>
      <c r="E45" s="11" t="s">
        <v>4082</v>
      </c>
      <c r="F45" s="12">
        <v>12</v>
      </c>
      <c r="G45" s="12">
        <v>320</v>
      </c>
      <c r="H45" s="12">
        <v>30</v>
      </c>
      <c r="I45" s="12">
        <f t="shared" si="1"/>
        <v>290</v>
      </c>
      <c r="J45" s="11" t="s">
        <v>3429</v>
      </c>
      <c r="K45" s="11" t="s">
        <v>33</v>
      </c>
      <c r="L45" s="11" t="s">
        <v>3430</v>
      </c>
      <c r="M45" s="11"/>
      <c r="N45" s="11"/>
      <c r="O45" s="11"/>
      <c r="P45" s="11"/>
      <c r="Q45" s="11">
        <v>1</v>
      </c>
    </row>
    <row r="46" spans="1:18" x14ac:dyDescent="0.25">
      <c r="A46" s="11"/>
      <c r="B46" s="11" t="s">
        <v>27</v>
      </c>
      <c r="C46" s="11" t="s">
        <v>4085</v>
      </c>
      <c r="D46" s="11" t="s">
        <v>4086</v>
      </c>
      <c r="E46" s="11" t="s">
        <v>4087</v>
      </c>
      <c r="F46" s="11" t="s">
        <v>48</v>
      </c>
      <c r="G46" s="12">
        <v>9930</v>
      </c>
      <c r="H46" s="12">
        <v>70</v>
      </c>
      <c r="I46" s="12">
        <f t="shared" si="1"/>
        <v>9860</v>
      </c>
      <c r="J46" s="11" t="s">
        <v>3429</v>
      </c>
      <c r="K46" s="11" t="s">
        <v>33</v>
      </c>
      <c r="L46" s="11" t="s">
        <v>3430</v>
      </c>
      <c r="M46" s="11"/>
      <c r="N46" s="11"/>
      <c r="O46" s="11"/>
      <c r="P46" s="11"/>
      <c r="Q46" s="11">
        <v>1</v>
      </c>
    </row>
    <row r="47" spans="1:18" x14ac:dyDescent="0.25">
      <c r="A47" s="11"/>
      <c r="B47" s="11" t="s">
        <v>27</v>
      </c>
      <c r="C47" s="11" t="s">
        <v>4102</v>
      </c>
      <c r="D47" s="11" t="s">
        <v>4103</v>
      </c>
      <c r="E47" s="11" t="s">
        <v>4104</v>
      </c>
      <c r="F47" s="12">
        <v>7</v>
      </c>
      <c r="G47" s="12">
        <v>360</v>
      </c>
      <c r="H47" s="12">
        <v>30</v>
      </c>
      <c r="I47" s="12">
        <f t="shared" si="1"/>
        <v>330</v>
      </c>
      <c r="J47" s="11" t="s">
        <v>3429</v>
      </c>
      <c r="K47" s="11" t="s">
        <v>33</v>
      </c>
      <c r="L47" s="11" t="s">
        <v>3430</v>
      </c>
      <c r="M47" s="11"/>
      <c r="N47" s="11"/>
      <c r="O47" s="11"/>
      <c r="P47" s="11"/>
      <c r="Q47" s="11">
        <v>1</v>
      </c>
    </row>
    <row r="48" spans="1:18" x14ac:dyDescent="0.25">
      <c r="A48" s="11"/>
      <c r="B48" s="11" t="s">
        <v>27</v>
      </c>
      <c r="C48" s="11" t="s">
        <v>4105</v>
      </c>
      <c r="D48" s="11" t="s">
        <v>4106</v>
      </c>
      <c r="E48" s="11" t="s">
        <v>4107</v>
      </c>
      <c r="F48" s="11" t="s">
        <v>104</v>
      </c>
      <c r="G48" s="12">
        <v>218</v>
      </c>
      <c r="H48" s="12">
        <v>30</v>
      </c>
      <c r="I48" s="12">
        <f t="shared" si="1"/>
        <v>188</v>
      </c>
      <c r="J48" s="11" t="s">
        <v>3429</v>
      </c>
      <c r="K48" s="11" t="s">
        <v>33</v>
      </c>
      <c r="L48" s="11" t="s">
        <v>3430</v>
      </c>
      <c r="M48" s="24" t="s">
        <v>340</v>
      </c>
      <c r="N48" s="11"/>
      <c r="O48" s="11"/>
      <c r="P48" s="11"/>
      <c r="Q48" s="11">
        <v>1</v>
      </c>
      <c r="R48" s="5">
        <f>H48</f>
        <v>30</v>
      </c>
    </row>
    <row r="49" spans="1:18" x14ac:dyDescent="0.25">
      <c r="A49" s="11"/>
      <c r="B49" s="11" t="s">
        <v>27</v>
      </c>
      <c r="C49" s="11" t="s">
        <v>4111</v>
      </c>
      <c r="D49" s="11" t="s">
        <v>4112</v>
      </c>
      <c r="E49" s="11" t="s">
        <v>4113</v>
      </c>
      <c r="F49" s="11" t="s">
        <v>48</v>
      </c>
      <c r="G49" s="12">
        <v>980</v>
      </c>
      <c r="H49" s="12">
        <v>30</v>
      </c>
      <c r="I49" s="12">
        <f t="shared" si="1"/>
        <v>950</v>
      </c>
      <c r="J49" s="11" t="s">
        <v>3429</v>
      </c>
      <c r="K49" s="11" t="s">
        <v>33</v>
      </c>
      <c r="L49" s="11" t="s">
        <v>3430</v>
      </c>
      <c r="M49" s="11"/>
      <c r="N49" s="11"/>
      <c r="O49" s="11"/>
      <c r="P49" s="11"/>
      <c r="Q49" s="11">
        <v>1</v>
      </c>
    </row>
    <row r="50" spans="1:18" x14ac:dyDescent="0.25">
      <c r="A50" s="11"/>
      <c r="B50" s="11" t="s">
        <v>27</v>
      </c>
      <c r="C50" s="11" t="s">
        <v>4114</v>
      </c>
      <c r="D50" s="11" t="s">
        <v>4115</v>
      </c>
      <c r="E50" s="11" t="s">
        <v>4116</v>
      </c>
      <c r="F50" s="11" t="s">
        <v>78</v>
      </c>
      <c r="G50" s="12">
        <v>950</v>
      </c>
      <c r="H50" s="12">
        <v>20</v>
      </c>
      <c r="I50" s="12">
        <f t="shared" si="1"/>
        <v>930</v>
      </c>
      <c r="J50" s="11" t="s">
        <v>3429</v>
      </c>
      <c r="K50" s="11" t="s">
        <v>33</v>
      </c>
      <c r="L50" s="11" t="s">
        <v>3430</v>
      </c>
      <c r="M50" s="11"/>
      <c r="N50" s="11"/>
      <c r="O50" s="11"/>
      <c r="P50" s="11"/>
      <c r="Q50" s="11">
        <v>1</v>
      </c>
    </row>
    <row r="51" spans="1:18" x14ac:dyDescent="0.25">
      <c r="A51" s="11"/>
      <c r="B51" s="11" t="s">
        <v>27</v>
      </c>
      <c r="C51" s="11" t="s">
        <v>4117</v>
      </c>
      <c r="D51" s="11" t="s">
        <v>4118</v>
      </c>
      <c r="E51" s="11" t="s">
        <v>4119</v>
      </c>
      <c r="F51" s="11" t="s">
        <v>44</v>
      </c>
      <c r="G51" s="12">
        <v>1188</v>
      </c>
      <c r="H51" s="12">
        <v>25</v>
      </c>
      <c r="I51" s="12">
        <f t="shared" si="1"/>
        <v>1163</v>
      </c>
      <c r="J51" s="11" t="s">
        <v>3429</v>
      </c>
      <c r="K51" s="11" t="s">
        <v>33</v>
      </c>
      <c r="L51" s="11" t="s">
        <v>3430</v>
      </c>
      <c r="M51" s="24" t="s">
        <v>340</v>
      </c>
      <c r="N51" s="11"/>
      <c r="O51" s="11"/>
      <c r="P51" s="11"/>
      <c r="Q51" s="11">
        <v>1</v>
      </c>
      <c r="R51" s="5">
        <f>H51</f>
        <v>25</v>
      </c>
    </row>
    <row r="52" spans="1:18" x14ac:dyDescent="0.25">
      <c r="A52" s="11"/>
      <c r="B52" s="11" t="s">
        <v>27</v>
      </c>
      <c r="C52" s="11" t="s">
        <v>4120</v>
      </c>
      <c r="D52" s="11" t="s">
        <v>4121</v>
      </c>
      <c r="E52" s="11" t="s">
        <v>590</v>
      </c>
      <c r="F52" s="12">
        <v>7</v>
      </c>
      <c r="G52" s="12">
        <v>1730</v>
      </c>
      <c r="H52" s="12">
        <v>30</v>
      </c>
      <c r="I52" s="12">
        <f t="shared" si="1"/>
        <v>1700</v>
      </c>
      <c r="J52" s="11" t="s">
        <v>3429</v>
      </c>
      <c r="K52" s="11" t="s">
        <v>33</v>
      </c>
      <c r="L52" s="11" t="s">
        <v>3430</v>
      </c>
      <c r="M52" s="11"/>
      <c r="N52" s="11"/>
      <c r="O52" s="11"/>
      <c r="P52" s="11"/>
      <c r="Q52" s="11">
        <v>1</v>
      </c>
    </row>
    <row r="53" spans="1:18" x14ac:dyDescent="0.25">
      <c r="A53" s="11"/>
      <c r="B53" s="11" t="s">
        <v>27</v>
      </c>
      <c r="C53" s="11" t="s">
        <v>4128</v>
      </c>
      <c r="D53" s="11" t="s">
        <v>4129</v>
      </c>
      <c r="E53" s="11" t="s">
        <v>4130</v>
      </c>
      <c r="F53" s="11" t="s">
        <v>31</v>
      </c>
      <c r="G53" s="12">
        <v>705</v>
      </c>
      <c r="H53" s="12">
        <v>25</v>
      </c>
      <c r="I53" s="12">
        <f t="shared" si="1"/>
        <v>680</v>
      </c>
      <c r="J53" s="11" t="s">
        <v>3429</v>
      </c>
      <c r="K53" s="11" t="s">
        <v>33</v>
      </c>
      <c r="L53" s="11" t="s">
        <v>3430</v>
      </c>
      <c r="M53" s="11"/>
      <c r="N53" s="11"/>
      <c r="O53" s="11"/>
      <c r="P53" s="11"/>
      <c r="Q53" s="11">
        <v>1</v>
      </c>
    </row>
    <row r="54" spans="1:18" x14ac:dyDescent="0.25">
      <c r="A54" s="11"/>
      <c r="B54" s="11" t="s">
        <v>27</v>
      </c>
      <c r="C54" s="11" t="s">
        <v>4131</v>
      </c>
      <c r="D54" s="11" t="s">
        <v>4132</v>
      </c>
      <c r="E54" s="11" t="s">
        <v>4133</v>
      </c>
      <c r="F54" s="11" t="s">
        <v>444</v>
      </c>
      <c r="G54" s="12">
        <v>375</v>
      </c>
      <c r="H54" s="12">
        <v>35</v>
      </c>
      <c r="I54" s="12">
        <f t="shared" si="1"/>
        <v>340</v>
      </c>
      <c r="J54" s="11" t="s">
        <v>3429</v>
      </c>
      <c r="K54" s="11" t="s">
        <v>33</v>
      </c>
      <c r="L54" s="11" t="s">
        <v>3430</v>
      </c>
      <c r="M54" s="11"/>
      <c r="N54" s="11"/>
      <c r="O54" s="11"/>
      <c r="P54" s="11"/>
      <c r="Q54" s="11">
        <v>1</v>
      </c>
    </row>
    <row r="55" spans="1:18" x14ac:dyDescent="0.25">
      <c r="A55" s="11"/>
      <c r="B55" s="11" t="s">
        <v>27</v>
      </c>
      <c r="C55" s="11" t="s">
        <v>4134</v>
      </c>
      <c r="D55" s="11" t="s">
        <v>4135</v>
      </c>
      <c r="E55" s="11" t="s">
        <v>4136</v>
      </c>
      <c r="F55" s="11" t="s">
        <v>444</v>
      </c>
      <c r="G55" s="12">
        <v>445</v>
      </c>
      <c r="H55" s="12">
        <v>35</v>
      </c>
      <c r="I55" s="12">
        <f t="shared" si="1"/>
        <v>410</v>
      </c>
      <c r="J55" s="11" t="s">
        <v>3429</v>
      </c>
      <c r="K55" s="11" t="s">
        <v>33</v>
      </c>
      <c r="L55" s="11" t="s">
        <v>3430</v>
      </c>
      <c r="M55" s="11"/>
      <c r="N55" s="11"/>
      <c r="O55" s="11"/>
      <c r="P55" s="11"/>
      <c r="Q55" s="11">
        <v>1</v>
      </c>
    </row>
    <row r="56" spans="1:18" x14ac:dyDescent="0.25">
      <c r="A56" s="11"/>
      <c r="B56" s="11" t="s">
        <v>27</v>
      </c>
      <c r="C56" s="11" t="s">
        <v>4137</v>
      </c>
      <c r="D56" s="11" t="s">
        <v>4138</v>
      </c>
      <c r="E56" s="11" t="s">
        <v>4139</v>
      </c>
      <c r="F56" s="11" t="s">
        <v>104</v>
      </c>
      <c r="G56" s="12">
        <v>870</v>
      </c>
      <c r="H56" s="12">
        <v>30</v>
      </c>
      <c r="I56" s="12">
        <f t="shared" si="1"/>
        <v>840</v>
      </c>
      <c r="J56" s="11" t="s">
        <v>3429</v>
      </c>
      <c r="K56" s="11" t="s">
        <v>33</v>
      </c>
      <c r="L56" s="11" t="s">
        <v>3430</v>
      </c>
      <c r="M56" s="11"/>
      <c r="N56" s="11"/>
      <c r="O56" s="11"/>
      <c r="P56" s="11"/>
      <c r="Q56" s="11">
        <v>1</v>
      </c>
    </row>
    <row r="57" spans="1:18" x14ac:dyDescent="0.25">
      <c r="A57" s="11"/>
      <c r="B57" s="11" t="s">
        <v>27</v>
      </c>
      <c r="C57" s="11" t="s">
        <v>4140</v>
      </c>
      <c r="D57" s="11" t="s">
        <v>4141</v>
      </c>
      <c r="E57" s="11" t="s">
        <v>4142</v>
      </c>
      <c r="F57" s="11" t="s">
        <v>31</v>
      </c>
      <c r="G57" s="12">
        <v>1045</v>
      </c>
      <c r="H57" s="12">
        <v>25</v>
      </c>
      <c r="I57" s="12">
        <f t="shared" si="1"/>
        <v>1020</v>
      </c>
      <c r="J57" s="11" t="s">
        <v>3429</v>
      </c>
      <c r="K57" s="11" t="s">
        <v>33</v>
      </c>
      <c r="L57" s="11" t="s">
        <v>3430</v>
      </c>
      <c r="M57" s="11"/>
      <c r="N57" s="11"/>
      <c r="O57" s="11"/>
      <c r="P57" s="11"/>
      <c r="Q57" s="11">
        <v>1</v>
      </c>
    </row>
    <row r="58" spans="1:18" x14ac:dyDescent="0.25">
      <c r="A58" s="11"/>
      <c r="B58" s="11" t="s">
        <v>27</v>
      </c>
      <c r="C58" s="11" t="s">
        <v>4149</v>
      </c>
      <c r="D58" s="11" t="s">
        <v>4150</v>
      </c>
      <c r="E58" s="11" t="s">
        <v>4151</v>
      </c>
      <c r="F58" s="12">
        <v>7</v>
      </c>
      <c r="G58" s="12">
        <v>2225</v>
      </c>
      <c r="H58" s="12">
        <v>35</v>
      </c>
      <c r="I58" s="12">
        <f t="shared" si="1"/>
        <v>2190</v>
      </c>
      <c r="J58" s="11" t="s">
        <v>3429</v>
      </c>
      <c r="K58" s="11" t="s">
        <v>33</v>
      </c>
      <c r="L58" s="11" t="s">
        <v>3430</v>
      </c>
      <c r="M58" s="24" t="s">
        <v>6075</v>
      </c>
      <c r="N58" s="11"/>
      <c r="O58" s="11"/>
      <c r="P58" s="11"/>
      <c r="Q58" s="11">
        <v>1</v>
      </c>
    </row>
    <row r="59" spans="1:18" x14ac:dyDescent="0.25">
      <c r="A59" s="11"/>
      <c r="B59" s="11" t="s">
        <v>27</v>
      </c>
      <c r="C59" s="11" t="s">
        <v>4155</v>
      </c>
      <c r="D59" s="11" t="s">
        <v>4156</v>
      </c>
      <c r="E59" s="11" t="s">
        <v>4157</v>
      </c>
      <c r="F59" s="12">
        <v>9</v>
      </c>
      <c r="G59" s="12">
        <v>498</v>
      </c>
      <c r="H59" s="12">
        <v>30</v>
      </c>
      <c r="I59" s="12">
        <f t="shared" si="1"/>
        <v>468</v>
      </c>
      <c r="J59" s="11" t="s">
        <v>3429</v>
      </c>
      <c r="K59" s="11" t="s">
        <v>33</v>
      </c>
      <c r="L59" s="11" t="s">
        <v>3430</v>
      </c>
      <c r="M59" s="24" t="s">
        <v>340</v>
      </c>
      <c r="N59" s="11"/>
      <c r="O59" s="11"/>
      <c r="P59" s="11"/>
      <c r="Q59" s="11">
        <v>1</v>
      </c>
      <c r="R59" s="5">
        <f>H59</f>
        <v>30</v>
      </c>
    </row>
    <row r="60" spans="1:18" x14ac:dyDescent="0.25">
      <c r="A60" s="11"/>
      <c r="B60" s="11" t="s">
        <v>27</v>
      </c>
      <c r="C60" s="11" t="s">
        <v>4158</v>
      </c>
      <c r="D60" s="11" t="s">
        <v>4159</v>
      </c>
      <c r="E60" s="11" t="s">
        <v>4160</v>
      </c>
      <c r="F60" s="11" t="s">
        <v>44</v>
      </c>
      <c r="G60" s="12">
        <v>435</v>
      </c>
      <c r="H60" s="12">
        <v>25</v>
      </c>
      <c r="I60" s="12">
        <f t="shared" si="1"/>
        <v>410</v>
      </c>
      <c r="J60" s="11" t="s">
        <v>3429</v>
      </c>
      <c r="K60" s="11" t="s">
        <v>33</v>
      </c>
      <c r="L60" s="11" t="s">
        <v>3430</v>
      </c>
      <c r="M60" s="11"/>
      <c r="N60" s="11"/>
      <c r="O60" s="11"/>
      <c r="P60" s="11"/>
      <c r="Q60" s="11">
        <v>1</v>
      </c>
    </row>
    <row r="61" spans="1:18" x14ac:dyDescent="0.25">
      <c r="A61" s="11"/>
      <c r="B61" s="11" t="s">
        <v>27</v>
      </c>
      <c r="C61" s="11" t="s">
        <v>4161</v>
      </c>
      <c r="D61" s="11" t="s">
        <v>4162</v>
      </c>
      <c r="E61" s="11" t="s">
        <v>4163</v>
      </c>
      <c r="F61" s="12">
        <v>9</v>
      </c>
      <c r="G61" s="12">
        <v>380</v>
      </c>
      <c r="H61" s="12">
        <v>30</v>
      </c>
      <c r="I61" s="12">
        <f t="shared" si="1"/>
        <v>350</v>
      </c>
      <c r="J61" s="11" t="s">
        <v>3429</v>
      </c>
      <c r="K61" s="11" t="s">
        <v>33</v>
      </c>
      <c r="L61" s="11" t="s">
        <v>3430</v>
      </c>
      <c r="M61" s="11"/>
      <c r="N61" s="11"/>
      <c r="O61" s="11"/>
      <c r="P61" s="11"/>
      <c r="Q61" s="11">
        <v>1</v>
      </c>
    </row>
    <row r="62" spans="1:18" x14ac:dyDescent="0.25">
      <c r="A62" s="11"/>
      <c r="B62" s="11" t="s">
        <v>27</v>
      </c>
      <c r="C62" s="11" t="s">
        <v>4164</v>
      </c>
      <c r="D62" s="11" t="s">
        <v>4165</v>
      </c>
      <c r="E62" s="11" t="s">
        <v>4166</v>
      </c>
      <c r="F62" s="12">
        <v>11</v>
      </c>
      <c r="G62" s="12">
        <v>1878</v>
      </c>
      <c r="H62" s="12">
        <v>25</v>
      </c>
      <c r="I62" s="12">
        <f t="shared" si="1"/>
        <v>1853</v>
      </c>
      <c r="J62" s="11" t="s">
        <v>3429</v>
      </c>
      <c r="K62" s="11" t="s">
        <v>33</v>
      </c>
      <c r="L62" s="11" t="s">
        <v>3430</v>
      </c>
      <c r="M62" s="24" t="s">
        <v>340</v>
      </c>
      <c r="N62" s="11"/>
      <c r="O62" s="11"/>
      <c r="P62" s="11"/>
      <c r="Q62" s="11">
        <v>1</v>
      </c>
      <c r="R62" s="5">
        <f>H62</f>
        <v>25</v>
      </c>
    </row>
    <row r="63" spans="1:18" x14ac:dyDescent="0.25">
      <c r="A63" s="11"/>
      <c r="B63" s="11" t="s">
        <v>27</v>
      </c>
      <c r="C63" s="11" t="s">
        <v>4167</v>
      </c>
      <c r="D63" s="11" t="s">
        <v>4168</v>
      </c>
      <c r="E63" s="11" t="s">
        <v>4169</v>
      </c>
      <c r="F63" s="12">
        <v>12</v>
      </c>
      <c r="G63" s="12">
        <v>310</v>
      </c>
      <c r="H63" s="12">
        <v>30</v>
      </c>
      <c r="I63" s="12">
        <f t="shared" si="1"/>
        <v>280</v>
      </c>
      <c r="J63" s="11" t="s">
        <v>3429</v>
      </c>
      <c r="K63" s="11" t="s">
        <v>33</v>
      </c>
      <c r="L63" s="11" t="s">
        <v>3430</v>
      </c>
      <c r="M63" s="11"/>
      <c r="N63" s="11"/>
      <c r="O63" s="11"/>
      <c r="P63" s="11"/>
      <c r="Q63" s="11">
        <v>1</v>
      </c>
    </row>
    <row r="64" spans="1:18" x14ac:dyDescent="0.25">
      <c r="A64" s="11"/>
      <c r="B64" s="11" t="s">
        <v>27</v>
      </c>
      <c r="C64" s="11" t="s">
        <v>4176</v>
      </c>
      <c r="D64" s="11" t="s">
        <v>4177</v>
      </c>
      <c r="E64" s="11" t="s">
        <v>253</v>
      </c>
      <c r="F64" s="12">
        <v>12</v>
      </c>
      <c r="G64" s="12">
        <v>450</v>
      </c>
      <c r="H64" s="12">
        <v>30</v>
      </c>
      <c r="I64" s="12">
        <f t="shared" si="1"/>
        <v>420</v>
      </c>
      <c r="J64" s="11" t="s">
        <v>3429</v>
      </c>
      <c r="K64" s="11" t="s">
        <v>33</v>
      </c>
      <c r="L64" s="11" t="s">
        <v>3430</v>
      </c>
      <c r="M64" s="11"/>
      <c r="N64" s="11"/>
      <c r="O64" s="11"/>
      <c r="P64" s="11"/>
      <c r="Q64" s="11">
        <v>1</v>
      </c>
    </row>
    <row r="65" spans="1:18" x14ac:dyDescent="0.25">
      <c r="A65" s="11"/>
      <c r="B65" s="11" t="s">
        <v>27</v>
      </c>
      <c r="C65" s="11" t="s">
        <v>2400</v>
      </c>
      <c r="D65" s="11" t="s">
        <v>4181</v>
      </c>
      <c r="E65" s="11" t="s">
        <v>4182</v>
      </c>
      <c r="F65" s="11" t="s">
        <v>31</v>
      </c>
      <c r="G65" s="12">
        <v>475</v>
      </c>
      <c r="H65" s="12">
        <v>25</v>
      </c>
      <c r="I65" s="12">
        <f t="shared" si="1"/>
        <v>450</v>
      </c>
      <c r="J65" s="11" t="s">
        <v>3429</v>
      </c>
      <c r="K65" s="11" t="s">
        <v>33</v>
      </c>
      <c r="L65" s="11" t="s">
        <v>3430</v>
      </c>
      <c r="M65" s="11"/>
      <c r="N65" s="11"/>
      <c r="O65" s="11"/>
      <c r="P65" s="11"/>
      <c r="Q65" s="11">
        <v>1</v>
      </c>
    </row>
    <row r="66" spans="1:18" x14ac:dyDescent="0.25">
      <c r="A66" s="11"/>
      <c r="B66" s="11" t="s">
        <v>27</v>
      </c>
      <c r="C66" s="11" t="s">
        <v>4183</v>
      </c>
      <c r="D66" s="11" t="s">
        <v>4184</v>
      </c>
      <c r="E66" s="11" t="s">
        <v>4185</v>
      </c>
      <c r="F66" s="12">
        <v>7</v>
      </c>
      <c r="G66" s="12">
        <v>970</v>
      </c>
      <c r="H66" s="12">
        <v>30</v>
      </c>
      <c r="I66" s="12">
        <f t="shared" si="1"/>
        <v>940</v>
      </c>
      <c r="J66" s="11" t="s">
        <v>3429</v>
      </c>
      <c r="K66" s="11" t="s">
        <v>33</v>
      </c>
      <c r="L66" s="11" t="s">
        <v>3430</v>
      </c>
      <c r="M66" s="11"/>
      <c r="N66" s="11"/>
      <c r="O66" s="11"/>
      <c r="P66" s="11"/>
      <c r="Q66" s="11">
        <v>1</v>
      </c>
    </row>
    <row r="67" spans="1:18" x14ac:dyDescent="0.25">
      <c r="A67" s="11"/>
      <c r="B67" s="11" t="s">
        <v>27</v>
      </c>
      <c r="C67" s="11" t="s">
        <v>4192</v>
      </c>
      <c r="D67" s="11" t="s">
        <v>4193</v>
      </c>
      <c r="E67" s="11" t="s">
        <v>4194</v>
      </c>
      <c r="F67" s="12">
        <v>9</v>
      </c>
      <c r="G67" s="12">
        <v>260</v>
      </c>
      <c r="H67" s="12">
        <v>30</v>
      </c>
      <c r="I67" s="12">
        <f t="shared" ref="I67:I98" si="3">G67-H67</f>
        <v>230</v>
      </c>
      <c r="J67" s="11" t="s">
        <v>3429</v>
      </c>
      <c r="K67" s="11" t="s">
        <v>33</v>
      </c>
      <c r="L67" s="11" t="s">
        <v>3430</v>
      </c>
      <c r="M67" s="11"/>
      <c r="N67" s="11"/>
      <c r="O67" s="11"/>
      <c r="P67" s="11"/>
      <c r="Q67" s="11">
        <v>1</v>
      </c>
    </row>
    <row r="68" spans="1:18" x14ac:dyDescent="0.25">
      <c r="A68" s="11"/>
      <c r="B68" s="11" t="s">
        <v>27</v>
      </c>
      <c r="C68" s="11" t="s">
        <v>2468</v>
      </c>
      <c r="D68" s="11" t="s">
        <v>4195</v>
      </c>
      <c r="E68" s="11" t="s">
        <v>540</v>
      </c>
      <c r="F68" s="12">
        <v>7</v>
      </c>
      <c r="G68" s="12">
        <v>540</v>
      </c>
      <c r="H68" s="12">
        <v>30</v>
      </c>
      <c r="I68" s="12">
        <f t="shared" si="3"/>
        <v>510</v>
      </c>
      <c r="J68" s="11" t="s">
        <v>3429</v>
      </c>
      <c r="K68" s="11" t="s">
        <v>33</v>
      </c>
      <c r="L68" s="11" t="s">
        <v>3430</v>
      </c>
      <c r="M68" s="11"/>
      <c r="N68" s="11"/>
      <c r="O68" s="11"/>
      <c r="P68" s="11"/>
      <c r="Q68" s="11">
        <v>1</v>
      </c>
    </row>
    <row r="69" spans="1:18" x14ac:dyDescent="0.25">
      <c r="A69" s="11"/>
      <c r="B69" s="11" t="s">
        <v>27</v>
      </c>
      <c r="C69" s="11" t="s">
        <v>4199</v>
      </c>
      <c r="D69" s="11" t="s">
        <v>4200</v>
      </c>
      <c r="E69" s="11" t="s">
        <v>4201</v>
      </c>
      <c r="F69" s="12">
        <v>8</v>
      </c>
      <c r="G69" s="12">
        <v>400</v>
      </c>
      <c r="H69" s="12">
        <v>30</v>
      </c>
      <c r="I69" s="12">
        <f t="shared" si="3"/>
        <v>370</v>
      </c>
      <c r="J69" s="11" t="s">
        <v>3429</v>
      </c>
      <c r="K69" s="11" t="s">
        <v>33</v>
      </c>
      <c r="L69" s="11" t="s">
        <v>3430</v>
      </c>
      <c r="M69" s="11"/>
      <c r="N69" s="11"/>
      <c r="O69" s="11"/>
      <c r="P69" s="11"/>
      <c r="Q69" s="11">
        <v>1</v>
      </c>
    </row>
    <row r="70" spans="1:18" x14ac:dyDescent="0.25">
      <c r="A70" s="11"/>
      <c r="B70" s="11" t="s">
        <v>27</v>
      </c>
      <c r="C70" s="11" t="s">
        <v>4205</v>
      </c>
      <c r="D70" s="11" t="s">
        <v>4206</v>
      </c>
      <c r="E70" s="11" t="s">
        <v>4207</v>
      </c>
      <c r="F70" s="11" t="s">
        <v>48</v>
      </c>
      <c r="G70" s="12">
        <v>820</v>
      </c>
      <c r="H70" s="12">
        <v>30</v>
      </c>
      <c r="I70" s="12">
        <f t="shared" si="3"/>
        <v>790</v>
      </c>
      <c r="J70" s="11" t="s">
        <v>3429</v>
      </c>
      <c r="K70" s="11" t="s">
        <v>33</v>
      </c>
      <c r="L70" s="11" t="s">
        <v>3430</v>
      </c>
      <c r="M70" s="11"/>
      <c r="N70" s="11"/>
      <c r="O70" s="11"/>
      <c r="P70" s="11"/>
      <c r="Q70" s="11">
        <v>1</v>
      </c>
    </row>
    <row r="71" spans="1:18" s="25" customFormat="1" x14ac:dyDescent="0.25">
      <c r="A71" s="26"/>
      <c r="B71" s="26" t="s">
        <v>27</v>
      </c>
      <c r="C71" s="26" t="s">
        <v>3317</v>
      </c>
      <c r="D71" s="26" t="s">
        <v>3318</v>
      </c>
      <c r="E71" s="26" t="s">
        <v>3319</v>
      </c>
      <c r="F71" s="26" t="s">
        <v>78</v>
      </c>
      <c r="G71" s="27">
        <v>1060</v>
      </c>
      <c r="H71" s="27">
        <v>20</v>
      </c>
      <c r="I71" s="27">
        <f t="shared" si="3"/>
        <v>1040</v>
      </c>
      <c r="J71" s="26" t="s">
        <v>3429</v>
      </c>
      <c r="K71" s="26" t="s">
        <v>33</v>
      </c>
      <c r="L71" s="26" t="s">
        <v>2667</v>
      </c>
      <c r="M71" s="26" t="s">
        <v>4211</v>
      </c>
      <c r="N71" s="26"/>
      <c r="O71" s="26"/>
      <c r="P71" s="26"/>
      <c r="Q71" s="26">
        <v>1</v>
      </c>
      <c r="R71" s="5"/>
    </row>
    <row r="72" spans="1:18" x14ac:dyDescent="0.25">
      <c r="A72" s="11"/>
      <c r="B72" s="11" t="s">
        <v>27</v>
      </c>
      <c r="C72" s="11" t="s">
        <v>3913</v>
      </c>
      <c r="D72" s="11" t="s">
        <v>3914</v>
      </c>
      <c r="E72" s="11" t="s">
        <v>3915</v>
      </c>
      <c r="F72" s="11" t="s">
        <v>68</v>
      </c>
      <c r="G72" s="12">
        <v>3428</v>
      </c>
      <c r="H72" s="12">
        <v>35</v>
      </c>
      <c r="I72" s="12">
        <f t="shared" si="3"/>
        <v>3393</v>
      </c>
      <c r="J72" s="11" t="s">
        <v>33</v>
      </c>
      <c r="K72" s="11" t="s">
        <v>33</v>
      </c>
      <c r="L72" s="11" t="s">
        <v>3430</v>
      </c>
      <c r="M72" s="24" t="s">
        <v>340</v>
      </c>
      <c r="N72" s="11"/>
      <c r="O72" s="11"/>
      <c r="P72" s="11"/>
      <c r="Q72" s="11">
        <v>1</v>
      </c>
      <c r="R72" s="5">
        <f t="shared" ref="R72" si="4">H72</f>
        <v>35</v>
      </c>
    </row>
    <row r="73" spans="1:18" x14ac:dyDescent="0.25">
      <c r="A73" s="11"/>
      <c r="B73" s="11" t="s">
        <v>27</v>
      </c>
      <c r="C73" s="11" t="s">
        <v>3919</v>
      </c>
      <c r="D73" s="11" t="s">
        <v>3920</v>
      </c>
      <c r="E73" s="11" t="s">
        <v>3921</v>
      </c>
      <c r="F73" s="11" t="s">
        <v>68</v>
      </c>
      <c r="G73" s="12">
        <v>315</v>
      </c>
      <c r="H73" s="12">
        <v>25</v>
      </c>
      <c r="I73" s="12">
        <f t="shared" si="3"/>
        <v>290</v>
      </c>
      <c r="J73" s="11" t="s">
        <v>33</v>
      </c>
      <c r="K73" s="11" t="s">
        <v>33</v>
      </c>
      <c r="L73" s="11" t="s">
        <v>3430</v>
      </c>
      <c r="M73" s="11"/>
      <c r="N73" s="11"/>
      <c r="O73" s="11"/>
      <c r="P73" s="11"/>
      <c r="Q73" s="11">
        <v>1</v>
      </c>
    </row>
    <row r="74" spans="1:18" x14ac:dyDescent="0.25">
      <c r="A74" s="11"/>
      <c r="B74" s="11" t="s">
        <v>27</v>
      </c>
      <c r="C74" s="11" t="s">
        <v>3951</v>
      </c>
      <c r="D74" s="11" t="s">
        <v>3952</v>
      </c>
      <c r="E74" s="11" t="s">
        <v>3953</v>
      </c>
      <c r="F74" s="11" t="s">
        <v>68</v>
      </c>
      <c r="G74" s="12">
        <v>915</v>
      </c>
      <c r="H74" s="12">
        <v>25</v>
      </c>
      <c r="I74" s="12">
        <f t="shared" si="3"/>
        <v>890</v>
      </c>
      <c r="J74" s="11" t="s">
        <v>33</v>
      </c>
      <c r="K74" s="11" t="s">
        <v>33</v>
      </c>
      <c r="L74" s="11" t="s">
        <v>3430</v>
      </c>
      <c r="M74" s="11"/>
      <c r="N74" s="11"/>
      <c r="O74" s="11"/>
      <c r="P74" s="11"/>
      <c r="Q74" s="11">
        <v>1</v>
      </c>
    </row>
    <row r="75" spans="1:18" x14ac:dyDescent="0.25">
      <c r="A75" s="11"/>
      <c r="B75" s="11" t="s">
        <v>27</v>
      </c>
      <c r="C75" s="11" t="s">
        <v>3960</v>
      </c>
      <c r="D75" s="11" t="s">
        <v>3961</v>
      </c>
      <c r="E75" s="11" t="s">
        <v>3962</v>
      </c>
      <c r="F75" s="11" t="s">
        <v>68</v>
      </c>
      <c r="G75" s="12">
        <v>765</v>
      </c>
      <c r="H75" s="12">
        <v>25</v>
      </c>
      <c r="I75" s="12">
        <f t="shared" si="3"/>
        <v>740</v>
      </c>
      <c r="J75" s="11" t="s">
        <v>33</v>
      </c>
      <c r="K75" s="11" t="s">
        <v>33</v>
      </c>
      <c r="L75" s="11" t="s">
        <v>3430</v>
      </c>
      <c r="M75" s="11"/>
      <c r="N75" s="11"/>
      <c r="O75" s="11"/>
      <c r="P75" s="11"/>
      <c r="Q75" s="11">
        <v>1</v>
      </c>
    </row>
    <row r="76" spans="1:18" x14ac:dyDescent="0.25">
      <c r="A76" s="11"/>
      <c r="B76" s="11" t="s">
        <v>27</v>
      </c>
      <c r="C76" s="11" t="s">
        <v>3983</v>
      </c>
      <c r="D76" s="11" t="s">
        <v>3984</v>
      </c>
      <c r="E76" s="11" t="s">
        <v>3985</v>
      </c>
      <c r="F76" s="11" t="s">
        <v>68</v>
      </c>
      <c r="G76" s="12">
        <v>1085</v>
      </c>
      <c r="H76" s="12">
        <v>25</v>
      </c>
      <c r="I76" s="12">
        <f t="shared" si="3"/>
        <v>1060</v>
      </c>
      <c r="J76" s="11" t="s">
        <v>33</v>
      </c>
      <c r="K76" s="11" t="s">
        <v>33</v>
      </c>
      <c r="L76" s="11" t="s">
        <v>3430</v>
      </c>
      <c r="M76" s="11"/>
      <c r="N76" s="11"/>
      <c r="O76" s="11"/>
      <c r="P76" s="11"/>
      <c r="Q76" s="11">
        <v>1</v>
      </c>
    </row>
    <row r="77" spans="1:18" x14ac:dyDescent="0.25">
      <c r="A77" s="11"/>
      <c r="B77" s="11" t="s">
        <v>27</v>
      </c>
      <c r="C77" s="11" t="s">
        <v>4019</v>
      </c>
      <c r="D77" s="11" t="s">
        <v>4020</v>
      </c>
      <c r="E77" s="11" t="s">
        <v>4021</v>
      </c>
      <c r="F77" s="11" t="s">
        <v>78</v>
      </c>
      <c r="G77" s="12">
        <v>1260</v>
      </c>
      <c r="H77" s="12">
        <v>20</v>
      </c>
      <c r="I77" s="12">
        <f t="shared" si="3"/>
        <v>1240</v>
      </c>
      <c r="J77" s="11" t="s">
        <v>33</v>
      </c>
      <c r="K77" s="11" t="s">
        <v>33</v>
      </c>
      <c r="L77" s="11" t="s">
        <v>3430</v>
      </c>
      <c r="M77" s="11"/>
      <c r="N77" s="11"/>
      <c r="O77" s="11"/>
      <c r="P77" s="11"/>
      <c r="Q77" s="11">
        <v>1</v>
      </c>
    </row>
    <row r="78" spans="1:18" x14ac:dyDescent="0.25">
      <c r="A78" s="11"/>
      <c r="B78" s="11" t="s">
        <v>27</v>
      </c>
      <c r="C78" s="11" t="s">
        <v>4024</v>
      </c>
      <c r="D78" s="11" t="s">
        <v>4025</v>
      </c>
      <c r="E78" s="11" t="s">
        <v>4026</v>
      </c>
      <c r="F78" s="11" t="s">
        <v>78</v>
      </c>
      <c r="G78" s="12">
        <v>550</v>
      </c>
      <c r="H78" s="12">
        <v>20</v>
      </c>
      <c r="I78" s="12">
        <f t="shared" si="3"/>
        <v>530</v>
      </c>
      <c r="J78" s="11" t="s">
        <v>33</v>
      </c>
      <c r="K78" s="11" t="s">
        <v>33</v>
      </c>
      <c r="L78" s="11" t="s">
        <v>3430</v>
      </c>
      <c r="M78" s="11"/>
      <c r="N78" s="11"/>
      <c r="O78" s="11"/>
      <c r="P78" s="11"/>
      <c r="Q78" s="11">
        <v>1</v>
      </c>
    </row>
    <row r="79" spans="1:18" x14ac:dyDescent="0.25">
      <c r="A79" s="11"/>
      <c r="B79" s="11" t="s">
        <v>27</v>
      </c>
      <c r="C79" s="11" t="s">
        <v>4083</v>
      </c>
      <c r="D79" s="11" t="s">
        <v>4084</v>
      </c>
      <c r="E79" s="11" t="s">
        <v>2280</v>
      </c>
      <c r="F79" s="11" t="s">
        <v>68</v>
      </c>
      <c r="G79" s="12">
        <v>1155</v>
      </c>
      <c r="H79" s="12">
        <v>25</v>
      </c>
      <c r="I79" s="12">
        <f t="shared" si="3"/>
        <v>1130</v>
      </c>
      <c r="J79" s="11" t="s">
        <v>33</v>
      </c>
      <c r="K79" s="11" t="s">
        <v>33</v>
      </c>
      <c r="L79" s="11" t="s">
        <v>3430</v>
      </c>
      <c r="M79" s="11"/>
      <c r="N79" s="11"/>
      <c r="O79" s="11"/>
      <c r="P79" s="11"/>
      <c r="Q79" s="11">
        <v>1</v>
      </c>
    </row>
    <row r="80" spans="1:18" x14ac:dyDescent="0.25">
      <c r="A80" s="11"/>
      <c r="B80" s="11" t="s">
        <v>27</v>
      </c>
      <c r="C80" s="11" t="s">
        <v>4094</v>
      </c>
      <c r="D80" s="11" t="s">
        <v>4095</v>
      </c>
      <c r="E80" s="11" t="s">
        <v>4096</v>
      </c>
      <c r="F80" s="11" t="s">
        <v>78</v>
      </c>
      <c r="G80" s="12">
        <v>380</v>
      </c>
      <c r="H80" s="12">
        <v>20</v>
      </c>
      <c r="I80" s="12">
        <f t="shared" si="3"/>
        <v>360</v>
      </c>
      <c r="J80" s="11" t="s">
        <v>33</v>
      </c>
      <c r="K80" s="11" t="s">
        <v>33</v>
      </c>
      <c r="L80" s="11" t="s">
        <v>3430</v>
      </c>
      <c r="M80" s="11"/>
      <c r="N80" s="11"/>
      <c r="O80" s="11"/>
      <c r="P80" s="11"/>
      <c r="Q80" s="11">
        <v>1</v>
      </c>
    </row>
    <row r="81" spans="1:18" x14ac:dyDescent="0.25">
      <c r="A81" s="11"/>
      <c r="B81" s="11" t="s">
        <v>27</v>
      </c>
      <c r="C81" s="11" t="s">
        <v>4097</v>
      </c>
      <c r="D81" s="11" t="s">
        <v>4098</v>
      </c>
      <c r="E81" s="11" t="s">
        <v>4099</v>
      </c>
      <c r="F81" s="12">
        <v>2</v>
      </c>
      <c r="G81" s="12">
        <v>1040</v>
      </c>
      <c r="H81" s="12">
        <v>30</v>
      </c>
      <c r="I81" s="12">
        <f t="shared" si="3"/>
        <v>1010</v>
      </c>
      <c r="J81" s="11" t="s">
        <v>33</v>
      </c>
      <c r="K81" s="11" t="s">
        <v>33</v>
      </c>
      <c r="L81" s="11" t="s">
        <v>3430</v>
      </c>
      <c r="M81" s="11"/>
      <c r="N81" s="11"/>
      <c r="O81" s="11"/>
      <c r="P81" s="11"/>
      <c r="Q81" s="11">
        <v>1</v>
      </c>
    </row>
    <row r="82" spans="1:18" x14ac:dyDescent="0.25">
      <c r="A82" s="11"/>
      <c r="B82" s="11" t="s">
        <v>27</v>
      </c>
      <c r="C82" s="11" t="s">
        <v>981</v>
      </c>
      <c r="D82" s="11" t="s">
        <v>4100</v>
      </c>
      <c r="E82" s="11" t="s">
        <v>4101</v>
      </c>
      <c r="F82" s="11" t="s">
        <v>104</v>
      </c>
      <c r="G82" s="12">
        <v>2625</v>
      </c>
      <c r="H82" s="12">
        <v>35</v>
      </c>
      <c r="I82" s="12">
        <f t="shared" si="3"/>
        <v>2590</v>
      </c>
      <c r="J82" s="11" t="s">
        <v>33</v>
      </c>
      <c r="K82" s="11" t="s">
        <v>33</v>
      </c>
      <c r="L82" s="11" t="s">
        <v>3430</v>
      </c>
      <c r="M82" s="11"/>
      <c r="N82" s="11"/>
      <c r="O82" s="11"/>
      <c r="P82" s="11"/>
      <c r="Q82" s="11">
        <v>1</v>
      </c>
    </row>
    <row r="83" spans="1:18" x14ac:dyDescent="0.25">
      <c r="A83" s="11"/>
      <c r="B83" s="11" t="s">
        <v>27</v>
      </c>
      <c r="C83" s="11" t="s">
        <v>4108</v>
      </c>
      <c r="D83" s="11" t="s">
        <v>4109</v>
      </c>
      <c r="E83" s="11" t="s">
        <v>4110</v>
      </c>
      <c r="F83" s="11" t="s">
        <v>68</v>
      </c>
      <c r="G83" s="12">
        <v>535</v>
      </c>
      <c r="H83" s="12">
        <v>25</v>
      </c>
      <c r="I83" s="12">
        <f t="shared" si="3"/>
        <v>510</v>
      </c>
      <c r="J83" s="11" t="s">
        <v>33</v>
      </c>
      <c r="K83" s="11" t="s">
        <v>33</v>
      </c>
      <c r="L83" s="11" t="s">
        <v>3430</v>
      </c>
      <c r="M83" s="11"/>
      <c r="N83" s="11"/>
      <c r="O83" s="11"/>
      <c r="P83" s="11"/>
      <c r="Q83" s="11">
        <v>1</v>
      </c>
    </row>
    <row r="84" spans="1:18" x14ac:dyDescent="0.25">
      <c r="A84" s="11"/>
      <c r="B84" s="11" t="s">
        <v>27</v>
      </c>
      <c r="C84" s="11" t="s">
        <v>4143</v>
      </c>
      <c r="D84" s="11" t="s">
        <v>4144</v>
      </c>
      <c r="E84" s="11" t="s">
        <v>4145</v>
      </c>
      <c r="F84" s="11" t="s">
        <v>78</v>
      </c>
      <c r="G84" s="12">
        <v>310</v>
      </c>
      <c r="H84" s="12">
        <v>20</v>
      </c>
      <c r="I84" s="12">
        <f t="shared" si="3"/>
        <v>290</v>
      </c>
      <c r="J84" s="11" t="s">
        <v>33</v>
      </c>
      <c r="K84" s="11" t="s">
        <v>33</v>
      </c>
      <c r="L84" s="11" t="s">
        <v>3430</v>
      </c>
      <c r="M84" s="11"/>
      <c r="N84" s="11"/>
      <c r="O84" s="11"/>
      <c r="P84" s="11"/>
      <c r="Q84" s="11">
        <v>1</v>
      </c>
    </row>
    <row r="85" spans="1:18" x14ac:dyDescent="0.25">
      <c r="A85" s="11"/>
      <c r="B85" s="11" t="s">
        <v>27</v>
      </c>
      <c r="C85" s="11" t="s">
        <v>4170</v>
      </c>
      <c r="D85" s="11" t="s">
        <v>4171</v>
      </c>
      <c r="E85" s="11" t="s">
        <v>4172</v>
      </c>
      <c r="F85" s="12">
        <v>2</v>
      </c>
      <c r="G85" s="12">
        <v>520</v>
      </c>
      <c r="H85" s="12">
        <v>30</v>
      </c>
      <c r="I85" s="12">
        <f t="shared" si="3"/>
        <v>490</v>
      </c>
      <c r="J85" s="11" t="s">
        <v>33</v>
      </c>
      <c r="K85" s="11" t="s">
        <v>33</v>
      </c>
      <c r="L85" s="11" t="s">
        <v>3430</v>
      </c>
      <c r="M85" s="11"/>
      <c r="N85" s="11"/>
      <c r="O85" s="11"/>
      <c r="P85" s="11"/>
      <c r="Q85" s="11">
        <v>1</v>
      </c>
    </row>
    <row r="86" spans="1:18" x14ac:dyDescent="0.25">
      <c r="A86" s="11"/>
      <c r="B86" s="11" t="s">
        <v>27</v>
      </c>
      <c r="C86" s="11" t="s">
        <v>4196</v>
      </c>
      <c r="D86" s="11" t="s">
        <v>4197</v>
      </c>
      <c r="E86" s="11" t="s">
        <v>4198</v>
      </c>
      <c r="F86" s="12">
        <v>2</v>
      </c>
      <c r="G86" s="12">
        <v>0</v>
      </c>
      <c r="H86" s="12">
        <v>30</v>
      </c>
      <c r="I86" s="12">
        <f t="shared" si="3"/>
        <v>-30</v>
      </c>
      <c r="J86" s="11" t="s">
        <v>33</v>
      </c>
      <c r="K86" s="11" t="s">
        <v>33</v>
      </c>
      <c r="L86" s="11" t="s">
        <v>3430</v>
      </c>
      <c r="M86" s="11"/>
      <c r="N86" s="11"/>
      <c r="O86" s="11"/>
      <c r="P86" s="11"/>
      <c r="Q86" s="11">
        <v>1</v>
      </c>
      <c r="R86" s="5">
        <f>H86</f>
        <v>30</v>
      </c>
    </row>
    <row r="87" spans="1:18" x14ac:dyDescent="0.25">
      <c r="A87" s="11"/>
      <c r="B87" s="11" t="s">
        <v>27</v>
      </c>
      <c r="C87" s="11" t="s">
        <v>4202</v>
      </c>
      <c r="D87" s="11" t="s">
        <v>4203</v>
      </c>
      <c r="E87" s="11" t="s">
        <v>4204</v>
      </c>
      <c r="F87" s="11" t="s">
        <v>68</v>
      </c>
      <c r="G87" s="12">
        <v>325</v>
      </c>
      <c r="H87" s="12">
        <v>25</v>
      </c>
      <c r="I87" s="12">
        <f t="shared" si="3"/>
        <v>300</v>
      </c>
      <c r="J87" s="11" t="s">
        <v>33</v>
      </c>
      <c r="K87" s="11" t="s">
        <v>33</v>
      </c>
      <c r="L87" s="11" t="s">
        <v>3430</v>
      </c>
      <c r="M87" s="11"/>
      <c r="N87" s="11"/>
      <c r="O87" s="11"/>
      <c r="P87" s="11"/>
      <c r="Q87" s="11">
        <v>1</v>
      </c>
    </row>
    <row r="88" spans="1:18" x14ac:dyDescent="0.25">
      <c r="A88" s="11"/>
      <c r="B88" s="11" t="s">
        <v>27</v>
      </c>
      <c r="C88" s="11" t="s">
        <v>3907</v>
      </c>
      <c r="D88" s="11" t="s">
        <v>3908</v>
      </c>
      <c r="E88" s="11" t="s">
        <v>3909</v>
      </c>
      <c r="F88" s="11" t="s">
        <v>118</v>
      </c>
      <c r="G88" s="12">
        <v>610</v>
      </c>
      <c r="H88" s="12">
        <v>20</v>
      </c>
      <c r="I88" s="12">
        <f t="shared" si="3"/>
        <v>590</v>
      </c>
      <c r="J88" s="11" t="s">
        <v>119</v>
      </c>
      <c r="K88" s="11" t="s">
        <v>33</v>
      </c>
      <c r="L88" s="11" t="s">
        <v>3430</v>
      </c>
      <c r="M88" s="11"/>
      <c r="N88" s="11"/>
      <c r="O88" s="11"/>
      <c r="P88" s="11"/>
      <c r="Q88" s="11">
        <v>1</v>
      </c>
    </row>
    <row r="89" spans="1:18" x14ac:dyDescent="0.25">
      <c r="A89" s="11"/>
      <c r="B89" s="11" t="s">
        <v>27</v>
      </c>
      <c r="C89" s="11" t="s">
        <v>3910</v>
      </c>
      <c r="D89" s="11" t="s">
        <v>3911</v>
      </c>
      <c r="E89" s="11" t="s">
        <v>3912</v>
      </c>
      <c r="F89" s="11" t="s">
        <v>118</v>
      </c>
      <c r="G89" s="12">
        <v>1010</v>
      </c>
      <c r="H89" s="12">
        <v>20</v>
      </c>
      <c r="I89" s="12">
        <f t="shared" si="3"/>
        <v>990</v>
      </c>
      <c r="J89" s="11" t="s">
        <v>119</v>
      </c>
      <c r="K89" s="11" t="s">
        <v>33</v>
      </c>
      <c r="L89" s="11" t="s">
        <v>3430</v>
      </c>
      <c r="M89" s="11"/>
      <c r="N89" s="11"/>
      <c r="O89" s="11"/>
      <c r="P89" s="11"/>
      <c r="Q89" s="11">
        <v>1</v>
      </c>
    </row>
    <row r="90" spans="1:18" x14ac:dyDescent="0.25">
      <c r="A90" s="11"/>
      <c r="B90" s="11" t="s">
        <v>27</v>
      </c>
      <c r="C90" s="11" t="s">
        <v>3376</v>
      </c>
      <c r="D90" s="11" t="s">
        <v>3928</v>
      </c>
      <c r="E90" s="11" t="s">
        <v>3929</v>
      </c>
      <c r="F90" s="12">
        <v>3</v>
      </c>
      <c r="G90" s="12">
        <v>365</v>
      </c>
      <c r="H90" s="12">
        <v>25</v>
      </c>
      <c r="I90" s="12">
        <f t="shared" si="3"/>
        <v>340</v>
      </c>
      <c r="J90" s="11" t="s">
        <v>119</v>
      </c>
      <c r="K90" s="11" t="s">
        <v>33</v>
      </c>
      <c r="L90" s="11" t="s">
        <v>3430</v>
      </c>
      <c r="M90" s="11"/>
      <c r="N90" s="11"/>
      <c r="O90" s="11"/>
      <c r="P90" s="11"/>
      <c r="Q90" s="11">
        <v>1</v>
      </c>
    </row>
    <row r="91" spans="1:18" x14ac:dyDescent="0.25">
      <c r="A91" s="11"/>
      <c r="B91" s="11" t="s">
        <v>27</v>
      </c>
      <c r="C91" s="11" t="s">
        <v>2319</v>
      </c>
      <c r="D91" s="11" t="s">
        <v>3934</v>
      </c>
      <c r="E91" s="11" t="s">
        <v>2321</v>
      </c>
      <c r="F91" s="11" t="s">
        <v>118</v>
      </c>
      <c r="G91" s="12">
        <v>840</v>
      </c>
      <c r="H91" s="12">
        <v>20</v>
      </c>
      <c r="I91" s="12">
        <f t="shared" si="3"/>
        <v>820</v>
      </c>
      <c r="J91" s="11" t="s">
        <v>119</v>
      </c>
      <c r="K91" s="11" t="s">
        <v>33</v>
      </c>
      <c r="L91" s="11" t="s">
        <v>3430</v>
      </c>
      <c r="M91" s="11"/>
      <c r="N91" s="11"/>
      <c r="O91" s="11"/>
      <c r="P91" s="11"/>
      <c r="Q91" s="11">
        <v>1</v>
      </c>
    </row>
    <row r="92" spans="1:18" x14ac:dyDescent="0.25">
      <c r="A92" s="11"/>
      <c r="B92" s="11" t="s">
        <v>27</v>
      </c>
      <c r="C92" s="11" t="s">
        <v>3935</v>
      </c>
      <c r="D92" s="11" t="s">
        <v>3936</v>
      </c>
      <c r="E92" s="11" t="s">
        <v>3937</v>
      </c>
      <c r="F92" s="12">
        <v>10</v>
      </c>
      <c r="G92" s="12">
        <v>855</v>
      </c>
      <c r="H92" s="12">
        <v>25</v>
      </c>
      <c r="I92" s="12">
        <f t="shared" si="3"/>
        <v>830</v>
      </c>
      <c r="J92" s="11" t="s">
        <v>119</v>
      </c>
      <c r="K92" s="11" t="s">
        <v>33</v>
      </c>
      <c r="L92" s="11" t="s">
        <v>3430</v>
      </c>
      <c r="M92" s="11"/>
      <c r="N92" s="11"/>
      <c r="O92" s="11"/>
      <c r="P92" s="11"/>
      <c r="Q92" s="11">
        <v>1</v>
      </c>
    </row>
    <row r="93" spans="1:18" x14ac:dyDescent="0.25">
      <c r="A93" s="11"/>
      <c r="B93" s="11" t="s">
        <v>27</v>
      </c>
      <c r="C93" s="11" t="s">
        <v>3945</v>
      </c>
      <c r="D93" s="11" t="s">
        <v>3946</v>
      </c>
      <c r="E93" s="11" t="s">
        <v>3947</v>
      </c>
      <c r="F93" s="12">
        <v>10</v>
      </c>
      <c r="G93" s="12">
        <v>535</v>
      </c>
      <c r="H93" s="12">
        <v>25</v>
      </c>
      <c r="I93" s="12">
        <f t="shared" si="3"/>
        <v>510</v>
      </c>
      <c r="J93" s="11" t="s">
        <v>119</v>
      </c>
      <c r="K93" s="11" t="s">
        <v>33</v>
      </c>
      <c r="L93" s="11" t="s">
        <v>3430</v>
      </c>
      <c r="M93" s="29" t="s">
        <v>4591</v>
      </c>
      <c r="N93" s="11"/>
      <c r="O93" s="11"/>
      <c r="P93" s="11"/>
      <c r="Q93" s="11">
        <v>1</v>
      </c>
    </row>
    <row r="94" spans="1:18" x14ac:dyDescent="0.25">
      <c r="A94" s="11"/>
      <c r="B94" s="11" t="s">
        <v>27</v>
      </c>
      <c r="C94" s="11" t="s">
        <v>3955</v>
      </c>
      <c r="D94" s="11" t="s">
        <v>3956</v>
      </c>
      <c r="E94" s="11" t="s">
        <v>3957</v>
      </c>
      <c r="F94" s="12">
        <v>3</v>
      </c>
      <c r="G94" s="12">
        <v>465</v>
      </c>
      <c r="H94" s="12">
        <v>25</v>
      </c>
      <c r="I94" s="12">
        <f t="shared" si="3"/>
        <v>440</v>
      </c>
      <c r="J94" s="11" t="s">
        <v>119</v>
      </c>
      <c r="K94" s="11" t="s">
        <v>33</v>
      </c>
      <c r="L94" s="11" t="s">
        <v>3430</v>
      </c>
      <c r="M94" s="11"/>
      <c r="N94" s="11"/>
      <c r="O94" s="11"/>
      <c r="P94" s="11"/>
      <c r="Q94" s="11">
        <v>1</v>
      </c>
    </row>
    <row r="95" spans="1:18" x14ac:dyDescent="0.25">
      <c r="A95" s="11"/>
      <c r="B95" s="11" t="s">
        <v>27</v>
      </c>
      <c r="C95" s="11" t="s">
        <v>3966</v>
      </c>
      <c r="D95" s="11" t="s">
        <v>3967</v>
      </c>
      <c r="E95" s="11" t="s">
        <v>3968</v>
      </c>
      <c r="F95" s="11" t="s">
        <v>44</v>
      </c>
      <c r="G95" s="12">
        <v>2378</v>
      </c>
      <c r="H95" s="12">
        <v>30</v>
      </c>
      <c r="I95" s="12">
        <f t="shared" si="3"/>
        <v>2348</v>
      </c>
      <c r="J95" s="11" t="s">
        <v>119</v>
      </c>
      <c r="K95" s="11" t="s">
        <v>33</v>
      </c>
      <c r="L95" s="11" t="s">
        <v>3430</v>
      </c>
      <c r="M95" s="24" t="s">
        <v>340</v>
      </c>
      <c r="N95" s="11"/>
      <c r="O95" s="11"/>
      <c r="P95" s="11"/>
      <c r="Q95" s="11">
        <v>1</v>
      </c>
      <c r="R95" s="5">
        <f>H95</f>
        <v>30</v>
      </c>
    </row>
    <row r="96" spans="1:18" x14ac:dyDescent="0.25">
      <c r="A96" s="11"/>
      <c r="B96" s="11" t="s">
        <v>27</v>
      </c>
      <c r="C96" s="11" t="s">
        <v>3976</v>
      </c>
      <c r="D96" s="11" t="s">
        <v>3977</v>
      </c>
      <c r="E96" s="11" t="s">
        <v>3978</v>
      </c>
      <c r="F96" s="12">
        <v>3</v>
      </c>
      <c r="G96" s="12">
        <v>555</v>
      </c>
      <c r="H96" s="12">
        <v>25</v>
      </c>
      <c r="I96" s="12">
        <f t="shared" si="3"/>
        <v>530</v>
      </c>
      <c r="J96" s="11" t="s">
        <v>119</v>
      </c>
      <c r="K96" s="11" t="s">
        <v>33</v>
      </c>
      <c r="L96" s="11" t="s">
        <v>3430</v>
      </c>
      <c r="M96" s="11"/>
      <c r="N96" s="11"/>
      <c r="O96" s="11"/>
      <c r="P96" s="11"/>
      <c r="Q96" s="11">
        <v>1</v>
      </c>
    </row>
    <row r="97" spans="1:18" x14ac:dyDescent="0.25">
      <c r="A97" s="11"/>
      <c r="B97" s="11" t="s">
        <v>27</v>
      </c>
      <c r="C97" s="11" t="s">
        <v>3992</v>
      </c>
      <c r="D97" s="11" t="s">
        <v>3993</v>
      </c>
      <c r="E97" s="11" t="s">
        <v>3994</v>
      </c>
      <c r="F97" s="12">
        <v>10</v>
      </c>
      <c r="G97" s="12">
        <v>865</v>
      </c>
      <c r="H97" s="12">
        <v>25</v>
      </c>
      <c r="I97" s="12">
        <f t="shared" si="3"/>
        <v>840</v>
      </c>
      <c r="J97" s="11" t="s">
        <v>119</v>
      </c>
      <c r="K97" s="11" t="s">
        <v>33</v>
      </c>
      <c r="L97" s="11" t="s">
        <v>3430</v>
      </c>
      <c r="M97" s="24" t="s">
        <v>4784</v>
      </c>
      <c r="N97" s="11"/>
      <c r="O97" s="11"/>
      <c r="P97" s="11"/>
      <c r="Q97" s="11">
        <v>1</v>
      </c>
    </row>
    <row r="98" spans="1:18" x14ac:dyDescent="0.25">
      <c r="A98" s="11"/>
      <c r="B98" s="11" t="s">
        <v>27</v>
      </c>
      <c r="C98" s="11" t="s">
        <v>4010</v>
      </c>
      <c r="D98" s="11" t="s">
        <v>4011</v>
      </c>
      <c r="E98" s="11" t="s">
        <v>4012</v>
      </c>
      <c r="F98" s="12">
        <v>3</v>
      </c>
      <c r="G98" s="12">
        <v>385</v>
      </c>
      <c r="H98" s="12">
        <v>25</v>
      </c>
      <c r="I98" s="12">
        <f t="shared" si="3"/>
        <v>360</v>
      </c>
      <c r="J98" s="11" t="s">
        <v>119</v>
      </c>
      <c r="K98" s="11" t="s">
        <v>33</v>
      </c>
      <c r="L98" s="11" t="s">
        <v>3430</v>
      </c>
      <c r="M98" s="11"/>
      <c r="N98" s="11"/>
      <c r="O98" s="11"/>
      <c r="P98" s="11"/>
      <c r="Q98" s="11">
        <v>1</v>
      </c>
    </row>
    <row r="99" spans="1:18" x14ac:dyDescent="0.25">
      <c r="A99" s="11"/>
      <c r="B99" s="11" t="s">
        <v>27</v>
      </c>
      <c r="C99" s="11" t="s">
        <v>4053</v>
      </c>
      <c r="D99" s="11" t="s">
        <v>4054</v>
      </c>
      <c r="E99" s="11" t="s">
        <v>4055</v>
      </c>
      <c r="F99" s="11" t="s">
        <v>44</v>
      </c>
      <c r="G99" s="12">
        <v>1415</v>
      </c>
      <c r="H99" s="12">
        <v>25</v>
      </c>
      <c r="I99" s="12">
        <f t="shared" ref="I99:I113" si="5">G99-H99</f>
        <v>1390</v>
      </c>
      <c r="J99" s="11" t="s">
        <v>119</v>
      </c>
      <c r="K99" s="11" t="s">
        <v>33</v>
      </c>
      <c r="L99" s="11" t="s">
        <v>3430</v>
      </c>
      <c r="M99" s="11"/>
      <c r="N99" s="11"/>
      <c r="O99" s="11"/>
      <c r="P99" s="11"/>
      <c r="Q99" s="11">
        <v>1</v>
      </c>
    </row>
    <row r="100" spans="1:18" x14ac:dyDescent="0.25">
      <c r="A100" s="11"/>
      <c r="B100" s="11" t="s">
        <v>27</v>
      </c>
      <c r="C100" s="11" t="s">
        <v>4065</v>
      </c>
      <c r="D100" s="11" t="s">
        <v>4066</v>
      </c>
      <c r="E100" s="11" t="s">
        <v>4067</v>
      </c>
      <c r="F100" s="12">
        <v>4</v>
      </c>
      <c r="G100" s="12">
        <v>635</v>
      </c>
      <c r="H100" s="12">
        <v>25</v>
      </c>
      <c r="I100" s="12">
        <f t="shared" si="5"/>
        <v>610</v>
      </c>
      <c r="J100" s="11" t="s">
        <v>119</v>
      </c>
      <c r="K100" s="11" t="s">
        <v>33</v>
      </c>
      <c r="L100" s="11" t="s">
        <v>3430</v>
      </c>
      <c r="M100" s="11"/>
      <c r="N100" s="11"/>
      <c r="O100" s="11"/>
      <c r="P100" s="11"/>
      <c r="Q100" s="11">
        <v>1</v>
      </c>
    </row>
    <row r="101" spans="1:18" x14ac:dyDescent="0.25">
      <c r="A101" s="11"/>
      <c r="B101" s="11" t="s">
        <v>27</v>
      </c>
      <c r="C101" s="11" t="s">
        <v>4077</v>
      </c>
      <c r="D101" s="11" t="s">
        <v>4078</v>
      </c>
      <c r="E101" s="11" t="s">
        <v>4079</v>
      </c>
      <c r="F101" s="12">
        <v>1</v>
      </c>
      <c r="G101" s="12">
        <v>1235</v>
      </c>
      <c r="H101" s="12">
        <v>25</v>
      </c>
      <c r="I101" s="12">
        <f t="shared" si="5"/>
        <v>1210</v>
      </c>
      <c r="J101" s="11" t="s">
        <v>119</v>
      </c>
      <c r="K101" s="11" t="s">
        <v>33</v>
      </c>
      <c r="L101" s="11" t="s">
        <v>3430</v>
      </c>
      <c r="M101" s="11"/>
      <c r="N101" s="11"/>
      <c r="O101" s="11"/>
      <c r="P101" s="11"/>
      <c r="Q101" s="11">
        <v>1</v>
      </c>
    </row>
    <row r="102" spans="1:18" x14ac:dyDescent="0.25">
      <c r="A102" s="11"/>
      <c r="B102" s="11" t="s">
        <v>27</v>
      </c>
      <c r="C102" s="11" t="s">
        <v>4088</v>
      </c>
      <c r="D102" s="11" t="s">
        <v>4089</v>
      </c>
      <c r="E102" s="11" t="s">
        <v>4090</v>
      </c>
      <c r="F102" s="11" t="s">
        <v>118</v>
      </c>
      <c r="G102" s="12">
        <v>650</v>
      </c>
      <c r="H102" s="12">
        <v>20</v>
      </c>
      <c r="I102" s="12">
        <f t="shared" si="5"/>
        <v>630</v>
      </c>
      <c r="J102" s="11" t="s">
        <v>119</v>
      </c>
      <c r="K102" s="11" t="s">
        <v>33</v>
      </c>
      <c r="L102" s="11" t="s">
        <v>3430</v>
      </c>
      <c r="M102" s="11"/>
      <c r="N102" s="11"/>
      <c r="O102" s="11"/>
      <c r="P102" s="11"/>
      <c r="Q102" s="11">
        <v>1</v>
      </c>
    </row>
    <row r="103" spans="1:18" x14ac:dyDescent="0.25">
      <c r="A103" s="11"/>
      <c r="B103" s="11" t="s">
        <v>27</v>
      </c>
      <c r="C103" s="11" t="s">
        <v>4091</v>
      </c>
      <c r="D103" s="11" t="s">
        <v>4092</v>
      </c>
      <c r="E103" s="11" t="s">
        <v>4093</v>
      </c>
      <c r="F103" s="12">
        <v>1</v>
      </c>
      <c r="G103" s="12">
        <v>905</v>
      </c>
      <c r="H103" s="12">
        <v>25</v>
      </c>
      <c r="I103" s="12">
        <f t="shared" si="5"/>
        <v>880</v>
      </c>
      <c r="J103" s="11" t="s">
        <v>119</v>
      </c>
      <c r="K103" s="11" t="s">
        <v>33</v>
      </c>
      <c r="L103" s="11" t="s">
        <v>3430</v>
      </c>
      <c r="M103" s="11"/>
      <c r="N103" s="11"/>
      <c r="O103" s="11"/>
      <c r="P103" s="11"/>
      <c r="Q103" s="11">
        <v>1</v>
      </c>
    </row>
    <row r="104" spans="1:18" x14ac:dyDescent="0.25">
      <c r="A104" s="11"/>
      <c r="B104" s="11" t="s">
        <v>27</v>
      </c>
      <c r="C104" s="11" t="s">
        <v>4122</v>
      </c>
      <c r="D104" s="11" t="s">
        <v>4123</v>
      </c>
      <c r="E104" s="11" t="s">
        <v>4124</v>
      </c>
      <c r="F104" s="11" t="s">
        <v>44</v>
      </c>
      <c r="G104" s="12">
        <v>1125</v>
      </c>
      <c r="H104" s="12">
        <v>25</v>
      </c>
      <c r="I104" s="12">
        <f t="shared" si="5"/>
        <v>1100</v>
      </c>
      <c r="J104" s="11" t="s">
        <v>119</v>
      </c>
      <c r="K104" s="11" t="s">
        <v>33</v>
      </c>
      <c r="L104" s="11" t="s">
        <v>3430</v>
      </c>
      <c r="M104" s="11"/>
      <c r="N104" s="11"/>
      <c r="O104" s="11"/>
      <c r="P104" s="11"/>
      <c r="Q104" s="11">
        <v>1</v>
      </c>
    </row>
    <row r="105" spans="1:18" x14ac:dyDescent="0.25">
      <c r="A105" s="11"/>
      <c r="B105" s="11" t="s">
        <v>27</v>
      </c>
      <c r="C105" s="11" t="s">
        <v>4146</v>
      </c>
      <c r="D105" s="11" t="s">
        <v>4147</v>
      </c>
      <c r="E105" s="11" t="s">
        <v>4148</v>
      </c>
      <c r="F105" s="11" t="s">
        <v>44</v>
      </c>
      <c r="G105" s="12">
        <v>775</v>
      </c>
      <c r="H105" s="12">
        <v>25</v>
      </c>
      <c r="I105" s="12">
        <f t="shared" si="5"/>
        <v>750</v>
      </c>
      <c r="J105" s="11" t="s">
        <v>119</v>
      </c>
      <c r="K105" s="11" t="s">
        <v>33</v>
      </c>
      <c r="L105" s="11" t="s">
        <v>3430</v>
      </c>
      <c r="M105" s="11"/>
      <c r="N105" s="11"/>
      <c r="O105" s="11"/>
      <c r="P105" s="11"/>
      <c r="Q105" s="11">
        <v>1</v>
      </c>
    </row>
    <row r="106" spans="1:18" x14ac:dyDescent="0.25">
      <c r="A106" s="11"/>
      <c r="B106" s="11" t="s">
        <v>27</v>
      </c>
      <c r="C106" s="11" t="s">
        <v>4152</v>
      </c>
      <c r="D106" s="11" t="s">
        <v>4153</v>
      </c>
      <c r="E106" s="11" t="s">
        <v>4154</v>
      </c>
      <c r="F106" s="11" t="s">
        <v>44</v>
      </c>
      <c r="G106" s="12">
        <v>3020</v>
      </c>
      <c r="H106" s="12">
        <v>30</v>
      </c>
      <c r="I106" s="12">
        <f t="shared" si="5"/>
        <v>2990</v>
      </c>
      <c r="J106" s="11" t="s">
        <v>119</v>
      </c>
      <c r="K106" s="11" t="s">
        <v>33</v>
      </c>
      <c r="L106" s="11" t="s">
        <v>3430</v>
      </c>
      <c r="M106" s="11"/>
      <c r="N106" s="11"/>
      <c r="O106" s="11"/>
      <c r="P106" s="11"/>
      <c r="Q106" s="11">
        <v>1</v>
      </c>
    </row>
    <row r="107" spans="1:18" x14ac:dyDescent="0.25">
      <c r="A107" s="11"/>
      <c r="B107" s="11" t="s">
        <v>27</v>
      </c>
      <c r="C107" s="11" t="s">
        <v>4173</v>
      </c>
      <c r="D107" s="11" t="s">
        <v>4174</v>
      </c>
      <c r="E107" s="11" t="s">
        <v>4175</v>
      </c>
      <c r="F107" s="11" t="s">
        <v>118</v>
      </c>
      <c r="G107" s="12">
        <v>870</v>
      </c>
      <c r="H107" s="12">
        <v>20</v>
      </c>
      <c r="I107" s="12">
        <f t="shared" si="5"/>
        <v>850</v>
      </c>
      <c r="J107" s="11" t="s">
        <v>119</v>
      </c>
      <c r="K107" s="11" t="s">
        <v>33</v>
      </c>
      <c r="L107" s="11" t="s">
        <v>3430</v>
      </c>
      <c r="M107" s="11"/>
      <c r="N107" s="11"/>
      <c r="O107" s="11"/>
      <c r="P107" s="11"/>
      <c r="Q107" s="11">
        <v>1</v>
      </c>
    </row>
    <row r="108" spans="1:18" x14ac:dyDescent="0.25">
      <c r="A108" s="11"/>
      <c r="B108" s="11" t="s">
        <v>27</v>
      </c>
      <c r="C108" s="11" t="s">
        <v>4178</v>
      </c>
      <c r="D108" s="11" t="s">
        <v>4179</v>
      </c>
      <c r="E108" s="11" t="s">
        <v>4180</v>
      </c>
      <c r="F108" s="12">
        <v>1</v>
      </c>
      <c r="G108" s="12">
        <v>568</v>
      </c>
      <c r="H108" s="12">
        <v>25</v>
      </c>
      <c r="I108" s="12">
        <f t="shared" si="5"/>
        <v>543</v>
      </c>
      <c r="J108" s="11" t="s">
        <v>119</v>
      </c>
      <c r="K108" s="11" t="s">
        <v>33</v>
      </c>
      <c r="L108" s="11" t="s">
        <v>3430</v>
      </c>
      <c r="M108" s="24" t="s">
        <v>340</v>
      </c>
      <c r="N108" s="11"/>
      <c r="O108" s="11"/>
      <c r="P108" s="11"/>
      <c r="Q108" s="11">
        <v>1</v>
      </c>
      <c r="R108" s="5">
        <f>H108</f>
        <v>25</v>
      </c>
    </row>
    <row r="109" spans="1:18" x14ac:dyDescent="0.25">
      <c r="A109" s="11"/>
      <c r="B109" s="11" t="s">
        <v>27</v>
      </c>
      <c r="C109" s="11" t="s">
        <v>4186</v>
      </c>
      <c r="D109" s="11" t="s">
        <v>4187</v>
      </c>
      <c r="E109" s="11" t="s">
        <v>4188</v>
      </c>
      <c r="F109" s="11" t="s">
        <v>44</v>
      </c>
      <c r="G109" s="12">
        <v>425</v>
      </c>
      <c r="H109" s="12">
        <v>25</v>
      </c>
      <c r="I109" s="12">
        <f t="shared" si="5"/>
        <v>400</v>
      </c>
      <c r="J109" s="11" t="s">
        <v>119</v>
      </c>
      <c r="K109" s="11" t="s">
        <v>33</v>
      </c>
      <c r="L109" s="11" t="s">
        <v>3430</v>
      </c>
      <c r="M109" s="11"/>
      <c r="N109" s="11"/>
      <c r="O109" s="11"/>
      <c r="P109" s="11"/>
      <c r="Q109" s="11">
        <v>1</v>
      </c>
    </row>
    <row r="110" spans="1:18" x14ac:dyDescent="0.25">
      <c r="A110" s="11"/>
      <c r="B110" s="11" t="s">
        <v>27</v>
      </c>
      <c r="C110" s="11" t="s">
        <v>4189</v>
      </c>
      <c r="D110" s="11" t="s">
        <v>4190</v>
      </c>
      <c r="E110" s="11" t="s">
        <v>4191</v>
      </c>
      <c r="F110" s="11" t="s">
        <v>44</v>
      </c>
      <c r="G110" s="12">
        <v>515</v>
      </c>
      <c r="H110" s="12">
        <v>25</v>
      </c>
      <c r="I110" s="12">
        <f t="shared" si="5"/>
        <v>490</v>
      </c>
      <c r="J110" s="11" t="s">
        <v>119</v>
      </c>
      <c r="K110" s="11" t="s">
        <v>33</v>
      </c>
      <c r="L110" s="11" t="s">
        <v>3430</v>
      </c>
      <c r="M110" s="11"/>
      <c r="N110" s="11"/>
      <c r="O110" s="11"/>
      <c r="P110" s="11"/>
      <c r="Q110" s="11">
        <v>1</v>
      </c>
    </row>
    <row r="111" spans="1:18" x14ac:dyDescent="0.25">
      <c r="A111" s="11"/>
      <c r="B111" s="11" t="s">
        <v>27</v>
      </c>
      <c r="C111" s="11" t="s">
        <v>4208</v>
      </c>
      <c r="D111" s="11" t="s">
        <v>4209</v>
      </c>
      <c r="E111" s="11" t="s">
        <v>4210</v>
      </c>
      <c r="F111" s="11" t="s">
        <v>44</v>
      </c>
      <c r="G111" s="12">
        <v>1385</v>
      </c>
      <c r="H111" s="12">
        <v>25</v>
      </c>
      <c r="I111" s="12">
        <f t="shared" si="5"/>
        <v>1360</v>
      </c>
      <c r="J111" s="11" t="s">
        <v>119</v>
      </c>
      <c r="K111" s="11" t="s">
        <v>33</v>
      </c>
      <c r="L111" s="11" t="s">
        <v>3430</v>
      </c>
      <c r="M111" s="11"/>
      <c r="N111" s="11"/>
      <c r="O111" s="11"/>
      <c r="P111" s="11"/>
      <c r="Q111" s="11">
        <v>1</v>
      </c>
    </row>
    <row r="112" spans="1:18" s="2" customFormat="1" x14ac:dyDescent="0.25">
      <c r="A112" s="16"/>
      <c r="B112" s="16" t="s">
        <v>27</v>
      </c>
      <c r="C112" s="16" t="s">
        <v>4068</v>
      </c>
      <c r="D112" s="16" t="s">
        <v>4069</v>
      </c>
      <c r="E112" s="16" t="s">
        <v>4070</v>
      </c>
      <c r="F112" s="16" t="s">
        <v>996</v>
      </c>
      <c r="G112" s="17">
        <v>3350</v>
      </c>
      <c r="H112" s="17">
        <v>0</v>
      </c>
      <c r="I112" s="17">
        <f t="shared" si="5"/>
        <v>3350</v>
      </c>
      <c r="J112" s="16" t="s">
        <v>153</v>
      </c>
      <c r="K112" s="16" t="s">
        <v>33</v>
      </c>
      <c r="L112" s="16" t="s">
        <v>3430</v>
      </c>
      <c r="M112" s="16" t="s">
        <v>997</v>
      </c>
      <c r="N112" s="16" t="s">
        <v>156</v>
      </c>
      <c r="O112" s="16"/>
      <c r="P112" s="16" t="s">
        <v>157</v>
      </c>
      <c r="Q112" s="16">
        <v>1</v>
      </c>
    </row>
    <row r="113" spans="1:17" s="2" customFormat="1" x14ac:dyDescent="0.25">
      <c r="A113" s="16"/>
      <c r="B113" s="16" t="s">
        <v>27</v>
      </c>
      <c r="C113" s="16" t="s">
        <v>4125</v>
      </c>
      <c r="D113" s="16" t="s">
        <v>4126</v>
      </c>
      <c r="E113" s="16" t="s">
        <v>4127</v>
      </c>
      <c r="F113" s="16" t="s">
        <v>996</v>
      </c>
      <c r="G113" s="17">
        <v>290</v>
      </c>
      <c r="H113" s="17">
        <v>0</v>
      </c>
      <c r="I113" s="17">
        <f t="shared" si="5"/>
        <v>290</v>
      </c>
      <c r="J113" s="16" t="s">
        <v>153</v>
      </c>
      <c r="K113" s="16" t="s">
        <v>33</v>
      </c>
      <c r="L113" s="16" t="s">
        <v>3430</v>
      </c>
      <c r="M113" s="16" t="s">
        <v>997</v>
      </c>
      <c r="N113" s="16" t="s">
        <v>156</v>
      </c>
      <c r="O113" s="16"/>
      <c r="P113" s="16" t="s">
        <v>157</v>
      </c>
      <c r="Q113" s="16">
        <v>1</v>
      </c>
    </row>
    <row r="115" spans="1:17" x14ac:dyDescent="0.25">
      <c r="D115" s="1">
        <f>COUNTA(D3:D113)</f>
        <v>111</v>
      </c>
      <c r="G115" s="1">
        <f t="shared" ref="G115:Q115" si="6">SUBTOTAL(9,G3:G113)</f>
        <v>116663</v>
      </c>
      <c r="H115" s="1">
        <f t="shared" si="6"/>
        <v>3050</v>
      </c>
      <c r="I115" s="1">
        <f t="shared" si="6"/>
        <v>113613</v>
      </c>
      <c r="J115" s="1">
        <f t="shared" si="6"/>
        <v>0</v>
      </c>
      <c r="K115" s="1">
        <f t="shared" si="6"/>
        <v>0</v>
      </c>
      <c r="L115" s="1">
        <f t="shared" si="6"/>
        <v>0</v>
      </c>
      <c r="M115" s="1">
        <f t="shared" si="6"/>
        <v>0</v>
      </c>
      <c r="N115" s="1">
        <f t="shared" si="6"/>
        <v>0</v>
      </c>
      <c r="O115" s="1">
        <f t="shared" si="6"/>
        <v>0</v>
      </c>
      <c r="P115" s="1">
        <f t="shared" si="6"/>
        <v>0</v>
      </c>
      <c r="Q115" s="1">
        <f t="shared" si="6"/>
        <v>111</v>
      </c>
    </row>
    <row r="116" spans="1:17" x14ac:dyDescent="0.25">
      <c r="H116">
        <f>-32*17</f>
        <v>-544</v>
      </c>
    </row>
    <row r="117" spans="1:17" x14ac:dyDescent="0.25">
      <c r="A117" s="1" t="s">
        <v>27</v>
      </c>
      <c r="C117" s="60" t="s">
        <v>158</v>
      </c>
      <c r="D117" s="60"/>
      <c r="E117" s="4" t="s">
        <v>159</v>
      </c>
      <c r="H117">
        <f>-25*25</f>
        <v>-625</v>
      </c>
      <c r="K117" s="6" t="s">
        <v>119</v>
      </c>
      <c r="L117" s="6" t="s">
        <v>160</v>
      </c>
      <c r="M117" s="6" t="s">
        <v>159</v>
      </c>
      <c r="O117" s="4" t="s">
        <v>161</v>
      </c>
    </row>
    <row r="118" spans="1:17" x14ac:dyDescent="0.25">
      <c r="A118" t="s">
        <v>3430</v>
      </c>
      <c r="B118" s="3" t="s">
        <v>162</v>
      </c>
      <c r="C118" s="61">
        <f>SUMIFS(I$3:I$113,B$3:B$113,A$117,L$3:L$113,A$118)</f>
        <v>112573</v>
      </c>
      <c r="D118" s="61"/>
      <c r="E118" s="3">
        <f>SUMIFS(Q$3:Q$113,B$3:B$113,A$117,L$3:L$113,A$118)</f>
        <v>110</v>
      </c>
      <c r="F118" t="s">
        <v>163</v>
      </c>
      <c r="H118">
        <f>-9*30</f>
        <v>-270</v>
      </c>
      <c r="K118" t="s">
        <v>164</v>
      </c>
      <c r="L118">
        <f>SUMIFS(G$3:G$113,J$3:J$113,K$117)</f>
        <v>22386</v>
      </c>
      <c r="M118">
        <f>SUMIFS(Q$3:Q$113,J$3:J$113,K$117)-INT(COUNTIFS(J$3:J$113,K$117,M$3:M$113,"*gộp*")/2)</f>
        <v>24</v>
      </c>
      <c r="O118" t="s">
        <v>119</v>
      </c>
      <c r="P118">
        <f>L123</f>
        <v>21921</v>
      </c>
    </row>
    <row r="119" spans="1:17" x14ac:dyDescent="0.25">
      <c r="B119" s="2" t="s">
        <v>166</v>
      </c>
      <c r="C119" s="62">
        <v>0</v>
      </c>
      <c r="D119" s="62"/>
      <c r="K119" t="s">
        <v>167</v>
      </c>
      <c r="L119">
        <f>-SUMIFS(H$3:H$113,J$3:J$113,K$117)+M119*5</f>
        <v>-465</v>
      </c>
      <c r="M119">
        <f>SUMIFS(Q$3:Q$113,J$3:J$113,K$117)-INT(COUNTIFS(J$3:J$113,K$117,M$3:M$113,"*gộp*")/2)</f>
        <v>24</v>
      </c>
      <c r="O119" t="s">
        <v>33</v>
      </c>
      <c r="P119">
        <f>L132</f>
        <v>13614</v>
      </c>
    </row>
    <row r="120" spans="1:17" x14ac:dyDescent="0.25">
      <c r="B120" s="2" t="s">
        <v>168</v>
      </c>
      <c r="C120" s="62">
        <f>-SUMIFS(I$3:I$113,B$3:B$113,A$117,P$3:P$113,"xx",N$3:N$113,"x")</f>
        <v>-3640</v>
      </c>
      <c r="D120" s="62"/>
      <c r="E120" s="2">
        <f>SUMIFS(Q$3:Q$113,B$3:B$113,A$117,P$3:P$113,"xx",N$3:N$113,"x")</f>
        <v>2</v>
      </c>
      <c r="K120" t="s">
        <v>169</v>
      </c>
      <c r="L120">
        <f>-M120*2</f>
        <v>0</v>
      </c>
      <c r="M120">
        <f>COUNTIFS(K$3:K$113,K$117,L$3:L$113,A$118)-(COUNTIFS(K$3:K$113,K$117,M$3:M$113,"*gộp*")/2)-COUNTIFS(K$3:K$113,K$117,M$3:M$113,"*đơn trả*")-COUNTIFS(K$3:K$113,K$117,M$3:M$113,"*hàng tỉnh*")</f>
        <v>0</v>
      </c>
      <c r="O120" t="s">
        <v>3906</v>
      </c>
      <c r="P120">
        <f>L140</f>
        <v>73990</v>
      </c>
    </row>
    <row r="121" spans="1:17" x14ac:dyDescent="0.25">
      <c r="B121" s="4" t="s">
        <v>170</v>
      </c>
      <c r="C121" s="60">
        <f>SUBTOTAL(9,C118:C120)</f>
        <v>108933</v>
      </c>
      <c r="D121" s="60"/>
      <c r="E121">
        <f>E118</f>
        <v>110</v>
      </c>
      <c r="K121" s="7" t="s">
        <v>155</v>
      </c>
      <c r="O121" t="s">
        <v>171</v>
      </c>
      <c r="P121">
        <f>-C125</f>
        <v>-108933</v>
      </c>
    </row>
    <row r="122" spans="1:17" x14ac:dyDescent="0.25">
      <c r="B122" s="2" t="s">
        <v>172</v>
      </c>
      <c r="C122" s="58"/>
      <c r="D122" s="58"/>
      <c r="K122" s="2" t="s">
        <v>173</v>
      </c>
      <c r="O122" s="4" t="s">
        <v>174</v>
      </c>
      <c r="P122" s="4">
        <f>SUBTOTAL(9,P118:P121)</f>
        <v>592</v>
      </c>
    </row>
    <row r="123" spans="1:17" x14ac:dyDescent="0.25">
      <c r="B123" s="8" t="s">
        <v>175</v>
      </c>
      <c r="C123" s="58"/>
      <c r="D123" s="58"/>
      <c r="L123" s="9">
        <f>SUBTOTAL(9,L118:L122)</f>
        <v>21921</v>
      </c>
      <c r="M123" s="9">
        <f>M118</f>
        <v>24</v>
      </c>
      <c r="P123">
        <v>1040</v>
      </c>
    </row>
    <row r="125" spans="1:17" x14ac:dyDescent="0.25">
      <c r="B125" s="1" t="s">
        <v>176</v>
      </c>
      <c r="C125" s="59">
        <f>C121+C122+C123</f>
        <v>108933</v>
      </c>
      <c r="D125" s="59"/>
      <c r="E125" s="1" t="s">
        <v>177</v>
      </c>
      <c r="K125" s="6" t="s">
        <v>33</v>
      </c>
      <c r="L125" s="6" t="s">
        <v>160</v>
      </c>
      <c r="M125" s="6" t="s">
        <v>159</v>
      </c>
    </row>
    <row r="126" spans="1:17" x14ac:dyDescent="0.25">
      <c r="K126" t="s">
        <v>164</v>
      </c>
      <c r="L126">
        <f>SUMIFS(G$3:G$113,J$3:J$113,K$125)</f>
        <v>15208</v>
      </c>
      <c r="M126">
        <f>SUMIFS(Q$3:Q$113,J$3:J$113,K$125)-INT(COUNTIFS(J$3:J$113,K$125,M$3:M$113,"*gộp*")/2)</f>
        <v>16</v>
      </c>
    </row>
    <row r="127" spans="1:17" x14ac:dyDescent="0.25">
      <c r="K127" t="s">
        <v>167</v>
      </c>
      <c r="L127">
        <f>-SUMIFS(H$3:H$113,J$3:J$113,K$125)+M127*5</f>
        <v>-335</v>
      </c>
      <c r="M127">
        <f>SUMIFS(Q$3:Q$113,J$3:J$113,K$125)-INT(COUNTIFS(J$3:J$113,K$125,M$3:M$113,"*gộp*")/2)</f>
        <v>16</v>
      </c>
    </row>
    <row r="128" spans="1:17" x14ac:dyDescent="0.25">
      <c r="K128" t="s">
        <v>169</v>
      </c>
      <c r="L128">
        <f>-M128*2</f>
        <v>-214</v>
      </c>
      <c r="M128">
        <f>COUNTIFS(K$3:K$113,K$125,L$3:L$113,A$118)-(COUNTIFS(K$3:K$113,K$125,M$3:M$113,"*gộp*")/2)-COUNTIFS(K$3:K$113,K$125,M$3:M$113,"*đơn trả*")-COUNTIFS(K$3:K$113,K$125,M$3:M$113,"*hàng tỉnh*")</f>
        <v>107</v>
      </c>
    </row>
    <row r="129" spans="11:13" x14ac:dyDescent="0.25">
      <c r="K129" s="7" t="s">
        <v>155</v>
      </c>
      <c r="L129" s="18"/>
      <c r="M129" s="18"/>
    </row>
    <row r="130" spans="11:13" x14ac:dyDescent="0.25">
      <c r="K130" s="2" t="s">
        <v>173</v>
      </c>
      <c r="L130" s="18"/>
      <c r="M130" s="18"/>
    </row>
    <row r="131" spans="11:13" x14ac:dyDescent="0.25">
      <c r="K131" s="2" t="s">
        <v>4211</v>
      </c>
      <c r="L131" s="18">
        <v>-1045</v>
      </c>
      <c r="M131" s="18" t="s">
        <v>178</v>
      </c>
    </row>
    <row r="132" spans="11:13" x14ac:dyDescent="0.25">
      <c r="L132" s="9">
        <f>SUBTOTAL(9,L126:L131)</f>
        <v>13614</v>
      </c>
      <c r="M132" s="9">
        <f>M126</f>
        <v>16</v>
      </c>
    </row>
    <row r="134" spans="11:13" x14ac:dyDescent="0.25">
      <c r="K134" s="6" t="s">
        <v>3429</v>
      </c>
      <c r="L134" s="6" t="s">
        <v>160</v>
      </c>
      <c r="M134" s="6" t="s">
        <v>159</v>
      </c>
    </row>
    <row r="135" spans="11:13" x14ac:dyDescent="0.25">
      <c r="K135" t="s">
        <v>164</v>
      </c>
      <c r="L135">
        <f>SUMIFS(G$3:G$113,J$3:J$113,K$134)</f>
        <v>75429</v>
      </c>
      <c r="M135">
        <f>SUMIFS(Q$3:Q$113,J$3:J$113,K$134)-INT(COUNTIFS(J$3:J$113,K$134,M$3:M$113,"*gộp*")/2)</f>
        <v>68</v>
      </c>
    </row>
    <row r="136" spans="11:13" x14ac:dyDescent="0.25">
      <c r="K136" t="s">
        <v>167</v>
      </c>
      <c r="L136">
        <f>SUM(H116:H118)</f>
        <v>-1439</v>
      </c>
      <c r="M136">
        <f>SUMIFS(Q$3:Q$113,J$3:J$113,K$134)-INT(COUNTIFS(J$3:J$113,K$134,M$3:M$113,"*gộp*")/2)</f>
        <v>68</v>
      </c>
    </row>
    <row r="137" spans="11:13" x14ac:dyDescent="0.25">
      <c r="K137" t="s">
        <v>169</v>
      </c>
      <c r="L137">
        <f>-M137*2</f>
        <v>0</v>
      </c>
      <c r="M137">
        <f>COUNTIFS(K$3:K$113,K$134,L$3:L$113,A$118)-(COUNTIFS(K$3:K$113,K$134,M$3:M$113,"*gộp*")/2)-COUNTIFS(K$3:K$113,K$134,M$3:M$113,"*đơn trả*")-COUNTIFS(K$3:K$113,K$134,M$3:M$113,"*hàng tỉnh*")</f>
        <v>0</v>
      </c>
    </row>
    <row r="138" spans="11:13" x14ac:dyDescent="0.25">
      <c r="K138" s="7" t="s">
        <v>155</v>
      </c>
    </row>
    <row r="139" spans="11:13" x14ac:dyDescent="0.25">
      <c r="K139" s="2" t="s">
        <v>173</v>
      </c>
    </row>
    <row r="140" spans="11:13" x14ac:dyDescent="0.25">
      <c r="L140" s="9">
        <f>SUBTOTAL(9,L135:L139)</f>
        <v>73990</v>
      </c>
      <c r="M140" s="9">
        <f>M135</f>
        <v>68</v>
      </c>
    </row>
  </sheetData>
  <autoFilter ref="A2:P113" xr:uid="{00000000-0009-0000-0000-000000000000}">
    <sortState xmlns:xlrd2="http://schemas.microsoft.com/office/spreadsheetml/2017/richdata2" ref="A3:P113">
      <sortCondition ref="J2:J113"/>
    </sortState>
  </autoFilter>
  <mergeCells count="8">
    <mergeCell ref="C123:D123"/>
    <mergeCell ref="C125:D125"/>
    <mergeCell ref="C117:D117"/>
    <mergeCell ref="C118:D118"/>
    <mergeCell ref="C119:D119"/>
    <mergeCell ref="C120:D120"/>
    <mergeCell ref="C121:D121"/>
    <mergeCell ref="C122:D122"/>
  </mergeCells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D23F-D70B-4F21-B7C5-E8A3A90F00FC}">
  <sheetPr filterMode="1"/>
  <dimension ref="A2:R177"/>
  <sheetViews>
    <sheetView topLeftCell="A135" workbookViewId="0">
      <selection activeCell="E161" sqref="E161"/>
    </sheetView>
  </sheetViews>
  <sheetFormatPr defaultRowHeight="15" x14ac:dyDescent="0.25"/>
  <cols>
    <col min="1" max="1" width="12.7109375" customWidth="1"/>
    <col min="2" max="2" width="8.28515625" customWidth="1"/>
    <col min="3" max="3" width="33.85546875" bestFit="1" customWidth="1"/>
    <col min="4" max="4" width="9.5703125" bestFit="1" customWidth="1"/>
    <col min="5" max="5" width="75" bestFit="1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8.14062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 t="s">
        <v>59</v>
      </c>
      <c r="B3" s="11" t="s">
        <v>27</v>
      </c>
      <c r="C3" s="11" t="s">
        <v>2672</v>
      </c>
      <c r="D3" s="11"/>
      <c r="E3" s="11" t="s">
        <v>1789</v>
      </c>
      <c r="F3" s="12">
        <v>12</v>
      </c>
      <c r="G3" s="12">
        <v>0</v>
      </c>
      <c r="H3" s="12">
        <v>35</v>
      </c>
      <c r="I3" s="12">
        <f t="shared" ref="I3:I34" si="0">G3-H3</f>
        <v>-35</v>
      </c>
      <c r="J3" s="11" t="s">
        <v>4212</v>
      </c>
      <c r="K3" s="11" t="s">
        <v>33</v>
      </c>
      <c r="L3" s="11" t="s">
        <v>4213</v>
      </c>
      <c r="M3" s="11"/>
      <c r="N3" s="11"/>
      <c r="O3" s="11"/>
      <c r="P3" s="11"/>
      <c r="Q3" s="11">
        <v>1</v>
      </c>
      <c r="R3" s="5">
        <f>H3</f>
        <v>35</v>
      </c>
    </row>
    <row r="4" spans="1:18" x14ac:dyDescent="0.25">
      <c r="A4" s="11" t="s">
        <v>59</v>
      </c>
      <c r="B4" s="11" t="s">
        <v>27</v>
      </c>
      <c r="C4" s="11" t="s">
        <v>214</v>
      </c>
      <c r="D4" s="11"/>
      <c r="E4" s="11" t="s">
        <v>215</v>
      </c>
      <c r="F4" s="12">
        <v>6</v>
      </c>
      <c r="G4" s="12">
        <v>0</v>
      </c>
      <c r="H4" s="12">
        <v>30</v>
      </c>
      <c r="I4" s="12">
        <f t="shared" si="0"/>
        <v>-30</v>
      </c>
      <c r="J4" s="11" t="s">
        <v>4212</v>
      </c>
      <c r="K4" s="11" t="s">
        <v>33</v>
      </c>
      <c r="L4" s="11" t="s">
        <v>4213</v>
      </c>
      <c r="M4" s="11"/>
      <c r="N4" s="11"/>
      <c r="O4" s="11"/>
      <c r="P4" s="11"/>
      <c r="Q4" s="11">
        <v>1</v>
      </c>
      <c r="R4" s="5">
        <f>H4</f>
        <v>30</v>
      </c>
    </row>
    <row r="5" spans="1:18" x14ac:dyDescent="0.25">
      <c r="A5" s="11"/>
      <c r="B5" s="11" t="s">
        <v>27</v>
      </c>
      <c r="C5" s="11" t="s">
        <v>4223</v>
      </c>
      <c r="D5" s="11" t="s">
        <v>4224</v>
      </c>
      <c r="E5" s="11" t="s">
        <v>4225</v>
      </c>
      <c r="F5" s="11" t="s">
        <v>48</v>
      </c>
      <c r="G5" s="12">
        <v>520</v>
      </c>
      <c r="H5" s="12">
        <v>30</v>
      </c>
      <c r="I5" s="12">
        <f t="shared" si="0"/>
        <v>490</v>
      </c>
      <c r="J5" s="11" t="s">
        <v>4212</v>
      </c>
      <c r="K5" s="11" t="s">
        <v>33</v>
      </c>
      <c r="L5" s="11" t="s">
        <v>4213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4232</v>
      </c>
      <c r="D6" s="11" t="s">
        <v>4233</v>
      </c>
      <c r="E6" s="11" t="s">
        <v>4234</v>
      </c>
      <c r="F6" s="11" t="s">
        <v>31</v>
      </c>
      <c r="G6" s="12">
        <v>1898</v>
      </c>
      <c r="H6" s="12">
        <v>25</v>
      </c>
      <c r="I6" s="12">
        <f t="shared" si="0"/>
        <v>1873</v>
      </c>
      <c r="J6" s="11" t="s">
        <v>4212</v>
      </c>
      <c r="K6" s="11" t="s">
        <v>33</v>
      </c>
      <c r="L6" s="11" t="s">
        <v>4213</v>
      </c>
      <c r="M6" s="24" t="s">
        <v>340</v>
      </c>
      <c r="N6" s="11"/>
      <c r="O6" s="11"/>
      <c r="P6" s="11"/>
      <c r="Q6" s="11">
        <v>1</v>
      </c>
      <c r="R6" s="5">
        <f>H6</f>
        <v>25</v>
      </c>
    </row>
    <row r="7" spans="1:18" x14ac:dyDescent="0.25">
      <c r="A7" s="11"/>
      <c r="B7" s="11" t="s">
        <v>27</v>
      </c>
      <c r="C7" s="11" t="s">
        <v>4236</v>
      </c>
      <c r="D7" s="11" t="s">
        <v>4237</v>
      </c>
      <c r="E7" s="11" t="s">
        <v>4238</v>
      </c>
      <c r="F7" s="11" t="s">
        <v>104</v>
      </c>
      <c r="G7" s="12">
        <v>1410</v>
      </c>
      <c r="H7" s="12">
        <v>30</v>
      </c>
      <c r="I7" s="12">
        <f t="shared" si="0"/>
        <v>1380</v>
      </c>
      <c r="J7" s="11" t="s">
        <v>4212</v>
      </c>
      <c r="K7" s="11" t="s">
        <v>33</v>
      </c>
      <c r="L7" s="11" t="s">
        <v>4213</v>
      </c>
      <c r="M7" s="11"/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4239</v>
      </c>
      <c r="D8" s="11" t="s">
        <v>4240</v>
      </c>
      <c r="E8" s="11" t="s">
        <v>4241</v>
      </c>
      <c r="F8" s="11" t="s">
        <v>31</v>
      </c>
      <c r="G8" s="12">
        <v>2510</v>
      </c>
      <c r="H8" s="12">
        <v>30</v>
      </c>
      <c r="I8" s="12">
        <f t="shared" si="0"/>
        <v>2480</v>
      </c>
      <c r="J8" s="11" t="s">
        <v>4212</v>
      </c>
      <c r="K8" s="11" t="s">
        <v>33</v>
      </c>
      <c r="L8" s="11" t="s">
        <v>4213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4251</v>
      </c>
      <c r="D9" s="11" t="s">
        <v>4252</v>
      </c>
      <c r="E9" s="11" t="s">
        <v>4253</v>
      </c>
      <c r="F9" s="12">
        <v>9</v>
      </c>
      <c r="G9" s="12">
        <v>848</v>
      </c>
      <c r="H9" s="12">
        <v>30</v>
      </c>
      <c r="I9" s="12">
        <f t="shared" si="0"/>
        <v>818</v>
      </c>
      <c r="J9" s="11" t="s">
        <v>4212</v>
      </c>
      <c r="K9" s="11" t="s">
        <v>33</v>
      </c>
      <c r="L9" s="11" t="s">
        <v>4213</v>
      </c>
      <c r="M9" s="24" t="s">
        <v>340</v>
      </c>
      <c r="N9" s="11"/>
      <c r="O9" s="11"/>
      <c r="P9" s="11"/>
      <c r="Q9" s="11">
        <v>1</v>
      </c>
      <c r="R9" s="5">
        <f>H9</f>
        <v>30</v>
      </c>
    </row>
    <row r="10" spans="1:18" x14ac:dyDescent="0.25">
      <c r="A10" s="11"/>
      <c r="B10" s="11" t="s">
        <v>27</v>
      </c>
      <c r="C10" s="11" t="s">
        <v>4257</v>
      </c>
      <c r="D10" s="11" t="s">
        <v>4258</v>
      </c>
      <c r="E10" s="11" t="s">
        <v>4259</v>
      </c>
      <c r="F10" s="12">
        <v>7</v>
      </c>
      <c r="G10" s="12">
        <v>200</v>
      </c>
      <c r="H10" s="12">
        <v>30</v>
      </c>
      <c r="I10" s="12">
        <f t="shared" si="0"/>
        <v>170</v>
      </c>
      <c r="J10" s="11" t="s">
        <v>4212</v>
      </c>
      <c r="K10" s="11" t="s">
        <v>33</v>
      </c>
      <c r="L10" s="11" t="s">
        <v>4213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4269</v>
      </c>
      <c r="D11" s="11" t="s">
        <v>4270</v>
      </c>
      <c r="E11" s="11" t="s">
        <v>4271</v>
      </c>
      <c r="F11" s="11" t="s">
        <v>31</v>
      </c>
      <c r="G11" s="12">
        <v>1635</v>
      </c>
      <c r="H11" s="12">
        <v>25</v>
      </c>
      <c r="I11" s="12">
        <f t="shared" si="0"/>
        <v>1610</v>
      </c>
      <c r="J11" s="11" t="s">
        <v>4212</v>
      </c>
      <c r="K11" s="11" t="s">
        <v>33</v>
      </c>
      <c r="L11" s="11" t="s">
        <v>4213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4275</v>
      </c>
      <c r="D12" s="11" t="s">
        <v>4276</v>
      </c>
      <c r="E12" s="11" t="s">
        <v>4277</v>
      </c>
      <c r="F12" s="12">
        <v>7</v>
      </c>
      <c r="G12" s="12">
        <v>2190</v>
      </c>
      <c r="H12" s="12">
        <v>30</v>
      </c>
      <c r="I12" s="12">
        <f t="shared" si="0"/>
        <v>2160</v>
      </c>
      <c r="J12" s="11" t="s">
        <v>4212</v>
      </c>
      <c r="K12" s="11" t="s">
        <v>33</v>
      </c>
      <c r="L12" s="11" t="s">
        <v>4213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4284</v>
      </c>
      <c r="D13" s="11" t="s">
        <v>4285</v>
      </c>
      <c r="E13" s="11" t="s">
        <v>2954</v>
      </c>
      <c r="F13" s="11" t="s">
        <v>104</v>
      </c>
      <c r="G13" s="12">
        <v>350</v>
      </c>
      <c r="H13" s="12">
        <v>30</v>
      </c>
      <c r="I13" s="12">
        <f t="shared" si="0"/>
        <v>320</v>
      </c>
      <c r="J13" s="11" t="s">
        <v>4212</v>
      </c>
      <c r="K13" s="11" t="s">
        <v>33</v>
      </c>
      <c r="L13" s="11" t="s">
        <v>4213</v>
      </c>
      <c r="M13" s="11"/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4286</v>
      </c>
      <c r="D14" s="11" t="s">
        <v>4287</v>
      </c>
      <c r="E14" s="11" t="s">
        <v>4288</v>
      </c>
      <c r="F14" s="11" t="s">
        <v>31</v>
      </c>
      <c r="G14" s="12">
        <v>385</v>
      </c>
      <c r="H14" s="12">
        <v>25</v>
      </c>
      <c r="I14" s="12">
        <f t="shared" si="0"/>
        <v>360</v>
      </c>
      <c r="J14" s="11" t="s">
        <v>4212</v>
      </c>
      <c r="K14" s="11" t="s">
        <v>33</v>
      </c>
      <c r="L14" s="11" t="s">
        <v>4213</v>
      </c>
      <c r="M14" s="11"/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4289</v>
      </c>
      <c r="D15" s="11" t="s">
        <v>4290</v>
      </c>
      <c r="E15" s="11" t="s">
        <v>4291</v>
      </c>
      <c r="F15" s="12">
        <v>7</v>
      </c>
      <c r="G15" s="12">
        <v>1070</v>
      </c>
      <c r="H15" s="12">
        <v>30</v>
      </c>
      <c r="I15" s="12">
        <f t="shared" si="0"/>
        <v>1040</v>
      </c>
      <c r="J15" s="11" t="s">
        <v>4212</v>
      </c>
      <c r="K15" s="11" t="s">
        <v>33</v>
      </c>
      <c r="L15" s="11" t="s">
        <v>4213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4301</v>
      </c>
      <c r="D16" s="11" t="s">
        <v>4302</v>
      </c>
      <c r="E16" s="11" t="s">
        <v>4303</v>
      </c>
      <c r="F16" s="11" t="s">
        <v>444</v>
      </c>
      <c r="G16" s="12">
        <v>915</v>
      </c>
      <c r="H16" s="12">
        <v>35</v>
      </c>
      <c r="I16" s="12">
        <f t="shared" si="0"/>
        <v>880</v>
      </c>
      <c r="J16" s="11" t="s">
        <v>4212</v>
      </c>
      <c r="K16" s="11" t="s">
        <v>33</v>
      </c>
      <c r="L16" s="11" t="s">
        <v>4213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4304</v>
      </c>
      <c r="D17" s="11" t="s">
        <v>4305</v>
      </c>
      <c r="E17" s="11" t="s">
        <v>4306</v>
      </c>
      <c r="F17" s="11" t="s">
        <v>55</v>
      </c>
      <c r="G17" s="12">
        <v>2435</v>
      </c>
      <c r="H17" s="12">
        <v>35</v>
      </c>
      <c r="I17" s="12">
        <f t="shared" si="0"/>
        <v>2400</v>
      </c>
      <c r="J17" s="11" t="s">
        <v>4212</v>
      </c>
      <c r="K17" s="11" t="s">
        <v>33</v>
      </c>
      <c r="L17" s="11" t="s">
        <v>4213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4322</v>
      </c>
      <c r="D18" s="11" t="s">
        <v>4323</v>
      </c>
      <c r="E18" s="11" t="s">
        <v>4324</v>
      </c>
      <c r="F18" s="11" t="s">
        <v>202</v>
      </c>
      <c r="G18" s="12">
        <v>1615</v>
      </c>
      <c r="H18" s="12">
        <v>35</v>
      </c>
      <c r="I18" s="12">
        <f t="shared" si="0"/>
        <v>1580</v>
      </c>
      <c r="J18" s="11" t="s">
        <v>4212</v>
      </c>
      <c r="K18" s="11" t="s">
        <v>33</v>
      </c>
      <c r="L18" s="11" t="s">
        <v>4213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4331</v>
      </c>
      <c r="D19" s="11" t="s">
        <v>4332</v>
      </c>
      <c r="E19" s="11" t="s">
        <v>4333</v>
      </c>
      <c r="F19" s="11" t="s">
        <v>104</v>
      </c>
      <c r="G19" s="12">
        <v>760</v>
      </c>
      <c r="H19" s="12">
        <v>30</v>
      </c>
      <c r="I19" s="12">
        <f t="shared" si="0"/>
        <v>730</v>
      </c>
      <c r="J19" s="11" t="s">
        <v>4212</v>
      </c>
      <c r="K19" s="11" t="s">
        <v>33</v>
      </c>
      <c r="L19" s="11" t="s">
        <v>4213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4334</v>
      </c>
      <c r="D20" s="11" t="s">
        <v>4335</v>
      </c>
      <c r="E20" s="11" t="s">
        <v>3263</v>
      </c>
      <c r="F20" s="12">
        <v>6</v>
      </c>
      <c r="G20" s="12">
        <v>1115</v>
      </c>
      <c r="H20" s="12">
        <v>25</v>
      </c>
      <c r="I20" s="12">
        <f t="shared" si="0"/>
        <v>1090</v>
      </c>
      <c r="J20" s="11" t="s">
        <v>4212</v>
      </c>
      <c r="K20" s="11" t="s">
        <v>33</v>
      </c>
      <c r="L20" s="11" t="s">
        <v>4213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4339</v>
      </c>
      <c r="D21" s="11" t="s">
        <v>4340</v>
      </c>
      <c r="E21" s="11" t="s">
        <v>4341</v>
      </c>
      <c r="F21" s="12">
        <v>7</v>
      </c>
      <c r="G21" s="12">
        <v>1410</v>
      </c>
      <c r="H21" s="12">
        <v>30</v>
      </c>
      <c r="I21" s="12">
        <f t="shared" si="0"/>
        <v>1380</v>
      </c>
      <c r="J21" s="11" t="s">
        <v>4212</v>
      </c>
      <c r="K21" s="11" t="s">
        <v>33</v>
      </c>
      <c r="L21" s="11" t="s">
        <v>4213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4342</v>
      </c>
      <c r="D22" s="11" t="s">
        <v>4343</v>
      </c>
      <c r="E22" s="11" t="s">
        <v>4344</v>
      </c>
      <c r="F22" s="12">
        <v>9</v>
      </c>
      <c r="G22" s="12">
        <v>520</v>
      </c>
      <c r="H22" s="12">
        <v>30</v>
      </c>
      <c r="I22" s="12">
        <f t="shared" si="0"/>
        <v>490</v>
      </c>
      <c r="J22" s="11" t="s">
        <v>4212</v>
      </c>
      <c r="K22" s="11" t="s">
        <v>33</v>
      </c>
      <c r="L22" s="11" t="s">
        <v>4213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4345</v>
      </c>
      <c r="D23" s="11" t="s">
        <v>4346</v>
      </c>
      <c r="E23" s="11" t="s">
        <v>4347</v>
      </c>
      <c r="F23" s="12">
        <v>6</v>
      </c>
      <c r="G23" s="12">
        <v>1205</v>
      </c>
      <c r="H23" s="12">
        <v>25</v>
      </c>
      <c r="I23" s="12">
        <f t="shared" si="0"/>
        <v>1180</v>
      </c>
      <c r="J23" s="11" t="s">
        <v>4212</v>
      </c>
      <c r="K23" s="11" t="s">
        <v>33</v>
      </c>
      <c r="L23" s="11" t="s">
        <v>4213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4358</v>
      </c>
      <c r="D24" s="11" t="s">
        <v>4359</v>
      </c>
      <c r="E24" s="11" t="s">
        <v>4360</v>
      </c>
      <c r="F24" s="12">
        <v>12</v>
      </c>
      <c r="G24" s="12">
        <v>2178</v>
      </c>
      <c r="H24" s="12">
        <v>35</v>
      </c>
      <c r="I24" s="12">
        <f t="shared" si="0"/>
        <v>2143</v>
      </c>
      <c r="J24" s="11" t="s">
        <v>4212</v>
      </c>
      <c r="K24" s="11" t="s">
        <v>33</v>
      </c>
      <c r="L24" s="11" t="s">
        <v>4213</v>
      </c>
      <c r="M24" s="24" t="s">
        <v>340</v>
      </c>
      <c r="N24" s="11"/>
      <c r="O24" s="11"/>
      <c r="P24" s="11"/>
      <c r="Q24" s="11">
        <v>1</v>
      </c>
      <c r="R24" s="5">
        <f>H24</f>
        <v>35</v>
      </c>
    </row>
    <row r="25" spans="1:18" x14ac:dyDescent="0.25">
      <c r="A25" s="11"/>
      <c r="B25" s="11" t="s">
        <v>27</v>
      </c>
      <c r="C25" s="11" t="s">
        <v>4364</v>
      </c>
      <c r="D25" s="11" t="s">
        <v>4365</v>
      </c>
      <c r="E25" s="11" t="s">
        <v>4366</v>
      </c>
      <c r="F25" s="11" t="s">
        <v>202</v>
      </c>
      <c r="G25" s="12">
        <v>1115</v>
      </c>
      <c r="H25" s="12">
        <v>35</v>
      </c>
      <c r="I25" s="12">
        <f t="shared" si="0"/>
        <v>1080</v>
      </c>
      <c r="J25" s="11" t="s">
        <v>4212</v>
      </c>
      <c r="K25" s="11" t="s">
        <v>33</v>
      </c>
      <c r="L25" s="11" t="s">
        <v>4213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4373</v>
      </c>
      <c r="D26" s="11" t="s">
        <v>4374</v>
      </c>
      <c r="E26" s="11" t="s">
        <v>4375</v>
      </c>
      <c r="F26" s="11" t="s">
        <v>55</v>
      </c>
      <c r="G26" s="12">
        <v>1275</v>
      </c>
      <c r="H26" s="12">
        <v>35</v>
      </c>
      <c r="I26" s="12">
        <f t="shared" si="0"/>
        <v>1240</v>
      </c>
      <c r="J26" s="11" t="s">
        <v>4212</v>
      </c>
      <c r="K26" s="11" t="s">
        <v>33</v>
      </c>
      <c r="L26" s="11" t="s">
        <v>4213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4376</v>
      </c>
      <c r="D27" s="11" t="s">
        <v>4377</v>
      </c>
      <c r="E27" s="11" t="s">
        <v>4378</v>
      </c>
      <c r="F27" s="11" t="s">
        <v>31</v>
      </c>
      <c r="G27" s="12">
        <v>615</v>
      </c>
      <c r="H27" s="12">
        <v>25</v>
      </c>
      <c r="I27" s="12">
        <f t="shared" si="0"/>
        <v>590</v>
      </c>
      <c r="J27" s="11" t="s">
        <v>4212</v>
      </c>
      <c r="K27" s="11" t="s">
        <v>33</v>
      </c>
      <c r="L27" s="11" t="s">
        <v>4213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4379</v>
      </c>
      <c r="D28" s="11" t="s">
        <v>4380</v>
      </c>
      <c r="E28" s="11" t="s">
        <v>4381</v>
      </c>
      <c r="F28" s="12">
        <v>7</v>
      </c>
      <c r="G28" s="12">
        <v>520</v>
      </c>
      <c r="H28" s="12">
        <v>30</v>
      </c>
      <c r="I28" s="12">
        <f t="shared" si="0"/>
        <v>490</v>
      </c>
      <c r="J28" s="11" t="s">
        <v>4212</v>
      </c>
      <c r="K28" s="11" t="s">
        <v>33</v>
      </c>
      <c r="L28" s="11" t="s">
        <v>4213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4382</v>
      </c>
      <c r="D29" s="11" t="s">
        <v>4383</v>
      </c>
      <c r="E29" s="11" t="s">
        <v>4384</v>
      </c>
      <c r="F29" s="11" t="s">
        <v>31</v>
      </c>
      <c r="G29" s="12">
        <v>615</v>
      </c>
      <c r="H29" s="12">
        <v>25</v>
      </c>
      <c r="I29" s="12">
        <f t="shared" si="0"/>
        <v>590</v>
      </c>
      <c r="J29" s="11" t="s">
        <v>4212</v>
      </c>
      <c r="K29" s="11" t="s">
        <v>33</v>
      </c>
      <c r="L29" s="11" t="s">
        <v>4213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4385</v>
      </c>
      <c r="D30" s="11" t="s">
        <v>4386</v>
      </c>
      <c r="E30" s="11" t="s">
        <v>4387</v>
      </c>
      <c r="F30" s="12">
        <v>11</v>
      </c>
      <c r="G30" s="12">
        <v>588</v>
      </c>
      <c r="H30" s="12">
        <v>25</v>
      </c>
      <c r="I30" s="12">
        <f t="shared" si="0"/>
        <v>563</v>
      </c>
      <c r="J30" s="11" t="s">
        <v>4212</v>
      </c>
      <c r="K30" s="11" t="s">
        <v>33</v>
      </c>
      <c r="L30" s="11" t="s">
        <v>4213</v>
      </c>
      <c r="M30" s="24" t="s">
        <v>340</v>
      </c>
      <c r="N30" s="11"/>
      <c r="O30" s="11"/>
      <c r="P30" s="11"/>
      <c r="Q30" s="11">
        <v>1</v>
      </c>
      <c r="R30" s="5">
        <f>H30</f>
        <v>25</v>
      </c>
    </row>
    <row r="31" spans="1:18" x14ac:dyDescent="0.25">
      <c r="A31" s="11"/>
      <c r="B31" s="11" t="s">
        <v>27</v>
      </c>
      <c r="C31" s="11" t="s">
        <v>4397</v>
      </c>
      <c r="D31" s="11" t="s">
        <v>4398</v>
      </c>
      <c r="E31" s="11" t="s">
        <v>4399</v>
      </c>
      <c r="F31" s="12">
        <v>12</v>
      </c>
      <c r="G31" s="12">
        <v>130</v>
      </c>
      <c r="H31" s="12">
        <v>30</v>
      </c>
      <c r="I31" s="12">
        <f t="shared" si="0"/>
        <v>100</v>
      </c>
      <c r="J31" s="11" t="s">
        <v>4212</v>
      </c>
      <c r="K31" s="11" t="s">
        <v>33</v>
      </c>
      <c r="L31" s="11" t="s">
        <v>4213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4403</v>
      </c>
      <c r="D32" s="11" t="s">
        <v>4404</v>
      </c>
      <c r="E32" s="11" t="s">
        <v>4405</v>
      </c>
      <c r="F32" s="11" t="s">
        <v>48</v>
      </c>
      <c r="G32" s="12">
        <v>720</v>
      </c>
      <c r="H32" s="12">
        <v>30</v>
      </c>
      <c r="I32" s="12">
        <f t="shared" si="0"/>
        <v>690</v>
      </c>
      <c r="J32" s="11" t="s">
        <v>4212</v>
      </c>
      <c r="K32" s="11" t="s">
        <v>33</v>
      </c>
      <c r="L32" s="11" t="s">
        <v>4213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4414</v>
      </c>
      <c r="D33" s="11" t="s">
        <v>4415</v>
      </c>
      <c r="E33" s="11" t="s">
        <v>4416</v>
      </c>
      <c r="F33" s="12">
        <v>9</v>
      </c>
      <c r="G33" s="12">
        <v>848</v>
      </c>
      <c r="H33" s="12">
        <v>30</v>
      </c>
      <c r="I33" s="12">
        <f t="shared" si="0"/>
        <v>818</v>
      </c>
      <c r="J33" s="11" t="s">
        <v>4212</v>
      </c>
      <c r="K33" s="11" t="s">
        <v>33</v>
      </c>
      <c r="L33" s="11" t="s">
        <v>4213</v>
      </c>
      <c r="M33" s="24" t="s">
        <v>340</v>
      </c>
      <c r="N33" s="11"/>
      <c r="O33" s="11"/>
      <c r="P33" s="11"/>
      <c r="Q33" s="11">
        <v>1</v>
      </c>
      <c r="R33" s="5">
        <f>H33</f>
        <v>30</v>
      </c>
    </row>
    <row r="34" spans="1:18" x14ac:dyDescent="0.25">
      <c r="A34" s="11"/>
      <c r="B34" s="11" t="s">
        <v>27</v>
      </c>
      <c r="C34" s="11" t="s">
        <v>4417</v>
      </c>
      <c r="D34" s="11" t="s">
        <v>4418</v>
      </c>
      <c r="E34" s="11" t="s">
        <v>4419</v>
      </c>
      <c r="F34" s="12">
        <v>7</v>
      </c>
      <c r="G34" s="12">
        <v>360</v>
      </c>
      <c r="H34" s="12">
        <v>30</v>
      </c>
      <c r="I34" s="12">
        <f t="shared" si="0"/>
        <v>330</v>
      </c>
      <c r="J34" s="11" t="s">
        <v>4212</v>
      </c>
      <c r="K34" s="11" t="s">
        <v>33</v>
      </c>
      <c r="L34" s="11" t="s">
        <v>4213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4420</v>
      </c>
      <c r="D35" s="11" t="s">
        <v>4421</v>
      </c>
      <c r="E35" s="11" t="s">
        <v>1426</v>
      </c>
      <c r="F35" s="12">
        <v>8</v>
      </c>
      <c r="G35" s="12">
        <v>400</v>
      </c>
      <c r="H35" s="12">
        <v>30</v>
      </c>
      <c r="I35" s="12">
        <f t="shared" ref="I35:I66" si="1">G35-H35</f>
        <v>370</v>
      </c>
      <c r="J35" s="11" t="s">
        <v>4212</v>
      </c>
      <c r="K35" s="11" t="s">
        <v>33</v>
      </c>
      <c r="L35" s="11" t="s">
        <v>4213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4424</v>
      </c>
      <c r="D36" s="11" t="s">
        <v>4425</v>
      </c>
      <c r="E36" s="11" t="s">
        <v>4426</v>
      </c>
      <c r="F36" s="12">
        <v>9</v>
      </c>
      <c r="G36" s="12">
        <v>158</v>
      </c>
      <c r="H36" s="12">
        <v>30</v>
      </c>
      <c r="I36" s="12">
        <f t="shared" si="1"/>
        <v>128</v>
      </c>
      <c r="J36" s="11" t="s">
        <v>4212</v>
      </c>
      <c r="K36" s="11" t="s">
        <v>33</v>
      </c>
      <c r="L36" s="11" t="s">
        <v>4213</v>
      </c>
      <c r="M36" s="24" t="s">
        <v>340</v>
      </c>
      <c r="N36" s="11"/>
      <c r="O36" s="11"/>
      <c r="P36" s="11"/>
      <c r="Q36" s="11">
        <v>1</v>
      </c>
      <c r="R36" s="5">
        <f>H36</f>
        <v>30</v>
      </c>
    </row>
    <row r="37" spans="1:18" x14ac:dyDescent="0.25">
      <c r="A37" s="11"/>
      <c r="B37" s="11" t="s">
        <v>27</v>
      </c>
      <c r="C37" s="11" t="s">
        <v>4433</v>
      </c>
      <c r="D37" s="11" t="s">
        <v>4434</v>
      </c>
      <c r="E37" s="11" t="s">
        <v>4435</v>
      </c>
      <c r="F37" s="11" t="s">
        <v>104</v>
      </c>
      <c r="G37" s="12">
        <v>750</v>
      </c>
      <c r="H37" s="12">
        <v>30</v>
      </c>
      <c r="I37" s="12">
        <f t="shared" si="1"/>
        <v>720</v>
      </c>
      <c r="J37" s="11" t="s">
        <v>4212</v>
      </c>
      <c r="K37" s="11" t="s">
        <v>33</v>
      </c>
      <c r="L37" s="11" t="s">
        <v>4213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4443</v>
      </c>
      <c r="D38" s="11" t="s">
        <v>4444</v>
      </c>
      <c r="E38" s="11" t="s">
        <v>4445</v>
      </c>
      <c r="F38" s="12">
        <v>7</v>
      </c>
      <c r="G38" s="12">
        <v>520</v>
      </c>
      <c r="H38" s="12">
        <v>30</v>
      </c>
      <c r="I38" s="12">
        <f t="shared" si="1"/>
        <v>490</v>
      </c>
      <c r="J38" s="11" t="s">
        <v>4212</v>
      </c>
      <c r="K38" s="11" t="s">
        <v>33</v>
      </c>
      <c r="L38" s="11" t="s">
        <v>4213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3607</v>
      </c>
      <c r="D39" s="11" t="s">
        <v>4446</v>
      </c>
      <c r="E39" s="11" t="s">
        <v>4447</v>
      </c>
      <c r="F39" s="12">
        <v>12</v>
      </c>
      <c r="G39" s="12">
        <v>520</v>
      </c>
      <c r="H39" s="12">
        <v>30</v>
      </c>
      <c r="I39" s="12">
        <f t="shared" si="1"/>
        <v>490</v>
      </c>
      <c r="J39" s="11" t="s">
        <v>4212</v>
      </c>
      <c r="K39" s="11" t="s">
        <v>33</v>
      </c>
      <c r="L39" s="11" t="s">
        <v>4213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4448</v>
      </c>
      <c r="D40" s="11" t="s">
        <v>4449</v>
      </c>
      <c r="E40" s="11" t="s">
        <v>4450</v>
      </c>
      <c r="F40" s="11" t="s">
        <v>31</v>
      </c>
      <c r="G40" s="12">
        <v>515</v>
      </c>
      <c r="H40" s="12">
        <v>25</v>
      </c>
      <c r="I40" s="12">
        <f t="shared" si="1"/>
        <v>490</v>
      </c>
      <c r="J40" s="11" t="s">
        <v>4212</v>
      </c>
      <c r="K40" s="11" t="s">
        <v>33</v>
      </c>
      <c r="L40" s="11" t="s">
        <v>4213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4451</v>
      </c>
      <c r="D41" s="11" t="s">
        <v>4452</v>
      </c>
      <c r="E41" s="11" t="s">
        <v>4453</v>
      </c>
      <c r="F41" s="12">
        <v>9</v>
      </c>
      <c r="G41" s="12">
        <v>520</v>
      </c>
      <c r="H41" s="12">
        <v>30</v>
      </c>
      <c r="I41" s="12">
        <f t="shared" si="1"/>
        <v>490</v>
      </c>
      <c r="J41" s="11" t="s">
        <v>4212</v>
      </c>
      <c r="K41" s="11" t="s">
        <v>33</v>
      </c>
      <c r="L41" s="11" t="s">
        <v>4213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4457</v>
      </c>
      <c r="D42" s="11" t="s">
        <v>4458</v>
      </c>
      <c r="E42" s="11" t="s">
        <v>4459</v>
      </c>
      <c r="F42" s="12">
        <v>7</v>
      </c>
      <c r="G42" s="12">
        <v>530</v>
      </c>
      <c r="H42" s="12">
        <v>30</v>
      </c>
      <c r="I42" s="12">
        <f t="shared" si="1"/>
        <v>500</v>
      </c>
      <c r="J42" s="11" t="s">
        <v>4212</v>
      </c>
      <c r="K42" s="11" t="s">
        <v>33</v>
      </c>
      <c r="L42" s="11" t="s">
        <v>4213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4463</v>
      </c>
      <c r="D43" s="11" t="s">
        <v>4464</v>
      </c>
      <c r="E43" s="11" t="s">
        <v>4465</v>
      </c>
      <c r="F43" s="12">
        <v>7</v>
      </c>
      <c r="G43" s="12">
        <v>418</v>
      </c>
      <c r="H43" s="12">
        <v>30</v>
      </c>
      <c r="I43" s="12">
        <f t="shared" si="1"/>
        <v>388</v>
      </c>
      <c r="J43" s="11" t="s">
        <v>4212</v>
      </c>
      <c r="K43" s="11" t="s">
        <v>33</v>
      </c>
      <c r="L43" s="11" t="s">
        <v>4213</v>
      </c>
      <c r="M43" s="24" t="s">
        <v>340</v>
      </c>
      <c r="N43" s="11"/>
      <c r="O43" s="11"/>
      <c r="P43" s="11"/>
      <c r="Q43" s="11">
        <v>1</v>
      </c>
      <c r="R43" s="5">
        <f>H43</f>
        <v>30</v>
      </c>
    </row>
    <row r="44" spans="1:18" x14ac:dyDescent="0.25">
      <c r="A44" s="11"/>
      <c r="B44" s="11" t="s">
        <v>27</v>
      </c>
      <c r="C44" s="11" t="s">
        <v>4469</v>
      </c>
      <c r="D44" s="11" t="s">
        <v>4470</v>
      </c>
      <c r="E44" s="11" t="s">
        <v>4471</v>
      </c>
      <c r="F44" s="12">
        <v>9</v>
      </c>
      <c r="G44" s="12">
        <v>570</v>
      </c>
      <c r="H44" s="12">
        <v>30</v>
      </c>
      <c r="I44" s="12">
        <f t="shared" si="1"/>
        <v>540</v>
      </c>
      <c r="J44" s="11" t="s">
        <v>4212</v>
      </c>
      <c r="K44" s="11" t="s">
        <v>33</v>
      </c>
      <c r="L44" s="11" t="s">
        <v>4213</v>
      </c>
      <c r="M44" s="11"/>
      <c r="N44" s="11"/>
      <c r="O44" s="11"/>
      <c r="P44" s="11"/>
      <c r="Q44" s="11">
        <v>1</v>
      </c>
    </row>
    <row r="45" spans="1:18" x14ac:dyDescent="0.25">
      <c r="A45" s="11"/>
      <c r="B45" s="11" t="s">
        <v>27</v>
      </c>
      <c r="C45" s="11" t="s">
        <v>4472</v>
      </c>
      <c r="D45" s="11" t="s">
        <v>4473</v>
      </c>
      <c r="E45" s="11" t="s">
        <v>4474</v>
      </c>
      <c r="F45" s="11" t="s">
        <v>202</v>
      </c>
      <c r="G45" s="12">
        <v>415</v>
      </c>
      <c r="H45" s="12">
        <v>35</v>
      </c>
      <c r="I45" s="12">
        <f t="shared" si="1"/>
        <v>380</v>
      </c>
      <c r="J45" s="11" t="s">
        <v>4212</v>
      </c>
      <c r="K45" s="11" t="s">
        <v>33</v>
      </c>
      <c r="L45" s="11" t="s">
        <v>4213</v>
      </c>
      <c r="M45" s="11"/>
      <c r="N45" s="11"/>
      <c r="O45" s="11"/>
      <c r="P45" s="11"/>
      <c r="Q45" s="11">
        <v>1</v>
      </c>
    </row>
    <row r="46" spans="1:18" x14ac:dyDescent="0.25">
      <c r="A46" s="11"/>
      <c r="B46" s="11" t="s">
        <v>27</v>
      </c>
      <c r="C46" s="11" t="s">
        <v>4475</v>
      </c>
      <c r="D46" s="11" t="s">
        <v>4476</v>
      </c>
      <c r="E46" s="11" t="s">
        <v>4477</v>
      </c>
      <c r="F46" s="12">
        <v>12</v>
      </c>
      <c r="G46" s="12">
        <v>420</v>
      </c>
      <c r="H46" s="12">
        <v>30</v>
      </c>
      <c r="I46" s="12">
        <f t="shared" si="1"/>
        <v>390</v>
      </c>
      <c r="J46" s="11" t="s">
        <v>4212</v>
      </c>
      <c r="K46" s="11" t="s">
        <v>33</v>
      </c>
      <c r="L46" s="11" t="s">
        <v>4213</v>
      </c>
      <c r="M46" s="11"/>
      <c r="N46" s="11"/>
      <c r="O46" s="11"/>
      <c r="P46" s="11"/>
      <c r="Q46" s="11">
        <v>1</v>
      </c>
    </row>
    <row r="47" spans="1:18" x14ac:dyDescent="0.25">
      <c r="A47" s="11"/>
      <c r="B47" s="11" t="s">
        <v>27</v>
      </c>
      <c r="C47" s="11" t="s">
        <v>4480</v>
      </c>
      <c r="D47" s="11" t="s">
        <v>4481</v>
      </c>
      <c r="E47" s="11" t="s">
        <v>4482</v>
      </c>
      <c r="F47" s="12">
        <v>9</v>
      </c>
      <c r="G47" s="12">
        <v>330</v>
      </c>
      <c r="H47" s="12">
        <v>30</v>
      </c>
      <c r="I47" s="12">
        <f t="shared" si="1"/>
        <v>300</v>
      </c>
      <c r="J47" s="11" t="s">
        <v>4212</v>
      </c>
      <c r="K47" s="11" t="s">
        <v>33</v>
      </c>
      <c r="L47" s="11" t="s">
        <v>4213</v>
      </c>
      <c r="M47" s="11"/>
      <c r="N47" s="11"/>
      <c r="O47" s="11"/>
      <c r="P47" s="11"/>
      <c r="Q47" s="11">
        <v>1</v>
      </c>
    </row>
    <row r="48" spans="1:18" x14ac:dyDescent="0.25">
      <c r="A48" s="11"/>
      <c r="B48" s="11" t="s">
        <v>27</v>
      </c>
      <c r="C48" s="11" t="s">
        <v>2236</v>
      </c>
      <c r="D48" s="11" t="s">
        <v>4488</v>
      </c>
      <c r="E48" s="11" t="s">
        <v>4489</v>
      </c>
      <c r="F48" s="12">
        <v>12</v>
      </c>
      <c r="G48" s="12">
        <v>230</v>
      </c>
      <c r="H48" s="12">
        <v>30</v>
      </c>
      <c r="I48" s="12">
        <f t="shared" si="1"/>
        <v>200</v>
      </c>
      <c r="J48" s="11" t="s">
        <v>4212</v>
      </c>
      <c r="K48" s="11" t="s">
        <v>33</v>
      </c>
      <c r="L48" s="11" t="s">
        <v>4213</v>
      </c>
      <c r="M48" s="11"/>
      <c r="N48" s="11"/>
      <c r="O48" s="11"/>
      <c r="P48" s="11"/>
      <c r="Q48" s="11">
        <v>1</v>
      </c>
    </row>
    <row r="49" spans="1:18" x14ac:dyDescent="0.25">
      <c r="A49" s="11"/>
      <c r="B49" s="11" t="s">
        <v>27</v>
      </c>
      <c r="C49" s="11" t="s">
        <v>4493</v>
      </c>
      <c r="D49" s="11" t="s">
        <v>4494</v>
      </c>
      <c r="E49" s="11" t="s">
        <v>4495</v>
      </c>
      <c r="F49" s="12">
        <v>6</v>
      </c>
      <c r="G49" s="12">
        <v>418</v>
      </c>
      <c r="H49" s="12">
        <v>25</v>
      </c>
      <c r="I49" s="12">
        <f t="shared" si="1"/>
        <v>393</v>
      </c>
      <c r="J49" s="11" t="s">
        <v>4212</v>
      </c>
      <c r="K49" s="11" t="s">
        <v>33</v>
      </c>
      <c r="L49" s="11" t="s">
        <v>4213</v>
      </c>
      <c r="M49" s="24" t="s">
        <v>340</v>
      </c>
      <c r="N49" s="11"/>
      <c r="O49" s="11"/>
      <c r="P49" s="11"/>
      <c r="Q49" s="11">
        <v>1</v>
      </c>
      <c r="R49" s="5">
        <f>H49</f>
        <v>25</v>
      </c>
    </row>
    <row r="50" spans="1:18" x14ac:dyDescent="0.25">
      <c r="A50" s="11"/>
      <c r="B50" s="11" t="s">
        <v>27</v>
      </c>
      <c r="C50" s="11" t="s">
        <v>4496</v>
      </c>
      <c r="D50" s="11" t="s">
        <v>4497</v>
      </c>
      <c r="E50" s="11" t="s">
        <v>4498</v>
      </c>
      <c r="F50" s="11" t="s">
        <v>48</v>
      </c>
      <c r="G50" s="12">
        <v>1410</v>
      </c>
      <c r="H50" s="12">
        <v>30</v>
      </c>
      <c r="I50" s="12">
        <f t="shared" si="1"/>
        <v>1380</v>
      </c>
      <c r="J50" s="11" t="s">
        <v>4212</v>
      </c>
      <c r="K50" s="11" t="s">
        <v>33</v>
      </c>
      <c r="L50" s="11" t="s">
        <v>4213</v>
      </c>
      <c r="M50" s="11"/>
      <c r="N50" s="11"/>
      <c r="O50" s="11"/>
      <c r="P50" s="11"/>
      <c r="Q50" s="11">
        <v>1</v>
      </c>
    </row>
    <row r="51" spans="1:18" x14ac:dyDescent="0.25">
      <c r="A51" s="11"/>
      <c r="B51" s="11" t="s">
        <v>27</v>
      </c>
      <c r="C51" s="11" t="s">
        <v>4513</v>
      </c>
      <c r="D51" s="11" t="s">
        <v>4514</v>
      </c>
      <c r="E51" s="11" t="s">
        <v>4515</v>
      </c>
      <c r="F51" s="11" t="s">
        <v>31</v>
      </c>
      <c r="G51" s="12">
        <v>615</v>
      </c>
      <c r="H51" s="12">
        <v>25</v>
      </c>
      <c r="I51" s="12">
        <f t="shared" si="1"/>
        <v>590</v>
      </c>
      <c r="J51" s="11" t="s">
        <v>4212</v>
      </c>
      <c r="K51" s="11" t="s">
        <v>33</v>
      </c>
      <c r="L51" s="11" t="s">
        <v>4213</v>
      </c>
      <c r="M51" s="11"/>
      <c r="N51" s="11"/>
      <c r="O51" s="11"/>
      <c r="P51" s="11"/>
      <c r="Q51" s="11">
        <v>1</v>
      </c>
    </row>
    <row r="52" spans="1:18" x14ac:dyDescent="0.25">
      <c r="A52" s="11"/>
      <c r="B52" s="11" t="s">
        <v>27</v>
      </c>
      <c r="C52" s="11" t="s">
        <v>4516</v>
      </c>
      <c r="D52" s="11" t="s">
        <v>4517</v>
      </c>
      <c r="E52" s="11" t="s">
        <v>4518</v>
      </c>
      <c r="F52" s="11" t="s">
        <v>31</v>
      </c>
      <c r="G52" s="12">
        <v>1065</v>
      </c>
      <c r="H52" s="12">
        <v>25</v>
      </c>
      <c r="I52" s="12">
        <f t="shared" si="1"/>
        <v>1040</v>
      </c>
      <c r="J52" s="11" t="s">
        <v>4212</v>
      </c>
      <c r="K52" s="11" t="s">
        <v>33</v>
      </c>
      <c r="L52" s="11" t="s">
        <v>4213</v>
      </c>
      <c r="M52" s="11"/>
      <c r="N52" s="11"/>
      <c r="O52" s="11"/>
      <c r="P52" s="11"/>
      <c r="Q52" s="11">
        <v>1</v>
      </c>
    </row>
    <row r="53" spans="1:18" x14ac:dyDescent="0.25">
      <c r="A53" s="11"/>
      <c r="B53" s="11" t="s">
        <v>27</v>
      </c>
      <c r="C53" s="11" t="s">
        <v>4521</v>
      </c>
      <c r="D53" s="11" t="s">
        <v>4522</v>
      </c>
      <c r="E53" s="11" t="s">
        <v>4523</v>
      </c>
      <c r="F53" s="12">
        <v>6</v>
      </c>
      <c r="G53" s="12">
        <v>845</v>
      </c>
      <c r="H53" s="12">
        <v>25</v>
      </c>
      <c r="I53" s="12">
        <f t="shared" si="1"/>
        <v>820</v>
      </c>
      <c r="J53" s="11" t="s">
        <v>4212</v>
      </c>
      <c r="K53" s="11" t="s">
        <v>33</v>
      </c>
      <c r="L53" s="11" t="s">
        <v>4213</v>
      </c>
      <c r="M53" s="11"/>
      <c r="N53" s="11"/>
      <c r="O53" s="11"/>
      <c r="P53" s="11"/>
      <c r="Q53" s="11">
        <v>1</v>
      </c>
    </row>
    <row r="54" spans="1:18" x14ac:dyDescent="0.25">
      <c r="A54" s="11"/>
      <c r="B54" s="11" t="s">
        <v>27</v>
      </c>
      <c r="C54" s="11" t="s">
        <v>4530</v>
      </c>
      <c r="D54" s="11" t="s">
        <v>4531</v>
      </c>
      <c r="E54" s="11" t="s">
        <v>4532</v>
      </c>
      <c r="F54" s="12">
        <v>12</v>
      </c>
      <c r="G54" s="12">
        <v>1668</v>
      </c>
      <c r="H54" s="12">
        <v>30</v>
      </c>
      <c r="I54" s="12">
        <f t="shared" si="1"/>
        <v>1638</v>
      </c>
      <c r="J54" s="11" t="s">
        <v>4212</v>
      </c>
      <c r="K54" s="11" t="s">
        <v>33</v>
      </c>
      <c r="L54" s="11" t="s">
        <v>4213</v>
      </c>
      <c r="M54" s="24" t="s">
        <v>340</v>
      </c>
      <c r="N54" s="11"/>
      <c r="O54" s="11"/>
      <c r="P54" s="11"/>
      <c r="Q54" s="11">
        <v>1</v>
      </c>
      <c r="R54" s="5">
        <f>H54</f>
        <v>30</v>
      </c>
    </row>
    <row r="55" spans="1:18" x14ac:dyDescent="0.25">
      <c r="A55" s="11"/>
      <c r="B55" s="11" t="s">
        <v>27</v>
      </c>
      <c r="C55" s="11" t="s">
        <v>4536</v>
      </c>
      <c r="D55" s="11" t="s">
        <v>4537</v>
      </c>
      <c r="E55" s="11" t="s">
        <v>4538</v>
      </c>
      <c r="F55" s="12">
        <v>9</v>
      </c>
      <c r="G55" s="12">
        <v>400</v>
      </c>
      <c r="H55" s="12">
        <v>30</v>
      </c>
      <c r="I55" s="12">
        <f t="shared" si="1"/>
        <v>370</v>
      </c>
      <c r="J55" s="11" t="s">
        <v>4212</v>
      </c>
      <c r="K55" s="11" t="s">
        <v>33</v>
      </c>
      <c r="L55" s="11" t="s">
        <v>4213</v>
      </c>
      <c r="M55" s="11"/>
      <c r="N55" s="11"/>
      <c r="O55" s="11"/>
      <c r="P55" s="11"/>
      <c r="Q55" s="11">
        <v>1</v>
      </c>
    </row>
    <row r="56" spans="1:18" x14ac:dyDescent="0.25">
      <c r="A56" s="11"/>
      <c r="B56" s="11" t="s">
        <v>27</v>
      </c>
      <c r="C56" s="11" t="s">
        <v>4547</v>
      </c>
      <c r="D56" s="11" t="s">
        <v>4548</v>
      </c>
      <c r="E56" s="11" t="s">
        <v>1972</v>
      </c>
      <c r="F56" s="12">
        <v>8</v>
      </c>
      <c r="G56" s="12">
        <v>570</v>
      </c>
      <c r="H56" s="12">
        <v>30</v>
      </c>
      <c r="I56" s="12">
        <f t="shared" si="1"/>
        <v>540</v>
      </c>
      <c r="J56" s="11" t="s">
        <v>4212</v>
      </c>
      <c r="K56" s="11" t="s">
        <v>33</v>
      </c>
      <c r="L56" s="11" t="s">
        <v>4213</v>
      </c>
      <c r="M56" s="11"/>
      <c r="N56" s="11"/>
      <c r="O56" s="11"/>
      <c r="P56" s="11"/>
      <c r="Q56" s="11">
        <v>1</v>
      </c>
    </row>
    <row r="57" spans="1:18" x14ac:dyDescent="0.25">
      <c r="A57" s="11"/>
      <c r="B57" s="11" t="s">
        <v>27</v>
      </c>
      <c r="C57" s="11" t="s">
        <v>4549</v>
      </c>
      <c r="D57" s="11" t="s">
        <v>4550</v>
      </c>
      <c r="E57" s="11" t="s">
        <v>4551</v>
      </c>
      <c r="F57" s="11" t="s">
        <v>48</v>
      </c>
      <c r="G57" s="12">
        <v>1060</v>
      </c>
      <c r="H57" s="12">
        <v>30</v>
      </c>
      <c r="I57" s="12">
        <f t="shared" si="1"/>
        <v>1030</v>
      </c>
      <c r="J57" s="11" t="s">
        <v>4212</v>
      </c>
      <c r="K57" s="11" t="s">
        <v>33</v>
      </c>
      <c r="L57" s="11" t="s">
        <v>4213</v>
      </c>
      <c r="M57" s="11"/>
      <c r="N57" s="11"/>
      <c r="O57" s="11"/>
      <c r="P57" s="11"/>
      <c r="Q57" s="11">
        <v>1</v>
      </c>
    </row>
    <row r="58" spans="1:18" x14ac:dyDescent="0.25">
      <c r="A58" s="11"/>
      <c r="B58" s="11" t="s">
        <v>27</v>
      </c>
      <c r="C58" s="11" t="s">
        <v>4555</v>
      </c>
      <c r="D58" s="11" t="s">
        <v>4556</v>
      </c>
      <c r="E58" s="11" t="s">
        <v>4557</v>
      </c>
      <c r="F58" s="11" t="s">
        <v>202</v>
      </c>
      <c r="G58" s="12">
        <v>1265</v>
      </c>
      <c r="H58" s="12">
        <v>35</v>
      </c>
      <c r="I58" s="12">
        <f t="shared" si="1"/>
        <v>1230</v>
      </c>
      <c r="J58" s="11" t="s">
        <v>4212</v>
      </c>
      <c r="K58" s="11" t="s">
        <v>33</v>
      </c>
      <c r="L58" s="11" t="s">
        <v>4213</v>
      </c>
      <c r="M58" s="11"/>
      <c r="N58" s="11"/>
      <c r="O58" s="11"/>
      <c r="P58" s="11"/>
      <c r="Q58" s="11">
        <v>1</v>
      </c>
    </row>
    <row r="59" spans="1:18" x14ac:dyDescent="0.25">
      <c r="A59" s="11"/>
      <c r="B59" s="11" t="s">
        <v>27</v>
      </c>
      <c r="C59" s="11" t="s">
        <v>2112</v>
      </c>
      <c r="D59" s="11" t="s">
        <v>4560</v>
      </c>
      <c r="E59" s="11" t="s">
        <v>2114</v>
      </c>
      <c r="F59" s="12">
        <v>6</v>
      </c>
      <c r="G59" s="12">
        <v>1205</v>
      </c>
      <c r="H59" s="12">
        <v>25</v>
      </c>
      <c r="I59" s="12">
        <f t="shared" si="1"/>
        <v>1180</v>
      </c>
      <c r="J59" s="11" t="s">
        <v>4212</v>
      </c>
      <c r="K59" s="11" t="s">
        <v>33</v>
      </c>
      <c r="L59" s="11" t="s">
        <v>4213</v>
      </c>
      <c r="M59" s="11"/>
      <c r="N59" s="11"/>
      <c r="O59" s="11"/>
      <c r="P59" s="11"/>
      <c r="Q59" s="11">
        <v>1</v>
      </c>
    </row>
    <row r="60" spans="1:18" x14ac:dyDescent="0.25">
      <c r="A60" s="11"/>
      <c r="B60" s="11" t="s">
        <v>27</v>
      </c>
      <c r="C60" s="11" t="s">
        <v>4563</v>
      </c>
      <c r="D60" s="11" t="s">
        <v>4564</v>
      </c>
      <c r="E60" s="11" t="s">
        <v>4565</v>
      </c>
      <c r="F60" s="12">
        <v>8</v>
      </c>
      <c r="G60" s="12">
        <v>400</v>
      </c>
      <c r="H60" s="12">
        <v>30</v>
      </c>
      <c r="I60" s="12">
        <f t="shared" si="1"/>
        <v>370</v>
      </c>
      <c r="J60" s="11" t="s">
        <v>4212</v>
      </c>
      <c r="K60" s="11" t="s">
        <v>33</v>
      </c>
      <c r="L60" s="11" t="s">
        <v>4213</v>
      </c>
      <c r="M60" s="11"/>
      <c r="N60" s="11"/>
      <c r="O60" s="11"/>
      <c r="P60" s="11"/>
      <c r="Q60" s="11">
        <v>1</v>
      </c>
    </row>
    <row r="61" spans="1:18" x14ac:dyDescent="0.25">
      <c r="A61" s="11"/>
      <c r="B61" s="11" t="s">
        <v>27</v>
      </c>
      <c r="C61" s="11" t="s">
        <v>257</v>
      </c>
      <c r="D61" s="11" t="s">
        <v>4572</v>
      </c>
      <c r="E61" s="11" t="s">
        <v>4573</v>
      </c>
      <c r="F61" s="11" t="s">
        <v>104</v>
      </c>
      <c r="G61" s="12">
        <v>830</v>
      </c>
      <c r="H61" s="12">
        <v>30</v>
      </c>
      <c r="I61" s="12">
        <f t="shared" si="1"/>
        <v>800</v>
      </c>
      <c r="J61" s="11" t="s">
        <v>4212</v>
      </c>
      <c r="K61" s="11" t="s">
        <v>33</v>
      </c>
      <c r="L61" s="11" t="s">
        <v>4213</v>
      </c>
      <c r="M61" s="11"/>
      <c r="N61" s="11"/>
      <c r="O61" s="11"/>
      <c r="P61" s="11"/>
      <c r="Q61" s="11">
        <v>1</v>
      </c>
    </row>
    <row r="62" spans="1:18" x14ac:dyDescent="0.25">
      <c r="A62" s="11"/>
      <c r="B62" s="11" t="s">
        <v>27</v>
      </c>
      <c r="C62" s="11" t="s">
        <v>4574</v>
      </c>
      <c r="D62" s="11" t="s">
        <v>4575</v>
      </c>
      <c r="E62" s="11" t="s">
        <v>4576</v>
      </c>
      <c r="F62" s="12">
        <v>12</v>
      </c>
      <c r="G62" s="12">
        <v>318</v>
      </c>
      <c r="H62" s="12">
        <v>30</v>
      </c>
      <c r="I62" s="12">
        <f t="shared" si="1"/>
        <v>288</v>
      </c>
      <c r="J62" s="11" t="s">
        <v>4212</v>
      </c>
      <c r="K62" s="11" t="s">
        <v>33</v>
      </c>
      <c r="L62" s="11" t="s">
        <v>4213</v>
      </c>
      <c r="M62" s="24" t="s">
        <v>340</v>
      </c>
      <c r="N62" s="11"/>
      <c r="O62" s="11"/>
      <c r="P62" s="11"/>
      <c r="Q62" s="11">
        <v>1</v>
      </c>
      <c r="R62" s="5">
        <f>H62</f>
        <v>30</v>
      </c>
    </row>
    <row r="63" spans="1:18" x14ac:dyDescent="0.25">
      <c r="A63" s="11"/>
      <c r="B63" s="11" t="s">
        <v>27</v>
      </c>
      <c r="C63" s="11" t="s">
        <v>4583</v>
      </c>
      <c r="D63" s="11" t="s">
        <v>4584</v>
      </c>
      <c r="E63" s="11" t="s">
        <v>4585</v>
      </c>
      <c r="F63" s="12">
        <v>12</v>
      </c>
      <c r="G63" s="12">
        <v>830</v>
      </c>
      <c r="H63" s="12">
        <v>30</v>
      </c>
      <c r="I63" s="12">
        <f t="shared" si="1"/>
        <v>800</v>
      </c>
      <c r="J63" s="11" t="s">
        <v>4212</v>
      </c>
      <c r="K63" s="11" t="s">
        <v>33</v>
      </c>
      <c r="L63" s="11" t="s">
        <v>4213</v>
      </c>
      <c r="M63" s="11"/>
      <c r="N63" s="11"/>
      <c r="O63" s="11"/>
      <c r="P63" s="11"/>
      <c r="Q63" s="11">
        <v>1</v>
      </c>
    </row>
    <row r="64" spans="1:18" x14ac:dyDescent="0.25">
      <c r="A64" s="11"/>
      <c r="B64" s="11" t="s">
        <v>27</v>
      </c>
      <c r="C64" s="11" t="s">
        <v>4226</v>
      </c>
      <c r="D64" s="11" t="s">
        <v>4227</v>
      </c>
      <c r="E64" s="11" t="s">
        <v>4228</v>
      </c>
      <c r="F64" s="11" t="s">
        <v>78</v>
      </c>
      <c r="G64" s="12">
        <v>700</v>
      </c>
      <c r="H64" s="12">
        <v>20</v>
      </c>
      <c r="I64" s="12">
        <f t="shared" si="1"/>
        <v>680</v>
      </c>
      <c r="J64" s="11" t="s">
        <v>33</v>
      </c>
      <c r="K64" s="11" t="s">
        <v>33</v>
      </c>
      <c r="L64" s="11" t="s">
        <v>4213</v>
      </c>
      <c r="M64" s="11"/>
      <c r="N64" s="11"/>
      <c r="O64" s="11"/>
      <c r="P64" s="11"/>
      <c r="Q64" s="11">
        <v>1</v>
      </c>
    </row>
    <row r="65" spans="1:17" x14ac:dyDescent="0.25">
      <c r="A65" s="11"/>
      <c r="B65" s="11" t="s">
        <v>27</v>
      </c>
      <c r="C65" s="11" t="s">
        <v>4229</v>
      </c>
      <c r="D65" s="11" t="s">
        <v>4230</v>
      </c>
      <c r="E65" s="11" t="s">
        <v>4231</v>
      </c>
      <c r="F65" s="11" t="s">
        <v>68</v>
      </c>
      <c r="G65" s="12">
        <v>605</v>
      </c>
      <c r="H65" s="12">
        <v>25</v>
      </c>
      <c r="I65" s="12">
        <f t="shared" si="1"/>
        <v>580</v>
      </c>
      <c r="J65" s="11" t="s">
        <v>33</v>
      </c>
      <c r="K65" s="11" t="s">
        <v>33</v>
      </c>
      <c r="L65" s="11" t="s">
        <v>4213</v>
      </c>
      <c r="M65" s="11"/>
      <c r="N65" s="11"/>
      <c r="O65" s="11"/>
      <c r="P65" s="11"/>
      <c r="Q65" s="11">
        <v>1</v>
      </c>
    </row>
    <row r="66" spans="1:17" x14ac:dyDescent="0.25">
      <c r="A66" s="11"/>
      <c r="B66" s="11" t="s">
        <v>27</v>
      </c>
      <c r="C66" s="11" t="s">
        <v>4245</v>
      </c>
      <c r="D66" s="11" t="s">
        <v>4246</v>
      </c>
      <c r="E66" s="11" t="s">
        <v>4247</v>
      </c>
      <c r="F66" s="11" t="s">
        <v>44</v>
      </c>
      <c r="G66" s="12">
        <v>1725</v>
      </c>
      <c r="H66" s="12">
        <v>25</v>
      </c>
      <c r="I66" s="12">
        <f t="shared" si="1"/>
        <v>1700</v>
      </c>
      <c r="J66" s="11" t="s">
        <v>33</v>
      </c>
      <c r="K66" s="11" t="s">
        <v>33</v>
      </c>
      <c r="L66" s="11" t="s">
        <v>4213</v>
      </c>
      <c r="M66" s="11"/>
      <c r="N66" s="11"/>
      <c r="O66" s="11"/>
      <c r="P66" s="11"/>
      <c r="Q66" s="11">
        <v>1</v>
      </c>
    </row>
    <row r="67" spans="1:17" x14ac:dyDescent="0.25">
      <c r="A67" s="11"/>
      <c r="B67" s="11" t="s">
        <v>27</v>
      </c>
      <c r="C67" s="11" t="s">
        <v>4263</v>
      </c>
      <c r="D67" s="11" t="s">
        <v>4264</v>
      </c>
      <c r="E67" s="11" t="s">
        <v>4265</v>
      </c>
      <c r="F67" s="11" t="s">
        <v>78</v>
      </c>
      <c r="G67" s="12">
        <v>460</v>
      </c>
      <c r="H67" s="12">
        <v>20</v>
      </c>
      <c r="I67" s="12">
        <f t="shared" ref="I67:I98" si="2">G67-H67</f>
        <v>440</v>
      </c>
      <c r="J67" s="11" t="s">
        <v>33</v>
      </c>
      <c r="K67" s="11" t="s">
        <v>33</v>
      </c>
      <c r="L67" s="11" t="s">
        <v>4213</v>
      </c>
      <c r="M67" s="11"/>
      <c r="N67" s="11"/>
      <c r="O67" s="11"/>
      <c r="P67" s="11"/>
      <c r="Q67" s="11">
        <v>1</v>
      </c>
    </row>
    <row r="68" spans="1:17" x14ac:dyDescent="0.25">
      <c r="A68" s="11"/>
      <c r="B68" s="11" t="s">
        <v>27</v>
      </c>
      <c r="C68" s="11" t="s">
        <v>4278</v>
      </c>
      <c r="D68" s="11" t="s">
        <v>4279</v>
      </c>
      <c r="E68" s="11" t="s">
        <v>4280</v>
      </c>
      <c r="F68" s="11" t="s">
        <v>68</v>
      </c>
      <c r="G68" s="12">
        <v>415</v>
      </c>
      <c r="H68" s="12">
        <v>25</v>
      </c>
      <c r="I68" s="12">
        <f t="shared" si="2"/>
        <v>390</v>
      </c>
      <c r="J68" s="11" t="s">
        <v>33</v>
      </c>
      <c r="K68" s="11" t="s">
        <v>33</v>
      </c>
      <c r="L68" s="11" t="s">
        <v>4213</v>
      </c>
      <c r="M68" s="11"/>
      <c r="N68" s="11"/>
      <c r="O68" s="11"/>
      <c r="P68" s="11"/>
      <c r="Q68" s="11">
        <v>1</v>
      </c>
    </row>
    <row r="69" spans="1:17" x14ac:dyDescent="0.25">
      <c r="A69" s="11"/>
      <c r="B69" s="11" t="s">
        <v>27</v>
      </c>
      <c r="C69" s="11" t="s">
        <v>4295</v>
      </c>
      <c r="D69" s="11" t="s">
        <v>4296</v>
      </c>
      <c r="E69" s="11" t="s">
        <v>4297</v>
      </c>
      <c r="F69" s="11" t="s">
        <v>68</v>
      </c>
      <c r="G69" s="12">
        <v>415</v>
      </c>
      <c r="H69" s="12">
        <v>25</v>
      </c>
      <c r="I69" s="12">
        <f t="shared" si="2"/>
        <v>390</v>
      </c>
      <c r="J69" s="11" t="s">
        <v>33</v>
      </c>
      <c r="K69" s="11" t="s">
        <v>33</v>
      </c>
      <c r="L69" s="11" t="s">
        <v>4213</v>
      </c>
      <c r="M69" s="11"/>
      <c r="N69" s="11"/>
      <c r="O69" s="11"/>
      <c r="P69" s="11"/>
      <c r="Q69" s="11">
        <v>1</v>
      </c>
    </row>
    <row r="70" spans="1:17" x14ac:dyDescent="0.25">
      <c r="A70" s="11"/>
      <c r="B70" s="11" t="s">
        <v>27</v>
      </c>
      <c r="C70" s="11" t="s">
        <v>3756</v>
      </c>
      <c r="D70" s="11" t="s">
        <v>4300</v>
      </c>
      <c r="E70" s="11" t="s">
        <v>3758</v>
      </c>
      <c r="F70" s="12">
        <v>2</v>
      </c>
      <c r="G70" s="12">
        <v>270</v>
      </c>
      <c r="H70" s="12">
        <v>30</v>
      </c>
      <c r="I70" s="12">
        <f t="shared" si="2"/>
        <v>240</v>
      </c>
      <c r="J70" s="11" t="s">
        <v>33</v>
      </c>
      <c r="K70" s="11" t="s">
        <v>33</v>
      </c>
      <c r="L70" s="11" t="s">
        <v>4213</v>
      </c>
      <c r="M70" s="11"/>
      <c r="N70" s="11"/>
      <c r="O70" s="11"/>
      <c r="P70" s="11"/>
      <c r="Q70" s="11">
        <v>1</v>
      </c>
    </row>
    <row r="71" spans="1:17" x14ac:dyDescent="0.25">
      <c r="A71" s="11"/>
      <c r="B71" s="11" t="s">
        <v>27</v>
      </c>
      <c r="C71" s="11" t="s">
        <v>4355</v>
      </c>
      <c r="D71" s="11" t="s">
        <v>4356</v>
      </c>
      <c r="E71" s="11" t="s">
        <v>4357</v>
      </c>
      <c r="F71" s="12">
        <v>2</v>
      </c>
      <c r="G71" s="12">
        <v>1430</v>
      </c>
      <c r="H71" s="12">
        <v>30</v>
      </c>
      <c r="I71" s="12">
        <f t="shared" si="2"/>
        <v>1400</v>
      </c>
      <c r="J71" s="11" t="s">
        <v>33</v>
      </c>
      <c r="K71" s="11" t="s">
        <v>33</v>
      </c>
      <c r="L71" s="11" t="s">
        <v>4213</v>
      </c>
      <c r="M71" s="11"/>
      <c r="N71" s="11"/>
      <c r="O71" s="11"/>
      <c r="P71" s="11"/>
      <c r="Q71" s="11">
        <v>1</v>
      </c>
    </row>
    <row r="72" spans="1:17" x14ac:dyDescent="0.25">
      <c r="A72" s="11"/>
      <c r="B72" s="11" t="s">
        <v>27</v>
      </c>
      <c r="C72" s="11" t="s">
        <v>4369</v>
      </c>
      <c r="D72" s="11" t="s">
        <v>4370</v>
      </c>
      <c r="E72" s="11" t="s">
        <v>4371</v>
      </c>
      <c r="F72" s="11" t="s">
        <v>68</v>
      </c>
      <c r="G72" s="12">
        <v>1605</v>
      </c>
      <c r="H72" s="12">
        <v>25</v>
      </c>
      <c r="I72" s="12">
        <f t="shared" si="2"/>
        <v>1580</v>
      </c>
      <c r="J72" s="11" t="s">
        <v>33</v>
      </c>
      <c r="K72" s="11" t="s">
        <v>33</v>
      </c>
      <c r="L72" s="11" t="s">
        <v>4213</v>
      </c>
      <c r="M72" s="11"/>
      <c r="N72" s="11"/>
      <c r="O72" s="11"/>
      <c r="P72" s="11"/>
      <c r="Q72" s="11">
        <v>1</v>
      </c>
    </row>
    <row r="73" spans="1:17" x14ac:dyDescent="0.25">
      <c r="A73" s="11"/>
      <c r="B73" s="11" t="s">
        <v>27</v>
      </c>
      <c r="C73" s="11" t="s">
        <v>4388</v>
      </c>
      <c r="D73" s="11" t="s">
        <v>4389</v>
      </c>
      <c r="E73" s="11" t="s">
        <v>4390</v>
      </c>
      <c r="F73" s="11" t="s">
        <v>68</v>
      </c>
      <c r="G73" s="12">
        <v>1795</v>
      </c>
      <c r="H73" s="12">
        <v>25</v>
      </c>
      <c r="I73" s="12">
        <f t="shared" si="2"/>
        <v>1770</v>
      </c>
      <c r="J73" s="11" t="s">
        <v>33</v>
      </c>
      <c r="K73" s="11" t="s">
        <v>33</v>
      </c>
      <c r="L73" s="11" t="s">
        <v>4213</v>
      </c>
      <c r="M73" s="11"/>
      <c r="N73" s="11"/>
      <c r="O73" s="11"/>
      <c r="P73" s="11"/>
      <c r="Q73" s="11">
        <v>1</v>
      </c>
    </row>
    <row r="74" spans="1:17" x14ac:dyDescent="0.25">
      <c r="A74" s="11"/>
      <c r="B74" s="11" t="s">
        <v>27</v>
      </c>
      <c r="C74" s="11" t="s">
        <v>4394</v>
      </c>
      <c r="D74" s="11" t="s">
        <v>4395</v>
      </c>
      <c r="E74" s="11" t="s">
        <v>4396</v>
      </c>
      <c r="F74" s="11" t="s">
        <v>68</v>
      </c>
      <c r="G74" s="12">
        <v>385</v>
      </c>
      <c r="H74" s="12">
        <v>25</v>
      </c>
      <c r="I74" s="12">
        <f t="shared" si="2"/>
        <v>360</v>
      </c>
      <c r="J74" s="11" t="s">
        <v>33</v>
      </c>
      <c r="K74" s="11" t="s">
        <v>33</v>
      </c>
      <c r="L74" s="11" t="s">
        <v>4213</v>
      </c>
      <c r="M74" s="11"/>
      <c r="N74" s="11"/>
      <c r="O74" s="11"/>
      <c r="P74" s="11"/>
      <c r="Q74" s="11">
        <v>1</v>
      </c>
    </row>
    <row r="75" spans="1:17" x14ac:dyDescent="0.25">
      <c r="A75" s="11"/>
      <c r="B75" s="11" t="s">
        <v>27</v>
      </c>
      <c r="C75" s="11" t="s">
        <v>1956</v>
      </c>
      <c r="D75" s="11" t="s">
        <v>4406</v>
      </c>
      <c r="E75" s="11" t="s">
        <v>1958</v>
      </c>
      <c r="F75" s="12">
        <v>2</v>
      </c>
      <c r="G75" s="12">
        <v>640</v>
      </c>
      <c r="H75" s="12">
        <v>30</v>
      </c>
      <c r="I75" s="12">
        <f t="shared" si="2"/>
        <v>610</v>
      </c>
      <c r="J75" s="11" t="s">
        <v>33</v>
      </c>
      <c r="K75" s="11" t="s">
        <v>33</v>
      </c>
      <c r="L75" s="11" t="s">
        <v>4213</v>
      </c>
      <c r="M75" s="11"/>
      <c r="N75" s="11"/>
      <c r="O75" s="11"/>
      <c r="P75" s="11"/>
      <c r="Q75" s="11">
        <v>1</v>
      </c>
    </row>
    <row r="76" spans="1:17" x14ac:dyDescent="0.25">
      <c r="A76" s="11"/>
      <c r="B76" s="11" t="s">
        <v>27</v>
      </c>
      <c r="C76" s="11" t="s">
        <v>4161</v>
      </c>
      <c r="D76" s="11" t="s">
        <v>4422</v>
      </c>
      <c r="E76" s="11" t="s">
        <v>4423</v>
      </c>
      <c r="F76" s="12">
        <v>2</v>
      </c>
      <c r="G76" s="12">
        <v>200</v>
      </c>
      <c r="H76" s="12">
        <v>30</v>
      </c>
      <c r="I76" s="12">
        <f t="shared" si="2"/>
        <v>170</v>
      </c>
      <c r="J76" s="11" t="s">
        <v>33</v>
      </c>
      <c r="K76" s="11" t="s">
        <v>33</v>
      </c>
      <c r="L76" s="11" t="s">
        <v>4213</v>
      </c>
      <c r="M76" s="11"/>
      <c r="N76" s="11"/>
      <c r="O76" s="11"/>
      <c r="P76" s="11"/>
      <c r="Q76" s="11">
        <v>1</v>
      </c>
    </row>
    <row r="77" spans="1:17" x14ac:dyDescent="0.25">
      <c r="A77" s="11"/>
      <c r="B77" s="11" t="s">
        <v>27</v>
      </c>
      <c r="C77" s="11" t="s">
        <v>4427</v>
      </c>
      <c r="D77" s="11" t="s">
        <v>4428</v>
      </c>
      <c r="E77" s="11" t="s">
        <v>4429</v>
      </c>
      <c r="F77" s="11" t="s">
        <v>78</v>
      </c>
      <c r="G77" s="12">
        <v>160</v>
      </c>
      <c r="H77" s="12">
        <v>20</v>
      </c>
      <c r="I77" s="12">
        <f t="shared" si="2"/>
        <v>140</v>
      </c>
      <c r="J77" s="11" t="s">
        <v>33</v>
      </c>
      <c r="K77" s="11" t="s">
        <v>33</v>
      </c>
      <c r="L77" s="11" t="s">
        <v>4213</v>
      </c>
      <c r="M77" s="11"/>
      <c r="N77" s="11"/>
      <c r="O77" s="11"/>
      <c r="P77" s="11"/>
      <c r="Q77" s="11">
        <v>1</v>
      </c>
    </row>
    <row r="78" spans="1:17" x14ac:dyDescent="0.25">
      <c r="A78" s="11"/>
      <c r="B78" s="11" t="s">
        <v>27</v>
      </c>
      <c r="C78" s="11" t="s">
        <v>2290</v>
      </c>
      <c r="D78" s="11" t="s">
        <v>4436</v>
      </c>
      <c r="E78" s="11" t="s">
        <v>2292</v>
      </c>
      <c r="F78" s="11" t="s">
        <v>78</v>
      </c>
      <c r="G78" s="12">
        <v>220</v>
      </c>
      <c r="H78" s="12">
        <v>20</v>
      </c>
      <c r="I78" s="12">
        <f t="shared" si="2"/>
        <v>200</v>
      </c>
      <c r="J78" s="11" t="s">
        <v>33</v>
      </c>
      <c r="K78" s="11" t="s">
        <v>33</v>
      </c>
      <c r="L78" s="11" t="s">
        <v>4213</v>
      </c>
      <c r="M78" s="11"/>
      <c r="N78" s="11"/>
      <c r="O78" s="11"/>
      <c r="P78" s="11"/>
      <c r="Q78" s="11">
        <v>1</v>
      </c>
    </row>
    <row r="79" spans="1:17" x14ac:dyDescent="0.25">
      <c r="A79" s="11"/>
      <c r="B79" s="11" t="s">
        <v>27</v>
      </c>
      <c r="C79" s="11" t="s">
        <v>4437</v>
      </c>
      <c r="D79" s="11" t="s">
        <v>4438</v>
      </c>
      <c r="E79" s="11" t="s">
        <v>4439</v>
      </c>
      <c r="F79" s="11" t="s">
        <v>68</v>
      </c>
      <c r="G79" s="12">
        <v>295</v>
      </c>
      <c r="H79" s="12">
        <v>25</v>
      </c>
      <c r="I79" s="12">
        <f t="shared" si="2"/>
        <v>270</v>
      </c>
      <c r="J79" s="11" t="s">
        <v>33</v>
      </c>
      <c r="K79" s="11" t="s">
        <v>33</v>
      </c>
      <c r="L79" s="11" t="s">
        <v>4213</v>
      </c>
      <c r="M79" s="11"/>
      <c r="N79" s="11"/>
      <c r="O79" s="11"/>
      <c r="P79" s="11"/>
      <c r="Q79" s="11">
        <v>1</v>
      </c>
    </row>
    <row r="80" spans="1:17" x14ac:dyDescent="0.25">
      <c r="A80" s="11"/>
      <c r="B80" s="11" t="s">
        <v>27</v>
      </c>
      <c r="C80" s="11" t="s">
        <v>4440</v>
      </c>
      <c r="D80" s="11" t="s">
        <v>4441</v>
      </c>
      <c r="E80" s="11" t="s">
        <v>4442</v>
      </c>
      <c r="F80" s="11" t="s">
        <v>78</v>
      </c>
      <c r="G80" s="12">
        <v>580</v>
      </c>
      <c r="H80" s="12">
        <v>20</v>
      </c>
      <c r="I80" s="12">
        <f t="shared" si="2"/>
        <v>560</v>
      </c>
      <c r="J80" s="11" t="s">
        <v>33</v>
      </c>
      <c r="K80" s="11" t="s">
        <v>33</v>
      </c>
      <c r="L80" s="11" t="s">
        <v>4213</v>
      </c>
      <c r="M80" s="11"/>
      <c r="N80" s="11"/>
      <c r="O80" s="11"/>
      <c r="P80" s="11"/>
      <c r="Q80" s="11">
        <v>1</v>
      </c>
    </row>
    <row r="81" spans="1:18" x14ac:dyDescent="0.25">
      <c r="A81" s="11"/>
      <c r="B81" s="11" t="s">
        <v>27</v>
      </c>
      <c r="C81" s="11" t="s">
        <v>4483</v>
      </c>
      <c r="D81" s="11" t="s">
        <v>4484</v>
      </c>
      <c r="E81" s="11" t="s">
        <v>4485</v>
      </c>
      <c r="F81" s="12">
        <v>2</v>
      </c>
      <c r="G81" s="12">
        <v>550</v>
      </c>
      <c r="H81" s="12">
        <v>30</v>
      </c>
      <c r="I81" s="12">
        <f t="shared" si="2"/>
        <v>520</v>
      </c>
      <c r="J81" s="11" t="s">
        <v>33</v>
      </c>
      <c r="K81" s="11" t="s">
        <v>33</v>
      </c>
      <c r="L81" s="11" t="s">
        <v>4213</v>
      </c>
      <c r="M81" s="11"/>
      <c r="N81" s="11"/>
      <c r="O81" s="11"/>
      <c r="P81" s="11"/>
      <c r="Q81" s="11">
        <v>1</v>
      </c>
    </row>
    <row r="82" spans="1:18" x14ac:dyDescent="0.25">
      <c r="A82" s="11"/>
      <c r="B82" s="11" t="s">
        <v>27</v>
      </c>
      <c r="C82" s="11" t="s">
        <v>4490</v>
      </c>
      <c r="D82" s="11" t="s">
        <v>4491</v>
      </c>
      <c r="E82" s="11" t="s">
        <v>4492</v>
      </c>
      <c r="F82" s="11" t="s">
        <v>68</v>
      </c>
      <c r="G82" s="12">
        <v>785</v>
      </c>
      <c r="H82" s="12">
        <v>25</v>
      </c>
      <c r="I82" s="12">
        <f t="shared" si="2"/>
        <v>760</v>
      </c>
      <c r="J82" s="11" t="s">
        <v>33</v>
      </c>
      <c r="K82" s="11" t="s">
        <v>33</v>
      </c>
      <c r="L82" s="11" t="s">
        <v>4213</v>
      </c>
      <c r="M82" s="11"/>
      <c r="N82" s="11"/>
      <c r="O82" s="11"/>
      <c r="P82" s="11"/>
      <c r="Q82" s="11">
        <v>1</v>
      </c>
    </row>
    <row r="83" spans="1:18" x14ac:dyDescent="0.25">
      <c r="A83" s="11"/>
      <c r="B83" s="11" t="s">
        <v>27</v>
      </c>
      <c r="C83" s="11" t="s">
        <v>4499</v>
      </c>
      <c r="D83" s="11" t="s">
        <v>4500</v>
      </c>
      <c r="E83" s="11" t="s">
        <v>4501</v>
      </c>
      <c r="F83" s="11" t="s">
        <v>68</v>
      </c>
      <c r="G83" s="12">
        <v>2165</v>
      </c>
      <c r="H83" s="12">
        <v>25</v>
      </c>
      <c r="I83" s="12">
        <f t="shared" si="2"/>
        <v>2140</v>
      </c>
      <c r="J83" s="11" t="s">
        <v>33</v>
      </c>
      <c r="K83" s="11" t="s">
        <v>33</v>
      </c>
      <c r="L83" s="11" t="s">
        <v>4213</v>
      </c>
      <c r="M83" s="11"/>
      <c r="N83" s="11"/>
      <c r="O83" s="11"/>
      <c r="P83" s="11"/>
      <c r="Q83" s="11">
        <v>1</v>
      </c>
    </row>
    <row r="84" spans="1:18" x14ac:dyDescent="0.25">
      <c r="A84" s="11"/>
      <c r="B84" s="11" t="s">
        <v>27</v>
      </c>
      <c r="C84" s="11" t="s">
        <v>3470</v>
      </c>
      <c r="D84" s="11" t="s">
        <v>4502</v>
      </c>
      <c r="E84" s="11" t="s">
        <v>3472</v>
      </c>
      <c r="F84" s="11" t="s">
        <v>68</v>
      </c>
      <c r="G84" s="12">
        <v>745</v>
      </c>
      <c r="H84" s="12">
        <v>25</v>
      </c>
      <c r="I84" s="12">
        <f t="shared" si="2"/>
        <v>720</v>
      </c>
      <c r="J84" s="11" t="s">
        <v>33</v>
      </c>
      <c r="K84" s="11" t="s">
        <v>33</v>
      </c>
      <c r="L84" s="11" t="s">
        <v>4213</v>
      </c>
      <c r="M84" s="11"/>
      <c r="N84" s="11"/>
      <c r="O84" s="11"/>
      <c r="P84" s="11"/>
      <c r="Q84" s="11">
        <v>1</v>
      </c>
    </row>
    <row r="85" spans="1:18" x14ac:dyDescent="0.25">
      <c r="A85" s="11"/>
      <c r="B85" s="11" t="s">
        <v>27</v>
      </c>
      <c r="C85" s="11" t="s">
        <v>4503</v>
      </c>
      <c r="D85" s="11" t="s">
        <v>4504</v>
      </c>
      <c r="E85" s="11" t="s">
        <v>4505</v>
      </c>
      <c r="F85" s="11" t="s">
        <v>78</v>
      </c>
      <c r="G85" s="12">
        <v>840</v>
      </c>
      <c r="H85" s="12">
        <v>20</v>
      </c>
      <c r="I85" s="12">
        <f t="shared" si="2"/>
        <v>820</v>
      </c>
      <c r="J85" s="11" t="s">
        <v>33</v>
      </c>
      <c r="K85" s="11" t="s">
        <v>33</v>
      </c>
      <c r="L85" s="11" t="s">
        <v>4213</v>
      </c>
      <c r="M85" s="11"/>
      <c r="N85" s="11"/>
      <c r="O85" s="11"/>
      <c r="P85" s="11"/>
      <c r="Q85" s="11">
        <v>1</v>
      </c>
    </row>
    <row r="86" spans="1:18" x14ac:dyDescent="0.25">
      <c r="A86" s="11"/>
      <c r="B86" s="11" t="s">
        <v>27</v>
      </c>
      <c r="C86" s="11" t="s">
        <v>4510</v>
      </c>
      <c r="D86" s="11" t="s">
        <v>4511</v>
      </c>
      <c r="E86" s="11" t="s">
        <v>4512</v>
      </c>
      <c r="F86" s="11" t="s">
        <v>78</v>
      </c>
      <c r="G86" s="12">
        <v>828</v>
      </c>
      <c r="H86" s="12">
        <v>20</v>
      </c>
      <c r="I86" s="12">
        <f t="shared" si="2"/>
        <v>808</v>
      </c>
      <c r="J86" s="11" t="s">
        <v>33</v>
      </c>
      <c r="K86" s="11" t="s">
        <v>33</v>
      </c>
      <c r="L86" s="11" t="s">
        <v>4213</v>
      </c>
      <c r="M86" s="24" t="s">
        <v>340</v>
      </c>
      <c r="N86" s="11"/>
      <c r="O86" s="11"/>
      <c r="P86" s="11"/>
      <c r="Q86" s="11">
        <v>1</v>
      </c>
      <c r="R86" s="5">
        <f>H86</f>
        <v>20</v>
      </c>
    </row>
    <row r="87" spans="1:18" x14ac:dyDescent="0.25">
      <c r="A87" s="11"/>
      <c r="B87" s="11" t="s">
        <v>27</v>
      </c>
      <c r="C87" s="11" t="s">
        <v>1203</v>
      </c>
      <c r="D87" s="11" t="s">
        <v>4519</v>
      </c>
      <c r="E87" s="11" t="s">
        <v>4520</v>
      </c>
      <c r="F87" s="11" t="s">
        <v>68</v>
      </c>
      <c r="G87" s="12">
        <v>1265</v>
      </c>
      <c r="H87" s="12">
        <v>25</v>
      </c>
      <c r="I87" s="12">
        <f t="shared" si="2"/>
        <v>1240</v>
      </c>
      <c r="J87" s="11" t="s">
        <v>33</v>
      </c>
      <c r="K87" s="11" t="s">
        <v>33</v>
      </c>
      <c r="L87" s="11" t="s">
        <v>4213</v>
      </c>
      <c r="M87" s="11"/>
      <c r="N87" s="11"/>
      <c r="O87" s="11"/>
      <c r="P87" s="11"/>
      <c r="Q87" s="11">
        <v>1</v>
      </c>
    </row>
    <row r="88" spans="1:18" x14ac:dyDescent="0.25">
      <c r="A88" s="11"/>
      <c r="B88" s="11" t="s">
        <v>27</v>
      </c>
      <c r="C88" s="11" t="s">
        <v>4524</v>
      </c>
      <c r="D88" s="11" t="s">
        <v>4525</v>
      </c>
      <c r="E88" s="11" t="s">
        <v>4526</v>
      </c>
      <c r="F88" s="12">
        <v>2</v>
      </c>
      <c r="G88" s="12">
        <v>1000</v>
      </c>
      <c r="H88" s="12">
        <v>30</v>
      </c>
      <c r="I88" s="12">
        <f t="shared" si="2"/>
        <v>970</v>
      </c>
      <c r="J88" s="11" t="s">
        <v>33</v>
      </c>
      <c r="K88" s="11" t="s">
        <v>33</v>
      </c>
      <c r="L88" s="11" t="s">
        <v>4213</v>
      </c>
      <c r="M88" s="11"/>
      <c r="N88" s="11"/>
      <c r="O88" s="11"/>
      <c r="P88" s="11"/>
      <c r="Q88" s="11">
        <v>1</v>
      </c>
    </row>
    <row r="89" spans="1:18" x14ac:dyDescent="0.25">
      <c r="A89" s="11"/>
      <c r="B89" s="11" t="s">
        <v>27</v>
      </c>
      <c r="C89" s="11" t="s">
        <v>4527</v>
      </c>
      <c r="D89" s="11" t="s">
        <v>4528</v>
      </c>
      <c r="E89" s="11" t="s">
        <v>4529</v>
      </c>
      <c r="F89" s="12">
        <v>2</v>
      </c>
      <c r="G89" s="12">
        <v>1430</v>
      </c>
      <c r="H89" s="12">
        <v>30</v>
      </c>
      <c r="I89" s="12">
        <f t="shared" si="2"/>
        <v>1400</v>
      </c>
      <c r="J89" s="11" t="s">
        <v>33</v>
      </c>
      <c r="K89" s="11" t="s">
        <v>33</v>
      </c>
      <c r="L89" s="11" t="s">
        <v>4213</v>
      </c>
      <c r="M89" s="11"/>
      <c r="N89" s="11"/>
      <c r="O89" s="11"/>
      <c r="P89" s="11"/>
      <c r="Q89" s="11">
        <v>1</v>
      </c>
    </row>
    <row r="90" spans="1:18" x14ac:dyDescent="0.25">
      <c r="A90" s="11"/>
      <c r="B90" s="11" t="s">
        <v>27</v>
      </c>
      <c r="C90" s="11" t="s">
        <v>4539</v>
      </c>
      <c r="D90" s="11" t="s">
        <v>4540</v>
      </c>
      <c r="E90" s="11" t="s">
        <v>4541</v>
      </c>
      <c r="F90" s="11" t="s">
        <v>68</v>
      </c>
      <c r="G90" s="12">
        <v>595</v>
      </c>
      <c r="H90" s="12">
        <v>25</v>
      </c>
      <c r="I90" s="12">
        <f t="shared" si="2"/>
        <v>570</v>
      </c>
      <c r="J90" s="11" t="s">
        <v>33</v>
      </c>
      <c r="K90" s="11" t="s">
        <v>33</v>
      </c>
      <c r="L90" s="11" t="s">
        <v>4213</v>
      </c>
      <c r="M90" s="11"/>
      <c r="N90" s="11"/>
      <c r="O90" s="11"/>
      <c r="P90" s="11"/>
      <c r="Q90" s="11">
        <v>1</v>
      </c>
    </row>
    <row r="91" spans="1:18" x14ac:dyDescent="0.25">
      <c r="A91" s="11"/>
      <c r="B91" s="11" t="s">
        <v>27</v>
      </c>
      <c r="C91" s="11" t="s">
        <v>4542</v>
      </c>
      <c r="D91" s="11" t="s">
        <v>4543</v>
      </c>
      <c r="E91" s="11" t="s">
        <v>4544</v>
      </c>
      <c r="F91" s="11" t="s">
        <v>78</v>
      </c>
      <c r="G91" s="12">
        <v>510</v>
      </c>
      <c r="H91" s="12">
        <v>20</v>
      </c>
      <c r="I91" s="12">
        <f t="shared" si="2"/>
        <v>490</v>
      </c>
      <c r="J91" s="11" t="s">
        <v>33</v>
      </c>
      <c r="K91" s="11" t="s">
        <v>33</v>
      </c>
      <c r="L91" s="11" t="s">
        <v>4213</v>
      </c>
      <c r="M91" s="11"/>
      <c r="N91" s="11"/>
      <c r="O91" s="11"/>
      <c r="P91" s="11"/>
      <c r="Q91" s="11">
        <v>1</v>
      </c>
    </row>
    <row r="92" spans="1:18" x14ac:dyDescent="0.25">
      <c r="A92" s="11"/>
      <c r="B92" s="11" t="s">
        <v>27</v>
      </c>
      <c r="C92" s="11" t="s">
        <v>3449</v>
      </c>
      <c r="D92" s="11" t="s">
        <v>4545</v>
      </c>
      <c r="E92" s="11" t="s">
        <v>4546</v>
      </c>
      <c r="F92" s="12">
        <v>2</v>
      </c>
      <c r="G92" s="12">
        <v>360</v>
      </c>
      <c r="H92" s="12">
        <v>30</v>
      </c>
      <c r="I92" s="12">
        <f t="shared" si="2"/>
        <v>330</v>
      </c>
      <c r="J92" s="11" t="s">
        <v>33</v>
      </c>
      <c r="K92" s="11" t="s">
        <v>33</v>
      </c>
      <c r="L92" s="11" t="s">
        <v>4213</v>
      </c>
      <c r="M92" s="11"/>
      <c r="N92" s="11"/>
      <c r="O92" s="11"/>
      <c r="P92" s="11"/>
      <c r="Q92" s="11">
        <v>1</v>
      </c>
    </row>
    <row r="93" spans="1:18" x14ac:dyDescent="0.25">
      <c r="A93" s="11"/>
      <c r="B93" s="11" t="s">
        <v>27</v>
      </c>
      <c r="C93" s="11" t="s">
        <v>4552</v>
      </c>
      <c r="D93" s="11" t="s">
        <v>4553</v>
      </c>
      <c r="E93" s="11" t="s">
        <v>4554</v>
      </c>
      <c r="F93" s="12">
        <v>2</v>
      </c>
      <c r="G93" s="12">
        <v>1530</v>
      </c>
      <c r="H93" s="12">
        <v>30</v>
      </c>
      <c r="I93" s="12">
        <f t="shared" si="2"/>
        <v>1500</v>
      </c>
      <c r="J93" s="11" t="s">
        <v>33</v>
      </c>
      <c r="K93" s="11" t="s">
        <v>33</v>
      </c>
      <c r="L93" s="11" t="s">
        <v>4213</v>
      </c>
      <c r="M93" s="11"/>
      <c r="N93" s="11"/>
      <c r="O93" s="11"/>
      <c r="P93" s="11"/>
      <c r="Q93" s="11">
        <v>1</v>
      </c>
    </row>
    <row r="94" spans="1:18" x14ac:dyDescent="0.25">
      <c r="A94" s="11"/>
      <c r="B94" s="11" t="s">
        <v>27</v>
      </c>
      <c r="C94" s="11" t="s">
        <v>4561</v>
      </c>
      <c r="D94" s="11" t="s">
        <v>4562</v>
      </c>
      <c r="E94" s="11" t="s">
        <v>4429</v>
      </c>
      <c r="F94" s="11" t="s">
        <v>78</v>
      </c>
      <c r="G94" s="12">
        <v>1510</v>
      </c>
      <c r="H94" s="12">
        <v>20</v>
      </c>
      <c r="I94" s="12">
        <f t="shared" si="2"/>
        <v>1490</v>
      </c>
      <c r="J94" s="11" t="s">
        <v>33</v>
      </c>
      <c r="K94" s="11" t="s">
        <v>33</v>
      </c>
      <c r="L94" s="11" t="s">
        <v>4213</v>
      </c>
      <c r="M94" s="11"/>
      <c r="N94" s="11"/>
      <c r="O94" s="11"/>
      <c r="P94" s="11"/>
      <c r="Q94" s="11">
        <v>1</v>
      </c>
    </row>
    <row r="95" spans="1:18" x14ac:dyDescent="0.25">
      <c r="A95" s="11"/>
      <c r="B95" s="11" t="s">
        <v>27</v>
      </c>
      <c r="C95" s="11" t="s">
        <v>4566</v>
      </c>
      <c r="D95" s="11" t="s">
        <v>4567</v>
      </c>
      <c r="E95" s="11" t="s">
        <v>4568</v>
      </c>
      <c r="F95" s="11" t="s">
        <v>68</v>
      </c>
      <c r="G95" s="12">
        <v>1045</v>
      </c>
      <c r="H95" s="12">
        <v>25</v>
      </c>
      <c r="I95" s="12">
        <f t="shared" si="2"/>
        <v>1020</v>
      </c>
      <c r="J95" s="11" t="s">
        <v>33</v>
      </c>
      <c r="K95" s="11" t="s">
        <v>33</v>
      </c>
      <c r="L95" s="11" t="s">
        <v>4213</v>
      </c>
      <c r="M95" s="11"/>
      <c r="N95" s="11"/>
      <c r="O95" s="11"/>
      <c r="P95" s="11"/>
      <c r="Q95" s="11">
        <v>1</v>
      </c>
    </row>
    <row r="96" spans="1:18" x14ac:dyDescent="0.25">
      <c r="A96" s="11"/>
      <c r="B96" s="11" t="s">
        <v>27</v>
      </c>
      <c r="C96" s="11" t="s">
        <v>4577</v>
      </c>
      <c r="D96" s="11" t="s">
        <v>4578</v>
      </c>
      <c r="E96" s="11" t="s">
        <v>4579</v>
      </c>
      <c r="F96" s="11" t="s">
        <v>78</v>
      </c>
      <c r="G96" s="12">
        <v>1030</v>
      </c>
      <c r="H96" s="12">
        <v>20</v>
      </c>
      <c r="I96" s="12">
        <f t="shared" si="2"/>
        <v>1010</v>
      </c>
      <c r="J96" s="11" t="s">
        <v>33</v>
      </c>
      <c r="K96" s="11" t="s">
        <v>33</v>
      </c>
      <c r="L96" s="11" t="s">
        <v>4213</v>
      </c>
      <c r="M96" s="11"/>
      <c r="N96" s="11"/>
      <c r="O96" s="11"/>
      <c r="P96" s="11"/>
      <c r="Q96" s="11">
        <v>1</v>
      </c>
    </row>
    <row r="97" spans="1:18" x14ac:dyDescent="0.25">
      <c r="A97" s="11"/>
      <c r="B97" s="11" t="s">
        <v>27</v>
      </c>
      <c r="C97" s="11" t="s">
        <v>4580</v>
      </c>
      <c r="D97" s="11" t="s">
        <v>4581</v>
      </c>
      <c r="E97" s="11" t="s">
        <v>4582</v>
      </c>
      <c r="F97" s="11" t="s">
        <v>78</v>
      </c>
      <c r="G97" s="12">
        <v>890</v>
      </c>
      <c r="H97" s="12">
        <v>20</v>
      </c>
      <c r="I97" s="12">
        <f t="shared" si="2"/>
        <v>870</v>
      </c>
      <c r="J97" s="11" t="s">
        <v>33</v>
      </c>
      <c r="K97" s="11" t="s">
        <v>33</v>
      </c>
      <c r="L97" s="11" t="s">
        <v>4213</v>
      </c>
      <c r="M97" s="11"/>
      <c r="N97" s="11"/>
      <c r="O97" s="11"/>
      <c r="P97" s="11"/>
      <c r="Q97" s="11">
        <v>1</v>
      </c>
    </row>
    <row r="98" spans="1:18" x14ac:dyDescent="0.25">
      <c r="A98" s="11"/>
      <c r="B98" s="11" t="s">
        <v>27</v>
      </c>
      <c r="C98" s="11" t="s">
        <v>4214</v>
      </c>
      <c r="D98" s="11" t="s">
        <v>4215</v>
      </c>
      <c r="E98" s="11" t="s">
        <v>4216</v>
      </c>
      <c r="F98" s="12">
        <v>10</v>
      </c>
      <c r="G98" s="12">
        <v>0</v>
      </c>
      <c r="H98" s="12">
        <v>25</v>
      </c>
      <c r="I98" s="12">
        <f t="shared" si="2"/>
        <v>-25</v>
      </c>
      <c r="J98" s="11" t="s">
        <v>119</v>
      </c>
      <c r="K98" s="11" t="s">
        <v>33</v>
      </c>
      <c r="L98" s="11" t="s">
        <v>4213</v>
      </c>
      <c r="M98" s="24" t="s">
        <v>5535</v>
      </c>
      <c r="N98" s="11"/>
      <c r="O98" s="11"/>
      <c r="P98" s="11"/>
      <c r="Q98" s="11">
        <v>1</v>
      </c>
      <c r="R98" s="5">
        <f>H98</f>
        <v>25</v>
      </c>
    </row>
    <row r="99" spans="1:18" x14ac:dyDescent="0.25">
      <c r="A99" s="11"/>
      <c r="B99" s="11" t="s">
        <v>27</v>
      </c>
      <c r="C99" s="11" t="s">
        <v>4217</v>
      </c>
      <c r="D99" s="11" t="s">
        <v>4218</v>
      </c>
      <c r="E99" s="11" t="s">
        <v>4219</v>
      </c>
      <c r="F99" s="12">
        <v>1</v>
      </c>
      <c r="G99" s="12">
        <v>965</v>
      </c>
      <c r="H99" s="12">
        <v>25</v>
      </c>
      <c r="I99" s="12">
        <f t="shared" ref="I99:I130" si="3">G99-H99</f>
        <v>940</v>
      </c>
      <c r="J99" s="11" t="s">
        <v>119</v>
      </c>
      <c r="K99" s="11" t="s">
        <v>33</v>
      </c>
      <c r="L99" s="11" t="s">
        <v>4213</v>
      </c>
      <c r="M99" s="11"/>
      <c r="N99" s="11"/>
      <c r="O99" s="11"/>
      <c r="P99" s="11"/>
      <c r="Q99" s="11">
        <v>1</v>
      </c>
    </row>
    <row r="100" spans="1:18" x14ac:dyDescent="0.25">
      <c r="A100" s="11"/>
      <c r="B100" s="11" t="s">
        <v>27</v>
      </c>
      <c r="C100" s="11" t="s">
        <v>3382</v>
      </c>
      <c r="D100" s="11" t="s">
        <v>4235</v>
      </c>
      <c r="E100" s="11" t="s">
        <v>3384</v>
      </c>
      <c r="F100" s="11" t="s">
        <v>44</v>
      </c>
      <c r="G100" s="12">
        <v>1755</v>
      </c>
      <c r="H100" s="12">
        <v>25</v>
      </c>
      <c r="I100" s="12">
        <f t="shared" si="3"/>
        <v>1730</v>
      </c>
      <c r="J100" s="11" t="s">
        <v>119</v>
      </c>
      <c r="K100" s="11" t="s">
        <v>33</v>
      </c>
      <c r="L100" s="11" t="s">
        <v>4213</v>
      </c>
      <c r="M100" s="11"/>
      <c r="N100" s="11"/>
      <c r="O100" s="11"/>
      <c r="P100" s="11"/>
      <c r="Q100" s="11">
        <v>1</v>
      </c>
    </row>
    <row r="101" spans="1:18" x14ac:dyDescent="0.25">
      <c r="A101" s="11"/>
      <c r="B101" s="11" t="s">
        <v>27</v>
      </c>
      <c r="C101" s="11" t="s">
        <v>4254</v>
      </c>
      <c r="D101" s="11" t="s">
        <v>4255</v>
      </c>
      <c r="E101" s="11" t="s">
        <v>4256</v>
      </c>
      <c r="F101" s="11" t="s">
        <v>118</v>
      </c>
      <c r="G101" s="12">
        <v>2888</v>
      </c>
      <c r="H101" s="12">
        <v>25</v>
      </c>
      <c r="I101" s="12">
        <f t="shared" si="3"/>
        <v>2863</v>
      </c>
      <c r="J101" s="11" t="s">
        <v>119</v>
      </c>
      <c r="K101" s="11" t="s">
        <v>33</v>
      </c>
      <c r="L101" s="11" t="s">
        <v>4213</v>
      </c>
      <c r="M101" s="24" t="s">
        <v>340</v>
      </c>
      <c r="N101" s="11"/>
      <c r="O101" s="11"/>
      <c r="P101" s="11"/>
      <c r="Q101" s="11">
        <v>1</v>
      </c>
      <c r="R101" s="5">
        <f>H101</f>
        <v>25</v>
      </c>
    </row>
    <row r="102" spans="1:18" x14ac:dyDescent="0.25">
      <c r="A102" s="11"/>
      <c r="B102" s="11" t="s">
        <v>27</v>
      </c>
      <c r="C102" s="11" t="s">
        <v>4260</v>
      </c>
      <c r="D102" s="11" t="s">
        <v>4261</v>
      </c>
      <c r="E102" s="11" t="s">
        <v>4262</v>
      </c>
      <c r="F102" s="12">
        <v>3</v>
      </c>
      <c r="G102" s="12">
        <v>285</v>
      </c>
      <c r="H102" s="12">
        <v>25</v>
      </c>
      <c r="I102" s="12">
        <f t="shared" si="3"/>
        <v>260</v>
      </c>
      <c r="J102" s="11" t="s">
        <v>119</v>
      </c>
      <c r="K102" s="11" t="s">
        <v>33</v>
      </c>
      <c r="L102" s="11" t="s">
        <v>4213</v>
      </c>
      <c r="M102" s="11"/>
      <c r="N102" s="11"/>
      <c r="O102" s="11"/>
      <c r="P102" s="11"/>
      <c r="Q102" s="11">
        <v>1</v>
      </c>
    </row>
    <row r="103" spans="1:18" x14ac:dyDescent="0.25">
      <c r="A103" s="11"/>
      <c r="B103" s="11" t="s">
        <v>27</v>
      </c>
      <c r="C103" s="11" t="s">
        <v>4272</v>
      </c>
      <c r="D103" s="11" t="s">
        <v>4273</v>
      </c>
      <c r="E103" s="11" t="s">
        <v>4274</v>
      </c>
      <c r="F103" s="12">
        <v>1</v>
      </c>
      <c r="G103" s="12">
        <v>345</v>
      </c>
      <c r="H103" s="12">
        <v>25</v>
      </c>
      <c r="I103" s="12">
        <f t="shared" si="3"/>
        <v>320</v>
      </c>
      <c r="J103" s="11" t="s">
        <v>119</v>
      </c>
      <c r="K103" s="11" t="s">
        <v>33</v>
      </c>
      <c r="L103" s="11" t="s">
        <v>4213</v>
      </c>
      <c r="M103" s="11"/>
      <c r="N103" s="11"/>
      <c r="O103" s="11"/>
      <c r="P103" s="11"/>
      <c r="Q103" s="11">
        <v>1</v>
      </c>
    </row>
    <row r="104" spans="1:18" x14ac:dyDescent="0.25">
      <c r="A104" s="11"/>
      <c r="B104" s="11" t="s">
        <v>27</v>
      </c>
      <c r="C104" s="11" t="s">
        <v>4281</v>
      </c>
      <c r="D104" s="11" t="s">
        <v>4282</v>
      </c>
      <c r="E104" s="11" t="s">
        <v>4283</v>
      </c>
      <c r="F104" s="12">
        <v>3</v>
      </c>
      <c r="G104" s="12">
        <v>805</v>
      </c>
      <c r="H104" s="12">
        <v>25</v>
      </c>
      <c r="I104" s="12">
        <f t="shared" si="3"/>
        <v>780</v>
      </c>
      <c r="J104" s="11" t="s">
        <v>119</v>
      </c>
      <c r="K104" s="11" t="s">
        <v>33</v>
      </c>
      <c r="L104" s="11" t="s">
        <v>4213</v>
      </c>
      <c r="M104" s="11"/>
      <c r="N104" s="11"/>
      <c r="O104" s="11"/>
      <c r="P104" s="11"/>
      <c r="Q104" s="11">
        <v>1</v>
      </c>
    </row>
    <row r="105" spans="1:18" x14ac:dyDescent="0.25">
      <c r="A105" s="11"/>
      <c r="B105" s="11" t="s">
        <v>27</v>
      </c>
      <c r="C105" s="11" t="s">
        <v>4292</v>
      </c>
      <c r="D105" s="11" t="s">
        <v>4293</v>
      </c>
      <c r="E105" s="11" t="s">
        <v>4294</v>
      </c>
      <c r="F105" s="12">
        <v>5</v>
      </c>
      <c r="G105" s="12">
        <v>625</v>
      </c>
      <c r="H105" s="12">
        <v>25</v>
      </c>
      <c r="I105" s="12">
        <f t="shared" si="3"/>
        <v>600</v>
      </c>
      <c r="J105" s="11" t="s">
        <v>119</v>
      </c>
      <c r="K105" s="11" t="s">
        <v>33</v>
      </c>
      <c r="L105" s="11" t="s">
        <v>4213</v>
      </c>
      <c r="M105" s="11"/>
      <c r="N105" s="11"/>
      <c r="O105" s="11"/>
      <c r="P105" s="11"/>
      <c r="Q105" s="11">
        <v>1</v>
      </c>
    </row>
    <row r="106" spans="1:18" x14ac:dyDescent="0.25">
      <c r="A106" s="11"/>
      <c r="B106" s="11" t="s">
        <v>27</v>
      </c>
      <c r="C106" s="11" t="s">
        <v>3123</v>
      </c>
      <c r="D106" s="11" t="s">
        <v>4298</v>
      </c>
      <c r="E106" s="11" t="s">
        <v>4299</v>
      </c>
      <c r="F106" s="11" t="s">
        <v>44</v>
      </c>
      <c r="G106" s="12">
        <v>245</v>
      </c>
      <c r="H106" s="12">
        <v>25</v>
      </c>
      <c r="I106" s="12">
        <f t="shared" si="3"/>
        <v>220</v>
      </c>
      <c r="J106" s="11" t="s">
        <v>119</v>
      </c>
      <c r="K106" s="11" t="s">
        <v>33</v>
      </c>
      <c r="L106" s="11" t="s">
        <v>4213</v>
      </c>
      <c r="M106" s="11"/>
      <c r="N106" s="11"/>
      <c r="O106" s="11"/>
      <c r="P106" s="11"/>
      <c r="Q106" s="11">
        <v>1</v>
      </c>
    </row>
    <row r="107" spans="1:18" x14ac:dyDescent="0.25">
      <c r="A107" s="11"/>
      <c r="B107" s="11" t="s">
        <v>27</v>
      </c>
      <c r="C107" s="11" t="s">
        <v>4307</v>
      </c>
      <c r="D107" s="11" t="s">
        <v>4308</v>
      </c>
      <c r="E107" s="11" t="s">
        <v>4309</v>
      </c>
      <c r="F107" s="12">
        <v>5</v>
      </c>
      <c r="G107" s="12">
        <v>555</v>
      </c>
      <c r="H107" s="12">
        <v>25</v>
      </c>
      <c r="I107" s="12">
        <f t="shared" si="3"/>
        <v>530</v>
      </c>
      <c r="J107" s="11" t="s">
        <v>119</v>
      </c>
      <c r="K107" s="11" t="s">
        <v>33</v>
      </c>
      <c r="L107" s="11" t="s">
        <v>4213</v>
      </c>
      <c r="M107" s="11"/>
      <c r="N107" s="11"/>
      <c r="O107" s="11"/>
      <c r="P107" s="11"/>
      <c r="Q107" s="11">
        <v>1</v>
      </c>
    </row>
    <row r="108" spans="1:18" x14ac:dyDescent="0.25">
      <c r="A108" s="11"/>
      <c r="B108" s="11" t="s">
        <v>27</v>
      </c>
      <c r="C108" s="11" t="s">
        <v>4310</v>
      </c>
      <c r="D108" s="11" t="s">
        <v>4313</v>
      </c>
      <c r="E108" s="11" t="s">
        <v>4312</v>
      </c>
      <c r="F108" s="11" t="s">
        <v>44</v>
      </c>
      <c r="G108" s="12">
        <v>445</v>
      </c>
      <c r="H108" s="12">
        <v>25</v>
      </c>
      <c r="I108" s="12">
        <f t="shared" si="3"/>
        <v>420</v>
      </c>
      <c r="J108" s="11" t="s">
        <v>119</v>
      </c>
      <c r="K108" s="11" t="s">
        <v>33</v>
      </c>
      <c r="L108" s="11" t="s">
        <v>4213</v>
      </c>
      <c r="M108" s="24" t="s">
        <v>1217</v>
      </c>
      <c r="N108" s="11"/>
      <c r="O108" s="11"/>
      <c r="P108" s="11"/>
      <c r="Q108" s="11">
        <v>1</v>
      </c>
    </row>
    <row r="109" spans="1:18" x14ac:dyDescent="0.25">
      <c r="A109" s="11"/>
      <c r="B109" s="11" t="s">
        <v>27</v>
      </c>
      <c r="C109" s="11" t="s">
        <v>4310</v>
      </c>
      <c r="D109" s="11" t="s">
        <v>4311</v>
      </c>
      <c r="E109" s="11" t="s">
        <v>4312</v>
      </c>
      <c r="F109" s="11" t="s">
        <v>44</v>
      </c>
      <c r="G109" s="12">
        <v>580</v>
      </c>
      <c r="H109" s="12">
        <v>0</v>
      </c>
      <c r="I109" s="12">
        <f t="shared" si="3"/>
        <v>580</v>
      </c>
      <c r="J109" s="11" t="s">
        <v>119</v>
      </c>
      <c r="K109" s="11" t="s">
        <v>33</v>
      </c>
      <c r="L109" s="11" t="s">
        <v>4213</v>
      </c>
      <c r="M109" s="24" t="s">
        <v>1217</v>
      </c>
      <c r="N109" s="11"/>
      <c r="O109" s="11"/>
      <c r="P109" s="11"/>
      <c r="Q109" s="11">
        <v>1</v>
      </c>
    </row>
    <row r="110" spans="1:18" x14ac:dyDescent="0.25">
      <c r="A110" s="11"/>
      <c r="B110" s="11" t="s">
        <v>27</v>
      </c>
      <c r="C110" s="11" t="s">
        <v>2758</v>
      </c>
      <c r="D110" s="11" t="s">
        <v>4317</v>
      </c>
      <c r="E110" s="11" t="s">
        <v>4318</v>
      </c>
      <c r="F110" s="12">
        <v>1</v>
      </c>
      <c r="G110" s="12">
        <v>455</v>
      </c>
      <c r="H110" s="12">
        <v>25</v>
      </c>
      <c r="I110" s="12">
        <f t="shared" si="3"/>
        <v>430</v>
      </c>
      <c r="J110" s="11" t="s">
        <v>119</v>
      </c>
      <c r="K110" s="11" t="s">
        <v>33</v>
      </c>
      <c r="L110" s="11" t="s">
        <v>4213</v>
      </c>
      <c r="M110" s="11"/>
      <c r="N110" s="11"/>
      <c r="O110" s="11"/>
      <c r="P110" s="11"/>
      <c r="Q110" s="11">
        <v>1</v>
      </c>
    </row>
    <row r="111" spans="1:18" x14ac:dyDescent="0.25">
      <c r="A111" s="11"/>
      <c r="B111" s="11" t="s">
        <v>27</v>
      </c>
      <c r="C111" s="11" t="s">
        <v>4319</v>
      </c>
      <c r="D111" s="11" t="s">
        <v>4320</v>
      </c>
      <c r="E111" s="11" t="s">
        <v>4321</v>
      </c>
      <c r="F111" s="12">
        <v>4</v>
      </c>
      <c r="G111" s="12">
        <v>1188</v>
      </c>
      <c r="H111" s="12">
        <v>25</v>
      </c>
      <c r="I111" s="12">
        <f t="shared" si="3"/>
        <v>1163</v>
      </c>
      <c r="J111" s="11" t="s">
        <v>119</v>
      </c>
      <c r="K111" s="11" t="s">
        <v>33</v>
      </c>
      <c r="L111" s="11" t="s">
        <v>4213</v>
      </c>
      <c r="M111" s="24" t="s">
        <v>340</v>
      </c>
      <c r="N111" s="11"/>
      <c r="O111" s="11"/>
      <c r="P111" s="11"/>
      <c r="Q111" s="11">
        <v>1</v>
      </c>
      <c r="R111" s="5">
        <f>H111</f>
        <v>25</v>
      </c>
    </row>
    <row r="112" spans="1:18" x14ac:dyDescent="0.25">
      <c r="A112" s="11"/>
      <c r="B112" s="11" t="s">
        <v>27</v>
      </c>
      <c r="C112" s="11" t="s">
        <v>4325</v>
      </c>
      <c r="D112" s="11" t="s">
        <v>4326</v>
      </c>
      <c r="E112" s="11" t="s">
        <v>4327</v>
      </c>
      <c r="F112" s="12">
        <v>1</v>
      </c>
      <c r="G112" s="12">
        <v>235</v>
      </c>
      <c r="H112" s="12">
        <v>25</v>
      </c>
      <c r="I112" s="12">
        <f t="shared" si="3"/>
        <v>210</v>
      </c>
      <c r="J112" s="11" t="s">
        <v>119</v>
      </c>
      <c r="K112" s="11" t="s">
        <v>33</v>
      </c>
      <c r="L112" s="11" t="s">
        <v>4213</v>
      </c>
      <c r="M112" s="11"/>
      <c r="N112" s="11"/>
      <c r="O112" s="11"/>
      <c r="P112" s="11"/>
      <c r="Q112" s="11">
        <v>1</v>
      </c>
    </row>
    <row r="113" spans="1:18" x14ac:dyDescent="0.25">
      <c r="A113" s="11"/>
      <c r="B113" s="11" t="s">
        <v>27</v>
      </c>
      <c r="C113" s="11" t="s">
        <v>4328</v>
      </c>
      <c r="D113" s="11" t="s">
        <v>4329</v>
      </c>
      <c r="E113" s="11" t="s">
        <v>4330</v>
      </c>
      <c r="F113" s="12">
        <v>1</v>
      </c>
      <c r="G113" s="12">
        <v>1265</v>
      </c>
      <c r="H113" s="12">
        <v>25</v>
      </c>
      <c r="I113" s="12">
        <f t="shared" si="3"/>
        <v>1240</v>
      </c>
      <c r="J113" s="11" t="s">
        <v>119</v>
      </c>
      <c r="K113" s="11" t="s">
        <v>33</v>
      </c>
      <c r="L113" s="11" t="s">
        <v>4213</v>
      </c>
      <c r="M113" s="11"/>
      <c r="N113" s="11"/>
      <c r="O113" s="11"/>
      <c r="P113" s="11"/>
      <c r="Q113" s="11">
        <v>1</v>
      </c>
    </row>
    <row r="114" spans="1:18" x14ac:dyDescent="0.25">
      <c r="A114" s="11"/>
      <c r="B114" s="11" t="s">
        <v>27</v>
      </c>
      <c r="C114" s="11" t="s">
        <v>4336</v>
      </c>
      <c r="D114" s="11" t="s">
        <v>4337</v>
      </c>
      <c r="E114" s="11" t="s">
        <v>4338</v>
      </c>
      <c r="F114" s="12">
        <v>1</v>
      </c>
      <c r="G114" s="12">
        <v>1115</v>
      </c>
      <c r="H114" s="12">
        <v>25</v>
      </c>
      <c r="I114" s="12">
        <f t="shared" si="3"/>
        <v>1090</v>
      </c>
      <c r="J114" s="11" t="s">
        <v>119</v>
      </c>
      <c r="K114" s="11" t="s">
        <v>33</v>
      </c>
      <c r="L114" s="11" t="s">
        <v>4213</v>
      </c>
      <c r="M114" s="11"/>
      <c r="N114" s="11"/>
      <c r="O114" s="11"/>
      <c r="P114" s="11"/>
      <c r="Q114" s="11">
        <v>1</v>
      </c>
    </row>
    <row r="115" spans="1:18" x14ac:dyDescent="0.25">
      <c r="A115" s="11"/>
      <c r="B115" s="11" t="s">
        <v>27</v>
      </c>
      <c r="C115" s="11" t="s">
        <v>4173</v>
      </c>
      <c r="D115" s="11" t="s">
        <v>4351</v>
      </c>
      <c r="E115" s="11" t="s">
        <v>4352</v>
      </c>
      <c r="F115" s="11" t="s">
        <v>118</v>
      </c>
      <c r="G115" s="12">
        <v>368</v>
      </c>
      <c r="H115" s="12">
        <v>20</v>
      </c>
      <c r="I115" s="12">
        <f t="shared" si="3"/>
        <v>348</v>
      </c>
      <c r="J115" s="11" t="s">
        <v>119</v>
      </c>
      <c r="K115" s="11" t="s">
        <v>33</v>
      </c>
      <c r="L115" s="11" t="s">
        <v>4213</v>
      </c>
      <c r="M115" s="24" t="s">
        <v>340</v>
      </c>
      <c r="N115" s="11"/>
      <c r="O115" s="11"/>
      <c r="P115" s="11"/>
      <c r="Q115" s="11">
        <v>1</v>
      </c>
      <c r="R115" s="5">
        <f>H115</f>
        <v>20</v>
      </c>
    </row>
    <row r="116" spans="1:18" x14ac:dyDescent="0.25">
      <c r="A116" s="11"/>
      <c r="B116" s="11" t="s">
        <v>27</v>
      </c>
      <c r="C116" s="11" t="s">
        <v>3538</v>
      </c>
      <c r="D116" s="11" t="s">
        <v>4353</v>
      </c>
      <c r="E116" s="11" t="s">
        <v>4354</v>
      </c>
      <c r="F116" s="11" t="s">
        <v>118</v>
      </c>
      <c r="G116" s="12">
        <v>1250</v>
      </c>
      <c r="H116" s="12">
        <v>20</v>
      </c>
      <c r="I116" s="12">
        <f t="shared" si="3"/>
        <v>1230</v>
      </c>
      <c r="J116" s="11" t="s">
        <v>119</v>
      </c>
      <c r="K116" s="11" t="s">
        <v>33</v>
      </c>
      <c r="L116" s="11" t="s">
        <v>4213</v>
      </c>
      <c r="M116" s="11"/>
      <c r="N116" s="11"/>
      <c r="O116" s="11"/>
      <c r="P116" s="11"/>
      <c r="Q116" s="11">
        <v>1</v>
      </c>
    </row>
    <row r="117" spans="1:18" x14ac:dyDescent="0.25">
      <c r="A117" s="11"/>
      <c r="B117" s="11" t="s">
        <v>27</v>
      </c>
      <c r="C117" s="11" t="s">
        <v>4361</v>
      </c>
      <c r="D117" s="11" t="s">
        <v>4362</v>
      </c>
      <c r="E117" s="11" t="s">
        <v>4363</v>
      </c>
      <c r="F117" s="12">
        <v>3</v>
      </c>
      <c r="G117" s="12">
        <v>598</v>
      </c>
      <c r="H117" s="12">
        <v>25</v>
      </c>
      <c r="I117" s="12">
        <f t="shared" si="3"/>
        <v>573</v>
      </c>
      <c r="J117" s="11" t="s">
        <v>119</v>
      </c>
      <c r="K117" s="11" t="s">
        <v>33</v>
      </c>
      <c r="L117" s="11" t="s">
        <v>4213</v>
      </c>
      <c r="M117" s="24" t="s">
        <v>340</v>
      </c>
      <c r="N117" s="11"/>
      <c r="O117" s="11"/>
      <c r="P117" s="11"/>
      <c r="Q117" s="11">
        <v>1</v>
      </c>
      <c r="R117" s="5">
        <f>H117</f>
        <v>25</v>
      </c>
    </row>
    <row r="118" spans="1:18" x14ac:dyDescent="0.25">
      <c r="A118" s="11"/>
      <c r="B118" s="11" t="s">
        <v>27</v>
      </c>
      <c r="C118" s="11" t="s">
        <v>2181</v>
      </c>
      <c r="D118" s="11" t="s">
        <v>4367</v>
      </c>
      <c r="E118" s="11" t="s">
        <v>4368</v>
      </c>
      <c r="F118" s="12">
        <v>1</v>
      </c>
      <c r="G118" s="12">
        <v>765</v>
      </c>
      <c r="H118" s="12">
        <v>25</v>
      </c>
      <c r="I118" s="12">
        <f t="shared" si="3"/>
        <v>740</v>
      </c>
      <c r="J118" s="11" t="s">
        <v>119</v>
      </c>
      <c r="K118" s="11" t="s">
        <v>33</v>
      </c>
      <c r="L118" s="11" t="s">
        <v>4213</v>
      </c>
      <c r="M118" s="11"/>
      <c r="N118" s="11"/>
      <c r="O118" s="11"/>
      <c r="P118" s="11"/>
      <c r="Q118" s="11">
        <v>1</v>
      </c>
    </row>
    <row r="119" spans="1:18" x14ac:dyDescent="0.25">
      <c r="A119" s="11"/>
      <c r="B119" s="11" t="s">
        <v>27</v>
      </c>
      <c r="C119" s="11" t="s">
        <v>2079</v>
      </c>
      <c r="D119" s="11" t="s">
        <v>4372</v>
      </c>
      <c r="E119" s="11" t="s">
        <v>2081</v>
      </c>
      <c r="F119" s="12">
        <v>1</v>
      </c>
      <c r="G119" s="12">
        <v>345</v>
      </c>
      <c r="H119" s="12">
        <v>25</v>
      </c>
      <c r="I119" s="12">
        <f t="shared" si="3"/>
        <v>320</v>
      </c>
      <c r="J119" s="11" t="s">
        <v>119</v>
      </c>
      <c r="K119" s="11" t="s">
        <v>33</v>
      </c>
      <c r="L119" s="11" t="s">
        <v>4213</v>
      </c>
      <c r="M119" s="11"/>
      <c r="N119" s="11"/>
      <c r="O119" s="11"/>
      <c r="P119" s="11"/>
      <c r="Q119" s="11">
        <v>1</v>
      </c>
    </row>
    <row r="120" spans="1:18" x14ac:dyDescent="0.25">
      <c r="A120" s="11"/>
      <c r="B120" s="11" t="s">
        <v>27</v>
      </c>
      <c r="C120" s="11" t="s">
        <v>4391</v>
      </c>
      <c r="D120" s="11" t="s">
        <v>4392</v>
      </c>
      <c r="E120" s="11" t="s">
        <v>4393</v>
      </c>
      <c r="F120" s="11" t="s">
        <v>44</v>
      </c>
      <c r="G120" s="12">
        <v>235</v>
      </c>
      <c r="H120" s="12">
        <v>25</v>
      </c>
      <c r="I120" s="12">
        <f t="shared" si="3"/>
        <v>210</v>
      </c>
      <c r="J120" s="11" t="s">
        <v>119</v>
      </c>
      <c r="K120" s="11" t="s">
        <v>33</v>
      </c>
      <c r="L120" s="11" t="s">
        <v>4213</v>
      </c>
      <c r="M120" s="11"/>
      <c r="N120" s="11"/>
      <c r="O120" s="11"/>
      <c r="P120" s="11"/>
      <c r="Q120" s="11">
        <v>1</v>
      </c>
    </row>
    <row r="121" spans="1:18" x14ac:dyDescent="0.25">
      <c r="A121" s="11"/>
      <c r="B121" s="11" t="s">
        <v>27</v>
      </c>
      <c r="C121" s="11" t="s">
        <v>4400</v>
      </c>
      <c r="D121" s="11" t="s">
        <v>4401</v>
      </c>
      <c r="E121" s="11" t="s">
        <v>4402</v>
      </c>
      <c r="F121" s="12">
        <v>1</v>
      </c>
      <c r="G121" s="12">
        <v>1105</v>
      </c>
      <c r="H121" s="12">
        <v>25</v>
      </c>
      <c r="I121" s="12">
        <f t="shared" si="3"/>
        <v>1080</v>
      </c>
      <c r="J121" s="11" t="s">
        <v>119</v>
      </c>
      <c r="K121" s="11" t="s">
        <v>33</v>
      </c>
      <c r="L121" s="11" t="s">
        <v>4213</v>
      </c>
      <c r="M121" s="11"/>
      <c r="N121" s="11"/>
      <c r="O121" s="11"/>
      <c r="P121" s="11"/>
      <c r="Q121" s="11">
        <v>1</v>
      </c>
    </row>
    <row r="122" spans="1:18" x14ac:dyDescent="0.25">
      <c r="A122" s="11"/>
      <c r="B122" s="11" t="s">
        <v>27</v>
      </c>
      <c r="C122" s="11" t="s">
        <v>4407</v>
      </c>
      <c r="D122" s="11" t="s">
        <v>4408</v>
      </c>
      <c r="E122" s="11" t="s">
        <v>4409</v>
      </c>
      <c r="F122" s="12">
        <v>10</v>
      </c>
      <c r="G122" s="12">
        <v>1028</v>
      </c>
      <c r="H122" s="12">
        <v>25</v>
      </c>
      <c r="I122" s="12">
        <f t="shared" si="3"/>
        <v>1003</v>
      </c>
      <c r="J122" s="11" t="s">
        <v>119</v>
      </c>
      <c r="K122" s="11" t="s">
        <v>33</v>
      </c>
      <c r="L122" s="11" t="s">
        <v>4213</v>
      </c>
      <c r="M122" s="24" t="s">
        <v>4410</v>
      </c>
      <c r="N122" s="11"/>
      <c r="O122" s="11"/>
      <c r="P122" s="11"/>
      <c r="Q122" s="11">
        <v>1</v>
      </c>
      <c r="R122" s="5">
        <f>H122</f>
        <v>25</v>
      </c>
    </row>
    <row r="123" spans="1:18" x14ac:dyDescent="0.25">
      <c r="A123" s="11"/>
      <c r="B123" s="11" t="s">
        <v>27</v>
      </c>
      <c r="C123" s="11" t="s">
        <v>4407</v>
      </c>
      <c r="D123" s="11" t="s">
        <v>4506</v>
      </c>
      <c r="E123" s="11" t="s">
        <v>4409</v>
      </c>
      <c r="F123" s="12">
        <v>10</v>
      </c>
      <c r="G123" s="12">
        <v>450</v>
      </c>
      <c r="H123" s="12">
        <v>0</v>
      </c>
      <c r="I123" s="12">
        <f t="shared" si="3"/>
        <v>450</v>
      </c>
      <c r="J123" s="11" t="s">
        <v>119</v>
      </c>
      <c r="K123" s="11" t="s">
        <v>33</v>
      </c>
      <c r="L123" s="11" t="s">
        <v>4213</v>
      </c>
      <c r="M123" s="24" t="s">
        <v>1217</v>
      </c>
      <c r="N123" s="11"/>
      <c r="O123" s="11"/>
      <c r="P123" s="11"/>
      <c r="Q123" s="11">
        <v>1</v>
      </c>
    </row>
    <row r="124" spans="1:18" x14ac:dyDescent="0.25">
      <c r="A124" s="11"/>
      <c r="B124" s="11" t="s">
        <v>27</v>
      </c>
      <c r="C124" s="11" t="s">
        <v>4411</v>
      </c>
      <c r="D124" s="11" t="s">
        <v>4412</v>
      </c>
      <c r="E124" s="11" t="s">
        <v>4413</v>
      </c>
      <c r="F124" s="11" t="s">
        <v>118</v>
      </c>
      <c r="G124" s="12">
        <v>600</v>
      </c>
      <c r="H124" s="12">
        <v>20</v>
      </c>
      <c r="I124" s="12">
        <f t="shared" si="3"/>
        <v>580</v>
      </c>
      <c r="J124" s="11" t="s">
        <v>119</v>
      </c>
      <c r="K124" s="11" t="s">
        <v>33</v>
      </c>
      <c r="L124" s="11" t="s">
        <v>4213</v>
      </c>
      <c r="M124" s="11"/>
      <c r="N124" s="11"/>
      <c r="O124" s="11"/>
      <c r="P124" s="11"/>
      <c r="Q124" s="11">
        <v>1</v>
      </c>
    </row>
    <row r="125" spans="1:18" x14ac:dyDescent="0.25">
      <c r="A125" s="11"/>
      <c r="B125" s="11" t="s">
        <v>27</v>
      </c>
      <c r="C125" s="11" t="s">
        <v>4430</v>
      </c>
      <c r="D125" s="11" t="s">
        <v>4431</v>
      </c>
      <c r="E125" s="11" t="s">
        <v>4432</v>
      </c>
      <c r="F125" s="11" t="s">
        <v>44</v>
      </c>
      <c r="G125" s="12">
        <v>835</v>
      </c>
      <c r="H125" s="12">
        <v>25</v>
      </c>
      <c r="I125" s="12">
        <f t="shared" si="3"/>
        <v>810</v>
      </c>
      <c r="J125" s="11" t="s">
        <v>119</v>
      </c>
      <c r="K125" s="11" t="s">
        <v>33</v>
      </c>
      <c r="L125" s="11" t="s">
        <v>4213</v>
      </c>
      <c r="M125" s="11"/>
      <c r="N125" s="11"/>
      <c r="O125" s="11"/>
      <c r="P125" s="11"/>
      <c r="Q125" s="11">
        <v>1</v>
      </c>
    </row>
    <row r="126" spans="1:18" x14ac:dyDescent="0.25">
      <c r="A126" s="11"/>
      <c r="B126" s="11" t="s">
        <v>27</v>
      </c>
      <c r="C126" s="11" t="s">
        <v>4454</v>
      </c>
      <c r="D126" s="11" t="s">
        <v>4455</v>
      </c>
      <c r="E126" s="11" t="s">
        <v>4456</v>
      </c>
      <c r="F126" s="12">
        <v>1</v>
      </c>
      <c r="G126" s="12">
        <v>318</v>
      </c>
      <c r="H126" s="12">
        <v>25</v>
      </c>
      <c r="I126" s="12">
        <f t="shared" si="3"/>
        <v>293</v>
      </c>
      <c r="J126" s="11" t="s">
        <v>119</v>
      </c>
      <c r="K126" s="11" t="s">
        <v>33</v>
      </c>
      <c r="L126" s="11" t="s">
        <v>4213</v>
      </c>
      <c r="M126" s="24" t="s">
        <v>340</v>
      </c>
      <c r="N126" s="11"/>
      <c r="O126" s="11"/>
      <c r="P126" s="11"/>
      <c r="Q126" s="11">
        <v>1</v>
      </c>
      <c r="R126" s="5">
        <f>H126</f>
        <v>25</v>
      </c>
    </row>
    <row r="127" spans="1:18" x14ac:dyDescent="0.25">
      <c r="A127" s="11"/>
      <c r="B127" s="11" t="s">
        <v>27</v>
      </c>
      <c r="C127" s="11" t="s">
        <v>4460</v>
      </c>
      <c r="D127" s="11" t="s">
        <v>4461</v>
      </c>
      <c r="E127" s="11" t="s">
        <v>4462</v>
      </c>
      <c r="F127" s="12">
        <v>1</v>
      </c>
      <c r="G127" s="12">
        <v>315</v>
      </c>
      <c r="H127" s="12">
        <v>25</v>
      </c>
      <c r="I127" s="12">
        <f t="shared" si="3"/>
        <v>290</v>
      </c>
      <c r="J127" s="11" t="s">
        <v>119</v>
      </c>
      <c r="K127" s="11" t="s">
        <v>33</v>
      </c>
      <c r="L127" s="11" t="s">
        <v>4213</v>
      </c>
      <c r="M127" s="11"/>
      <c r="N127" s="11"/>
      <c r="O127" s="11"/>
      <c r="P127" s="11"/>
      <c r="Q127" s="11">
        <v>1</v>
      </c>
    </row>
    <row r="128" spans="1:18" x14ac:dyDescent="0.25">
      <c r="A128" s="11"/>
      <c r="B128" s="11" t="s">
        <v>27</v>
      </c>
      <c r="C128" s="11" t="s">
        <v>4466</v>
      </c>
      <c r="D128" s="11" t="s">
        <v>4467</v>
      </c>
      <c r="E128" s="11" t="s">
        <v>4468</v>
      </c>
      <c r="F128" s="12">
        <v>4</v>
      </c>
      <c r="G128" s="12">
        <v>295</v>
      </c>
      <c r="H128" s="12">
        <v>25</v>
      </c>
      <c r="I128" s="12">
        <f t="shared" si="3"/>
        <v>270</v>
      </c>
      <c r="J128" s="11" t="s">
        <v>119</v>
      </c>
      <c r="K128" s="11" t="s">
        <v>33</v>
      </c>
      <c r="L128" s="11" t="s">
        <v>4213</v>
      </c>
      <c r="M128" s="11"/>
      <c r="N128" s="11"/>
      <c r="O128" s="11"/>
      <c r="P128" s="11"/>
      <c r="Q128" s="11">
        <v>1</v>
      </c>
    </row>
    <row r="129" spans="1:18" x14ac:dyDescent="0.25">
      <c r="A129" s="11"/>
      <c r="B129" s="11" t="s">
        <v>27</v>
      </c>
      <c r="C129" s="11" t="s">
        <v>1936</v>
      </c>
      <c r="D129" s="11" t="s">
        <v>4478</v>
      </c>
      <c r="E129" s="11" t="s">
        <v>4479</v>
      </c>
      <c r="F129" s="12">
        <v>5</v>
      </c>
      <c r="G129" s="12">
        <v>588</v>
      </c>
      <c r="H129" s="12">
        <v>25</v>
      </c>
      <c r="I129" s="12">
        <f t="shared" si="3"/>
        <v>563</v>
      </c>
      <c r="J129" s="11" t="s">
        <v>119</v>
      </c>
      <c r="K129" s="11" t="s">
        <v>33</v>
      </c>
      <c r="L129" s="11" t="s">
        <v>4213</v>
      </c>
      <c r="M129" s="24" t="s">
        <v>340</v>
      </c>
      <c r="N129" s="11"/>
      <c r="O129" s="11"/>
      <c r="P129" s="11"/>
      <c r="Q129" s="11">
        <v>1</v>
      </c>
      <c r="R129" s="5">
        <f>H129</f>
        <v>25</v>
      </c>
    </row>
    <row r="130" spans="1:18" s="15" customFormat="1" x14ac:dyDescent="0.25">
      <c r="A130" s="13"/>
      <c r="B130" s="13" t="s">
        <v>27</v>
      </c>
      <c r="C130" s="13" t="s">
        <v>4486</v>
      </c>
      <c r="D130" s="13" t="s">
        <v>4487</v>
      </c>
      <c r="E130" s="13" t="s">
        <v>2561</v>
      </c>
      <c r="F130" s="14">
        <v>3</v>
      </c>
      <c r="G130" s="14">
        <v>0</v>
      </c>
      <c r="H130" s="14">
        <v>25</v>
      </c>
      <c r="I130" s="14">
        <f t="shared" si="3"/>
        <v>-25</v>
      </c>
      <c r="J130" s="13" t="s">
        <v>119</v>
      </c>
      <c r="K130" s="13" t="s">
        <v>33</v>
      </c>
      <c r="L130" s="13" t="s">
        <v>4213</v>
      </c>
      <c r="M130" s="13" t="s">
        <v>100</v>
      </c>
      <c r="N130" s="13"/>
      <c r="O130" s="13"/>
      <c r="P130" s="13"/>
      <c r="Q130" s="13">
        <v>1</v>
      </c>
      <c r="R130" s="19">
        <f>H130</f>
        <v>25</v>
      </c>
    </row>
    <row r="131" spans="1:18" x14ac:dyDescent="0.25">
      <c r="A131" s="11"/>
      <c r="B131" s="11" t="s">
        <v>27</v>
      </c>
      <c r="C131" s="11" t="s">
        <v>4507</v>
      </c>
      <c r="D131" s="11" t="s">
        <v>4508</v>
      </c>
      <c r="E131" s="11" t="s">
        <v>4509</v>
      </c>
      <c r="F131" s="11" t="s">
        <v>44</v>
      </c>
      <c r="G131" s="12">
        <v>805</v>
      </c>
      <c r="H131" s="12">
        <v>25</v>
      </c>
      <c r="I131" s="12">
        <f t="shared" ref="I131:I151" si="4">G131-H131</f>
        <v>780</v>
      </c>
      <c r="J131" s="11" t="s">
        <v>119</v>
      </c>
      <c r="K131" s="11" t="s">
        <v>33</v>
      </c>
      <c r="L131" s="11" t="s">
        <v>4213</v>
      </c>
      <c r="M131" s="11"/>
      <c r="N131" s="11"/>
      <c r="O131" s="11"/>
      <c r="P131" s="11"/>
      <c r="Q131" s="11">
        <v>1</v>
      </c>
    </row>
    <row r="132" spans="1:18" x14ac:dyDescent="0.25">
      <c r="A132" s="11"/>
      <c r="B132" s="11" t="s">
        <v>27</v>
      </c>
      <c r="C132" s="11" t="s">
        <v>4533</v>
      </c>
      <c r="D132" s="11" t="s">
        <v>4534</v>
      </c>
      <c r="E132" s="11" t="s">
        <v>4535</v>
      </c>
      <c r="F132" s="11" t="s">
        <v>118</v>
      </c>
      <c r="G132" s="12">
        <v>640</v>
      </c>
      <c r="H132" s="12">
        <v>20</v>
      </c>
      <c r="I132" s="12">
        <f t="shared" si="4"/>
        <v>620</v>
      </c>
      <c r="J132" s="11" t="s">
        <v>119</v>
      </c>
      <c r="K132" s="11" t="s">
        <v>33</v>
      </c>
      <c r="L132" s="11" t="s">
        <v>4213</v>
      </c>
      <c r="M132" s="11"/>
      <c r="N132" s="11"/>
      <c r="O132" s="11"/>
      <c r="P132" s="11"/>
      <c r="Q132" s="11">
        <v>1</v>
      </c>
    </row>
    <row r="133" spans="1:18" x14ac:dyDescent="0.25">
      <c r="A133" s="11"/>
      <c r="B133" s="11" t="s">
        <v>27</v>
      </c>
      <c r="C133" s="11" t="s">
        <v>4558</v>
      </c>
      <c r="D133" s="11" t="s">
        <v>4559</v>
      </c>
      <c r="E133" s="11" t="s">
        <v>6068</v>
      </c>
      <c r="F133" s="12">
        <v>1</v>
      </c>
      <c r="G133" s="12">
        <v>1008</v>
      </c>
      <c r="H133" s="12">
        <v>25</v>
      </c>
      <c r="I133" s="12">
        <f t="shared" si="4"/>
        <v>983</v>
      </c>
      <c r="J133" s="11" t="s">
        <v>119</v>
      </c>
      <c r="K133" s="11" t="s">
        <v>33</v>
      </c>
      <c r="L133" s="11" t="s">
        <v>4213</v>
      </c>
      <c r="M133" s="24" t="s">
        <v>340</v>
      </c>
      <c r="N133" s="11"/>
      <c r="O133" s="11"/>
      <c r="P133" s="11"/>
      <c r="Q133" s="11">
        <v>1</v>
      </c>
      <c r="R133" s="5">
        <f>H133</f>
        <v>25</v>
      </c>
    </row>
    <row r="134" spans="1:18" x14ac:dyDescent="0.25">
      <c r="A134" s="11"/>
      <c r="B134" s="11" t="s">
        <v>27</v>
      </c>
      <c r="C134" s="11" t="s">
        <v>4569</v>
      </c>
      <c r="D134" s="11" t="s">
        <v>4570</v>
      </c>
      <c r="E134" s="11" t="s">
        <v>4571</v>
      </c>
      <c r="F134" s="11" t="s">
        <v>118</v>
      </c>
      <c r="G134" s="12">
        <v>560</v>
      </c>
      <c r="H134" s="12">
        <v>20</v>
      </c>
      <c r="I134" s="12">
        <f t="shared" si="4"/>
        <v>540</v>
      </c>
      <c r="J134" s="11" t="s">
        <v>119</v>
      </c>
      <c r="K134" s="11" t="s">
        <v>33</v>
      </c>
      <c r="L134" s="11" t="s">
        <v>4213</v>
      </c>
      <c r="M134" s="11"/>
      <c r="N134" s="11"/>
      <c r="O134" s="11"/>
      <c r="P134" s="11"/>
      <c r="Q134" s="11">
        <v>1</v>
      </c>
    </row>
    <row r="135" spans="1:18" x14ac:dyDescent="0.25">
      <c r="A135" s="11"/>
      <c r="B135" s="11" t="s">
        <v>27</v>
      </c>
      <c r="C135" s="11" t="s">
        <v>2806</v>
      </c>
      <c r="D135" s="11" t="s">
        <v>4586</v>
      </c>
      <c r="E135" s="11" t="s">
        <v>4587</v>
      </c>
      <c r="F135" s="11" t="s">
        <v>44</v>
      </c>
      <c r="G135" s="12">
        <v>1115</v>
      </c>
      <c r="H135" s="12">
        <v>25</v>
      </c>
      <c r="I135" s="12">
        <f t="shared" si="4"/>
        <v>1090</v>
      </c>
      <c r="J135" s="11" t="s">
        <v>119</v>
      </c>
      <c r="K135" s="11" t="s">
        <v>33</v>
      </c>
      <c r="L135" s="11" t="s">
        <v>4213</v>
      </c>
      <c r="M135" s="11"/>
      <c r="N135" s="11"/>
      <c r="O135" s="11"/>
      <c r="P135" s="11"/>
      <c r="Q135" s="11">
        <v>1</v>
      </c>
    </row>
    <row r="136" spans="1:18" s="2" customFormat="1" x14ac:dyDescent="0.25">
      <c r="A136" s="16"/>
      <c r="B136" s="16" t="s">
        <v>27</v>
      </c>
      <c r="C136" s="16" t="s">
        <v>4220</v>
      </c>
      <c r="D136" s="16" t="s">
        <v>4221</v>
      </c>
      <c r="E136" s="16" t="s">
        <v>4222</v>
      </c>
      <c r="F136" s="16" t="s">
        <v>996</v>
      </c>
      <c r="G136" s="17">
        <v>810</v>
      </c>
      <c r="H136" s="17">
        <v>0</v>
      </c>
      <c r="I136" s="17">
        <f t="shared" si="4"/>
        <v>810</v>
      </c>
      <c r="J136" s="16" t="s">
        <v>153</v>
      </c>
      <c r="K136" s="16" t="s">
        <v>33</v>
      </c>
      <c r="L136" s="16" t="s">
        <v>4213</v>
      </c>
      <c r="M136" s="16" t="s">
        <v>997</v>
      </c>
      <c r="N136" s="16" t="s">
        <v>156</v>
      </c>
      <c r="O136" s="16"/>
      <c r="P136" s="16" t="s">
        <v>157</v>
      </c>
      <c r="Q136" s="16">
        <v>1</v>
      </c>
    </row>
    <row r="137" spans="1:18" s="2" customFormat="1" x14ac:dyDescent="0.25">
      <c r="A137" s="16"/>
      <c r="B137" s="16" t="s">
        <v>27</v>
      </c>
      <c r="C137" s="16" t="s">
        <v>4242</v>
      </c>
      <c r="D137" s="16" t="s">
        <v>4243</v>
      </c>
      <c r="E137" s="16" t="s">
        <v>4244</v>
      </c>
      <c r="F137" s="16" t="s">
        <v>996</v>
      </c>
      <c r="G137" s="17">
        <v>260</v>
      </c>
      <c r="H137" s="17">
        <v>0</v>
      </c>
      <c r="I137" s="17">
        <f t="shared" si="4"/>
        <v>260</v>
      </c>
      <c r="J137" s="16" t="s">
        <v>153</v>
      </c>
      <c r="K137" s="16" t="s">
        <v>33</v>
      </c>
      <c r="L137" s="16" t="s">
        <v>4213</v>
      </c>
      <c r="M137" s="16" t="s">
        <v>997</v>
      </c>
      <c r="N137" s="16" t="s">
        <v>156</v>
      </c>
      <c r="O137" s="16"/>
      <c r="P137" s="16" t="s">
        <v>157</v>
      </c>
      <c r="Q137" s="16">
        <v>1</v>
      </c>
    </row>
    <row r="138" spans="1:18" s="2" customFormat="1" x14ac:dyDescent="0.25">
      <c r="A138" s="16"/>
      <c r="B138" s="16" t="s">
        <v>27</v>
      </c>
      <c r="C138" s="16" t="s">
        <v>4248</v>
      </c>
      <c r="D138" s="16" t="s">
        <v>4249</v>
      </c>
      <c r="E138" s="16" t="s">
        <v>4250</v>
      </c>
      <c r="F138" s="16" t="s">
        <v>996</v>
      </c>
      <c r="G138" s="17">
        <v>420</v>
      </c>
      <c r="H138" s="17">
        <v>0</v>
      </c>
      <c r="I138" s="17">
        <f t="shared" si="4"/>
        <v>420</v>
      </c>
      <c r="J138" s="16" t="s">
        <v>153</v>
      </c>
      <c r="K138" s="16" t="s">
        <v>33</v>
      </c>
      <c r="L138" s="16" t="s">
        <v>4213</v>
      </c>
      <c r="M138" s="16" t="s">
        <v>997</v>
      </c>
      <c r="N138" s="16" t="s">
        <v>156</v>
      </c>
      <c r="O138" s="16"/>
      <c r="P138" s="16" t="s">
        <v>157</v>
      </c>
      <c r="Q138" s="16">
        <v>1</v>
      </c>
    </row>
    <row r="139" spans="1:18" s="2" customFormat="1" x14ac:dyDescent="0.25">
      <c r="A139" s="16"/>
      <c r="B139" s="16" t="s">
        <v>27</v>
      </c>
      <c r="C139" s="16" t="s">
        <v>4266</v>
      </c>
      <c r="D139" s="16" t="s">
        <v>4267</v>
      </c>
      <c r="E139" s="16" t="s">
        <v>4268</v>
      </c>
      <c r="F139" s="16" t="s">
        <v>996</v>
      </c>
      <c r="G139" s="17">
        <v>440</v>
      </c>
      <c r="H139" s="17">
        <v>0</v>
      </c>
      <c r="I139" s="17">
        <f t="shared" si="4"/>
        <v>440</v>
      </c>
      <c r="J139" s="16" t="s">
        <v>153</v>
      </c>
      <c r="K139" s="16" t="s">
        <v>33</v>
      </c>
      <c r="L139" s="16" t="s">
        <v>4213</v>
      </c>
      <c r="M139" s="16" t="s">
        <v>997</v>
      </c>
      <c r="N139" s="16" t="s">
        <v>156</v>
      </c>
      <c r="O139" s="16"/>
      <c r="P139" s="16" t="s">
        <v>157</v>
      </c>
      <c r="Q139" s="16">
        <v>1</v>
      </c>
    </row>
    <row r="140" spans="1:18" s="2" customFormat="1" x14ac:dyDescent="0.25">
      <c r="A140" s="16"/>
      <c r="B140" s="16" t="s">
        <v>27</v>
      </c>
      <c r="C140" s="16" t="s">
        <v>4314</v>
      </c>
      <c r="D140" s="16" t="s">
        <v>4315</v>
      </c>
      <c r="E140" s="16" t="s">
        <v>4316</v>
      </c>
      <c r="F140" s="16" t="s">
        <v>996</v>
      </c>
      <c r="G140" s="17">
        <v>940</v>
      </c>
      <c r="H140" s="17">
        <v>0</v>
      </c>
      <c r="I140" s="17">
        <f t="shared" si="4"/>
        <v>940</v>
      </c>
      <c r="J140" s="16" t="s">
        <v>153</v>
      </c>
      <c r="K140" s="16" t="s">
        <v>33</v>
      </c>
      <c r="L140" s="16" t="s">
        <v>4213</v>
      </c>
      <c r="M140" s="16" t="s">
        <v>997</v>
      </c>
      <c r="N140" s="16" t="s">
        <v>156</v>
      </c>
      <c r="O140" s="16"/>
      <c r="P140" s="16" t="s">
        <v>157</v>
      </c>
      <c r="Q140" s="16">
        <v>1</v>
      </c>
    </row>
    <row r="141" spans="1:18" s="2" customFormat="1" x14ac:dyDescent="0.25">
      <c r="A141" s="16"/>
      <c r="B141" s="16" t="s">
        <v>27</v>
      </c>
      <c r="C141" s="16" t="s">
        <v>4348</v>
      </c>
      <c r="D141" s="16" t="s">
        <v>4349</v>
      </c>
      <c r="E141" s="16" t="s">
        <v>4350</v>
      </c>
      <c r="F141" s="16" t="s">
        <v>996</v>
      </c>
      <c r="G141" s="17">
        <v>620</v>
      </c>
      <c r="H141" s="17">
        <v>0</v>
      </c>
      <c r="I141" s="17">
        <f t="shared" si="4"/>
        <v>620</v>
      </c>
      <c r="J141" s="16" t="s">
        <v>153</v>
      </c>
      <c r="K141" s="16" t="s">
        <v>33</v>
      </c>
      <c r="L141" s="16" t="s">
        <v>4213</v>
      </c>
      <c r="M141" s="16" t="s">
        <v>997</v>
      </c>
      <c r="N141" s="16" t="s">
        <v>156</v>
      </c>
      <c r="O141" s="16"/>
      <c r="P141" s="16" t="s">
        <v>157</v>
      </c>
      <c r="Q141" s="16">
        <v>1</v>
      </c>
    </row>
    <row r="142" spans="1:18" s="2" customFormat="1" x14ac:dyDescent="0.25">
      <c r="A142" s="16"/>
      <c r="B142" s="16" t="s">
        <v>27</v>
      </c>
      <c r="C142" s="16" t="s">
        <v>2009</v>
      </c>
      <c r="D142" s="16" t="s">
        <v>2010</v>
      </c>
      <c r="E142" s="16" t="s">
        <v>2011</v>
      </c>
      <c r="F142" s="17">
        <v>9</v>
      </c>
      <c r="G142" s="17">
        <v>850</v>
      </c>
      <c r="H142" s="17">
        <v>30</v>
      </c>
      <c r="I142" s="17">
        <f t="shared" si="4"/>
        <v>820</v>
      </c>
      <c r="J142" s="16" t="s">
        <v>153</v>
      </c>
      <c r="K142" s="16" t="s">
        <v>33</v>
      </c>
      <c r="L142" s="16" t="s">
        <v>1827</v>
      </c>
      <c r="M142" s="16" t="s">
        <v>155</v>
      </c>
      <c r="N142" s="16" t="s">
        <v>156</v>
      </c>
      <c r="O142" s="16" t="s">
        <v>156</v>
      </c>
      <c r="P142" s="16" t="s">
        <v>157</v>
      </c>
      <c r="Q142" s="16">
        <v>1</v>
      </c>
    </row>
    <row r="143" spans="1:18" s="2" customFormat="1" x14ac:dyDescent="0.25">
      <c r="A143" s="16"/>
      <c r="B143" s="16" t="s">
        <v>27</v>
      </c>
      <c r="C143" s="16" t="s">
        <v>3808</v>
      </c>
      <c r="D143" s="16" t="s">
        <v>3809</v>
      </c>
      <c r="E143" s="16" t="s">
        <v>3810</v>
      </c>
      <c r="F143" s="16" t="s">
        <v>55</v>
      </c>
      <c r="G143" s="17">
        <v>465</v>
      </c>
      <c r="H143" s="17">
        <v>35</v>
      </c>
      <c r="I143" s="17">
        <f t="shared" si="4"/>
        <v>430</v>
      </c>
      <c r="J143" s="16" t="s">
        <v>153</v>
      </c>
      <c r="K143" s="16" t="s">
        <v>33</v>
      </c>
      <c r="L143" s="16" t="s">
        <v>3430</v>
      </c>
      <c r="M143" s="16" t="s">
        <v>155</v>
      </c>
      <c r="N143" s="16" t="s">
        <v>156</v>
      </c>
      <c r="O143" s="16" t="s">
        <v>156</v>
      </c>
      <c r="P143" s="16" t="s">
        <v>157</v>
      </c>
      <c r="Q143" s="16">
        <v>1</v>
      </c>
    </row>
    <row r="144" spans="1:18" s="2" customFormat="1" x14ac:dyDescent="0.25">
      <c r="A144" s="16"/>
      <c r="B144" s="16" t="s">
        <v>27</v>
      </c>
      <c r="C144" s="16" t="s">
        <v>2758</v>
      </c>
      <c r="D144" s="16" t="s">
        <v>2759</v>
      </c>
      <c r="E144" s="16" t="s">
        <v>2760</v>
      </c>
      <c r="F144" s="16" t="s">
        <v>48</v>
      </c>
      <c r="G144" s="17">
        <v>1170</v>
      </c>
      <c r="H144" s="17">
        <v>30</v>
      </c>
      <c r="I144" s="17">
        <f t="shared" si="4"/>
        <v>1140</v>
      </c>
      <c r="J144" s="16" t="s">
        <v>153</v>
      </c>
      <c r="K144" s="16" t="s">
        <v>33</v>
      </c>
      <c r="L144" s="16" t="s">
        <v>2667</v>
      </c>
      <c r="M144" s="16" t="s">
        <v>155</v>
      </c>
      <c r="N144" s="16" t="s">
        <v>156</v>
      </c>
      <c r="O144" s="16" t="s">
        <v>156</v>
      </c>
      <c r="P144" s="16" t="s">
        <v>157</v>
      </c>
      <c r="Q144" s="16">
        <v>1</v>
      </c>
    </row>
    <row r="145" spans="1:17" s="2" customFormat="1" x14ac:dyDescent="0.25">
      <c r="A145" s="16"/>
      <c r="B145" s="16" t="s">
        <v>27</v>
      </c>
      <c r="C145" s="16" t="s">
        <v>2378</v>
      </c>
      <c r="D145" s="16" t="s">
        <v>2379</v>
      </c>
      <c r="E145" s="16" t="s">
        <v>2380</v>
      </c>
      <c r="F145" s="17">
        <v>7</v>
      </c>
      <c r="G145" s="17">
        <v>1100</v>
      </c>
      <c r="H145" s="17">
        <v>30</v>
      </c>
      <c r="I145" s="17">
        <f t="shared" si="4"/>
        <v>1070</v>
      </c>
      <c r="J145" s="16" t="s">
        <v>153</v>
      </c>
      <c r="K145" s="16" t="s">
        <v>33</v>
      </c>
      <c r="L145" s="16" t="s">
        <v>2122</v>
      </c>
      <c r="M145" s="16" t="s">
        <v>155</v>
      </c>
      <c r="N145" s="16" t="s">
        <v>156</v>
      </c>
      <c r="O145" s="16" t="s">
        <v>156</v>
      </c>
      <c r="P145" s="16" t="s">
        <v>157</v>
      </c>
      <c r="Q145" s="16">
        <v>1</v>
      </c>
    </row>
    <row r="146" spans="1:17" s="2" customFormat="1" x14ac:dyDescent="0.25">
      <c r="A146" s="16"/>
      <c r="B146" s="16" t="s">
        <v>27</v>
      </c>
      <c r="C146" s="16" t="s">
        <v>2160</v>
      </c>
      <c r="D146" s="16" t="s">
        <v>2161</v>
      </c>
      <c r="E146" s="16" t="s">
        <v>2162</v>
      </c>
      <c r="F146" s="16" t="s">
        <v>202</v>
      </c>
      <c r="G146" s="17">
        <v>995</v>
      </c>
      <c r="H146" s="17">
        <v>35</v>
      </c>
      <c r="I146" s="17">
        <f t="shared" si="4"/>
        <v>960</v>
      </c>
      <c r="J146" s="16" t="s">
        <v>153</v>
      </c>
      <c r="K146" s="16" t="s">
        <v>33</v>
      </c>
      <c r="L146" s="16" t="s">
        <v>2122</v>
      </c>
      <c r="M146" s="16" t="s">
        <v>155</v>
      </c>
      <c r="N146" s="16" t="s">
        <v>156</v>
      </c>
      <c r="O146" s="16" t="s">
        <v>156</v>
      </c>
      <c r="P146" s="16" t="s">
        <v>157</v>
      </c>
      <c r="Q146" s="16">
        <v>1</v>
      </c>
    </row>
    <row r="147" spans="1:17" s="2" customFormat="1" x14ac:dyDescent="0.25">
      <c r="A147" s="16"/>
      <c r="B147" s="16" t="s">
        <v>27</v>
      </c>
      <c r="C147" s="16" t="s">
        <v>2172</v>
      </c>
      <c r="D147" s="16" t="s">
        <v>2173</v>
      </c>
      <c r="E147" s="16" t="s">
        <v>2174</v>
      </c>
      <c r="F147" s="17">
        <v>9</v>
      </c>
      <c r="G147" s="17">
        <v>400</v>
      </c>
      <c r="H147" s="17">
        <v>30</v>
      </c>
      <c r="I147" s="17">
        <f t="shared" si="4"/>
        <v>370</v>
      </c>
      <c r="J147" s="16" t="s">
        <v>153</v>
      </c>
      <c r="K147" s="16" t="s">
        <v>33</v>
      </c>
      <c r="L147" s="16" t="s">
        <v>2122</v>
      </c>
      <c r="M147" s="16" t="s">
        <v>155</v>
      </c>
      <c r="N147" s="16" t="s">
        <v>156</v>
      </c>
      <c r="O147" s="16" t="s">
        <v>156</v>
      </c>
      <c r="P147" s="16" t="s">
        <v>157</v>
      </c>
      <c r="Q147" s="16">
        <v>1</v>
      </c>
    </row>
    <row r="148" spans="1:17" s="2" customFormat="1" x14ac:dyDescent="0.25">
      <c r="A148" s="16"/>
      <c r="B148" s="16" t="s">
        <v>27</v>
      </c>
      <c r="C148" s="16" t="s">
        <v>2310</v>
      </c>
      <c r="D148" s="16" t="s">
        <v>2311</v>
      </c>
      <c r="E148" s="16" t="s">
        <v>2312</v>
      </c>
      <c r="F148" s="17">
        <v>7</v>
      </c>
      <c r="G148" s="17">
        <v>1030</v>
      </c>
      <c r="H148" s="17">
        <v>30</v>
      </c>
      <c r="I148" s="17">
        <f t="shared" si="4"/>
        <v>1000</v>
      </c>
      <c r="J148" s="16" t="s">
        <v>153</v>
      </c>
      <c r="K148" s="16" t="s">
        <v>33</v>
      </c>
      <c r="L148" s="16" t="s">
        <v>2122</v>
      </c>
      <c r="M148" s="16" t="s">
        <v>155</v>
      </c>
      <c r="N148" s="16" t="s">
        <v>156</v>
      </c>
      <c r="O148" s="16" t="s">
        <v>156</v>
      </c>
      <c r="P148" s="16" t="s">
        <v>157</v>
      </c>
      <c r="Q148" s="16">
        <v>1</v>
      </c>
    </row>
    <row r="149" spans="1:17" s="2" customFormat="1" x14ac:dyDescent="0.25">
      <c r="A149" s="16"/>
      <c r="B149" s="16" t="s">
        <v>27</v>
      </c>
      <c r="C149" s="16" t="s">
        <v>3697</v>
      </c>
      <c r="D149" s="16" t="s">
        <v>3698</v>
      </c>
      <c r="E149" s="16" t="s">
        <v>3699</v>
      </c>
      <c r="F149" s="17">
        <v>3</v>
      </c>
      <c r="G149" s="17">
        <v>715</v>
      </c>
      <c r="H149" s="17">
        <v>25</v>
      </c>
      <c r="I149" s="17">
        <f t="shared" si="4"/>
        <v>690</v>
      </c>
      <c r="J149" s="16" t="s">
        <v>153</v>
      </c>
      <c r="K149" s="16" t="s">
        <v>33</v>
      </c>
      <c r="L149" s="16" t="s">
        <v>3430</v>
      </c>
      <c r="M149" s="16" t="s">
        <v>155</v>
      </c>
      <c r="N149" s="16" t="s">
        <v>156</v>
      </c>
      <c r="O149" s="16" t="s">
        <v>156</v>
      </c>
      <c r="P149" s="16" t="s">
        <v>157</v>
      </c>
      <c r="Q149" s="16">
        <v>1</v>
      </c>
    </row>
    <row r="150" spans="1:17" s="2" customFormat="1" x14ac:dyDescent="0.25">
      <c r="A150" s="16"/>
      <c r="B150" s="16" t="s">
        <v>27</v>
      </c>
      <c r="C150" s="16" t="s">
        <v>3087</v>
      </c>
      <c r="D150" s="16" t="s">
        <v>3088</v>
      </c>
      <c r="E150" s="16" t="s">
        <v>3089</v>
      </c>
      <c r="F150" s="17">
        <v>3</v>
      </c>
      <c r="G150" s="17">
        <v>1105</v>
      </c>
      <c r="H150" s="17">
        <v>25</v>
      </c>
      <c r="I150" s="17">
        <f t="shared" si="4"/>
        <v>1080</v>
      </c>
      <c r="J150" s="16" t="s">
        <v>153</v>
      </c>
      <c r="K150" s="16" t="s">
        <v>33</v>
      </c>
      <c r="L150" s="16" t="s">
        <v>2667</v>
      </c>
      <c r="M150" s="16" t="s">
        <v>155</v>
      </c>
      <c r="N150" s="16" t="s">
        <v>156</v>
      </c>
      <c r="O150" s="16" t="s">
        <v>156</v>
      </c>
      <c r="P150" s="16" t="s">
        <v>157</v>
      </c>
      <c r="Q150" s="16">
        <v>1</v>
      </c>
    </row>
    <row r="151" spans="1:17" s="2" customFormat="1" x14ac:dyDescent="0.25">
      <c r="A151" s="16"/>
      <c r="B151" s="16" t="s">
        <v>27</v>
      </c>
      <c r="C151" s="16" t="s">
        <v>3688</v>
      </c>
      <c r="D151" s="16" t="s">
        <v>3689</v>
      </c>
      <c r="E151" s="16" t="s">
        <v>3125</v>
      </c>
      <c r="F151" s="16" t="s">
        <v>44</v>
      </c>
      <c r="G151" s="17">
        <v>435</v>
      </c>
      <c r="H151" s="17">
        <v>25</v>
      </c>
      <c r="I151" s="17">
        <f t="shared" si="4"/>
        <v>410</v>
      </c>
      <c r="J151" s="16" t="s">
        <v>153</v>
      </c>
      <c r="K151" s="16" t="s">
        <v>33</v>
      </c>
      <c r="L151" s="16" t="s">
        <v>3430</v>
      </c>
      <c r="M151" s="16" t="s">
        <v>155</v>
      </c>
      <c r="N151" s="16" t="s">
        <v>156</v>
      </c>
      <c r="O151" s="16" t="s">
        <v>156</v>
      </c>
      <c r="P151" s="16" t="s">
        <v>157</v>
      </c>
      <c r="Q151" s="16">
        <v>1</v>
      </c>
    </row>
    <row r="153" spans="1:17" x14ac:dyDescent="0.25">
      <c r="D153" s="1">
        <f>COUNTA(D3:D151)</f>
        <v>147</v>
      </c>
      <c r="G153" s="1">
        <f t="shared" ref="G153:Q153" si="5">SUBTOTAL(9,G3:G151)</f>
        <v>118857</v>
      </c>
      <c r="H153" s="1">
        <f t="shared" si="5"/>
        <v>3815</v>
      </c>
      <c r="I153" s="1">
        <f t="shared" si="5"/>
        <v>115042</v>
      </c>
      <c r="J153" s="1">
        <f t="shared" si="5"/>
        <v>0</v>
      </c>
      <c r="K153" s="1">
        <f t="shared" si="5"/>
        <v>0</v>
      </c>
      <c r="L153" s="1">
        <f t="shared" si="5"/>
        <v>0</v>
      </c>
      <c r="M153" s="1">
        <f t="shared" si="5"/>
        <v>0</v>
      </c>
      <c r="N153" s="1">
        <f t="shared" si="5"/>
        <v>0</v>
      </c>
      <c r="O153" s="1">
        <f t="shared" si="5"/>
        <v>0</v>
      </c>
      <c r="P153" s="1">
        <f t="shared" si="5"/>
        <v>0</v>
      </c>
      <c r="Q153" s="1">
        <f t="shared" si="5"/>
        <v>149</v>
      </c>
    </row>
    <row r="154" spans="1:17" x14ac:dyDescent="0.25">
      <c r="H154">
        <f>-28*17</f>
        <v>-476</v>
      </c>
      <c r="I154">
        <f>25*3</f>
        <v>75</v>
      </c>
    </row>
    <row r="155" spans="1:17" x14ac:dyDescent="0.25">
      <c r="A155" s="1" t="s">
        <v>27</v>
      </c>
      <c r="C155" s="60" t="s">
        <v>158</v>
      </c>
      <c r="D155" s="60"/>
      <c r="E155" s="4" t="s">
        <v>159</v>
      </c>
      <c r="H155">
        <f>-26*25</f>
        <v>-650</v>
      </c>
      <c r="I155">
        <f>30*2</f>
        <v>60</v>
      </c>
      <c r="K155" s="6" t="s">
        <v>4212</v>
      </c>
      <c r="L155" s="6" t="s">
        <v>160</v>
      </c>
      <c r="M155" s="6" t="s">
        <v>159</v>
      </c>
      <c r="O155" s="4" t="s">
        <v>161</v>
      </c>
    </row>
    <row r="156" spans="1:17" x14ac:dyDescent="0.25">
      <c r="A156" t="s">
        <v>4213</v>
      </c>
      <c r="B156" s="3" t="s">
        <v>162</v>
      </c>
      <c r="C156" s="61">
        <f>SUMIFS(I$3:I$151,B$3:B$151,A$155,L$3:L$151,A$156)</f>
        <v>107072</v>
      </c>
      <c r="D156" s="61"/>
      <c r="E156" s="3">
        <f>SUMIFS(Q$3:Q$151,B$3:B$151,A$155,L$3:L$151,A$156)</f>
        <v>139</v>
      </c>
      <c r="F156" t="s">
        <v>163</v>
      </c>
      <c r="H156">
        <f>-7*30</f>
        <v>-210</v>
      </c>
      <c r="I156">
        <f>17*2</f>
        <v>34</v>
      </c>
      <c r="K156" t="s">
        <v>164</v>
      </c>
      <c r="L156">
        <f>SUMIFS(G$3:G$151,J$3:J$151,K$155)</f>
        <v>51150</v>
      </c>
      <c r="M156">
        <f>SUMIFS(Q$3:Q$151,J$3:J$151,K$155)-INT(COUNTIFS(J$3:J$151,K$155,M$3:M$151,"*gộp*")/2)</f>
        <v>61</v>
      </c>
      <c r="O156" t="s">
        <v>4588</v>
      </c>
      <c r="P156">
        <f>L161</f>
        <v>43855</v>
      </c>
    </row>
    <row r="157" spans="1:17" x14ac:dyDescent="0.25">
      <c r="B157" s="2" t="s">
        <v>166</v>
      </c>
      <c r="C157" s="62">
        <v>0</v>
      </c>
      <c r="D157" s="62"/>
      <c r="K157" t="s">
        <v>167</v>
      </c>
      <c r="L157">
        <f>SUM(H154:H156)</f>
        <v>-1336</v>
      </c>
      <c r="M157">
        <f>SUMIFS(Q$3:Q$151,J$3:J$151,K$155)-INT(COUNTIFS(J$3:J$151,K$155,M$3:M$151,"*gộp*")/2)</f>
        <v>61</v>
      </c>
      <c r="O157" t="s">
        <v>119</v>
      </c>
      <c r="P157">
        <f>L169</f>
        <v>24084</v>
      </c>
    </row>
    <row r="158" spans="1:17" x14ac:dyDescent="0.25">
      <c r="B158" s="2" t="s">
        <v>168</v>
      </c>
      <c r="C158" s="62">
        <f>-SUMIFS(I$3:I$151,B$3:B$151,A$155,P$3:P$151,"xx",N$3:N$151,"x")</f>
        <v>-11460</v>
      </c>
      <c r="D158" s="62"/>
      <c r="E158" s="2">
        <f>SUMIFS(Q$3:Q$151,B$3:B$151,A$155,P$3:P$151,"xx",N$3:N$151,"x")</f>
        <v>16</v>
      </c>
      <c r="K158" t="s">
        <v>169</v>
      </c>
      <c r="L158">
        <f>-M158*2</f>
        <v>0</v>
      </c>
      <c r="M158">
        <f>COUNTIFS(K$3:K$151,K$155,L$3:L$151,A$156)-(COUNTIFS(K$3:K$151,K$155,M$3:M$151,"*gộp*")/2)-COUNTIFS(K$3:K$151,K$155,M$3:M$151,"*đơn trả*")-COUNTIFS(K$3:K$151,K$155,M$3:M$151,"*hàng tỉnh*")</f>
        <v>0</v>
      </c>
      <c r="O158" t="s">
        <v>33</v>
      </c>
      <c r="P158">
        <f>L177</f>
        <v>28066</v>
      </c>
    </row>
    <row r="159" spans="1:17" x14ac:dyDescent="0.25">
      <c r="B159" s="4" t="s">
        <v>170</v>
      </c>
      <c r="C159" s="60">
        <f>SUBTOTAL(9,C156:C158)</f>
        <v>95612</v>
      </c>
      <c r="D159" s="60"/>
      <c r="E159">
        <f>E156</f>
        <v>139</v>
      </c>
      <c r="K159" s="7" t="s">
        <v>155</v>
      </c>
      <c r="L159" s="18">
        <v>-5959</v>
      </c>
      <c r="M159" s="18" t="s">
        <v>4590</v>
      </c>
      <c r="O159" t="s">
        <v>171</v>
      </c>
      <c r="P159">
        <f>-C163</f>
        <v>-94202</v>
      </c>
    </row>
    <row r="160" spans="1:17" x14ac:dyDescent="0.25">
      <c r="B160" s="2" t="s">
        <v>172</v>
      </c>
      <c r="C160" s="58"/>
      <c r="D160" s="58"/>
      <c r="K160" s="2" t="s">
        <v>173</v>
      </c>
      <c r="O160" s="4" t="s">
        <v>174</v>
      </c>
      <c r="P160" s="4">
        <f>SUBTOTAL(9,P156:P159)</f>
        <v>1803</v>
      </c>
    </row>
    <row r="161" spans="2:13" x14ac:dyDescent="0.25">
      <c r="B161" s="8" t="s">
        <v>175</v>
      </c>
      <c r="C161" s="58">
        <v>-1410</v>
      </c>
      <c r="D161" s="58"/>
      <c r="L161" s="9">
        <f>SUBTOTAL(9,L156:L160)</f>
        <v>43855</v>
      </c>
      <c r="M161" s="9">
        <f>M156</f>
        <v>61</v>
      </c>
    </row>
    <row r="163" spans="2:13" x14ac:dyDescent="0.25">
      <c r="B163" s="1" t="s">
        <v>176</v>
      </c>
      <c r="C163" s="59">
        <f>C159+C160+C161</f>
        <v>94202</v>
      </c>
      <c r="D163" s="59"/>
      <c r="E163" s="1" t="s">
        <v>177</v>
      </c>
      <c r="K163" s="6" t="s">
        <v>119</v>
      </c>
      <c r="L163" s="6" t="s">
        <v>160</v>
      </c>
      <c r="M163" s="6" t="s">
        <v>159</v>
      </c>
    </row>
    <row r="164" spans="2:13" x14ac:dyDescent="0.25">
      <c r="K164" t="s">
        <v>164</v>
      </c>
      <c r="L164">
        <f>SUMIFS(G$3:G$151,J$3:J$151,K$163)</f>
        <v>26974</v>
      </c>
      <c r="M164">
        <f>SUMIFS(Q$3:Q$151,J$3:J$151,K$163)-INT(COUNTIFS(J$3:J$151,K$163,M$3:M$151,"*gộp*")/2)</f>
        <v>36</v>
      </c>
    </row>
    <row r="165" spans="2:13" x14ac:dyDescent="0.25">
      <c r="K165" t="s">
        <v>167</v>
      </c>
      <c r="L165">
        <f>-SUMIFS(H$3:H$151,J$3:J$151,K$163)+M165*5</f>
        <v>-695</v>
      </c>
      <c r="M165">
        <f>SUMIFS(Q$3:Q$151,J$3:J$151,K$163)-INT(COUNTIFS(J$3:J$151,K$163,M$3:M$151,"*gộp*")/2)</f>
        <v>36</v>
      </c>
    </row>
    <row r="166" spans="2:13" x14ac:dyDescent="0.25">
      <c r="K166" t="s">
        <v>169</v>
      </c>
      <c r="L166">
        <f>-M166*2</f>
        <v>0</v>
      </c>
      <c r="M166">
        <f>COUNTIFS(K$3:K$151,K$163,L$3:L$151,A$156)-(COUNTIFS(K$3:K$151,K$163,M$3:M$151,"*gộp*")/2)-COUNTIFS(K$3:K$151,K$163,M$3:M$151,"*đơn trả*")-COUNTIFS(K$3:K$151,K$163,M$3:M$151,"*hàng tỉnh*")</f>
        <v>0</v>
      </c>
    </row>
    <row r="167" spans="2:13" x14ac:dyDescent="0.25">
      <c r="K167" s="7" t="s">
        <v>155</v>
      </c>
      <c r="L167" s="18">
        <v>-2195</v>
      </c>
      <c r="M167" s="18" t="s">
        <v>4589</v>
      </c>
    </row>
    <row r="168" spans="2:13" x14ac:dyDescent="0.25">
      <c r="K168" s="2" t="s">
        <v>173</v>
      </c>
    </row>
    <row r="169" spans="2:13" x14ac:dyDescent="0.25">
      <c r="L169" s="9">
        <f>SUBTOTAL(9,L164:L168)</f>
        <v>24084</v>
      </c>
      <c r="M169" s="9">
        <f>M164</f>
        <v>36</v>
      </c>
    </row>
    <row r="171" spans="2:13" x14ac:dyDescent="0.25">
      <c r="K171" s="6" t="s">
        <v>33</v>
      </c>
      <c r="L171" s="6" t="s">
        <v>160</v>
      </c>
      <c r="M171" s="6" t="s">
        <v>159</v>
      </c>
    </row>
    <row r="172" spans="2:13" x14ac:dyDescent="0.25">
      <c r="K172" t="s">
        <v>164</v>
      </c>
      <c r="L172">
        <f>SUMIFS(G$3:G$151,J$3:J$151,K$171)</f>
        <v>28978</v>
      </c>
      <c r="M172">
        <f>SUMIFS(Q$3:Q$151,J$3:J$151,K$171)-INT(COUNTIFS(J$3:J$151,K$171,M$3:M$151,"*gộp*")/2)</f>
        <v>34</v>
      </c>
    </row>
    <row r="173" spans="2:13" x14ac:dyDescent="0.25">
      <c r="K173" t="s">
        <v>167</v>
      </c>
      <c r="L173">
        <f>-SUMIFS(H$3:H$151,J$3:J$151,K$171)+M173*5</f>
        <v>-670</v>
      </c>
      <c r="M173">
        <f>SUMIFS(Q$3:Q$151,J$3:J$151,K$171)-INT(COUNTIFS(J$3:J$151,K$171,M$3:M$151,"*gộp*")/2)</f>
        <v>34</v>
      </c>
    </row>
    <row r="174" spans="2:13" x14ac:dyDescent="0.25">
      <c r="K174" t="s">
        <v>169</v>
      </c>
      <c r="L174">
        <f>-M174*2</f>
        <v>-242</v>
      </c>
      <c r="M174">
        <f>COUNTIFS(K$3:K$151,K$171,L$3:L$151,A$156)-(COUNTIFS(K$3:K$151,K$171,M$3:M$151,"*gộp*")/2)-COUNTIFS(K$3:K$151,K$171,M$3:M$151,"*đơn trả*")-COUNTIFS(K$3:K$151,K$171,M$3:M$151,"*hàng tỉnh*")</f>
        <v>121</v>
      </c>
    </row>
    <row r="175" spans="2:13" x14ac:dyDescent="0.25">
      <c r="K175" s="7" t="s">
        <v>155</v>
      </c>
    </row>
    <row r="176" spans="2:13" x14ac:dyDescent="0.25">
      <c r="K176" s="2" t="s">
        <v>173</v>
      </c>
    </row>
    <row r="177" spans="12:13" x14ac:dyDescent="0.25">
      <c r="L177" s="9">
        <f>SUBTOTAL(9,L172:L176)</f>
        <v>28066</v>
      </c>
      <c r="M177" s="9">
        <f>M172</f>
        <v>34</v>
      </c>
    </row>
  </sheetData>
  <autoFilter ref="A2:P151" xr:uid="{00000000-0009-0000-0000-000000000000}">
    <filterColumn colId="12">
      <filters blank="1">
        <filter val="đơn trả"/>
        <filter val="shop chịu ship"/>
      </filters>
    </filterColumn>
    <sortState xmlns:xlrd2="http://schemas.microsoft.com/office/spreadsheetml/2017/richdata2" ref="A3:P151">
      <sortCondition ref="J2:J151"/>
    </sortState>
  </autoFilter>
  <mergeCells count="8">
    <mergeCell ref="C161:D161"/>
    <mergeCell ref="C163:D163"/>
    <mergeCell ref="C155:D155"/>
    <mergeCell ref="C156:D156"/>
    <mergeCell ref="C157:D157"/>
    <mergeCell ref="C158:D158"/>
    <mergeCell ref="C159:D159"/>
    <mergeCell ref="C160:D160"/>
  </mergeCells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18DD-F4D5-4D6F-B12C-053B5A06A690}">
  <dimension ref="A2:R105"/>
  <sheetViews>
    <sheetView topLeftCell="C55" zoomScale="90" zoomScaleNormal="90" workbookViewId="0">
      <selection activeCell="I37" sqref="I37"/>
    </sheetView>
  </sheetViews>
  <sheetFormatPr defaultRowHeight="15" x14ac:dyDescent="0.25"/>
  <cols>
    <col min="1" max="1" width="12.7109375" customWidth="1"/>
    <col min="2" max="2" width="8.7109375" customWidth="1"/>
    <col min="3" max="3" width="34.140625" customWidth="1"/>
    <col min="4" max="4" width="25.5703125" bestFit="1" customWidth="1"/>
    <col min="5" max="5" width="77.5703125" bestFit="1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22.5703125" bestFit="1" customWidth="1"/>
    <col min="12" max="12" width="12.5703125" bestFit="1" customWidth="1"/>
    <col min="13" max="13" width="22.85546875" bestFit="1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2307</v>
      </c>
      <c r="D3" s="11" t="s">
        <v>4598</v>
      </c>
      <c r="E3" s="11" t="s">
        <v>2309</v>
      </c>
      <c r="F3" s="12">
        <v>8</v>
      </c>
      <c r="G3" s="12">
        <v>490</v>
      </c>
      <c r="H3" s="12">
        <v>30</v>
      </c>
      <c r="I3" s="12">
        <f t="shared" ref="I3:I34" si="0">G3-H3</f>
        <v>460</v>
      </c>
      <c r="J3" s="11" t="s">
        <v>4212</v>
      </c>
      <c r="K3" s="11" t="s">
        <v>33</v>
      </c>
      <c r="L3" s="11" t="s">
        <v>4213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2065</v>
      </c>
      <c r="D4" s="11" t="s">
        <v>4599</v>
      </c>
      <c r="E4" s="11" t="s">
        <v>4600</v>
      </c>
      <c r="F4" s="12">
        <v>7</v>
      </c>
      <c r="G4" s="12">
        <v>720</v>
      </c>
      <c r="H4" s="12">
        <v>30</v>
      </c>
      <c r="I4" s="12">
        <f t="shared" si="0"/>
        <v>690</v>
      </c>
      <c r="J4" s="11" t="s">
        <v>4212</v>
      </c>
      <c r="K4" s="11" t="s">
        <v>33</v>
      </c>
      <c r="L4" s="11" t="s">
        <v>4213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4601</v>
      </c>
      <c r="D5" s="11" t="s">
        <v>4602</v>
      </c>
      <c r="E5" s="11" t="s">
        <v>4603</v>
      </c>
      <c r="F5" s="12">
        <v>6</v>
      </c>
      <c r="G5" s="12">
        <v>925</v>
      </c>
      <c r="H5" s="12">
        <v>25</v>
      </c>
      <c r="I5" s="12">
        <f t="shared" si="0"/>
        <v>900</v>
      </c>
      <c r="J5" s="11" t="s">
        <v>4212</v>
      </c>
      <c r="K5" s="11" t="s">
        <v>33</v>
      </c>
      <c r="L5" s="11" t="s">
        <v>4213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4604</v>
      </c>
      <c r="D6" s="11" t="s">
        <v>4605</v>
      </c>
      <c r="E6" s="11" t="s">
        <v>4606</v>
      </c>
      <c r="F6" s="12">
        <v>8</v>
      </c>
      <c r="G6" s="12">
        <v>420</v>
      </c>
      <c r="H6" s="12">
        <v>30</v>
      </c>
      <c r="I6" s="12">
        <f t="shared" si="0"/>
        <v>390</v>
      </c>
      <c r="J6" s="11" t="s">
        <v>4212</v>
      </c>
      <c r="K6" s="11" t="s">
        <v>33</v>
      </c>
      <c r="L6" s="11" t="s">
        <v>4213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4607</v>
      </c>
      <c r="D7" s="11" t="s">
        <v>4608</v>
      </c>
      <c r="E7" s="11" t="s">
        <v>4609</v>
      </c>
      <c r="F7" s="11" t="s">
        <v>55</v>
      </c>
      <c r="G7" s="12">
        <v>775</v>
      </c>
      <c r="H7" s="12">
        <v>35</v>
      </c>
      <c r="I7" s="12">
        <f t="shared" si="0"/>
        <v>740</v>
      </c>
      <c r="J7" s="11" t="s">
        <v>4212</v>
      </c>
      <c r="K7" s="11" t="s">
        <v>33</v>
      </c>
      <c r="L7" s="11" t="s">
        <v>4213</v>
      </c>
      <c r="M7" s="24" t="s">
        <v>1217</v>
      </c>
      <c r="N7" s="11"/>
      <c r="O7" s="11"/>
      <c r="P7" s="11"/>
      <c r="Q7" s="11">
        <v>1</v>
      </c>
    </row>
    <row r="8" spans="1:18" x14ac:dyDescent="0.25">
      <c r="A8" s="11"/>
      <c r="B8" s="11" t="s">
        <v>27</v>
      </c>
      <c r="C8" s="11" t="s">
        <v>4680</v>
      </c>
      <c r="D8" s="11" t="s">
        <v>4681</v>
      </c>
      <c r="E8" s="11" t="s">
        <v>4609</v>
      </c>
      <c r="F8" s="11" t="s">
        <v>55</v>
      </c>
      <c r="G8" s="12">
        <v>510</v>
      </c>
      <c r="H8" s="12">
        <v>0</v>
      </c>
      <c r="I8" s="12">
        <f t="shared" si="0"/>
        <v>510</v>
      </c>
      <c r="J8" s="11" t="s">
        <v>4212</v>
      </c>
      <c r="K8" s="11" t="s">
        <v>33</v>
      </c>
      <c r="L8" s="11" t="s">
        <v>4213</v>
      </c>
      <c r="M8" s="24" t="s">
        <v>1217</v>
      </c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4616</v>
      </c>
      <c r="D9" s="11" t="s">
        <v>4617</v>
      </c>
      <c r="E9" s="11" t="s">
        <v>4618</v>
      </c>
      <c r="F9" s="12">
        <v>8</v>
      </c>
      <c r="G9" s="12">
        <v>0</v>
      </c>
      <c r="H9" s="12">
        <v>30</v>
      </c>
      <c r="I9" s="12">
        <f t="shared" si="0"/>
        <v>-30</v>
      </c>
      <c r="J9" s="11" t="s">
        <v>4212</v>
      </c>
      <c r="K9" s="11" t="s">
        <v>33</v>
      </c>
      <c r="L9" s="11" t="s">
        <v>4213</v>
      </c>
      <c r="M9" s="11"/>
      <c r="N9" s="11"/>
      <c r="O9" s="11"/>
      <c r="P9" s="11"/>
      <c r="Q9" s="11">
        <v>1</v>
      </c>
      <c r="R9" s="5">
        <f>H9</f>
        <v>30</v>
      </c>
    </row>
    <row r="10" spans="1:18" x14ac:dyDescent="0.25">
      <c r="A10" s="11"/>
      <c r="B10" s="11" t="s">
        <v>27</v>
      </c>
      <c r="C10" s="11" t="s">
        <v>4622</v>
      </c>
      <c r="D10" s="11" t="s">
        <v>4623</v>
      </c>
      <c r="E10" s="11" t="s">
        <v>559</v>
      </c>
      <c r="F10" s="12">
        <v>9</v>
      </c>
      <c r="G10" s="12">
        <v>1340</v>
      </c>
      <c r="H10" s="12">
        <v>30</v>
      </c>
      <c r="I10" s="12">
        <f t="shared" si="0"/>
        <v>1310</v>
      </c>
      <c r="J10" s="11" t="s">
        <v>4212</v>
      </c>
      <c r="K10" s="11" t="s">
        <v>33</v>
      </c>
      <c r="L10" s="11" t="s">
        <v>4213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4624</v>
      </c>
      <c r="D11" s="11" t="s">
        <v>4625</v>
      </c>
      <c r="E11" s="11" t="s">
        <v>4626</v>
      </c>
      <c r="F11" s="12">
        <v>6</v>
      </c>
      <c r="G11" s="12">
        <v>315</v>
      </c>
      <c r="H11" s="12">
        <v>25</v>
      </c>
      <c r="I11" s="12">
        <f t="shared" si="0"/>
        <v>290</v>
      </c>
      <c r="J11" s="11" t="s">
        <v>4212</v>
      </c>
      <c r="K11" s="11" t="s">
        <v>33</v>
      </c>
      <c r="L11" s="11" t="s">
        <v>4213</v>
      </c>
      <c r="M11" s="11"/>
      <c r="N11" s="11"/>
      <c r="O11" s="11"/>
      <c r="P11" s="11"/>
      <c r="Q11" s="11">
        <v>1</v>
      </c>
    </row>
    <row r="12" spans="1:18" x14ac:dyDescent="0.25">
      <c r="A12" s="11"/>
      <c r="B12" s="11" t="s">
        <v>27</v>
      </c>
      <c r="C12" s="11" t="s">
        <v>4627</v>
      </c>
      <c r="D12" s="11" t="s">
        <v>4628</v>
      </c>
      <c r="E12" s="11" t="s">
        <v>4629</v>
      </c>
      <c r="F12" s="11" t="s">
        <v>31</v>
      </c>
      <c r="G12" s="12">
        <v>485</v>
      </c>
      <c r="H12" s="12">
        <v>25</v>
      </c>
      <c r="I12" s="12">
        <f t="shared" si="0"/>
        <v>460</v>
      </c>
      <c r="J12" s="11" t="s">
        <v>4212</v>
      </c>
      <c r="K12" s="11" t="s">
        <v>33</v>
      </c>
      <c r="L12" s="11" t="s">
        <v>4213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4630</v>
      </c>
      <c r="D13" s="11" t="s">
        <v>4631</v>
      </c>
      <c r="E13" s="11" t="s">
        <v>4632</v>
      </c>
      <c r="F13" s="12">
        <v>11</v>
      </c>
      <c r="G13" s="12">
        <v>455</v>
      </c>
      <c r="H13" s="12">
        <v>25</v>
      </c>
      <c r="I13" s="12">
        <f t="shared" si="0"/>
        <v>430</v>
      </c>
      <c r="J13" s="11" t="s">
        <v>4212</v>
      </c>
      <c r="K13" s="11" t="s">
        <v>33</v>
      </c>
      <c r="L13" s="11" t="s">
        <v>4213</v>
      </c>
      <c r="M13" s="24" t="s">
        <v>1217</v>
      </c>
      <c r="N13" s="11"/>
      <c r="O13" s="11"/>
      <c r="P13" s="11"/>
      <c r="Q13" s="11">
        <v>1</v>
      </c>
    </row>
    <row r="14" spans="1:18" x14ac:dyDescent="0.25">
      <c r="A14" s="11"/>
      <c r="B14" s="11" t="s">
        <v>27</v>
      </c>
      <c r="C14" s="11" t="s">
        <v>4630</v>
      </c>
      <c r="D14" s="11" t="s">
        <v>4691</v>
      </c>
      <c r="E14" s="11" t="s">
        <v>4632</v>
      </c>
      <c r="F14" s="12">
        <v>11</v>
      </c>
      <c r="G14" s="12">
        <v>290</v>
      </c>
      <c r="H14" s="12">
        <v>0</v>
      </c>
      <c r="I14" s="12">
        <f t="shared" si="0"/>
        <v>290</v>
      </c>
      <c r="J14" s="11" t="s">
        <v>4212</v>
      </c>
      <c r="K14" s="11" t="s">
        <v>33</v>
      </c>
      <c r="L14" s="11" t="s">
        <v>4213</v>
      </c>
      <c r="M14" s="24" t="s">
        <v>1217</v>
      </c>
      <c r="N14" s="11"/>
      <c r="O14" s="11"/>
      <c r="P14" s="11"/>
      <c r="Q14" s="11">
        <v>1</v>
      </c>
    </row>
    <row r="15" spans="1:18" x14ac:dyDescent="0.25">
      <c r="A15" s="11"/>
      <c r="B15" s="11" t="s">
        <v>27</v>
      </c>
      <c r="C15" s="11" t="s">
        <v>190</v>
      </c>
      <c r="D15" s="11" t="s">
        <v>4633</v>
      </c>
      <c r="E15" s="11" t="s">
        <v>192</v>
      </c>
      <c r="F15" s="12">
        <v>7</v>
      </c>
      <c r="G15" s="12">
        <v>350</v>
      </c>
      <c r="H15" s="12">
        <v>30</v>
      </c>
      <c r="I15" s="12">
        <f t="shared" si="0"/>
        <v>320</v>
      </c>
      <c r="J15" s="11" t="s">
        <v>4212</v>
      </c>
      <c r="K15" s="11" t="s">
        <v>33</v>
      </c>
      <c r="L15" s="11" t="s">
        <v>4213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4646</v>
      </c>
      <c r="D16" s="11" t="s">
        <v>4647</v>
      </c>
      <c r="E16" s="11" t="s">
        <v>4648</v>
      </c>
      <c r="F16" s="12">
        <v>12</v>
      </c>
      <c r="G16" s="12">
        <v>610</v>
      </c>
      <c r="H16" s="12">
        <v>30</v>
      </c>
      <c r="I16" s="12">
        <f t="shared" si="0"/>
        <v>580</v>
      </c>
      <c r="J16" s="11" t="s">
        <v>4212</v>
      </c>
      <c r="K16" s="11" t="s">
        <v>33</v>
      </c>
      <c r="L16" s="11" t="s">
        <v>4213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3802</v>
      </c>
      <c r="D17" s="11" t="s">
        <v>4649</v>
      </c>
      <c r="E17" s="11" t="s">
        <v>3804</v>
      </c>
      <c r="F17" s="11" t="s">
        <v>104</v>
      </c>
      <c r="G17" s="12">
        <v>470</v>
      </c>
      <c r="H17" s="12">
        <v>30</v>
      </c>
      <c r="I17" s="12">
        <f t="shared" si="0"/>
        <v>440</v>
      </c>
      <c r="J17" s="11" t="s">
        <v>4212</v>
      </c>
      <c r="K17" s="11" t="s">
        <v>33</v>
      </c>
      <c r="L17" s="11" t="s">
        <v>4213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4650</v>
      </c>
      <c r="D18" s="11" t="s">
        <v>4651</v>
      </c>
      <c r="E18" s="11" t="s">
        <v>4652</v>
      </c>
      <c r="F18" s="11" t="s">
        <v>48</v>
      </c>
      <c r="G18" s="12">
        <v>400</v>
      </c>
      <c r="H18" s="12">
        <v>30</v>
      </c>
      <c r="I18" s="12">
        <f t="shared" si="0"/>
        <v>370</v>
      </c>
      <c r="J18" s="11" t="s">
        <v>4212</v>
      </c>
      <c r="K18" s="11" t="s">
        <v>33</v>
      </c>
      <c r="L18" s="11" t="s">
        <v>4213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4659</v>
      </c>
      <c r="D19" s="11" t="s">
        <v>4660</v>
      </c>
      <c r="E19" s="11" t="s">
        <v>4661</v>
      </c>
      <c r="F19" s="12">
        <v>9</v>
      </c>
      <c r="G19" s="12">
        <v>370</v>
      </c>
      <c r="H19" s="12">
        <v>30</v>
      </c>
      <c r="I19" s="12">
        <f t="shared" si="0"/>
        <v>340</v>
      </c>
      <c r="J19" s="11" t="s">
        <v>4212</v>
      </c>
      <c r="K19" s="11" t="s">
        <v>33</v>
      </c>
      <c r="L19" s="11" t="s">
        <v>4213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4662</v>
      </c>
      <c r="D20" s="11" t="s">
        <v>4663</v>
      </c>
      <c r="E20" s="11" t="s">
        <v>4664</v>
      </c>
      <c r="F20" s="11" t="s">
        <v>48</v>
      </c>
      <c r="G20" s="12">
        <v>280</v>
      </c>
      <c r="H20" s="12">
        <v>30</v>
      </c>
      <c r="I20" s="12">
        <f t="shared" si="0"/>
        <v>250</v>
      </c>
      <c r="J20" s="11" t="s">
        <v>4212</v>
      </c>
      <c r="K20" s="11" t="s">
        <v>33</v>
      </c>
      <c r="L20" s="11" t="s">
        <v>4213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4671</v>
      </c>
      <c r="D21" s="11" t="s">
        <v>4672</v>
      </c>
      <c r="E21" s="11" t="s">
        <v>4673</v>
      </c>
      <c r="F21" s="11" t="s">
        <v>31</v>
      </c>
      <c r="G21" s="12">
        <v>345</v>
      </c>
      <c r="H21" s="12">
        <v>25</v>
      </c>
      <c r="I21" s="12">
        <f t="shared" si="0"/>
        <v>320</v>
      </c>
      <c r="J21" s="11" t="s">
        <v>4212</v>
      </c>
      <c r="K21" s="11" t="s">
        <v>33</v>
      </c>
      <c r="L21" s="11" t="s">
        <v>4213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4674</v>
      </c>
      <c r="D22" s="11" t="s">
        <v>4675</v>
      </c>
      <c r="E22" s="11" t="s">
        <v>4676</v>
      </c>
      <c r="F22" s="12">
        <v>12</v>
      </c>
      <c r="G22" s="12">
        <v>640</v>
      </c>
      <c r="H22" s="12">
        <v>30</v>
      </c>
      <c r="I22" s="12">
        <f t="shared" si="0"/>
        <v>610</v>
      </c>
      <c r="J22" s="11" t="s">
        <v>4212</v>
      </c>
      <c r="K22" s="11" t="s">
        <v>33</v>
      </c>
      <c r="L22" s="11" t="s">
        <v>4213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4677</v>
      </c>
      <c r="D23" s="11" t="s">
        <v>4678</v>
      </c>
      <c r="E23" s="11" t="s">
        <v>4679</v>
      </c>
      <c r="F23" s="11" t="s">
        <v>31</v>
      </c>
      <c r="G23" s="12">
        <v>1265</v>
      </c>
      <c r="H23" s="12">
        <v>25</v>
      </c>
      <c r="I23" s="12">
        <f t="shared" si="0"/>
        <v>1240</v>
      </c>
      <c r="J23" s="11" t="s">
        <v>4212</v>
      </c>
      <c r="K23" s="11" t="s">
        <v>33</v>
      </c>
      <c r="L23" s="11" t="s">
        <v>4213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4682</v>
      </c>
      <c r="D24" s="11" t="s">
        <v>4683</v>
      </c>
      <c r="E24" s="11" t="s">
        <v>4684</v>
      </c>
      <c r="F24" s="11" t="s">
        <v>48</v>
      </c>
      <c r="G24" s="12">
        <v>570</v>
      </c>
      <c r="H24" s="12">
        <v>30</v>
      </c>
      <c r="I24" s="12">
        <f t="shared" si="0"/>
        <v>540</v>
      </c>
      <c r="J24" s="11" t="s">
        <v>4212</v>
      </c>
      <c r="K24" s="11" t="s">
        <v>33</v>
      </c>
      <c r="L24" s="11" t="s">
        <v>4213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4685</v>
      </c>
      <c r="D25" s="11" t="s">
        <v>4686</v>
      </c>
      <c r="E25" s="11" t="s">
        <v>4687</v>
      </c>
      <c r="F25" s="11" t="s">
        <v>31</v>
      </c>
      <c r="G25" s="12">
        <v>805</v>
      </c>
      <c r="H25" s="12">
        <v>25</v>
      </c>
      <c r="I25" s="12">
        <f t="shared" si="0"/>
        <v>780</v>
      </c>
      <c r="J25" s="11" t="s">
        <v>4212</v>
      </c>
      <c r="K25" s="11" t="s">
        <v>33</v>
      </c>
      <c r="L25" s="11" t="s">
        <v>4213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4688</v>
      </c>
      <c r="D26" s="11" t="s">
        <v>4689</v>
      </c>
      <c r="E26" s="11" t="s">
        <v>4690</v>
      </c>
      <c r="F26" s="11" t="s">
        <v>48</v>
      </c>
      <c r="G26" s="12">
        <v>420</v>
      </c>
      <c r="H26" s="12">
        <v>30</v>
      </c>
      <c r="I26" s="12">
        <f t="shared" si="0"/>
        <v>390</v>
      </c>
      <c r="J26" s="11" t="s">
        <v>4212</v>
      </c>
      <c r="K26" s="11" t="s">
        <v>33</v>
      </c>
      <c r="L26" s="11" t="s">
        <v>4213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4692</v>
      </c>
      <c r="D27" s="11" t="s">
        <v>4693</v>
      </c>
      <c r="E27" s="11" t="s">
        <v>4694</v>
      </c>
      <c r="F27" s="12">
        <v>9</v>
      </c>
      <c r="G27" s="12">
        <v>440</v>
      </c>
      <c r="H27" s="12">
        <v>30</v>
      </c>
      <c r="I27" s="12">
        <f t="shared" si="0"/>
        <v>410</v>
      </c>
      <c r="J27" s="11" t="s">
        <v>4212</v>
      </c>
      <c r="K27" s="11" t="s">
        <v>33</v>
      </c>
      <c r="L27" s="11" t="s">
        <v>4213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4695</v>
      </c>
      <c r="D28" s="11" t="s">
        <v>4696</v>
      </c>
      <c r="E28" s="11" t="s">
        <v>464</v>
      </c>
      <c r="F28" s="12">
        <v>8</v>
      </c>
      <c r="G28" s="12">
        <v>610</v>
      </c>
      <c r="H28" s="12">
        <v>30</v>
      </c>
      <c r="I28" s="12">
        <f t="shared" si="0"/>
        <v>580</v>
      </c>
      <c r="J28" s="11" t="s">
        <v>4212</v>
      </c>
      <c r="K28" s="11" t="s">
        <v>33</v>
      </c>
      <c r="L28" s="11" t="s">
        <v>4213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4697</v>
      </c>
      <c r="D29" s="11" t="s">
        <v>4698</v>
      </c>
      <c r="E29" s="11" t="s">
        <v>4699</v>
      </c>
      <c r="F29" s="12">
        <v>6</v>
      </c>
      <c r="G29" s="12">
        <v>978</v>
      </c>
      <c r="H29" s="12">
        <v>25</v>
      </c>
      <c r="I29" s="12">
        <f t="shared" si="0"/>
        <v>953</v>
      </c>
      <c r="J29" s="11" t="s">
        <v>4212</v>
      </c>
      <c r="K29" s="11" t="s">
        <v>33</v>
      </c>
      <c r="L29" s="11" t="s">
        <v>4213</v>
      </c>
      <c r="M29" s="24" t="s">
        <v>340</v>
      </c>
      <c r="N29" s="11"/>
      <c r="O29" s="11"/>
      <c r="P29" s="11"/>
      <c r="Q29" s="11">
        <v>1</v>
      </c>
      <c r="R29" s="5">
        <f>H29</f>
        <v>25</v>
      </c>
    </row>
    <row r="30" spans="1:18" x14ac:dyDescent="0.25">
      <c r="A30" s="11"/>
      <c r="B30" s="11" t="s">
        <v>27</v>
      </c>
      <c r="C30" s="11" t="s">
        <v>4703</v>
      </c>
      <c r="D30" s="11" t="s">
        <v>4704</v>
      </c>
      <c r="E30" s="11" t="s">
        <v>4705</v>
      </c>
      <c r="F30" s="11" t="s">
        <v>31</v>
      </c>
      <c r="G30" s="12">
        <v>0</v>
      </c>
      <c r="H30" s="12">
        <v>25</v>
      </c>
      <c r="I30" s="12">
        <f t="shared" si="0"/>
        <v>-25</v>
      </c>
      <c r="J30" s="11" t="s">
        <v>4212</v>
      </c>
      <c r="K30" s="11" t="s">
        <v>33</v>
      </c>
      <c r="L30" s="11" t="s">
        <v>4213</v>
      </c>
      <c r="M30" s="11"/>
      <c r="N30" s="11"/>
      <c r="O30" s="11"/>
      <c r="P30" s="11"/>
      <c r="Q30" s="11">
        <v>1</v>
      </c>
      <c r="R30" s="5">
        <f>H30</f>
        <v>25</v>
      </c>
    </row>
    <row r="31" spans="1:18" x14ac:dyDescent="0.25">
      <c r="A31" s="11"/>
      <c r="B31" s="11" t="s">
        <v>27</v>
      </c>
      <c r="C31" s="11" t="s">
        <v>4706</v>
      </c>
      <c r="D31" s="11" t="s">
        <v>4707</v>
      </c>
      <c r="E31" s="11" t="s">
        <v>4708</v>
      </c>
      <c r="F31" s="12">
        <v>5</v>
      </c>
      <c r="G31" s="12">
        <v>1115</v>
      </c>
      <c r="H31" s="12">
        <v>25</v>
      </c>
      <c r="I31" s="12">
        <f t="shared" si="0"/>
        <v>1090</v>
      </c>
      <c r="J31" s="11" t="s">
        <v>4212</v>
      </c>
      <c r="K31" s="11" t="s">
        <v>33</v>
      </c>
      <c r="L31" s="11" t="s">
        <v>4213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4712</v>
      </c>
      <c r="D32" s="11" t="s">
        <v>4713</v>
      </c>
      <c r="E32" s="11" t="s">
        <v>4714</v>
      </c>
      <c r="F32" s="12">
        <v>7</v>
      </c>
      <c r="G32" s="12">
        <v>780</v>
      </c>
      <c r="H32" s="12">
        <v>30</v>
      </c>
      <c r="I32" s="12">
        <f t="shared" si="0"/>
        <v>750</v>
      </c>
      <c r="J32" s="11" t="s">
        <v>4212</v>
      </c>
      <c r="K32" s="11" t="s">
        <v>33</v>
      </c>
      <c r="L32" s="11" t="s">
        <v>4213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1526</v>
      </c>
      <c r="D33" s="11" t="s">
        <v>4718</v>
      </c>
      <c r="E33" s="11" t="s">
        <v>1528</v>
      </c>
      <c r="F33" s="12">
        <v>7</v>
      </c>
      <c r="G33" s="12">
        <v>620</v>
      </c>
      <c r="H33" s="12">
        <v>30</v>
      </c>
      <c r="I33" s="12">
        <f t="shared" si="0"/>
        <v>590</v>
      </c>
      <c r="J33" s="11" t="s">
        <v>4212</v>
      </c>
      <c r="K33" s="11" t="s">
        <v>33</v>
      </c>
      <c r="L33" s="11" t="s">
        <v>4213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4730</v>
      </c>
      <c r="D34" s="11" t="s">
        <v>4731</v>
      </c>
      <c r="E34" s="11" t="s">
        <v>4732</v>
      </c>
      <c r="F34" s="12">
        <v>12</v>
      </c>
      <c r="G34" s="12">
        <v>1790</v>
      </c>
      <c r="H34" s="12">
        <v>30</v>
      </c>
      <c r="I34" s="12">
        <f t="shared" si="0"/>
        <v>1760</v>
      </c>
      <c r="J34" s="11" t="s">
        <v>4212</v>
      </c>
      <c r="K34" s="11" t="s">
        <v>33</v>
      </c>
      <c r="L34" s="11" t="s">
        <v>4213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4738</v>
      </c>
      <c r="D35" s="11" t="s">
        <v>4739</v>
      </c>
      <c r="E35" s="11" t="s">
        <v>3245</v>
      </c>
      <c r="F35" s="12">
        <v>8</v>
      </c>
      <c r="G35" s="12">
        <v>498</v>
      </c>
      <c r="H35" s="12">
        <v>30</v>
      </c>
      <c r="I35" s="12">
        <f t="shared" ref="I35:I70" si="1">G35-H35</f>
        <v>468</v>
      </c>
      <c r="J35" s="11" t="s">
        <v>4212</v>
      </c>
      <c r="K35" s="11" t="s">
        <v>33</v>
      </c>
      <c r="L35" s="11" t="s">
        <v>4213</v>
      </c>
      <c r="M35" s="24" t="s">
        <v>340</v>
      </c>
      <c r="N35" s="11"/>
      <c r="O35" s="11"/>
      <c r="P35" s="11"/>
      <c r="Q35" s="11">
        <v>1</v>
      </c>
      <c r="R35" s="5">
        <f>H35</f>
        <v>30</v>
      </c>
    </row>
    <row r="36" spans="1:18" s="25" customFormat="1" x14ac:dyDescent="0.25">
      <c r="A36" s="26"/>
      <c r="B36" s="26" t="s">
        <v>27</v>
      </c>
      <c r="C36" s="26" t="s">
        <v>4700</v>
      </c>
      <c r="D36" s="26" t="s">
        <v>4701</v>
      </c>
      <c r="E36" s="26" t="s">
        <v>4702</v>
      </c>
      <c r="F36" s="27">
        <v>5</v>
      </c>
      <c r="G36" s="27">
        <v>2715</v>
      </c>
      <c r="H36" s="27">
        <v>25</v>
      </c>
      <c r="I36" s="27">
        <f>G36-H36</f>
        <v>2690</v>
      </c>
      <c r="J36" s="26" t="s">
        <v>4212</v>
      </c>
      <c r="K36" s="26" t="s">
        <v>33</v>
      </c>
      <c r="L36" s="26" t="s">
        <v>4213</v>
      </c>
      <c r="M36" s="26" t="s">
        <v>4783</v>
      </c>
      <c r="N36" s="26"/>
      <c r="O36" s="26"/>
      <c r="P36" s="26"/>
      <c r="Q36" s="26">
        <v>1</v>
      </c>
    </row>
    <row r="37" spans="1:18" s="33" customFormat="1" x14ac:dyDescent="0.25">
      <c r="A37" s="34"/>
      <c r="B37" s="31" t="s">
        <v>27</v>
      </c>
      <c r="C37" s="31" t="s">
        <v>2588</v>
      </c>
      <c r="D37" s="31" t="s">
        <v>2589</v>
      </c>
      <c r="E37" s="31" t="s">
        <v>2590</v>
      </c>
      <c r="F37" s="32" t="s">
        <v>4782</v>
      </c>
      <c r="G37" s="31">
        <v>905</v>
      </c>
      <c r="H37" s="31">
        <v>25</v>
      </c>
      <c r="I37" s="31">
        <f t="shared" ref="I37:I38" si="2">G37-H37</f>
        <v>880</v>
      </c>
      <c r="J37" s="31" t="s">
        <v>4212</v>
      </c>
      <c r="K37" s="31" t="s">
        <v>33</v>
      </c>
      <c r="L37" s="31" t="s">
        <v>2122</v>
      </c>
      <c r="M37" s="26" t="s">
        <v>4783</v>
      </c>
      <c r="N37" s="34"/>
      <c r="O37" s="34"/>
      <c r="P37" s="34"/>
      <c r="Q37" s="34">
        <v>1</v>
      </c>
    </row>
    <row r="38" spans="1:18" s="30" customFormat="1" x14ac:dyDescent="0.25">
      <c r="A38" s="31"/>
      <c r="B38" s="31" t="s">
        <v>27</v>
      </c>
      <c r="C38" s="31" t="s">
        <v>2926</v>
      </c>
      <c r="D38" s="31" t="s">
        <v>2927</v>
      </c>
      <c r="E38" s="31" t="s">
        <v>2928</v>
      </c>
      <c r="F38" s="32" t="s">
        <v>4782</v>
      </c>
      <c r="G38" s="31">
        <v>915</v>
      </c>
      <c r="H38" s="31">
        <v>25</v>
      </c>
      <c r="I38" s="31">
        <f t="shared" si="2"/>
        <v>890</v>
      </c>
      <c r="J38" s="31" t="s">
        <v>4212</v>
      </c>
      <c r="K38" s="31" t="s">
        <v>33</v>
      </c>
      <c r="L38" s="31" t="s">
        <v>2667</v>
      </c>
      <c r="M38" s="26" t="s">
        <v>4783</v>
      </c>
      <c r="N38" s="31"/>
      <c r="O38" s="31"/>
      <c r="P38" s="31"/>
      <c r="Q38" s="31">
        <v>1</v>
      </c>
    </row>
    <row r="39" spans="1:18" s="30" customFormat="1" x14ac:dyDescent="0.25">
      <c r="A39" s="31"/>
      <c r="B39" s="31" t="s">
        <v>27</v>
      </c>
      <c r="C39" s="31" t="s">
        <v>2641</v>
      </c>
      <c r="D39" s="31" t="s">
        <v>2642</v>
      </c>
      <c r="E39" s="31" t="s">
        <v>2643</v>
      </c>
      <c r="F39" s="32" t="s">
        <v>4782</v>
      </c>
      <c r="G39" s="31">
        <v>2530</v>
      </c>
      <c r="H39" s="31">
        <v>30</v>
      </c>
      <c r="I39" s="31">
        <f t="shared" si="1"/>
        <v>2500</v>
      </c>
      <c r="J39" s="31" t="s">
        <v>4212</v>
      </c>
      <c r="K39" s="31" t="s">
        <v>33</v>
      </c>
      <c r="L39" s="31" t="s">
        <v>2122</v>
      </c>
      <c r="M39" s="26" t="s">
        <v>4783</v>
      </c>
      <c r="N39" s="31"/>
      <c r="O39" s="31"/>
      <c r="P39" s="31"/>
      <c r="Q39" s="31">
        <v>1</v>
      </c>
    </row>
    <row r="40" spans="1:18" x14ac:dyDescent="0.25">
      <c r="A40" s="11"/>
      <c r="B40" s="11" t="s">
        <v>27</v>
      </c>
      <c r="C40" s="11" t="s">
        <v>4721</v>
      </c>
      <c r="D40" s="11" t="s">
        <v>4722</v>
      </c>
      <c r="E40" s="11" t="s">
        <v>4723</v>
      </c>
      <c r="F40" s="12">
        <v>2</v>
      </c>
      <c r="G40" s="12">
        <v>390</v>
      </c>
      <c r="H40" s="12">
        <v>30</v>
      </c>
      <c r="I40" s="12">
        <f t="shared" si="1"/>
        <v>360</v>
      </c>
      <c r="J40" s="11" t="s">
        <v>33</v>
      </c>
      <c r="K40" s="11" t="s">
        <v>33</v>
      </c>
      <c r="L40" s="11" t="s">
        <v>4213</v>
      </c>
      <c r="M40" s="24" t="s">
        <v>1217</v>
      </c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4721</v>
      </c>
      <c r="D41" s="11" t="s">
        <v>4780</v>
      </c>
      <c r="E41" s="11" t="s">
        <v>4781</v>
      </c>
      <c r="F41" s="12">
        <v>2</v>
      </c>
      <c r="G41" s="12">
        <v>590</v>
      </c>
      <c r="H41" s="12">
        <v>0</v>
      </c>
      <c r="I41" s="12">
        <f t="shared" si="1"/>
        <v>590</v>
      </c>
      <c r="J41" s="11" t="s">
        <v>33</v>
      </c>
      <c r="K41" s="11" t="s">
        <v>33</v>
      </c>
      <c r="L41" s="11" t="s">
        <v>4213</v>
      </c>
      <c r="M41" s="24" t="s">
        <v>1217</v>
      </c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4437</v>
      </c>
      <c r="D42" s="11" t="s">
        <v>4724</v>
      </c>
      <c r="E42" s="11" t="s">
        <v>4439</v>
      </c>
      <c r="F42" s="11" t="s">
        <v>68</v>
      </c>
      <c r="G42" s="12">
        <v>2038</v>
      </c>
      <c r="H42" s="12">
        <v>30</v>
      </c>
      <c r="I42" s="12">
        <f t="shared" si="1"/>
        <v>2008</v>
      </c>
      <c r="J42" s="11" t="s">
        <v>33</v>
      </c>
      <c r="K42" s="11" t="s">
        <v>33</v>
      </c>
      <c r="L42" s="11" t="s">
        <v>4213</v>
      </c>
      <c r="M42" s="24" t="s">
        <v>340</v>
      </c>
      <c r="N42" s="11"/>
      <c r="O42" s="11"/>
      <c r="P42" s="11"/>
      <c r="Q42" s="11">
        <v>1</v>
      </c>
      <c r="R42" s="5">
        <f>H42</f>
        <v>30</v>
      </c>
    </row>
    <row r="43" spans="1:18" x14ac:dyDescent="0.25">
      <c r="A43" s="11"/>
      <c r="B43" s="11" t="s">
        <v>27</v>
      </c>
      <c r="C43" s="11" t="s">
        <v>2876</v>
      </c>
      <c r="D43" s="11" t="s">
        <v>4725</v>
      </c>
      <c r="E43" s="11" t="s">
        <v>4726</v>
      </c>
      <c r="F43" s="11" t="s">
        <v>68</v>
      </c>
      <c r="G43" s="12">
        <v>1845</v>
      </c>
      <c r="H43" s="12">
        <v>25</v>
      </c>
      <c r="I43" s="12">
        <f t="shared" si="1"/>
        <v>1820</v>
      </c>
      <c r="J43" s="11" t="s">
        <v>33</v>
      </c>
      <c r="K43" s="11" t="s">
        <v>33</v>
      </c>
      <c r="L43" s="11" t="s">
        <v>4213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4727</v>
      </c>
      <c r="D44" s="11" t="s">
        <v>4728</v>
      </c>
      <c r="E44" s="11" t="s">
        <v>4729</v>
      </c>
      <c r="F44" s="12">
        <v>2</v>
      </c>
      <c r="G44" s="12">
        <v>988</v>
      </c>
      <c r="H44" s="12">
        <v>30</v>
      </c>
      <c r="I44" s="12">
        <f t="shared" si="1"/>
        <v>958</v>
      </c>
      <c r="J44" s="11" t="s">
        <v>33</v>
      </c>
      <c r="K44" s="11" t="s">
        <v>33</v>
      </c>
      <c r="L44" s="11" t="s">
        <v>4213</v>
      </c>
      <c r="M44" s="24" t="s">
        <v>340</v>
      </c>
      <c r="N44" s="11"/>
      <c r="O44" s="11"/>
      <c r="P44" s="11"/>
      <c r="Q44" s="11">
        <v>1</v>
      </c>
      <c r="R44" s="5">
        <f>H44</f>
        <v>30</v>
      </c>
    </row>
    <row r="45" spans="1:18" x14ac:dyDescent="0.25">
      <c r="A45" s="11"/>
      <c r="B45" s="11" t="s">
        <v>27</v>
      </c>
      <c r="C45" s="11" t="s">
        <v>4733</v>
      </c>
      <c r="D45" s="11" t="s">
        <v>4734</v>
      </c>
      <c r="E45" s="11" t="s">
        <v>4735</v>
      </c>
      <c r="F45" s="11" t="s">
        <v>78</v>
      </c>
      <c r="G45" s="12">
        <v>510</v>
      </c>
      <c r="H45" s="12">
        <v>20</v>
      </c>
      <c r="I45" s="12">
        <f t="shared" si="1"/>
        <v>490</v>
      </c>
      <c r="J45" s="11" t="s">
        <v>33</v>
      </c>
      <c r="K45" s="11" t="s">
        <v>33</v>
      </c>
      <c r="L45" s="11" t="s">
        <v>4213</v>
      </c>
      <c r="M45" s="11"/>
      <c r="N45" s="11"/>
      <c r="O45" s="11"/>
      <c r="P45" s="11"/>
      <c r="Q45" s="11">
        <v>1</v>
      </c>
    </row>
    <row r="46" spans="1:18" x14ac:dyDescent="0.25">
      <c r="A46" s="11"/>
      <c r="B46" s="11" t="s">
        <v>27</v>
      </c>
      <c r="C46" s="11" t="s">
        <v>4566</v>
      </c>
      <c r="D46" s="11" t="s">
        <v>4736</v>
      </c>
      <c r="E46" s="11" t="s">
        <v>4737</v>
      </c>
      <c r="F46" s="11" t="s">
        <v>68</v>
      </c>
      <c r="G46" s="12">
        <v>435</v>
      </c>
      <c r="H46" s="12">
        <v>25</v>
      </c>
      <c r="I46" s="12">
        <f t="shared" si="1"/>
        <v>410</v>
      </c>
      <c r="J46" s="11" t="s">
        <v>33</v>
      </c>
      <c r="K46" s="11" t="s">
        <v>33</v>
      </c>
      <c r="L46" s="11" t="s">
        <v>4213</v>
      </c>
      <c r="M46" s="11"/>
      <c r="N46" s="11"/>
      <c r="O46" s="11"/>
      <c r="P46" s="11"/>
      <c r="Q46" s="11">
        <v>1</v>
      </c>
    </row>
    <row r="47" spans="1:18" x14ac:dyDescent="0.25">
      <c r="A47" s="11"/>
      <c r="B47" s="11" t="s">
        <v>27</v>
      </c>
      <c r="C47" s="11" t="s">
        <v>4740</v>
      </c>
      <c r="D47" s="11" t="s">
        <v>4741</v>
      </c>
      <c r="E47" s="11" t="s">
        <v>4742</v>
      </c>
      <c r="F47" s="11" t="s">
        <v>68</v>
      </c>
      <c r="G47" s="12">
        <v>465</v>
      </c>
      <c r="H47" s="12">
        <v>25</v>
      </c>
      <c r="I47" s="12">
        <f t="shared" si="1"/>
        <v>440</v>
      </c>
      <c r="J47" s="11" t="s">
        <v>33</v>
      </c>
      <c r="K47" s="11" t="s">
        <v>33</v>
      </c>
      <c r="L47" s="11" t="s">
        <v>4213</v>
      </c>
      <c r="M47" s="11"/>
      <c r="N47" s="11"/>
      <c r="O47" s="11"/>
      <c r="P47" s="11"/>
      <c r="Q47" s="11">
        <v>1</v>
      </c>
    </row>
    <row r="48" spans="1:18" x14ac:dyDescent="0.25">
      <c r="A48" s="11"/>
      <c r="B48" s="11" t="s">
        <v>27</v>
      </c>
      <c r="C48" s="11" t="s">
        <v>4746</v>
      </c>
      <c r="D48" s="11" t="s">
        <v>4747</v>
      </c>
      <c r="E48" s="11" t="s">
        <v>4748</v>
      </c>
      <c r="F48" s="11" t="s">
        <v>68</v>
      </c>
      <c r="G48" s="12">
        <v>375</v>
      </c>
      <c r="H48" s="12">
        <v>25</v>
      </c>
      <c r="I48" s="12">
        <f t="shared" si="1"/>
        <v>350</v>
      </c>
      <c r="J48" s="11" t="s">
        <v>33</v>
      </c>
      <c r="K48" s="11" t="s">
        <v>33</v>
      </c>
      <c r="L48" s="11" t="s">
        <v>4213</v>
      </c>
      <c r="M48" s="11"/>
      <c r="N48" s="11"/>
      <c r="O48" s="11"/>
      <c r="P48" s="11"/>
      <c r="Q48" s="11">
        <v>1</v>
      </c>
    </row>
    <row r="49" spans="1:17" x14ac:dyDescent="0.25">
      <c r="A49" s="11"/>
      <c r="B49" s="11" t="s">
        <v>27</v>
      </c>
      <c r="C49" s="11" t="s">
        <v>4749</v>
      </c>
      <c r="D49" s="11" t="s">
        <v>4750</v>
      </c>
      <c r="E49" s="11" t="s">
        <v>4751</v>
      </c>
      <c r="F49" s="11" t="s">
        <v>44</v>
      </c>
      <c r="G49" s="12">
        <v>1295</v>
      </c>
      <c r="H49" s="12">
        <v>25</v>
      </c>
      <c r="I49" s="12">
        <f t="shared" si="1"/>
        <v>1270</v>
      </c>
      <c r="J49" s="11" t="s">
        <v>33</v>
      </c>
      <c r="K49" s="11" t="s">
        <v>33</v>
      </c>
      <c r="L49" s="11" t="s">
        <v>4213</v>
      </c>
      <c r="M49" s="11"/>
      <c r="N49" s="11"/>
      <c r="O49" s="11"/>
      <c r="P49" s="11"/>
      <c r="Q49" s="11">
        <v>1</v>
      </c>
    </row>
    <row r="50" spans="1:17" x14ac:dyDescent="0.25">
      <c r="A50" s="11"/>
      <c r="B50" s="11" t="s">
        <v>27</v>
      </c>
      <c r="C50" s="11" t="s">
        <v>4754</v>
      </c>
      <c r="D50" s="11" t="s">
        <v>4755</v>
      </c>
      <c r="E50" s="11" t="s">
        <v>4756</v>
      </c>
      <c r="F50" s="11" t="s">
        <v>68</v>
      </c>
      <c r="G50" s="12">
        <v>845</v>
      </c>
      <c r="H50" s="12">
        <v>25</v>
      </c>
      <c r="I50" s="12">
        <f t="shared" si="1"/>
        <v>820</v>
      </c>
      <c r="J50" s="11" t="s">
        <v>33</v>
      </c>
      <c r="K50" s="11" t="s">
        <v>33</v>
      </c>
      <c r="L50" s="11" t="s">
        <v>4213</v>
      </c>
      <c r="M50" s="11"/>
      <c r="N50" s="11"/>
      <c r="O50" s="11"/>
      <c r="P50" s="11"/>
      <c r="Q50" s="11">
        <v>1</v>
      </c>
    </row>
    <row r="51" spans="1:17" x14ac:dyDescent="0.25">
      <c r="A51" s="11"/>
      <c r="B51" s="11" t="s">
        <v>27</v>
      </c>
      <c r="C51" s="11" t="s">
        <v>4757</v>
      </c>
      <c r="D51" s="11" t="s">
        <v>4758</v>
      </c>
      <c r="E51" s="11" t="s">
        <v>4759</v>
      </c>
      <c r="F51" s="12">
        <v>2</v>
      </c>
      <c r="G51" s="12">
        <v>470</v>
      </c>
      <c r="H51" s="12">
        <v>30</v>
      </c>
      <c r="I51" s="12">
        <f t="shared" si="1"/>
        <v>440</v>
      </c>
      <c r="J51" s="11" t="s">
        <v>33</v>
      </c>
      <c r="K51" s="11" t="s">
        <v>33</v>
      </c>
      <c r="L51" s="11" t="s">
        <v>4213</v>
      </c>
      <c r="M51" s="11"/>
      <c r="N51" s="11"/>
      <c r="O51" s="11"/>
      <c r="P51" s="11"/>
      <c r="Q51" s="11">
        <v>1</v>
      </c>
    </row>
    <row r="52" spans="1:17" x14ac:dyDescent="0.25">
      <c r="A52" s="11"/>
      <c r="B52" s="11" t="s">
        <v>27</v>
      </c>
      <c r="C52" s="11" t="s">
        <v>4760</v>
      </c>
      <c r="D52" s="11" t="s">
        <v>4761</v>
      </c>
      <c r="E52" s="11" t="s">
        <v>4762</v>
      </c>
      <c r="F52" s="11" t="s">
        <v>68</v>
      </c>
      <c r="G52" s="12">
        <v>345</v>
      </c>
      <c r="H52" s="12">
        <v>25</v>
      </c>
      <c r="I52" s="12">
        <f t="shared" si="1"/>
        <v>320</v>
      </c>
      <c r="J52" s="11" t="s">
        <v>33</v>
      </c>
      <c r="K52" s="11" t="s">
        <v>33</v>
      </c>
      <c r="L52" s="11" t="s">
        <v>4213</v>
      </c>
      <c r="M52" s="11"/>
      <c r="N52" s="11"/>
      <c r="O52" s="11"/>
      <c r="P52" s="11"/>
      <c r="Q52" s="11">
        <v>1</v>
      </c>
    </row>
    <row r="53" spans="1:17" x14ac:dyDescent="0.25">
      <c r="A53" s="11"/>
      <c r="B53" s="11" t="s">
        <v>27</v>
      </c>
      <c r="C53" s="11" t="s">
        <v>2941</v>
      </c>
      <c r="D53" s="11" t="s">
        <v>4763</v>
      </c>
      <c r="E53" s="11" t="s">
        <v>4764</v>
      </c>
      <c r="F53" s="11" t="s">
        <v>78</v>
      </c>
      <c r="G53" s="12">
        <v>1350</v>
      </c>
      <c r="H53" s="12">
        <v>20</v>
      </c>
      <c r="I53" s="12">
        <f t="shared" si="1"/>
        <v>1330</v>
      </c>
      <c r="J53" s="11" t="s">
        <v>33</v>
      </c>
      <c r="K53" s="11" t="s">
        <v>33</v>
      </c>
      <c r="L53" s="11" t="s">
        <v>4213</v>
      </c>
      <c r="M53" s="11"/>
      <c r="N53" s="11"/>
      <c r="O53" s="11"/>
      <c r="P53" s="11"/>
      <c r="Q53" s="11">
        <v>1</v>
      </c>
    </row>
    <row r="54" spans="1:17" x14ac:dyDescent="0.25">
      <c r="A54" s="11"/>
      <c r="B54" s="11" t="s">
        <v>27</v>
      </c>
      <c r="C54" s="11" t="s">
        <v>4765</v>
      </c>
      <c r="D54" s="11" t="s">
        <v>4766</v>
      </c>
      <c r="E54" s="11" t="s">
        <v>4767</v>
      </c>
      <c r="F54" s="11" t="s">
        <v>104</v>
      </c>
      <c r="G54" s="12">
        <v>490</v>
      </c>
      <c r="H54" s="12">
        <v>30</v>
      </c>
      <c r="I54" s="12">
        <f t="shared" si="1"/>
        <v>460</v>
      </c>
      <c r="J54" s="11" t="s">
        <v>33</v>
      </c>
      <c r="K54" s="11" t="s">
        <v>33</v>
      </c>
      <c r="L54" s="11" t="s">
        <v>4213</v>
      </c>
      <c r="M54" s="11"/>
      <c r="N54" s="11"/>
      <c r="O54" s="11"/>
      <c r="P54" s="11"/>
      <c r="Q54" s="11">
        <v>1</v>
      </c>
    </row>
    <row r="55" spans="1:17" x14ac:dyDescent="0.25">
      <c r="A55" s="11"/>
      <c r="B55" s="11" t="s">
        <v>27</v>
      </c>
      <c r="C55" s="11" t="s">
        <v>2169</v>
      </c>
      <c r="D55" s="11" t="s">
        <v>4768</v>
      </c>
      <c r="E55" s="11" t="s">
        <v>2171</v>
      </c>
      <c r="F55" s="11" t="s">
        <v>78</v>
      </c>
      <c r="G55" s="12">
        <v>310</v>
      </c>
      <c r="H55" s="12">
        <v>20</v>
      </c>
      <c r="I55" s="12">
        <f t="shared" si="1"/>
        <v>290</v>
      </c>
      <c r="J55" s="11" t="s">
        <v>33</v>
      </c>
      <c r="K55" s="11" t="s">
        <v>33</v>
      </c>
      <c r="L55" s="11" t="s">
        <v>4213</v>
      </c>
      <c r="M55" s="11"/>
      <c r="N55" s="11"/>
      <c r="O55" s="11"/>
      <c r="P55" s="11"/>
      <c r="Q55" s="11">
        <v>1</v>
      </c>
    </row>
    <row r="56" spans="1:17" x14ac:dyDescent="0.25">
      <c r="A56" s="11"/>
      <c r="B56" s="11" t="s">
        <v>27</v>
      </c>
      <c r="C56" s="11" t="s">
        <v>4769</v>
      </c>
      <c r="D56" s="11" t="s">
        <v>4770</v>
      </c>
      <c r="E56" s="11" t="s">
        <v>4726</v>
      </c>
      <c r="F56" s="11" t="s">
        <v>68</v>
      </c>
      <c r="G56" s="12">
        <v>655</v>
      </c>
      <c r="H56" s="12">
        <v>25</v>
      </c>
      <c r="I56" s="12">
        <f t="shared" si="1"/>
        <v>630</v>
      </c>
      <c r="J56" s="11" t="s">
        <v>33</v>
      </c>
      <c r="K56" s="11" t="s">
        <v>33</v>
      </c>
      <c r="L56" s="11" t="s">
        <v>4213</v>
      </c>
      <c r="M56" s="11"/>
      <c r="N56" s="11"/>
      <c r="O56" s="11"/>
      <c r="P56" s="11"/>
      <c r="Q56" s="11">
        <v>1</v>
      </c>
    </row>
    <row r="57" spans="1:17" x14ac:dyDescent="0.25">
      <c r="A57" s="11"/>
      <c r="B57" s="11" t="s">
        <v>27</v>
      </c>
      <c r="C57" s="11" t="s">
        <v>4771</v>
      </c>
      <c r="D57" s="11" t="s">
        <v>4772</v>
      </c>
      <c r="E57" s="11" t="s">
        <v>4773</v>
      </c>
      <c r="F57" s="11" t="s">
        <v>68</v>
      </c>
      <c r="G57" s="12">
        <v>315</v>
      </c>
      <c r="H57" s="12">
        <v>25</v>
      </c>
      <c r="I57" s="12">
        <f t="shared" si="1"/>
        <v>290</v>
      </c>
      <c r="J57" s="11" t="s">
        <v>33</v>
      </c>
      <c r="K57" s="11" t="s">
        <v>33</v>
      </c>
      <c r="L57" s="11" t="s">
        <v>4213</v>
      </c>
      <c r="M57" s="11"/>
      <c r="N57" s="11"/>
      <c r="O57" s="11"/>
      <c r="P57" s="11"/>
      <c r="Q57" s="11">
        <v>1</v>
      </c>
    </row>
    <row r="58" spans="1:17" x14ac:dyDescent="0.25">
      <c r="A58" s="11"/>
      <c r="B58" s="11" t="s">
        <v>27</v>
      </c>
      <c r="C58" s="11" t="s">
        <v>4774</v>
      </c>
      <c r="D58" s="11" t="s">
        <v>4775</v>
      </c>
      <c r="E58" s="11" t="s">
        <v>4776</v>
      </c>
      <c r="F58" s="12">
        <v>2</v>
      </c>
      <c r="G58" s="12">
        <v>1390</v>
      </c>
      <c r="H58" s="12">
        <v>30</v>
      </c>
      <c r="I58" s="12">
        <f t="shared" si="1"/>
        <v>1360</v>
      </c>
      <c r="J58" s="11" t="s">
        <v>33</v>
      </c>
      <c r="K58" s="11" t="s">
        <v>33</v>
      </c>
      <c r="L58" s="11" t="s">
        <v>4213</v>
      </c>
      <c r="M58" s="11"/>
      <c r="N58" s="11"/>
      <c r="O58" s="11"/>
      <c r="P58" s="11"/>
      <c r="Q58" s="11">
        <v>1</v>
      </c>
    </row>
    <row r="59" spans="1:17" x14ac:dyDescent="0.25">
      <c r="A59" s="11"/>
      <c r="B59" s="11" t="s">
        <v>27</v>
      </c>
      <c r="C59" s="11" t="s">
        <v>4777</v>
      </c>
      <c r="D59" s="11" t="s">
        <v>4778</v>
      </c>
      <c r="E59" s="11" t="s">
        <v>4779</v>
      </c>
      <c r="F59" s="12">
        <v>2</v>
      </c>
      <c r="G59" s="12">
        <v>1160</v>
      </c>
      <c r="H59" s="12">
        <v>30</v>
      </c>
      <c r="I59" s="12">
        <f t="shared" si="1"/>
        <v>1130</v>
      </c>
      <c r="J59" s="11" t="s">
        <v>33</v>
      </c>
      <c r="K59" s="11" t="s">
        <v>33</v>
      </c>
      <c r="L59" s="11" t="s">
        <v>4213</v>
      </c>
      <c r="M59" s="11"/>
      <c r="N59" s="11"/>
      <c r="O59" s="11"/>
      <c r="P59" s="11"/>
      <c r="Q59" s="11">
        <v>1</v>
      </c>
    </row>
    <row r="60" spans="1:17" x14ac:dyDescent="0.25">
      <c r="A60" s="11"/>
      <c r="B60" s="11" t="s">
        <v>27</v>
      </c>
      <c r="C60" s="11" t="s">
        <v>4592</v>
      </c>
      <c r="D60" s="11" t="s">
        <v>4593</v>
      </c>
      <c r="E60" s="11" t="s">
        <v>4594</v>
      </c>
      <c r="F60" s="12">
        <v>1</v>
      </c>
      <c r="G60" s="12">
        <v>445</v>
      </c>
      <c r="H60" s="12">
        <v>25</v>
      </c>
      <c r="I60" s="12">
        <f t="shared" si="1"/>
        <v>420</v>
      </c>
      <c r="J60" s="11" t="s">
        <v>119</v>
      </c>
      <c r="K60" s="11" t="s">
        <v>33</v>
      </c>
      <c r="L60" s="11" t="s">
        <v>4213</v>
      </c>
      <c r="M60" s="11"/>
      <c r="N60" s="11"/>
      <c r="O60" s="11"/>
      <c r="P60" s="11"/>
      <c r="Q60" s="11">
        <v>1</v>
      </c>
    </row>
    <row r="61" spans="1:17" x14ac:dyDescent="0.25">
      <c r="A61" s="11"/>
      <c r="B61" s="11" t="s">
        <v>27</v>
      </c>
      <c r="C61" s="11" t="s">
        <v>4595</v>
      </c>
      <c r="D61" s="11" t="s">
        <v>4596</v>
      </c>
      <c r="E61" s="11" t="s">
        <v>4597</v>
      </c>
      <c r="F61" s="11" t="s">
        <v>44</v>
      </c>
      <c r="G61" s="12">
        <v>605</v>
      </c>
      <c r="H61" s="12">
        <v>25</v>
      </c>
      <c r="I61" s="12">
        <f t="shared" si="1"/>
        <v>580</v>
      </c>
      <c r="J61" s="11" t="s">
        <v>119</v>
      </c>
      <c r="K61" s="11" t="s">
        <v>33</v>
      </c>
      <c r="L61" s="11" t="s">
        <v>4213</v>
      </c>
      <c r="M61" s="11"/>
      <c r="N61" s="11"/>
      <c r="O61" s="11"/>
      <c r="P61" s="11"/>
      <c r="Q61" s="11">
        <v>1</v>
      </c>
    </row>
    <row r="62" spans="1:17" x14ac:dyDescent="0.25">
      <c r="A62" s="11"/>
      <c r="B62" s="11" t="s">
        <v>27</v>
      </c>
      <c r="C62" s="11" t="s">
        <v>1991</v>
      </c>
      <c r="D62" s="11" t="s">
        <v>4610</v>
      </c>
      <c r="E62" s="11" t="s">
        <v>4611</v>
      </c>
      <c r="F62" s="11" t="s">
        <v>44</v>
      </c>
      <c r="G62" s="12">
        <v>465</v>
      </c>
      <c r="H62" s="12">
        <v>25</v>
      </c>
      <c r="I62" s="12">
        <f t="shared" si="1"/>
        <v>440</v>
      </c>
      <c r="J62" s="11" t="s">
        <v>119</v>
      </c>
      <c r="K62" s="11" t="s">
        <v>33</v>
      </c>
      <c r="L62" s="11" t="s">
        <v>4213</v>
      </c>
      <c r="M62" s="11"/>
      <c r="N62" s="11"/>
      <c r="O62" s="11"/>
      <c r="P62" s="11"/>
      <c r="Q62" s="11">
        <v>1</v>
      </c>
    </row>
    <row r="63" spans="1:17" x14ac:dyDescent="0.25">
      <c r="A63" s="11"/>
      <c r="B63" s="11" t="s">
        <v>27</v>
      </c>
      <c r="C63" s="11" t="s">
        <v>4612</v>
      </c>
      <c r="D63" s="11" t="s">
        <v>4613</v>
      </c>
      <c r="E63" s="11" t="s">
        <v>4614</v>
      </c>
      <c r="F63" s="12">
        <v>1</v>
      </c>
      <c r="G63" s="12">
        <v>695</v>
      </c>
      <c r="H63" s="12">
        <v>25</v>
      </c>
      <c r="I63" s="12">
        <f t="shared" si="1"/>
        <v>670</v>
      </c>
      <c r="J63" s="11" t="s">
        <v>119</v>
      </c>
      <c r="K63" s="11" t="s">
        <v>33</v>
      </c>
      <c r="L63" s="11" t="s">
        <v>4213</v>
      </c>
      <c r="M63" s="11"/>
      <c r="N63" s="11"/>
      <c r="O63" s="11"/>
      <c r="P63" s="11"/>
      <c r="Q63" s="11">
        <v>1</v>
      </c>
    </row>
    <row r="64" spans="1:17" x14ac:dyDescent="0.25">
      <c r="A64" s="11"/>
      <c r="B64" s="11" t="s">
        <v>27</v>
      </c>
      <c r="C64" s="11" t="s">
        <v>4325</v>
      </c>
      <c r="D64" s="11" t="s">
        <v>4615</v>
      </c>
      <c r="E64" s="11" t="s">
        <v>4327</v>
      </c>
      <c r="F64" s="12">
        <v>1</v>
      </c>
      <c r="G64" s="12">
        <v>395</v>
      </c>
      <c r="H64" s="12">
        <v>25</v>
      </c>
      <c r="I64" s="12">
        <f t="shared" si="1"/>
        <v>370</v>
      </c>
      <c r="J64" s="11" t="s">
        <v>119</v>
      </c>
      <c r="K64" s="11" t="s">
        <v>33</v>
      </c>
      <c r="L64" s="11" t="s">
        <v>4213</v>
      </c>
      <c r="M64" s="11"/>
      <c r="N64" s="11"/>
      <c r="O64" s="11"/>
      <c r="P64" s="11"/>
      <c r="Q64" s="11">
        <v>1</v>
      </c>
    </row>
    <row r="65" spans="1:18" x14ac:dyDescent="0.25">
      <c r="A65" s="11"/>
      <c r="B65" s="11" t="s">
        <v>27</v>
      </c>
      <c r="C65" s="11" t="s">
        <v>4619</v>
      </c>
      <c r="D65" s="11" t="s">
        <v>4620</v>
      </c>
      <c r="E65" s="11" t="s">
        <v>4621</v>
      </c>
      <c r="F65" s="12">
        <v>4</v>
      </c>
      <c r="G65" s="12">
        <v>1135</v>
      </c>
      <c r="H65" s="12">
        <v>25</v>
      </c>
      <c r="I65" s="12">
        <f t="shared" si="1"/>
        <v>1110</v>
      </c>
      <c r="J65" s="11" t="s">
        <v>119</v>
      </c>
      <c r="K65" s="11" t="s">
        <v>33</v>
      </c>
      <c r="L65" s="11" t="s">
        <v>4213</v>
      </c>
      <c r="M65" s="11"/>
      <c r="N65" s="11"/>
      <c r="O65" s="11"/>
      <c r="P65" s="11"/>
      <c r="Q65" s="11">
        <v>1</v>
      </c>
    </row>
    <row r="66" spans="1:18" x14ac:dyDescent="0.25">
      <c r="A66" s="11"/>
      <c r="B66" s="11" t="s">
        <v>27</v>
      </c>
      <c r="C66" s="11" t="s">
        <v>4634</v>
      </c>
      <c r="D66" s="11" t="s">
        <v>4635</v>
      </c>
      <c r="E66" s="11" t="s">
        <v>4636</v>
      </c>
      <c r="F66" s="12">
        <v>1</v>
      </c>
      <c r="G66" s="12">
        <v>595</v>
      </c>
      <c r="H66" s="12">
        <v>25</v>
      </c>
      <c r="I66" s="12">
        <f t="shared" si="1"/>
        <v>570</v>
      </c>
      <c r="J66" s="11" t="s">
        <v>119</v>
      </c>
      <c r="K66" s="11" t="s">
        <v>33</v>
      </c>
      <c r="L66" s="11" t="s">
        <v>4213</v>
      </c>
      <c r="M66" s="11"/>
      <c r="N66" s="11"/>
      <c r="O66" s="11"/>
      <c r="P66" s="11"/>
      <c r="Q66" s="11">
        <v>1</v>
      </c>
    </row>
    <row r="67" spans="1:18" x14ac:dyDescent="0.25">
      <c r="A67" s="11"/>
      <c r="B67" s="11" t="s">
        <v>27</v>
      </c>
      <c r="C67" s="11" t="s">
        <v>4637</v>
      </c>
      <c r="D67" s="11" t="s">
        <v>4638</v>
      </c>
      <c r="E67" s="11" t="s">
        <v>4639</v>
      </c>
      <c r="F67" s="11" t="s">
        <v>44</v>
      </c>
      <c r="G67" s="12">
        <v>665</v>
      </c>
      <c r="H67" s="12">
        <v>25</v>
      </c>
      <c r="I67" s="12">
        <f t="shared" si="1"/>
        <v>640</v>
      </c>
      <c r="J67" s="11" t="s">
        <v>119</v>
      </c>
      <c r="K67" s="11" t="s">
        <v>33</v>
      </c>
      <c r="L67" s="11" t="s">
        <v>4213</v>
      </c>
      <c r="M67" s="11"/>
      <c r="N67" s="11"/>
      <c r="O67" s="11"/>
      <c r="P67" s="11"/>
      <c r="Q67" s="11">
        <v>1</v>
      </c>
    </row>
    <row r="68" spans="1:18" x14ac:dyDescent="0.25">
      <c r="A68" s="11"/>
      <c r="B68" s="11" t="s">
        <v>27</v>
      </c>
      <c r="C68" s="11" t="s">
        <v>4640</v>
      </c>
      <c r="D68" s="11" t="s">
        <v>4641</v>
      </c>
      <c r="E68" s="11" t="s">
        <v>4642</v>
      </c>
      <c r="F68" s="12">
        <v>10</v>
      </c>
      <c r="G68" s="12">
        <v>425</v>
      </c>
      <c r="H68" s="12">
        <v>25</v>
      </c>
      <c r="I68" s="12">
        <f t="shared" si="1"/>
        <v>400</v>
      </c>
      <c r="J68" s="11" t="s">
        <v>119</v>
      </c>
      <c r="K68" s="11" t="s">
        <v>33</v>
      </c>
      <c r="L68" s="11" t="s">
        <v>4213</v>
      </c>
      <c r="M68" s="11"/>
      <c r="N68" s="11"/>
      <c r="O68" s="11"/>
      <c r="P68" s="11"/>
      <c r="Q68" s="11">
        <v>1</v>
      </c>
    </row>
    <row r="69" spans="1:18" x14ac:dyDescent="0.25">
      <c r="A69" s="11"/>
      <c r="B69" s="11" t="s">
        <v>27</v>
      </c>
      <c r="C69" s="11" t="s">
        <v>4643</v>
      </c>
      <c r="D69" s="11" t="s">
        <v>4644</v>
      </c>
      <c r="E69" s="11" t="s">
        <v>4645</v>
      </c>
      <c r="F69" s="11" t="s">
        <v>118</v>
      </c>
      <c r="G69" s="12">
        <v>760</v>
      </c>
      <c r="H69" s="12">
        <v>20</v>
      </c>
      <c r="I69" s="12">
        <f t="shared" si="1"/>
        <v>740</v>
      </c>
      <c r="J69" s="11" t="s">
        <v>119</v>
      </c>
      <c r="K69" s="11" t="s">
        <v>33</v>
      </c>
      <c r="L69" s="11" t="s">
        <v>4213</v>
      </c>
      <c r="M69" s="11"/>
      <c r="N69" s="11"/>
      <c r="O69" s="11"/>
      <c r="P69" s="11"/>
      <c r="Q69" s="11">
        <v>1</v>
      </c>
    </row>
    <row r="70" spans="1:18" x14ac:dyDescent="0.25">
      <c r="A70" s="11"/>
      <c r="B70" s="11" t="s">
        <v>27</v>
      </c>
      <c r="C70" s="11" t="s">
        <v>4653</v>
      </c>
      <c r="D70" s="11" t="s">
        <v>4654</v>
      </c>
      <c r="E70" s="11" t="s">
        <v>4655</v>
      </c>
      <c r="F70" s="11" t="s">
        <v>44</v>
      </c>
      <c r="G70" s="12">
        <v>435</v>
      </c>
      <c r="H70" s="12">
        <v>25</v>
      </c>
      <c r="I70" s="12">
        <f t="shared" si="1"/>
        <v>410</v>
      </c>
      <c r="J70" s="11" t="s">
        <v>119</v>
      </c>
      <c r="K70" s="11" t="s">
        <v>33</v>
      </c>
      <c r="L70" s="11" t="s">
        <v>4213</v>
      </c>
      <c r="M70" s="11"/>
      <c r="N70" s="11"/>
      <c r="O70" s="11"/>
      <c r="P70" s="11"/>
      <c r="Q70" s="11">
        <v>1</v>
      </c>
    </row>
    <row r="71" spans="1:18" x14ac:dyDescent="0.25">
      <c r="A71" s="11"/>
      <c r="B71" s="11" t="s">
        <v>27</v>
      </c>
      <c r="C71" s="11" t="s">
        <v>4656</v>
      </c>
      <c r="D71" s="11" t="s">
        <v>4657</v>
      </c>
      <c r="E71" s="11" t="s">
        <v>4658</v>
      </c>
      <c r="F71" s="11" t="s">
        <v>44</v>
      </c>
      <c r="G71" s="12">
        <v>445</v>
      </c>
      <c r="H71" s="12">
        <v>25</v>
      </c>
      <c r="I71" s="12">
        <f t="shared" ref="I71:I77" si="3">G71-H71</f>
        <v>420</v>
      </c>
      <c r="J71" s="11" t="s">
        <v>119</v>
      </c>
      <c r="K71" s="11" t="s">
        <v>33</v>
      </c>
      <c r="L71" s="11" t="s">
        <v>4213</v>
      </c>
      <c r="M71" s="11"/>
      <c r="N71" s="11"/>
      <c r="O71" s="11"/>
      <c r="P71" s="11"/>
      <c r="Q71" s="11">
        <v>1</v>
      </c>
    </row>
    <row r="72" spans="1:18" x14ac:dyDescent="0.25">
      <c r="A72" s="11"/>
      <c r="B72" s="11" t="s">
        <v>27</v>
      </c>
      <c r="C72" s="11" t="s">
        <v>4665</v>
      </c>
      <c r="D72" s="11" t="s">
        <v>4666</v>
      </c>
      <c r="E72" s="11" t="s">
        <v>4667</v>
      </c>
      <c r="F72" s="11" t="s">
        <v>118</v>
      </c>
      <c r="G72" s="12">
        <v>240</v>
      </c>
      <c r="H72" s="12">
        <v>20</v>
      </c>
      <c r="I72" s="12">
        <f t="shared" si="3"/>
        <v>220</v>
      </c>
      <c r="J72" s="11" t="s">
        <v>119</v>
      </c>
      <c r="K72" s="11" t="s">
        <v>33</v>
      </c>
      <c r="L72" s="11" t="s">
        <v>4213</v>
      </c>
      <c r="M72" s="11"/>
      <c r="N72" s="11"/>
      <c r="O72" s="11"/>
      <c r="P72" s="11"/>
      <c r="Q72" s="11">
        <v>1</v>
      </c>
    </row>
    <row r="73" spans="1:18" x14ac:dyDescent="0.25">
      <c r="A73" s="11"/>
      <c r="B73" s="11" t="s">
        <v>27</v>
      </c>
      <c r="C73" s="11" t="s">
        <v>4668</v>
      </c>
      <c r="D73" s="11" t="s">
        <v>4669</v>
      </c>
      <c r="E73" s="11" t="s">
        <v>4670</v>
      </c>
      <c r="F73" s="11" t="s">
        <v>44</v>
      </c>
      <c r="G73" s="12">
        <v>578</v>
      </c>
      <c r="H73" s="12">
        <v>25</v>
      </c>
      <c r="I73" s="12">
        <f t="shared" si="3"/>
        <v>553</v>
      </c>
      <c r="J73" s="11" t="s">
        <v>119</v>
      </c>
      <c r="K73" s="11" t="s">
        <v>33</v>
      </c>
      <c r="L73" s="11" t="s">
        <v>4213</v>
      </c>
      <c r="M73" s="24" t="s">
        <v>340</v>
      </c>
      <c r="N73" s="11"/>
      <c r="O73" s="11"/>
      <c r="P73" s="11"/>
      <c r="Q73" s="11">
        <v>1</v>
      </c>
      <c r="R73" s="5">
        <f>H73</f>
        <v>25</v>
      </c>
    </row>
    <row r="74" spans="1:18" x14ac:dyDescent="0.25">
      <c r="A74" s="11"/>
      <c r="B74" s="11" t="s">
        <v>27</v>
      </c>
      <c r="C74" s="11" t="s">
        <v>4709</v>
      </c>
      <c r="D74" s="11" t="s">
        <v>4710</v>
      </c>
      <c r="E74" s="11" t="s">
        <v>4711</v>
      </c>
      <c r="F74" s="12">
        <v>1</v>
      </c>
      <c r="G74" s="12">
        <v>445</v>
      </c>
      <c r="H74" s="12">
        <v>25</v>
      </c>
      <c r="I74" s="12">
        <f t="shared" si="3"/>
        <v>420</v>
      </c>
      <c r="J74" s="11" t="s">
        <v>119</v>
      </c>
      <c r="K74" s="11" t="s">
        <v>33</v>
      </c>
      <c r="L74" s="11" t="s">
        <v>4213</v>
      </c>
      <c r="M74" s="11"/>
      <c r="N74" s="11"/>
      <c r="O74" s="11"/>
      <c r="P74" s="11"/>
      <c r="Q74" s="11">
        <v>1</v>
      </c>
    </row>
    <row r="75" spans="1:18" x14ac:dyDescent="0.25">
      <c r="A75" s="11"/>
      <c r="B75" s="11" t="s">
        <v>27</v>
      </c>
      <c r="C75" s="11" t="s">
        <v>4715</v>
      </c>
      <c r="D75" s="11" t="s">
        <v>4716</v>
      </c>
      <c r="E75" s="11" t="s">
        <v>4717</v>
      </c>
      <c r="F75" s="12">
        <v>1</v>
      </c>
      <c r="G75" s="12">
        <v>358</v>
      </c>
      <c r="H75" s="12">
        <v>25</v>
      </c>
      <c r="I75" s="12">
        <f t="shared" si="3"/>
        <v>333</v>
      </c>
      <c r="J75" s="11" t="s">
        <v>119</v>
      </c>
      <c r="K75" s="11" t="s">
        <v>33</v>
      </c>
      <c r="L75" s="11" t="s">
        <v>4213</v>
      </c>
      <c r="M75" s="24" t="s">
        <v>340</v>
      </c>
      <c r="N75" s="11"/>
      <c r="O75" s="11"/>
      <c r="P75" s="11"/>
      <c r="Q75" s="11">
        <v>1</v>
      </c>
      <c r="R75" s="5">
        <f>H75</f>
        <v>25</v>
      </c>
    </row>
    <row r="76" spans="1:18" x14ac:dyDescent="0.25">
      <c r="A76" s="11"/>
      <c r="B76" s="11" t="s">
        <v>27</v>
      </c>
      <c r="C76" s="11" t="s">
        <v>2148</v>
      </c>
      <c r="D76" s="11" t="s">
        <v>4719</v>
      </c>
      <c r="E76" s="11" t="s">
        <v>4720</v>
      </c>
      <c r="F76" s="11" t="s">
        <v>118</v>
      </c>
      <c r="G76" s="12">
        <v>390</v>
      </c>
      <c r="H76" s="12">
        <v>20</v>
      </c>
      <c r="I76" s="12">
        <f t="shared" si="3"/>
        <v>370</v>
      </c>
      <c r="J76" s="11" t="s">
        <v>119</v>
      </c>
      <c r="K76" s="11" t="s">
        <v>33</v>
      </c>
      <c r="L76" s="11" t="s">
        <v>4213</v>
      </c>
      <c r="M76" s="11"/>
      <c r="N76" s="11"/>
      <c r="O76" s="11"/>
      <c r="P76" s="11"/>
      <c r="Q76" s="11">
        <v>1</v>
      </c>
    </row>
    <row r="77" spans="1:18" s="15" customFormat="1" x14ac:dyDescent="0.25">
      <c r="A77" s="13"/>
      <c r="B77" s="13" t="s">
        <v>27</v>
      </c>
      <c r="C77" s="13" t="s">
        <v>1991</v>
      </c>
      <c r="D77" s="13" t="s">
        <v>4743</v>
      </c>
      <c r="E77" s="13" t="s">
        <v>4744</v>
      </c>
      <c r="F77" s="13" t="s">
        <v>44</v>
      </c>
      <c r="G77" s="14">
        <v>490</v>
      </c>
      <c r="H77" s="14">
        <v>25</v>
      </c>
      <c r="I77" s="14">
        <f t="shared" si="3"/>
        <v>465</v>
      </c>
      <c r="J77" s="13" t="s">
        <v>119</v>
      </c>
      <c r="K77" s="13" t="s">
        <v>33</v>
      </c>
      <c r="L77" s="13" t="s">
        <v>4213</v>
      </c>
      <c r="M77" s="24" t="s">
        <v>4745</v>
      </c>
      <c r="N77" s="13"/>
      <c r="O77" s="13"/>
      <c r="P77" s="13"/>
      <c r="Q77" s="13">
        <v>1</v>
      </c>
      <c r="R77" s="19">
        <f>H77</f>
        <v>25</v>
      </c>
    </row>
    <row r="78" spans="1:18" x14ac:dyDescent="0.25">
      <c r="A78" s="11"/>
      <c r="B78" s="11" t="s">
        <v>27</v>
      </c>
      <c r="C78" s="11" t="s">
        <v>3240</v>
      </c>
      <c r="D78" s="11" t="s">
        <v>4752</v>
      </c>
      <c r="E78" s="11" t="s">
        <v>4753</v>
      </c>
      <c r="F78" s="12">
        <v>1</v>
      </c>
      <c r="G78" s="12">
        <v>2225</v>
      </c>
      <c r="H78" s="12">
        <v>25</v>
      </c>
      <c r="I78" s="12">
        <f t="shared" ref="I78:I79" si="4">G78-H78</f>
        <v>2200</v>
      </c>
      <c r="J78" s="11" t="s">
        <v>119</v>
      </c>
      <c r="K78" s="11" t="s">
        <v>33</v>
      </c>
      <c r="L78" s="11" t="s">
        <v>4213</v>
      </c>
      <c r="M78" s="11"/>
      <c r="N78" s="11"/>
      <c r="O78" s="11"/>
      <c r="P78" s="11"/>
      <c r="Q78" s="11">
        <v>1</v>
      </c>
    </row>
    <row r="79" spans="1:18" s="39" customFormat="1" x14ac:dyDescent="0.25">
      <c r="A79" s="40"/>
      <c r="B79" s="40" t="s">
        <v>27</v>
      </c>
      <c r="C79" s="40" t="s">
        <v>5532</v>
      </c>
      <c r="D79" s="40" t="s">
        <v>5533</v>
      </c>
      <c r="E79" s="40" t="s">
        <v>5534</v>
      </c>
      <c r="F79" s="41" t="s">
        <v>996</v>
      </c>
      <c r="G79" s="40">
        <v>290</v>
      </c>
      <c r="H79" s="40">
        <v>0</v>
      </c>
      <c r="I79" s="40">
        <f t="shared" si="4"/>
        <v>290</v>
      </c>
      <c r="J79" s="40" t="s">
        <v>153</v>
      </c>
      <c r="K79" s="40" t="s">
        <v>33</v>
      </c>
      <c r="L79" s="40" t="s">
        <v>4213</v>
      </c>
      <c r="M79" s="40" t="s">
        <v>997</v>
      </c>
      <c r="N79" s="40" t="s">
        <v>156</v>
      </c>
      <c r="O79" s="40"/>
      <c r="P79" s="40" t="s">
        <v>157</v>
      </c>
      <c r="Q79" s="40">
        <v>1</v>
      </c>
    </row>
    <row r="81" spans="1:17" x14ac:dyDescent="0.25">
      <c r="D81" s="1">
        <f>COUNTA(D3:D79)</f>
        <v>77</v>
      </c>
      <c r="G81" s="1">
        <f t="shared" ref="G81:Q81" si="5">SUBTOTAL(9,G3:G79)</f>
        <v>55488</v>
      </c>
      <c r="H81" s="1">
        <f t="shared" si="5"/>
        <v>1945</v>
      </c>
      <c r="I81" s="1">
        <f t="shared" si="5"/>
        <v>53543</v>
      </c>
      <c r="J81" s="1">
        <f t="shared" si="5"/>
        <v>0</v>
      </c>
      <c r="K81" s="1">
        <f t="shared" si="5"/>
        <v>0</v>
      </c>
      <c r="L81" s="1">
        <f t="shared" si="5"/>
        <v>0</v>
      </c>
      <c r="M81" s="1">
        <f t="shared" si="5"/>
        <v>0</v>
      </c>
      <c r="N81" s="1">
        <f t="shared" si="5"/>
        <v>0</v>
      </c>
      <c r="O81" s="1">
        <f t="shared" si="5"/>
        <v>0</v>
      </c>
      <c r="P81" s="1">
        <f t="shared" si="5"/>
        <v>0</v>
      </c>
      <c r="Q81" s="1">
        <f t="shared" si="5"/>
        <v>77</v>
      </c>
    </row>
    <row r="82" spans="1:17" x14ac:dyDescent="0.25">
      <c r="H82">
        <f>-23*17</f>
        <v>-391</v>
      </c>
    </row>
    <row r="83" spans="1:17" x14ac:dyDescent="0.25">
      <c r="A83" s="1" t="s">
        <v>27</v>
      </c>
      <c r="C83" s="60" t="s">
        <v>158</v>
      </c>
      <c r="D83" s="60"/>
      <c r="E83" s="4" t="s">
        <v>159</v>
      </c>
      <c r="H83">
        <f>-11*25</f>
        <v>-275</v>
      </c>
      <c r="K83" s="6" t="s">
        <v>119</v>
      </c>
      <c r="L83" s="6" t="s">
        <v>160</v>
      </c>
      <c r="M83" s="6" t="s">
        <v>159</v>
      </c>
      <c r="O83" s="4" t="s">
        <v>161</v>
      </c>
    </row>
    <row r="84" spans="1:17" x14ac:dyDescent="0.25">
      <c r="A84" t="s">
        <v>4213</v>
      </c>
      <c r="B84" s="3" t="s">
        <v>162</v>
      </c>
      <c r="C84" s="61">
        <f>SUMIFS(I$3:I$79,B$3:B$79,A$83,L$3:L$79,A$84)</f>
        <v>49273</v>
      </c>
      <c r="D84" s="61"/>
      <c r="E84" s="3">
        <f>SUMIFS(Q$3:Q$79,B$3:B$79,A$83,L$3:L$79,A$84)</f>
        <v>74</v>
      </c>
      <c r="F84" t="s">
        <v>163</v>
      </c>
      <c r="H84">
        <f>-1*30</f>
        <v>-30</v>
      </c>
      <c r="K84" t="s">
        <v>164</v>
      </c>
      <c r="L84">
        <f>SUMIFS(G$3:G$79,J$3:J$79,K$83)</f>
        <v>11791</v>
      </c>
      <c r="M84">
        <f>SUMIFS(Q$3:Q$79,J$3:J$79,K$83)-INT(COUNTIFS(J$3:J$79,K$83,M$3:M$79,"*gộp*")/2)</f>
        <v>19</v>
      </c>
      <c r="O84" t="s">
        <v>119</v>
      </c>
      <c r="P84">
        <f>L90</f>
        <v>7141</v>
      </c>
    </row>
    <row r="85" spans="1:17" x14ac:dyDescent="0.25">
      <c r="B85" s="2" t="s">
        <v>166</v>
      </c>
      <c r="C85" s="62">
        <v>0</v>
      </c>
      <c r="D85" s="62"/>
      <c r="K85" t="s">
        <v>167</v>
      </c>
      <c r="L85">
        <f>-SUMIFS(H$3:H$79,J$3:J$79,K$83)+M85*5</f>
        <v>-365</v>
      </c>
      <c r="M85">
        <f>SUMIFS(Q$3:Q$79,J$3:J$79,K$83)-INT(COUNTIFS(J$3:J$79,K$83,M$3:M$79,"*gộp*")/2)</f>
        <v>19</v>
      </c>
      <c r="O85" t="s">
        <v>4588</v>
      </c>
      <c r="P85">
        <f>L97</f>
        <v>26450</v>
      </c>
    </row>
    <row r="86" spans="1:17" x14ac:dyDescent="0.25">
      <c r="B86" s="2" t="s">
        <v>168</v>
      </c>
      <c r="C86" s="62">
        <f>-SUMIFS(I$3:I$79,B$3:B$79,A$83,P$3:P$79,"xx",N$3:N$79,"x")</f>
        <v>-290</v>
      </c>
      <c r="D86" s="62"/>
      <c r="E86" s="2">
        <f>SUMIFS(Q$3:Q$79,B$3:B$79,A$83,P$3:P$79,"xx",N$3:N$79,"x")</f>
        <v>1</v>
      </c>
      <c r="K86" t="s">
        <v>169</v>
      </c>
      <c r="L86">
        <f>-M86*2</f>
        <v>0</v>
      </c>
      <c r="M86">
        <f>COUNTIFS(K$3:K$79,K$83,L$3:L$79,A$84)-(COUNTIFS(K$3:K$79,K$83,M$3:M$79,"*gộp*")/2)-COUNTIFS(K$3:K$79,K$83,M$3:M$79,"*đơn trả*")-COUNTIFS(K$3:K$79,K$83,M$3:M$79,"*hàng tỉnh*")</f>
        <v>0</v>
      </c>
      <c r="O86" t="s">
        <v>33</v>
      </c>
      <c r="P86">
        <f>L105</f>
        <v>15721</v>
      </c>
    </row>
    <row r="87" spans="1:17" x14ac:dyDescent="0.25">
      <c r="B87" s="4" t="s">
        <v>170</v>
      </c>
      <c r="C87" s="60">
        <f>SUBTOTAL(9,C84:C86)</f>
        <v>48983</v>
      </c>
      <c r="D87" s="60"/>
      <c r="E87">
        <f>E84</f>
        <v>74</v>
      </c>
      <c r="K87" s="7" t="s">
        <v>155</v>
      </c>
      <c r="O87" t="s">
        <v>171</v>
      </c>
      <c r="P87">
        <f>-C91</f>
        <v>-48983</v>
      </c>
    </row>
    <row r="88" spans="1:17" x14ac:dyDescent="0.25">
      <c r="B88" s="2" t="s">
        <v>172</v>
      </c>
      <c r="C88" s="58"/>
      <c r="D88" s="58"/>
      <c r="K88" s="2" t="s">
        <v>173</v>
      </c>
      <c r="O88" s="4" t="s">
        <v>174</v>
      </c>
      <c r="P88" s="4">
        <f>SUBTOTAL(9,P84:P87)</f>
        <v>329</v>
      </c>
    </row>
    <row r="89" spans="1:17" x14ac:dyDescent="0.25">
      <c r="B89" s="8" t="s">
        <v>175</v>
      </c>
      <c r="C89" s="58"/>
      <c r="D89" s="58"/>
      <c r="K89" s="2" t="s">
        <v>4783</v>
      </c>
      <c r="L89" s="18">
        <v>-4285</v>
      </c>
      <c r="M89" s="18" t="s">
        <v>4589</v>
      </c>
    </row>
    <row r="90" spans="1:17" x14ac:dyDescent="0.25">
      <c r="L90" s="9">
        <f>SUBTOTAL(9,L84:L89)</f>
        <v>7141</v>
      </c>
      <c r="M90" s="9">
        <f>M84</f>
        <v>19</v>
      </c>
    </row>
    <row r="91" spans="1:17" x14ac:dyDescent="0.25">
      <c r="B91" s="1" t="s">
        <v>176</v>
      </c>
      <c r="C91" s="59">
        <f>C87+C88+C89</f>
        <v>48983</v>
      </c>
      <c r="D91" s="59"/>
      <c r="E91" s="1" t="s">
        <v>177</v>
      </c>
      <c r="K91" s="6" t="s">
        <v>4212</v>
      </c>
      <c r="L91" s="6" t="s">
        <v>160</v>
      </c>
      <c r="M91" s="6" t="s">
        <v>159</v>
      </c>
    </row>
    <row r="92" spans="1:17" x14ac:dyDescent="0.25">
      <c r="K92" t="s">
        <v>164</v>
      </c>
      <c r="L92">
        <f>SUMIFS(G$3:G$79,J$3:J$79,K$91)</f>
        <v>27146</v>
      </c>
      <c r="M92">
        <f>SUMIFS(Q$3:Q$79,J$3:J$79,K$91)-INT(COUNTIFS(J$3:J$79,K$91,M$3:M$79,"*gộp*")/2)</f>
        <v>35</v>
      </c>
    </row>
    <row r="93" spans="1:17" x14ac:dyDescent="0.25">
      <c r="K93" t="s">
        <v>167</v>
      </c>
      <c r="L93">
        <f>SUM(H82:H84)</f>
        <v>-696</v>
      </c>
      <c r="M93">
        <f>SUMIFS(Q$3:Q$79,J$3:J$79,K$91)-INT(COUNTIFS(J$3:J$79,K$91,M$3:M$79,"*gộp*")/2)</f>
        <v>35</v>
      </c>
    </row>
    <row r="94" spans="1:17" x14ac:dyDescent="0.25">
      <c r="K94" t="s">
        <v>169</v>
      </c>
      <c r="L94">
        <f>-M94*2</f>
        <v>0</v>
      </c>
      <c r="M94">
        <f>COUNTIFS(K$3:K$79,K$91,L$3:L$79,A$84)-(COUNTIFS(K$3:K$79,K$91,M$3:M$79,"*gộp*")/2)-COUNTIFS(K$3:K$79,K$91,M$3:M$79,"*đơn trả*")-COUNTIFS(K$3:K$79,K$91,M$3:M$79,"*hàng tỉnh*")</f>
        <v>0</v>
      </c>
    </row>
    <row r="95" spans="1:17" x14ac:dyDescent="0.25">
      <c r="K95" s="7" t="s">
        <v>155</v>
      </c>
    </row>
    <row r="96" spans="1:17" x14ac:dyDescent="0.25">
      <c r="K96" s="2" t="s">
        <v>173</v>
      </c>
    </row>
    <row r="97" spans="11:13" x14ac:dyDescent="0.25">
      <c r="L97" s="9">
        <f>SUBTOTAL(9,L92:L96)</f>
        <v>26450</v>
      </c>
      <c r="M97" s="9">
        <f>M92</f>
        <v>35</v>
      </c>
    </row>
    <row r="99" spans="11:13" x14ac:dyDescent="0.25">
      <c r="K99" s="6" t="s">
        <v>33</v>
      </c>
      <c r="L99" s="6" t="s">
        <v>160</v>
      </c>
      <c r="M99" s="6" t="s">
        <v>159</v>
      </c>
    </row>
    <row r="100" spans="11:13" x14ac:dyDescent="0.25">
      <c r="K100" t="s">
        <v>164</v>
      </c>
      <c r="L100">
        <f>SUMIFS(G$3:G$79,J$3:J$79,K$99)</f>
        <v>16261</v>
      </c>
      <c r="M100">
        <f>SUMIFS(Q$3:Q$79,J$3:J$79,K$99)-INT(COUNTIFS(J$3:J$79,K$99,M$3:M$79,"*gộp*")/2)</f>
        <v>19</v>
      </c>
    </row>
    <row r="101" spans="11:13" x14ac:dyDescent="0.25">
      <c r="K101" t="s">
        <v>167</v>
      </c>
      <c r="L101">
        <f>-SUMIFS(H$3:H$79,J$3:J$79,K$99)+M101*5</f>
        <v>-400</v>
      </c>
      <c r="M101">
        <f>SUMIFS(Q$3:Q$79,J$3:J$79,K$99)-INT(COUNTIFS(J$3:J$79,K$99,M$3:M$79,"*gộp*")/2)</f>
        <v>19</v>
      </c>
    </row>
    <row r="102" spans="11:13" x14ac:dyDescent="0.25">
      <c r="K102" t="s">
        <v>169</v>
      </c>
      <c r="L102">
        <f>-M102*2</f>
        <v>-140</v>
      </c>
      <c r="M102">
        <f>COUNTIFS(K$3:K$79,K$99,L$3:L$79,A$84)-(COUNTIFS(K$3:K$79,K$99,M$3:M$79,"*gộp*")/2)-COUNTIFS(K$3:K$79,K$99,M$3:M$79,"*đơn trả*")-COUNTIFS(K$3:K$79,K$99,M$3:M$79,"*hàng tỉnh*")</f>
        <v>70</v>
      </c>
    </row>
    <row r="103" spans="11:13" x14ac:dyDescent="0.25">
      <c r="K103" s="7" t="s">
        <v>155</v>
      </c>
    </row>
    <row r="104" spans="11:13" x14ac:dyDescent="0.25">
      <c r="K104" s="2" t="s">
        <v>173</v>
      </c>
    </row>
    <row r="105" spans="11:13" x14ac:dyDescent="0.25">
      <c r="L105" s="9">
        <f>SUBTOTAL(9,L100:L104)</f>
        <v>15721</v>
      </c>
      <c r="M105" s="9">
        <f>M100</f>
        <v>19</v>
      </c>
    </row>
  </sheetData>
  <autoFilter ref="A2:P79" xr:uid="{00000000-0009-0000-0000-000000000000}">
    <sortState xmlns:xlrd2="http://schemas.microsoft.com/office/spreadsheetml/2017/richdata2" ref="A3:P79">
      <sortCondition ref="J2:J79"/>
    </sortState>
  </autoFilter>
  <mergeCells count="8">
    <mergeCell ref="C89:D89"/>
    <mergeCell ref="C91:D91"/>
    <mergeCell ref="C83:D83"/>
    <mergeCell ref="C84:D84"/>
    <mergeCell ref="C85:D85"/>
    <mergeCell ref="C86:D86"/>
    <mergeCell ref="C87:D87"/>
    <mergeCell ref="C88:D88"/>
  </mergeCells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EDF5-6C1B-4138-8195-DED5F36FD897}">
  <dimension ref="A2:R343"/>
  <sheetViews>
    <sheetView topLeftCell="A287" zoomScale="80" zoomScaleNormal="80" workbookViewId="0">
      <selection activeCell="D309" sqref="D309"/>
    </sheetView>
  </sheetViews>
  <sheetFormatPr defaultRowHeight="15" x14ac:dyDescent="0.25"/>
  <cols>
    <col min="1" max="1" width="12.7109375" customWidth="1"/>
    <col min="2" max="2" width="9.42578125" customWidth="1"/>
    <col min="3" max="3" width="38" bestFit="1" customWidth="1"/>
    <col min="4" max="4" width="25.5703125" bestFit="1" customWidth="1"/>
    <col min="5" max="5" width="98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3" bestFit="1" customWidth="1"/>
    <col min="13" max="13" width="28.7109375" bestFit="1" customWidth="1"/>
    <col min="14" max="14" width="9.7109375" customWidth="1"/>
    <col min="15" max="15" width="10.42578125" customWidth="1"/>
    <col min="16" max="16" width="8.42578125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44"/>
      <c r="R2" s="49"/>
    </row>
    <row r="3" spans="1:18" x14ac:dyDescent="0.25">
      <c r="A3" s="11" t="s">
        <v>59</v>
      </c>
      <c r="B3" s="11" t="s">
        <v>27</v>
      </c>
      <c r="C3" s="11" t="s">
        <v>60</v>
      </c>
      <c r="D3" s="11"/>
      <c r="E3" s="11" t="s">
        <v>4786</v>
      </c>
      <c r="F3" s="11" t="s">
        <v>48</v>
      </c>
      <c r="G3" s="12">
        <v>0</v>
      </c>
      <c r="H3" s="12">
        <v>35</v>
      </c>
      <c r="I3" s="12">
        <f t="shared" ref="I3:I66" si="0">G3-H3</f>
        <v>-35</v>
      </c>
      <c r="J3" s="11" t="s">
        <v>4787</v>
      </c>
      <c r="K3" s="11" t="s">
        <v>33</v>
      </c>
      <c r="L3" s="11" t="s">
        <v>4788</v>
      </c>
      <c r="M3" s="11"/>
      <c r="N3" s="11"/>
      <c r="O3" s="11"/>
      <c r="P3" s="11"/>
      <c r="Q3" s="44">
        <v>1</v>
      </c>
      <c r="R3" s="50">
        <f>H3</f>
        <v>35</v>
      </c>
    </row>
    <row r="4" spans="1:18" x14ac:dyDescent="0.25">
      <c r="A4" s="11" t="s">
        <v>59</v>
      </c>
      <c r="B4" s="11" t="s">
        <v>27</v>
      </c>
      <c r="C4" s="11" t="s">
        <v>4791</v>
      </c>
      <c r="D4" s="11"/>
      <c r="E4" s="11" t="s">
        <v>4792</v>
      </c>
      <c r="F4" s="11" t="s">
        <v>104</v>
      </c>
      <c r="G4" s="12">
        <v>875</v>
      </c>
      <c r="H4" s="12">
        <v>35</v>
      </c>
      <c r="I4" s="12">
        <f t="shared" si="0"/>
        <v>840</v>
      </c>
      <c r="J4" s="11" t="s">
        <v>4787</v>
      </c>
      <c r="K4" s="11" t="s">
        <v>33</v>
      </c>
      <c r="L4" s="11" t="s">
        <v>4788</v>
      </c>
      <c r="M4" s="11"/>
      <c r="N4" s="11"/>
      <c r="O4" s="11"/>
      <c r="P4" s="11"/>
      <c r="Q4" s="44">
        <v>1</v>
      </c>
      <c r="R4" s="49"/>
    </row>
    <row r="5" spans="1:18" x14ac:dyDescent="0.25">
      <c r="A5" s="11" t="s">
        <v>59</v>
      </c>
      <c r="B5" s="11" t="s">
        <v>27</v>
      </c>
      <c r="C5" s="11" t="s">
        <v>4793</v>
      </c>
      <c r="D5" s="11"/>
      <c r="E5" s="11" t="s">
        <v>4794</v>
      </c>
      <c r="F5" s="11" t="s">
        <v>31</v>
      </c>
      <c r="G5" s="12">
        <v>5200</v>
      </c>
      <c r="H5" s="12">
        <v>40</v>
      </c>
      <c r="I5" s="12">
        <f t="shared" si="0"/>
        <v>5160</v>
      </c>
      <c r="J5" s="11" t="s">
        <v>4787</v>
      </c>
      <c r="K5" s="11" t="s">
        <v>33</v>
      </c>
      <c r="L5" s="11" t="s">
        <v>4788</v>
      </c>
      <c r="M5" s="11"/>
      <c r="N5" s="11"/>
      <c r="O5" s="11"/>
      <c r="P5" s="11"/>
      <c r="Q5" s="44">
        <v>1</v>
      </c>
      <c r="R5" s="49"/>
    </row>
    <row r="6" spans="1:18" x14ac:dyDescent="0.25">
      <c r="A6" s="11" t="s">
        <v>59</v>
      </c>
      <c r="B6" s="11" t="s">
        <v>27</v>
      </c>
      <c r="C6" s="11" t="s">
        <v>4795</v>
      </c>
      <c r="D6" s="11"/>
      <c r="E6" s="11" t="s">
        <v>4796</v>
      </c>
      <c r="F6" s="12">
        <v>9</v>
      </c>
      <c r="G6" s="12">
        <v>0</v>
      </c>
      <c r="H6" s="12">
        <v>35</v>
      </c>
      <c r="I6" s="12">
        <f t="shared" si="0"/>
        <v>-35</v>
      </c>
      <c r="J6" s="11" t="s">
        <v>4787</v>
      </c>
      <c r="K6" s="11" t="s">
        <v>33</v>
      </c>
      <c r="L6" s="11" t="s">
        <v>4788</v>
      </c>
      <c r="M6" s="11"/>
      <c r="N6" s="11"/>
      <c r="O6" s="11"/>
      <c r="P6" s="11"/>
      <c r="Q6" s="44">
        <v>1</v>
      </c>
      <c r="R6" s="50">
        <f>H6</f>
        <v>35</v>
      </c>
    </row>
    <row r="7" spans="1:18" x14ac:dyDescent="0.25">
      <c r="A7" s="11"/>
      <c r="B7" s="11" t="s">
        <v>27</v>
      </c>
      <c r="C7" s="11" t="s">
        <v>4797</v>
      </c>
      <c r="D7" s="11" t="s">
        <v>4798</v>
      </c>
      <c r="E7" s="11" t="s">
        <v>4799</v>
      </c>
      <c r="F7" s="11" t="s">
        <v>104</v>
      </c>
      <c r="G7" s="12">
        <v>980</v>
      </c>
      <c r="H7" s="12">
        <v>30</v>
      </c>
      <c r="I7" s="12">
        <f t="shared" si="0"/>
        <v>950</v>
      </c>
      <c r="J7" s="11" t="s">
        <v>4787</v>
      </c>
      <c r="K7" s="11" t="s">
        <v>33</v>
      </c>
      <c r="L7" s="11" t="s">
        <v>4788</v>
      </c>
      <c r="M7" s="11"/>
      <c r="N7" s="11"/>
      <c r="O7" s="11"/>
      <c r="P7" s="11"/>
      <c r="Q7" s="44">
        <v>1</v>
      </c>
      <c r="R7" s="49"/>
    </row>
    <row r="8" spans="1:18" x14ac:dyDescent="0.25">
      <c r="A8" s="11"/>
      <c r="B8" s="11" t="s">
        <v>27</v>
      </c>
      <c r="C8" s="11" t="s">
        <v>4176</v>
      </c>
      <c r="D8" s="11" t="s">
        <v>4800</v>
      </c>
      <c r="E8" s="11" t="s">
        <v>253</v>
      </c>
      <c r="F8" s="12">
        <v>12</v>
      </c>
      <c r="G8" s="12">
        <v>1270</v>
      </c>
      <c r="H8" s="12">
        <v>30</v>
      </c>
      <c r="I8" s="12">
        <f t="shared" si="0"/>
        <v>1240</v>
      </c>
      <c r="J8" s="11" t="s">
        <v>4787</v>
      </c>
      <c r="K8" s="11" t="s">
        <v>33</v>
      </c>
      <c r="L8" s="11" t="s">
        <v>4788</v>
      </c>
      <c r="M8" s="11"/>
      <c r="N8" s="11"/>
      <c r="O8" s="11"/>
      <c r="P8" s="11"/>
      <c r="Q8" s="44">
        <v>1</v>
      </c>
      <c r="R8" s="49"/>
    </row>
    <row r="9" spans="1:18" x14ac:dyDescent="0.25">
      <c r="A9" s="11"/>
      <c r="B9" s="11" t="s">
        <v>27</v>
      </c>
      <c r="C9" s="11" t="s">
        <v>4804</v>
      </c>
      <c r="D9" s="11" t="s">
        <v>4805</v>
      </c>
      <c r="E9" s="11" t="s">
        <v>4806</v>
      </c>
      <c r="F9" s="11" t="s">
        <v>48</v>
      </c>
      <c r="G9" s="12">
        <v>1300</v>
      </c>
      <c r="H9" s="12">
        <v>30</v>
      </c>
      <c r="I9" s="12">
        <f t="shared" si="0"/>
        <v>1270</v>
      </c>
      <c r="J9" s="11" t="s">
        <v>4787</v>
      </c>
      <c r="K9" s="11" t="s">
        <v>33</v>
      </c>
      <c r="L9" s="11" t="s">
        <v>4788</v>
      </c>
      <c r="M9" s="11"/>
      <c r="N9" s="11"/>
      <c r="O9" s="11"/>
      <c r="P9" s="11"/>
      <c r="Q9" s="44">
        <v>1</v>
      </c>
      <c r="R9" s="49"/>
    </row>
    <row r="10" spans="1:18" x14ac:dyDescent="0.25">
      <c r="A10" s="11"/>
      <c r="B10" s="11" t="s">
        <v>27</v>
      </c>
      <c r="C10" s="11" t="s">
        <v>4807</v>
      </c>
      <c r="D10" s="11" t="s">
        <v>4808</v>
      </c>
      <c r="E10" s="11" t="s">
        <v>4809</v>
      </c>
      <c r="F10" s="12">
        <v>12</v>
      </c>
      <c r="G10" s="12">
        <v>398</v>
      </c>
      <c r="H10" s="12">
        <v>30</v>
      </c>
      <c r="I10" s="12">
        <f t="shared" si="0"/>
        <v>368</v>
      </c>
      <c r="J10" s="11" t="s">
        <v>4787</v>
      </c>
      <c r="K10" s="11" t="s">
        <v>33</v>
      </c>
      <c r="L10" s="11" t="s">
        <v>4788</v>
      </c>
      <c r="M10" s="24" t="s">
        <v>340</v>
      </c>
      <c r="N10" s="11"/>
      <c r="O10" s="11"/>
      <c r="P10" s="11"/>
      <c r="Q10" s="44">
        <v>1</v>
      </c>
      <c r="R10" s="50">
        <f>H10</f>
        <v>30</v>
      </c>
    </row>
    <row r="11" spans="1:18" x14ac:dyDescent="0.25">
      <c r="A11" s="11"/>
      <c r="B11" s="11" t="s">
        <v>27</v>
      </c>
      <c r="C11" s="11" t="s">
        <v>2391</v>
      </c>
      <c r="D11" s="11" t="s">
        <v>4810</v>
      </c>
      <c r="E11" s="11" t="s">
        <v>2393</v>
      </c>
      <c r="F11" s="12">
        <v>8</v>
      </c>
      <c r="G11" s="12">
        <v>428</v>
      </c>
      <c r="H11" s="12">
        <v>30</v>
      </c>
      <c r="I11" s="12">
        <f t="shared" si="0"/>
        <v>398</v>
      </c>
      <c r="J11" s="11" t="s">
        <v>4787</v>
      </c>
      <c r="K11" s="11" t="s">
        <v>33</v>
      </c>
      <c r="L11" s="11" t="s">
        <v>4788</v>
      </c>
      <c r="M11" s="24" t="s">
        <v>340</v>
      </c>
      <c r="N11" s="11"/>
      <c r="O11" s="11"/>
      <c r="P11" s="11"/>
      <c r="Q11" s="44">
        <v>1</v>
      </c>
      <c r="R11" s="50">
        <f>H11</f>
        <v>30</v>
      </c>
    </row>
    <row r="12" spans="1:18" x14ac:dyDescent="0.25">
      <c r="A12" s="11"/>
      <c r="B12" s="11" t="s">
        <v>27</v>
      </c>
      <c r="C12" s="11" t="s">
        <v>3564</v>
      </c>
      <c r="D12" s="11" t="s">
        <v>4817</v>
      </c>
      <c r="E12" s="11" t="s">
        <v>4818</v>
      </c>
      <c r="F12" s="12">
        <v>8</v>
      </c>
      <c r="G12" s="12">
        <v>320</v>
      </c>
      <c r="H12" s="12">
        <v>30</v>
      </c>
      <c r="I12" s="12">
        <f t="shared" si="0"/>
        <v>290</v>
      </c>
      <c r="J12" s="11" t="s">
        <v>4787</v>
      </c>
      <c r="K12" s="11" t="s">
        <v>33</v>
      </c>
      <c r="L12" s="11" t="s">
        <v>4788</v>
      </c>
      <c r="M12" s="11"/>
      <c r="N12" s="11"/>
      <c r="O12" s="11"/>
      <c r="P12" s="11"/>
      <c r="Q12" s="44">
        <v>1</v>
      </c>
      <c r="R12" s="49"/>
    </row>
    <row r="13" spans="1:18" x14ac:dyDescent="0.25">
      <c r="A13" s="11"/>
      <c r="B13" s="11" t="s">
        <v>27</v>
      </c>
      <c r="C13" s="11" t="s">
        <v>4819</v>
      </c>
      <c r="D13" s="11" t="s">
        <v>4820</v>
      </c>
      <c r="E13" s="11" t="s">
        <v>4821</v>
      </c>
      <c r="F13" s="12">
        <v>8</v>
      </c>
      <c r="G13" s="12">
        <v>520</v>
      </c>
      <c r="H13" s="12">
        <v>30</v>
      </c>
      <c r="I13" s="12">
        <f t="shared" si="0"/>
        <v>490</v>
      </c>
      <c r="J13" s="11" t="s">
        <v>4787</v>
      </c>
      <c r="K13" s="11" t="s">
        <v>33</v>
      </c>
      <c r="L13" s="11" t="s">
        <v>4788</v>
      </c>
      <c r="M13" s="11"/>
      <c r="N13" s="11"/>
      <c r="O13" s="11"/>
      <c r="P13" s="11"/>
      <c r="Q13" s="44">
        <v>1</v>
      </c>
      <c r="R13" s="49"/>
    </row>
    <row r="14" spans="1:18" x14ac:dyDescent="0.25">
      <c r="A14" s="11"/>
      <c r="B14" s="11" t="s">
        <v>27</v>
      </c>
      <c r="C14" s="11" t="s">
        <v>4822</v>
      </c>
      <c r="D14" s="11" t="s">
        <v>4823</v>
      </c>
      <c r="E14" s="11" t="s">
        <v>4824</v>
      </c>
      <c r="F14" s="11" t="s">
        <v>48</v>
      </c>
      <c r="G14" s="12">
        <v>1390</v>
      </c>
      <c r="H14" s="12">
        <v>30</v>
      </c>
      <c r="I14" s="12">
        <f t="shared" si="0"/>
        <v>1360</v>
      </c>
      <c r="J14" s="11" t="s">
        <v>4787</v>
      </c>
      <c r="K14" s="11" t="s">
        <v>33</v>
      </c>
      <c r="L14" s="11" t="s">
        <v>4788</v>
      </c>
      <c r="M14" s="11"/>
      <c r="N14" s="11"/>
      <c r="O14" s="11"/>
      <c r="P14" s="11"/>
      <c r="Q14" s="44">
        <v>1</v>
      </c>
      <c r="R14" s="49"/>
    </row>
    <row r="15" spans="1:18" x14ac:dyDescent="0.25">
      <c r="A15" s="11"/>
      <c r="B15" s="11" t="s">
        <v>27</v>
      </c>
      <c r="C15" s="11" t="s">
        <v>4831</v>
      </c>
      <c r="D15" s="11" t="s">
        <v>4832</v>
      </c>
      <c r="E15" s="11" t="s">
        <v>4833</v>
      </c>
      <c r="F15" s="12">
        <v>7</v>
      </c>
      <c r="G15" s="12">
        <v>440</v>
      </c>
      <c r="H15" s="12">
        <v>30</v>
      </c>
      <c r="I15" s="12">
        <f t="shared" si="0"/>
        <v>410</v>
      </c>
      <c r="J15" s="11" t="s">
        <v>4787</v>
      </c>
      <c r="K15" s="11" t="s">
        <v>33</v>
      </c>
      <c r="L15" s="11" t="s">
        <v>4788</v>
      </c>
      <c r="M15" s="11"/>
      <c r="N15" s="11"/>
      <c r="O15" s="11"/>
      <c r="P15" s="11"/>
      <c r="Q15" s="44">
        <v>1</v>
      </c>
      <c r="R15" s="49"/>
    </row>
    <row r="16" spans="1:18" x14ac:dyDescent="0.25">
      <c r="A16" s="11"/>
      <c r="B16" s="11" t="s">
        <v>27</v>
      </c>
      <c r="C16" s="11" t="s">
        <v>4837</v>
      </c>
      <c r="D16" s="11" t="s">
        <v>4838</v>
      </c>
      <c r="E16" s="11" t="s">
        <v>4839</v>
      </c>
      <c r="F16" s="11" t="s">
        <v>48</v>
      </c>
      <c r="G16" s="12">
        <v>1158</v>
      </c>
      <c r="H16" s="12">
        <v>30</v>
      </c>
      <c r="I16" s="12">
        <f t="shared" si="0"/>
        <v>1128</v>
      </c>
      <c r="J16" s="11" t="s">
        <v>4787</v>
      </c>
      <c r="K16" s="11" t="s">
        <v>33</v>
      </c>
      <c r="L16" s="11" t="s">
        <v>4788</v>
      </c>
      <c r="M16" s="24" t="s">
        <v>340</v>
      </c>
      <c r="N16" s="11"/>
      <c r="O16" s="11"/>
      <c r="P16" s="11"/>
      <c r="Q16" s="44">
        <v>1</v>
      </c>
      <c r="R16" s="50">
        <f>H16</f>
        <v>30</v>
      </c>
    </row>
    <row r="17" spans="1:18" x14ac:dyDescent="0.25">
      <c r="A17" s="11"/>
      <c r="B17" s="11" t="s">
        <v>27</v>
      </c>
      <c r="C17" s="11" t="s">
        <v>4840</v>
      </c>
      <c r="D17" s="11" t="s">
        <v>4841</v>
      </c>
      <c r="E17" s="11" t="s">
        <v>4842</v>
      </c>
      <c r="F17" s="11" t="s">
        <v>104</v>
      </c>
      <c r="G17" s="12">
        <v>2380</v>
      </c>
      <c r="H17" s="12">
        <v>30</v>
      </c>
      <c r="I17" s="12">
        <f t="shared" si="0"/>
        <v>2350</v>
      </c>
      <c r="J17" s="11" t="s">
        <v>4787</v>
      </c>
      <c r="K17" s="11" t="s">
        <v>33</v>
      </c>
      <c r="L17" s="11" t="s">
        <v>4788</v>
      </c>
      <c r="M17" s="11"/>
      <c r="N17" s="11"/>
      <c r="O17" s="11"/>
      <c r="P17" s="11"/>
      <c r="Q17" s="44">
        <v>1</v>
      </c>
      <c r="R17" s="49"/>
    </row>
    <row r="18" spans="1:18" x14ac:dyDescent="0.25">
      <c r="A18" s="11"/>
      <c r="B18" s="11" t="s">
        <v>27</v>
      </c>
      <c r="C18" s="11" t="s">
        <v>4843</v>
      </c>
      <c r="D18" s="11" t="s">
        <v>4844</v>
      </c>
      <c r="E18" s="11" t="s">
        <v>4845</v>
      </c>
      <c r="F18" s="12">
        <v>2</v>
      </c>
      <c r="G18" s="12">
        <v>370</v>
      </c>
      <c r="H18" s="12">
        <v>30</v>
      </c>
      <c r="I18" s="12">
        <f t="shared" si="0"/>
        <v>340</v>
      </c>
      <c r="J18" s="11" t="s">
        <v>4787</v>
      </c>
      <c r="K18" s="11" t="s">
        <v>33</v>
      </c>
      <c r="L18" s="11" t="s">
        <v>4788</v>
      </c>
      <c r="M18" s="11"/>
      <c r="N18" s="11"/>
      <c r="O18" s="11"/>
      <c r="P18" s="11"/>
      <c r="Q18" s="44">
        <v>1</v>
      </c>
      <c r="R18" s="49"/>
    </row>
    <row r="19" spans="1:18" x14ac:dyDescent="0.25">
      <c r="A19" s="11"/>
      <c r="B19" s="11" t="s">
        <v>27</v>
      </c>
      <c r="C19" s="11" t="s">
        <v>3114</v>
      </c>
      <c r="D19" s="11" t="s">
        <v>4846</v>
      </c>
      <c r="E19" s="11" t="s">
        <v>4847</v>
      </c>
      <c r="F19" s="12">
        <v>7</v>
      </c>
      <c r="G19" s="12">
        <v>1070</v>
      </c>
      <c r="H19" s="12">
        <v>30</v>
      </c>
      <c r="I19" s="12">
        <f t="shared" si="0"/>
        <v>1040</v>
      </c>
      <c r="J19" s="11" t="s">
        <v>4787</v>
      </c>
      <c r="K19" s="11" t="s">
        <v>33</v>
      </c>
      <c r="L19" s="11" t="s">
        <v>4788</v>
      </c>
      <c r="M19" s="11"/>
      <c r="N19" s="11"/>
      <c r="O19" s="11"/>
      <c r="P19" s="11"/>
      <c r="Q19" s="44">
        <v>1</v>
      </c>
      <c r="R19" s="49"/>
    </row>
    <row r="20" spans="1:18" x14ac:dyDescent="0.25">
      <c r="A20" s="11"/>
      <c r="B20" s="11" t="s">
        <v>27</v>
      </c>
      <c r="C20" s="11" t="s">
        <v>4848</v>
      </c>
      <c r="D20" s="11" t="s">
        <v>4849</v>
      </c>
      <c r="E20" s="11" t="s">
        <v>4850</v>
      </c>
      <c r="F20" s="11" t="s">
        <v>202</v>
      </c>
      <c r="G20" s="12">
        <v>525</v>
      </c>
      <c r="H20" s="12">
        <v>35</v>
      </c>
      <c r="I20" s="12">
        <f t="shared" si="0"/>
        <v>490</v>
      </c>
      <c r="J20" s="11" t="s">
        <v>4787</v>
      </c>
      <c r="K20" s="11" t="s">
        <v>33</v>
      </c>
      <c r="L20" s="11" t="s">
        <v>4788</v>
      </c>
      <c r="M20" s="11"/>
      <c r="N20" s="11"/>
      <c r="O20" s="11"/>
      <c r="P20" s="11"/>
      <c r="Q20" s="44">
        <v>1</v>
      </c>
      <c r="R20" s="49"/>
    </row>
    <row r="21" spans="1:18" x14ac:dyDescent="0.25">
      <c r="A21" s="11"/>
      <c r="B21" s="11" t="s">
        <v>27</v>
      </c>
      <c r="C21" s="11" t="s">
        <v>4854</v>
      </c>
      <c r="D21" s="11" t="s">
        <v>4855</v>
      </c>
      <c r="E21" s="11" t="s">
        <v>4856</v>
      </c>
      <c r="F21" s="12">
        <v>8</v>
      </c>
      <c r="G21" s="12">
        <v>818</v>
      </c>
      <c r="H21" s="12">
        <v>30</v>
      </c>
      <c r="I21" s="12">
        <f t="shared" si="0"/>
        <v>788</v>
      </c>
      <c r="J21" s="11" t="s">
        <v>4787</v>
      </c>
      <c r="K21" s="11" t="s">
        <v>33</v>
      </c>
      <c r="L21" s="11" t="s">
        <v>4788</v>
      </c>
      <c r="M21" s="24" t="s">
        <v>340</v>
      </c>
      <c r="N21" s="11"/>
      <c r="O21" s="11"/>
      <c r="P21" s="11"/>
      <c r="Q21" s="44">
        <v>1</v>
      </c>
      <c r="R21" s="50">
        <f>H21</f>
        <v>30</v>
      </c>
    </row>
    <row r="22" spans="1:18" x14ac:dyDescent="0.25">
      <c r="A22" s="11"/>
      <c r="B22" s="11" t="s">
        <v>27</v>
      </c>
      <c r="C22" s="11" t="s">
        <v>4001</v>
      </c>
      <c r="D22" s="11" t="s">
        <v>4860</v>
      </c>
      <c r="E22" s="11" t="s">
        <v>4861</v>
      </c>
      <c r="F22" s="12">
        <v>9</v>
      </c>
      <c r="G22" s="12">
        <v>1270</v>
      </c>
      <c r="H22" s="12">
        <v>30</v>
      </c>
      <c r="I22" s="12">
        <f t="shared" si="0"/>
        <v>1240</v>
      </c>
      <c r="J22" s="11" t="s">
        <v>4787</v>
      </c>
      <c r="K22" s="11" t="s">
        <v>33</v>
      </c>
      <c r="L22" s="11" t="s">
        <v>4788</v>
      </c>
      <c r="M22" s="11"/>
      <c r="N22" s="11"/>
      <c r="O22" s="11"/>
      <c r="P22" s="11"/>
      <c r="Q22" s="44">
        <v>1</v>
      </c>
      <c r="R22" s="49"/>
    </row>
    <row r="23" spans="1:18" x14ac:dyDescent="0.25">
      <c r="A23" s="11"/>
      <c r="B23" s="11" t="s">
        <v>27</v>
      </c>
      <c r="C23" s="11" t="s">
        <v>4862</v>
      </c>
      <c r="D23" s="11" t="s">
        <v>4863</v>
      </c>
      <c r="E23" s="11" t="s">
        <v>4864</v>
      </c>
      <c r="F23" s="11" t="s">
        <v>444</v>
      </c>
      <c r="G23" s="12">
        <v>635</v>
      </c>
      <c r="H23" s="12">
        <v>35</v>
      </c>
      <c r="I23" s="12">
        <f t="shared" si="0"/>
        <v>600</v>
      </c>
      <c r="J23" s="11" t="s">
        <v>4787</v>
      </c>
      <c r="K23" s="11" t="s">
        <v>33</v>
      </c>
      <c r="L23" s="11" t="s">
        <v>4788</v>
      </c>
      <c r="M23" s="11"/>
      <c r="N23" s="11"/>
      <c r="O23" s="11"/>
      <c r="P23" s="11"/>
      <c r="Q23" s="44">
        <v>1</v>
      </c>
      <c r="R23" s="49"/>
    </row>
    <row r="24" spans="1:18" x14ac:dyDescent="0.25">
      <c r="A24" s="11"/>
      <c r="B24" s="11" t="s">
        <v>27</v>
      </c>
      <c r="C24" s="11" t="s">
        <v>4872</v>
      </c>
      <c r="D24" s="11" t="s">
        <v>4873</v>
      </c>
      <c r="E24" s="11" t="s">
        <v>4874</v>
      </c>
      <c r="F24" s="12">
        <v>9</v>
      </c>
      <c r="G24" s="12">
        <v>5000</v>
      </c>
      <c r="H24" s="12">
        <v>50</v>
      </c>
      <c r="I24" s="12">
        <f t="shared" si="0"/>
        <v>4950</v>
      </c>
      <c r="J24" s="11" t="s">
        <v>4787</v>
      </c>
      <c r="K24" s="11" t="s">
        <v>33</v>
      </c>
      <c r="L24" s="11" t="s">
        <v>4788</v>
      </c>
      <c r="M24" s="24" t="s">
        <v>6070</v>
      </c>
      <c r="N24" s="11"/>
      <c r="O24" s="11"/>
      <c r="P24" s="11"/>
      <c r="Q24" s="44">
        <v>1</v>
      </c>
      <c r="R24" s="50">
        <f>H24</f>
        <v>50</v>
      </c>
    </row>
    <row r="25" spans="1:18" s="15" customFormat="1" x14ac:dyDescent="0.25">
      <c r="A25" s="13"/>
      <c r="B25" s="13" t="s">
        <v>27</v>
      </c>
      <c r="C25" s="13" t="s">
        <v>3455</v>
      </c>
      <c r="D25" s="13" t="s">
        <v>4875</v>
      </c>
      <c r="E25" s="13" t="s">
        <v>4876</v>
      </c>
      <c r="F25" s="13" t="s">
        <v>104</v>
      </c>
      <c r="G25" s="14">
        <v>0</v>
      </c>
      <c r="H25" s="14">
        <v>30</v>
      </c>
      <c r="I25" s="14">
        <f t="shared" si="0"/>
        <v>-30</v>
      </c>
      <c r="J25" s="13" t="s">
        <v>4787</v>
      </c>
      <c r="K25" s="13" t="s">
        <v>33</v>
      </c>
      <c r="L25" s="13" t="s">
        <v>4788</v>
      </c>
      <c r="M25" s="35" t="s">
        <v>100</v>
      </c>
      <c r="N25" s="13"/>
      <c r="O25" s="13"/>
      <c r="P25" s="13"/>
      <c r="Q25" s="45">
        <v>1</v>
      </c>
      <c r="R25" s="51">
        <f>H25</f>
        <v>30</v>
      </c>
    </row>
    <row r="26" spans="1:18" x14ac:dyDescent="0.25">
      <c r="A26" s="11"/>
      <c r="B26" s="11" t="s">
        <v>27</v>
      </c>
      <c r="C26" s="11" t="s">
        <v>4886</v>
      </c>
      <c r="D26" s="11" t="s">
        <v>4887</v>
      </c>
      <c r="E26" s="11" t="s">
        <v>4888</v>
      </c>
      <c r="F26" s="11" t="s">
        <v>48</v>
      </c>
      <c r="G26" s="12">
        <v>830</v>
      </c>
      <c r="H26" s="12">
        <v>30</v>
      </c>
      <c r="I26" s="12">
        <f t="shared" si="0"/>
        <v>800</v>
      </c>
      <c r="J26" s="11" t="s">
        <v>4787</v>
      </c>
      <c r="K26" s="11" t="s">
        <v>33</v>
      </c>
      <c r="L26" s="11" t="s">
        <v>4788</v>
      </c>
      <c r="M26" s="11"/>
      <c r="N26" s="11"/>
      <c r="O26" s="11"/>
      <c r="P26" s="11"/>
      <c r="Q26" s="44">
        <v>1</v>
      </c>
      <c r="R26" s="49"/>
    </row>
    <row r="27" spans="1:18" x14ac:dyDescent="0.25">
      <c r="A27" s="11"/>
      <c r="B27" s="11" t="s">
        <v>27</v>
      </c>
      <c r="C27" s="11" t="s">
        <v>4897</v>
      </c>
      <c r="D27" s="11" t="s">
        <v>4898</v>
      </c>
      <c r="E27" s="11" t="s">
        <v>4899</v>
      </c>
      <c r="F27" s="11" t="s">
        <v>55</v>
      </c>
      <c r="G27" s="12">
        <v>5600</v>
      </c>
      <c r="H27" s="12">
        <v>50</v>
      </c>
      <c r="I27" s="12">
        <f t="shared" si="0"/>
        <v>5550</v>
      </c>
      <c r="J27" s="11" t="s">
        <v>4787</v>
      </c>
      <c r="K27" s="11" t="s">
        <v>33</v>
      </c>
      <c r="L27" s="11" t="s">
        <v>4788</v>
      </c>
      <c r="M27" s="11"/>
      <c r="N27" s="11"/>
      <c r="O27" s="11"/>
      <c r="P27" s="11"/>
      <c r="Q27" s="44">
        <v>1</v>
      </c>
      <c r="R27" s="49"/>
    </row>
    <row r="28" spans="1:18" x14ac:dyDescent="0.25">
      <c r="A28" s="11"/>
      <c r="B28" s="11" t="s">
        <v>27</v>
      </c>
      <c r="C28" s="11" t="s">
        <v>4900</v>
      </c>
      <c r="D28" s="11" t="s">
        <v>4901</v>
      </c>
      <c r="E28" s="11" t="s">
        <v>4902</v>
      </c>
      <c r="F28" s="11" t="s">
        <v>444</v>
      </c>
      <c r="G28" s="12">
        <v>3775</v>
      </c>
      <c r="H28" s="12">
        <v>45</v>
      </c>
      <c r="I28" s="12">
        <f t="shared" si="0"/>
        <v>3730</v>
      </c>
      <c r="J28" s="11" t="s">
        <v>4787</v>
      </c>
      <c r="K28" s="11" t="s">
        <v>33</v>
      </c>
      <c r="L28" s="11" t="s">
        <v>4788</v>
      </c>
      <c r="M28" s="11"/>
      <c r="N28" s="11"/>
      <c r="O28" s="11"/>
      <c r="P28" s="11"/>
      <c r="Q28" s="44">
        <v>1</v>
      </c>
      <c r="R28" s="49"/>
    </row>
    <row r="29" spans="1:18" x14ac:dyDescent="0.25">
      <c r="A29" s="11"/>
      <c r="B29" s="11" t="s">
        <v>27</v>
      </c>
      <c r="C29" s="11" t="s">
        <v>2365</v>
      </c>
      <c r="D29" s="11" t="s">
        <v>4915</v>
      </c>
      <c r="E29" s="11" t="s">
        <v>2367</v>
      </c>
      <c r="F29" s="11" t="s">
        <v>48</v>
      </c>
      <c r="G29" s="12">
        <v>720</v>
      </c>
      <c r="H29" s="12">
        <v>30</v>
      </c>
      <c r="I29" s="12">
        <f t="shared" si="0"/>
        <v>690</v>
      </c>
      <c r="J29" s="11" t="s">
        <v>4787</v>
      </c>
      <c r="K29" s="11" t="s">
        <v>33</v>
      </c>
      <c r="L29" s="11" t="s">
        <v>4788</v>
      </c>
      <c r="M29" s="11"/>
      <c r="N29" s="11"/>
      <c r="O29" s="11"/>
      <c r="P29" s="11"/>
      <c r="Q29" s="44">
        <v>1</v>
      </c>
      <c r="R29" s="49"/>
    </row>
    <row r="30" spans="1:18" x14ac:dyDescent="0.25">
      <c r="A30" s="11"/>
      <c r="B30" s="11" t="s">
        <v>27</v>
      </c>
      <c r="C30" s="11" t="s">
        <v>4916</v>
      </c>
      <c r="D30" s="11" t="s">
        <v>4917</v>
      </c>
      <c r="E30" s="11" t="s">
        <v>4918</v>
      </c>
      <c r="F30" s="12">
        <v>8</v>
      </c>
      <c r="G30" s="12">
        <v>30</v>
      </c>
      <c r="H30" s="12">
        <v>30</v>
      </c>
      <c r="I30" s="12">
        <f t="shared" si="0"/>
        <v>0</v>
      </c>
      <c r="J30" s="11" t="s">
        <v>4787</v>
      </c>
      <c r="K30" s="11" t="s">
        <v>33</v>
      </c>
      <c r="L30" s="11" t="s">
        <v>4788</v>
      </c>
      <c r="M30" s="11"/>
      <c r="N30" s="11"/>
      <c r="O30" s="11"/>
      <c r="P30" s="11"/>
      <c r="Q30" s="44">
        <v>1</v>
      </c>
      <c r="R30" s="49"/>
    </row>
    <row r="31" spans="1:18" x14ac:dyDescent="0.25">
      <c r="A31" s="11"/>
      <c r="B31" s="11" t="s">
        <v>27</v>
      </c>
      <c r="C31" s="11" t="s">
        <v>4922</v>
      </c>
      <c r="D31" s="11" t="s">
        <v>4923</v>
      </c>
      <c r="E31" s="11" t="s">
        <v>4924</v>
      </c>
      <c r="F31" s="12">
        <v>9</v>
      </c>
      <c r="G31" s="12">
        <v>418</v>
      </c>
      <c r="H31" s="12">
        <v>30</v>
      </c>
      <c r="I31" s="12">
        <f t="shared" si="0"/>
        <v>388</v>
      </c>
      <c r="J31" s="11" t="s">
        <v>4787</v>
      </c>
      <c r="K31" s="11" t="s">
        <v>33</v>
      </c>
      <c r="L31" s="11" t="s">
        <v>4788</v>
      </c>
      <c r="M31" s="24" t="s">
        <v>340</v>
      </c>
      <c r="N31" s="11"/>
      <c r="O31" s="11"/>
      <c r="P31" s="11"/>
      <c r="Q31" s="44">
        <v>1</v>
      </c>
      <c r="R31" s="50">
        <f>H31</f>
        <v>30</v>
      </c>
    </row>
    <row r="32" spans="1:18" x14ac:dyDescent="0.25">
      <c r="A32" s="11"/>
      <c r="B32" s="11" t="s">
        <v>27</v>
      </c>
      <c r="C32" s="11" t="s">
        <v>3782</v>
      </c>
      <c r="D32" s="11" t="s">
        <v>4931</v>
      </c>
      <c r="E32" s="11" t="s">
        <v>4932</v>
      </c>
      <c r="F32" s="12">
        <v>7</v>
      </c>
      <c r="G32" s="12">
        <v>480</v>
      </c>
      <c r="H32" s="12">
        <v>30</v>
      </c>
      <c r="I32" s="12">
        <f t="shared" si="0"/>
        <v>450</v>
      </c>
      <c r="J32" s="11" t="s">
        <v>4787</v>
      </c>
      <c r="K32" s="11" t="s">
        <v>33</v>
      </c>
      <c r="L32" s="11" t="s">
        <v>4788</v>
      </c>
      <c r="M32" s="11"/>
      <c r="N32" s="11"/>
      <c r="O32" s="11"/>
      <c r="P32" s="11"/>
      <c r="Q32" s="44">
        <v>1</v>
      </c>
      <c r="R32" s="49"/>
    </row>
    <row r="33" spans="1:18" x14ac:dyDescent="0.25">
      <c r="A33" s="11"/>
      <c r="B33" s="11" t="s">
        <v>27</v>
      </c>
      <c r="C33" s="11" t="s">
        <v>4935</v>
      </c>
      <c r="D33" s="11" t="s">
        <v>4936</v>
      </c>
      <c r="E33" s="11" t="s">
        <v>205</v>
      </c>
      <c r="F33" s="12">
        <v>7</v>
      </c>
      <c r="G33" s="12">
        <v>1250</v>
      </c>
      <c r="H33" s="12">
        <v>30</v>
      </c>
      <c r="I33" s="12">
        <f t="shared" si="0"/>
        <v>1220</v>
      </c>
      <c r="J33" s="11" t="s">
        <v>4787</v>
      </c>
      <c r="K33" s="11" t="s">
        <v>33</v>
      </c>
      <c r="L33" s="11" t="s">
        <v>4788</v>
      </c>
      <c r="M33" s="11"/>
      <c r="N33" s="11"/>
      <c r="O33" s="11"/>
      <c r="P33" s="11"/>
      <c r="Q33" s="44">
        <v>1</v>
      </c>
      <c r="R33" s="49"/>
    </row>
    <row r="34" spans="1:18" x14ac:dyDescent="0.25">
      <c r="A34" s="11"/>
      <c r="B34" s="11" t="s">
        <v>27</v>
      </c>
      <c r="C34" s="11" t="s">
        <v>4939</v>
      </c>
      <c r="D34" s="11" t="s">
        <v>4940</v>
      </c>
      <c r="E34" s="11" t="s">
        <v>4941</v>
      </c>
      <c r="F34" s="12">
        <v>8</v>
      </c>
      <c r="G34" s="12">
        <v>1070</v>
      </c>
      <c r="H34" s="12">
        <v>30</v>
      </c>
      <c r="I34" s="12">
        <f t="shared" si="0"/>
        <v>1040</v>
      </c>
      <c r="J34" s="11" t="s">
        <v>4787</v>
      </c>
      <c r="K34" s="11" t="s">
        <v>33</v>
      </c>
      <c r="L34" s="11" t="s">
        <v>4788</v>
      </c>
      <c r="M34" s="11"/>
      <c r="N34" s="11"/>
      <c r="O34" s="11"/>
      <c r="P34" s="11"/>
      <c r="Q34" s="44">
        <v>1</v>
      </c>
      <c r="R34" s="49"/>
    </row>
    <row r="35" spans="1:18" x14ac:dyDescent="0.25">
      <c r="A35" s="11"/>
      <c r="B35" s="11" t="s">
        <v>27</v>
      </c>
      <c r="C35" s="11" t="s">
        <v>4942</v>
      </c>
      <c r="D35" s="11" t="s">
        <v>4943</v>
      </c>
      <c r="E35" s="11" t="s">
        <v>4944</v>
      </c>
      <c r="F35" s="12">
        <v>11</v>
      </c>
      <c r="G35" s="12">
        <v>615</v>
      </c>
      <c r="H35" s="12">
        <v>25</v>
      </c>
      <c r="I35" s="12">
        <f t="shared" si="0"/>
        <v>590</v>
      </c>
      <c r="J35" s="11" t="s">
        <v>4787</v>
      </c>
      <c r="K35" s="11" t="s">
        <v>33</v>
      </c>
      <c r="L35" s="11" t="s">
        <v>4788</v>
      </c>
      <c r="M35" s="11"/>
      <c r="N35" s="11"/>
      <c r="O35" s="11"/>
      <c r="P35" s="11"/>
      <c r="Q35" s="44">
        <v>1</v>
      </c>
      <c r="R35" s="49"/>
    </row>
    <row r="36" spans="1:18" x14ac:dyDescent="0.25">
      <c r="A36" s="11"/>
      <c r="B36" s="11" t="s">
        <v>27</v>
      </c>
      <c r="C36" s="11" t="s">
        <v>4945</v>
      </c>
      <c r="D36" s="11" t="s">
        <v>4946</v>
      </c>
      <c r="E36" s="11" t="s">
        <v>4947</v>
      </c>
      <c r="F36" s="12">
        <v>9</v>
      </c>
      <c r="G36" s="12">
        <v>678</v>
      </c>
      <c r="H36" s="12">
        <v>30</v>
      </c>
      <c r="I36" s="12">
        <f t="shared" si="0"/>
        <v>648</v>
      </c>
      <c r="J36" s="11" t="s">
        <v>4787</v>
      </c>
      <c r="K36" s="11" t="s">
        <v>33</v>
      </c>
      <c r="L36" s="11" t="s">
        <v>4788</v>
      </c>
      <c r="M36" s="24" t="s">
        <v>340</v>
      </c>
      <c r="N36" s="11"/>
      <c r="O36" s="11"/>
      <c r="P36" s="11"/>
      <c r="Q36" s="44">
        <v>1</v>
      </c>
      <c r="R36" s="50">
        <f>H36</f>
        <v>30</v>
      </c>
    </row>
    <row r="37" spans="1:18" x14ac:dyDescent="0.25">
      <c r="A37" s="11"/>
      <c r="B37" s="11" t="s">
        <v>27</v>
      </c>
      <c r="C37" s="11" t="s">
        <v>4951</v>
      </c>
      <c r="D37" s="11" t="s">
        <v>4952</v>
      </c>
      <c r="E37" s="11" t="s">
        <v>2387</v>
      </c>
      <c r="F37" s="12">
        <v>6</v>
      </c>
      <c r="G37" s="12">
        <v>855</v>
      </c>
      <c r="H37" s="12">
        <v>25</v>
      </c>
      <c r="I37" s="12">
        <f t="shared" si="0"/>
        <v>830</v>
      </c>
      <c r="J37" s="11" t="s">
        <v>4787</v>
      </c>
      <c r="K37" s="11" t="s">
        <v>33</v>
      </c>
      <c r="L37" s="11" t="s">
        <v>4788</v>
      </c>
      <c r="M37" s="24" t="s">
        <v>1217</v>
      </c>
      <c r="N37" s="11"/>
      <c r="O37" s="11"/>
      <c r="P37" s="11"/>
      <c r="Q37" s="44">
        <v>1</v>
      </c>
      <c r="R37" s="49"/>
    </row>
    <row r="38" spans="1:18" x14ac:dyDescent="0.25">
      <c r="A38" s="11"/>
      <c r="B38" s="11" t="s">
        <v>27</v>
      </c>
      <c r="C38" s="11" t="s">
        <v>4951</v>
      </c>
      <c r="D38" s="11" t="s">
        <v>5270</v>
      </c>
      <c r="E38" s="11" t="s">
        <v>2387</v>
      </c>
      <c r="F38" s="12">
        <v>6</v>
      </c>
      <c r="G38" s="12">
        <v>420</v>
      </c>
      <c r="H38" s="12">
        <v>0</v>
      </c>
      <c r="I38" s="12">
        <f t="shared" si="0"/>
        <v>420</v>
      </c>
      <c r="J38" s="11" t="s">
        <v>4787</v>
      </c>
      <c r="K38" s="11" t="s">
        <v>33</v>
      </c>
      <c r="L38" s="11" t="s">
        <v>4788</v>
      </c>
      <c r="M38" s="24" t="s">
        <v>1217</v>
      </c>
      <c r="N38" s="11"/>
      <c r="O38" s="11"/>
      <c r="P38" s="11"/>
      <c r="Q38" s="44">
        <v>1</v>
      </c>
      <c r="R38" s="49"/>
    </row>
    <row r="39" spans="1:18" x14ac:dyDescent="0.25">
      <c r="A39" s="11"/>
      <c r="B39" s="11" t="s">
        <v>27</v>
      </c>
      <c r="C39" s="11" t="s">
        <v>4953</v>
      </c>
      <c r="D39" s="11" t="s">
        <v>4954</v>
      </c>
      <c r="E39" s="11" t="s">
        <v>4955</v>
      </c>
      <c r="F39" s="12">
        <v>11</v>
      </c>
      <c r="G39" s="12">
        <v>495</v>
      </c>
      <c r="H39" s="12">
        <v>25</v>
      </c>
      <c r="I39" s="12">
        <f t="shared" si="0"/>
        <v>470</v>
      </c>
      <c r="J39" s="11" t="s">
        <v>4787</v>
      </c>
      <c r="K39" s="11" t="s">
        <v>33</v>
      </c>
      <c r="L39" s="11" t="s">
        <v>4788</v>
      </c>
      <c r="M39" s="11"/>
      <c r="N39" s="11"/>
      <c r="O39" s="11"/>
      <c r="P39" s="11"/>
      <c r="Q39" s="44">
        <v>1</v>
      </c>
      <c r="R39" s="49"/>
    </row>
    <row r="40" spans="1:18" x14ac:dyDescent="0.25">
      <c r="A40" s="11"/>
      <c r="B40" s="11" t="s">
        <v>27</v>
      </c>
      <c r="C40" s="11" t="s">
        <v>4956</v>
      </c>
      <c r="D40" s="11" t="s">
        <v>4957</v>
      </c>
      <c r="E40" s="11" t="s">
        <v>4958</v>
      </c>
      <c r="F40" s="11" t="s">
        <v>44</v>
      </c>
      <c r="G40" s="12">
        <v>1055</v>
      </c>
      <c r="H40" s="12">
        <v>25</v>
      </c>
      <c r="I40" s="12">
        <f t="shared" si="0"/>
        <v>1030</v>
      </c>
      <c r="J40" s="11" t="s">
        <v>4787</v>
      </c>
      <c r="K40" s="11" t="s">
        <v>33</v>
      </c>
      <c r="L40" s="11" t="s">
        <v>4788</v>
      </c>
      <c r="M40" s="11"/>
      <c r="N40" s="11"/>
      <c r="O40" s="11"/>
      <c r="P40" s="11"/>
      <c r="Q40" s="44">
        <v>1</v>
      </c>
      <c r="R40" s="49"/>
    </row>
    <row r="41" spans="1:18" x14ac:dyDescent="0.25">
      <c r="A41" s="11"/>
      <c r="B41" s="11" t="s">
        <v>27</v>
      </c>
      <c r="C41" s="11" t="s">
        <v>4959</v>
      </c>
      <c r="D41" s="11" t="s">
        <v>4960</v>
      </c>
      <c r="E41" s="11" t="s">
        <v>4961</v>
      </c>
      <c r="F41" s="11" t="s">
        <v>55</v>
      </c>
      <c r="G41" s="12">
        <v>1225</v>
      </c>
      <c r="H41" s="12">
        <v>35</v>
      </c>
      <c r="I41" s="12">
        <f t="shared" si="0"/>
        <v>1190</v>
      </c>
      <c r="J41" s="11" t="s">
        <v>4787</v>
      </c>
      <c r="K41" s="11" t="s">
        <v>33</v>
      </c>
      <c r="L41" s="11" t="s">
        <v>4788</v>
      </c>
      <c r="M41" s="11"/>
      <c r="N41" s="11"/>
      <c r="O41" s="11"/>
      <c r="P41" s="11"/>
      <c r="Q41" s="44">
        <v>1</v>
      </c>
      <c r="R41" s="49"/>
    </row>
    <row r="42" spans="1:18" x14ac:dyDescent="0.25">
      <c r="A42" s="11"/>
      <c r="B42" s="11" t="s">
        <v>27</v>
      </c>
      <c r="C42" s="11" t="s">
        <v>674</v>
      </c>
      <c r="D42" s="11" t="s">
        <v>4962</v>
      </c>
      <c r="E42" s="11" t="s">
        <v>676</v>
      </c>
      <c r="F42" s="11" t="s">
        <v>55</v>
      </c>
      <c r="G42" s="12">
        <v>0</v>
      </c>
      <c r="H42" s="12">
        <v>35</v>
      </c>
      <c r="I42" s="12">
        <f t="shared" si="0"/>
        <v>-35</v>
      </c>
      <c r="J42" s="11" t="s">
        <v>4787</v>
      </c>
      <c r="K42" s="11" t="s">
        <v>33</v>
      </c>
      <c r="L42" s="11" t="s">
        <v>4788</v>
      </c>
      <c r="M42" s="11"/>
      <c r="N42" s="11"/>
      <c r="O42" s="11"/>
      <c r="P42" s="11"/>
      <c r="Q42" s="44">
        <v>1</v>
      </c>
      <c r="R42" s="50">
        <f>H42</f>
        <v>35</v>
      </c>
    </row>
    <row r="43" spans="1:18" x14ac:dyDescent="0.25">
      <c r="A43" s="11"/>
      <c r="B43" s="11" t="s">
        <v>27</v>
      </c>
      <c r="C43" s="11" t="s">
        <v>4970</v>
      </c>
      <c r="D43" s="11" t="s">
        <v>4971</v>
      </c>
      <c r="E43" s="11" t="s">
        <v>4972</v>
      </c>
      <c r="F43" s="12">
        <v>7</v>
      </c>
      <c r="G43" s="12">
        <v>3100</v>
      </c>
      <c r="H43" s="12">
        <v>30</v>
      </c>
      <c r="I43" s="12">
        <f t="shared" si="0"/>
        <v>3070</v>
      </c>
      <c r="J43" s="11" t="s">
        <v>4787</v>
      </c>
      <c r="K43" s="11" t="s">
        <v>33</v>
      </c>
      <c r="L43" s="11" t="s">
        <v>4788</v>
      </c>
      <c r="M43" s="11"/>
      <c r="N43" s="11"/>
      <c r="O43" s="11"/>
      <c r="P43" s="11"/>
      <c r="Q43" s="44">
        <v>1</v>
      </c>
      <c r="R43" s="49"/>
    </row>
    <row r="44" spans="1:18" x14ac:dyDescent="0.25">
      <c r="A44" s="11"/>
      <c r="B44" s="11" t="s">
        <v>27</v>
      </c>
      <c r="C44" s="11" t="s">
        <v>2681</v>
      </c>
      <c r="D44" s="11" t="s">
        <v>4976</v>
      </c>
      <c r="E44" s="11" t="s">
        <v>4977</v>
      </c>
      <c r="F44" s="12">
        <v>7</v>
      </c>
      <c r="G44" s="12">
        <v>820</v>
      </c>
      <c r="H44" s="12">
        <v>30</v>
      </c>
      <c r="I44" s="12">
        <f t="shared" si="0"/>
        <v>790</v>
      </c>
      <c r="J44" s="11" t="s">
        <v>4787</v>
      </c>
      <c r="K44" s="11" t="s">
        <v>33</v>
      </c>
      <c r="L44" s="11" t="s">
        <v>4788</v>
      </c>
      <c r="M44" s="11"/>
      <c r="N44" s="11"/>
      <c r="O44" s="11"/>
      <c r="P44" s="11"/>
      <c r="Q44" s="44">
        <v>1</v>
      </c>
      <c r="R44" s="49"/>
    </row>
    <row r="45" spans="1:18" x14ac:dyDescent="0.25">
      <c r="A45" s="11"/>
      <c r="B45" s="11" t="s">
        <v>27</v>
      </c>
      <c r="C45" s="11" t="s">
        <v>4985</v>
      </c>
      <c r="D45" s="11" t="s">
        <v>4986</v>
      </c>
      <c r="E45" s="11" t="s">
        <v>4987</v>
      </c>
      <c r="F45" s="12">
        <v>9</v>
      </c>
      <c r="G45" s="12">
        <v>750</v>
      </c>
      <c r="H45" s="12">
        <v>30</v>
      </c>
      <c r="I45" s="12">
        <f t="shared" si="0"/>
        <v>720</v>
      </c>
      <c r="J45" s="11" t="s">
        <v>4787</v>
      </c>
      <c r="K45" s="11" t="s">
        <v>33</v>
      </c>
      <c r="L45" s="11" t="s">
        <v>4788</v>
      </c>
      <c r="M45" s="11"/>
      <c r="N45" s="11"/>
      <c r="O45" s="11"/>
      <c r="P45" s="11"/>
      <c r="Q45" s="44">
        <v>1</v>
      </c>
      <c r="R45" s="49"/>
    </row>
    <row r="46" spans="1:18" x14ac:dyDescent="0.25">
      <c r="A46" s="11"/>
      <c r="B46" s="11" t="s">
        <v>27</v>
      </c>
      <c r="C46" s="11" t="s">
        <v>4301</v>
      </c>
      <c r="D46" s="11" t="s">
        <v>4988</v>
      </c>
      <c r="E46" s="11" t="s">
        <v>4989</v>
      </c>
      <c r="F46" s="12">
        <v>9</v>
      </c>
      <c r="G46" s="12">
        <v>320</v>
      </c>
      <c r="H46" s="12">
        <v>30</v>
      </c>
      <c r="I46" s="12">
        <f t="shared" si="0"/>
        <v>290</v>
      </c>
      <c r="J46" s="11" t="s">
        <v>4787</v>
      </c>
      <c r="K46" s="11" t="s">
        <v>33</v>
      </c>
      <c r="L46" s="11" t="s">
        <v>4788</v>
      </c>
      <c r="M46" s="11"/>
      <c r="N46" s="11"/>
      <c r="O46" s="11"/>
      <c r="P46" s="11"/>
      <c r="Q46" s="44">
        <v>1</v>
      </c>
      <c r="R46" s="49"/>
    </row>
    <row r="47" spans="1:18" x14ac:dyDescent="0.25">
      <c r="A47" s="11"/>
      <c r="B47" s="11" t="s">
        <v>27</v>
      </c>
      <c r="C47" s="11" t="s">
        <v>4990</v>
      </c>
      <c r="D47" s="11" t="s">
        <v>4991</v>
      </c>
      <c r="E47" s="11" t="s">
        <v>4992</v>
      </c>
      <c r="F47" s="12">
        <v>12</v>
      </c>
      <c r="G47" s="12">
        <v>1180</v>
      </c>
      <c r="H47" s="12">
        <v>30</v>
      </c>
      <c r="I47" s="12">
        <f t="shared" si="0"/>
        <v>1150</v>
      </c>
      <c r="J47" s="11" t="s">
        <v>4787</v>
      </c>
      <c r="K47" s="11" t="s">
        <v>33</v>
      </c>
      <c r="L47" s="11" t="s">
        <v>4788</v>
      </c>
      <c r="M47" s="11"/>
      <c r="N47" s="11"/>
      <c r="O47" s="11"/>
      <c r="P47" s="11"/>
      <c r="Q47" s="44">
        <v>1</v>
      </c>
      <c r="R47" s="49"/>
    </row>
    <row r="48" spans="1:18" x14ac:dyDescent="0.25">
      <c r="A48" s="11"/>
      <c r="B48" s="11" t="s">
        <v>27</v>
      </c>
      <c r="C48" s="11" t="s">
        <v>2421</v>
      </c>
      <c r="D48" s="11" t="s">
        <v>4998</v>
      </c>
      <c r="E48" s="11" t="s">
        <v>2423</v>
      </c>
      <c r="F48" s="12">
        <v>7</v>
      </c>
      <c r="G48" s="12">
        <v>900</v>
      </c>
      <c r="H48" s="12">
        <v>30</v>
      </c>
      <c r="I48" s="12">
        <f t="shared" si="0"/>
        <v>870</v>
      </c>
      <c r="J48" s="11" t="s">
        <v>4787</v>
      </c>
      <c r="K48" s="11" t="s">
        <v>33</v>
      </c>
      <c r="L48" s="11" t="s">
        <v>4788</v>
      </c>
      <c r="M48" s="11"/>
      <c r="N48" s="11"/>
      <c r="O48" s="11"/>
      <c r="P48" s="11"/>
      <c r="Q48" s="44">
        <v>1</v>
      </c>
      <c r="R48" s="49"/>
    </row>
    <row r="49" spans="1:18" x14ac:dyDescent="0.25">
      <c r="A49" s="11"/>
      <c r="B49" s="11" t="s">
        <v>27</v>
      </c>
      <c r="C49" s="11" t="s">
        <v>3725</v>
      </c>
      <c r="D49" s="11" t="s">
        <v>5011</v>
      </c>
      <c r="E49" s="11" t="s">
        <v>5012</v>
      </c>
      <c r="F49" s="12">
        <v>9</v>
      </c>
      <c r="G49" s="12">
        <v>258</v>
      </c>
      <c r="H49" s="12">
        <v>30</v>
      </c>
      <c r="I49" s="12">
        <f t="shared" si="0"/>
        <v>228</v>
      </c>
      <c r="J49" s="11" t="s">
        <v>4787</v>
      </c>
      <c r="K49" s="11" t="s">
        <v>33</v>
      </c>
      <c r="L49" s="11" t="s">
        <v>4788</v>
      </c>
      <c r="M49" s="24" t="s">
        <v>340</v>
      </c>
      <c r="N49" s="11"/>
      <c r="O49" s="11"/>
      <c r="P49" s="11"/>
      <c r="Q49" s="44">
        <v>1</v>
      </c>
      <c r="R49" s="50">
        <f>H49</f>
        <v>30</v>
      </c>
    </row>
    <row r="50" spans="1:18" x14ac:dyDescent="0.25">
      <c r="A50" s="11"/>
      <c r="B50" s="11" t="s">
        <v>27</v>
      </c>
      <c r="C50" s="11" t="s">
        <v>5013</v>
      </c>
      <c r="D50" s="11" t="s">
        <v>5014</v>
      </c>
      <c r="E50" s="11" t="s">
        <v>5015</v>
      </c>
      <c r="F50" s="12">
        <v>5</v>
      </c>
      <c r="G50" s="12">
        <v>365</v>
      </c>
      <c r="H50" s="12">
        <v>25</v>
      </c>
      <c r="I50" s="12">
        <f t="shared" si="0"/>
        <v>340</v>
      </c>
      <c r="J50" s="11" t="s">
        <v>4787</v>
      </c>
      <c r="K50" s="11" t="s">
        <v>33</v>
      </c>
      <c r="L50" s="11" t="s">
        <v>4788</v>
      </c>
      <c r="M50" s="11"/>
      <c r="N50" s="11"/>
      <c r="O50" s="11"/>
      <c r="P50" s="11"/>
      <c r="Q50" s="44">
        <v>1</v>
      </c>
      <c r="R50" s="49"/>
    </row>
    <row r="51" spans="1:18" x14ac:dyDescent="0.25">
      <c r="A51" s="11"/>
      <c r="B51" s="11" t="s">
        <v>27</v>
      </c>
      <c r="C51" s="11" t="s">
        <v>5025</v>
      </c>
      <c r="D51" s="11" t="s">
        <v>5026</v>
      </c>
      <c r="E51" s="11" t="s">
        <v>5027</v>
      </c>
      <c r="F51" s="12">
        <v>7</v>
      </c>
      <c r="G51" s="12">
        <v>1320</v>
      </c>
      <c r="H51" s="12">
        <v>30</v>
      </c>
      <c r="I51" s="12">
        <f t="shared" si="0"/>
        <v>1290</v>
      </c>
      <c r="J51" s="11" t="s">
        <v>4787</v>
      </c>
      <c r="K51" s="11" t="s">
        <v>33</v>
      </c>
      <c r="L51" s="11" t="s">
        <v>4788</v>
      </c>
      <c r="M51" s="11"/>
      <c r="N51" s="11"/>
      <c r="O51" s="11"/>
      <c r="P51" s="11"/>
      <c r="Q51" s="44">
        <v>1</v>
      </c>
      <c r="R51" s="49"/>
    </row>
    <row r="52" spans="1:18" x14ac:dyDescent="0.25">
      <c r="A52" s="11"/>
      <c r="B52" s="11" t="s">
        <v>27</v>
      </c>
      <c r="C52" s="11" t="s">
        <v>5028</v>
      </c>
      <c r="D52" s="11" t="s">
        <v>5029</v>
      </c>
      <c r="E52" s="11" t="s">
        <v>5030</v>
      </c>
      <c r="F52" s="11" t="s">
        <v>48</v>
      </c>
      <c r="G52" s="12">
        <v>320</v>
      </c>
      <c r="H52" s="12">
        <v>30</v>
      </c>
      <c r="I52" s="12">
        <f t="shared" si="0"/>
        <v>290</v>
      </c>
      <c r="J52" s="11" t="s">
        <v>4787</v>
      </c>
      <c r="K52" s="11" t="s">
        <v>33</v>
      </c>
      <c r="L52" s="11" t="s">
        <v>4788</v>
      </c>
      <c r="M52" s="11"/>
      <c r="N52" s="11"/>
      <c r="O52" s="11"/>
      <c r="P52" s="11"/>
      <c r="Q52" s="44">
        <v>1</v>
      </c>
      <c r="R52" s="49"/>
    </row>
    <row r="53" spans="1:18" x14ac:dyDescent="0.25">
      <c r="A53" s="11"/>
      <c r="B53" s="11" t="s">
        <v>27</v>
      </c>
      <c r="C53" s="11" t="s">
        <v>5037</v>
      </c>
      <c r="D53" s="11" t="s">
        <v>5038</v>
      </c>
      <c r="E53" s="11" t="s">
        <v>5039</v>
      </c>
      <c r="F53" s="12">
        <v>7</v>
      </c>
      <c r="G53" s="12">
        <v>1810</v>
      </c>
      <c r="H53" s="12">
        <v>30</v>
      </c>
      <c r="I53" s="12">
        <f t="shared" si="0"/>
        <v>1780</v>
      </c>
      <c r="J53" s="11" t="s">
        <v>4787</v>
      </c>
      <c r="K53" s="11" t="s">
        <v>33</v>
      </c>
      <c r="L53" s="11" t="s">
        <v>4788</v>
      </c>
      <c r="M53" s="11"/>
      <c r="N53" s="11"/>
      <c r="O53" s="11"/>
      <c r="P53" s="11"/>
      <c r="Q53" s="44">
        <v>1</v>
      </c>
      <c r="R53" s="49"/>
    </row>
    <row r="54" spans="1:18" x14ac:dyDescent="0.25">
      <c r="A54" s="11"/>
      <c r="B54" s="11" t="s">
        <v>27</v>
      </c>
      <c r="C54" s="11" t="s">
        <v>2418</v>
      </c>
      <c r="D54" s="11" t="s">
        <v>5040</v>
      </c>
      <c r="E54" s="11" t="s">
        <v>5041</v>
      </c>
      <c r="F54" s="11" t="s">
        <v>48</v>
      </c>
      <c r="G54" s="12">
        <v>950</v>
      </c>
      <c r="H54" s="12">
        <v>30</v>
      </c>
      <c r="I54" s="12">
        <f t="shared" si="0"/>
        <v>920</v>
      </c>
      <c r="J54" s="11" t="s">
        <v>4787</v>
      </c>
      <c r="K54" s="11" t="s">
        <v>33</v>
      </c>
      <c r="L54" s="11" t="s">
        <v>4788</v>
      </c>
      <c r="M54" s="11"/>
      <c r="N54" s="11"/>
      <c r="O54" s="11"/>
      <c r="P54" s="11"/>
      <c r="Q54" s="44">
        <v>1</v>
      </c>
      <c r="R54" s="49"/>
    </row>
    <row r="55" spans="1:18" x14ac:dyDescent="0.25">
      <c r="A55" s="11"/>
      <c r="B55" s="11" t="s">
        <v>27</v>
      </c>
      <c r="C55" s="11" t="s">
        <v>5042</v>
      </c>
      <c r="D55" s="11" t="s">
        <v>5043</v>
      </c>
      <c r="E55" s="11" t="s">
        <v>5044</v>
      </c>
      <c r="F55" s="11" t="s">
        <v>31</v>
      </c>
      <c r="G55" s="12">
        <v>1165</v>
      </c>
      <c r="H55" s="12">
        <v>25</v>
      </c>
      <c r="I55" s="12">
        <f t="shared" si="0"/>
        <v>1140</v>
      </c>
      <c r="J55" s="11" t="s">
        <v>4787</v>
      </c>
      <c r="K55" s="11" t="s">
        <v>33</v>
      </c>
      <c r="L55" s="11" t="s">
        <v>4788</v>
      </c>
      <c r="M55" s="11"/>
      <c r="N55" s="11"/>
      <c r="O55" s="11"/>
      <c r="P55" s="11"/>
      <c r="Q55" s="44">
        <v>1</v>
      </c>
      <c r="R55" s="49"/>
    </row>
    <row r="56" spans="1:18" x14ac:dyDescent="0.25">
      <c r="A56" s="11"/>
      <c r="B56" s="11" t="s">
        <v>27</v>
      </c>
      <c r="C56" s="11" t="s">
        <v>5048</v>
      </c>
      <c r="D56" s="11" t="s">
        <v>5049</v>
      </c>
      <c r="E56" s="11" t="s">
        <v>5050</v>
      </c>
      <c r="F56" s="11" t="s">
        <v>104</v>
      </c>
      <c r="G56" s="12">
        <v>320</v>
      </c>
      <c r="H56" s="12">
        <v>30</v>
      </c>
      <c r="I56" s="12">
        <f t="shared" si="0"/>
        <v>290</v>
      </c>
      <c r="J56" s="11" t="s">
        <v>4787</v>
      </c>
      <c r="K56" s="11" t="s">
        <v>33</v>
      </c>
      <c r="L56" s="11" t="s">
        <v>4788</v>
      </c>
      <c r="M56" s="11"/>
      <c r="N56" s="11"/>
      <c r="O56" s="11"/>
      <c r="P56" s="11"/>
      <c r="Q56" s="44">
        <v>1</v>
      </c>
      <c r="R56" s="49"/>
    </row>
    <row r="57" spans="1:18" x14ac:dyDescent="0.25">
      <c r="A57" s="11"/>
      <c r="B57" s="11" t="s">
        <v>27</v>
      </c>
      <c r="C57" s="11" t="s">
        <v>5051</v>
      </c>
      <c r="D57" s="11" t="s">
        <v>5052</v>
      </c>
      <c r="E57" s="11" t="s">
        <v>5053</v>
      </c>
      <c r="F57" s="12">
        <v>9</v>
      </c>
      <c r="G57" s="12">
        <v>1060</v>
      </c>
      <c r="H57" s="12">
        <v>30</v>
      </c>
      <c r="I57" s="12">
        <f t="shared" si="0"/>
        <v>1030</v>
      </c>
      <c r="J57" s="11" t="s">
        <v>4787</v>
      </c>
      <c r="K57" s="11" t="s">
        <v>33</v>
      </c>
      <c r="L57" s="11" t="s">
        <v>4788</v>
      </c>
      <c r="M57" s="11"/>
      <c r="N57" s="11"/>
      <c r="O57" s="11"/>
      <c r="P57" s="11"/>
      <c r="Q57" s="44">
        <v>1</v>
      </c>
      <c r="R57" s="49"/>
    </row>
    <row r="58" spans="1:18" x14ac:dyDescent="0.25">
      <c r="A58" s="11"/>
      <c r="B58" s="11" t="s">
        <v>27</v>
      </c>
      <c r="C58" s="11" t="s">
        <v>2955</v>
      </c>
      <c r="D58" s="11" t="s">
        <v>5057</v>
      </c>
      <c r="E58" s="11" t="s">
        <v>5058</v>
      </c>
      <c r="F58" s="11" t="s">
        <v>78</v>
      </c>
      <c r="G58" s="12">
        <v>680</v>
      </c>
      <c r="H58" s="12">
        <v>20</v>
      </c>
      <c r="I58" s="12">
        <f t="shared" si="0"/>
        <v>660</v>
      </c>
      <c r="J58" s="11" t="s">
        <v>4787</v>
      </c>
      <c r="K58" s="11" t="s">
        <v>33</v>
      </c>
      <c r="L58" s="11" t="s">
        <v>4788</v>
      </c>
      <c r="M58" s="11"/>
      <c r="N58" s="11"/>
      <c r="O58" s="11"/>
      <c r="P58" s="11"/>
      <c r="Q58" s="44">
        <v>1</v>
      </c>
      <c r="R58" s="49"/>
    </row>
    <row r="59" spans="1:18" x14ac:dyDescent="0.25">
      <c r="A59" s="11"/>
      <c r="B59" s="11" t="s">
        <v>27</v>
      </c>
      <c r="C59" s="11" t="s">
        <v>5062</v>
      </c>
      <c r="D59" s="11" t="s">
        <v>5063</v>
      </c>
      <c r="E59" s="11" t="s">
        <v>5064</v>
      </c>
      <c r="F59" s="12">
        <v>7</v>
      </c>
      <c r="G59" s="12">
        <v>320</v>
      </c>
      <c r="H59" s="12">
        <v>30</v>
      </c>
      <c r="I59" s="12">
        <f t="shared" si="0"/>
        <v>290</v>
      </c>
      <c r="J59" s="11" t="s">
        <v>4787</v>
      </c>
      <c r="K59" s="11" t="s">
        <v>33</v>
      </c>
      <c r="L59" s="11" t="s">
        <v>4788</v>
      </c>
      <c r="M59" s="11"/>
      <c r="N59" s="11"/>
      <c r="O59" s="11"/>
      <c r="P59" s="11"/>
      <c r="Q59" s="44">
        <v>1</v>
      </c>
      <c r="R59" s="49"/>
    </row>
    <row r="60" spans="1:18" x14ac:dyDescent="0.25">
      <c r="A60" s="11"/>
      <c r="B60" s="11" t="s">
        <v>27</v>
      </c>
      <c r="C60" s="11" t="s">
        <v>5066</v>
      </c>
      <c r="D60" s="11" t="s">
        <v>5067</v>
      </c>
      <c r="E60" s="11" t="s">
        <v>5068</v>
      </c>
      <c r="F60" s="12">
        <v>9</v>
      </c>
      <c r="G60" s="12">
        <v>130</v>
      </c>
      <c r="H60" s="12">
        <v>30</v>
      </c>
      <c r="I60" s="12">
        <f t="shared" si="0"/>
        <v>100</v>
      </c>
      <c r="J60" s="11" t="s">
        <v>4787</v>
      </c>
      <c r="K60" s="11" t="s">
        <v>33</v>
      </c>
      <c r="L60" s="11" t="s">
        <v>4788</v>
      </c>
      <c r="M60" s="11"/>
      <c r="N60" s="11"/>
      <c r="O60" s="11"/>
      <c r="P60" s="11"/>
      <c r="Q60" s="44">
        <v>1</v>
      </c>
      <c r="R60" s="49"/>
    </row>
    <row r="61" spans="1:18" x14ac:dyDescent="0.25">
      <c r="A61" s="11"/>
      <c r="B61" s="11" t="s">
        <v>27</v>
      </c>
      <c r="C61" s="11" t="s">
        <v>4549</v>
      </c>
      <c r="D61" s="11" t="s">
        <v>5069</v>
      </c>
      <c r="E61" s="11" t="s">
        <v>4551</v>
      </c>
      <c r="F61" s="11" t="s">
        <v>48</v>
      </c>
      <c r="G61" s="12">
        <v>2358</v>
      </c>
      <c r="H61" s="12">
        <v>35</v>
      </c>
      <c r="I61" s="12">
        <f t="shared" si="0"/>
        <v>2323</v>
      </c>
      <c r="J61" s="11" t="s">
        <v>4787</v>
      </c>
      <c r="K61" s="11" t="s">
        <v>33</v>
      </c>
      <c r="L61" s="11" t="s">
        <v>4788</v>
      </c>
      <c r="M61" s="24" t="s">
        <v>340</v>
      </c>
      <c r="N61" s="11"/>
      <c r="O61" s="11"/>
      <c r="P61" s="11"/>
      <c r="Q61" s="44">
        <v>1</v>
      </c>
      <c r="R61" s="50">
        <f>H61</f>
        <v>35</v>
      </c>
    </row>
    <row r="62" spans="1:18" x14ac:dyDescent="0.25">
      <c r="A62" s="11"/>
      <c r="B62" s="11" t="s">
        <v>27</v>
      </c>
      <c r="C62" s="11" t="s">
        <v>5070</v>
      </c>
      <c r="D62" s="11" t="s">
        <v>5071</v>
      </c>
      <c r="E62" s="11" t="s">
        <v>5072</v>
      </c>
      <c r="F62" s="11" t="s">
        <v>55</v>
      </c>
      <c r="G62" s="12">
        <v>845</v>
      </c>
      <c r="H62" s="12">
        <v>35</v>
      </c>
      <c r="I62" s="12">
        <f t="shared" si="0"/>
        <v>810</v>
      </c>
      <c r="J62" s="11" t="s">
        <v>4787</v>
      </c>
      <c r="K62" s="11" t="s">
        <v>33</v>
      </c>
      <c r="L62" s="11" t="s">
        <v>4788</v>
      </c>
      <c r="M62" s="11"/>
      <c r="N62" s="11"/>
      <c r="O62" s="11"/>
      <c r="P62" s="11"/>
      <c r="Q62" s="44">
        <v>1</v>
      </c>
      <c r="R62" s="49"/>
    </row>
    <row r="63" spans="1:18" x14ac:dyDescent="0.25">
      <c r="A63" s="11"/>
      <c r="B63" s="11" t="s">
        <v>27</v>
      </c>
      <c r="C63" s="11" t="s">
        <v>4158</v>
      </c>
      <c r="D63" s="11" t="s">
        <v>5094</v>
      </c>
      <c r="E63" s="11" t="s">
        <v>5095</v>
      </c>
      <c r="F63" s="11" t="s">
        <v>48</v>
      </c>
      <c r="G63" s="12">
        <v>1538</v>
      </c>
      <c r="H63" s="12">
        <v>30</v>
      </c>
      <c r="I63" s="12">
        <f t="shared" si="0"/>
        <v>1508</v>
      </c>
      <c r="J63" s="11" t="s">
        <v>4787</v>
      </c>
      <c r="K63" s="11" t="s">
        <v>33</v>
      </c>
      <c r="L63" s="11" t="s">
        <v>4788</v>
      </c>
      <c r="M63" s="24" t="s">
        <v>340</v>
      </c>
      <c r="N63" s="11"/>
      <c r="O63" s="11"/>
      <c r="P63" s="11"/>
      <c r="Q63" s="44">
        <v>1</v>
      </c>
      <c r="R63" s="50">
        <f>H63</f>
        <v>30</v>
      </c>
    </row>
    <row r="64" spans="1:18" x14ac:dyDescent="0.25">
      <c r="A64" s="11"/>
      <c r="B64" s="11" t="s">
        <v>27</v>
      </c>
      <c r="C64" s="11" t="s">
        <v>5096</v>
      </c>
      <c r="D64" s="11" t="s">
        <v>5097</v>
      </c>
      <c r="E64" s="11" t="s">
        <v>5098</v>
      </c>
      <c r="F64" s="11" t="s">
        <v>55</v>
      </c>
      <c r="G64" s="12">
        <v>325</v>
      </c>
      <c r="H64" s="12">
        <v>35</v>
      </c>
      <c r="I64" s="12">
        <f t="shared" si="0"/>
        <v>290</v>
      </c>
      <c r="J64" s="11" t="s">
        <v>4787</v>
      </c>
      <c r="K64" s="11" t="s">
        <v>33</v>
      </c>
      <c r="L64" s="11" t="s">
        <v>4788</v>
      </c>
      <c r="M64" s="24" t="s">
        <v>1217</v>
      </c>
      <c r="N64" s="11"/>
      <c r="O64" s="11"/>
      <c r="P64" s="11"/>
      <c r="Q64" s="44">
        <v>1</v>
      </c>
      <c r="R64" s="49"/>
    </row>
    <row r="65" spans="1:18" x14ac:dyDescent="0.25">
      <c r="A65" s="11"/>
      <c r="B65" s="11" t="s">
        <v>27</v>
      </c>
      <c r="C65" s="11" t="s">
        <v>5096</v>
      </c>
      <c r="D65" s="11" t="s">
        <v>5368</v>
      </c>
      <c r="E65" s="11" t="s">
        <v>5098</v>
      </c>
      <c r="F65" s="11" t="s">
        <v>55</v>
      </c>
      <c r="G65" s="12">
        <v>840</v>
      </c>
      <c r="H65" s="12">
        <v>0</v>
      </c>
      <c r="I65" s="12">
        <f t="shared" si="0"/>
        <v>840</v>
      </c>
      <c r="J65" s="11" t="s">
        <v>4787</v>
      </c>
      <c r="K65" s="11" t="s">
        <v>33</v>
      </c>
      <c r="L65" s="11" t="s">
        <v>4788</v>
      </c>
      <c r="M65" s="24" t="s">
        <v>1217</v>
      </c>
      <c r="N65" s="11"/>
      <c r="O65" s="11"/>
      <c r="P65" s="11"/>
      <c r="Q65" s="44">
        <v>1</v>
      </c>
      <c r="R65" s="49"/>
    </row>
    <row r="66" spans="1:18" x14ac:dyDescent="0.25">
      <c r="A66" s="11"/>
      <c r="B66" s="11" t="s">
        <v>27</v>
      </c>
      <c r="C66" s="11" t="s">
        <v>5102</v>
      </c>
      <c r="D66" s="11" t="s">
        <v>5103</v>
      </c>
      <c r="E66" s="11" t="s">
        <v>5104</v>
      </c>
      <c r="F66" s="12">
        <v>8</v>
      </c>
      <c r="G66" s="12">
        <v>390</v>
      </c>
      <c r="H66" s="12">
        <v>30</v>
      </c>
      <c r="I66" s="12">
        <f t="shared" si="0"/>
        <v>360</v>
      </c>
      <c r="J66" s="11" t="s">
        <v>4787</v>
      </c>
      <c r="K66" s="11" t="s">
        <v>33</v>
      </c>
      <c r="L66" s="11" t="s">
        <v>4788</v>
      </c>
      <c r="M66" s="11"/>
      <c r="N66" s="11"/>
      <c r="O66" s="11"/>
      <c r="P66" s="11"/>
      <c r="Q66" s="44">
        <v>1</v>
      </c>
      <c r="R66" s="49"/>
    </row>
    <row r="67" spans="1:18" x14ac:dyDescent="0.25">
      <c r="A67" s="11"/>
      <c r="B67" s="11" t="s">
        <v>27</v>
      </c>
      <c r="C67" s="11" t="s">
        <v>5108</v>
      </c>
      <c r="D67" s="11" t="s">
        <v>5109</v>
      </c>
      <c r="E67" s="11" t="s">
        <v>5110</v>
      </c>
      <c r="F67" s="12">
        <v>7</v>
      </c>
      <c r="G67" s="12">
        <v>1128</v>
      </c>
      <c r="H67" s="12">
        <v>30</v>
      </c>
      <c r="I67" s="12">
        <f t="shared" ref="I67:I130" si="1">G67-H67</f>
        <v>1098</v>
      </c>
      <c r="J67" s="11" t="s">
        <v>4787</v>
      </c>
      <c r="K67" s="11" t="s">
        <v>33</v>
      </c>
      <c r="L67" s="11" t="s">
        <v>4788</v>
      </c>
      <c r="M67" s="24" t="s">
        <v>340</v>
      </c>
      <c r="N67" s="11"/>
      <c r="O67" s="11"/>
      <c r="P67" s="11"/>
      <c r="Q67" s="44">
        <v>1</v>
      </c>
      <c r="R67" s="50">
        <f>H67</f>
        <v>30</v>
      </c>
    </row>
    <row r="68" spans="1:18" x14ac:dyDescent="0.25">
      <c r="A68" s="11"/>
      <c r="B68" s="11" t="s">
        <v>27</v>
      </c>
      <c r="C68" s="11" t="s">
        <v>5112</v>
      </c>
      <c r="D68" s="11" t="s">
        <v>5113</v>
      </c>
      <c r="E68" s="11" t="s">
        <v>5114</v>
      </c>
      <c r="F68" s="11" t="s">
        <v>104</v>
      </c>
      <c r="G68" s="12">
        <v>720</v>
      </c>
      <c r="H68" s="12">
        <v>30</v>
      </c>
      <c r="I68" s="12">
        <f t="shared" si="1"/>
        <v>690</v>
      </c>
      <c r="J68" s="11" t="s">
        <v>4787</v>
      </c>
      <c r="K68" s="11" t="s">
        <v>33</v>
      </c>
      <c r="L68" s="11" t="s">
        <v>4788</v>
      </c>
      <c r="M68" s="11"/>
      <c r="N68" s="11"/>
      <c r="O68" s="11"/>
      <c r="P68" s="11"/>
      <c r="Q68" s="44">
        <v>1</v>
      </c>
      <c r="R68" s="49"/>
    </row>
    <row r="69" spans="1:18" x14ac:dyDescent="0.25">
      <c r="A69" s="11"/>
      <c r="B69" s="11" t="s">
        <v>27</v>
      </c>
      <c r="C69" s="11" t="s">
        <v>3532</v>
      </c>
      <c r="D69" s="11" t="s">
        <v>5120</v>
      </c>
      <c r="E69" s="11" t="s">
        <v>5121</v>
      </c>
      <c r="F69" s="12">
        <v>8</v>
      </c>
      <c r="G69" s="12">
        <v>840</v>
      </c>
      <c r="H69" s="12">
        <v>30</v>
      </c>
      <c r="I69" s="12">
        <f t="shared" si="1"/>
        <v>810</v>
      </c>
      <c r="J69" s="11" t="s">
        <v>4787</v>
      </c>
      <c r="K69" s="11" t="s">
        <v>33</v>
      </c>
      <c r="L69" s="11" t="s">
        <v>4788</v>
      </c>
      <c r="M69" s="11"/>
      <c r="N69" s="11"/>
      <c r="O69" s="11"/>
      <c r="P69" s="11"/>
      <c r="Q69" s="44">
        <v>1</v>
      </c>
      <c r="R69" s="49"/>
    </row>
    <row r="70" spans="1:18" x14ac:dyDescent="0.25">
      <c r="A70" s="11"/>
      <c r="B70" s="11" t="s">
        <v>27</v>
      </c>
      <c r="C70" s="11" t="s">
        <v>5128</v>
      </c>
      <c r="D70" s="11" t="s">
        <v>5129</v>
      </c>
      <c r="E70" s="11" t="s">
        <v>5130</v>
      </c>
      <c r="F70" s="11" t="s">
        <v>104</v>
      </c>
      <c r="G70" s="12">
        <v>710</v>
      </c>
      <c r="H70" s="12">
        <v>30</v>
      </c>
      <c r="I70" s="12">
        <f t="shared" si="1"/>
        <v>680</v>
      </c>
      <c r="J70" s="11" t="s">
        <v>4787</v>
      </c>
      <c r="K70" s="11" t="s">
        <v>33</v>
      </c>
      <c r="L70" s="11" t="s">
        <v>4788</v>
      </c>
      <c r="M70" s="11"/>
      <c r="N70" s="11"/>
      <c r="O70" s="11"/>
      <c r="P70" s="11"/>
      <c r="Q70" s="44">
        <v>1</v>
      </c>
      <c r="R70" s="49"/>
    </row>
    <row r="71" spans="1:18" x14ac:dyDescent="0.25">
      <c r="A71" s="11"/>
      <c r="B71" s="11" t="s">
        <v>27</v>
      </c>
      <c r="C71" s="11" t="s">
        <v>5137</v>
      </c>
      <c r="D71" s="11" t="s">
        <v>5138</v>
      </c>
      <c r="E71" s="11" t="s">
        <v>5139</v>
      </c>
      <c r="F71" s="11" t="s">
        <v>31</v>
      </c>
      <c r="G71" s="12">
        <v>2960</v>
      </c>
      <c r="H71" s="12">
        <v>30</v>
      </c>
      <c r="I71" s="12">
        <f t="shared" si="1"/>
        <v>2930</v>
      </c>
      <c r="J71" s="11" t="s">
        <v>4787</v>
      </c>
      <c r="K71" s="11" t="s">
        <v>33</v>
      </c>
      <c r="L71" s="11" t="s">
        <v>4788</v>
      </c>
      <c r="M71" s="11"/>
      <c r="N71" s="11"/>
      <c r="O71" s="11"/>
      <c r="P71" s="11"/>
      <c r="Q71" s="44">
        <v>1</v>
      </c>
      <c r="R71" s="49"/>
    </row>
    <row r="72" spans="1:18" x14ac:dyDescent="0.25">
      <c r="A72" s="11"/>
      <c r="B72" s="11" t="s">
        <v>27</v>
      </c>
      <c r="C72" s="11" t="s">
        <v>5141</v>
      </c>
      <c r="D72" s="11" t="s">
        <v>5142</v>
      </c>
      <c r="E72" s="11" t="s">
        <v>5143</v>
      </c>
      <c r="F72" s="12">
        <v>12</v>
      </c>
      <c r="G72" s="12">
        <v>2240</v>
      </c>
      <c r="H72" s="12">
        <v>30</v>
      </c>
      <c r="I72" s="12">
        <f t="shared" si="1"/>
        <v>2210</v>
      </c>
      <c r="J72" s="11" t="s">
        <v>4787</v>
      </c>
      <c r="K72" s="11" t="s">
        <v>33</v>
      </c>
      <c r="L72" s="11" t="s">
        <v>4788</v>
      </c>
      <c r="M72" s="11"/>
      <c r="N72" s="11"/>
      <c r="O72" s="11"/>
      <c r="P72" s="11"/>
      <c r="Q72" s="44">
        <v>1</v>
      </c>
      <c r="R72" s="49"/>
    </row>
    <row r="73" spans="1:18" x14ac:dyDescent="0.25">
      <c r="A73" s="11"/>
      <c r="B73" s="11" t="s">
        <v>27</v>
      </c>
      <c r="C73" s="11" t="s">
        <v>3117</v>
      </c>
      <c r="D73" s="11" t="s">
        <v>5144</v>
      </c>
      <c r="E73" s="11" t="s">
        <v>5145</v>
      </c>
      <c r="F73" s="11" t="s">
        <v>104</v>
      </c>
      <c r="G73" s="12">
        <v>400</v>
      </c>
      <c r="H73" s="12">
        <v>30</v>
      </c>
      <c r="I73" s="12">
        <f t="shared" si="1"/>
        <v>370</v>
      </c>
      <c r="J73" s="11" t="s">
        <v>4787</v>
      </c>
      <c r="K73" s="11" t="s">
        <v>33</v>
      </c>
      <c r="L73" s="11" t="s">
        <v>4788</v>
      </c>
      <c r="M73" s="11"/>
      <c r="N73" s="11"/>
      <c r="O73" s="11"/>
      <c r="P73" s="11"/>
      <c r="Q73" s="44">
        <v>1</v>
      </c>
      <c r="R73" s="49"/>
    </row>
    <row r="74" spans="1:18" x14ac:dyDescent="0.25">
      <c r="A74" s="11"/>
      <c r="B74" s="11" t="s">
        <v>27</v>
      </c>
      <c r="C74" s="11" t="s">
        <v>5152</v>
      </c>
      <c r="D74" s="11" t="s">
        <v>5153</v>
      </c>
      <c r="E74" s="11" t="s">
        <v>5154</v>
      </c>
      <c r="F74" s="11" t="s">
        <v>55</v>
      </c>
      <c r="G74" s="12">
        <v>425</v>
      </c>
      <c r="H74" s="12">
        <v>35</v>
      </c>
      <c r="I74" s="12">
        <f t="shared" si="1"/>
        <v>390</v>
      </c>
      <c r="J74" s="11" t="s">
        <v>4787</v>
      </c>
      <c r="K74" s="11" t="s">
        <v>33</v>
      </c>
      <c r="L74" s="11" t="s">
        <v>4788</v>
      </c>
      <c r="M74" s="11"/>
      <c r="N74" s="11"/>
      <c r="O74" s="11"/>
      <c r="P74" s="11"/>
      <c r="Q74" s="44">
        <v>1</v>
      </c>
      <c r="R74" s="49"/>
    </row>
    <row r="75" spans="1:18" x14ac:dyDescent="0.25">
      <c r="A75" s="11"/>
      <c r="B75" s="11" t="s">
        <v>27</v>
      </c>
      <c r="C75" s="11" t="s">
        <v>4183</v>
      </c>
      <c r="D75" s="11" t="s">
        <v>5163</v>
      </c>
      <c r="E75" s="11" t="s">
        <v>4185</v>
      </c>
      <c r="F75" s="12">
        <v>7</v>
      </c>
      <c r="G75" s="12">
        <v>1210</v>
      </c>
      <c r="H75" s="12">
        <v>30</v>
      </c>
      <c r="I75" s="12">
        <f t="shared" si="1"/>
        <v>1180</v>
      </c>
      <c r="J75" s="11" t="s">
        <v>4787</v>
      </c>
      <c r="K75" s="11" t="s">
        <v>33</v>
      </c>
      <c r="L75" s="11" t="s">
        <v>4788</v>
      </c>
      <c r="M75" s="11"/>
      <c r="N75" s="11"/>
      <c r="O75" s="11"/>
      <c r="P75" s="11"/>
      <c r="Q75" s="44">
        <v>1</v>
      </c>
      <c r="R75" s="49"/>
    </row>
    <row r="76" spans="1:18" x14ac:dyDescent="0.25">
      <c r="A76" s="11"/>
      <c r="B76" s="11" t="s">
        <v>27</v>
      </c>
      <c r="C76" s="11" t="s">
        <v>5164</v>
      </c>
      <c r="D76" s="11" t="s">
        <v>5165</v>
      </c>
      <c r="E76" s="11" t="s">
        <v>1011</v>
      </c>
      <c r="F76" s="11" t="s">
        <v>48</v>
      </c>
      <c r="G76" s="12">
        <v>1250</v>
      </c>
      <c r="H76" s="12">
        <v>30</v>
      </c>
      <c r="I76" s="12">
        <f t="shared" si="1"/>
        <v>1220</v>
      </c>
      <c r="J76" s="11" t="s">
        <v>4787</v>
      </c>
      <c r="K76" s="11" t="s">
        <v>33</v>
      </c>
      <c r="L76" s="11" t="s">
        <v>4788</v>
      </c>
      <c r="M76" s="11"/>
      <c r="N76" s="11"/>
      <c r="O76" s="11"/>
      <c r="P76" s="11"/>
      <c r="Q76" s="44">
        <v>1</v>
      </c>
      <c r="R76" s="49"/>
    </row>
    <row r="77" spans="1:18" x14ac:dyDescent="0.25">
      <c r="A77" s="11"/>
      <c r="B77" s="11" t="s">
        <v>27</v>
      </c>
      <c r="C77" s="11" t="s">
        <v>5167</v>
      </c>
      <c r="D77" s="11" t="s">
        <v>5168</v>
      </c>
      <c r="E77" s="11" t="s">
        <v>5169</v>
      </c>
      <c r="F77" s="11" t="s">
        <v>48</v>
      </c>
      <c r="G77" s="12">
        <v>520</v>
      </c>
      <c r="H77" s="12">
        <v>30</v>
      </c>
      <c r="I77" s="12">
        <f t="shared" si="1"/>
        <v>490</v>
      </c>
      <c r="J77" s="11" t="s">
        <v>4787</v>
      </c>
      <c r="K77" s="11" t="s">
        <v>33</v>
      </c>
      <c r="L77" s="11" t="s">
        <v>4788</v>
      </c>
      <c r="M77" s="24" t="s">
        <v>1217</v>
      </c>
      <c r="N77" s="11"/>
      <c r="O77" s="11"/>
      <c r="P77" s="11"/>
      <c r="Q77" s="44">
        <v>1</v>
      </c>
      <c r="R77" s="49"/>
    </row>
    <row r="78" spans="1:18" x14ac:dyDescent="0.25">
      <c r="A78" s="11"/>
      <c r="B78" s="11" t="s">
        <v>27</v>
      </c>
      <c r="C78" s="11" t="s">
        <v>5167</v>
      </c>
      <c r="D78" s="11" t="s">
        <v>5339</v>
      </c>
      <c r="E78" s="11" t="s">
        <v>5169</v>
      </c>
      <c r="F78" s="11" t="s">
        <v>48</v>
      </c>
      <c r="G78" s="12">
        <v>290</v>
      </c>
      <c r="H78" s="12">
        <v>0</v>
      </c>
      <c r="I78" s="12">
        <f t="shared" si="1"/>
        <v>290</v>
      </c>
      <c r="J78" s="11" t="s">
        <v>4787</v>
      </c>
      <c r="K78" s="11" t="s">
        <v>33</v>
      </c>
      <c r="L78" s="11" t="s">
        <v>4788</v>
      </c>
      <c r="M78" s="24" t="s">
        <v>1217</v>
      </c>
      <c r="N78" s="11"/>
      <c r="O78" s="11"/>
      <c r="P78" s="11"/>
      <c r="Q78" s="44">
        <v>1</v>
      </c>
      <c r="R78" s="49"/>
    </row>
    <row r="79" spans="1:18" x14ac:dyDescent="0.25">
      <c r="A79" s="11"/>
      <c r="B79" s="11" t="s">
        <v>27</v>
      </c>
      <c r="C79" s="11" t="s">
        <v>5170</v>
      </c>
      <c r="D79" s="11" t="s">
        <v>5171</v>
      </c>
      <c r="E79" s="11" t="s">
        <v>5172</v>
      </c>
      <c r="F79" s="12">
        <v>7</v>
      </c>
      <c r="G79" s="12">
        <v>1140</v>
      </c>
      <c r="H79" s="12">
        <v>30</v>
      </c>
      <c r="I79" s="12">
        <f t="shared" si="1"/>
        <v>1110</v>
      </c>
      <c r="J79" s="11" t="s">
        <v>4787</v>
      </c>
      <c r="K79" s="11" t="s">
        <v>33</v>
      </c>
      <c r="L79" s="11" t="s">
        <v>4788</v>
      </c>
      <c r="M79" s="11"/>
      <c r="N79" s="11"/>
      <c r="O79" s="11"/>
      <c r="P79" s="11"/>
      <c r="Q79" s="44">
        <v>1</v>
      </c>
      <c r="R79" s="49"/>
    </row>
    <row r="80" spans="1:18" x14ac:dyDescent="0.25">
      <c r="A80" s="11"/>
      <c r="B80" s="11" t="s">
        <v>27</v>
      </c>
      <c r="C80" s="11" t="s">
        <v>5181</v>
      </c>
      <c r="D80" s="11" t="s">
        <v>5182</v>
      </c>
      <c r="E80" s="11" t="s">
        <v>3510</v>
      </c>
      <c r="F80" s="12">
        <v>8</v>
      </c>
      <c r="G80" s="12">
        <v>610</v>
      </c>
      <c r="H80" s="12">
        <v>30</v>
      </c>
      <c r="I80" s="12">
        <f t="shared" si="1"/>
        <v>580</v>
      </c>
      <c r="J80" s="11" t="s">
        <v>4787</v>
      </c>
      <c r="K80" s="11" t="s">
        <v>33</v>
      </c>
      <c r="L80" s="11" t="s">
        <v>4788</v>
      </c>
      <c r="M80" s="11"/>
      <c r="N80" s="11"/>
      <c r="O80" s="11"/>
      <c r="P80" s="11"/>
      <c r="Q80" s="44">
        <v>1</v>
      </c>
      <c r="R80" s="49"/>
    </row>
    <row r="81" spans="1:18" x14ac:dyDescent="0.25">
      <c r="A81" s="11"/>
      <c r="B81" s="11" t="s">
        <v>27</v>
      </c>
      <c r="C81" s="11" t="s">
        <v>4937</v>
      </c>
      <c r="D81" s="11" t="s">
        <v>5183</v>
      </c>
      <c r="E81" s="11" t="s">
        <v>3924</v>
      </c>
      <c r="F81" s="12">
        <v>7</v>
      </c>
      <c r="G81" s="12">
        <v>815</v>
      </c>
      <c r="H81" s="12">
        <v>35</v>
      </c>
      <c r="I81" s="12">
        <f t="shared" si="1"/>
        <v>780</v>
      </c>
      <c r="J81" s="11" t="s">
        <v>4787</v>
      </c>
      <c r="K81" s="11" t="s">
        <v>33</v>
      </c>
      <c r="L81" s="11" t="s">
        <v>4788</v>
      </c>
      <c r="M81" s="24" t="s">
        <v>1217</v>
      </c>
      <c r="N81" s="11"/>
      <c r="O81" s="11"/>
      <c r="P81" s="11"/>
      <c r="Q81" s="44">
        <v>1</v>
      </c>
      <c r="R81" s="49"/>
    </row>
    <row r="82" spans="1:18" x14ac:dyDescent="0.25">
      <c r="A82" s="11"/>
      <c r="B82" s="11" t="s">
        <v>27</v>
      </c>
      <c r="C82" s="11" t="s">
        <v>4937</v>
      </c>
      <c r="D82" s="11" t="s">
        <v>4938</v>
      </c>
      <c r="E82" s="11" t="s">
        <v>3924</v>
      </c>
      <c r="F82" s="12">
        <v>7</v>
      </c>
      <c r="G82" s="12">
        <v>2090</v>
      </c>
      <c r="H82" s="12">
        <v>0</v>
      </c>
      <c r="I82" s="12">
        <f t="shared" si="1"/>
        <v>2090</v>
      </c>
      <c r="J82" s="11" t="s">
        <v>4787</v>
      </c>
      <c r="K82" s="11" t="s">
        <v>33</v>
      </c>
      <c r="L82" s="11" t="s">
        <v>4788</v>
      </c>
      <c r="M82" s="24" t="s">
        <v>1217</v>
      </c>
      <c r="N82" s="11"/>
      <c r="O82" s="11"/>
      <c r="P82" s="11"/>
      <c r="Q82" s="44">
        <v>1</v>
      </c>
      <c r="R82" s="49"/>
    </row>
    <row r="83" spans="1:18" x14ac:dyDescent="0.25">
      <c r="A83" s="11"/>
      <c r="B83" s="11" t="s">
        <v>27</v>
      </c>
      <c r="C83" s="11" t="s">
        <v>5184</v>
      </c>
      <c r="D83" s="11" t="s">
        <v>5185</v>
      </c>
      <c r="E83" s="11" t="s">
        <v>5186</v>
      </c>
      <c r="F83" s="11" t="s">
        <v>104</v>
      </c>
      <c r="G83" s="12">
        <v>760</v>
      </c>
      <c r="H83" s="12">
        <v>30</v>
      </c>
      <c r="I83" s="12">
        <f t="shared" si="1"/>
        <v>730</v>
      </c>
      <c r="J83" s="11" t="s">
        <v>4787</v>
      </c>
      <c r="K83" s="11" t="s">
        <v>33</v>
      </c>
      <c r="L83" s="11" t="s">
        <v>4788</v>
      </c>
      <c r="M83" s="11"/>
      <c r="N83" s="11"/>
      <c r="O83" s="11"/>
      <c r="P83" s="11"/>
      <c r="Q83" s="44">
        <v>1</v>
      </c>
      <c r="R83" s="49"/>
    </row>
    <row r="84" spans="1:18" x14ac:dyDescent="0.25">
      <c r="A84" s="11"/>
      <c r="B84" s="11" t="s">
        <v>27</v>
      </c>
      <c r="C84" s="11" t="s">
        <v>5188</v>
      </c>
      <c r="D84" s="11" t="s">
        <v>5189</v>
      </c>
      <c r="E84" s="11" t="s">
        <v>5190</v>
      </c>
      <c r="F84" s="11" t="s">
        <v>31</v>
      </c>
      <c r="G84" s="12">
        <v>955</v>
      </c>
      <c r="H84" s="12">
        <v>25</v>
      </c>
      <c r="I84" s="12">
        <f t="shared" si="1"/>
        <v>930</v>
      </c>
      <c r="J84" s="11" t="s">
        <v>4787</v>
      </c>
      <c r="K84" s="11" t="s">
        <v>33</v>
      </c>
      <c r="L84" s="11" t="s">
        <v>4788</v>
      </c>
      <c r="M84" s="11"/>
      <c r="N84" s="11"/>
      <c r="O84" s="11"/>
      <c r="P84" s="11"/>
      <c r="Q84" s="44">
        <v>1</v>
      </c>
      <c r="R84" s="49"/>
    </row>
    <row r="85" spans="1:18" x14ac:dyDescent="0.25">
      <c r="A85" s="11"/>
      <c r="B85" s="11" t="s">
        <v>27</v>
      </c>
      <c r="C85" s="11" t="s">
        <v>4414</v>
      </c>
      <c r="D85" s="11" t="s">
        <v>5191</v>
      </c>
      <c r="E85" s="11" t="s">
        <v>5192</v>
      </c>
      <c r="F85" s="12">
        <v>9</v>
      </c>
      <c r="G85" s="12">
        <v>318</v>
      </c>
      <c r="H85" s="12">
        <v>30</v>
      </c>
      <c r="I85" s="12">
        <f t="shared" si="1"/>
        <v>288</v>
      </c>
      <c r="J85" s="11" t="s">
        <v>4787</v>
      </c>
      <c r="K85" s="11" t="s">
        <v>33</v>
      </c>
      <c r="L85" s="11" t="s">
        <v>4788</v>
      </c>
      <c r="M85" s="24" t="s">
        <v>340</v>
      </c>
      <c r="N85" s="11"/>
      <c r="O85" s="11"/>
      <c r="P85" s="11"/>
      <c r="Q85" s="44">
        <v>1</v>
      </c>
      <c r="R85" s="50">
        <f>H85</f>
        <v>30</v>
      </c>
    </row>
    <row r="86" spans="1:18" x14ac:dyDescent="0.25">
      <c r="A86" s="11"/>
      <c r="B86" s="11" t="s">
        <v>27</v>
      </c>
      <c r="C86" s="11" t="s">
        <v>416</v>
      </c>
      <c r="D86" s="11" t="s">
        <v>5201</v>
      </c>
      <c r="E86" s="11" t="s">
        <v>606</v>
      </c>
      <c r="F86" s="12">
        <v>12</v>
      </c>
      <c r="G86" s="12">
        <v>0</v>
      </c>
      <c r="H86" s="12">
        <v>30</v>
      </c>
      <c r="I86" s="12">
        <f t="shared" si="1"/>
        <v>-30</v>
      </c>
      <c r="J86" s="11" t="s">
        <v>4787</v>
      </c>
      <c r="K86" s="11" t="s">
        <v>33</v>
      </c>
      <c r="L86" s="11" t="s">
        <v>4788</v>
      </c>
      <c r="M86" s="11"/>
      <c r="N86" s="11"/>
      <c r="O86" s="11"/>
      <c r="P86" s="11"/>
      <c r="Q86" s="44">
        <v>1</v>
      </c>
      <c r="R86" s="50">
        <f>H86</f>
        <v>30</v>
      </c>
    </row>
    <row r="87" spans="1:18" x14ac:dyDescent="0.25">
      <c r="A87" s="11"/>
      <c r="B87" s="11" t="s">
        <v>27</v>
      </c>
      <c r="C87" s="11" t="s">
        <v>5202</v>
      </c>
      <c r="D87" s="11" t="s">
        <v>5203</v>
      </c>
      <c r="E87" s="11" t="s">
        <v>5204</v>
      </c>
      <c r="F87" s="12">
        <v>5</v>
      </c>
      <c r="G87" s="12">
        <v>825</v>
      </c>
      <c r="H87" s="12">
        <v>25</v>
      </c>
      <c r="I87" s="12">
        <f t="shared" si="1"/>
        <v>800</v>
      </c>
      <c r="J87" s="11" t="s">
        <v>4787</v>
      </c>
      <c r="K87" s="11" t="s">
        <v>33</v>
      </c>
      <c r="L87" s="11" t="s">
        <v>4788</v>
      </c>
      <c r="M87" s="11"/>
      <c r="N87" s="11"/>
      <c r="O87" s="11"/>
      <c r="P87" s="11"/>
      <c r="Q87" s="44">
        <v>1</v>
      </c>
      <c r="R87" s="49"/>
    </row>
    <row r="88" spans="1:18" x14ac:dyDescent="0.25">
      <c r="A88" s="11"/>
      <c r="B88" s="11" t="s">
        <v>27</v>
      </c>
      <c r="C88" s="11" t="s">
        <v>5214</v>
      </c>
      <c r="D88" s="11" t="s">
        <v>5215</v>
      </c>
      <c r="E88" s="11" t="s">
        <v>1839</v>
      </c>
      <c r="F88" s="11" t="s">
        <v>31</v>
      </c>
      <c r="G88" s="12">
        <v>598</v>
      </c>
      <c r="H88" s="12">
        <v>25</v>
      </c>
      <c r="I88" s="12">
        <f t="shared" si="1"/>
        <v>573</v>
      </c>
      <c r="J88" s="11" t="s">
        <v>4787</v>
      </c>
      <c r="K88" s="11" t="s">
        <v>33</v>
      </c>
      <c r="L88" s="11" t="s">
        <v>4788</v>
      </c>
      <c r="M88" s="24" t="s">
        <v>340</v>
      </c>
      <c r="N88" s="11"/>
      <c r="O88" s="11"/>
      <c r="P88" s="11"/>
      <c r="Q88" s="44">
        <v>1</v>
      </c>
      <c r="R88" s="50">
        <f t="shared" ref="R88:R89" si="2">H88</f>
        <v>25</v>
      </c>
    </row>
    <row r="89" spans="1:18" x14ac:dyDescent="0.25">
      <c r="A89" s="11"/>
      <c r="B89" s="11" t="s">
        <v>27</v>
      </c>
      <c r="C89" s="11" t="s">
        <v>5245</v>
      </c>
      <c r="D89" s="11" t="s">
        <v>5246</v>
      </c>
      <c r="E89" s="11" t="s">
        <v>5247</v>
      </c>
      <c r="F89" s="12">
        <v>9</v>
      </c>
      <c r="G89" s="12">
        <v>428</v>
      </c>
      <c r="H89" s="12">
        <v>30</v>
      </c>
      <c r="I89" s="12">
        <f t="shared" si="1"/>
        <v>398</v>
      </c>
      <c r="J89" s="11" t="s">
        <v>4787</v>
      </c>
      <c r="K89" s="11" t="s">
        <v>33</v>
      </c>
      <c r="L89" s="11" t="s">
        <v>4788</v>
      </c>
      <c r="M89" s="24" t="s">
        <v>340</v>
      </c>
      <c r="N89" s="11"/>
      <c r="O89" s="11"/>
      <c r="P89" s="11"/>
      <c r="Q89" s="44">
        <v>1</v>
      </c>
      <c r="R89" s="50">
        <f t="shared" si="2"/>
        <v>30</v>
      </c>
    </row>
    <row r="90" spans="1:18" x14ac:dyDescent="0.25">
      <c r="A90" s="11"/>
      <c r="B90" s="11" t="s">
        <v>27</v>
      </c>
      <c r="C90" s="11" t="s">
        <v>5253</v>
      </c>
      <c r="D90" s="11" t="s">
        <v>5254</v>
      </c>
      <c r="E90" s="11" t="s">
        <v>5255</v>
      </c>
      <c r="F90" s="12">
        <v>6</v>
      </c>
      <c r="G90" s="12">
        <v>905</v>
      </c>
      <c r="H90" s="12">
        <v>25</v>
      </c>
      <c r="I90" s="12">
        <f t="shared" si="1"/>
        <v>880</v>
      </c>
      <c r="J90" s="11" t="s">
        <v>4787</v>
      </c>
      <c r="K90" s="11" t="s">
        <v>33</v>
      </c>
      <c r="L90" s="11" t="s">
        <v>4788</v>
      </c>
      <c r="M90" s="11"/>
      <c r="N90" s="11"/>
      <c r="O90" s="11"/>
      <c r="P90" s="11"/>
      <c r="Q90" s="44">
        <v>1</v>
      </c>
      <c r="R90" s="49"/>
    </row>
    <row r="91" spans="1:18" x14ac:dyDescent="0.25">
      <c r="A91" s="11"/>
      <c r="B91" s="11" t="s">
        <v>27</v>
      </c>
      <c r="C91" s="11" t="s">
        <v>5256</v>
      </c>
      <c r="D91" s="11" t="s">
        <v>5257</v>
      </c>
      <c r="E91" s="11" t="s">
        <v>5258</v>
      </c>
      <c r="F91" s="12">
        <v>7</v>
      </c>
      <c r="G91" s="12">
        <v>1220</v>
      </c>
      <c r="H91" s="12">
        <v>30</v>
      </c>
      <c r="I91" s="12">
        <f t="shared" si="1"/>
        <v>1190</v>
      </c>
      <c r="J91" s="11" t="s">
        <v>4787</v>
      </c>
      <c r="K91" s="11" t="s">
        <v>33</v>
      </c>
      <c r="L91" s="11" t="s">
        <v>4788</v>
      </c>
      <c r="M91" s="11"/>
      <c r="N91" s="11"/>
      <c r="O91" s="11"/>
      <c r="P91" s="11"/>
      <c r="Q91" s="44">
        <v>1</v>
      </c>
      <c r="R91" s="49"/>
    </row>
    <row r="92" spans="1:18" x14ac:dyDescent="0.25">
      <c r="A92" s="11"/>
      <c r="B92" s="11" t="s">
        <v>27</v>
      </c>
      <c r="C92" s="11" t="s">
        <v>3685</v>
      </c>
      <c r="D92" s="11" t="s">
        <v>5268</v>
      </c>
      <c r="E92" s="11" t="s">
        <v>5269</v>
      </c>
      <c r="F92" s="12">
        <v>2</v>
      </c>
      <c r="G92" s="12">
        <v>398</v>
      </c>
      <c r="H92" s="12">
        <v>30</v>
      </c>
      <c r="I92" s="12">
        <f t="shared" si="1"/>
        <v>368</v>
      </c>
      <c r="J92" s="11" t="s">
        <v>4787</v>
      </c>
      <c r="K92" s="11" t="s">
        <v>33</v>
      </c>
      <c r="L92" s="11" t="s">
        <v>4788</v>
      </c>
      <c r="M92" s="24" t="s">
        <v>340</v>
      </c>
      <c r="N92" s="11"/>
      <c r="O92" s="11"/>
      <c r="P92" s="11"/>
      <c r="Q92" s="44">
        <v>1</v>
      </c>
      <c r="R92" s="50">
        <f>H92</f>
        <v>30</v>
      </c>
    </row>
    <row r="93" spans="1:18" x14ac:dyDescent="0.25">
      <c r="A93" s="11"/>
      <c r="B93" s="11" t="s">
        <v>27</v>
      </c>
      <c r="C93" s="11" t="s">
        <v>5274</v>
      </c>
      <c r="D93" s="11" t="s">
        <v>5275</v>
      </c>
      <c r="E93" s="11" t="s">
        <v>5276</v>
      </c>
      <c r="F93" s="12">
        <v>8</v>
      </c>
      <c r="G93" s="12">
        <v>1110</v>
      </c>
      <c r="H93" s="12">
        <v>30</v>
      </c>
      <c r="I93" s="12">
        <f t="shared" si="1"/>
        <v>1080</v>
      </c>
      <c r="J93" s="11" t="s">
        <v>4787</v>
      </c>
      <c r="K93" s="11" t="s">
        <v>33</v>
      </c>
      <c r="L93" s="11" t="s">
        <v>4788</v>
      </c>
      <c r="M93" s="11"/>
      <c r="N93" s="11"/>
      <c r="O93" s="11"/>
      <c r="P93" s="11"/>
      <c r="Q93" s="44">
        <v>1</v>
      </c>
      <c r="R93" s="49"/>
    </row>
    <row r="94" spans="1:18" x14ac:dyDescent="0.25">
      <c r="A94" s="11"/>
      <c r="B94" s="11" t="s">
        <v>27</v>
      </c>
      <c r="C94" s="11" t="s">
        <v>5277</v>
      </c>
      <c r="D94" s="11" t="s">
        <v>5278</v>
      </c>
      <c r="E94" s="11" t="s">
        <v>5279</v>
      </c>
      <c r="F94" s="11" t="s">
        <v>48</v>
      </c>
      <c r="G94" s="12">
        <v>770</v>
      </c>
      <c r="H94" s="12">
        <v>30</v>
      </c>
      <c r="I94" s="12">
        <f t="shared" si="1"/>
        <v>740</v>
      </c>
      <c r="J94" s="11" t="s">
        <v>4787</v>
      </c>
      <c r="K94" s="11" t="s">
        <v>33</v>
      </c>
      <c r="L94" s="11" t="s">
        <v>4788</v>
      </c>
      <c r="M94" s="11"/>
      <c r="N94" s="11"/>
      <c r="O94" s="11"/>
      <c r="P94" s="11"/>
      <c r="Q94" s="44">
        <v>1</v>
      </c>
      <c r="R94" s="49"/>
    </row>
    <row r="95" spans="1:18" x14ac:dyDescent="0.25">
      <c r="A95" s="11"/>
      <c r="B95" s="11" t="s">
        <v>27</v>
      </c>
      <c r="C95" s="11" t="s">
        <v>5283</v>
      </c>
      <c r="D95" s="11" t="s">
        <v>5284</v>
      </c>
      <c r="E95" s="11" t="s">
        <v>5285</v>
      </c>
      <c r="F95" s="12">
        <v>12</v>
      </c>
      <c r="G95" s="12">
        <v>398</v>
      </c>
      <c r="H95" s="12">
        <v>30</v>
      </c>
      <c r="I95" s="12">
        <f t="shared" si="1"/>
        <v>368</v>
      </c>
      <c r="J95" s="11" t="s">
        <v>4787</v>
      </c>
      <c r="K95" s="11" t="s">
        <v>33</v>
      </c>
      <c r="L95" s="11" t="s">
        <v>4788</v>
      </c>
      <c r="M95" s="24" t="s">
        <v>340</v>
      </c>
      <c r="N95" s="11"/>
      <c r="O95" s="11"/>
      <c r="P95" s="11"/>
      <c r="Q95" s="44">
        <v>1</v>
      </c>
      <c r="R95" s="50">
        <f>H95</f>
        <v>30</v>
      </c>
    </row>
    <row r="96" spans="1:18" x14ac:dyDescent="0.25">
      <c r="A96" s="11"/>
      <c r="B96" s="11" t="s">
        <v>27</v>
      </c>
      <c r="C96" s="11" t="s">
        <v>5286</v>
      </c>
      <c r="D96" s="11" t="s">
        <v>5287</v>
      </c>
      <c r="E96" s="11" t="s">
        <v>5288</v>
      </c>
      <c r="F96" s="12">
        <v>6</v>
      </c>
      <c r="G96" s="12">
        <v>415</v>
      </c>
      <c r="H96" s="12">
        <v>25</v>
      </c>
      <c r="I96" s="12">
        <f t="shared" si="1"/>
        <v>390</v>
      </c>
      <c r="J96" s="11" t="s">
        <v>4787</v>
      </c>
      <c r="K96" s="11" t="s">
        <v>33</v>
      </c>
      <c r="L96" s="11" t="s">
        <v>4788</v>
      </c>
      <c r="M96" s="11"/>
      <c r="N96" s="11"/>
      <c r="O96" s="11"/>
      <c r="P96" s="11"/>
      <c r="Q96" s="44">
        <v>1</v>
      </c>
      <c r="R96" s="49"/>
    </row>
    <row r="97" spans="1:18" x14ac:dyDescent="0.25">
      <c r="A97" s="11"/>
      <c r="B97" s="11" t="s">
        <v>27</v>
      </c>
      <c r="C97" s="11" t="s">
        <v>5295</v>
      </c>
      <c r="D97" s="11" t="s">
        <v>5296</v>
      </c>
      <c r="E97" s="11" t="s">
        <v>1008</v>
      </c>
      <c r="F97" s="12">
        <v>6</v>
      </c>
      <c r="G97" s="12">
        <v>1528</v>
      </c>
      <c r="H97" s="12">
        <v>25</v>
      </c>
      <c r="I97" s="12">
        <f t="shared" si="1"/>
        <v>1503</v>
      </c>
      <c r="J97" s="11" t="s">
        <v>4787</v>
      </c>
      <c r="K97" s="11" t="s">
        <v>33</v>
      </c>
      <c r="L97" s="11" t="s">
        <v>4788</v>
      </c>
      <c r="M97" s="11"/>
      <c r="N97" s="11"/>
      <c r="O97" s="11"/>
      <c r="P97" s="11"/>
      <c r="Q97" s="44">
        <v>1</v>
      </c>
      <c r="R97" s="49"/>
    </row>
    <row r="98" spans="1:18" x14ac:dyDescent="0.25">
      <c r="A98" s="11"/>
      <c r="B98" s="11" t="s">
        <v>27</v>
      </c>
      <c r="C98" s="11" t="s">
        <v>5315</v>
      </c>
      <c r="D98" s="11" t="s">
        <v>5316</v>
      </c>
      <c r="E98" s="11" t="s">
        <v>2047</v>
      </c>
      <c r="F98" s="11" t="s">
        <v>48</v>
      </c>
      <c r="G98" s="12">
        <v>370</v>
      </c>
      <c r="H98" s="12">
        <v>30</v>
      </c>
      <c r="I98" s="12">
        <f t="shared" si="1"/>
        <v>340</v>
      </c>
      <c r="J98" s="11" t="s">
        <v>4787</v>
      </c>
      <c r="K98" s="11" t="s">
        <v>33</v>
      </c>
      <c r="L98" s="11" t="s">
        <v>4788</v>
      </c>
      <c r="M98" s="24" t="s">
        <v>6071</v>
      </c>
      <c r="N98" s="11"/>
      <c r="O98" s="11"/>
      <c r="P98" s="11"/>
      <c r="Q98" s="44">
        <v>1</v>
      </c>
      <c r="R98" s="49"/>
    </row>
    <row r="99" spans="1:18" x14ac:dyDescent="0.25">
      <c r="A99" s="11"/>
      <c r="B99" s="11" t="s">
        <v>27</v>
      </c>
      <c r="C99" s="11" t="s">
        <v>5319</v>
      </c>
      <c r="D99" s="11" t="s">
        <v>5320</v>
      </c>
      <c r="E99" s="11" t="s">
        <v>5321</v>
      </c>
      <c r="F99" s="11" t="s">
        <v>44</v>
      </c>
      <c r="G99" s="12">
        <v>0</v>
      </c>
      <c r="H99" s="12">
        <v>25</v>
      </c>
      <c r="I99" s="12">
        <f t="shared" si="1"/>
        <v>-25</v>
      </c>
      <c r="J99" s="11" t="s">
        <v>4787</v>
      </c>
      <c r="K99" s="11" t="s">
        <v>33</v>
      </c>
      <c r="L99" s="11" t="s">
        <v>4788</v>
      </c>
      <c r="M99" s="24" t="s">
        <v>6072</v>
      </c>
      <c r="N99" s="11"/>
      <c r="O99" s="11"/>
      <c r="P99" s="11"/>
      <c r="Q99" s="44">
        <v>1</v>
      </c>
      <c r="R99" s="50">
        <f>H99</f>
        <v>25</v>
      </c>
    </row>
    <row r="100" spans="1:18" x14ac:dyDescent="0.25">
      <c r="A100" s="11"/>
      <c r="B100" s="11" t="s">
        <v>27</v>
      </c>
      <c r="C100" s="11" t="s">
        <v>5325</v>
      </c>
      <c r="D100" s="11" t="s">
        <v>5326</v>
      </c>
      <c r="E100" s="11" t="s">
        <v>5327</v>
      </c>
      <c r="F100" s="11" t="s">
        <v>48</v>
      </c>
      <c r="G100" s="12">
        <v>1290</v>
      </c>
      <c r="H100" s="12">
        <v>30</v>
      </c>
      <c r="I100" s="12">
        <f t="shared" si="1"/>
        <v>1260</v>
      </c>
      <c r="J100" s="11" t="s">
        <v>4787</v>
      </c>
      <c r="K100" s="11" t="s">
        <v>33</v>
      </c>
      <c r="L100" s="11" t="s">
        <v>4788</v>
      </c>
      <c r="M100" s="11"/>
      <c r="N100" s="11"/>
      <c r="O100" s="11"/>
      <c r="P100" s="11"/>
      <c r="Q100" s="44">
        <v>1</v>
      </c>
      <c r="R100" s="49"/>
    </row>
    <row r="101" spans="1:18" x14ac:dyDescent="0.25">
      <c r="A101" s="11"/>
      <c r="B101" s="11" t="s">
        <v>27</v>
      </c>
      <c r="C101" s="11" t="s">
        <v>1101</v>
      </c>
      <c r="D101" s="11" t="s">
        <v>5328</v>
      </c>
      <c r="E101" s="11" t="s">
        <v>1103</v>
      </c>
      <c r="F101" s="12">
        <v>6</v>
      </c>
      <c r="G101" s="12">
        <v>0</v>
      </c>
      <c r="H101" s="12">
        <v>25</v>
      </c>
      <c r="I101" s="12">
        <f t="shared" si="1"/>
        <v>-25</v>
      </c>
      <c r="J101" s="11" t="s">
        <v>4787</v>
      </c>
      <c r="K101" s="11" t="s">
        <v>33</v>
      </c>
      <c r="L101" s="11" t="s">
        <v>4788</v>
      </c>
      <c r="M101" s="11"/>
      <c r="N101" s="11"/>
      <c r="O101" s="11"/>
      <c r="P101" s="11"/>
      <c r="Q101" s="44">
        <v>1</v>
      </c>
      <c r="R101" s="50">
        <f>H101</f>
        <v>25</v>
      </c>
    </row>
    <row r="102" spans="1:18" x14ac:dyDescent="0.25">
      <c r="A102" s="11"/>
      <c r="B102" s="11" t="s">
        <v>27</v>
      </c>
      <c r="C102" s="11" t="s">
        <v>5332</v>
      </c>
      <c r="D102" s="11" t="s">
        <v>5333</v>
      </c>
      <c r="E102" s="11" t="s">
        <v>5334</v>
      </c>
      <c r="F102" s="11" t="s">
        <v>104</v>
      </c>
      <c r="G102" s="12">
        <v>480</v>
      </c>
      <c r="H102" s="12">
        <v>30</v>
      </c>
      <c r="I102" s="12">
        <f t="shared" si="1"/>
        <v>450</v>
      </c>
      <c r="J102" s="11" t="s">
        <v>4787</v>
      </c>
      <c r="K102" s="11" t="s">
        <v>33</v>
      </c>
      <c r="L102" s="11" t="s">
        <v>4788</v>
      </c>
      <c r="M102" s="11"/>
      <c r="N102" s="11"/>
      <c r="O102" s="11"/>
      <c r="P102" s="11"/>
      <c r="Q102" s="44">
        <v>1</v>
      </c>
      <c r="R102" s="49"/>
    </row>
    <row r="103" spans="1:18" x14ac:dyDescent="0.25">
      <c r="A103" s="11"/>
      <c r="B103" s="11" t="s">
        <v>27</v>
      </c>
      <c r="C103" s="11" t="s">
        <v>5336</v>
      </c>
      <c r="D103" s="11" t="s">
        <v>5337</v>
      </c>
      <c r="E103" s="11" t="s">
        <v>5338</v>
      </c>
      <c r="F103" s="12">
        <v>7</v>
      </c>
      <c r="G103" s="12">
        <v>410</v>
      </c>
      <c r="H103" s="12">
        <v>30</v>
      </c>
      <c r="I103" s="12">
        <f t="shared" si="1"/>
        <v>380</v>
      </c>
      <c r="J103" s="11" t="s">
        <v>4787</v>
      </c>
      <c r="K103" s="11" t="s">
        <v>33</v>
      </c>
      <c r="L103" s="11" t="s">
        <v>4788</v>
      </c>
      <c r="M103" s="11"/>
      <c r="N103" s="11"/>
      <c r="O103" s="11"/>
      <c r="P103" s="11"/>
      <c r="Q103" s="44">
        <v>1</v>
      </c>
      <c r="R103" s="49"/>
    </row>
    <row r="104" spans="1:18" x14ac:dyDescent="0.25">
      <c r="A104" s="11"/>
      <c r="B104" s="11" t="s">
        <v>27</v>
      </c>
      <c r="C104" s="11" t="s">
        <v>5340</v>
      </c>
      <c r="D104" s="11" t="s">
        <v>5341</v>
      </c>
      <c r="E104" s="11" t="s">
        <v>5342</v>
      </c>
      <c r="F104" s="11" t="s">
        <v>444</v>
      </c>
      <c r="G104" s="12">
        <v>355</v>
      </c>
      <c r="H104" s="12">
        <v>35</v>
      </c>
      <c r="I104" s="12">
        <f t="shared" si="1"/>
        <v>320</v>
      </c>
      <c r="J104" s="11" t="s">
        <v>4787</v>
      </c>
      <c r="K104" s="11" t="s">
        <v>33</v>
      </c>
      <c r="L104" s="11" t="s">
        <v>4788</v>
      </c>
      <c r="M104" s="11"/>
      <c r="N104" s="11"/>
      <c r="O104" s="11"/>
      <c r="P104" s="11"/>
      <c r="Q104" s="44">
        <v>1</v>
      </c>
      <c r="R104" s="49"/>
    </row>
    <row r="105" spans="1:18" x14ac:dyDescent="0.25">
      <c r="A105" s="11"/>
      <c r="B105" s="11" t="s">
        <v>27</v>
      </c>
      <c r="C105" s="11" t="s">
        <v>5345</v>
      </c>
      <c r="D105" s="11" t="s">
        <v>5346</v>
      </c>
      <c r="E105" s="11" t="s">
        <v>5347</v>
      </c>
      <c r="F105" s="11" t="s">
        <v>104</v>
      </c>
      <c r="G105" s="12">
        <v>980</v>
      </c>
      <c r="H105" s="12">
        <v>30</v>
      </c>
      <c r="I105" s="12">
        <f t="shared" si="1"/>
        <v>950</v>
      </c>
      <c r="J105" s="11" t="s">
        <v>4787</v>
      </c>
      <c r="K105" s="11" t="s">
        <v>33</v>
      </c>
      <c r="L105" s="11" t="s">
        <v>4788</v>
      </c>
      <c r="M105" s="11"/>
      <c r="N105" s="11"/>
      <c r="O105" s="11"/>
      <c r="P105" s="11"/>
      <c r="Q105" s="44">
        <v>1</v>
      </c>
      <c r="R105" s="49"/>
    </row>
    <row r="106" spans="1:18" x14ac:dyDescent="0.25">
      <c r="A106" s="11"/>
      <c r="B106" s="11" t="s">
        <v>27</v>
      </c>
      <c r="C106" s="11" t="s">
        <v>5351</v>
      </c>
      <c r="D106" s="11" t="s">
        <v>5352</v>
      </c>
      <c r="E106" s="11" t="s">
        <v>5353</v>
      </c>
      <c r="F106" s="11" t="s">
        <v>44</v>
      </c>
      <c r="G106" s="12">
        <v>1635</v>
      </c>
      <c r="H106" s="12">
        <v>25</v>
      </c>
      <c r="I106" s="12">
        <f t="shared" si="1"/>
        <v>1610</v>
      </c>
      <c r="J106" s="11" t="s">
        <v>4787</v>
      </c>
      <c r="K106" s="11" t="s">
        <v>33</v>
      </c>
      <c r="L106" s="11" t="s">
        <v>4788</v>
      </c>
      <c r="M106" s="11"/>
      <c r="N106" s="11"/>
      <c r="O106" s="11"/>
      <c r="P106" s="11"/>
      <c r="Q106" s="44">
        <v>1</v>
      </c>
      <c r="R106" s="49"/>
    </row>
    <row r="107" spans="1:18" x14ac:dyDescent="0.25">
      <c r="A107" s="11"/>
      <c r="B107" s="11" t="s">
        <v>27</v>
      </c>
      <c r="C107" s="11" t="s">
        <v>5358</v>
      </c>
      <c r="D107" s="11" t="s">
        <v>5359</v>
      </c>
      <c r="E107" s="11" t="s">
        <v>5360</v>
      </c>
      <c r="F107" s="12">
        <v>7</v>
      </c>
      <c r="G107" s="12">
        <v>460</v>
      </c>
      <c r="H107" s="12">
        <v>30</v>
      </c>
      <c r="I107" s="12">
        <f t="shared" si="1"/>
        <v>430</v>
      </c>
      <c r="J107" s="11" t="s">
        <v>4787</v>
      </c>
      <c r="K107" s="11" t="s">
        <v>33</v>
      </c>
      <c r="L107" s="11" t="s">
        <v>4788</v>
      </c>
      <c r="M107" s="11"/>
      <c r="N107" s="11"/>
      <c r="O107" s="11"/>
      <c r="P107" s="11"/>
      <c r="Q107" s="44">
        <v>1</v>
      </c>
      <c r="R107" s="49"/>
    </row>
    <row r="108" spans="1:18" x14ac:dyDescent="0.25">
      <c r="A108" s="11"/>
      <c r="B108" s="11" t="s">
        <v>27</v>
      </c>
      <c r="C108" s="11" t="s">
        <v>889</v>
      </c>
      <c r="D108" s="11" t="s">
        <v>5361</v>
      </c>
      <c r="E108" s="11" t="s">
        <v>5362</v>
      </c>
      <c r="F108" s="12">
        <v>8</v>
      </c>
      <c r="G108" s="12">
        <v>460</v>
      </c>
      <c r="H108" s="12">
        <v>30</v>
      </c>
      <c r="I108" s="12">
        <f t="shared" si="1"/>
        <v>430</v>
      </c>
      <c r="J108" s="11" t="s">
        <v>4787</v>
      </c>
      <c r="K108" s="11" t="s">
        <v>33</v>
      </c>
      <c r="L108" s="11" t="s">
        <v>4788</v>
      </c>
      <c r="M108" s="11"/>
      <c r="N108" s="11"/>
      <c r="O108" s="11"/>
      <c r="P108" s="11"/>
      <c r="Q108" s="44">
        <v>1</v>
      </c>
      <c r="R108" s="49"/>
    </row>
    <row r="109" spans="1:18" x14ac:dyDescent="0.25">
      <c r="A109" s="11"/>
      <c r="B109" s="11" t="s">
        <v>27</v>
      </c>
      <c r="C109" s="11" t="s">
        <v>5366</v>
      </c>
      <c r="D109" s="11" t="s">
        <v>5367</v>
      </c>
      <c r="E109" s="11" t="s">
        <v>2268</v>
      </c>
      <c r="F109" s="11" t="s">
        <v>31</v>
      </c>
      <c r="G109" s="12">
        <v>325</v>
      </c>
      <c r="H109" s="12">
        <v>25</v>
      </c>
      <c r="I109" s="12">
        <f t="shared" si="1"/>
        <v>300</v>
      </c>
      <c r="J109" s="11" t="s">
        <v>4787</v>
      </c>
      <c r="K109" s="11" t="s">
        <v>33</v>
      </c>
      <c r="L109" s="11" t="s">
        <v>4788</v>
      </c>
      <c r="M109" s="11"/>
      <c r="N109" s="11"/>
      <c r="O109" s="11"/>
      <c r="P109" s="11"/>
      <c r="Q109" s="44">
        <v>1</v>
      </c>
      <c r="R109" s="49"/>
    </row>
    <row r="110" spans="1:18" x14ac:dyDescent="0.25">
      <c r="A110" s="11"/>
      <c r="B110" s="11" t="s">
        <v>27</v>
      </c>
      <c r="C110" s="11" t="s">
        <v>5372</v>
      </c>
      <c r="D110" s="11" t="s">
        <v>5373</v>
      </c>
      <c r="E110" s="11" t="s">
        <v>664</v>
      </c>
      <c r="F110" s="12">
        <v>9</v>
      </c>
      <c r="G110" s="12">
        <v>2310</v>
      </c>
      <c r="H110" s="12">
        <v>30</v>
      </c>
      <c r="I110" s="12">
        <f t="shared" si="1"/>
        <v>2280</v>
      </c>
      <c r="J110" s="11" t="s">
        <v>4787</v>
      </c>
      <c r="K110" s="11" t="s">
        <v>33</v>
      </c>
      <c r="L110" s="11" t="s">
        <v>4788</v>
      </c>
      <c r="M110" s="11"/>
      <c r="N110" s="11"/>
      <c r="O110" s="11"/>
      <c r="P110" s="11"/>
      <c r="Q110" s="44">
        <v>1</v>
      </c>
      <c r="R110" s="49"/>
    </row>
    <row r="111" spans="1:18" x14ac:dyDescent="0.25">
      <c r="A111" s="11"/>
      <c r="B111" s="11" t="s">
        <v>27</v>
      </c>
      <c r="C111" s="11" t="s">
        <v>5377</v>
      </c>
      <c r="D111" s="11" t="s">
        <v>5378</v>
      </c>
      <c r="E111" s="11" t="s">
        <v>5379</v>
      </c>
      <c r="F111" s="12">
        <v>12</v>
      </c>
      <c r="G111" s="12">
        <v>580</v>
      </c>
      <c r="H111" s="12">
        <v>30</v>
      </c>
      <c r="I111" s="12">
        <f t="shared" si="1"/>
        <v>550</v>
      </c>
      <c r="J111" s="11" t="s">
        <v>4787</v>
      </c>
      <c r="K111" s="11" t="s">
        <v>33</v>
      </c>
      <c r="L111" s="11" t="s">
        <v>4788</v>
      </c>
      <c r="M111" s="11"/>
      <c r="N111" s="11"/>
      <c r="O111" s="11"/>
      <c r="P111" s="11"/>
      <c r="Q111" s="44">
        <v>1</v>
      </c>
      <c r="R111" s="49"/>
    </row>
    <row r="112" spans="1:18" x14ac:dyDescent="0.25">
      <c r="A112" s="11"/>
      <c r="B112" s="11" t="s">
        <v>27</v>
      </c>
      <c r="C112" s="11" t="s">
        <v>5380</v>
      </c>
      <c r="D112" s="11" t="s">
        <v>5381</v>
      </c>
      <c r="E112" s="11" t="s">
        <v>5382</v>
      </c>
      <c r="F112" s="11" t="s">
        <v>55</v>
      </c>
      <c r="G112" s="12">
        <v>418</v>
      </c>
      <c r="H112" s="12">
        <v>35</v>
      </c>
      <c r="I112" s="12">
        <f t="shared" si="1"/>
        <v>383</v>
      </c>
      <c r="J112" s="11" t="s">
        <v>4787</v>
      </c>
      <c r="K112" s="11" t="s">
        <v>33</v>
      </c>
      <c r="L112" s="11" t="s">
        <v>4788</v>
      </c>
      <c r="M112" s="24" t="s">
        <v>340</v>
      </c>
      <c r="N112" s="11"/>
      <c r="O112" s="11"/>
      <c r="P112" s="11"/>
      <c r="Q112" s="44">
        <v>1</v>
      </c>
      <c r="R112" s="50">
        <f>H112</f>
        <v>35</v>
      </c>
    </row>
    <row r="113" spans="1:18" x14ac:dyDescent="0.25">
      <c r="A113" s="11"/>
      <c r="B113" s="11" t="s">
        <v>27</v>
      </c>
      <c r="C113" s="11" t="s">
        <v>3703</v>
      </c>
      <c r="D113" s="11" t="s">
        <v>5388</v>
      </c>
      <c r="E113" s="11" t="s">
        <v>3705</v>
      </c>
      <c r="F113" s="11" t="s">
        <v>444</v>
      </c>
      <c r="G113" s="12">
        <v>355</v>
      </c>
      <c r="H113" s="12">
        <v>35</v>
      </c>
      <c r="I113" s="12">
        <f t="shared" si="1"/>
        <v>320</v>
      </c>
      <c r="J113" s="11" t="s">
        <v>4787</v>
      </c>
      <c r="K113" s="11" t="s">
        <v>33</v>
      </c>
      <c r="L113" s="11" t="s">
        <v>4788</v>
      </c>
      <c r="M113" s="11"/>
      <c r="N113" s="11"/>
      <c r="O113" s="11"/>
      <c r="P113" s="11"/>
      <c r="Q113" s="44">
        <v>1</v>
      </c>
      <c r="R113" s="49"/>
    </row>
    <row r="114" spans="1:18" x14ac:dyDescent="0.25">
      <c r="A114" s="11"/>
      <c r="B114" s="11" t="s">
        <v>27</v>
      </c>
      <c r="C114" s="11" t="s">
        <v>5389</v>
      </c>
      <c r="D114" s="11" t="s">
        <v>5390</v>
      </c>
      <c r="E114" s="11" t="s">
        <v>5391</v>
      </c>
      <c r="F114" s="11" t="s">
        <v>48</v>
      </c>
      <c r="G114" s="12">
        <v>610</v>
      </c>
      <c r="H114" s="12">
        <v>30</v>
      </c>
      <c r="I114" s="12">
        <f t="shared" si="1"/>
        <v>580</v>
      </c>
      <c r="J114" s="11" t="s">
        <v>4787</v>
      </c>
      <c r="K114" s="11" t="s">
        <v>33</v>
      </c>
      <c r="L114" s="11" t="s">
        <v>4788</v>
      </c>
      <c r="M114" s="11"/>
      <c r="N114" s="11"/>
      <c r="O114" s="11"/>
      <c r="P114" s="11"/>
      <c r="Q114" s="44">
        <v>1</v>
      </c>
      <c r="R114" s="49"/>
    </row>
    <row r="115" spans="1:18" x14ac:dyDescent="0.25">
      <c r="A115" s="11"/>
      <c r="B115" s="11" t="s">
        <v>27</v>
      </c>
      <c r="C115" s="11" t="s">
        <v>4342</v>
      </c>
      <c r="D115" s="11" t="s">
        <v>5394</v>
      </c>
      <c r="E115" s="11" t="s">
        <v>5395</v>
      </c>
      <c r="F115" s="11" t="s">
        <v>104</v>
      </c>
      <c r="G115" s="12">
        <v>730</v>
      </c>
      <c r="H115" s="12">
        <v>30</v>
      </c>
      <c r="I115" s="12">
        <f t="shared" si="1"/>
        <v>700</v>
      </c>
      <c r="J115" s="11" t="s">
        <v>4787</v>
      </c>
      <c r="K115" s="11" t="s">
        <v>33</v>
      </c>
      <c r="L115" s="11" t="s">
        <v>4788</v>
      </c>
      <c r="M115" s="11"/>
      <c r="N115" s="11"/>
      <c r="O115" s="11"/>
      <c r="P115" s="11"/>
      <c r="Q115" s="44">
        <v>1</v>
      </c>
      <c r="R115" s="49"/>
    </row>
    <row r="116" spans="1:18" x14ac:dyDescent="0.25">
      <c r="A116" s="11"/>
      <c r="B116" s="11" t="s">
        <v>27</v>
      </c>
      <c r="C116" s="11" t="s">
        <v>5400</v>
      </c>
      <c r="D116" s="11" t="s">
        <v>5401</v>
      </c>
      <c r="E116" s="11" t="s">
        <v>5402</v>
      </c>
      <c r="F116" s="11" t="s">
        <v>55</v>
      </c>
      <c r="G116" s="12">
        <v>1685</v>
      </c>
      <c r="H116" s="12">
        <v>35</v>
      </c>
      <c r="I116" s="12">
        <f t="shared" si="1"/>
        <v>1650</v>
      </c>
      <c r="J116" s="11" t="s">
        <v>4787</v>
      </c>
      <c r="K116" s="11" t="s">
        <v>33</v>
      </c>
      <c r="L116" s="11" t="s">
        <v>4788</v>
      </c>
      <c r="M116" s="11"/>
      <c r="N116" s="11"/>
      <c r="O116" s="11"/>
      <c r="P116" s="11"/>
      <c r="Q116" s="44">
        <v>1</v>
      </c>
      <c r="R116" s="49"/>
    </row>
    <row r="117" spans="1:18" x14ac:dyDescent="0.25">
      <c r="A117" s="11"/>
      <c r="B117" s="11" t="s">
        <v>27</v>
      </c>
      <c r="C117" s="11" t="s">
        <v>5403</v>
      </c>
      <c r="D117" s="11" t="s">
        <v>5404</v>
      </c>
      <c r="E117" s="11" t="s">
        <v>5405</v>
      </c>
      <c r="F117" s="12">
        <v>7</v>
      </c>
      <c r="G117" s="12">
        <v>540</v>
      </c>
      <c r="H117" s="12">
        <v>30</v>
      </c>
      <c r="I117" s="12">
        <f t="shared" si="1"/>
        <v>510</v>
      </c>
      <c r="J117" s="11" t="s">
        <v>4787</v>
      </c>
      <c r="K117" s="11" t="s">
        <v>33</v>
      </c>
      <c r="L117" s="11" t="s">
        <v>4788</v>
      </c>
      <c r="M117" s="11"/>
      <c r="N117" s="11"/>
      <c r="O117" s="11"/>
      <c r="P117" s="11"/>
      <c r="Q117" s="44">
        <v>1</v>
      </c>
      <c r="R117" s="49"/>
    </row>
    <row r="118" spans="1:18" x14ac:dyDescent="0.25">
      <c r="A118" s="11"/>
      <c r="B118" s="11" t="s">
        <v>27</v>
      </c>
      <c r="C118" s="11" t="s">
        <v>5406</v>
      </c>
      <c r="D118" s="11" t="s">
        <v>5407</v>
      </c>
      <c r="E118" s="11" t="s">
        <v>5408</v>
      </c>
      <c r="F118" s="12">
        <v>9</v>
      </c>
      <c r="G118" s="12">
        <v>970</v>
      </c>
      <c r="H118" s="12">
        <v>30</v>
      </c>
      <c r="I118" s="12">
        <f t="shared" si="1"/>
        <v>940</v>
      </c>
      <c r="J118" s="11" t="s">
        <v>4787</v>
      </c>
      <c r="K118" s="11" t="s">
        <v>33</v>
      </c>
      <c r="L118" s="11" t="s">
        <v>4788</v>
      </c>
      <c r="M118" s="11"/>
      <c r="N118" s="11"/>
      <c r="O118" s="11"/>
      <c r="P118" s="11"/>
      <c r="Q118" s="44">
        <v>1</v>
      </c>
      <c r="R118" s="49"/>
    </row>
    <row r="119" spans="1:18" x14ac:dyDescent="0.25">
      <c r="A119" s="11"/>
      <c r="B119" s="11" t="s">
        <v>27</v>
      </c>
      <c r="C119" s="11" t="s">
        <v>2214</v>
      </c>
      <c r="D119" s="11" t="s">
        <v>5409</v>
      </c>
      <c r="E119" s="11" t="s">
        <v>2216</v>
      </c>
      <c r="F119" s="12">
        <v>9</v>
      </c>
      <c r="G119" s="12">
        <v>720</v>
      </c>
      <c r="H119" s="12">
        <v>30</v>
      </c>
      <c r="I119" s="12">
        <f t="shared" si="1"/>
        <v>690</v>
      </c>
      <c r="J119" s="11" t="s">
        <v>4787</v>
      </c>
      <c r="K119" s="11" t="s">
        <v>33</v>
      </c>
      <c r="L119" s="11" t="s">
        <v>4788</v>
      </c>
      <c r="M119" s="11"/>
      <c r="N119" s="11"/>
      <c r="O119" s="11"/>
      <c r="P119" s="11"/>
      <c r="Q119" s="44">
        <v>1</v>
      </c>
      <c r="R119" s="49"/>
    </row>
    <row r="120" spans="1:18" x14ac:dyDescent="0.25">
      <c r="A120" s="11"/>
      <c r="B120" s="11" t="s">
        <v>27</v>
      </c>
      <c r="C120" s="11" t="s">
        <v>5416</v>
      </c>
      <c r="D120" s="11" t="s">
        <v>5417</v>
      </c>
      <c r="E120" s="11" t="s">
        <v>5418</v>
      </c>
      <c r="F120" s="12">
        <v>8</v>
      </c>
      <c r="G120" s="12">
        <v>520</v>
      </c>
      <c r="H120" s="12">
        <v>30</v>
      </c>
      <c r="I120" s="12">
        <f t="shared" si="1"/>
        <v>490</v>
      </c>
      <c r="J120" s="11" t="s">
        <v>4787</v>
      </c>
      <c r="K120" s="11" t="s">
        <v>33</v>
      </c>
      <c r="L120" s="11" t="s">
        <v>4788</v>
      </c>
      <c r="M120" s="11"/>
      <c r="N120" s="11"/>
      <c r="O120" s="11"/>
      <c r="P120" s="11"/>
      <c r="Q120" s="44">
        <v>1</v>
      </c>
      <c r="R120" s="49"/>
    </row>
    <row r="121" spans="1:18" x14ac:dyDescent="0.25">
      <c r="A121" s="11"/>
      <c r="B121" s="11" t="s">
        <v>27</v>
      </c>
      <c r="C121" s="11" t="s">
        <v>4053</v>
      </c>
      <c r="D121" s="11" t="s">
        <v>5423</v>
      </c>
      <c r="E121" s="11" t="s">
        <v>4055</v>
      </c>
      <c r="F121" s="11" t="s">
        <v>44</v>
      </c>
      <c r="G121" s="12">
        <v>1105</v>
      </c>
      <c r="H121" s="12">
        <v>25</v>
      </c>
      <c r="I121" s="12">
        <f t="shared" si="1"/>
        <v>1080</v>
      </c>
      <c r="J121" s="11" t="s">
        <v>4787</v>
      </c>
      <c r="K121" s="11" t="s">
        <v>33</v>
      </c>
      <c r="L121" s="11" t="s">
        <v>4788</v>
      </c>
      <c r="M121" s="11"/>
      <c r="N121" s="11"/>
      <c r="O121" s="11"/>
      <c r="P121" s="11"/>
      <c r="Q121" s="44">
        <v>1</v>
      </c>
      <c r="R121" s="49"/>
    </row>
    <row r="122" spans="1:18" x14ac:dyDescent="0.25">
      <c r="A122" s="11"/>
      <c r="B122" s="11" t="s">
        <v>27</v>
      </c>
      <c r="C122" s="11" t="s">
        <v>5424</v>
      </c>
      <c r="D122" s="11" t="s">
        <v>5425</v>
      </c>
      <c r="E122" s="11" t="s">
        <v>5426</v>
      </c>
      <c r="F122" s="11" t="s">
        <v>48</v>
      </c>
      <c r="G122" s="12">
        <v>490</v>
      </c>
      <c r="H122" s="12">
        <v>30</v>
      </c>
      <c r="I122" s="12">
        <f t="shared" si="1"/>
        <v>460</v>
      </c>
      <c r="J122" s="11" t="s">
        <v>4787</v>
      </c>
      <c r="K122" s="11" t="s">
        <v>33</v>
      </c>
      <c r="L122" s="11" t="s">
        <v>4788</v>
      </c>
      <c r="M122" s="11"/>
      <c r="N122" s="11"/>
      <c r="O122" s="11"/>
      <c r="P122" s="11"/>
      <c r="Q122" s="44">
        <v>1</v>
      </c>
      <c r="R122" s="49"/>
    </row>
    <row r="123" spans="1:18" x14ac:dyDescent="0.25">
      <c r="A123" s="11"/>
      <c r="B123" s="11" t="s">
        <v>27</v>
      </c>
      <c r="C123" s="11" t="s">
        <v>5427</v>
      </c>
      <c r="D123" s="11" t="s">
        <v>5428</v>
      </c>
      <c r="E123" s="11" t="s">
        <v>5429</v>
      </c>
      <c r="F123" s="11" t="s">
        <v>48</v>
      </c>
      <c r="G123" s="12">
        <v>1590</v>
      </c>
      <c r="H123" s="12">
        <v>30</v>
      </c>
      <c r="I123" s="12">
        <f t="shared" si="1"/>
        <v>1560</v>
      </c>
      <c r="J123" s="11" t="s">
        <v>4787</v>
      </c>
      <c r="K123" s="11" t="s">
        <v>33</v>
      </c>
      <c r="L123" s="11" t="s">
        <v>4788</v>
      </c>
      <c r="M123" s="11"/>
      <c r="N123" s="11"/>
      <c r="O123" s="11"/>
      <c r="P123" s="11"/>
      <c r="Q123" s="44">
        <v>1</v>
      </c>
      <c r="R123" s="49"/>
    </row>
    <row r="124" spans="1:18" x14ac:dyDescent="0.25">
      <c r="A124" s="11"/>
      <c r="B124" s="11" t="s">
        <v>27</v>
      </c>
      <c r="C124" s="11" t="s">
        <v>3748</v>
      </c>
      <c r="D124" s="11" t="s">
        <v>5433</v>
      </c>
      <c r="E124" s="11" t="s">
        <v>5434</v>
      </c>
      <c r="F124" s="12">
        <v>7</v>
      </c>
      <c r="G124" s="12">
        <v>550</v>
      </c>
      <c r="H124" s="12">
        <v>30</v>
      </c>
      <c r="I124" s="12">
        <f t="shared" si="1"/>
        <v>520</v>
      </c>
      <c r="J124" s="11" t="s">
        <v>4787</v>
      </c>
      <c r="K124" s="11" t="s">
        <v>33</v>
      </c>
      <c r="L124" s="11" t="s">
        <v>4788</v>
      </c>
      <c r="M124" s="11"/>
      <c r="N124" s="11"/>
      <c r="O124" s="11"/>
      <c r="P124" s="11"/>
      <c r="Q124" s="44">
        <v>1</v>
      </c>
      <c r="R124" s="49"/>
    </row>
    <row r="125" spans="1:18" x14ac:dyDescent="0.25">
      <c r="A125" s="11"/>
      <c r="B125" s="11" t="s">
        <v>27</v>
      </c>
      <c r="C125" s="11" t="s">
        <v>5438</v>
      </c>
      <c r="D125" s="11" t="s">
        <v>5439</v>
      </c>
      <c r="E125" s="11" t="s">
        <v>5440</v>
      </c>
      <c r="F125" s="11" t="s">
        <v>104</v>
      </c>
      <c r="G125" s="12">
        <v>720</v>
      </c>
      <c r="H125" s="12">
        <v>30</v>
      </c>
      <c r="I125" s="12">
        <f t="shared" si="1"/>
        <v>690</v>
      </c>
      <c r="J125" s="11" t="s">
        <v>4787</v>
      </c>
      <c r="K125" s="11" t="s">
        <v>33</v>
      </c>
      <c r="L125" s="11" t="s">
        <v>4788</v>
      </c>
      <c r="M125" s="11"/>
      <c r="N125" s="11"/>
      <c r="O125" s="11"/>
      <c r="P125" s="11"/>
      <c r="Q125" s="44">
        <v>1</v>
      </c>
      <c r="R125" s="49"/>
    </row>
    <row r="126" spans="1:18" x14ac:dyDescent="0.25">
      <c r="A126" s="11"/>
      <c r="B126" s="11" t="s">
        <v>27</v>
      </c>
      <c r="C126" s="11" t="s">
        <v>5450</v>
      </c>
      <c r="D126" s="11" t="s">
        <v>5451</v>
      </c>
      <c r="E126" s="11" t="s">
        <v>5452</v>
      </c>
      <c r="F126" s="12">
        <v>11</v>
      </c>
      <c r="G126" s="12">
        <v>455</v>
      </c>
      <c r="H126" s="12">
        <v>25</v>
      </c>
      <c r="I126" s="12">
        <f t="shared" si="1"/>
        <v>430</v>
      </c>
      <c r="J126" s="11" t="s">
        <v>4787</v>
      </c>
      <c r="K126" s="11" t="s">
        <v>33</v>
      </c>
      <c r="L126" s="11" t="s">
        <v>4788</v>
      </c>
      <c r="M126" s="11"/>
      <c r="N126" s="11"/>
      <c r="O126" s="11"/>
      <c r="P126" s="11"/>
      <c r="Q126" s="44">
        <v>1</v>
      </c>
      <c r="R126" s="49"/>
    </row>
    <row r="127" spans="1:18" x14ac:dyDescent="0.25">
      <c r="A127" s="11"/>
      <c r="B127" s="11" t="s">
        <v>27</v>
      </c>
      <c r="C127" s="11" t="s">
        <v>5459</v>
      </c>
      <c r="D127" s="11" t="s">
        <v>5460</v>
      </c>
      <c r="E127" s="11" t="s">
        <v>5461</v>
      </c>
      <c r="F127" s="11" t="s">
        <v>444</v>
      </c>
      <c r="G127" s="12">
        <v>565</v>
      </c>
      <c r="H127" s="12">
        <v>35</v>
      </c>
      <c r="I127" s="12">
        <f t="shared" si="1"/>
        <v>530</v>
      </c>
      <c r="J127" s="11" t="s">
        <v>4787</v>
      </c>
      <c r="K127" s="11" t="s">
        <v>33</v>
      </c>
      <c r="L127" s="11" t="s">
        <v>4788</v>
      </c>
      <c r="M127" s="11"/>
      <c r="N127" s="11"/>
      <c r="O127" s="11"/>
      <c r="P127" s="11"/>
      <c r="Q127" s="44">
        <v>1</v>
      </c>
      <c r="R127" s="49"/>
    </row>
    <row r="128" spans="1:18" x14ac:dyDescent="0.25">
      <c r="A128" s="11"/>
      <c r="B128" s="11" t="s">
        <v>27</v>
      </c>
      <c r="C128" s="11" t="s">
        <v>4496</v>
      </c>
      <c r="D128" s="11" t="s">
        <v>5470</v>
      </c>
      <c r="E128" s="11" t="s">
        <v>4498</v>
      </c>
      <c r="F128" s="11" t="s">
        <v>48</v>
      </c>
      <c r="G128" s="12">
        <v>498</v>
      </c>
      <c r="H128" s="12">
        <v>30</v>
      </c>
      <c r="I128" s="12">
        <f t="shared" si="1"/>
        <v>468</v>
      </c>
      <c r="J128" s="11" t="s">
        <v>4787</v>
      </c>
      <c r="K128" s="11" t="s">
        <v>33</v>
      </c>
      <c r="L128" s="11" t="s">
        <v>4788</v>
      </c>
      <c r="M128" s="24" t="s">
        <v>340</v>
      </c>
      <c r="N128" s="11"/>
      <c r="O128" s="11"/>
      <c r="P128" s="11"/>
      <c r="Q128" s="44">
        <v>1</v>
      </c>
      <c r="R128" s="50">
        <f>H128</f>
        <v>30</v>
      </c>
    </row>
    <row r="129" spans="1:18" x14ac:dyDescent="0.25">
      <c r="A129" s="11"/>
      <c r="B129" s="11" t="s">
        <v>27</v>
      </c>
      <c r="C129" s="11" t="s">
        <v>5471</v>
      </c>
      <c r="D129" s="11" t="s">
        <v>5472</v>
      </c>
      <c r="E129" s="11" t="s">
        <v>5473</v>
      </c>
      <c r="F129" s="11" t="s">
        <v>104</v>
      </c>
      <c r="G129" s="12">
        <v>200</v>
      </c>
      <c r="H129" s="12">
        <v>30</v>
      </c>
      <c r="I129" s="12">
        <f t="shared" si="1"/>
        <v>170</v>
      </c>
      <c r="J129" s="11" t="s">
        <v>4787</v>
      </c>
      <c r="K129" s="11" t="s">
        <v>33</v>
      </c>
      <c r="L129" s="11" t="s">
        <v>4788</v>
      </c>
      <c r="M129" s="11"/>
      <c r="N129" s="11"/>
      <c r="O129" s="11"/>
      <c r="P129" s="11"/>
      <c r="Q129" s="44">
        <v>1</v>
      </c>
      <c r="R129" s="49"/>
    </row>
    <row r="130" spans="1:18" x14ac:dyDescent="0.25">
      <c r="A130" s="11"/>
      <c r="B130" s="11" t="s">
        <v>27</v>
      </c>
      <c r="C130" s="11" t="s">
        <v>5474</v>
      </c>
      <c r="D130" s="11"/>
      <c r="E130" s="11" t="s">
        <v>5475</v>
      </c>
      <c r="F130" s="12">
        <v>9</v>
      </c>
      <c r="G130" s="12">
        <v>0</v>
      </c>
      <c r="H130" s="12">
        <v>30</v>
      </c>
      <c r="I130" s="12">
        <f t="shared" si="1"/>
        <v>-30</v>
      </c>
      <c r="J130" s="11" t="s">
        <v>4787</v>
      </c>
      <c r="K130" s="11" t="s">
        <v>33</v>
      </c>
      <c r="L130" s="11" t="s">
        <v>4788</v>
      </c>
      <c r="M130" s="11"/>
      <c r="N130" s="11"/>
      <c r="O130" s="11"/>
      <c r="P130" s="11"/>
      <c r="Q130" s="44">
        <v>1</v>
      </c>
      <c r="R130" s="50">
        <f>H130</f>
        <v>30</v>
      </c>
    </row>
    <row r="131" spans="1:18" x14ac:dyDescent="0.25">
      <c r="A131" s="11"/>
      <c r="B131" s="11" t="s">
        <v>27</v>
      </c>
      <c r="C131" s="11" t="s">
        <v>5479</v>
      </c>
      <c r="D131" s="11" t="s">
        <v>5480</v>
      </c>
      <c r="E131" s="11" t="s">
        <v>5481</v>
      </c>
      <c r="F131" s="11" t="s">
        <v>444</v>
      </c>
      <c r="G131" s="12">
        <v>205</v>
      </c>
      <c r="H131" s="12">
        <v>35</v>
      </c>
      <c r="I131" s="12">
        <f t="shared" ref="I131:I194" si="3">G131-H131</f>
        <v>170</v>
      </c>
      <c r="J131" s="11" t="s">
        <v>4787</v>
      </c>
      <c r="K131" s="11" t="s">
        <v>33</v>
      </c>
      <c r="L131" s="11" t="s">
        <v>4788</v>
      </c>
      <c r="M131" s="11"/>
      <c r="N131" s="11"/>
      <c r="O131" s="11"/>
      <c r="P131" s="11"/>
      <c r="Q131" s="44">
        <v>1</v>
      </c>
      <c r="R131" s="49"/>
    </row>
    <row r="132" spans="1:18" x14ac:dyDescent="0.25">
      <c r="A132" s="11"/>
      <c r="B132" s="11" t="s">
        <v>27</v>
      </c>
      <c r="C132" s="11" t="s">
        <v>5482</v>
      </c>
      <c r="D132" s="11" t="s">
        <v>5483</v>
      </c>
      <c r="E132" s="11" t="s">
        <v>5484</v>
      </c>
      <c r="F132" s="11" t="s">
        <v>31</v>
      </c>
      <c r="G132" s="12">
        <v>265</v>
      </c>
      <c r="H132" s="12">
        <v>25</v>
      </c>
      <c r="I132" s="12">
        <f t="shared" si="3"/>
        <v>240</v>
      </c>
      <c r="J132" s="11" t="s">
        <v>4787</v>
      </c>
      <c r="K132" s="11" t="s">
        <v>33</v>
      </c>
      <c r="L132" s="11" t="s">
        <v>4788</v>
      </c>
      <c r="M132" s="11"/>
      <c r="N132" s="11"/>
      <c r="O132" s="11"/>
      <c r="P132" s="11"/>
      <c r="Q132" s="44">
        <v>1</v>
      </c>
      <c r="R132" s="49"/>
    </row>
    <row r="133" spans="1:18" x14ac:dyDescent="0.25">
      <c r="A133" s="11"/>
      <c r="B133" s="11" t="s">
        <v>27</v>
      </c>
      <c r="C133" s="11" t="s">
        <v>5485</v>
      </c>
      <c r="D133" s="11" t="s">
        <v>5486</v>
      </c>
      <c r="E133" s="11" t="s">
        <v>5487</v>
      </c>
      <c r="F133" s="12">
        <v>9</v>
      </c>
      <c r="G133" s="12">
        <v>1040</v>
      </c>
      <c r="H133" s="12">
        <v>30</v>
      </c>
      <c r="I133" s="12">
        <f t="shared" si="3"/>
        <v>1010</v>
      </c>
      <c r="J133" s="11" t="s">
        <v>4787</v>
      </c>
      <c r="K133" s="11" t="s">
        <v>33</v>
      </c>
      <c r="L133" s="11" t="s">
        <v>4788</v>
      </c>
      <c r="M133" s="11"/>
      <c r="N133" s="11"/>
      <c r="O133" s="11"/>
      <c r="P133" s="11"/>
      <c r="Q133" s="44">
        <v>1</v>
      </c>
      <c r="R133" s="49"/>
    </row>
    <row r="134" spans="1:18" x14ac:dyDescent="0.25">
      <c r="A134" s="11"/>
      <c r="B134" s="11" t="s">
        <v>27</v>
      </c>
      <c r="C134" s="11" t="s">
        <v>5488</v>
      </c>
      <c r="D134" s="11" t="s">
        <v>5489</v>
      </c>
      <c r="E134" s="11" t="s">
        <v>5490</v>
      </c>
      <c r="F134" s="12">
        <v>7</v>
      </c>
      <c r="G134" s="12">
        <v>570</v>
      </c>
      <c r="H134" s="12">
        <v>30</v>
      </c>
      <c r="I134" s="12">
        <f t="shared" si="3"/>
        <v>540</v>
      </c>
      <c r="J134" s="11" t="s">
        <v>4787</v>
      </c>
      <c r="K134" s="11" t="s">
        <v>33</v>
      </c>
      <c r="L134" s="11" t="s">
        <v>4788</v>
      </c>
      <c r="M134" s="11"/>
      <c r="N134" s="11"/>
      <c r="O134" s="11"/>
      <c r="P134" s="11"/>
      <c r="Q134" s="44">
        <v>1</v>
      </c>
      <c r="R134" s="49"/>
    </row>
    <row r="135" spans="1:18" x14ac:dyDescent="0.25">
      <c r="A135" s="11"/>
      <c r="B135" s="11" t="s">
        <v>27</v>
      </c>
      <c r="C135" s="11" t="s">
        <v>5491</v>
      </c>
      <c r="D135" s="11" t="s">
        <v>5492</v>
      </c>
      <c r="E135" s="11" t="s">
        <v>5493</v>
      </c>
      <c r="F135" s="12">
        <v>8</v>
      </c>
      <c r="G135" s="12">
        <v>850</v>
      </c>
      <c r="H135" s="12">
        <v>30</v>
      </c>
      <c r="I135" s="12">
        <f t="shared" si="3"/>
        <v>820</v>
      </c>
      <c r="J135" s="11" t="s">
        <v>4787</v>
      </c>
      <c r="K135" s="11" t="s">
        <v>33</v>
      </c>
      <c r="L135" s="11" t="s">
        <v>4788</v>
      </c>
      <c r="M135" s="11"/>
      <c r="N135" s="11"/>
      <c r="O135" s="11"/>
      <c r="P135" s="11"/>
      <c r="Q135" s="44">
        <v>1</v>
      </c>
      <c r="R135" s="49"/>
    </row>
    <row r="136" spans="1:18" x14ac:dyDescent="0.25">
      <c r="A136" s="11"/>
      <c r="B136" s="11" t="s">
        <v>27</v>
      </c>
      <c r="C136" s="11" t="s">
        <v>5500</v>
      </c>
      <c r="D136" s="11" t="s">
        <v>5501</v>
      </c>
      <c r="E136" s="11" t="s">
        <v>5502</v>
      </c>
      <c r="F136" s="11" t="s">
        <v>31</v>
      </c>
      <c r="G136" s="12">
        <v>815</v>
      </c>
      <c r="H136" s="12">
        <v>25</v>
      </c>
      <c r="I136" s="12">
        <f t="shared" si="3"/>
        <v>790</v>
      </c>
      <c r="J136" s="11" t="s">
        <v>4787</v>
      </c>
      <c r="K136" s="11" t="s">
        <v>33</v>
      </c>
      <c r="L136" s="11" t="s">
        <v>4788</v>
      </c>
      <c r="M136" s="11"/>
      <c r="N136" s="11"/>
      <c r="O136" s="11"/>
      <c r="P136" s="11"/>
      <c r="Q136" s="44">
        <v>1</v>
      </c>
      <c r="R136" s="49"/>
    </row>
    <row r="137" spans="1:18" x14ac:dyDescent="0.25">
      <c r="A137" s="11"/>
      <c r="B137" s="11" t="s">
        <v>27</v>
      </c>
      <c r="C137" s="11" t="s">
        <v>5503</v>
      </c>
      <c r="D137" s="11" t="s">
        <v>5504</v>
      </c>
      <c r="E137" s="11" t="s">
        <v>5505</v>
      </c>
      <c r="F137" s="12">
        <v>7</v>
      </c>
      <c r="G137" s="12">
        <v>540</v>
      </c>
      <c r="H137" s="12">
        <v>30</v>
      </c>
      <c r="I137" s="12">
        <f t="shared" si="3"/>
        <v>510</v>
      </c>
      <c r="J137" s="11" t="s">
        <v>4787</v>
      </c>
      <c r="K137" s="11" t="s">
        <v>33</v>
      </c>
      <c r="L137" s="11" t="s">
        <v>4788</v>
      </c>
      <c r="M137" s="11"/>
      <c r="N137" s="11"/>
      <c r="O137" s="11"/>
      <c r="P137" s="11"/>
      <c r="Q137" s="44">
        <v>1</v>
      </c>
      <c r="R137" s="49"/>
    </row>
    <row r="138" spans="1:18" x14ac:dyDescent="0.25">
      <c r="A138" s="11"/>
      <c r="B138" s="11" t="s">
        <v>27</v>
      </c>
      <c r="C138" s="11" t="s">
        <v>5506</v>
      </c>
      <c r="D138" s="11" t="s">
        <v>5507</v>
      </c>
      <c r="E138" s="11" t="s">
        <v>5508</v>
      </c>
      <c r="F138" s="12">
        <v>12</v>
      </c>
      <c r="G138" s="12">
        <v>610</v>
      </c>
      <c r="H138" s="12">
        <v>30</v>
      </c>
      <c r="I138" s="12">
        <f t="shared" si="3"/>
        <v>580</v>
      </c>
      <c r="J138" s="11" t="s">
        <v>4787</v>
      </c>
      <c r="K138" s="11" t="s">
        <v>33</v>
      </c>
      <c r="L138" s="11" t="s">
        <v>4788</v>
      </c>
      <c r="M138" s="11"/>
      <c r="N138" s="11"/>
      <c r="O138" s="11"/>
      <c r="P138" s="11"/>
      <c r="Q138" s="44">
        <v>1</v>
      </c>
      <c r="R138" s="49"/>
    </row>
    <row r="139" spans="1:18" x14ac:dyDescent="0.25">
      <c r="A139" s="11"/>
      <c r="B139" s="11" t="s">
        <v>27</v>
      </c>
      <c r="C139" s="11" t="s">
        <v>5510</v>
      </c>
      <c r="D139" s="11" t="s">
        <v>5511</v>
      </c>
      <c r="E139" s="11" t="s">
        <v>5512</v>
      </c>
      <c r="F139" s="11" t="s">
        <v>104</v>
      </c>
      <c r="G139" s="12">
        <v>660</v>
      </c>
      <c r="H139" s="12">
        <v>30</v>
      </c>
      <c r="I139" s="12">
        <f t="shared" si="3"/>
        <v>630</v>
      </c>
      <c r="J139" s="11" t="s">
        <v>4787</v>
      </c>
      <c r="K139" s="11" t="s">
        <v>33</v>
      </c>
      <c r="L139" s="11" t="s">
        <v>4788</v>
      </c>
      <c r="M139" s="11"/>
      <c r="N139" s="11"/>
      <c r="O139" s="11"/>
      <c r="P139" s="11"/>
      <c r="Q139" s="44">
        <v>1</v>
      </c>
      <c r="R139" s="49"/>
    </row>
    <row r="140" spans="1:18" x14ac:dyDescent="0.25">
      <c r="A140" s="11"/>
      <c r="B140" s="11" t="s">
        <v>27</v>
      </c>
      <c r="C140" s="11" t="s">
        <v>5517</v>
      </c>
      <c r="D140" s="11" t="s">
        <v>5518</v>
      </c>
      <c r="E140" s="11" t="s">
        <v>5519</v>
      </c>
      <c r="F140" s="12">
        <v>2</v>
      </c>
      <c r="G140" s="12">
        <v>450</v>
      </c>
      <c r="H140" s="12">
        <v>30</v>
      </c>
      <c r="I140" s="12">
        <f t="shared" si="3"/>
        <v>420</v>
      </c>
      <c r="J140" s="11" t="s">
        <v>4787</v>
      </c>
      <c r="K140" s="11" t="s">
        <v>33</v>
      </c>
      <c r="L140" s="11" t="s">
        <v>4788</v>
      </c>
      <c r="M140" s="11"/>
      <c r="N140" s="11"/>
      <c r="O140" s="11"/>
      <c r="P140" s="11"/>
      <c r="Q140" s="44">
        <v>1</v>
      </c>
      <c r="R140" s="49"/>
    </row>
    <row r="141" spans="1:18" x14ac:dyDescent="0.25">
      <c r="A141" s="11"/>
      <c r="B141" s="11" t="s">
        <v>27</v>
      </c>
      <c r="C141" s="11" t="s">
        <v>5520</v>
      </c>
      <c r="D141" s="11" t="s">
        <v>5521</v>
      </c>
      <c r="E141" s="11" t="s">
        <v>5522</v>
      </c>
      <c r="F141" s="12">
        <v>9</v>
      </c>
      <c r="G141" s="12">
        <v>350</v>
      </c>
      <c r="H141" s="12">
        <v>30</v>
      </c>
      <c r="I141" s="12">
        <f t="shared" si="3"/>
        <v>320</v>
      </c>
      <c r="J141" s="11" t="s">
        <v>4787</v>
      </c>
      <c r="K141" s="11" t="s">
        <v>33</v>
      </c>
      <c r="L141" s="11" t="s">
        <v>4788</v>
      </c>
      <c r="M141" s="11"/>
      <c r="N141" s="11"/>
      <c r="O141" s="11"/>
      <c r="P141" s="11"/>
      <c r="Q141" s="44">
        <v>1</v>
      </c>
      <c r="R141" s="49"/>
    </row>
    <row r="142" spans="1:18" x14ac:dyDescent="0.25">
      <c r="A142" s="11"/>
      <c r="B142" s="11" t="s">
        <v>27</v>
      </c>
      <c r="C142" s="11" t="s">
        <v>2696</v>
      </c>
      <c r="D142" s="11" t="s">
        <v>5523</v>
      </c>
      <c r="E142" s="11" t="s">
        <v>2698</v>
      </c>
      <c r="F142" s="11" t="s">
        <v>104</v>
      </c>
      <c r="G142" s="12">
        <v>380</v>
      </c>
      <c r="H142" s="12">
        <v>30</v>
      </c>
      <c r="I142" s="12">
        <f t="shared" si="3"/>
        <v>350</v>
      </c>
      <c r="J142" s="11" t="s">
        <v>4787</v>
      </c>
      <c r="K142" s="11" t="s">
        <v>33</v>
      </c>
      <c r="L142" s="11" t="s">
        <v>4788</v>
      </c>
      <c r="M142" s="11"/>
      <c r="N142" s="11"/>
      <c r="O142" s="11"/>
      <c r="P142" s="11"/>
      <c r="Q142" s="44">
        <v>1</v>
      </c>
      <c r="R142" s="49"/>
    </row>
    <row r="143" spans="1:18" x14ac:dyDescent="0.25">
      <c r="A143" s="11"/>
      <c r="B143" s="11" t="s">
        <v>27</v>
      </c>
      <c r="C143" s="11" t="s">
        <v>5524</v>
      </c>
      <c r="D143" s="11" t="s">
        <v>5525</v>
      </c>
      <c r="E143" s="11" t="s">
        <v>5526</v>
      </c>
      <c r="F143" s="11" t="s">
        <v>444</v>
      </c>
      <c r="G143" s="12">
        <v>615</v>
      </c>
      <c r="H143" s="12">
        <v>35</v>
      </c>
      <c r="I143" s="12">
        <f t="shared" si="3"/>
        <v>580</v>
      </c>
      <c r="J143" s="11" t="s">
        <v>4787</v>
      </c>
      <c r="K143" s="11" t="s">
        <v>33</v>
      </c>
      <c r="L143" s="11" t="s">
        <v>4788</v>
      </c>
      <c r="M143" s="11"/>
      <c r="N143" s="11"/>
      <c r="O143" s="11"/>
      <c r="P143" s="11"/>
      <c r="Q143" s="44">
        <v>1</v>
      </c>
      <c r="R143" s="49"/>
    </row>
    <row r="144" spans="1:18" x14ac:dyDescent="0.25">
      <c r="A144" s="11"/>
      <c r="B144" s="11" t="s">
        <v>27</v>
      </c>
      <c r="C144" s="11" t="s">
        <v>5527</v>
      </c>
      <c r="D144" s="11" t="s">
        <v>5528</v>
      </c>
      <c r="E144" s="11" t="s">
        <v>5529</v>
      </c>
      <c r="F144" s="12">
        <v>7</v>
      </c>
      <c r="G144" s="12">
        <v>470</v>
      </c>
      <c r="H144" s="12">
        <v>30</v>
      </c>
      <c r="I144" s="12">
        <f t="shared" si="3"/>
        <v>440</v>
      </c>
      <c r="J144" s="11" t="s">
        <v>4787</v>
      </c>
      <c r="K144" s="11" t="s">
        <v>33</v>
      </c>
      <c r="L144" s="11" t="s">
        <v>4788</v>
      </c>
      <c r="M144" s="11"/>
      <c r="N144" s="11"/>
      <c r="O144" s="11"/>
      <c r="P144" s="11"/>
      <c r="Q144" s="44">
        <v>1</v>
      </c>
      <c r="R144" s="49"/>
    </row>
    <row r="145" spans="1:18" x14ac:dyDescent="0.25">
      <c r="A145" s="11"/>
      <c r="B145" s="11" t="s">
        <v>27</v>
      </c>
      <c r="C145" s="11" t="s">
        <v>4811</v>
      </c>
      <c r="D145" s="11" t="s">
        <v>4812</v>
      </c>
      <c r="E145" s="11" t="s">
        <v>4813</v>
      </c>
      <c r="F145" s="11" t="s">
        <v>78</v>
      </c>
      <c r="G145" s="12">
        <v>428</v>
      </c>
      <c r="H145" s="12">
        <v>20</v>
      </c>
      <c r="I145" s="12">
        <f t="shared" si="3"/>
        <v>408</v>
      </c>
      <c r="J145" s="11" t="s">
        <v>33</v>
      </c>
      <c r="K145" s="11" t="s">
        <v>33</v>
      </c>
      <c r="L145" s="11" t="s">
        <v>4788</v>
      </c>
      <c r="M145" s="24" t="s">
        <v>340</v>
      </c>
      <c r="N145" s="11"/>
      <c r="O145" s="11"/>
      <c r="P145" s="11"/>
      <c r="Q145" s="44">
        <v>1</v>
      </c>
      <c r="R145" s="50">
        <f>H145</f>
        <v>20</v>
      </c>
    </row>
    <row r="146" spans="1:18" x14ac:dyDescent="0.25">
      <c r="A146" s="11"/>
      <c r="B146" s="11" t="s">
        <v>27</v>
      </c>
      <c r="C146" s="11" t="s">
        <v>4814</v>
      </c>
      <c r="D146" s="11" t="s">
        <v>4815</v>
      </c>
      <c r="E146" s="11" t="s">
        <v>4816</v>
      </c>
      <c r="F146" s="11" t="s">
        <v>68</v>
      </c>
      <c r="G146" s="12">
        <v>885</v>
      </c>
      <c r="H146" s="12">
        <v>25</v>
      </c>
      <c r="I146" s="12">
        <f t="shared" si="3"/>
        <v>860</v>
      </c>
      <c r="J146" s="11" t="s">
        <v>33</v>
      </c>
      <c r="K146" s="11" t="s">
        <v>33</v>
      </c>
      <c r="L146" s="11" t="s">
        <v>4788</v>
      </c>
      <c r="M146" s="11"/>
      <c r="N146" s="11"/>
      <c r="O146" s="11"/>
      <c r="P146" s="11"/>
      <c r="Q146" s="44">
        <v>1</v>
      </c>
      <c r="R146" s="49"/>
    </row>
    <row r="147" spans="1:18" x14ac:dyDescent="0.25">
      <c r="A147" s="11"/>
      <c r="B147" s="11" t="s">
        <v>27</v>
      </c>
      <c r="C147" s="11" t="s">
        <v>4828</v>
      </c>
      <c r="D147" s="11" t="s">
        <v>4829</v>
      </c>
      <c r="E147" s="11" t="s">
        <v>4830</v>
      </c>
      <c r="F147" s="12">
        <v>2</v>
      </c>
      <c r="G147" s="12">
        <v>380</v>
      </c>
      <c r="H147" s="12">
        <v>30</v>
      </c>
      <c r="I147" s="12">
        <f t="shared" si="3"/>
        <v>350</v>
      </c>
      <c r="J147" s="11" t="s">
        <v>33</v>
      </c>
      <c r="K147" s="11" t="s">
        <v>33</v>
      </c>
      <c r="L147" s="11" t="s">
        <v>4788</v>
      </c>
      <c r="M147" s="11"/>
      <c r="N147" s="11"/>
      <c r="O147" s="11"/>
      <c r="P147" s="11"/>
      <c r="Q147" s="44">
        <v>1</v>
      </c>
      <c r="R147" s="49"/>
    </row>
    <row r="148" spans="1:18" x14ac:dyDescent="0.25">
      <c r="A148" s="11"/>
      <c r="B148" s="11" t="s">
        <v>27</v>
      </c>
      <c r="C148" s="11" t="s">
        <v>4834</v>
      </c>
      <c r="D148" s="11" t="s">
        <v>4835</v>
      </c>
      <c r="E148" s="11" t="s">
        <v>4836</v>
      </c>
      <c r="F148" s="12">
        <v>2</v>
      </c>
      <c r="G148" s="12">
        <v>470</v>
      </c>
      <c r="H148" s="12">
        <v>30</v>
      </c>
      <c r="I148" s="12">
        <f t="shared" si="3"/>
        <v>440</v>
      </c>
      <c r="J148" s="11" t="s">
        <v>33</v>
      </c>
      <c r="K148" s="11" t="s">
        <v>33</v>
      </c>
      <c r="L148" s="11" t="s">
        <v>4788</v>
      </c>
      <c r="M148" s="11"/>
      <c r="N148" s="11"/>
      <c r="O148" s="11"/>
      <c r="P148" s="11"/>
      <c r="Q148" s="44">
        <v>1</v>
      </c>
      <c r="R148" s="49"/>
    </row>
    <row r="149" spans="1:18" x14ac:dyDescent="0.25">
      <c r="A149" s="11"/>
      <c r="B149" s="11" t="s">
        <v>27</v>
      </c>
      <c r="C149" s="11" t="s">
        <v>4851</v>
      </c>
      <c r="D149" s="11" t="s">
        <v>4852</v>
      </c>
      <c r="E149" s="11" t="s">
        <v>4853</v>
      </c>
      <c r="F149" s="11" t="s">
        <v>78</v>
      </c>
      <c r="G149" s="12">
        <v>290</v>
      </c>
      <c r="H149" s="12">
        <v>20</v>
      </c>
      <c r="I149" s="12">
        <f t="shared" si="3"/>
        <v>270</v>
      </c>
      <c r="J149" s="11" t="s">
        <v>33</v>
      </c>
      <c r="K149" s="11" t="s">
        <v>33</v>
      </c>
      <c r="L149" s="11" t="s">
        <v>4788</v>
      </c>
      <c r="M149" s="11"/>
      <c r="N149" s="11"/>
      <c r="O149" s="11"/>
      <c r="P149" s="11"/>
      <c r="Q149" s="44">
        <v>1</v>
      </c>
      <c r="R149" s="49"/>
    </row>
    <row r="150" spans="1:18" x14ac:dyDescent="0.25">
      <c r="A150" s="11"/>
      <c r="B150" s="11" t="s">
        <v>27</v>
      </c>
      <c r="C150" s="11" t="s">
        <v>4857</v>
      </c>
      <c r="D150" s="11" t="s">
        <v>4858</v>
      </c>
      <c r="E150" s="11" t="s">
        <v>4859</v>
      </c>
      <c r="F150" s="11" t="s">
        <v>78</v>
      </c>
      <c r="G150" s="12">
        <v>528</v>
      </c>
      <c r="H150" s="12">
        <v>20</v>
      </c>
      <c r="I150" s="12">
        <f t="shared" si="3"/>
        <v>508</v>
      </c>
      <c r="J150" s="11" t="s">
        <v>33</v>
      </c>
      <c r="K150" s="11" t="s">
        <v>33</v>
      </c>
      <c r="L150" s="11" t="s">
        <v>4788</v>
      </c>
      <c r="M150" s="24" t="s">
        <v>340</v>
      </c>
      <c r="N150" s="11"/>
      <c r="O150" s="11"/>
      <c r="P150" s="11"/>
      <c r="Q150" s="44">
        <v>1</v>
      </c>
      <c r="R150" s="50">
        <f t="shared" ref="R150:R151" si="4">H150</f>
        <v>20</v>
      </c>
    </row>
    <row r="151" spans="1:18" x14ac:dyDescent="0.25">
      <c r="A151" s="11"/>
      <c r="B151" s="11" t="s">
        <v>27</v>
      </c>
      <c r="C151" s="11" t="s">
        <v>4865</v>
      </c>
      <c r="D151" s="11" t="s">
        <v>4866</v>
      </c>
      <c r="E151" s="11" t="s">
        <v>4867</v>
      </c>
      <c r="F151" s="11" t="s">
        <v>78</v>
      </c>
      <c r="G151" s="12">
        <v>548</v>
      </c>
      <c r="H151" s="12">
        <v>20</v>
      </c>
      <c r="I151" s="12">
        <f t="shared" si="3"/>
        <v>528</v>
      </c>
      <c r="J151" s="11" t="s">
        <v>33</v>
      </c>
      <c r="K151" s="11" t="s">
        <v>33</v>
      </c>
      <c r="L151" s="11" t="s">
        <v>4788</v>
      </c>
      <c r="M151" s="24" t="s">
        <v>340</v>
      </c>
      <c r="N151" s="11"/>
      <c r="O151" s="11"/>
      <c r="P151" s="11"/>
      <c r="Q151" s="44">
        <v>1</v>
      </c>
      <c r="R151" s="50">
        <f t="shared" si="4"/>
        <v>20</v>
      </c>
    </row>
    <row r="152" spans="1:18" x14ac:dyDescent="0.25">
      <c r="A152" s="11"/>
      <c r="B152" s="11" t="s">
        <v>27</v>
      </c>
      <c r="C152" s="11" t="s">
        <v>4880</v>
      </c>
      <c r="D152" s="11" t="s">
        <v>4881</v>
      </c>
      <c r="E152" s="11" t="s">
        <v>4882</v>
      </c>
      <c r="F152" s="11" t="s">
        <v>68</v>
      </c>
      <c r="G152" s="12">
        <v>635</v>
      </c>
      <c r="H152" s="12">
        <v>25</v>
      </c>
      <c r="I152" s="12">
        <f t="shared" si="3"/>
        <v>610</v>
      </c>
      <c r="J152" s="11" t="s">
        <v>33</v>
      </c>
      <c r="K152" s="11" t="s">
        <v>33</v>
      </c>
      <c r="L152" s="11" t="s">
        <v>4788</v>
      </c>
      <c r="M152" s="11"/>
      <c r="N152" s="11"/>
      <c r="O152" s="11"/>
      <c r="P152" s="11"/>
      <c r="Q152" s="44">
        <v>1</v>
      </c>
      <c r="R152" s="49"/>
    </row>
    <row r="153" spans="1:18" x14ac:dyDescent="0.25">
      <c r="A153" s="11"/>
      <c r="B153" s="11" t="s">
        <v>27</v>
      </c>
      <c r="C153" s="11" t="s">
        <v>4891</v>
      </c>
      <c r="D153" s="11" t="s">
        <v>4892</v>
      </c>
      <c r="E153" s="11" t="s">
        <v>4893</v>
      </c>
      <c r="F153" s="11" t="s">
        <v>78</v>
      </c>
      <c r="G153" s="12">
        <v>610</v>
      </c>
      <c r="H153" s="12">
        <v>20</v>
      </c>
      <c r="I153" s="12">
        <f t="shared" si="3"/>
        <v>590</v>
      </c>
      <c r="J153" s="11" t="s">
        <v>33</v>
      </c>
      <c r="K153" s="11" t="s">
        <v>33</v>
      </c>
      <c r="L153" s="11" t="s">
        <v>4788</v>
      </c>
      <c r="M153" s="11"/>
      <c r="N153" s="11"/>
      <c r="O153" s="11"/>
      <c r="P153" s="11"/>
      <c r="Q153" s="44">
        <v>1</v>
      </c>
      <c r="R153" s="49"/>
    </row>
    <row r="154" spans="1:18" x14ac:dyDescent="0.25">
      <c r="A154" s="11"/>
      <c r="B154" s="11" t="s">
        <v>27</v>
      </c>
      <c r="C154" s="11" t="s">
        <v>4894</v>
      </c>
      <c r="D154" s="11" t="s">
        <v>4895</v>
      </c>
      <c r="E154" s="11" t="s">
        <v>4896</v>
      </c>
      <c r="F154" s="12">
        <v>2</v>
      </c>
      <c r="G154" s="12">
        <v>0</v>
      </c>
      <c r="H154" s="12">
        <v>30</v>
      </c>
      <c r="I154" s="12">
        <f t="shared" si="3"/>
        <v>-30</v>
      </c>
      <c r="J154" s="11" t="s">
        <v>33</v>
      </c>
      <c r="K154" s="11" t="s">
        <v>33</v>
      </c>
      <c r="L154" s="11" t="s">
        <v>4788</v>
      </c>
      <c r="M154" s="11"/>
      <c r="N154" s="11"/>
      <c r="O154" s="11"/>
      <c r="P154" s="11"/>
      <c r="Q154" s="44">
        <v>1</v>
      </c>
      <c r="R154" s="50">
        <f>H154</f>
        <v>30</v>
      </c>
    </row>
    <row r="155" spans="1:18" x14ac:dyDescent="0.25">
      <c r="A155" s="11"/>
      <c r="B155" s="11" t="s">
        <v>27</v>
      </c>
      <c r="C155" s="11" t="s">
        <v>4903</v>
      </c>
      <c r="D155" s="11" t="s">
        <v>4904</v>
      </c>
      <c r="E155" s="11" t="s">
        <v>4905</v>
      </c>
      <c r="F155" s="11" t="s">
        <v>78</v>
      </c>
      <c r="G155" s="12">
        <v>1790</v>
      </c>
      <c r="H155" s="12">
        <v>20</v>
      </c>
      <c r="I155" s="12">
        <f t="shared" si="3"/>
        <v>1770</v>
      </c>
      <c r="J155" s="11" t="s">
        <v>33</v>
      </c>
      <c r="K155" s="11" t="s">
        <v>33</v>
      </c>
      <c r="L155" s="11" t="s">
        <v>4788</v>
      </c>
      <c r="M155" s="11"/>
      <c r="N155" s="11"/>
      <c r="O155" s="11"/>
      <c r="P155" s="11"/>
      <c r="Q155" s="44">
        <v>1</v>
      </c>
      <c r="R155" s="49"/>
    </row>
    <row r="156" spans="1:18" x14ac:dyDescent="0.25">
      <c r="A156" s="11"/>
      <c r="B156" s="11" t="s">
        <v>27</v>
      </c>
      <c r="C156" s="11" t="s">
        <v>4909</v>
      </c>
      <c r="D156" s="11" t="s">
        <v>4910</v>
      </c>
      <c r="E156" s="11" t="s">
        <v>4911</v>
      </c>
      <c r="F156" s="11" t="s">
        <v>78</v>
      </c>
      <c r="G156" s="12">
        <v>370</v>
      </c>
      <c r="H156" s="12">
        <v>20</v>
      </c>
      <c r="I156" s="12">
        <f t="shared" si="3"/>
        <v>350</v>
      </c>
      <c r="J156" s="11" t="s">
        <v>33</v>
      </c>
      <c r="K156" s="11" t="s">
        <v>33</v>
      </c>
      <c r="L156" s="11" t="s">
        <v>4788</v>
      </c>
      <c r="M156" s="11"/>
      <c r="N156" s="11"/>
      <c r="O156" s="11"/>
      <c r="P156" s="11"/>
      <c r="Q156" s="44">
        <v>1</v>
      </c>
      <c r="R156" s="49"/>
    </row>
    <row r="157" spans="1:18" x14ac:dyDescent="0.25">
      <c r="A157" s="11"/>
      <c r="B157" s="11" t="s">
        <v>27</v>
      </c>
      <c r="C157" s="11" t="s">
        <v>4912</v>
      </c>
      <c r="D157" s="11" t="s">
        <v>4913</v>
      </c>
      <c r="E157" s="11" t="s">
        <v>4914</v>
      </c>
      <c r="F157" s="11" t="s">
        <v>78</v>
      </c>
      <c r="G157" s="12">
        <v>370</v>
      </c>
      <c r="H157" s="12">
        <v>20</v>
      </c>
      <c r="I157" s="12">
        <f t="shared" si="3"/>
        <v>350</v>
      </c>
      <c r="J157" s="11" t="s">
        <v>33</v>
      </c>
      <c r="K157" s="11" t="s">
        <v>33</v>
      </c>
      <c r="L157" s="11" t="s">
        <v>4788</v>
      </c>
      <c r="M157" s="11"/>
      <c r="N157" s="11"/>
      <c r="O157" s="11"/>
      <c r="P157" s="11"/>
      <c r="Q157" s="44">
        <v>1</v>
      </c>
      <c r="R157" s="49"/>
    </row>
    <row r="158" spans="1:18" x14ac:dyDescent="0.25">
      <c r="A158" s="11"/>
      <c r="B158" s="11" t="s">
        <v>27</v>
      </c>
      <c r="C158" s="11" t="s">
        <v>4919</v>
      </c>
      <c r="D158" s="11" t="s">
        <v>4920</v>
      </c>
      <c r="E158" s="11" t="s">
        <v>4921</v>
      </c>
      <c r="F158" s="11" t="s">
        <v>68</v>
      </c>
      <c r="G158" s="12">
        <v>615</v>
      </c>
      <c r="H158" s="12">
        <v>25</v>
      </c>
      <c r="I158" s="12">
        <f t="shared" si="3"/>
        <v>590</v>
      </c>
      <c r="J158" s="11" t="s">
        <v>33</v>
      </c>
      <c r="K158" s="11" t="s">
        <v>33</v>
      </c>
      <c r="L158" s="11" t="s">
        <v>4788</v>
      </c>
      <c r="M158" s="11"/>
      <c r="N158" s="11"/>
      <c r="O158" s="11"/>
      <c r="P158" s="11"/>
      <c r="Q158" s="44">
        <v>1</v>
      </c>
      <c r="R158" s="49"/>
    </row>
    <row r="159" spans="1:18" x14ac:dyDescent="0.25">
      <c r="A159" s="11"/>
      <c r="B159" s="11" t="s">
        <v>27</v>
      </c>
      <c r="C159" s="11" t="s">
        <v>4925</v>
      </c>
      <c r="D159" s="11" t="s">
        <v>4926</v>
      </c>
      <c r="E159" s="11" t="s">
        <v>4927</v>
      </c>
      <c r="F159" s="11" t="s">
        <v>78</v>
      </c>
      <c r="G159" s="12">
        <v>340</v>
      </c>
      <c r="H159" s="12">
        <v>20</v>
      </c>
      <c r="I159" s="12">
        <f t="shared" si="3"/>
        <v>320</v>
      </c>
      <c r="J159" s="11" t="s">
        <v>33</v>
      </c>
      <c r="K159" s="11" t="s">
        <v>33</v>
      </c>
      <c r="L159" s="11" t="s">
        <v>4788</v>
      </c>
      <c r="M159" s="11"/>
      <c r="N159" s="11"/>
      <c r="O159" s="11"/>
      <c r="P159" s="11"/>
      <c r="Q159" s="44">
        <v>1</v>
      </c>
      <c r="R159" s="49"/>
    </row>
    <row r="160" spans="1:18" x14ac:dyDescent="0.25">
      <c r="A160" s="11"/>
      <c r="B160" s="11" t="s">
        <v>27</v>
      </c>
      <c r="C160" s="11" t="s">
        <v>4928</v>
      </c>
      <c r="D160" s="11" t="s">
        <v>4929</v>
      </c>
      <c r="E160" s="11" t="s">
        <v>4930</v>
      </c>
      <c r="F160" s="11" t="s">
        <v>78</v>
      </c>
      <c r="G160" s="12">
        <v>640</v>
      </c>
      <c r="H160" s="12">
        <v>20</v>
      </c>
      <c r="I160" s="12">
        <f t="shared" si="3"/>
        <v>620</v>
      </c>
      <c r="J160" s="11" t="s">
        <v>33</v>
      </c>
      <c r="K160" s="11" t="s">
        <v>33</v>
      </c>
      <c r="L160" s="11" t="s">
        <v>4788</v>
      </c>
      <c r="M160" s="11"/>
      <c r="N160" s="11"/>
      <c r="O160" s="11"/>
      <c r="P160" s="11"/>
      <c r="Q160" s="44">
        <v>1</v>
      </c>
      <c r="R160" s="49"/>
    </row>
    <row r="161" spans="1:18" x14ac:dyDescent="0.25">
      <c r="A161" s="11"/>
      <c r="B161" s="11" t="s">
        <v>27</v>
      </c>
      <c r="C161" s="11" t="s">
        <v>2911</v>
      </c>
      <c r="D161" s="11" t="s">
        <v>4966</v>
      </c>
      <c r="E161" s="11" t="s">
        <v>2913</v>
      </c>
      <c r="F161" s="11" t="s">
        <v>68</v>
      </c>
      <c r="G161" s="12">
        <v>1955</v>
      </c>
      <c r="H161" s="12">
        <v>25</v>
      </c>
      <c r="I161" s="12">
        <f t="shared" si="3"/>
        <v>1930</v>
      </c>
      <c r="J161" s="11" t="s">
        <v>33</v>
      </c>
      <c r="K161" s="11" t="s">
        <v>33</v>
      </c>
      <c r="L161" s="11" t="s">
        <v>4788</v>
      </c>
      <c r="M161" s="11"/>
      <c r="N161" s="11"/>
      <c r="O161" s="11"/>
      <c r="P161" s="11"/>
      <c r="Q161" s="44">
        <v>1</v>
      </c>
      <c r="R161" s="49"/>
    </row>
    <row r="162" spans="1:18" x14ac:dyDescent="0.25">
      <c r="A162" s="11"/>
      <c r="B162" s="11" t="s">
        <v>27</v>
      </c>
      <c r="C162" s="11" t="s">
        <v>4503</v>
      </c>
      <c r="D162" s="11" t="s">
        <v>4981</v>
      </c>
      <c r="E162" s="11" t="s">
        <v>4505</v>
      </c>
      <c r="F162" s="11" t="s">
        <v>78</v>
      </c>
      <c r="G162" s="12">
        <v>410</v>
      </c>
      <c r="H162" s="12">
        <v>20</v>
      </c>
      <c r="I162" s="12">
        <f t="shared" si="3"/>
        <v>390</v>
      </c>
      <c r="J162" s="11" t="s">
        <v>33</v>
      </c>
      <c r="K162" s="11" t="s">
        <v>33</v>
      </c>
      <c r="L162" s="11" t="s">
        <v>4788</v>
      </c>
      <c r="M162" s="11"/>
      <c r="N162" s="11"/>
      <c r="O162" s="11"/>
      <c r="P162" s="11"/>
      <c r="Q162" s="44">
        <v>1</v>
      </c>
      <c r="R162" s="49"/>
    </row>
    <row r="163" spans="1:18" x14ac:dyDescent="0.25">
      <c r="A163" s="11"/>
      <c r="B163" s="11" t="s">
        <v>27</v>
      </c>
      <c r="C163" s="11" t="s">
        <v>4993</v>
      </c>
      <c r="D163" s="11" t="s">
        <v>4994</v>
      </c>
      <c r="E163" s="11" t="s">
        <v>4995</v>
      </c>
      <c r="F163" s="12">
        <v>2</v>
      </c>
      <c r="G163" s="12">
        <v>640</v>
      </c>
      <c r="H163" s="12">
        <v>30</v>
      </c>
      <c r="I163" s="12">
        <f t="shared" si="3"/>
        <v>610</v>
      </c>
      <c r="J163" s="11" t="s">
        <v>33</v>
      </c>
      <c r="K163" s="11" t="s">
        <v>33</v>
      </c>
      <c r="L163" s="11" t="s">
        <v>4788</v>
      </c>
      <c r="M163" s="11"/>
      <c r="N163" s="11"/>
      <c r="O163" s="11"/>
      <c r="P163" s="11"/>
      <c r="Q163" s="44">
        <v>1</v>
      </c>
      <c r="R163" s="49"/>
    </row>
    <row r="164" spans="1:18" x14ac:dyDescent="0.25">
      <c r="A164" s="11"/>
      <c r="B164" s="11" t="s">
        <v>27</v>
      </c>
      <c r="C164" s="11" t="s">
        <v>4010</v>
      </c>
      <c r="D164" s="11" t="s">
        <v>4996</v>
      </c>
      <c r="E164" s="11" t="s">
        <v>4997</v>
      </c>
      <c r="F164" s="11" t="s">
        <v>68</v>
      </c>
      <c r="G164" s="12">
        <v>725</v>
      </c>
      <c r="H164" s="12">
        <v>25</v>
      </c>
      <c r="I164" s="12">
        <f t="shared" si="3"/>
        <v>700</v>
      </c>
      <c r="J164" s="11" t="s">
        <v>33</v>
      </c>
      <c r="K164" s="11" t="s">
        <v>33</v>
      </c>
      <c r="L164" s="11" t="s">
        <v>4788</v>
      </c>
      <c r="M164" s="11"/>
      <c r="N164" s="11"/>
      <c r="O164" s="11"/>
      <c r="P164" s="11"/>
      <c r="Q164" s="44">
        <v>1</v>
      </c>
      <c r="R164" s="49"/>
    </row>
    <row r="165" spans="1:18" x14ac:dyDescent="0.25">
      <c r="A165" s="11"/>
      <c r="B165" s="11" t="s">
        <v>27</v>
      </c>
      <c r="C165" s="11" t="s">
        <v>2941</v>
      </c>
      <c r="D165" s="11" t="s">
        <v>5004</v>
      </c>
      <c r="E165" s="11" t="s">
        <v>4764</v>
      </c>
      <c r="F165" s="11" t="s">
        <v>78</v>
      </c>
      <c r="G165" s="12">
        <v>610</v>
      </c>
      <c r="H165" s="12">
        <v>20</v>
      </c>
      <c r="I165" s="12">
        <f t="shared" si="3"/>
        <v>590</v>
      </c>
      <c r="J165" s="11" t="s">
        <v>33</v>
      </c>
      <c r="K165" s="11" t="s">
        <v>33</v>
      </c>
      <c r="L165" s="11" t="s">
        <v>4788</v>
      </c>
      <c r="M165" s="11"/>
      <c r="N165" s="11"/>
      <c r="O165" s="11"/>
      <c r="P165" s="11"/>
      <c r="Q165" s="44">
        <v>1</v>
      </c>
      <c r="R165" s="49"/>
    </row>
    <row r="166" spans="1:18" x14ac:dyDescent="0.25">
      <c r="A166" s="11"/>
      <c r="B166" s="11" t="s">
        <v>27</v>
      </c>
      <c r="C166" s="11" t="s">
        <v>5008</v>
      </c>
      <c r="D166" s="11" t="s">
        <v>5009</v>
      </c>
      <c r="E166" s="11" t="s">
        <v>5010</v>
      </c>
      <c r="F166" s="12">
        <v>2</v>
      </c>
      <c r="G166" s="12">
        <v>600</v>
      </c>
      <c r="H166" s="12">
        <v>30</v>
      </c>
      <c r="I166" s="12">
        <f t="shared" si="3"/>
        <v>570</v>
      </c>
      <c r="J166" s="11" t="s">
        <v>33</v>
      </c>
      <c r="K166" s="11" t="s">
        <v>33</v>
      </c>
      <c r="L166" s="11" t="s">
        <v>4788</v>
      </c>
      <c r="M166" s="11"/>
      <c r="N166" s="11"/>
      <c r="O166" s="11"/>
      <c r="P166" s="11"/>
      <c r="Q166" s="44">
        <v>1</v>
      </c>
      <c r="R166" s="49"/>
    </row>
    <row r="167" spans="1:18" x14ac:dyDescent="0.25">
      <c r="A167" s="11"/>
      <c r="B167" s="11" t="s">
        <v>27</v>
      </c>
      <c r="C167" s="11" t="s">
        <v>5016</v>
      </c>
      <c r="D167" s="11" t="s">
        <v>5017</v>
      </c>
      <c r="E167" s="11" t="s">
        <v>5018</v>
      </c>
      <c r="F167" s="11" t="s">
        <v>78</v>
      </c>
      <c r="G167" s="12">
        <v>1058</v>
      </c>
      <c r="H167" s="12">
        <v>20</v>
      </c>
      <c r="I167" s="12">
        <f t="shared" si="3"/>
        <v>1038</v>
      </c>
      <c r="J167" s="11" t="s">
        <v>33</v>
      </c>
      <c r="K167" s="11" t="s">
        <v>33</v>
      </c>
      <c r="L167" s="11" t="s">
        <v>4788</v>
      </c>
      <c r="M167" s="24" t="s">
        <v>340</v>
      </c>
      <c r="N167" s="11"/>
      <c r="O167" s="11"/>
      <c r="P167" s="11"/>
      <c r="Q167" s="44">
        <v>1</v>
      </c>
      <c r="R167" s="50">
        <f>H167</f>
        <v>20</v>
      </c>
    </row>
    <row r="168" spans="1:18" x14ac:dyDescent="0.25">
      <c r="A168" s="11"/>
      <c r="B168" s="11" t="s">
        <v>27</v>
      </c>
      <c r="C168" s="11" t="s">
        <v>5045</v>
      </c>
      <c r="D168" s="11" t="s">
        <v>5046</v>
      </c>
      <c r="E168" s="11" t="s">
        <v>5047</v>
      </c>
      <c r="F168" s="11" t="s">
        <v>78</v>
      </c>
      <c r="G168" s="12">
        <v>220</v>
      </c>
      <c r="H168" s="12">
        <v>20</v>
      </c>
      <c r="I168" s="12">
        <f t="shared" si="3"/>
        <v>200</v>
      </c>
      <c r="J168" s="11" t="s">
        <v>33</v>
      </c>
      <c r="K168" s="11" t="s">
        <v>33</v>
      </c>
      <c r="L168" s="11" t="s">
        <v>4788</v>
      </c>
      <c r="M168" s="11"/>
      <c r="N168" s="11"/>
      <c r="O168" s="11"/>
      <c r="P168" s="11"/>
      <c r="Q168" s="44">
        <v>1</v>
      </c>
      <c r="R168" s="49"/>
    </row>
    <row r="169" spans="1:18" x14ac:dyDescent="0.25">
      <c r="A169" s="11"/>
      <c r="B169" s="11" t="s">
        <v>27</v>
      </c>
      <c r="C169" s="11" t="s">
        <v>1235</v>
      </c>
      <c r="D169" s="11" t="s">
        <v>5065</v>
      </c>
      <c r="E169" s="11" t="s">
        <v>1237</v>
      </c>
      <c r="F169" s="12">
        <v>2</v>
      </c>
      <c r="G169" s="12">
        <v>800</v>
      </c>
      <c r="H169" s="12">
        <v>30</v>
      </c>
      <c r="I169" s="12">
        <f t="shared" si="3"/>
        <v>770</v>
      </c>
      <c r="J169" s="11" t="s">
        <v>33</v>
      </c>
      <c r="K169" s="11" t="s">
        <v>33</v>
      </c>
      <c r="L169" s="11" t="s">
        <v>4788</v>
      </c>
      <c r="M169" s="11"/>
      <c r="N169" s="11"/>
      <c r="O169" s="11"/>
      <c r="P169" s="11"/>
      <c r="Q169" s="44">
        <v>1</v>
      </c>
      <c r="R169" s="49"/>
    </row>
    <row r="170" spans="1:18" x14ac:dyDescent="0.25">
      <c r="A170" s="11"/>
      <c r="B170" s="11" t="s">
        <v>27</v>
      </c>
      <c r="C170" s="11" t="s">
        <v>5073</v>
      </c>
      <c r="D170" s="11" t="s">
        <v>5074</v>
      </c>
      <c r="E170" s="11" t="s">
        <v>5075</v>
      </c>
      <c r="F170" s="11" t="s">
        <v>78</v>
      </c>
      <c r="G170" s="12">
        <v>1620</v>
      </c>
      <c r="H170" s="12">
        <v>20</v>
      </c>
      <c r="I170" s="12">
        <f t="shared" si="3"/>
        <v>1600</v>
      </c>
      <c r="J170" s="11" t="s">
        <v>33</v>
      </c>
      <c r="K170" s="11" t="s">
        <v>33</v>
      </c>
      <c r="L170" s="11" t="s">
        <v>4788</v>
      </c>
      <c r="M170" s="11"/>
      <c r="N170" s="11"/>
      <c r="O170" s="11"/>
      <c r="P170" s="11"/>
      <c r="Q170" s="44">
        <v>1</v>
      </c>
      <c r="R170" s="49"/>
    </row>
    <row r="171" spans="1:18" x14ac:dyDescent="0.25">
      <c r="A171" s="11"/>
      <c r="B171" s="11" t="s">
        <v>27</v>
      </c>
      <c r="C171" s="11" t="s">
        <v>5079</v>
      </c>
      <c r="D171" s="11" t="s">
        <v>5080</v>
      </c>
      <c r="E171" s="11" t="s">
        <v>5081</v>
      </c>
      <c r="F171" s="11" t="s">
        <v>78</v>
      </c>
      <c r="G171" s="12">
        <v>368</v>
      </c>
      <c r="H171" s="12">
        <v>20</v>
      </c>
      <c r="I171" s="12">
        <f t="shared" si="3"/>
        <v>348</v>
      </c>
      <c r="J171" s="11" t="s">
        <v>33</v>
      </c>
      <c r="K171" s="11" t="s">
        <v>33</v>
      </c>
      <c r="L171" s="11" t="s">
        <v>4788</v>
      </c>
      <c r="M171" s="24" t="s">
        <v>340</v>
      </c>
      <c r="N171" s="11"/>
      <c r="O171" s="11"/>
      <c r="P171" s="11"/>
      <c r="Q171" s="44">
        <v>1</v>
      </c>
      <c r="R171" s="50">
        <f>H171</f>
        <v>20</v>
      </c>
    </row>
    <row r="172" spans="1:18" x14ac:dyDescent="0.25">
      <c r="A172" s="11"/>
      <c r="B172" s="11" t="s">
        <v>27</v>
      </c>
      <c r="C172" s="11" t="s">
        <v>5085</v>
      </c>
      <c r="D172" s="11" t="s">
        <v>5086</v>
      </c>
      <c r="E172" s="11" t="s">
        <v>5087</v>
      </c>
      <c r="F172" s="11" t="s">
        <v>78</v>
      </c>
      <c r="G172" s="12">
        <v>340</v>
      </c>
      <c r="H172" s="12">
        <v>20</v>
      </c>
      <c r="I172" s="12">
        <f t="shared" si="3"/>
        <v>320</v>
      </c>
      <c r="J172" s="11" t="s">
        <v>33</v>
      </c>
      <c r="K172" s="11" t="s">
        <v>33</v>
      </c>
      <c r="L172" s="11" t="s">
        <v>4788</v>
      </c>
      <c r="M172" s="11"/>
      <c r="N172" s="11"/>
      <c r="O172" s="11"/>
      <c r="P172" s="11"/>
      <c r="Q172" s="44">
        <v>1</v>
      </c>
      <c r="R172" s="49"/>
    </row>
    <row r="173" spans="1:18" x14ac:dyDescent="0.25">
      <c r="A173" s="11"/>
      <c r="B173" s="11" t="s">
        <v>27</v>
      </c>
      <c r="C173" s="11" t="s">
        <v>5088</v>
      </c>
      <c r="D173" s="11" t="s">
        <v>5089</v>
      </c>
      <c r="E173" s="11" t="s">
        <v>4357</v>
      </c>
      <c r="F173" s="12">
        <v>2</v>
      </c>
      <c r="G173" s="12">
        <v>1800</v>
      </c>
      <c r="H173" s="12">
        <v>30</v>
      </c>
      <c r="I173" s="12">
        <f t="shared" si="3"/>
        <v>1770</v>
      </c>
      <c r="J173" s="11" t="s">
        <v>33</v>
      </c>
      <c r="K173" s="11" t="s">
        <v>33</v>
      </c>
      <c r="L173" s="11" t="s">
        <v>4788</v>
      </c>
      <c r="M173" s="11"/>
      <c r="N173" s="11"/>
      <c r="O173" s="11"/>
      <c r="P173" s="11"/>
      <c r="Q173" s="44">
        <v>1</v>
      </c>
      <c r="R173" s="49"/>
    </row>
    <row r="174" spans="1:18" x14ac:dyDescent="0.25">
      <c r="A174" s="11"/>
      <c r="B174" s="11" t="s">
        <v>27</v>
      </c>
      <c r="C174" s="11" t="s">
        <v>4388</v>
      </c>
      <c r="D174" s="11" t="s">
        <v>5122</v>
      </c>
      <c r="E174" s="11" t="s">
        <v>4390</v>
      </c>
      <c r="F174" s="11" t="s">
        <v>68</v>
      </c>
      <c r="G174" s="12">
        <v>1668</v>
      </c>
      <c r="H174" s="12">
        <v>25</v>
      </c>
      <c r="I174" s="12">
        <f t="shared" si="3"/>
        <v>1643</v>
      </c>
      <c r="J174" s="11" t="s">
        <v>33</v>
      </c>
      <c r="K174" s="11" t="s">
        <v>33</v>
      </c>
      <c r="L174" s="11" t="s">
        <v>4788</v>
      </c>
      <c r="M174" s="24" t="s">
        <v>340</v>
      </c>
      <c r="N174" s="11"/>
      <c r="O174" s="11"/>
      <c r="P174" s="11"/>
      <c r="Q174" s="44">
        <v>1</v>
      </c>
      <c r="R174" s="50">
        <f>H174</f>
        <v>25</v>
      </c>
    </row>
    <row r="175" spans="1:18" x14ac:dyDescent="0.25">
      <c r="A175" s="11"/>
      <c r="B175" s="11" t="s">
        <v>27</v>
      </c>
      <c r="C175" s="11" t="s">
        <v>4499</v>
      </c>
      <c r="D175" s="11" t="s">
        <v>5123</v>
      </c>
      <c r="E175" s="11" t="s">
        <v>4501</v>
      </c>
      <c r="F175" s="11" t="s">
        <v>68</v>
      </c>
      <c r="G175" s="12">
        <v>665</v>
      </c>
      <c r="H175" s="12">
        <v>25</v>
      </c>
      <c r="I175" s="12">
        <f t="shared" si="3"/>
        <v>640</v>
      </c>
      <c r="J175" s="11" t="s">
        <v>33</v>
      </c>
      <c r="K175" s="11" t="s">
        <v>33</v>
      </c>
      <c r="L175" s="11" t="s">
        <v>4788</v>
      </c>
      <c r="M175" s="11"/>
      <c r="N175" s="11"/>
      <c r="O175" s="11"/>
      <c r="P175" s="11"/>
      <c r="Q175" s="44">
        <v>1</v>
      </c>
      <c r="R175" s="49"/>
    </row>
    <row r="176" spans="1:18" x14ac:dyDescent="0.25">
      <c r="A176" s="11"/>
      <c r="B176" s="11" t="s">
        <v>27</v>
      </c>
      <c r="C176" s="11" t="s">
        <v>5124</v>
      </c>
      <c r="D176" s="11" t="s">
        <v>5125</v>
      </c>
      <c r="E176" s="11" t="s">
        <v>5126</v>
      </c>
      <c r="F176" s="11" t="s">
        <v>68</v>
      </c>
      <c r="G176" s="12">
        <v>0</v>
      </c>
      <c r="H176" s="12">
        <v>25</v>
      </c>
      <c r="I176" s="12">
        <f t="shared" si="3"/>
        <v>-25</v>
      </c>
      <c r="J176" s="11" t="s">
        <v>33</v>
      </c>
      <c r="K176" s="11" t="s">
        <v>33</v>
      </c>
      <c r="L176" s="11" t="s">
        <v>4788</v>
      </c>
      <c r="M176" s="24" t="s">
        <v>5127</v>
      </c>
      <c r="N176" s="11"/>
      <c r="O176" s="11"/>
      <c r="P176" s="11"/>
      <c r="Q176" s="44">
        <v>1</v>
      </c>
      <c r="R176" s="50">
        <f>H176</f>
        <v>25</v>
      </c>
    </row>
    <row r="177" spans="1:18" x14ac:dyDescent="0.25">
      <c r="A177" s="11"/>
      <c r="B177" s="11" t="s">
        <v>27</v>
      </c>
      <c r="C177" s="11" t="s">
        <v>5134</v>
      </c>
      <c r="D177" s="11" t="s">
        <v>5135</v>
      </c>
      <c r="E177" s="11" t="s">
        <v>5136</v>
      </c>
      <c r="F177" s="12">
        <v>2</v>
      </c>
      <c r="G177" s="12">
        <v>910</v>
      </c>
      <c r="H177" s="12">
        <v>30</v>
      </c>
      <c r="I177" s="12">
        <f t="shared" si="3"/>
        <v>880</v>
      </c>
      <c r="J177" s="11" t="s">
        <v>33</v>
      </c>
      <c r="K177" s="11" t="s">
        <v>33</v>
      </c>
      <c r="L177" s="11" t="s">
        <v>4788</v>
      </c>
      <c r="M177" s="11"/>
      <c r="N177" s="11"/>
      <c r="O177" s="11"/>
      <c r="P177" s="11"/>
      <c r="Q177" s="44">
        <v>1</v>
      </c>
      <c r="R177" s="49"/>
    </row>
    <row r="178" spans="1:18" x14ac:dyDescent="0.25">
      <c r="A178" s="11"/>
      <c r="B178" s="11" t="s">
        <v>27</v>
      </c>
      <c r="C178" s="11" t="s">
        <v>4083</v>
      </c>
      <c r="D178" s="11" t="s">
        <v>5140</v>
      </c>
      <c r="E178" s="11" t="s">
        <v>2280</v>
      </c>
      <c r="F178" s="11" t="s">
        <v>68</v>
      </c>
      <c r="G178" s="12">
        <v>588</v>
      </c>
      <c r="H178" s="12">
        <v>25</v>
      </c>
      <c r="I178" s="12">
        <f t="shared" si="3"/>
        <v>563</v>
      </c>
      <c r="J178" s="11" t="s">
        <v>33</v>
      </c>
      <c r="K178" s="11" t="s">
        <v>33</v>
      </c>
      <c r="L178" s="11" t="s">
        <v>4788</v>
      </c>
      <c r="M178" s="24" t="s">
        <v>340</v>
      </c>
      <c r="N178" s="11"/>
      <c r="O178" s="11"/>
      <c r="P178" s="11"/>
      <c r="Q178" s="44">
        <v>1</v>
      </c>
      <c r="R178" s="50">
        <f>H178</f>
        <v>25</v>
      </c>
    </row>
    <row r="179" spans="1:18" x14ac:dyDescent="0.25">
      <c r="A179" s="11"/>
      <c r="B179" s="11" t="s">
        <v>27</v>
      </c>
      <c r="C179" s="11" t="s">
        <v>5155</v>
      </c>
      <c r="D179" s="11" t="s">
        <v>5156</v>
      </c>
      <c r="E179" s="11" t="s">
        <v>5157</v>
      </c>
      <c r="F179" s="11" t="s">
        <v>68</v>
      </c>
      <c r="G179" s="12">
        <v>305</v>
      </c>
      <c r="H179" s="12">
        <v>25</v>
      </c>
      <c r="I179" s="12">
        <f t="shared" si="3"/>
        <v>280</v>
      </c>
      <c r="J179" s="11" t="s">
        <v>33</v>
      </c>
      <c r="K179" s="11" t="s">
        <v>33</v>
      </c>
      <c r="L179" s="11" t="s">
        <v>4788</v>
      </c>
      <c r="M179" s="11"/>
      <c r="N179" s="11"/>
      <c r="O179" s="11"/>
      <c r="P179" s="11"/>
      <c r="Q179" s="44">
        <v>1</v>
      </c>
      <c r="R179" s="49"/>
    </row>
    <row r="180" spans="1:18" x14ac:dyDescent="0.25">
      <c r="A180" s="11"/>
      <c r="B180" s="11" t="s">
        <v>27</v>
      </c>
      <c r="C180" s="11" t="s">
        <v>4189</v>
      </c>
      <c r="D180" s="11" t="s">
        <v>5158</v>
      </c>
      <c r="E180" s="11" t="s">
        <v>5159</v>
      </c>
      <c r="F180" s="11" t="s">
        <v>78</v>
      </c>
      <c r="G180" s="12">
        <v>1650</v>
      </c>
      <c r="H180" s="12">
        <v>20</v>
      </c>
      <c r="I180" s="12">
        <f t="shared" si="3"/>
        <v>1630</v>
      </c>
      <c r="J180" s="11" t="s">
        <v>33</v>
      </c>
      <c r="K180" s="11" t="s">
        <v>33</v>
      </c>
      <c r="L180" s="11" t="s">
        <v>4788</v>
      </c>
      <c r="M180" s="11"/>
      <c r="N180" s="11"/>
      <c r="O180" s="11"/>
      <c r="P180" s="11"/>
      <c r="Q180" s="44">
        <v>1</v>
      </c>
      <c r="R180" s="49"/>
    </row>
    <row r="181" spans="1:18" x14ac:dyDescent="0.25">
      <c r="A181" s="11"/>
      <c r="B181" s="11" t="s">
        <v>27</v>
      </c>
      <c r="C181" s="11" t="s">
        <v>5160</v>
      </c>
      <c r="D181" s="11" t="s">
        <v>5161</v>
      </c>
      <c r="E181" s="11" t="s">
        <v>5162</v>
      </c>
      <c r="F181" s="12">
        <v>2</v>
      </c>
      <c r="G181" s="12">
        <v>988</v>
      </c>
      <c r="H181" s="12">
        <v>30</v>
      </c>
      <c r="I181" s="12">
        <f t="shared" si="3"/>
        <v>958</v>
      </c>
      <c r="J181" s="11" t="s">
        <v>33</v>
      </c>
      <c r="K181" s="11" t="s">
        <v>33</v>
      </c>
      <c r="L181" s="11" t="s">
        <v>4788</v>
      </c>
      <c r="M181" s="24" t="s">
        <v>340</v>
      </c>
      <c r="N181" s="11"/>
      <c r="O181" s="11"/>
      <c r="P181" s="11"/>
      <c r="Q181" s="44">
        <v>1</v>
      </c>
      <c r="R181" s="50">
        <f>H181</f>
        <v>30</v>
      </c>
    </row>
    <row r="182" spans="1:18" x14ac:dyDescent="0.25">
      <c r="A182" s="11"/>
      <c r="B182" s="11" t="s">
        <v>27</v>
      </c>
      <c r="C182" s="11" t="s">
        <v>5173</v>
      </c>
      <c r="D182" s="11" t="s">
        <v>5174</v>
      </c>
      <c r="E182" s="11" t="s">
        <v>5175</v>
      </c>
      <c r="F182" s="12">
        <v>2</v>
      </c>
      <c r="G182" s="12">
        <v>770</v>
      </c>
      <c r="H182" s="12">
        <v>30</v>
      </c>
      <c r="I182" s="12">
        <f t="shared" si="3"/>
        <v>740</v>
      </c>
      <c r="J182" s="11" t="s">
        <v>33</v>
      </c>
      <c r="K182" s="11" t="s">
        <v>33</v>
      </c>
      <c r="L182" s="11" t="s">
        <v>4788</v>
      </c>
      <c r="M182" s="24" t="s">
        <v>1217</v>
      </c>
      <c r="N182" s="11"/>
      <c r="O182" s="11"/>
      <c r="P182" s="11"/>
      <c r="Q182" s="44">
        <v>1</v>
      </c>
      <c r="R182" s="49"/>
    </row>
    <row r="183" spans="1:18" x14ac:dyDescent="0.25">
      <c r="A183" s="11"/>
      <c r="B183" s="11" t="s">
        <v>27</v>
      </c>
      <c r="C183" s="11" t="s">
        <v>5173</v>
      </c>
      <c r="D183" s="11" t="s">
        <v>5399</v>
      </c>
      <c r="E183" s="11" t="s">
        <v>5175</v>
      </c>
      <c r="F183" s="12">
        <v>2</v>
      </c>
      <c r="G183" s="12">
        <v>890</v>
      </c>
      <c r="H183" s="12">
        <v>0</v>
      </c>
      <c r="I183" s="12">
        <f t="shared" si="3"/>
        <v>890</v>
      </c>
      <c r="J183" s="11" t="s">
        <v>33</v>
      </c>
      <c r="K183" s="11" t="s">
        <v>33</v>
      </c>
      <c r="L183" s="11" t="s">
        <v>4788</v>
      </c>
      <c r="M183" s="24" t="s">
        <v>1217</v>
      </c>
      <c r="N183" s="11"/>
      <c r="O183" s="11"/>
      <c r="P183" s="11"/>
      <c r="Q183" s="44">
        <v>1</v>
      </c>
      <c r="R183" s="49"/>
    </row>
    <row r="184" spans="1:18" x14ac:dyDescent="0.25">
      <c r="A184" s="11"/>
      <c r="B184" s="11" t="s">
        <v>27</v>
      </c>
      <c r="C184" s="11" t="s">
        <v>5178</v>
      </c>
      <c r="D184" s="11" t="s">
        <v>5179</v>
      </c>
      <c r="E184" s="11" t="s">
        <v>5180</v>
      </c>
      <c r="F184" s="11" t="s">
        <v>78</v>
      </c>
      <c r="G184" s="12">
        <v>1528</v>
      </c>
      <c r="H184" s="12">
        <v>20</v>
      </c>
      <c r="I184" s="12">
        <f t="shared" si="3"/>
        <v>1508</v>
      </c>
      <c r="J184" s="11" t="s">
        <v>33</v>
      </c>
      <c r="K184" s="11" t="s">
        <v>33</v>
      </c>
      <c r="L184" s="11" t="s">
        <v>4788</v>
      </c>
      <c r="M184" s="24" t="s">
        <v>340</v>
      </c>
      <c r="N184" s="11"/>
      <c r="O184" s="11"/>
      <c r="P184" s="11"/>
      <c r="Q184" s="44">
        <v>1</v>
      </c>
      <c r="R184" s="50">
        <f>H184</f>
        <v>20</v>
      </c>
    </row>
    <row r="185" spans="1:18" x14ac:dyDescent="0.25">
      <c r="A185" s="11"/>
      <c r="B185" s="11" t="s">
        <v>27</v>
      </c>
      <c r="C185" s="11" t="s">
        <v>2136</v>
      </c>
      <c r="D185" s="11" t="s">
        <v>5187</v>
      </c>
      <c r="E185" s="11" t="s">
        <v>2138</v>
      </c>
      <c r="F185" s="11" t="s">
        <v>78</v>
      </c>
      <c r="G185" s="12">
        <v>580</v>
      </c>
      <c r="H185" s="12">
        <v>20</v>
      </c>
      <c r="I185" s="12">
        <f t="shared" si="3"/>
        <v>560</v>
      </c>
      <c r="J185" s="11" t="s">
        <v>33</v>
      </c>
      <c r="K185" s="11" t="s">
        <v>33</v>
      </c>
      <c r="L185" s="11" t="s">
        <v>4788</v>
      </c>
      <c r="M185" s="11"/>
      <c r="N185" s="11"/>
      <c r="O185" s="11"/>
      <c r="P185" s="11"/>
      <c r="Q185" s="44">
        <v>1</v>
      </c>
      <c r="R185" s="49"/>
    </row>
    <row r="186" spans="1:18" x14ac:dyDescent="0.25">
      <c r="A186" s="11"/>
      <c r="B186" s="11" t="s">
        <v>27</v>
      </c>
      <c r="C186" s="11" t="s">
        <v>3779</v>
      </c>
      <c r="D186" s="11" t="s">
        <v>5196</v>
      </c>
      <c r="E186" s="11" t="s">
        <v>5197</v>
      </c>
      <c r="F186" s="12">
        <v>2</v>
      </c>
      <c r="G186" s="12">
        <v>400</v>
      </c>
      <c r="H186" s="12">
        <v>30</v>
      </c>
      <c r="I186" s="12">
        <f t="shared" si="3"/>
        <v>370</v>
      </c>
      <c r="J186" s="11" t="s">
        <v>33</v>
      </c>
      <c r="K186" s="11" t="s">
        <v>33</v>
      </c>
      <c r="L186" s="11" t="s">
        <v>4788</v>
      </c>
      <c r="M186" s="11"/>
      <c r="N186" s="11"/>
      <c r="O186" s="11"/>
      <c r="P186" s="11"/>
      <c r="Q186" s="44">
        <v>1</v>
      </c>
      <c r="R186" s="49"/>
    </row>
    <row r="187" spans="1:18" x14ac:dyDescent="0.25">
      <c r="A187" s="11"/>
      <c r="B187" s="11" t="s">
        <v>27</v>
      </c>
      <c r="C187" s="11" t="s">
        <v>3599</v>
      </c>
      <c r="D187" s="11" t="s">
        <v>5216</v>
      </c>
      <c r="E187" s="11" t="s">
        <v>5217</v>
      </c>
      <c r="F187" s="11" t="s">
        <v>78</v>
      </c>
      <c r="G187" s="12">
        <v>540</v>
      </c>
      <c r="H187" s="12">
        <v>20</v>
      </c>
      <c r="I187" s="12">
        <f t="shared" si="3"/>
        <v>520</v>
      </c>
      <c r="J187" s="11" t="s">
        <v>33</v>
      </c>
      <c r="K187" s="11" t="s">
        <v>33</v>
      </c>
      <c r="L187" s="11" t="s">
        <v>4788</v>
      </c>
      <c r="M187" s="11"/>
      <c r="N187" s="11"/>
      <c r="O187" s="11"/>
      <c r="P187" s="11"/>
      <c r="Q187" s="44">
        <v>1</v>
      </c>
      <c r="R187" s="49"/>
    </row>
    <row r="188" spans="1:18" x14ac:dyDescent="0.25">
      <c r="A188" s="11"/>
      <c r="B188" s="11" t="s">
        <v>27</v>
      </c>
      <c r="C188" s="11" t="s">
        <v>5224</v>
      </c>
      <c r="D188" s="11" t="s">
        <v>5225</v>
      </c>
      <c r="E188" s="11" t="s">
        <v>5226</v>
      </c>
      <c r="F188" s="11" t="s">
        <v>68</v>
      </c>
      <c r="G188" s="12">
        <v>365</v>
      </c>
      <c r="H188" s="12">
        <v>25</v>
      </c>
      <c r="I188" s="12">
        <f t="shared" si="3"/>
        <v>340</v>
      </c>
      <c r="J188" s="11" t="s">
        <v>33</v>
      </c>
      <c r="K188" s="11" t="s">
        <v>33</v>
      </c>
      <c r="L188" s="11" t="s">
        <v>4788</v>
      </c>
      <c r="M188" s="11"/>
      <c r="N188" s="11"/>
      <c r="O188" s="11"/>
      <c r="P188" s="11"/>
      <c r="Q188" s="44">
        <v>1</v>
      </c>
      <c r="R188" s="49"/>
    </row>
    <row r="189" spans="1:18" x14ac:dyDescent="0.25">
      <c r="A189" s="11"/>
      <c r="B189" s="11" t="s">
        <v>27</v>
      </c>
      <c r="C189" s="11" t="s">
        <v>5227</v>
      </c>
      <c r="D189" s="11" t="s">
        <v>5228</v>
      </c>
      <c r="E189" s="11" t="s">
        <v>5229</v>
      </c>
      <c r="F189" s="12">
        <v>2</v>
      </c>
      <c r="G189" s="12">
        <v>450</v>
      </c>
      <c r="H189" s="12">
        <v>30</v>
      </c>
      <c r="I189" s="12">
        <f t="shared" si="3"/>
        <v>420</v>
      </c>
      <c r="J189" s="11" t="s">
        <v>33</v>
      </c>
      <c r="K189" s="11" t="s">
        <v>33</v>
      </c>
      <c r="L189" s="11" t="s">
        <v>4788</v>
      </c>
      <c r="M189" s="11"/>
      <c r="N189" s="11"/>
      <c r="O189" s="11"/>
      <c r="P189" s="11"/>
      <c r="Q189" s="44">
        <v>1</v>
      </c>
      <c r="R189" s="49"/>
    </row>
    <row r="190" spans="1:18" x14ac:dyDescent="0.25">
      <c r="A190" s="11"/>
      <c r="B190" s="11" t="s">
        <v>27</v>
      </c>
      <c r="C190" s="11" t="s">
        <v>5242</v>
      </c>
      <c r="D190" s="11" t="s">
        <v>5243</v>
      </c>
      <c r="E190" s="11" t="s">
        <v>5244</v>
      </c>
      <c r="F190" s="11" t="s">
        <v>68</v>
      </c>
      <c r="G190" s="12">
        <v>315</v>
      </c>
      <c r="H190" s="12">
        <v>25</v>
      </c>
      <c r="I190" s="12">
        <f t="shared" si="3"/>
        <v>290</v>
      </c>
      <c r="J190" s="11" t="s">
        <v>33</v>
      </c>
      <c r="K190" s="11" t="s">
        <v>33</v>
      </c>
      <c r="L190" s="11" t="s">
        <v>4788</v>
      </c>
      <c r="M190" s="11"/>
      <c r="N190" s="11"/>
      <c r="O190" s="11"/>
      <c r="P190" s="11"/>
      <c r="Q190" s="44">
        <v>1</v>
      </c>
      <c r="R190" s="49"/>
    </row>
    <row r="191" spans="1:18" x14ac:dyDescent="0.25">
      <c r="A191" s="11"/>
      <c r="B191" s="11" t="s">
        <v>27</v>
      </c>
      <c r="C191" s="11" t="s">
        <v>3443</v>
      </c>
      <c r="D191" s="11" t="s">
        <v>5248</v>
      </c>
      <c r="E191" s="11" t="s">
        <v>5249</v>
      </c>
      <c r="F191" s="11" t="s">
        <v>68</v>
      </c>
      <c r="G191" s="12">
        <v>575</v>
      </c>
      <c r="H191" s="12">
        <v>25</v>
      </c>
      <c r="I191" s="12">
        <f t="shared" si="3"/>
        <v>550</v>
      </c>
      <c r="J191" s="11" t="s">
        <v>33</v>
      </c>
      <c r="K191" s="11" t="s">
        <v>33</v>
      </c>
      <c r="L191" s="11" t="s">
        <v>4788</v>
      </c>
      <c r="M191" s="11"/>
      <c r="N191" s="11"/>
      <c r="O191" s="11"/>
      <c r="P191" s="11"/>
      <c r="Q191" s="44">
        <v>1</v>
      </c>
      <c r="R191" s="49"/>
    </row>
    <row r="192" spans="1:18" x14ac:dyDescent="0.25">
      <c r="A192" s="11"/>
      <c r="B192" s="11" t="s">
        <v>27</v>
      </c>
      <c r="C192" s="11" t="s">
        <v>5250</v>
      </c>
      <c r="D192" s="11" t="s">
        <v>5251</v>
      </c>
      <c r="E192" s="11" t="s">
        <v>5252</v>
      </c>
      <c r="F192" s="11" t="s">
        <v>68</v>
      </c>
      <c r="G192" s="12">
        <v>655</v>
      </c>
      <c r="H192" s="12">
        <v>25</v>
      </c>
      <c r="I192" s="12">
        <f t="shared" si="3"/>
        <v>630</v>
      </c>
      <c r="J192" s="11" t="s">
        <v>33</v>
      </c>
      <c r="K192" s="11" t="s">
        <v>33</v>
      </c>
      <c r="L192" s="11" t="s">
        <v>4788</v>
      </c>
      <c r="M192" s="11"/>
      <c r="N192" s="11"/>
      <c r="O192" s="11"/>
      <c r="P192" s="11"/>
      <c r="Q192" s="44">
        <v>1</v>
      </c>
      <c r="R192" s="49"/>
    </row>
    <row r="193" spans="1:18" x14ac:dyDescent="0.25">
      <c r="A193" s="11"/>
      <c r="B193" s="11" t="s">
        <v>27</v>
      </c>
      <c r="C193" s="11" t="s">
        <v>5262</v>
      </c>
      <c r="D193" s="11" t="s">
        <v>5263</v>
      </c>
      <c r="E193" s="11" t="s">
        <v>5264</v>
      </c>
      <c r="F193" s="11" t="s">
        <v>68</v>
      </c>
      <c r="G193" s="12">
        <v>488</v>
      </c>
      <c r="H193" s="12">
        <v>25</v>
      </c>
      <c r="I193" s="12">
        <f t="shared" si="3"/>
        <v>463</v>
      </c>
      <c r="J193" s="11" t="s">
        <v>33</v>
      </c>
      <c r="K193" s="11" t="s">
        <v>33</v>
      </c>
      <c r="L193" s="11" t="s">
        <v>4788</v>
      </c>
      <c r="M193" s="24" t="s">
        <v>340</v>
      </c>
      <c r="N193" s="11"/>
      <c r="O193" s="11"/>
      <c r="P193" s="11"/>
      <c r="Q193" s="44">
        <v>1</v>
      </c>
      <c r="R193" s="50">
        <f t="shared" ref="R193:R194" si="5">H193</f>
        <v>25</v>
      </c>
    </row>
    <row r="194" spans="1:18" x14ac:dyDescent="0.25">
      <c r="A194" s="11"/>
      <c r="B194" s="11" t="s">
        <v>27</v>
      </c>
      <c r="C194" s="11" t="s">
        <v>5265</v>
      </c>
      <c r="D194" s="11" t="s">
        <v>5266</v>
      </c>
      <c r="E194" s="11" t="s">
        <v>5267</v>
      </c>
      <c r="F194" s="11" t="s">
        <v>68</v>
      </c>
      <c r="G194" s="12">
        <v>518</v>
      </c>
      <c r="H194" s="12">
        <v>25</v>
      </c>
      <c r="I194" s="12">
        <f t="shared" si="3"/>
        <v>493</v>
      </c>
      <c r="J194" s="11" t="s">
        <v>33</v>
      </c>
      <c r="K194" s="11" t="s">
        <v>33</v>
      </c>
      <c r="L194" s="11" t="s">
        <v>4788</v>
      </c>
      <c r="M194" s="24" t="s">
        <v>340</v>
      </c>
      <c r="N194" s="11"/>
      <c r="O194" s="11"/>
      <c r="P194" s="11"/>
      <c r="Q194" s="44">
        <v>1</v>
      </c>
      <c r="R194" s="50">
        <f t="shared" si="5"/>
        <v>25</v>
      </c>
    </row>
    <row r="195" spans="1:18" x14ac:dyDescent="0.25">
      <c r="A195" s="11"/>
      <c r="B195" s="11" t="s">
        <v>27</v>
      </c>
      <c r="C195" s="11" t="s">
        <v>5303</v>
      </c>
      <c r="D195" s="11" t="s">
        <v>5304</v>
      </c>
      <c r="E195" s="11" t="s">
        <v>5305</v>
      </c>
      <c r="F195" s="11" t="s">
        <v>68</v>
      </c>
      <c r="G195" s="12">
        <v>475</v>
      </c>
      <c r="H195" s="12">
        <v>25</v>
      </c>
      <c r="I195" s="12">
        <f t="shared" ref="I195:I258" si="6">G195-H195</f>
        <v>450</v>
      </c>
      <c r="J195" s="11" t="s">
        <v>33</v>
      </c>
      <c r="K195" s="11" t="s">
        <v>33</v>
      </c>
      <c r="L195" s="11" t="s">
        <v>4788</v>
      </c>
      <c r="M195" s="11"/>
      <c r="N195" s="11"/>
      <c r="O195" s="11"/>
      <c r="P195" s="11"/>
      <c r="Q195" s="44">
        <v>1</v>
      </c>
      <c r="R195" s="49"/>
    </row>
    <row r="196" spans="1:18" x14ac:dyDescent="0.25">
      <c r="A196" s="11"/>
      <c r="B196" s="11" t="s">
        <v>27</v>
      </c>
      <c r="C196" s="11" t="s">
        <v>5306</v>
      </c>
      <c r="D196" s="11" t="s">
        <v>5307</v>
      </c>
      <c r="E196" s="11" t="s">
        <v>5308</v>
      </c>
      <c r="F196" s="12">
        <v>2</v>
      </c>
      <c r="G196" s="12">
        <v>610</v>
      </c>
      <c r="H196" s="12">
        <v>30</v>
      </c>
      <c r="I196" s="12">
        <f t="shared" si="6"/>
        <v>580</v>
      </c>
      <c r="J196" s="11" t="s">
        <v>33</v>
      </c>
      <c r="K196" s="11" t="s">
        <v>33</v>
      </c>
      <c r="L196" s="11" t="s">
        <v>4788</v>
      </c>
      <c r="M196" s="11"/>
      <c r="N196" s="11"/>
      <c r="O196" s="11"/>
      <c r="P196" s="11"/>
      <c r="Q196" s="44">
        <v>1</v>
      </c>
      <c r="R196" s="49"/>
    </row>
    <row r="197" spans="1:18" x14ac:dyDescent="0.25">
      <c r="A197" s="11"/>
      <c r="B197" s="11" t="s">
        <v>27</v>
      </c>
      <c r="C197" s="11" t="s">
        <v>5312</v>
      </c>
      <c r="D197" s="11" t="s">
        <v>5313</v>
      </c>
      <c r="E197" s="11" t="s">
        <v>5314</v>
      </c>
      <c r="F197" s="12">
        <v>2</v>
      </c>
      <c r="G197" s="12">
        <v>810</v>
      </c>
      <c r="H197" s="12">
        <v>30</v>
      </c>
      <c r="I197" s="12">
        <f t="shared" si="6"/>
        <v>780</v>
      </c>
      <c r="J197" s="11" t="s">
        <v>33</v>
      </c>
      <c r="K197" s="11" t="s">
        <v>33</v>
      </c>
      <c r="L197" s="11" t="s">
        <v>4788</v>
      </c>
      <c r="M197" s="11"/>
      <c r="N197" s="11"/>
      <c r="O197" s="11"/>
      <c r="P197" s="11"/>
      <c r="Q197" s="44">
        <v>1</v>
      </c>
      <c r="R197" s="49"/>
    </row>
    <row r="198" spans="1:18" x14ac:dyDescent="0.25">
      <c r="A198" s="11"/>
      <c r="B198" s="11" t="s">
        <v>27</v>
      </c>
      <c r="C198" s="11" t="s">
        <v>5329</v>
      </c>
      <c r="D198" s="11" t="s">
        <v>5330</v>
      </c>
      <c r="E198" s="11" t="s">
        <v>5331</v>
      </c>
      <c r="F198" s="11" t="s">
        <v>68</v>
      </c>
      <c r="G198" s="12">
        <v>455</v>
      </c>
      <c r="H198" s="12">
        <v>25</v>
      </c>
      <c r="I198" s="12">
        <f t="shared" si="6"/>
        <v>430</v>
      </c>
      <c r="J198" s="11" t="s">
        <v>33</v>
      </c>
      <c r="K198" s="11" t="s">
        <v>33</v>
      </c>
      <c r="L198" s="11" t="s">
        <v>4788</v>
      </c>
      <c r="M198" s="11"/>
      <c r="N198" s="11"/>
      <c r="O198" s="11"/>
      <c r="P198" s="11"/>
      <c r="Q198" s="44">
        <v>1</v>
      </c>
      <c r="R198" s="49"/>
    </row>
    <row r="199" spans="1:18" x14ac:dyDescent="0.25">
      <c r="A199" s="11"/>
      <c r="B199" s="11" t="s">
        <v>27</v>
      </c>
      <c r="C199" s="11" t="s">
        <v>2541</v>
      </c>
      <c r="D199" s="11" t="s">
        <v>5335</v>
      </c>
      <c r="E199" s="11" t="s">
        <v>2543</v>
      </c>
      <c r="F199" s="11" t="s">
        <v>78</v>
      </c>
      <c r="G199" s="12">
        <v>0</v>
      </c>
      <c r="H199" s="12">
        <v>20</v>
      </c>
      <c r="I199" s="12">
        <f t="shared" si="6"/>
        <v>-20</v>
      </c>
      <c r="J199" s="11" t="s">
        <v>33</v>
      </c>
      <c r="K199" s="11" t="s">
        <v>33</v>
      </c>
      <c r="L199" s="11" t="s">
        <v>4788</v>
      </c>
      <c r="M199" s="43" t="s">
        <v>1748</v>
      </c>
      <c r="N199" s="11"/>
      <c r="O199" s="11"/>
      <c r="P199" s="11"/>
      <c r="Q199" s="44">
        <v>1</v>
      </c>
      <c r="R199" s="50">
        <f>H199</f>
        <v>20</v>
      </c>
    </row>
    <row r="200" spans="1:18" x14ac:dyDescent="0.25">
      <c r="A200" s="11"/>
      <c r="B200" s="11" t="s">
        <v>27</v>
      </c>
      <c r="C200" s="11" t="s">
        <v>2770</v>
      </c>
      <c r="D200" s="11" t="s">
        <v>5343</v>
      </c>
      <c r="E200" s="11" t="s">
        <v>5344</v>
      </c>
      <c r="F200" s="11" t="s">
        <v>78</v>
      </c>
      <c r="G200" s="12">
        <v>628</v>
      </c>
      <c r="H200" s="12">
        <v>20</v>
      </c>
      <c r="I200" s="12">
        <f t="shared" si="6"/>
        <v>608</v>
      </c>
      <c r="J200" s="11" t="s">
        <v>33</v>
      </c>
      <c r="K200" s="11" t="s">
        <v>33</v>
      </c>
      <c r="L200" s="11" t="s">
        <v>4788</v>
      </c>
      <c r="M200" s="24" t="s">
        <v>340</v>
      </c>
      <c r="N200" s="11"/>
      <c r="O200" s="11"/>
      <c r="P200" s="11"/>
      <c r="Q200" s="44">
        <v>1</v>
      </c>
      <c r="R200" s="50">
        <f>H200</f>
        <v>20</v>
      </c>
    </row>
    <row r="201" spans="1:18" x14ac:dyDescent="0.25">
      <c r="A201" s="11"/>
      <c r="B201" s="11" t="s">
        <v>27</v>
      </c>
      <c r="C201" s="11" t="s">
        <v>5348</v>
      </c>
      <c r="D201" s="11" t="s">
        <v>5349</v>
      </c>
      <c r="E201" s="11" t="s">
        <v>5350</v>
      </c>
      <c r="F201" s="11" t="s">
        <v>78</v>
      </c>
      <c r="G201" s="12">
        <v>950</v>
      </c>
      <c r="H201" s="12">
        <v>20</v>
      </c>
      <c r="I201" s="12">
        <f t="shared" si="6"/>
        <v>930</v>
      </c>
      <c r="J201" s="11" t="s">
        <v>33</v>
      </c>
      <c r="K201" s="11" t="s">
        <v>33</v>
      </c>
      <c r="L201" s="11" t="s">
        <v>4788</v>
      </c>
      <c r="M201" s="11"/>
      <c r="N201" s="11"/>
      <c r="O201" s="11"/>
      <c r="P201" s="11"/>
      <c r="Q201" s="44">
        <v>1</v>
      </c>
      <c r="R201" s="49"/>
    </row>
    <row r="202" spans="1:18" x14ac:dyDescent="0.25">
      <c r="A202" s="11"/>
      <c r="B202" s="11" t="s">
        <v>27</v>
      </c>
      <c r="C202" s="11" t="s">
        <v>5354</v>
      </c>
      <c r="D202" s="11" t="s">
        <v>5355</v>
      </c>
      <c r="E202" s="11" t="s">
        <v>5356</v>
      </c>
      <c r="F202" s="12">
        <v>2</v>
      </c>
      <c r="G202" s="12">
        <v>1178</v>
      </c>
      <c r="H202" s="12">
        <v>30</v>
      </c>
      <c r="I202" s="12">
        <f t="shared" si="6"/>
        <v>1148</v>
      </c>
      <c r="J202" s="11" t="s">
        <v>33</v>
      </c>
      <c r="K202" s="11" t="s">
        <v>33</v>
      </c>
      <c r="L202" s="11" t="s">
        <v>4788</v>
      </c>
      <c r="M202" s="24" t="s">
        <v>340</v>
      </c>
      <c r="N202" s="11"/>
      <c r="O202" s="11"/>
      <c r="P202" s="11"/>
      <c r="Q202" s="44">
        <v>1</v>
      </c>
      <c r="R202" s="50">
        <f t="shared" ref="R202:R203" si="7">H202</f>
        <v>30</v>
      </c>
    </row>
    <row r="203" spans="1:18" x14ac:dyDescent="0.25">
      <c r="A203" s="11"/>
      <c r="B203" s="11" t="s">
        <v>27</v>
      </c>
      <c r="C203" s="11" t="s">
        <v>3041</v>
      </c>
      <c r="D203" s="11" t="s">
        <v>5357</v>
      </c>
      <c r="E203" s="11" t="s">
        <v>3043</v>
      </c>
      <c r="F203" s="11" t="s">
        <v>68</v>
      </c>
      <c r="G203" s="12">
        <v>1098</v>
      </c>
      <c r="H203" s="12">
        <v>25</v>
      </c>
      <c r="I203" s="12">
        <f t="shared" si="6"/>
        <v>1073</v>
      </c>
      <c r="J203" s="11" t="s">
        <v>33</v>
      </c>
      <c r="K203" s="11" t="s">
        <v>33</v>
      </c>
      <c r="L203" s="11" t="s">
        <v>4788</v>
      </c>
      <c r="M203" s="24" t="s">
        <v>340</v>
      </c>
      <c r="N203" s="11"/>
      <c r="O203" s="11"/>
      <c r="P203" s="11"/>
      <c r="Q203" s="44">
        <v>1</v>
      </c>
      <c r="R203" s="50">
        <f t="shared" si="7"/>
        <v>25</v>
      </c>
    </row>
    <row r="204" spans="1:18" x14ac:dyDescent="0.25">
      <c r="A204" s="11"/>
      <c r="B204" s="11" t="s">
        <v>27</v>
      </c>
      <c r="C204" s="11" t="s">
        <v>5374</v>
      </c>
      <c r="D204" s="11" t="s">
        <v>5375</v>
      </c>
      <c r="E204" s="11" t="s">
        <v>5376</v>
      </c>
      <c r="F204" s="11" t="s">
        <v>68</v>
      </c>
      <c r="G204" s="12">
        <v>375</v>
      </c>
      <c r="H204" s="12">
        <v>25</v>
      </c>
      <c r="I204" s="12">
        <f t="shared" si="6"/>
        <v>350</v>
      </c>
      <c r="J204" s="11" t="s">
        <v>33</v>
      </c>
      <c r="K204" s="11" t="s">
        <v>33</v>
      </c>
      <c r="L204" s="11" t="s">
        <v>4788</v>
      </c>
      <c r="M204" s="11"/>
      <c r="N204" s="11"/>
      <c r="O204" s="11"/>
      <c r="P204" s="11"/>
      <c r="Q204" s="44">
        <v>1</v>
      </c>
      <c r="R204" s="49"/>
    </row>
    <row r="205" spans="1:18" x14ac:dyDescent="0.25">
      <c r="A205" s="11"/>
      <c r="B205" s="11" t="s">
        <v>27</v>
      </c>
      <c r="C205" s="11" t="s">
        <v>3829</v>
      </c>
      <c r="D205" s="11" t="s">
        <v>5386</v>
      </c>
      <c r="E205" s="11" t="s">
        <v>5387</v>
      </c>
      <c r="F205" s="12">
        <v>2</v>
      </c>
      <c r="G205" s="12">
        <v>130</v>
      </c>
      <c r="H205" s="12">
        <v>30</v>
      </c>
      <c r="I205" s="12">
        <f t="shared" si="6"/>
        <v>100</v>
      </c>
      <c r="J205" s="11" t="s">
        <v>33</v>
      </c>
      <c r="K205" s="11" t="s">
        <v>33</v>
      </c>
      <c r="L205" s="11" t="s">
        <v>4788</v>
      </c>
      <c r="M205" s="11"/>
      <c r="N205" s="11"/>
      <c r="O205" s="11"/>
      <c r="P205" s="11"/>
      <c r="Q205" s="44">
        <v>1</v>
      </c>
      <c r="R205" s="49"/>
    </row>
    <row r="206" spans="1:18" x14ac:dyDescent="0.25">
      <c r="A206" s="11"/>
      <c r="B206" s="11" t="s">
        <v>27</v>
      </c>
      <c r="C206" s="11" t="s">
        <v>4727</v>
      </c>
      <c r="D206" s="11" t="s">
        <v>5392</v>
      </c>
      <c r="E206" s="11" t="s">
        <v>5393</v>
      </c>
      <c r="F206" s="12">
        <v>2</v>
      </c>
      <c r="G206" s="12">
        <v>850</v>
      </c>
      <c r="H206" s="12">
        <v>30</v>
      </c>
      <c r="I206" s="12">
        <f t="shared" si="6"/>
        <v>820</v>
      </c>
      <c r="J206" s="11" t="s">
        <v>33</v>
      </c>
      <c r="K206" s="11" t="s">
        <v>33</v>
      </c>
      <c r="L206" s="11" t="s">
        <v>4788</v>
      </c>
      <c r="M206" s="11"/>
      <c r="N206" s="11"/>
      <c r="O206" s="11"/>
      <c r="P206" s="11"/>
      <c r="Q206" s="44">
        <v>1</v>
      </c>
      <c r="R206" s="49"/>
    </row>
    <row r="207" spans="1:18" x14ac:dyDescent="0.25">
      <c r="A207" s="11"/>
      <c r="B207" s="11" t="s">
        <v>27</v>
      </c>
      <c r="C207" s="11" t="s">
        <v>5444</v>
      </c>
      <c r="D207" s="11" t="s">
        <v>5445</v>
      </c>
      <c r="E207" s="11" t="s">
        <v>5446</v>
      </c>
      <c r="F207" s="11" t="s">
        <v>68</v>
      </c>
      <c r="G207" s="12">
        <v>595</v>
      </c>
      <c r="H207" s="12">
        <v>25</v>
      </c>
      <c r="I207" s="12">
        <f t="shared" si="6"/>
        <v>570</v>
      </c>
      <c r="J207" s="11" t="s">
        <v>33</v>
      </c>
      <c r="K207" s="11" t="s">
        <v>33</v>
      </c>
      <c r="L207" s="11" t="s">
        <v>4788</v>
      </c>
      <c r="M207" s="11"/>
      <c r="N207" s="11"/>
      <c r="O207" s="11"/>
      <c r="P207" s="11"/>
      <c r="Q207" s="44">
        <v>1</v>
      </c>
      <c r="R207" s="49"/>
    </row>
    <row r="208" spans="1:18" x14ac:dyDescent="0.25">
      <c r="A208" s="11"/>
      <c r="B208" s="11" t="s">
        <v>27</v>
      </c>
      <c r="C208" s="11" t="s">
        <v>5456</v>
      </c>
      <c r="D208" s="11" t="s">
        <v>5457</v>
      </c>
      <c r="E208" s="11" t="s">
        <v>5458</v>
      </c>
      <c r="F208" s="12">
        <v>2</v>
      </c>
      <c r="G208" s="12">
        <v>350</v>
      </c>
      <c r="H208" s="12">
        <v>30</v>
      </c>
      <c r="I208" s="12">
        <f t="shared" si="6"/>
        <v>320</v>
      </c>
      <c r="J208" s="11" t="s">
        <v>33</v>
      </c>
      <c r="K208" s="11" t="s">
        <v>33</v>
      </c>
      <c r="L208" s="11" t="s">
        <v>4788</v>
      </c>
      <c r="M208" s="11"/>
      <c r="N208" s="11"/>
      <c r="O208" s="11"/>
      <c r="P208" s="11"/>
      <c r="Q208" s="44">
        <v>1</v>
      </c>
      <c r="R208" s="49"/>
    </row>
    <row r="209" spans="1:18" x14ac:dyDescent="0.25">
      <c r="A209" s="11"/>
      <c r="B209" s="11" t="s">
        <v>27</v>
      </c>
      <c r="C209" s="11" t="s">
        <v>5462</v>
      </c>
      <c r="D209" s="11" t="s">
        <v>5463</v>
      </c>
      <c r="E209" s="11" t="s">
        <v>5464</v>
      </c>
      <c r="F209" s="11" t="s">
        <v>68</v>
      </c>
      <c r="G209" s="12">
        <v>615</v>
      </c>
      <c r="H209" s="12">
        <v>25</v>
      </c>
      <c r="I209" s="12">
        <f t="shared" si="6"/>
        <v>590</v>
      </c>
      <c r="J209" s="11" t="s">
        <v>33</v>
      </c>
      <c r="K209" s="11" t="s">
        <v>33</v>
      </c>
      <c r="L209" s="11" t="s">
        <v>4788</v>
      </c>
      <c r="M209" s="11"/>
      <c r="N209" s="11"/>
      <c r="O209" s="11"/>
      <c r="P209" s="11"/>
      <c r="Q209" s="44">
        <v>1</v>
      </c>
      <c r="R209" s="49"/>
    </row>
    <row r="210" spans="1:18" x14ac:dyDescent="0.25">
      <c r="A210" s="11"/>
      <c r="B210" s="11" t="s">
        <v>27</v>
      </c>
      <c r="C210" s="11" t="s">
        <v>5476</v>
      </c>
      <c r="D210" s="11" t="s">
        <v>5477</v>
      </c>
      <c r="E210" s="11" t="s">
        <v>5478</v>
      </c>
      <c r="F210" s="11" t="s">
        <v>68</v>
      </c>
      <c r="G210" s="12">
        <v>375</v>
      </c>
      <c r="H210" s="12">
        <v>25</v>
      </c>
      <c r="I210" s="12">
        <f t="shared" si="6"/>
        <v>350</v>
      </c>
      <c r="J210" s="11" t="s">
        <v>33</v>
      </c>
      <c r="K210" s="11" t="s">
        <v>33</v>
      </c>
      <c r="L210" s="11" t="s">
        <v>4788</v>
      </c>
      <c r="M210" s="11"/>
      <c r="N210" s="11"/>
      <c r="O210" s="11"/>
      <c r="P210" s="11"/>
      <c r="Q210" s="44">
        <v>1</v>
      </c>
      <c r="R210" s="49"/>
    </row>
    <row r="211" spans="1:18" x14ac:dyDescent="0.25">
      <c r="A211" s="11"/>
      <c r="B211" s="11" t="s">
        <v>27</v>
      </c>
      <c r="C211" s="11" t="s">
        <v>5494</v>
      </c>
      <c r="D211" s="11" t="s">
        <v>5495</v>
      </c>
      <c r="E211" s="11" t="s">
        <v>5496</v>
      </c>
      <c r="F211" s="12">
        <v>2</v>
      </c>
      <c r="G211" s="12">
        <v>570</v>
      </c>
      <c r="H211" s="12">
        <v>30</v>
      </c>
      <c r="I211" s="12">
        <f t="shared" si="6"/>
        <v>540</v>
      </c>
      <c r="J211" s="11" t="s">
        <v>33</v>
      </c>
      <c r="K211" s="11" t="s">
        <v>33</v>
      </c>
      <c r="L211" s="11" t="s">
        <v>4788</v>
      </c>
      <c r="M211" s="11"/>
      <c r="N211" s="11"/>
      <c r="O211" s="11"/>
      <c r="P211" s="11"/>
      <c r="Q211" s="44">
        <v>1</v>
      </c>
      <c r="R211" s="49"/>
    </row>
    <row r="212" spans="1:18" x14ac:dyDescent="0.25">
      <c r="A212" s="11"/>
      <c r="B212" s="11" t="s">
        <v>27</v>
      </c>
      <c r="C212" s="11" t="s">
        <v>2257</v>
      </c>
      <c r="D212" s="11" t="s">
        <v>5509</v>
      </c>
      <c r="E212" s="11" t="s">
        <v>2259</v>
      </c>
      <c r="F212" s="11" t="s">
        <v>78</v>
      </c>
      <c r="G212" s="12">
        <v>620</v>
      </c>
      <c r="H212" s="12">
        <v>20</v>
      </c>
      <c r="I212" s="12">
        <f t="shared" si="6"/>
        <v>600</v>
      </c>
      <c r="J212" s="11" t="s">
        <v>33</v>
      </c>
      <c r="K212" s="11" t="s">
        <v>33</v>
      </c>
      <c r="L212" s="11" t="s">
        <v>4788</v>
      </c>
      <c r="M212" s="11"/>
      <c r="N212" s="11"/>
      <c r="O212" s="11"/>
      <c r="P212" s="11"/>
      <c r="Q212" s="44">
        <v>1</v>
      </c>
      <c r="R212" s="49"/>
    </row>
    <row r="213" spans="1:18" x14ac:dyDescent="0.25">
      <c r="A213" s="11" t="s">
        <v>59</v>
      </c>
      <c r="B213" s="11" t="s">
        <v>27</v>
      </c>
      <c r="C213" s="11" t="s">
        <v>4789</v>
      </c>
      <c r="D213" s="11"/>
      <c r="E213" s="11" t="s">
        <v>4790</v>
      </c>
      <c r="F213" s="11" t="s">
        <v>44</v>
      </c>
      <c r="G213" s="12">
        <v>0</v>
      </c>
      <c r="H213" s="12">
        <v>30</v>
      </c>
      <c r="I213" s="12">
        <f t="shared" si="6"/>
        <v>-30</v>
      </c>
      <c r="J213" s="11" t="s">
        <v>119</v>
      </c>
      <c r="K213" s="11" t="s">
        <v>33</v>
      </c>
      <c r="L213" s="11" t="s">
        <v>4788</v>
      </c>
      <c r="M213" s="11"/>
      <c r="N213" s="11"/>
      <c r="O213" s="11"/>
      <c r="P213" s="11"/>
      <c r="Q213" s="44">
        <v>1</v>
      </c>
      <c r="R213" s="50">
        <f>H213</f>
        <v>30</v>
      </c>
    </row>
    <row r="214" spans="1:18" x14ac:dyDescent="0.25">
      <c r="A214" s="11" t="s">
        <v>59</v>
      </c>
      <c r="B214" s="11" t="s">
        <v>27</v>
      </c>
      <c r="C214" s="11" t="s">
        <v>927</v>
      </c>
      <c r="D214" s="11"/>
      <c r="E214" s="11" t="s">
        <v>1114</v>
      </c>
      <c r="F214" s="11" t="s">
        <v>44</v>
      </c>
      <c r="G214" s="12">
        <v>30</v>
      </c>
      <c r="H214" s="12">
        <v>30</v>
      </c>
      <c r="I214" s="12">
        <f t="shared" si="6"/>
        <v>0</v>
      </c>
      <c r="J214" s="11" t="s">
        <v>119</v>
      </c>
      <c r="K214" s="11" t="s">
        <v>33</v>
      </c>
      <c r="L214" s="11" t="s">
        <v>4788</v>
      </c>
      <c r="M214" s="11"/>
      <c r="N214" s="11"/>
      <c r="O214" s="11"/>
      <c r="P214" s="11"/>
      <c r="Q214" s="44">
        <v>1</v>
      </c>
      <c r="R214" s="49"/>
    </row>
    <row r="215" spans="1:18" x14ac:dyDescent="0.25">
      <c r="A215" s="11"/>
      <c r="B215" s="11" t="s">
        <v>27</v>
      </c>
      <c r="C215" s="11" t="s">
        <v>4801</v>
      </c>
      <c r="D215" s="11" t="s">
        <v>4802</v>
      </c>
      <c r="E215" s="11" t="s">
        <v>4803</v>
      </c>
      <c r="F215" s="12">
        <v>1</v>
      </c>
      <c r="G215" s="12">
        <v>345</v>
      </c>
      <c r="H215" s="12">
        <v>25</v>
      </c>
      <c r="I215" s="12">
        <f t="shared" si="6"/>
        <v>320</v>
      </c>
      <c r="J215" s="11" t="s">
        <v>119</v>
      </c>
      <c r="K215" s="11" t="s">
        <v>33</v>
      </c>
      <c r="L215" s="11" t="s">
        <v>4788</v>
      </c>
      <c r="M215" s="11"/>
      <c r="N215" s="11"/>
      <c r="O215" s="11"/>
      <c r="P215" s="11"/>
      <c r="Q215" s="44">
        <v>1</v>
      </c>
      <c r="R215" s="49"/>
    </row>
    <row r="216" spans="1:18" x14ac:dyDescent="0.25">
      <c r="A216" s="11"/>
      <c r="B216" s="11" t="s">
        <v>27</v>
      </c>
      <c r="C216" s="11" t="s">
        <v>398</v>
      </c>
      <c r="D216" s="11" t="s">
        <v>4868</v>
      </c>
      <c r="E216" s="11" t="s">
        <v>1727</v>
      </c>
      <c r="F216" s="12">
        <v>1</v>
      </c>
      <c r="G216" s="12">
        <v>455</v>
      </c>
      <c r="H216" s="12">
        <v>25</v>
      </c>
      <c r="I216" s="12">
        <f t="shared" si="6"/>
        <v>430</v>
      </c>
      <c r="J216" s="11" t="s">
        <v>119</v>
      </c>
      <c r="K216" s="11" t="s">
        <v>33</v>
      </c>
      <c r="L216" s="11" t="s">
        <v>4788</v>
      </c>
      <c r="M216" s="11"/>
      <c r="N216" s="11"/>
      <c r="O216" s="11"/>
      <c r="P216" s="11"/>
      <c r="Q216" s="44">
        <v>1</v>
      </c>
      <c r="R216" s="49"/>
    </row>
    <row r="217" spans="1:18" x14ac:dyDescent="0.25">
      <c r="A217" s="11"/>
      <c r="B217" s="11" t="s">
        <v>27</v>
      </c>
      <c r="C217" s="11" t="s">
        <v>4869</v>
      </c>
      <c r="D217" s="11" t="s">
        <v>4870</v>
      </c>
      <c r="E217" s="11" t="s">
        <v>4871</v>
      </c>
      <c r="F217" s="11" t="s">
        <v>118</v>
      </c>
      <c r="G217" s="12">
        <v>1570</v>
      </c>
      <c r="H217" s="12">
        <v>20</v>
      </c>
      <c r="I217" s="12">
        <f t="shared" si="6"/>
        <v>1550</v>
      </c>
      <c r="J217" s="11" t="s">
        <v>119</v>
      </c>
      <c r="K217" s="11" t="s">
        <v>33</v>
      </c>
      <c r="L217" s="11" t="s">
        <v>4788</v>
      </c>
      <c r="M217" s="11"/>
      <c r="N217" s="11"/>
      <c r="O217" s="11"/>
      <c r="P217" s="11"/>
      <c r="Q217" s="44">
        <v>1</v>
      </c>
      <c r="R217" s="49"/>
    </row>
    <row r="218" spans="1:18" x14ac:dyDescent="0.25">
      <c r="A218" s="11"/>
      <c r="B218" s="11" t="s">
        <v>27</v>
      </c>
      <c r="C218" s="11" t="s">
        <v>4877</v>
      </c>
      <c r="D218" s="11" t="s">
        <v>4878</v>
      </c>
      <c r="E218" s="11" t="s">
        <v>4879</v>
      </c>
      <c r="F218" s="12">
        <v>3</v>
      </c>
      <c r="G218" s="12">
        <v>3628</v>
      </c>
      <c r="H218" s="12">
        <v>35</v>
      </c>
      <c r="I218" s="12">
        <f t="shared" si="6"/>
        <v>3593</v>
      </c>
      <c r="J218" s="11" t="s">
        <v>119</v>
      </c>
      <c r="K218" s="11" t="s">
        <v>33</v>
      </c>
      <c r="L218" s="11" t="s">
        <v>4788</v>
      </c>
      <c r="M218" s="24" t="s">
        <v>340</v>
      </c>
      <c r="N218" s="11"/>
      <c r="O218" s="11"/>
      <c r="P218" s="11"/>
      <c r="Q218" s="44">
        <v>1</v>
      </c>
      <c r="R218" s="50">
        <f>H218</f>
        <v>35</v>
      </c>
    </row>
    <row r="219" spans="1:18" x14ac:dyDescent="0.25">
      <c r="A219" s="11"/>
      <c r="B219" s="11" t="s">
        <v>27</v>
      </c>
      <c r="C219" s="11" t="s">
        <v>4883</v>
      </c>
      <c r="D219" s="11" t="s">
        <v>4884</v>
      </c>
      <c r="E219" s="11" t="s">
        <v>4885</v>
      </c>
      <c r="F219" s="12">
        <v>10</v>
      </c>
      <c r="G219" s="12">
        <v>365</v>
      </c>
      <c r="H219" s="12">
        <v>25</v>
      </c>
      <c r="I219" s="12">
        <f t="shared" si="6"/>
        <v>340</v>
      </c>
      <c r="J219" s="11" t="s">
        <v>119</v>
      </c>
      <c r="K219" s="11" t="s">
        <v>33</v>
      </c>
      <c r="L219" s="11" t="s">
        <v>4788</v>
      </c>
      <c r="M219" s="11"/>
      <c r="N219" s="11"/>
      <c r="O219" s="11"/>
      <c r="P219" s="11"/>
      <c r="Q219" s="44">
        <v>1</v>
      </c>
      <c r="R219" s="49"/>
    </row>
    <row r="220" spans="1:18" x14ac:dyDescent="0.25">
      <c r="A220" s="11"/>
      <c r="B220" s="11" t="s">
        <v>27</v>
      </c>
      <c r="C220" s="11" t="s">
        <v>3028</v>
      </c>
      <c r="D220" s="11" t="s">
        <v>4889</v>
      </c>
      <c r="E220" s="11" t="s">
        <v>4890</v>
      </c>
      <c r="F220" s="11" t="s">
        <v>118</v>
      </c>
      <c r="G220" s="12">
        <v>310</v>
      </c>
      <c r="H220" s="12">
        <v>20</v>
      </c>
      <c r="I220" s="12">
        <f t="shared" si="6"/>
        <v>290</v>
      </c>
      <c r="J220" s="11" t="s">
        <v>119</v>
      </c>
      <c r="K220" s="11" t="s">
        <v>33</v>
      </c>
      <c r="L220" s="11" t="s">
        <v>4788</v>
      </c>
      <c r="M220" s="11"/>
      <c r="N220" s="11"/>
      <c r="O220" s="11"/>
      <c r="P220" s="11"/>
      <c r="Q220" s="44">
        <v>1</v>
      </c>
      <c r="R220" s="49"/>
    </row>
    <row r="221" spans="1:18" x14ac:dyDescent="0.25">
      <c r="A221" s="11"/>
      <c r="B221" s="11" t="s">
        <v>27</v>
      </c>
      <c r="C221" s="11" t="s">
        <v>4906</v>
      </c>
      <c r="D221" s="11" t="s">
        <v>4907</v>
      </c>
      <c r="E221" s="11" t="s">
        <v>4621</v>
      </c>
      <c r="F221" s="12">
        <v>4</v>
      </c>
      <c r="G221" s="12">
        <v>1115</v>
      </c>
      <c r="H221" s="12">
        <v>25</v>
      </c>
      <c r="I221" s="12">
        <f t="shared" si="6"/>
        <v>1090</v>
      </c>
      <c r="J221" s="11" t="s">
        <v>119</v>
      </c>
      <c r="K221" s="11" t="s">
        <v>33</v>
      </c>
      <c r="L221" s="11" t="s">
        <v>4788</v>
      </c>
      <c r="M221" s="11"/>
      <c r="N221" s="11"/>
      <c r="O221" s="11"/>
      <c r="P221" s="11"/>
      <c r="Q221" s="44">
        <v>1</v>
      </c>
      <c r="R221" s="49"/>
    </row>
    <row r="222" spans="1:18" x14ac:dyDescent="0.25">
      <c r="A222" s="11"/>
      <c r="B222" s="11" t="s">
        <v>27</v>
      </c>
      <c r="C222" s="11" t="s">
        <v>2275</v>
      </c>
      <c r="D222" s="11" t="s">
        <v>4908</v>
      </c>
      <c r="E222" s="11" t="s">
        <v>2277</v>
      </c>
      <c r="F222" s="12">
        <v>3</v>
      </c>
      <c r="G222" s="12">
        <v>465</v>
      </c>
      <c r="H222" s="12">
        <v>25</v>
      </c>
      <c r="I222" s="12">
        <f t="shared" si="6"/>
        <v>440</v>
      </c>
      <c r="J222" s="11" t="s">
        <v>119</v>
      </c>
      <c r="K222" s="11" t="s">
        <v>33</v>
      </c>
      <c r="L222" s="11" t="s">
        <v>4788</v>
      </c>
      <c r="M222" s="11"/>
      <c r="N222" s="11"/>
      <c r="O222" s="11"/>
      <c r="P222" s="11"/>
      <c r="Q222" s="44">
        <v>1</v>
      </c>
      <c r="R222" s="49"/>
    </row>
    <row r="223" spans="1:18" x14ac:dyDescent="0.25">
      <c r="A223" s="11"/>
      <c r="B223" s="11" t="s">
        <v>27</v>
      </c>
      <c r="C223" s="11" t="s">
        <v>2998</v>
      </c>
      <c r="D223" s="11" t="s">
        <v>4933</v>
      </c>
      <c r="E223" s="11" t="s">
        <v>4934</v>
      </c>
      <c r="F223" s="12">
        <v>10</v>
      </c>
      <c r="G223" s="12">
        <v>1165</v>
      </c>
      <c r="H223" s="12">
        <v>25</v>
      </c>
      <c r="I223" s="12">
        <f t="shared" si="6"/>
        <v>1140</v>
      </c>
      <c r="J223" s="11" t="s">
        <v>119</v>
      </c>
      <c r="K223" s="11" t="s">
        <v>33</v>
      </c>
      <c r="L223" s="11" t="s">
        <v>4788</v>
      </c>
      <c r="M223" s="11"/>
      <c r="N223" s="11"/>
      <c r="O223" s="11"/>
      <c r="P223" s="11"/>
      <c r="Q223" s="44">
        <v>1</v>
      </c>
      <c r="R223" s="49"/>
    </row>
    <row r="224" spans="1:18" x14ac:dyDescent="0.25">
      <c r="A224" s="11"/>
      <c r="B224" s="11" t="s">
        <v>27</v>
      </c>
      <c r="C224" s="11" t="s">
        <v>4948</v>
      </c>
      <c r="D224" s="11" t="s">
        <v>4949</v>
      </c>
      <c r="E224" s="11" t="s">
        <v>4950</v>
      </c>
      <c r="F224" s="12">
        <v>1</v>
      </c>
      <c r="G224" s="12">
        <v>1845</v>
      </c>
      <c r="H224" s="12">
        <v>25</v>
      </c>
      <c r="I224" s="12">
        <f t="shared" si="6"/>
        <v>1820</v>
      </c>
      <c r="J224" s="11" t="s">
        <v>119</v>
      </c>
      <c r="K224" s="11" t="s">
        <v>33</v>
      </c>
      <c r="L224" s="11" t="s">
        <v>4788</v>
      </c>
      <c r="M224" s="11"/>
      <c r="N224" s="11"/>
      <c r="O224" s="11"/>
      <c r="P224" s="11"/>
      <c r="Q224" s="44">
        <v>1</v>
      </c>
      <c r="R224" s="49"/>
    </row>
    <row r="225" spans="1:18" x14ac:dyDescent="0.25">
      <c r="A225" s="11"/>
      <c r="B225" s="11" t="s">
        <v>27</v>
      </c>
      <c r="C225" s="11" t="s">
        <v>4963</v>
      </c>
      <c r="D225" s="11" t="s">
        <v>4964</v>
      </c>
      <c r="E225" s="11" t="s">
        <v>4965</v>
      </c>
      <c r="F225" s="12">
        <v>1</v>
      </c>
      <c r="G225" s="12">
        <v>875</v>
      </c>
      <c r="H225" s="12">
        <v>25</v>
      </c>
      <c r="I225" s="12">
        <f t="shared" si="6"/>
        <v>850</v>
      </c>
      <c r="J225" s="11" t="s">
        <v>119</v>
      </c>
      <c r="K225" s="11" t="s">
        <v>33</v>
      </c>
      <c r="L225" s="11" t="s">
        <v>4788</v>
      </c>
      <c r="M225" s="11"/>
      <c r="N225" s="11"/>
      <c r="O225" s="11"/>
      <c r="P225" s="11"/>
      <c r="Q225" s="44">
        <v>1</v>
      </c>
      <c r="R225" s="49"/>
    </row>
    <row r="226" spans="1:18" x14ac:dyDescent="0.25">
      <c r="A226" s="11"/>
      <c r="B226" s="11" t="s">
        <v>27</v>
      </c>
      <c r="C226" s="11" t="s">
        <v>4967</v>
      </c>
      <c r="D226" s="11" t="s">
        <v>4968</v>
      </c>
      <c r="E226" s="11" t="s">
        <v>4969</v>
      </c>
      <c r="F226" s="11" t="s">
        <v>44</v>
      </c>
      <c r="G226" s="12">
        <v>385</v>
      </c>
      <c r="H226" s="12">
        <v>25</v>
      </c>
      <c r="I226" s="12">
        <f t="shared" si="6"/>
        <v>360</v>
      </c>
      <c r="J226" s="11" t="s">
        <v>119</v>
      </c>
      <c r="K226" s="11" t="s">
        <v>33</v>
      </c>
      <c r="L226" s="11" t="s">
        <v>4788</v>
      </c>
      <c r="M226" s="11"/>
      <c r="N226" s="11"/>
      <c r="O226" s="11"/>
      <c r="P226" s="11"/>
      <c r="Q226" s="44">
        <v>1</v>
      </c>
      <c r="R226" s="49"/>
    </row>
    <row r="227" spans="1:18" x14ac:dyDescent="0.25">
      <c r="A227" s="11"/>
      <c r="B227" s="11" t="s">
        <v>27</v>
      </c>
      <c r="C227" s="11" t="s">
        <v>4973</v>
      </c>
      <c r="D227" s="11" t="s">
        <v>4974</v>
      </c>
      <c r="E227" s="11" t="s">
        <v>4975</v>
      </c>
      <c r="F227" s="12">
        <v>5</v>
      </c>
      <c r="G227" s="12">
        <v>595</v>
      </c>
      <c r="H227" s="12">
        <v>25</v>
      </c>
      <c r="I227" s="12">
        <f t="shared" si="6"/>
        <v>570</v>
      </c>
      <c r="J227" s="11" t="s">
        <v>119</v>
      </c>
      <c r="K227" s="11" t="s">
        <v>33</v>
      </c>
      <c r="L227" s="11" t="s">
        <v>4788</v>
      </c>
      <c r="M227" s="11"/>
      <c r="N227" s="11"/>
      <c r="O227" s="11"/>
      <c r="P227" s="11"/>
      <c r="Q227" s="44">
        <v>1</v>
      </c>
      <c r="R227" s="49"/>
    </row>
    <row r="228" spans="1:18" x14ac:dyDescent="0.25">
      <c r="A228" s="11"/>
      <c r="B228" s="11" t="s">
        <v>27</v>
      </c>
      <c r="C228" s="11" t="s">
        <v>4982</v>
      </c>
      <c r="D228" s="11" t="s">
        <v>4983</v>
      </c>
      <c r="E228" s="11" t="s">
        <v>4984</v>
      </c>
      <c r="F228" s="12">
        <v>4</v>
      </c>
      <c r="G228" s="12">
        <v>345</v>
      </c>
      <c r="H228" s="12">
        <v>25</v>
      </c>
      <c r="I228" s="12">
        <f t="shared" si="6"/>
        <v>320</v>
      </c>
      <c r="J228" s="11" t="s">
        <v>119</v>
      </c>
      <c r="K228" s="11" t="s">
        <v>33</v>
      </c>
      <c r="L228" s="11" t="s">
        <v>4788</v>
      </c>
      <c r="M228" s="11"/>
      <c r="N228" s="11"/>
      <c r="O228" s="11"/>
      <c r="P228" s="11"/>
      <c r="Q228" s="44">
        <v>1</v>
      </c>
      <c r="R228" s="49"/>
    </row>
    <row r="229" spans="1:18" x14ac:dyDescent="0.25">
      <c r="A229" s="11"/>
      <c r="B229" s="11" t="s">
        <v>27</v>
      </c>
      <c r="C229" s="11" t="s">
        <v>4999</v>
      </c>
      <c r="D229" s="11" t="s">
        <v>5000</v>
      </c>
      <c r="E229" s="11" t="s">
        <v>4642</v>
      </c>
      <c r="F229" s="12">
        <v>10</v>
      </c>
      <c r="G229" s="12">
        <v>335</v>
      </c>
      <c r="H229" s="12">
        <v>25</v>
      </c>
      <c r="I229" s="12">
        <f t="shared" si="6"/>
        <v>310</v>
      </c>
      <c r="J229" s="11" t="s">
        <v>119</v>
      </c>
      <c r="K229" s="11" t="s">
        <v>33</v>
      </c>
      <c r="L229" s="11" t="s">
        <v>4788</v>
      </c>
      <c r="M229" s="11"/>
      <c r="N229" s="11"/>
      <c r="O229" s="11"/>
      <c r="P229" s="11"/>
      <c r="Q229" s="44">
        <v>1</v>
      </c>
      <c r="R229" s="49"/>
    </row>
    <row r="230" spans="1:18" x14ac:dyDescent="0.25">
      <c r="A230" s="11"/>
      <c r="B230" s="11" t="s">
        <v>27</v>
      </c>
      <c r="C230" s="11" t="s">
        <v>5005</v>
      </c>
      <c r="D230" s="11" t="s">
        <v>5006</v>
      </c>
      <c r="E230" s="11" t="s">
        <v>5007</v>
      </c>
      <c r="F230" s="12">
        <v>1</v>
      </c>
      <c r="G230" s="12">
        <v>475</v>
      </c>
      <c r="H230" s="12">
        <v>25</v>
      </c>
      <c r="I230" s="12">
        <f t="shared" si="6"/>
        <v>450</v>
      </c>
      <c r="J230" s="11" t="s">
        <v>119</v>
      </c>
      <c r="K230" s="11" t="s">
        <v>33</v>
      </c>
      <c r="L230" s="11" t="s">
        <v>4788</v>
      </c>
      <c r="M230" s="11"/>
      <c r="N230" s="11"/>
      <c r="O230" s="11"/>
      <c r="P230" s="11"/>
      <c r="Q230" s="44">
        <v>1</v>
      </c>
      <c r="R230" s="49"/>
    </row>
    <row r="231" spans="1:18" x14ac:dyDescent="0.25">
      <c r="A231" s="11"/>
      <c r="B231" s="11" t="s">
        <v>27</v>
      </c>
      <c r="C231" s="11" t="s">
        <v>5019</v>
      </c>
      <c r="D231" s="11" t="s">
        <v>5020</v>
      </c>
      <c r="E231" s="11" t="s">
        <v>5021</v>
      </c>
      <c r="F231" s="12">
        <v>3</v>
      </c>
      <c r="G231" s="12">
        <v>615</v>
      </c>
      <c r="H231" s="12">
        <v>25</v>
      </c>
      <c r="I231" s="12">
        <f t="shared" si="6"/>
        <v>590</v>
      </c>
      <c r="J231" s="11" t="s">
        <v>119</v>
      </c>
      <c r="K231" s="11" t="s">
        <v>33</v>
      </c>
      <c r="L231" s="11" t="s">
        <v>4788</v>
      </c>
      <c r="M231" s="11"/>
      <c r="N231" s="11"/>
      <c r="O231" s="11"/>
      <c r="P231" s="11"/>
      <c r="Q231" s="44">
        <v>1</v>
      </c>
      <c r="R231" s="49"/>
    </row>
    <row r="232" spans="1:18" x14ac:dyDescent="0.25">
      <c r="A232" s="11"/>
      <c r="B232" s="11" t="s">
        <v>27</v>
      </c>
      <c r="C232" s="11" t="s">
        <v>5022</v>
      </c>
      <c r="D232" s="11" t="s">
        <v>5023</v>
      </c>
      <c r="E232" s="11" t="s">
        <v>5024</v>
      </c>
      <c r="F232" s="11" t="s">
        <v>118</v>
      </c>
      <c r="G232" s="12">
        <v>490</v>
      </c>
      <c r="H232" s="12">
        <v>20</v>
      </c>
      <c r="I232" s="12">
        <f t="shared" si="6"/>
        <v>470</v>
      </c>
      <c r="J232" s="11" t="s">
        <v>119</v>
      </c>
      <c r="K232" s="11" t="s">
        <v>33</v>
      </c>
      <c r="L232" s="11" t="s">
        <v>4788</v>
      </c>
      <c r="M232" s="11"/>
      <c r="N232" s="11"/>
      <c r="O232" s="11"/>
      <c r="P232" s="11"/>
      <c r="Q232" s="44">
        <v>1</v>
      </c>
      <c r="R232" s="49"/>
    </row>
    <row r="233" spans="1:18" x14ac:dyDescent="0.25">
      <c r="A233" s="11"/>
      <c r="B233" s="11" t="s">
        <v>27</v>
      </c>
      <c r="C233" s="11" t="s">
        <v>5034</v>
      </c>
      <c r="D233" s="11" t="s">
        <v>5035</v>
      </c>
      <c r="E233" s="11" t="s">
        <v>5036</v>
      </c>
      <c r="F233" s="11" t="s">
        <v>44</v>
      </c>
      <c r="G233" s="12">
        <v>748</v>
      </c>
      <c r="H233" s="12">
        <v>25</v>
      </c>
      <c r="I233" s="12">
        <f t="shared" si="6"/>
        <v>723</v>
      </c>
      <c r="J233" s="11" t="s">
        <v>119</v>
      </c>
      <c r="K233" s="11" t="s">
        <v>33</v>
      </c>
      <c r="L233" s="11" t="s">
        <v>4788</v>
      </c>
      <c r="M233" s="24" t="s">
        <v>340</v>
      </c>
      <c r="N233" s="11"/>
      <c r="O233" s="11"/>
      <c r="P233" s="11"/>
      <c r="Q233" s="44">
        <v>1</v>
      </c>
      <c r="R233" s="50">
        <f>H233</f>
        <v>25</v>
      </c>
    </row>
    <row r="234" spans="1:18" x14ac:dyDescent="0.25">
      <c r="A234" s="11"/>
      <c r="B234" s="11" t="s">
        <v>27</v>
      </c>
      <c r="C234" s="11" t="s">
        <v>5054</v>
      </c>
      <c r="D234" s="11" t="s">
        <v>5055</v>
      </c>
      <c r="E234" s="11" t="s">
        <v>5056</v>
      </c>
      <c r="F234" s="11" t="s">
        <v>44</v>
      </c>
      <c r="G234" s="12">
        <v>0</v>
      </c>
      <c r="H234" s="12">
        <v>25</v>
      </c>
      <c r="I234" s="12">
        <f t="shared" si="6"/>
        <v>-25</v>
      </c>
      <c r="J234" s="11" t="s">
        <v>119</v>
      </c>
      <c r="K234" s="11" t="s">
        <v>33</v>
      </c>
      <c r="L234" s="11" t="s">
        <v>4788</v>
      </c>
      <c r="M234" s="24" t="s">
        <v>6064</v>
      </c>
      <c r="N234" s="11"/>
      <c r="O234" s="11"/>
      <c r="P234" s="11"/>
      <c r="Q234" s="44">
        <v>1</v>
      </c>
      <c r="R234" s="50">
        <f>H234</f>
        <v>25</v>
      </c>
    </row>
    <row r="235" spans="1:18" x14ac:dyDescent="0.25">
      <c r="A235" s="11"/>
      <c r="B235" s="11" t="s">
        <v>27</v>
      </c>
      <c r="C235" s="11" t="s">
        <v>5059</v>
      </c>
      <c r="D235" s="11" t="s">
        <v>5060</v>
      </c>
      <c r="E235" s="11" t="s">
        <v>5061</v>
      </c>
      <c r="F235" s="12">
        <v>4</v>
      </c>
      <c r="G235" s="12">
        <v>595</v>
      </c>
      <c r="H235" s="12">
        <v>25</v>
      </c>
      <c r="I235" s="12">
        <f t="shared" si="6"/>
        <v>570</v>
      </c>
      <c r="J235" s="11" t="s">
        <v>119</v>
      </c>
      <c r="K235" s="11" t="s">
        <v>33</v>
      </c>
      <c r="L235" s="11" t="s">
        <v>4788</v>
      </c>
      <c r="M235" s="11"/>
      <c r="N235" s="11"/>
      <c r="O235" s="11"/>
      <c r="P235" s="11"/>
      <c r="Q235" s="44">
        <v>1</v>
      </c>
      <c r="R235" s="49"/>
    </row>
    <row r="236" spans="1:18" x14ac:dyDescent="0.25">
      <c r="A236" s="11"/>
      <c r="B236" s="11" t="s">
        <v>27</v>
      </c>
      <c r="C236" s="11" t="s">
        <v>5076</v>
      </c>
      <c r="D236" s="11" t="s">
        <v>5077</v>
      </c>
      <c r="E236" s="11" t="s">
        <v>5078</v>
      </c>
      <c r="F236" s="12">
        <v>10</v>
      </c>
      <c r="G236" s="12">
        <v>805</v>
      </c>
      <c r="H236" s="12">
        <v>25</v>
      </c>
      <c r="I236" s="12">
        <f t="shared" si="6"/>
        <v>780</v>
      </c>
      <c r="J236" s="11" t="s">
        <v>119</v>
      </c>
      <c r="K236" s="11" t="s">
        <v>33</v>
      </c>
      <c r="L236" s="11" t="s">
        <v>4788</v>
      </c>
      <c r="M236" s="11"/>
      <c r="N236" s="11"/>
      <c r="O236" s="11"/>
      <c r="P236" s="11"/>
      <c r="Q236" s="44">
        <v>1</v>
      </c>
      <c r="R236" s="49"/>
    </row>
    <row r="237" spans="1:18" x14ac:dyDescent="0.25">
      <c r="A237" s="11"/>
      <c r="B237" s="11" t="s">
        <v>27</v>
      </c>
      <c r="C237" s="11" t="s">
        <v>5082</v>
      </c>
      <c r="D237" s="11" t="s">
        <v>5083</v>
      </c>
      <c r="E237" s="11" t="s">
        <v>5084</v>
      </c>
      <c r="F237" s="12">
        <v>1</v>
      </c>
      <c r="G237" s="12">
        <v>775</v>
      </c>
      <c r="H237" s="12">
        <v>25</v>
      </c>
      <c r="I237" s="12">
        <f t="shared" si="6"/>
        <v>750</v>
      </c>
      <c r="J237" s="11" t="s">
        <v>119</v>
      </c>
      <c r="K237" s="11" t="s">
        <v>33</v>
      </c>
      <c r="L237" s="11" t="s">
        <v>4788</v>
      </c>
      <c r="M237" s="11"/>
      <c r="N237" s="11"/>
      <c r="O237" s="11"/>
      <c r="P237" s="11"/>
      <c r="Q237" s="44">
        <v>1</v>
      </c>
      <c r="R237" s="49"/>
    </row>
    <row r="238" spans="1:18" x14ac:dyDescent="0.25">
      <c r="A238" s="11"/>
      <c r="B238" s="11" t="s">
        <v>27</v>
      </c>
      <c r="C238" s="11" t="s">
        <v>5090</v>
      </c>
      <c r="D238" s="11" t="s">
        <v>5091</v>
      </c>
      <c r="E238" s="11" t="s">
        <v>5092</v>
      </c>
      <c r="F238" s="12">
        <v>10</v>
      </c>
      <c r="G238" s="12">
        <v>455</v>
      </c>
      <c r="H238" s="12">
        <v>25</v>
      </c>
      <c r="I238" s="12">
        <f t="shared" si="6"/>
        <v>430</v>
      </c>
      <c r="J238" s="11" t="s">
        <v>119</v>
      </c>
      <c r="K238" s="11" t="s">
        <v>33</v>
      </c>
      <c r="L238" s="11" t="s">
        <v>4788</v>
      </c>
      <c r="M238" s="11"/>
      <c r="N238" s="11"/>
      <c r="O238" s="11"/>
      <c r="P238" s="11"/>
      <c r="Q238" s="44">
        <v>1</v>
      </c>
      <c r="R238" s="49"/>
    </row>
    <row r="239" spans="1:18" x14ac:dyDescent="0.25">
      <c r="A239" s="11"/>
      <c r="B239" s="11" t="s">
        <v>27</v>
      </c>
      <c r="C239" s="11" t="s">
        <v>5031</v>
      </c>
      <c r="D239" s="11" t="s">
        <v>5093</v>
      </c>
      <c r="E239" s="11" t="s">
        <v>5033</v>
      </c>
      <c r="F239" s="12">
        <v>1</v>
      </c>
      <c r="G239" s="12">
        <v>1630</v>
      </c>
      <c r="H239" s="12">
        <v>30</v>
      </c>
      <c r="I239" s="12">
        <f t="shared" si="6"/>
        <v>1600</v>
      </c>
      <c r="J239" s="11" t="s">
        <v>119</v>
      </c>
      <c r="K239" s="11" t="s">
        <v>33</v>
      </c>
      <c r="L239" s="11" t="s">
        <v>4788</v>
      </c>
      <c r="M239" s="24" t="s">
        <v>1217</v>
      </c>
      <c r="N239" s="11"/>
      <c r="O239" s="11"/>
      <c r="P239" s="11"/>
      <c r="Q239" s="44">
        <v>1</v>
      </c>
      <c r="R239" s="49"/>
    </row>
    <row r="240" spans="1:18" x14ac:dyDescent="0.25">
      <c r="A240" s="11"/>
      <c r="B240" s="11" t="s">
        <v>27</v>
      </c>
      <c r="C240" s="11" t="s">
        <v>5031</v>
      </c>
      <c r="D240" s="11" t="s">
        <v>5032</v>
      </c>
      <c r="E240" s="11" t="s">
        <v>5033</v>
      </c>
      <c r="F240" s="12">
        <v>1</v>
      </c>
      <c r="G240" s="12">
        <v>1160</v>
      </c>
      <c r="H240" s="12">
        <v>0</v>
      </c>
      <c r="I240" s="12">
        <f t="shared" si="6"/>
        <v>1160</v>
      </c>
      <c r="J240" s="11" t="s">
        <v>119</v>
      </c>
      <c r="K240" s="11" t="s">
        <v>33</v>
      </c>
      <c r="L240" s="11" t="s">
        <v>4788</v>
      </c>
      <c r="M240" s="24" t="s">
        <v>1217</v>
      </c>
      <c r="N240" s="11"/>
      <c r="O240" s="11"/>
      <c r="P240" s="11"/>
      <c r="Q240" s="44">
        <v>1</v>
      </c>
      <c r="R240" s="49"/>
    </row>
    <row r="241" spans="1:18" x14ac:dyDescent="0.25">
      <c r="A241" s="11"/>
      <c r="B241" s="11" t="s">
        <v>27</v>
      </c>
      <c r="C241" s="11" t="s">
        <v>5099</v>
      </c>
      <c r="D241" s="11" t="s">
        <v>5100</v>
      </c>
      <c r="E241" s="11" t="s">
        <v>5101</v>
      </c>
      <c r="F241" s="11" t="s">
        <v>118</v>
      </c>
      <c r="G241" s="12">
        <v>710</v>
      </c>
      <c r="H241" s="12">
        <v>20</v>
      </c>
      <c r="I241" s="12">
        <f t="shared" si="6"/>
        <v>690</v>
      </c>
      <c r="J241" s="11" t="s">
        <v>119</v>
      </c>
      <c r="K241" s="11" t="s">
        <v>33</v>
      </c>
      <c r="L241" s="11" t="s">
        <v>4788</v>
      </c>
      <c r="M241" s="11"/>
      <c r="N241" s="11"/>
      <c r="O241" s="11"/>
      <c r="P241" s="11"/>
      <c r="Q241" s="44">
        <v>1</v>
      </c>
      <c r="R241" s="49"/>
    </row>
    <row r="242" spans="1:18" x14ac:dyDescent="0.25">
      <c r="A242" s="11"/>
      <c r="B242" s="11" t="s">
        <v>27</v>
      </c>
      <c r="C242" s="11" t="s">
        <v>5105</v>
      </c>
      <c r="D242" s="11" t="s">
        <v>5106</v>
      </c>
      <c r="E242" s="11" t="s">
        <v>5107</v>
      </c>
      <c r="F242" s="12">
        <v>3</v>
      </c>
      <c r="G242" s="12">
        <v>428</v>
      </c>
      <c r="H242" s="12">
        <v>25</v>
      </c>
      <c r="I242" s="12">
        <f t="shared" si="6"/>
        <v>403</v>
      </c>
      <c r="J242" s="11" t="s">
        <v>119</v>
      </c>
      <c r="K242" s="11" t="s">
        <v>33</v>
      </c>
      <c r="L242" s="11" t="s">
        <v>4788</v>
      </c>
      <c r="M242" s="24" t="s">
        <v>340</v>
      </c>
      <c r="N242" s="11"/>
      <c r="O242" s="11"/>
      <c r="P242" s="11"/>
      <c r="Q242" s="44">
        <v>1</v>
      </c>
      <c r="R242" s="50">
        <f t="shared" ref="R242:R244" si="8">H242</f>
        <v>25</v>
      </c>
    </row>
    <row r="243" spans="1:18" x14ac:dyDescent="0.25">
      <c r="A243" s="11"/>
      <c r="B243" s="11" t="s">
        <v>27</v>
      </c>
      <c r="C243" s="11" t="s">
        <v>2929</v>
      </c>
      <c r="D243" s="11" t="s">
        <v>5111</v>
      </c>
      <c r="E243" s="11" t="s">
        <v>2931</v>
      </c>
      <c r="F243" s="12">
        <v>10</v>
      </c>
      <c r="G243" s="12">
        <v>1698</v>
      </c>
      <c r="H243" s="12">
        <v>25</v>
      </c>
      <c r="I243" s="12">
        <f t="shared" si="6"/>
        <v>1673</v>
      </c>
      <c r="J243" s="11" t="s">
        <v>119</v>
      </c>
      <c r="K243" s="11" t="s">
        <v>33</v>
      </c>
      <c r="L243" s="11" t="s">
        <v>4788</v>
      </c>
      <c r="M243" s="24" t="s">
        <v>340</v>
      </c>
      <c r="N243" s="11"/>
      <c r="O243" s="11"/>
      <c r="P243" s="11"/>
      <c r="Q243" s="44">
        <v>1</v>
      </c>
      <c r="R243" s="50">
        <f t="shared" si="8"/>
        <v>25</v>
      </c>
    </row>
    <row r="244" spans="1:18" x14ac:dyDescent="0.25">
      <c r="A244" s="11"/>
      <c r="B244" s="11" t="s">
        <v>27</v>
      </c>
      <c r="C244" s="11" t="s">
        <v>5115</v>
      </c>
      <c r="D244" s="11" t="s">
        <v>5116</v>
      </c>
      <c r="E244" s="11" t="s">
        <v>5117</v>
      </c>
      <c r="F244" s="11" t="s">
        <v>44</v>
      </c>
      <c r="G244" s="12">
        <v>448</v>
      </c>
      <c r="H244" s="12">
        <v>25</v>
      </c>
      <c r="I244" s="12">
        <f t="shared" si="6"/>
        <v>423</v>
      </c>
      <c r="J244" s="11" t="s">
        <v>119</v>
      </c>
      <c r="K244" s="11" t="s">
        <v>33</v>
      </c>
      <c r="L244" s="11" t="s">
        <v>4788</v>
      </c>
      <c r="M244" s="24" t="s">
        <v>340</v>
      </c>
      <c r="N244" s="11"/>
      <c r="O244" s="11"/>
      <c r="P244" s="11"/>
      <c r="Q244" s="44">
        <v>1</v>
      </c>
      <c r="R244" s="50">
        <f t="shared" si="8"/>
        <v>25</v>
      </c>
    </row>
    <row r="245" spans="1:18" x14ac:dyDescent="0.25">
      <c r="A245" s="11"/>
      <c r="B245" s="11" t="s">
        <v>27</v>
      </c>
      <c r="C245" s="11" t="s">
        <v>4328</v>
      </c>
      <c r="D245" s="11" t="s">
        <v>5118</v>
      </c>
      <c r="E245" s="11" t="s">
        <v>5119</v>
      </c>
      <c r="F245" s="12">
        <v>1</v>
      </c>
      <c r="G245" s="12">
        <v>485</v>
      </c>
      <c r="H245" s="12">
        <v>25</v>
      </c>
      <c r="I245" s="12">
        <f t="shared" si="6"/>
        <v>460</v>
      </c>
      <c r="J245" s="11" t="s">
        <v>119</v>
      </c>
      <c r="K245" s="11" t="s">
        <v>33</v>
      </c>
      <c r="L245" s="11" t="s">
        <v>4788</v>
      </c>
      <c r="M245" s="11"/>
      <c r="N245" s="11"/>
      <c r="O245" s="11"/>
      <c r="P245" s="11"/>
      <c r="Q245" s="44">
        <v>1</v>
      </c>
      <c r="R245" s="49"/>
    </row>
    <row r="246" spans="1:18" x14ac:dyDescent="0.25">
      <c r="A246" s="11"/>
      <c r="B246" s="11" t="s">
        <v>27</v>
      </c>
      <c r="C246" s="11" t="s">
        <v>5131</v>
      </c>
      <c r="D246" s="11" t="s">
        <v>5132</v>
      </c>
      <c r="E246" s="11" t="s">
        <v>5133</v>
      </c>
      <c r="F246" s="12">
        <v>3</v>
      </c>
      <c r="G246" s="12">
        <v>0</v>
      </c>
      <c r="H246" s="12">
        <v>25</v>
      </c>
      <c r="I246" s="12">
        <f t="shared" si="6"/>
        <v>-25</v>
      </c>
      <c r="J246" s="11" t="s">
        <v>119</v>
      </c>
      <c r="K246" s="11" t="s">
        <v>33</v>
      </c>
      <c r="L246" s="11" t="s">
        <v>4788</v>
      </c>
      <c r="M246" s="11"/>
      <c r="N246" s="11"/>
      <c r="O246" s="11"/>
      <c r="P246" s="11"/>
      <c r="Q246" s="44">
        <v>1</v>
      </c>
      <c r="R246" s="50">
        <f>H246</f>
        <v>25</v>
      </c>
    </row>
    <row r="247" spans="1:18" x14ac:dyDescent="0.25">
      <c r="A247" s="11"/>
      <c r="B247" s="11" t="s">
        <v>27</v>
      </c>
      <c r="C247" s="11" t="s">
        <v>5146</v>
      </c>
      <c r="D247" s="11" t="s">
        <v>5147</v>
      </c>
      <c r="E247" s="11" t="s">
        <v>5148</v>
      </c>
      <c r="F247" s="12">
        <v>10</v>
      </c>
      <c r="G247" s="12">
        <v>375</v>
      </c>
      <c r="H247" s="12">
        <v>25</v>
      </c>
      <c r="I247" s="12">
        <f t="shared" si="6"/>
        <v>350</v>
      </c>
      <c r="J247" s="11" t="s">
        <v>119</v>
      </c>
      <c r="K247" s="11" t="s">
        <v>33</v>
      </c>
      <c r="L247" s="11" t="s">
        <v>4788</v>
      </c>
      <c r="M247" s="11"/>
      <c r="N247" s="11"/>
      <c r="O247" s="11"/>
      <c r="P247" s="11"/>
      <c r="Q247" s="44">
        <v>1</v>
      </c>
      <c r="R247" s="49"/>
    </row>
    <row r="248" spans="1:18" x14ac:dyDescent="0.25">
      <c r="A248" s="11"/>
      <c r="B248" s="11" t="s">
        <v>27</v>
      </c>
      <c r="C248" s="11" t="s">
        <v>5149</v>
      </c>
      <c r="D248" s="11" t="s">
        <v>5150</v>
      </c>
      <c r="E248" s="11" t="s">
        <v>5151</v>
      </c>
      <c r="F248" s="12">
        <v>10</v>
      </c>
      <c r="G248" s="12">
        <v>1095</v>
      </c>
      <c r="H248" s="12">
        <v>25</v>
      </c>
      <c r="I248" s="12">
        <f t="shared" si="6"/>
        <v>1070</v>
      </c>
      <c r="J248" s="11" t="s">
        <v>119</v>
      </c>
      <c r="K248" s="11" t="s">
        <v>33</v>
      </c>
      <c r="L248" s="11" t="s">
        <v>4788</v>
      </c>
      <c r="M248" s="11"/>
      <c r="N248" s="11"/>
      <c r="O248" s="11"/>
      <c r="P248" s="11"/>
      <c r="Q248" s="44">
        <v>1</v>
      </c>
      <c r="R248" s="49"/>
    </row>
    <row r="249" spans="1:18" x14ac:dyDescent="0.25">
      <c r="A249" s="11"/>
      <c r="B249" s="11" t="s">
        <v>27</v>
      </c>
      <c r="C249" s="11" t="s">
        <v>4653</v>
      </c>
      <c r="D249" s="11" t="s">
        <v>5166</v>
      </c>
      <c r="E249" s="11" t="s">
        <v>4655</v>
      </c>
      <c r="F249" s="11" t="s">
        <v>44</v>
      </c>
      <c r="G249" s="12">
        <v>345</v>
      </c>
      <c r="H249" s="12">
        <v>25</v>
      </c>
      <c r="I249" s="12">
        <f t="shared" si="6"/>
        <v>320</v>
      </c>
      <c r="J249" s="11" t="s">
        <v>119</v>
      </c>
      <c r="K249" s="11" t="s">
        <v>33</v>
      </c>
      <c r="L249" s="11" t="s">
        <v>4788</v>
      </c>
      <c r="M249" s="11"/>
      <c r="N249" s="11"/>
      <c r="O249" s="11"/>
      <c r="P249" s="11"/>
      <c r="Q249" s="44">
        <v>1</v>
      </c>
      <c r="R249" s="49"/>
    </row>
    <row r="250" spans="1:18" x14ac:dyDescent="0.25">
      <c r="A250" s="11"/>
      <c r="B250" s="11" t="s">
        <v>27</v>
      </c>
      <c r="C250" s="11" t="s">
        <v>2806</v>
      </c>
      <c r="D250" s="11" t="s">
        <v>5176</v>
      </c>
      <c r="E250" s="11" t="s">
        <v>5177</v>
      </c>
      <c r="F250" s="11" t="s">
        <v>44</v>
      </c>
      <c r="G250" s="12">
        <v>455</v>
      </c>
      <c r="H250" s="12">
        <v>25</v>
      </c>
      <c r="I250" s="12">
        <f t="shared" si="6"/>
        <v>430</v>
      </c>
      <c r="J250" s="11" t="s">
        <v>119</v>
      </c>
      <c r="K250" s="11" t="s">
        <v>33</v>
      </c>
      <c r="L250" s="11" t="s">
        <v>4788</v>
      </c>
      <c r="M250" s="11"/>
      <c r="N250" s="11"/>
      <c r="O250" s="11"/>
      <c r="P250" s="11"/>
      <c r="Q250" s="44">
        <v>1</v>
      </c>
      <c r="R250" s="49"/>
    </row>
    <row r="251" spans="1:18" x14ac:dyDescent="0.25">
      <c r="A251" s="11"/>
      <c r="B251" s="11" t="s">
        <v>27</v>
      </c>
      <c r="C251" s="11" t="s">
        <v>5193</v>
      </c>
      <c r="D251" s="11" t="s">
        <v>5194</v>
      </c>
      <c r="E251" s="11" t="s">
        <v>5195</v>
      </c>
      <c r="F251" s="11" t="s">
        <v>118</v>
      </c>
      <c r="G251" s="12">
        <v>1640</v>
      </c>
      <c r="H251" s="12">
        <v>20</v>
      </c>
      <c r="I251" s="12">
        <f t="shared" si="6"/>
        <v>1620</v>
      </c>
      <c r="J251" s="11" t="s">
        <v>119</v>
      </c>
      <c r="K251" s="11" t="s">
        <v>33</v>
      </c>
      <c r="L251" s="11" t="s">
        <v>4788</v>
      </c>
      <c r="M251" s="11"/>
      <c r="N251" s="11"/>
      <c r="O251" s="11"/>
      <c r="P251" s="11"/>
      <c r="Q251" s="44">
        <v>1</v>
      </c>
      <c r="R251" s="49"/>
    </row>
    <row r="252" spans="1:18" x14ac:dyDescent="0.25">
      <c r="A252" s="11"/>
      <c r="B252" s="11" t="s">
        <v>27</v>
      </c>
      <c r="C252" s="11" t="s">
        <v>5198</v>
      </c>
      <c r="D252" s="11" t="s">
        <v>5199</v>
      </c>
      <c r="E252" s="11" t="s">
        <v>5200</v>
      </c>
      <c r="F252" s="12">
        <v>4</v>
      </c>
      <c r="G252" s="12">
        <v>1665</v>
      </c>
      <c r="H252" s="12">
        <v>25</v>
      </c>
      <c r="I252" s="12">
        <f t="shared" si="6"/>
        <v>1640</v>
      </c>
      <c r="J252" s="11" t="s">
        <v>119</v>
      </c>
      <c r="K252" s="11" t="s">
        <v>33</v>
      </c>
      <c r="L252" s="11" t="s">
        <v>4788</v>
      </c>
      <c r="M252" s="11"/>
      <c r="N252" s="11"/>
      <c r="O252" s="11"/>
      <c r="P252" s="11"/>
      <c r="Q252" s="44">
        <v>1</v>
      </c>
      <c r="R252" s="49"/>
    </row>
    <row r="253" spans="1:18" x14ac:dyDescent="0.25">
      <c r="A253" s="11"/>
      <c r="B253" s="11" t="s">
        <v>27</v>
      </c>
      <c r="C253" s="11" t="s">
        <v>5205</v>
      </c>
      <c r="D253" s="11" t="s">
        <v>5206</v>
      </c>
      <c r="E253" s="11" t="s">
        <v>5207</v>
      </c>
      <c r="F253" s="12">
        <v>1</v>
      </c>
      <c r="G253" s="12">
        <v>1075</v>
      </c>
      <c r="H253" s="12">
        <v>25</v>
      </c>
      <c r="I253" s="12">
        <f t="shared" si="6"/>
        <v>1050</v>
      </c>
      <c r="J253" s="11" t="s">
        <v>119</v>
      </c>
      <c r="K253" s="11" t="s">
        <v>33</v>
      </c>
      <c r="L253" s="11" t="s">
        <v>4788</v>
      </c>
      <c r="M253" s="11"/>
      <c r="N253" s="11"/>
      <c r="O253" s="11"/>
      <c r="P253" s="11"/>
      <c r="Q253" s="44">
        <v>1</v>
      </c>
      <c r="R253" s="49"/>
    </row>
    <row r="254" spans="1:18" x14ac:dyDescent="0.25">
      <c r="A254" s="11"/>
      <c r="B254" s="11" t="s">
        <v>27</v>
      </c>
      <c r="C254" s="11" t="s">
        <v>5208</v>
      </c>
      <c r="D254" s="11" t="s">
        <v>5209</v>
      </c>
      <c r="E254" s="11" t="s">
        <v>5210</v>
      </c>
      <c r="F254" s="11" t="s">
        <v>44</v>
      </c>
      <c r="G254" s="12">
        <v>675</v>
      </c>
      <c r="H254" s="12">
        <v>25</v>
      </c>
      <c r="I254" s="12">
        <f t="shared" si="6"/>
        <v>650</v>
      </c>
      <c r="J254" s="11" t="s">
        <v>119</v>
      </c>
      <c r="K254" s="11" t="s">
        <v>33</v>
      </c>
      <c r="L254" s="11" t="s">
        <v>4788</v>
      </c>
      <c r="M254" s="11"/>
      <c r="N254" s="11"/>
      <c r="O254" s="11"/>
      <c r="P254" s="11"/>
      <c r="Q254" s="44">
        <v>1</v>
      </c>
      <c r="R254" s="49"/>
    </row>
    <row r="255" spans="1:18" x14ac:dyDescent="0.25">
      <c r="A255" s="11"/>
      <c r="B255" s="11" t="s">
        <v>27</v>
      </c>
      <c r="C255" s="11" t="s">
        <v>5211</v>
      </c>
      <c r="D255" s="11" t="s">
        <v>5212</v>
      </c>
      <c r="E255" s="11" t="s">
        <v>5213</v>
      </c>
      <c r="F255" s="12">
        <v>10</v>
      </c>
      <c r="G255" s="12">
        <v>2308</v>
      </c>
      <c r="H255" s="12">
        <v>30</v>
      </c>
      <c r="I255" s="12">
        <f t="shared" si="6"/>
        <v>2278</v>
      </c>
      <c r="J255" s="11" t="s">
        <v>119</v>
      </c>
      <c r="K255" s="11" t="s">
        <v>33</v>
      </c>
      <c r="L255" s="11" t="s">
        <v>4788</v>
      </c>
      <c r="M255" s="24" t="s">
        <v>340</v>
      </c>
      <c r="N255" s="11"/>
      <c r="O255" s="11"/>
      <c r="P255" s="11"/>
      <c r="Q255" s="44">
        <v>1</v>
      </c>
      <c r="R255" s="50">
        <f>H255</f>
        <v>30</v>
      </c>
    </row>
    <row r="256" spans="1:18" x14ac:dyDescent="0.25">
      <c r="A256" s="11"/>
      <c r="B256" s="11" t="s">
        <v>27</v>
      </c>
      <c r="C256" s="11" t="s">
        <v>5218</v>
      </c>
      <c r="D256" s="11" t="s">
        <v>5219</v>
      </c>
      <c r="E256" s="11" t="s">
        <v>5220</v>
      </c>
      <c r="F256" s="12">
        <v>1</v>
      </c>
      <c r="G256" s="12">
        <v>885</v>
      </c>
      <c r="H256" s="12">
        <v>25</v>
      </c>
      <c r="I256" s="12">
        <f t="shared" si="6"/>
        <v>860</v>
      </c>
      <c r="J256" s="11" t="s">
        <v>119</v>
      </c>
      <c r="K256" s="11" t="s">
        <v>33</v>
      </c>
      <c r="L256" s="11" t="s">
        <v>4788</v>
      </c>
      <c r="M256" s="11"/>
      <c r="N256" s="11"/>
      <c r="O256" s="11"/>
      <c r="P256" s="11"/>
      <c r="Q256" s="44">
        <v>1</v>
      </c>
      <c r="R256" s="49"/>
    </row>
    <row r="257" spans="1:18" x14ac:dyDescent="0.25">
      <c r="A257" s="11"/>
      <c r="B257" s="11" t="s">
        <v>27</v>
      </c>
      <c r="C257" s="11" t="s">
        <v>5221</v>
      </c>
      <c r="D257" s="11" t="s">
        <v>5222</v>
      </c>
      <c r="E257" s="11" t="s">
        <v>5223</v>
      </c>
      <c r="F257" s="12">
        <v>10</v>
      </c>
      <c r="G257" s="12">
        <v>1695</v>
      </c>
      <c r="H257" s="12">
        <v>25</v>
      </c>
      <c r="I257" s="12">
        <f t="shared" si="6"/>
        <v>1670</v>
      </c>
      <c r="J257" s="11" t="s">
        <v>119</v>
      </c>
      <c r="K257" s="11" t="s">
        <v>33</v>
      </c>
      <c r="L257" s="11" t="s">
        <v>4788</v>
      </c>
      <c r="M257" s="11"/>
      <c r="N257" s="11"/>
      <c r="O257" s="11"/>
      <c r="P257" s="11"/>
      <c r="Q257" s="44">
        <v>1</v>
      </c>
      <c r="R257" s="49"/>
    </row>
    <row r="258" spans="1:18" x14ac:dyDescent="0.25">
      <c r="A258" s="11"/>
      <c r="B258" s="11" t="s">
        <v>27</v>
      </c>
      <c r="C258" s="11" t="s">
        <v>5230</v>
      </c>
      <c r="D258" s="11" t="s">
        <v>5231</v>
      </c>
      <c r="E258" s="11" t="s">
        <v>5232</v>
      </c>
      <c r="F258" s="12">
        <v>4</v>
      </c>
      <c r="G258" s="12">
        <v>448</v>
      </c>
      <c r="H258" s="12">
        <v>25</v>
      </c>
      <c r="I258" s="12">
        <f t="shared" si="6"/>
        <v>423</v>
      </c>
      <c r="J258" s="11" t="s">
        <v>119</v>
      </c>
      <c r="K258" s="11" t="s">
        <v>33</v>
      </c>
      <c r="L258" s="11" t="s">
        <v>4788</v>
      </c>
      <c r="M258" s="24" t="s">
        <v>340</v>
      </c>
      <c r="N258" s="11"/>
      <c r="O258" s="11"/>
      <c r="P258" s="11"/>
      <c r="Q258" s="44">
        <v>1</v>
      </c>
      <c r="R258" s="50">
        <f>H258</f>
        <v>25</v>
      </c>
    </row>
    <row r="259" spans="1:18" x14ac:dyDescent="0.25">
      <c r="A259" s="11"/>
      <c r="B259" s="11" t="s">
        <v>27</v>
      </c>
      <c r="C259" s="11" t="s">
        <v>5233</v>
      </c>
      <c r="D259" s="11" t="s">
        <v>5234</v>
      </c>
      <c r="E259" s="11" t="s">
        <v>5235</v>
      </c>
      <c r="F259" s="12">
        <v>1</v>
      </c>
      <c r="G259" s="12">
        <v>695</v>
      </c>
      <c r="H259" s="12">
        <v>25</v>
      </c>
      <c r="I259" s="12">
        <f t="shared" ref="I259:I317" si="9">G259-H259</f>
        <v>670</v>
      </c>
      <c r="J259" s="11" t="s">
        <v>119</v>
      </c>
      <c r="K259" s="11" t="s">
        <v>33</v>
      </c>
      <c r="L259" s="11" t="s">
        <v>4788</v>
      </c>
      <c r="M259" s="11"/>
      <c r="N259" s="11"/>
      <c r="O259" s="11"/>
      <c r="P259" s="11"/>
      <c r="Q259" s="44">
        <v>1</v>
      </c>
      <c r="R259" s="49"/>
    </row>
    <row r="260" spans="1:18" x14ac:dyDescent="0.25">
      <c r="A260" s="11"/>
      <c r="B260" s="11" t="s">
        <v>27</v>
      </c>
      <c r="C260" s="11" t="s">
        <v>5236</v>
      </c>
      <c r="D260" s="11" t="s">
        <v>5237</v>
      </c>
      <c r="E260" s="11" t="s">
        <v>5238</v>
      </c>
      <c r="F260" s="11" t="s">
        <v>44</v>
      </c>
      <c r="G260" s="12">
        <v>298</v>
      </c>
      <c r="H260" s="12">
        <v>25</v>
      </c>
      <c r="I260" s="12">
        <f t="shared" si="9"/>
        <v>273</v>
      </c>
      <c r="J260" s="11" t="s">
        <v>119</v>
      </c>
      <c r="K260" s="11" t="s">
        <v>33</v>
      </c>
      <c r="L260" s="11" t="s">
        <v>4788</v>
      </c>
      <c r="M260" s="24" t="s">
        <v>340</v>
      </c>
      <c r="N260" s="11"/>
      <c r="O260" s="11"/>
      <c r="P260" s="11"/>
      <c r="Q260" s="44">
        <v>1</v>
      </c>
      <c r="R260" s="50">
        <f>H260</f>
        <v>25</v>
      </c>
    </row>
    <row r="261" spans="1:18" x14ac:dyDescent="0.25">
      <c r="A261" s="11"/>
      <c r="B261" s="11" t="s">
        <v>27</v>
      </c>
      <c r="C261" s="11" t="s">
        <v>5239</v>
      </c>
      <c r="D261" s="11" t="s">
        <v>5240</v>
      </c>
      <c r="E261" s="11" t="s">
        <v>5241</v>
      </c>
      <c r="F261" s="12">
        <v>1</v>
      </c>
      <c r="G261" s="12">
        <v>1485</v>
      </c>
      <c r="H261" s="12">
        <v>25</v>
      </c>
      <c r="I261" s="12">
        <f t="shared" si="9"/>
        <v>1460</v>
      </c>
      <c r="J261" s="11" t="s">
        <v>119</v>
      </c>
      <c r="K261" s="11" t="s">
        <v>33</v>
      </c>
      <c r="L261" s="11" t="s">
        <v>4788</v>
      </c>
      <c r="M261" s="11"/>
      <c r="N261" s="11"/>
      <c r="O261" s="11"/>
      <c r="P261" s="11"/>
      <c r="Q261" s="44">
        <v>1</v>
      </c>
      <c r="R261" s="49"/>
    </row>
    <row r="262" spans="1:18" x14ac:dyDescent="0.25">
      <c r="A262" s="11"/>
      <c r="B262" s="11" t="s">
        <v>27</v>
      </c>
      <c r="C262" s="11" t="s">
        <v>5259</v>
      </c>
      <c r="D262" s="11" t="s">
        <v>5260</v>
      </c>
      <c r="E262" s="11" t="s">
        <v>5261</v>
      </c>
      <c r="F262" s="12">
        <v>4</v>
      </c>
      <c r="G262" s="12">
        <v>1675</v>
      </c>
      <c r="H262" s="12">
        <v>25</v>
      </c>
      <c r="I262" s="12">
        <f t="shared" si="9"/>
        <v>1650</v>
      </c>
      <c r="J262" s="11" t="s">
        <v>119</v>
      </c>
      <c r="K262" s="11" t="s">
        <v>33</v>
      </c>
      <c r="L262" s="11" t="s">
        <v>4788</v>
      </c>
      <c r="M262" s="11"/>
      <c r="N262" s="11"/>
      <c r="O262" s="11"/>
      <c r="P262" s="11"/>
      <c r="Q262" s="44">
        <v>1</v>
      </c>
      <c r="R262" s="49"/>
    </row>
    <row r="263" spans="1:18" x14ac:dyDescent="0.25">
      <c r="A263" s="11"/>
      <c r="B263" s="11" t="s">
        <v>27</v>
      </c>
      <c r="C263" s="11" t="s">
        <v>5271</v>
      </c>
      <c r="D263" s="11" t="s">
        <v>5272</v>
      </c>
      <c r="E263" s="11" t="s">
        <v>5273</v>
      </c>
      <c r="F263" s="12">
        <v>10</v>
      </c>
      <c r="G263" s="12">
        <v>925</v>
      </c>
      <c r="H263" s="12">
        <v>25</v>
      </c>
      <c r="I263" s="12">
        <f t="shared" si="9"/>
        <v>900</v>
      </c>
      <c r="J263" s="11" t="s">
        <v>119</v>
      </c>
      <c r="K263" s="11" t="s">
        <v>33</v>
      </c>
      <c r="L263" s="11" t="s">
        <v>4788</v>
      </c>
      <c r="M263" s="11"/>
      <c r="N263" s="11"/>
      <c r="O263" s="11"/>
      <c r="P263" s="11"/>
      <c r="Q263" s="44">
        <v>1</v>
      </c>
      <c r="R263" s="49"/>
    </row>
    <row r="264" spans="1:18" x14ac:dyDescent="0.25">
      <c r="A264" s="11"/>
      <c r="B264" s="11" t="s">
        <v>27</v>
      </c>
      <c r="C264" s="11" t="s">
        <v>5280</v>
      </c>
      <c r="D264" s="11" t="s">
        <v>5281</v>
      </c>
      <c r="E264" s="11" t="s">
        <v>5282</v>
      </c>
      <c r="F264" s="11" t="s">
        <v>44</v>
      </c>
      <c r="G264" s="12">
        <v>605</v>
      </c>
      <c r="H264" s="12">
        <v>25</v>
      </c>
      <c r="I264" s="12">
        <f t="shared" si="9"/>
        <v>580</v>
      </c>
      <c r="J264" s="11" t="s">
        <v>119</v>
      </c>
      <c r="K264" s="11" t="s">
        <v>33</v>
      </c>
      <c r="L264" s="11" t="s">
        <v>4788</v>
      </c>
      <c r="M264" s="11"/>
      <c r="N264" s="11"/>
      <c r="O264" s="11"/>
      <c r="P264" s="11"/>
      <c r="Q264" s="44">
        <v>1</v>
      </c>
      <c r="R264" s="49"/>
    </row>
    <row r="265" spans="1:18" x14ac:dyDescent="0.25">
      <c r="A265" s="11"/>
      <c r="B265" s="11" t="s">
        <v>27</v>
      </c>
      <c r="C265" s="11" t="s">
        <v>5289</v>
      </c>
      <c r="D265" s="11" t="s">
        <v>5290</v>
      </c>
      <c r="E265" s="11" t="s">
        <v>5291</v>
      </c>
      <c r="F265" s="12">
        <v>10</v>
      </c>
      <c r="G265" s="12">
        <v>398</v>
      </c>
      <c r="H265" s="12">
        <v>25</v>
      </c>
      <c r="I265" s="12">
        <f t="shared" si="9"/>
        <v>373</v>
      </c>
      <c r="J265" s="11" t="s">
        <v>119</v>
      </c>
      <c r="K265" s="11" t="s">
        <v>33</v>
      </c>
      <c r="L265" s="11" t="s">
        <v>4788</v>
      </c>
      <c r="M265" s="24" t="s">
        <v>340</v>
      </c>
      <c r="N265" s="11"/>
      <c r="O265" s="11"/>
      <c r="P265" s="11"/>
      <c r="Q265" s="44">
        <v>1</v>
      </c>
      <c r="R265" s="50">
        <f>H265</f>
        <v>25</v>
      </c>
    </row>
    <row r="266" spans="1:18" x14ac:dyDescent="0.25">
      <c r="A266" s="11"/>
      <c r="B266" s="11" t="s">
        <v>27</v>
      </c>
      <c r="C266" s="11" t="s">
        <v>5292</v>
      </c>
      <c r="D266" s="11" t="s">
        <v>5293</v>
      </c>
      <c r="E266" s="11" t="s">
        <v>5294</v>
      </c>
      <c r="F266" s="11" t="s">
        <v>44</v>
      </c>
      <c r="G266" s="12">
        <v>1055</v>
      </c>
      <c r="H266" s="12">
        <v>25</v>
      </c>
      <c r="I266" s="12">
        <f t="shared" si="9"/>
        <v>1030</v>
      </c>
      <c r="J266" s="11" t="s">
        <v>119</v>
      </c>
      <c r="K266" s="11" t="s">
        <v>33</v>
      </c>
      <c r="L266" s="11" t="s">
        <v>4788</v>
      </c>
      <c r="M266" s="11"/>
      <c r="N266" s="11"/>
      <c r="O266" s="11"/>
      <c r="P266" s="11"/>
      <c r="Q266" s="44">
        <v>1</v>
      </c>
      <c r="R266" s="49"/>
    </row>
    <row r="267" spans="1:18" x14ac:dyDescent="0.25">
      <c r="A267" s="11"/>
      <c r="B267" s="11" t="s">
        <v>27</v>
      </c>
      <c r="C267" s="11" t="s">
        <v>5297</v>
      </c>
      <c r="D267" s="11" t="s">
        <v>5298</v>
      </c>
      <c r="E267" s="11" t="s">
        <v>5299</v>
      </c>
      <c r="F267" s="12">
        <v>4</v>
      </c>
      <c r="G267" s="12">
        <v>465</v>
      </c>
      <c r="H267" s="12">
        <v>25</v>
      </c>
      <c r="I267" s="12">
        <f t="shared" si="9"/>
        <v>440</v>
      </c>
      <c r="J267" s="11" t="s">
        <v>119</v>
      </c>
      <c r="K267" s="11" t="s">
        <v>33</v>
      </c>
      <c r="L267" s="11" t="s">
        <v>4788</v>
      </c>
      <c r="M267" s="11"/>
      <c r="N267" s="11"/>
      <c r="O267" s="11"/>
      <c r="P267" s="11"/>
      <c r="Q267" s="44">
        <v>1</v>
      </c>
      <c r="R267" s="49"/>
    </row>
    <row r="268" spans="1:18" x14ac:dyDescent="0.25">
      <c r="A268" s="11"/>
      <c r="B268" s="11" t="s">
        <v>27</v>
      </c>
      <c r="C268" s="11" t="s">
        <v>5300</v>
      </c>
      <c r="D268" s="11" t="s">
        <v>5301</v>
      </c>
      <c r="E268" s="11" t="s">
        <v>5302</v>
      </c>
      <c r="F268" s="12">
        <v>4</v>
      </c>
      <c r="G268" s="12">
        <v>315</v>
      </c>
      <c r="H268" s="12">
        <v>25</v>
      </c>
      <c r="I268" s="12">
        <f t="shared" si="9"/>
        <v>290</v>
      </c>
      <c r="J268" s="11" t="s">
        <v>119</v>
      </c>
      <c r="K268" s="11" t="s">
        <v>33</v>
      </c>
      <c r="L268" s="11" t="s">
        <v>4788</v>
      </c>
      <c r="M268" s="11"/>
      <c r="N268" s="11"/>
      <c r="O268" s="11"/>
      <c r="P268" s="11"/>
      <c r="Q268" s="44">
        <v>1</v>
      </c>
      <c r="R268" s="49"/>
    </row>
    <row r="269" spans="1:18" x14ac:dyDescent="0.25">
      <c r="A269" s="11"/>
      <c r="B269" s="11" t="s">
        <v>27</v>
      </c>
      <c r="C269" s="11" t="s">
        <v>5309</v>
      </c>
      <c r="D269" s="11" t="s">
        <v>5310</v>
      </c>
      <c r="E269" s="11" t="s">
        <v>5311</v>
      </c>
      <c r="F269" s="12">
        <v>1</v>
      </c>
      <c r="G269" s="12">
        <v>995</v>
      </c>
      <c r="H269" s="12">
        <v>25</v>
      </c>
      <c r="I269" s="12">
        <f t="shared" si="9"/>
        <v>970</v>
      </c>
      <c r="J269" s="11" t="s">
        <v>119</v>
      </c>
      <c r="K269" s="11" t="s">
        <v>33</v>
      </c>
      <c r="L269" s="11" t="s">
        <v>4788</v>
      </c>
      <c r="M269" s="11"/>
      <c r="N269" s="11"/>
      <c r="O269" s="11"/>
      <c r="P269" s="11"/>
      <c r="Q269" s="44">
        <v>1</v>
      </c>
      <c r="R269" s="49"/>
    </row>
    <row r="270" spans="1:18" x14ac:dyDescent="0.25">
      <c r="A270" s="11"/>
      <c r="B270" s="11" t="s">
        <v>27</v>
      </c>
      <c r="C270" s="11" t="s">
        <v>5322</v>
      </c>
      <c r="D270" s="11" t="s">
        <v>5323</v>
      </c>
      <c r="E270" s="11" t="s">
        <v>5324</v>
      </c>
      <c r="F270" s="12">
        <v>10</v>
      </c>
      <c r="G270" s="12">
        <v>475</v>
      </c>
      <c r="H270" s="12">
        <v>25</v>
      </c>
      <c r="I270" s="12">
        <f t="shared" si="9"/>
        <v>450</v>
      </c>
      <c r="J270" s="11" t="s">
        <v>119</v>
      </c>
      <c r="K270" s="11" t="s">
        <v>33</v>
      </c>
      <c r="L270" s="11" t="s">
        <v>4788</v>
      </c>
      <c r="M270" s="11"/>
      <c r="N270" s="11"/>
      <c r="O270" s="11"/>
      <c r="P270" s="11"/>
      <c r="Q270" s="44">
        <v>1</v>
      </c>
      <c r="R270" s="49"/>
    </row>
    <row r="271" spans="1:18" x14ac:dyDescent="0.25">
      <c r="A271" s="11"/>
      <c r="B271" s="11" t="s">
        <v>27</v>
      </c>
      <c r="C271" s="11" t="s">
        <v>5363</v>
      </c>
      <c r="D271" s="11" t="s">
        <v>5364</v>
      </c>
      <c r="E271" s="11" t="s">
        <v>5365</v>
      </c>
      <c r="F271" s="12">
        <v>3</v>
      </c>
      <c r="G271" s="12">
        <v>445</v>
      </c>
      <c r="H271" s="12">
        <v>25</v>
      </c>
      <c r="I271" s="12">
        <f t="shared" si="9"/>
        <v>420</v>
      </c>
      <c r="J271" s="11" t="s">
        <v>119</v>
      </c>
      <c r="K271" s="11" t="s">
        <v>33</v>
      </c>
      <c r="L271" s="11" t="s">
        <v>4788</v>
      </c>
      <c r="M271" s="11"/>
      <c r="N271" s="11"/>
      <c r="O271" s="11"/>
      <c r="P271" s="11"/>
      <c r="Q271" s="44">
        <v>1</v>
      </c>
      <c r="R271" s="49"/>
    </row>
    <row r="272" spans="1:18" x14ac:dyDescent="0.25">
      <c r="A272" s="11"/>
      <c r="B272" s="11" t="s">
        <v>27</v>
      </c>
      <c r="C272" s="11" t="s">
        <v>5369</v>
      </c>
      <c r="D272" s="11" t="s">
        <v>5370</v>
      </c>
      <c r="E272" s="11" t="s">
        <v>5371</v>
      </c>
      <c r="F272" s="12">
        <v>1</v>
      </c>
      <c r="G272" s="12">
        <v>298</v>
      </c>
      <c r="H272" s="12">
        <v>25</v>
      </c>
      <c r="I272" s="12">
        <f t="shared" si="9"/>
        <v>273</v>
      </c>
      <c r="J272" s="11" t="s">
        <v>119</v>
      </c>
      <c r="K272" s="11" t="s">
        <v>33</v>
      </c>
      <c r="L272" s="11" t="s">
        <v>4788</v>
      </c>
      <c r="M272" s="24" t="s">
        <v>340</v>
      </c>
      <c r="N272" s="11"/>
      <c r="O272" s="11"/>
      <c r="P272" s="11"/>
      <c r="Q272" s="44">
        <v>1</v>
      </c>
      <c r="R272" s="50">
        <f>H272</f>
        <v>25</v>
      </c>
    </row>
    <row r="273" spans="1:18" x14ac:dyDescent="0.25">
      <c r="A273" s="11"/>
      <c r="B273" s="11" t="s">
        <v>27</v>
      </c>
      <c r="C273" s="11" t="s">
        <v>5383</v>
      </c>
      <c r="D273" s="11" t="s">
        <v>5384</v>
      </c>
      <c r="E273" s="11" t="s">
        <v>5385</v>
      </c>
      <c r="F273" s="12">
        <v>3</v>
      </c>
      <c r="G273" s="12">
        <v>615</v>
      </c>
      <c r="H273" s="12">
        <v>25</v>
      </c>
      <c r="I273" s="12">
        <f t="shared" si="9"/>
        <v>590</v>
      </c>
      <c r="J273" s="11" t="s">
        <v>119</v>
      </c>
      <c r="K273" s="11" t="s">
        <v>33</v>
      </c>
      <c r="L273" s="11" t="s">
        <v>4788</v>
      </c>
      <c r="M273" s="11"/>
      <c r="N273" s="11"/>
      <c r="O273" s="11"/>
      <c r="P273" s="11"/>
      <c r="Q273" s="44">
        <v>1</v>
      </c>
      <c r="R273" s="49"/>
    </row>
    <row r="274" spans="1:18" x14ac:dyDescent="0.25">
      <c r="A274" s="11"/>
      <c r="B274" s="11" t="s">
        <v>27</v>
      </c>
      <c r="C274" s="11" t="s">
        <v>5396</v>
      </c>
      <c r="D274" s="11" t="s">
        <v>5397</v>
      </c>
      <c r="E274" s="11" t="s">
        <v>5398</v>
      </c>
      <c r="F274" s="12">
        <v>1</v>
      </c>
      <c r="G274" s="12">
        <v>415</v>
      </c>
      <c r="H274" s="12">
        <v>25</v>
      </c>
      <c r="I274" s="12">
        <f t="shared" si="9"/>
        <v>390</v>
      </c>
      <c r="J274" s="11" t="s">
        <v>119</v>
      </c>
      <c r="K274" s="11" t="s">
        <v>33</v>
      </c>
      <c r="L274" s="11" t="s">
        <v>4788</v>
      </c>
      <c r="M274" s="11"/>
      <c r="N274" s="11"/>
      <c r="O274" s="11"/>
      <c r="P274" s="11"/>
      <c r="Q274" s="44">
        <v>1</v>
      </c>
      <c r="R274" s="49"/>
    </row>
    <row r="275" spans="1:18" x14ac:dyDescent="0.25">
      <c r="A275" s="11"/>
      <c r="B275" s="11" t="s">
        <v>27</v>
      </c>
      <c r="C275" s="11" t="s">
        <v>5410</v>
      </c>
      <c r="D275" s="11" t="s">
        <v>5411</v>
      </c>
      <c r="E275" s="11" t="s">
        <v>5412</v>
      </c>
      <c r="F275" s="12">
        <v>3</v>
      </c>
      <c r="G275" s="12">
        <v>1295</v>
      </c>
      <c r="H275" s="12">
        <v>25</v>
      </c>
      <c r="I275" s="12">
        <f t="shared" si="9"/>
        <v>1270</v>
      </c>
      <c r="J275" s="11" t="s">
        <v>119</v>
      </c>
      <c r="K275" s="11" t="s">
        <v>33</v>
      </c>
      <c r="L275" s="11" t="s">
        <v>4788</v>
      </c>
      <c r="M275" s="11"/>
      <c r="N275" s="11"/>
      <c r="O275" s="11"/>
      <c r="P275" s="11"/>
      <c r="Q275" s="44">
        <v>1</v>
      </c>
      <c r="R275" s="49"/>
    </row>
    <row r="276" spans="1:18" x14ac:dyDescent="0.25">
      <c r="A276" s="11"/>
      <c r="B276" s="11" t="s">
        <v>27</v>
      </c>
      <c r="C276" s="11" t="s">
        <v>5413</v>
      </c>
      <c r="D276" s="11" t="s">
        <v>5414</v>
      </c>
      <c r="E276" s="11" t="s">
        <v>5415</v>
      </c>
      <c r="F276" s="11" t="s">
        <v>78</v>
      </c>
      <c r="G276" s="12">
        <v>940</v>
      </c>
      <c r="H276" s="12">
        <v>20</v>
      </c>
      <c r="I276" s="12">
        <f t="shared" si="9"/>
        <v>920</v>
      </c>
      <c r="J276" s="11" t="s">
        <v>119</v>
      </c>
      <c r="K276" s="11" t="s">
        <v>33</v>
      </c>
      <c r="L276" s="11" t="s">
        <v>4788</v>
      </c>
      <c r="M276" s="11"/>
      <c r="N276" s="11"/>
      <c r="O276" s="11"/>
      <c r="P276" s="11"/>
      <c r="Q276" s="44">
        <v>1</v>
      </c>
      <c r="R276" s="49"/>
    </row>
    <row r="277" spans="1:18" x14ac:dyDescent="0.25">
      <c r="A277" s="11"/>
      <c r="B277" s="11" t="s">
        <v>27</v>
      </c>
      <c r="C277" s="11" t="s">
        <v>3431</v>
      </c>
      <c r="D277" s="11" t="s">
        <v>5419</v>
      </c>
      <c r="E277" s="11" t="s">
        <v>5420</v>
      </c>
      <c r="F277" s="12">
        <v>3</v>
      </c>
      <c r="G277" s="12">
        <v>815</v>
      </c>
      <c r="H277" s="12">
        <v>25</v>
      </c>
      <c r="I277" s="12">
        <f t="shared" si="9"/>
        <v>790</v>
      </c>
      <c r="J277" s="11" t="s">
        <v>119</v>
      </c>
      <c r="K277" s="11" t="s">
        <v>33</v>
      </c>
      <c r="L277" s="11" t="s">
        <v>4788</v>
      </c>
      <c r="M277" s="11"/>
      <c r="N277" s="11"/>
      <c r="O277" s="11"/>
      <c r="P277" s="11"/>
      <c r="Q277" s="44">
        <v>1</v>
      </c>
      <c r="R277" s="49"/>
    </row>
    <row r="278" spans="1:18" x14ac:dyDescent="0.25">
      <c r="A278" s="11"/>
      <c r="B278" s="11" t="s">
        <v>27</v>
      </c>
      <c r="C278" s="11" t="s">
        <v>2998</v>
      </c>
      <c r="D278" s="11" t="s">
        <v>5421</v>
      </c>
      <c r="E278" s="11" t="s">
        <v>5422</v>
      </c>
      <c r="F278" s="11" t="s">
        <v>44</v>
      </c>
      <c r="G278" s="12">
        <v>955</v>
      </c>
      <c r="H278" s="12">
        <v>25</v>
      </c>
      <c r="I278" s="12">
        <f t="shared" si="9"/>
        <v>930</v>
      </c>
      <c r="J278" s="11" t="s">
        <v>119</v>
      </c>
      <c r="K278" s="11" t="s">
        <v>33</v>
      </c>
      <c r="L278" s="11" t="s">
        <v>4788</v>
      </c>
      <c r="M278" s="11"/>
      <c r="N278" s="11"/>
      <c r="O278" s="11"/>
      <c r="P278" s="11"/>
      <c r="Q278" s="44">
        <v>1</v>
      </c>
      <c r="R278" s="49"/>
    </row>
    <row r="279" spans="1:18" x14ac:dyDescent="0.25">
      <c r="A279" s="11"/>
      <c r="B279" s="11" t="s">
        <v>27</v>
      </c>
      <c r="C279" s="11" t="s">
        <v>5430</v>
      </c>
      <c r="D279" s="11" t="s">
        <v>5431</v>
      </c>
      <c r="E279" s="11" t="s">
        <v>5432</v>
      </c>
      <c r="F279" s="11" t="s">
        <v>44</v>
      </c>
      <c r="G279" s="12">
        <v>845</v>
      </c>
      <c r="H279" s="12">
        <v>25</v>
      </c>
      <c r="I279" s="12">
        <f t="shared" si="9"/>
        <v>820</v>
      </c>
      <c r="J279" s="11" t="s">
        <v>119</v>
      </c>
      <c r="K279" s="11" t="s">
        <v>33</v>
      </c>
      <c r="L279" s="11" t="s">
        <v>4788</v>
      </c>
      <c r="M279" s="11"/>
      <c r="N279" s="11"/>
      <c r="O279" s="11"/>
      <c r="P279" s="11"/>
      <c r="Q279" s="44">
        <v>1</v>
      </c>
      <c r="R279" s="49"/>
    </row>
    <row r="280" spans="1:18" x14ac:dyDescent="0.25">
      <c r="A280" s="11"/>
      <c r="B280" s="11" t="s">
        <v>27</v>
      </c>
      <c r="C280" s="11" t="s">
        <v>5435</v>
      </c>
      <c r="D280" s="11" t="s">
        <v>5436</v>
      </c>
      <c r="E280" s="11" t="s">
        <v>5437</v>
      </c>
      <c r="F280" s="11" t="s">
        <v>118</v>
      </c>
      <c r="G280" s="12">
        <v>430</v>
      </c>
      <c r="H280" s="12">
        <v>20</v>
      </c>
      <c r="I280" s="12">
        <f t="shared" si="9"/>
        <v>410</v>
      </c>
      <c r="J280" s="11" t="s">
        <v>119</v>
      </c>
      <c r="K280" s="11" t="s">
        <v>33</v>
      </c>
      <c r="L280" s="11" t="s">
        <v>4788</v>
      </c>
      <c r="M280" s="11"/>
      <c r="N280" s="11"/>
      <c r="O280" s="11"/>
      <c r="P280" s="11"/>
      <c r="Q280" s="44">
        <v>1</v>
      </c>
      <c r="R280" s="49"/>
    </row>
    <row r="281" spans="1:18" x14ac:dyDescent="0.25">
      <c r="A281" s="11"/>
      <c r="B281" s="11" t="s">
        <v>27</v>
      </c>
      <c r="C281" s="11" t="s">
        <v>5441</v>
      </c>
      <c r="D281" s="11" t="s">
        <v>5442</v>
      </c>
      <c r="E281" s="11" t="s">
        <v>5443</v>
      </c>
      <c r="F281" s="12">
        <v>1</v>
      </c>
      <c r="G281" s="12">
        <v>315</v>
      </c>
      <c r="H281" s="12">
        <v>25</v>
      </c>
      <c r="I281" s="12">
        <f t="shared" si="9"/>
        <v>290</v>
      </c>
      <c r="J281" s="11" t="s">
        <v>119</v>
      </c>
      <c r="K281" s="11" t="s">
        <v>33</v>
      </c>
      <c r="L281" s="11" t="s">
        <v>4788</v>
      </c>
      <c r="M281" s="11"/>
      <c r="N281" s="11"/>
      <c r="O281" s="11"/>
      <c r="P281" s="11"/>
      <c r="Q281" s="44">
        <v>1</v>
      </c>
      <c r="R281" s="49"/>
    </row>
    <row r="282" spans="1:18" x14ac:dyDescent="0.25">
      <c r="A282" s="11"/>
      <c r="B282" s="11" t="s">
        <v>27</v>
      </c>
      <c r="C282" s="11" t="s">
        <v>5447</v>
      </c>
      <c r="D282" s="11" t="s">
        <v>5448</v>
      </c>
      <c r="E282" s="11" t="s">
        <v>5449</v>
      </c>
      <c r="F282" s="11" t="s">
        <v>44</v>
      </c>
      <c r="G282" s="12">
        <v>905</v>
      </c>
      <c r="H282" s="12">
        <v>25</v>
      </c>
      <c r="I282" s="12">
        <f t="shared" si="9"/>
        <v>880</v>
      </c>
      <c r="J282" s="11" t="s">
        <v>119</v>
      </c>
      <c r="K282" s="11" t="s">
        <v>33</v>
      </c>
      <c r="L282" s="11" t="s">
        <v>4788</v>
      </c>
      <c r="M282" s="11"/>
      <c r="N282" s="11"/>
      <c r="O282" s="11"/>
      <c r="P282" s="11"/>
      <c r="Q282" s="44">
        <v>1</v>
      </c>
      <c r="R282" s="49"/>
    </row>
    <row r="283" spans="1:18" x14ac:dyDescent="0.25">
      <c r="A283" s="11"/>
      <c r="B283" s="11" t="s">
        <v>27</v>
      </c>
      <c r="C283" s="11" t="s">
        <v>5453</v>
      </c>
      <c r="D283" s="11" t="s">
        <v>5454</v>
      </c>
      <c r="E283" s="11" t="s">
        <v>5455</v>
      </c>
      <c r="F283" s="12">
        <v>3</v>
      </c>
      <c r="G283" s="12">
        <v>1578</v>
      </c>
      <c r="H283" s="12">
        <v>25</v>
      </c>
      <c r="I283" s="12">
        <f t="shared" si="9"/>
        <v>1553</v>
      </c>
      <c r="J283" s="11" t="s">
        <v>119</v>
      </c>
      <c r="K283" s="11" t="s">
        <v>33</v>
      </c>
      <c r="L283" s="11" t="s">
        <v>4788</v>
      </c>
      <c r="M283" s="24" t="s">
        <v>340</v>
      </c>
      <c r="N283" s="11"/>
      <c r="O283" s="11"/>
      <c r="P283" s="11"/>
      <c r="Q283" s="44">
        <v>1</v>
      </c>
      <c r="R283" s="50">
        <f>H283</f>
        <v>25</v>
      </c>
    </row>
    <row r="284" spans="1:18" x14ac:dyDescent="0.25">
      <c r="A284" s="11"/>
      <c r="B284" s="11" t="s">
        <v>27</v>
      </c>
      <c r="C284" s="11" t="s">
        <v>3482</v>
      </c>
      <c r="D284" s="11" t="s">
        <v>5465</v>
      </c>
      <c r="E284" s="11" t="s">
        <v>5466</v>
      </c>
      <c r="F284" s="11" t="s">
        <v>44</v>
      </c>
      <c r="G284" s="12">
        <v>375</v>
      </c>
      <c r="H284" s="12">
        <v>25</v>
      </c>
      <c r="I284" s="12">
        <f t="shared" si="9"/>
        <v>350</v>
      </c>
      <c r="J284" s="11" t="s">
        <v>119</v>
      </c>
      <c r="K284" s="11" t="s">
        <v>33</v>
      </c>
      <c r="L284" s="11" t="s">
        <v>4788</v>
      </c>
      <c r="M284" s="11"/>
      <c r="N284" s="11"/>
      <c r="O284" s="11"/>
      <c r="P284" s="11"/>
      <c r="Q284" s="44">
        <v>1</v>
      </c>
      <c r="R284" s="49"/>
    </row>
    <row r="285" spans="1:18" x14ac:dyDescent="0.25">
      <c r="A285" s="11"/>
      <c r="B285" s="11" t="s">
        <v>27</v>
      </c>
      <c r="C285" s="11" t="s">
        <v>5467</v>
      </c>
      <c r="D285" s="11" t="s">
        <v>5468</v>
      </c>
      <c r="E285" s="11" t="s">
        <v>5469</v>
      </c>
      <c r="F285" s="12">
        <v>4</v>
      </c>
      <c r="G285" s="12">
        <v>425</v>
      </c>
      <c r="H285" s="12">
        <v>25</v>
      </c>
      <c r="I285" s="12">
        <f t="shared" si="9"/>
        <v>400</v>
      </c>
      <c r="J285" s="11" t="s">
        <v>119</v>
      </c>
      <c r="K285" s="11" t="s">
        <v>33</v>
      </c>
      <c r="L285" s="11" t="s">
        <v>4788</v>
      </c>
      <c r="M285" s="11"/>
      <c r="N285" s="11"/>
      <c r="O285" s="11"/>
      <c r="P285" s="11"/>
      <c r="Q285" s="44">
        <v>1</v>
      </c>
      <c r="R285" s="49"/>
    </row>
    <row r="286" spans="1:18" x14ac:dyDescent="0.25">
      <c r="A286" s="11"/>
      <c r="B286" s="11" t="s">
        <v>27</v>
      </c>
      <c r="C286" s="11" t="s">
        <v>5497</v>
      </c>
      <c r="D286" s="11" t="s">
        <v>5498</v>
      </c>
      <c r="E286" s="11" t="s">
        <v>5499</v>
      </c>
      <c r="F286" s="12">
        <v>4</v>
      </c>
      <c r="G286" s="12">
        <v>375</v>
      </c>
      <c r="H286" s="12">
        <v>25</v>
      </c>
      <c r="I286" s="12">
        <f t="shared" si="9"/>
        <v>350</v>
      </c>
      <c r="J286" s="11" t="s">
        <v>119</v>
      </c>
      <c r="K286" s="11" t="s">
        <v>33</v>
      </c>
      <c r="L286" s="11" t="s">
        <v>4788</v>
      </c>
      <c r="M286" s="11"/>
      <c r="N286" s="11"/>
      <c r="O286" s="11"/>
      <c r="P286" s="11"/>
      <c r="Q286" s="44">
        <v>1</v>
      </c>
      <c r="R286" s="49"/>
    </row>
    <row r="287" spans="1:18" x14ac:dyDescent="0.25">
      <c r="A287" s="11"/>
      <c r="B287" s="11" t="s">
        <v>27</v>
      </c>
      <c r="C287" s="11" t="s">
        <v>3692</v>
      </c>
      <c r="D287" s="11" t="s">
        <v>5513</v>
      </c>
      <c r="E287" s="11" t="s">
        <v>5514</v>
      </c>
      <c r="F287" s="12">
        <v>1</v>
      </c>
      <c r="G287" s="12">
        <v>1025</v>
      </c>
      <c r="H287" s="12">
        <v>25</v>
      </c>
      <c r="I287" s="12">
        <f t="shared" si="9"/>
        <v>1000</v>
      </c>
      <c r="J287" s="11" t="s">
        <v>119</v>
      </c>
      <c r="K287" s="11" t="s">
        <v>33</v>
      </c>
      <c r="L287" s="11" t="s">
        <v>4788</v>
      </c>
      <c r="M287" s="11"/>
      <c r="N287" s="11"/>
      <c r="O287" s="11"/>
      <c r="P287" s="11"/>
      <c r="Q287" s="44">
        <v>1</v>
      </c>
      <c r="R287" s="49"/>
    </row>
    <row r="288" spans="1:18" x14ac:dyDescent="0.25">
      <c r="A288" s="11"/>
      <c r="B288" s="11" t="s">
        <v>27</v>
      </c>
      <c r="C288" s="11" t="s">
        <v>2702</v>
      </c>
      <c r="D288" s="11" t="s">
        <v>5515</v>
      </c>
      <c r="E288" s="11" t="s">
        <v>5516</v>
      </c>
      <c r="F288" s="11" t="s">
        <v>118</v>
      </c>
      <c r="G288" s="12">
        <v>350</v>
      </c>
      <c r="H288" s="12">
        <v>20</v>
      </c>
      <c r="I288" s="12">
        <f t="shared" si="9"/>
        <v>330</v>
      </c>
      <c r="J288" s="11" t="s">
        <v>119</v>
      </c>
      <c r="K288" s="11" t="s">
        <v>33</v>
      </c>
      <c r="L288" s="11" t="s">
        <v>4788</v>
      </c>
      <c r="M288" s="11"/>
      <c r="N288" s="11"/>
      <c r="O288" s="11"/>
      <c r="P288" s="11"/>
      <c r="Q288" s="44">
        <v>1</v>
      </c>
      <c r="R288" s="49"/>
    </row>
    <row r="289" spans="1:18" s="2" customFormat="1" x14ac:dyDescent="0.25">
      <c r="A289" s="16"/>
      <c r="B289" s="16" t="s">
        <v>27</v>
      </c>
      <c r="C289" s="16" t="s">
        <v>4825</v>
      </c>
      <c r="D289" s="16" t="s">
        <v>4826</v>
      </c>
      <c r="E289" s="16" t="s">
        <v>4827</v>
      </c>
      <c r="F289" s="16" t="s">
        <v>996</v>
      </c>
      <c r="G289" s="17">
        <v>1880</v>
      </c>
      <c r="H289" s="17">
        <v>0</v>
      </c>
      <c r="I289" s="17">
        <f t="shared" si="9"/>
        <v>1880</v>
      </c>
      <c r="J289" s="16" t="s">
        <v>153</v>
      </c>
      <c r="K289" s="16" t="s">
        <v>33</v>
      </c>
      <c r="L289" s="16" t="s">
        <v>4788</v>
      </c>
      <c r="M289" s="16" t="s">
        <v>997</v>
      </c>
      <c r="N289" s="16" t="s">
        <v>156</v>
      </c>
      <c r="O289" s="16"/>
      <c r="P289" s="16" t="s">
        <v>157</v>
      </c>
      <c r="Q289" s="46">
        <v>1</v>
      </c>
      <c r="R289" s="52"/>
    </row>
    <row r="290" spans="1:18" s="2" customFormat="1" x14ac:dyDescent="0.25">
      <c r="A290" s="16"/>
      <c r="B290" s="16" t="s">
        <v>27</v>
      </c>
      <c r="C290" s="16" t="s">
        <v>4978</v>
      </c>
      <c r="D290" s="16" t="s">
        <v>4979</v>
      </c>
      <c r="E290" s="16" t="s">
        <v>4980</v>
      </c>
      <c r="F290" s="16" t="s">
        <v>996</v>
      </c>
      <c r="G290" s="17">
        <v>570</v>
      </c>
      <c r="H290" s="17">
        <v>0</v>
      </c>
      <c r="I290" s="17">
        <f t="shared" si="9"/>
        <v>570</v>
      </c>
      <c r="J290" s="16" t="s">
        <v>153</v>
      </c>
      <c r="K290" s="16" t="s">
        <v>33</v>
      </c>
      <c r="L290" s="16" t="s">
        <v>4788</v>
      </c>
      <c r="M290" s="16" t="s">
        <v>997</v>
      </c>
      <c r="N290" s="16" t="s">
        <v>156</v>
      </c>
      <c r="O290" s="16"/>
      <c r="P290" s="16" t="s">
        <v>157</v>
      </c>
      <c r="Q290" s="46">
        <v>1</v>
      </c>
      <c r="R290" s="52"/>
    </row>
    <row r="291" spans="1:18" s="2" customFormat="1" x14ac:dyDescent="0.25">
      <c r="A291" s="16"/>
      <c r="B291" s="16" t="s">
        <v>27</v>
      </c>
      <c r="C291" s="16" t="s">
        <v>5001</v>
      </c>
      <c r="D291" s="16" t="s">
        <v>5002</v>
      </c>
      <c r="E291" s="16" t="s">
        <v>5003</v>
      </c>
      <c r="F291" s="16" t="s">
        <v>996</v>
      </c>
      <c r="G291" s="17">
        <v>570</v>
      </c>
      <c r="H291" s="17">
        <v>0</v>
      </c>
      <c r="I291" s="17">
        <f t="shared" si="9"/>
        <v>570</v>
      </c>
      <c r="J291" s="16" t="s">
        <v>153</v>
      </c>
      <c r="K291" s="16" t="s">
        <v>33</v>
      </c>
      <c r="L291" s="16" t="s">
        <v>4788</v>
      </c>
      <c r="M291" s="16" t="s">
        <v>997</v>
      </c>
      <c r="N291" s="16" t="s">
        <v>156</v>
      </c>
      <c r="O291" s="16"/>
      <c r="P291" s="16" t="s">
        <v>157</v>
      </c>
      <c r="Q291" s="46">
        <v>1</v>
      </c>
      <c r="R291" s="52"/>
    </row>
    <row r="292" spans="1:18" s="2" customFormat="1" x14ac:dyDescent="0.25">
      <c r="A292" s="16"/>
      <c r="B292" s="16" t="s">
        <v>27</v>
      </c>
      <c r="C292" s="16" t="s">
        <v>1997</v>
      </c>
      <c r="D292" s="16" t="s">
        <v>5317</v>
      </c>
      <c r="E292" s="16" t="s">
        <v>5318</v>
      </c>
      <c r="F292" s="16" t="s">
        <v>996</v>
      </c>
      <c r="G292" s="17">
        <v>690</v>
      </c>
      <c r="H292" s="17">
        <v>0</v>
      </c>
      <c r="I292" s="17">
        <f t="shared" si="9"/>
        <v>690</v>
      </c>
      <c r="J292" s="16" t="s">
        <v>153</v>
      </c>
      <c r="K292" s="16" t="s">
        <v>33</v>
      </c>
      <c r="L292" s="16" t="s">
        <v>4788</v>
      </c>
      <c r="M292" s="16" t="s">
        <v>997</v>
      </c>
      <c r="N292" s="16" t="s">
        <v>156</v>
      </c>
      <c r="O292" s="16"/>
      <c r="P292" s="16" t="s">
        <v>157</v>
      </c>
      <c r="Q292" s="46">
        <v>1</v>
      </c>
      <c r="R292" s="52"/>
    </row>
    <row r="293" spans="1:18" s="2" customFormat="1" x14ac:dyDescent="0.25">
      <c r="A293" s="16"/>
      <c r="B293" s="16" t="s">
        <v>27</v>
      </c>
      <c r="C293" s="16" t="s">
        <v>2735</v>
      </c>
      <c r="D293" s="16" t="s">
        <v>2736</v>
      </c>
      <c r="E293" s="16" t="s">
        <v>2737</v>
      </c>
      <c r="F293" s="16" t="s">
        <v>68</v>
      </c>
      <c r="G293" s="17">
        <v>555</v>
      </c>
      <c r="H293" s="17">
        <v>25</v>
      </c>
      <c r="I293" s="17">
        <f t="shared" si="9"/>
        <v>530</v>
      </c>
      <c r="J293" s="16" t="s">
        <v>153</v>
      </c>
      <c r="K293" s="16" t="s">
        <v>33</v>
      </c>
      <c r="L293" s="16" t="s">
        <v>2667</v>
      </c>
      <c r="M293" s="16" t="s">
        <v>155</v>
      </c>
      <c r="N293" s="16" t="s">
        <v>156</v>
      </c>
      <c r="O293" s="16" t="s">
        <v>156</v>
      </c>
      <c r="P293" s="16" t="s">
        <v>157</v>
      </c>
      <c r="Q293" s="46">
        <v>1</v>
      </c>
      <c r="R293" s="52"/>
    </row>
    <row r="294" spans="1:18" s="2" customFormat="1" x14ac:dyDescent="0.25">
      <c r="A294" s="16"/>
      <c r="B294" s="16" t="s">
        <v>27</v>
      </c>
      <c r="C294" s="16" t="s">
        <v>3543</v>
      </c>
      <c r="D294" s="16" t="s">
        <v>3544</v>
      </c>
      <c r="E294" s="16" t="s">
        <v>3545</v>
      </c>
      <c r="F294" s="17">
        <v>2</v>
      </c>
      <c r="G294" s="17">
        <v>1300</v>
      </c>
      <c r="H294" s="17">
        <v>30</v>
      </c>
      <c r="I294" s="17">
        <f t="shared" si="9"/>
        <v>1270</v>
      </c>
      <c r="J294" s="16" t="s">
        <v>153</v>
      </c>
      <c r="K294" s="16" t="s">
        <v>33</v>
      </c>
      <c r="L294" s="16" t="s">
        <v>3430</v>
      </c>
      <c r="M294" s="16" t="s">
        <v>155</v>
      </c>
      <c r="N294" s="16" t="s">
        <v>156</v>
      </c>
      <c r="O294" s="16" t="s">
        <v>156</v>
      </c>
      <c r="P294" s="16" t="s">
        <v>157</v>
      </c>
      <c r="Q294" s="46">
        <v>1</v>
      </c>
      <c r="R294" s="52"/>
    </row>
    <row r="295" spans="1:18" s="2" customFormat="1" x14ac:dyDescent="0.25">
      <c r="A295" s="16"/>
      <c r="B295" s="16" t="s">
        <v>27</v>
      </c>
      <c r="C295" s="16" t="s">
        <v>2791</v>
      </c>
      <c r="D295" s="16" t="s">
        <v>2792</v>
      </c>
      <c r="E295" s="16" t="s">
        <v>2793</v>
      </c>
      <c r="F295" s="16" t="s">
        <v>78</v>
      </c>
      <c r="G295" s="17">
        <v>910</v>
      </c>
      <c r="H295" s="17">
        <v>20</v>
      </c>
      <c r="I295" s="17">
        <f t="shared" si="9"/>
        <v>890</v>
      </c>
      <c r="J295" s="16" t="s">
        <v>153</v>
      </c>
      <c r="K295" s="16" t="s">
        <v>33</v>
      </c>
      <c r="L295" s="16" t="s">
        <v>2667</v>
      </c>
      <c r="M295" s="16" t="s">
        <v>155</v>
      </c>
      <c r="N295" s="16" t="s">
        <v>156</v>
      </c>
      <c r="O295" s="16" t="s">
        <v>156</v>
      </c>
      <c r="P295" s="16" t="s">
        <v>157</v>
      </c>
      <c r="Q295" s="46">
        <v>1</v>
      </c>
      <c r="R295" s="52"/>
    </row>
    <row r="296" spans="1:18" s="2" customFormat="1" x14ac:dyDescent="0.25">
      <c r="A296" s="16"/>
      <c r="B296" s="16" t="s">
        <v>27</v>
      </c>
      <c r="C296" s="16" t="s">
        <v>2027</v>
      </c>
      <c r="D296" s="16" t="s">
        <v>2028</v>
      </c>
      <c r="E296" s="16" t="s">
        <v>2029</v>
      </c>
      <c r="F296" s="17">
        <v>12</v>
      </c>
      <c r="G296" s="17">
        <v>320</v>
      </c>
      <c r="H296" s="17">
        <v>30</v>
      </c>
      <c r="I296" s="17">
        <f t="shared" si="9"/>
        <v>290</v>
      </c>
      <c r="J296" s="16" t="s">
        <v>153</v>
      </c>
      <c r="K296" s="16" t="s">
        <v>33</v>
      </c>
      <c r="L296" s="16" t="s">
        <v>1827</v>
      </c>
      <c r="M296" s="16" t="s">
        <v>155</v>
      </c>
      <c r="N296" s="16" t="s">
        <v>156</v>
      </c>
      <c r="O296" s="16" t="s">
        <v>156</v>
      </c>
      <c r="P296" s="16" t="s">
        <v>157</v>
      </c>
      <c r="Q296" s="46">
        <v>1</v>
      </c>
      <c r="R296" s="52"/>
    </row>
    <row r="297" spans="1:18" s="2" customFormat="1" x14ac:dyDescent="0.25">
      <c r="A297" s="16"/>
      <c r="B297" s="16" t="s">
        <v>27</v>
      </c>
      <c r="C297" s="16" t="s">
        <v>2629</v>
      </c>
      <c r="D297" s="16" t="s">
        <v>2857</v>
      </c>
      <c r="E297" s="16" t="s">
        <v>2858</v>
      </c>
      <c r="F297" s="17">
        <v>12</v>
      </c>
      <c r="G297" s="17">
        <v>850</v>
      </c>
      <c r="H297" s="17">
        <v>30</v>
      </c>
      <c r="I297" s="17">
        <f t="shared" si="9"/>
        <v>820</v>
      </c>
      <c r="J297" s="16" t="s">
        <v>153</v>
      </c>
      <c r="K297" s="16" t="s">
        <v>33</v>
      </c>
      <c r="L297" s="16" t="s">
        <v>2667</v>
      </c>
      <c r="M297" s="16" t="s">
        <v>155</v>
      </c>
      <c r="N297" s="16" t="s">
        <v>156</v>
      </c>
      <c r="O297" s="16" t="s">
        <v>156</v>
      </c>
      <c r="P297" s="16" t="s">
        <v>157</v>
      </c>
      <c r="Q297" s="46">
        <v>1</v>
      </c>
      <c r="R297" s="52"/>
    </row>
    <row r="298" spans="1:18" s="39" customFormat="1" x14ac:dyDescent="0.25">
      <c r="A298" s="40"/>
      <c r="B298" s="40" t="s">
        <v>27</v>
      </c>
      <c r="C298" s="40" t="s">
        <v>3297</v>
      </c>
      <c r="D298" s="40" t="s">
        <v>3298</v>
      </c>
      <c r="E298" s="40" t="s">
        <v>3299</v>
      </c>
      <c r="F298" s="41" t="s">
        <v>68</v>
      </c>
      <c r="G298" s="40">
        <v>705</v>
      </c>
      <c r="H298" s="40">
        <v>25</v>
      </c>
      <c r="I298" s="40">
        <f t="shared" si="9"/>
        <v>680</v>
      </c>
      <c r="J298" s="16" t="s">
        <v>153</v>
      </c>
      <c r="K298" s="40" t="s">
        <v>33</v>
      </c>
      <c r="L298" s="40" t="s">
        <v>2667</v>
      </c>
      <c r="M298" s="40" t="s">
        <v>155</v>
      </c>
      <c r="N298" s="40" t="s">
        <v>156</v>
      </c>
      <c r="O298" s="40" t="s">
        <v>156</v>
      </c>
      <c r="P298" s="40" t="s">
        <v>157</v>
      </c>
      <c r="Q298" s="47">
        <v>1</v>
      </c>
      <c r="R298" s="53"/>
    </row>
    <row r="299" spans="1:18" s="39" customFormat="1" x14ac:dyDescent="0.25">
      <c r="A299" s="40"/>
      <c r="B299" s="40" t="s">
        <v>27</v>
      </c>
      <c r="C299" s="40" t="s">
        <v>3771</v>
      </c>
      <c r="D299" s="40" t="s">
        <v>3772</v>
      </c>
      <c r="E299" s="40" t="s">
        <v>3773</v>
      </c>
      <c r="F299" s="41" t="s">
        <v>5536</v>
      </c>
      <c r="G299" s="40">
        <v>720</v>
      </c>
      <c r="H299" s="40">
        <v>30</v>
      </c>
      <c r="I299" s="40">
        <f t="shared" si="9"/>
        <v>690</v>
      </c>
      <c r="J299" s="16" t="s">
        <v>153</v>
      </c>
      <c r="K299" s="40" t="s">
        <v>33</v>
      </c>
      <c r="L299" s="40" t="s">
        <v>3430</v>
      </c>
      <c r="M299" s="40" t="s">
        <v>155</v>
      </c>
      <c r="N299" s="40" t="s">
        <v>156</v>
      </c>
      <c r="O299" s="40" t="s">
        <v>156</v>
      </c>
      <c r="P299" s="40" t="s">
        <v>157</v>
      </c>
      <c r="Q299" s="47">
        <v>1</v>
      </c>
      <c r="R299" s="53"/>
    </row>
    <row r="300" spans="1:18" s="2" customFormat="1" x14ac:dyDescent="0.25">
      <c r="A300" s="16"/>
      <c r="B300" s="16" t="s">
        <v>27</v>
      </c>
      <c r="C300" s="16" t="s">
        <v>4173</v>
      </c>
      <c r="D300" s="16" t="s">
        <v>4351</v>
      </c>
      <c r="E300" s="16" t="s">
        <v>4352</v>
      </c>
      <c r="F300" s="16" t="s">
        <v>118</v>
      </c>
      <c r="G300" s="17">
        <v>380</v>
      </c>
      <c r="H300" s="17">
        <v>20</v>
      </c>
      <c r="I300" s="17">
        <f t="shared" si="9"/>
        <v>360</v>
      </c>
      <c r="J300" s="16" t="s">
        <v>153</v>
      </c>
      <c r="K300" s="16" t="s">
        <v>33</v>
      </c>
      <c r="L300" s="16" t="s">
        <v>4213</v>
      </c>
      <c r="M300" s="16" t="s">
        <v>155</v>
      </c>
      <c r="N300" s="16" t="s">
        <v>156</v>
      </c>
      <c r="O300" s="16" t="s">
        <v>156</v>
      </c>
      <c r="P300" s="16" t="s">
        <v>157</v>
      </c>
      <c r="Q300" s="46">
        <v>1</v>
      </c>
      <c r="R300" s="52"/>
    </row>
    <row r="301" spans="1:18" s="2" customFormat="1" x14ac:dyDescent="0.25">
      <c r="A301" s="16"/>
      <c r="B301" s="16" t="s">
        <v>27</v>
      </c>
      <c r="C301" s="16" t="s">
        <v>2612</v>
      </c>
      <c r="D301" s="16" t="s">
        <v>2613</v>
      </c>
      <c r="E301" s="16" t="s">
        <v>2614</v>
      </c>
      <c r="F301" s="17">
        <v>3</v>
      </c>
      <c r="G301" s="17">
        <v>355</v>
      </c>
      <c r="H301" s="17">
        <v>25</v>
      </c>
      <c r="I301" s="17">
        <f t="shared" si="9"/>
        <v>330</v>
      </c>
      <c r="J301" s="16" t="s">
        <v>153</v>
      </c>
      <c r="K301" s="16" t="s">
        <v>33</v>
      </c>
      <c r="L301" s="16" t="s">
        <v>2122</v>
      </c>
      <c r="M301" s="16" t="s">
        <v>155</v>
      </c>
      <c r="N301" s="16" t="s">
        <v>156</v>
      </c>
      <c r="O301" s="16" t="s">
        <v>156</v>
      </c>
      <c r="P301" s="16" t="s">
        <v>157</v>
      </c>
      <c r="Q301" s="46">
        <v>1</v>
      </c>
      <c r="R301" s="52"/>
    </row>
    <row r="302" spans="1:18" s="2" customFormat="1" x14ac:dyDescent="0.25">
      <c r="A302" s="16"/>
      <c r="B302" s="16" t="s">
        <v>27</v>
      </c>
      <c r="C302" s="16" t="s">
        <v>3561</v>
      </c>
      <c r="D302" s="16" t="s">
        <v>3562</v>
      </c>
      <c r="E302" s="16" t="s">
        <v>3563</v>
      </c>
      <c r="F302" s="17">
        <v>1</v>
      </c>
      <c r="G302" s="17">
        <v>515</v>
      </c>
      <c r="H302" s="17">
        <v>25</v>
      </c>
      <c r="I302" s="17">
        <f t="shared" si="9"/>
        <v>490</v>
      </c>
      <c r="J302" s="16" t="s">
        <v>153</v>
      </c>
      <c r="K302" s="16" t="s">
        <v>33</v>
      </c>
      <c r="L302" s="16" t="s">
        <v>3430</v>
      </c>
      <c r="M302" s="16" t="s">
        <v>155</v>
      </c>
      <c r="N302" s="16" t="s">
        <v>156</v>
      </c>
      <c r="O302" s="16" t="s">
        <v>156</v>
      </c>
      <c r="P302" s="16" t="s">
        <v>157</v>
      </c>
      <c r="Q302" s="46">
        <v>1</v>
      </c>
      <c r="R302" s="52"/>
    </row>
    <row r="303" spans="1:18" s="38" customFormat="1" x14ac:dyDescent="0.25">
      <c r="A303" s="36"/>
      <c r="B303" s="36" t="s">
        <v>27</v>
      </c>
      <c r="C303" s="36" t="s">
        <v>2378</v>
      </c>
      <c r="D303" s="36" t="s">
        <v>2381</v>
      </c>
      <c r="E303" s="36" t="s">
        <v>2380</v>
      </c>
      <c r="F303" s="37">
        <v>7</v>
      </c>
      <c r="G303" s="37">
        <v>490</v>
      </c>
      <c r="H303" s="37">
        <v>0</v>
      </c>
      <c r="I303" s="37">
        <f t="shared" si="9"/>
        <v>490</v>
      </c>
      <c r="J303" s="36" t="s">
        <v>153</v>
      </c>
      <c r="K303" s="36" t="s">
        <v>33</v>
      </c>
      <c r="L303" s="36" t="s">
        <v>2122</v>
      </c>
      <c r="M303" s="36" t="s">
        <v>155</v>
      </c>
      <c r="N303" s="36" t="s">
        <v>156</v>
      </c>
      <c r="O303" s="36" t="s">
        <v>156</v>
      </c>
      <c r="P303" s="36" t="s">
        <v>157</v>
      </c>
      <c r="Q303" s="48">
        <v>1</v>
      </c>
      <c r="R303" s="54"/>
    </row>
    <row r="304" spans="1:18" s="2" customFormat="1" x14ac:dyDescent="0.25">
      <c r="A304" s="16"/>
      <c r="B304" s="16" t="s">
        <v>27</v>
      </c>
      <c r="C304" s="16" t="s">
        <v>2437</v>
      </c>
      <c r="D304" s="16" t="s">
        <v>4785</v>
      </c>
      <c r="E304" s="16" t="s">
        <v>2438</v>
      </c>
      <c r="F304" s="17">
        <v>7</v>
      </c>
      <c r="G304" s="17">
        <v>620</v>
      </c>
      <c r="H304" s="17">
        <v>30</v>
      </c>
      <c r="I304" s="17">
        <f t="shared" si="9"/>
        <v>590</v>
      </c>
      <c r="J304" s="16" t="s">
        <v>153</v>
      </c>
      <c r="K304" s="16" t="s">
        <v>33</v>
      </c>
      <c r="L304" s="16" t="s">
        <v>2122</v>
      </c>
      <c r="M304" s="16" t="s">
        <v>155</v>
      </c>
      <c r="N304" s="16" t="s">
        <v>156</v>
      </c>
      <c r="O304" s="16" t="s">
        <v>156</v>
      </c>
      <c r="P304" s="16" t="s">
        <v>157</v>
      </c>
      <c r="Q304" s="46">
        <v>1</v>
      </c>
      <c r="R304" s="52"/>
    </row>
    <row r="305" spans="1:18" s="2" customFormat="1" x14ac:dyDescent="0.25">
      <c r="A305" s="16"/>
      <c r="B305" s="16" t="s">
        <v>27</v>
      </c>
      <c r="C305" s="16" t="s">
        <v>2409</v>
      </c>
      <c r="D305" s="16" t="s">
        <v>2410</v>
      </c>
      <c r="E305" s="16" t="s">
        <v>2411</v>
      </c>
      <c r="F305" s="17">
        <v>7</v>
      </c>
      <c r="G305" s="17">
        <v>520</v>
      </c>
      <c r="H305" s="17">
        <v>30</v>
      </c>
      <c r="I305" s="17">
        <f t="shared" si="9"/>
        <v>490</v>
      </c>
      <c r="J305" s="16" t="s">
        <v>153</v>
      </c>
      <c r="K305" s="16" t="s">
        <v>33</v>
      </c>
      <c r="L305" s="16" t="s">
        <v>2122</v>
      </c>
      <c r="M305" s="16" t="s">
        <v>155</v>
      </c>
      <c r="N305" s="16" t="s">
        <v>156</v>
      </c>
      <c r="O305" s="16" t="s">
        <v>156</v>
      </c>
      <c r="P305" s="16" t="s">
        <v>157</v>
      </c>
      <c r="Q305" s="46">
        <v>1</v>
      </c>
      <c r="R305" s="52"/>
    </row>
    <row r="306" spans="1:18" s="2" customFormat="1" x14ac:dyDescent="0.25">
      <c r="A306" s="16"/>
      <c r="B306" s="16" t="s">
        <v>27</v>
      </c>
      <c r="C306" s="16" t="s">
        <v>4547</v>
      </c>
      <c r="D306" s="16" t="s">
        <v>4548</v>
      </c>
      <c r="E306" s="16" t="s">
        <v>1972</v>
      </c>
      <c r="F306" s="17">
        <v>8</v>
      </c>
      <c r="G306" s="17">
        <v>570</v>
      </c>
      <c r="H306" s="17">
        <v>30</v>
      </c>
      <c r="I306" s="17">
        <f t="shared" si="9"/>
        <v>540</v>
      </c>
      <c r="J306" s="16" t="s">
        <v>153</v>
      </c>
      <c r="K306" s="16" t="s">
        <v>33</v>
      </c>
      <c r="L306" s="16" t="s">
        <v>4213</v>
      </c>
      <c r="M306" s="16" t="s">
        <v>155</v>
      </c>
      <c r="N306" s="16" t="s">
        <v>156</v>
      </c>
      <c r="O306" s="16" t="s">
        <v>156</v>
      </c>
      <c r="P306" s="16" t="s">
        <v>157</v>
      </c>
      <c r="Q306" s="46">
        <v>1</v>
      </c>
      <c r="R306" s="52"/>
    </row>
    <row r="307" spans="1:18" s="2" customFormat="1" x14ac:dyDescent="0.25">
      <c r="A307" s="16"/>
      <c r="B307" s="16" t="s">
        <v>27</v>
      </c>
      <c r="C307" s="16" t="s">
        <v>4164</v>
      </c>
      <c r="D307" s="16" t="s">
        <v>4165</v>
      </c>
      <c r="E307" s="16" t="s">
        <v>4166</v>
      </c>
      <c r="F307" s="17">
        <v>11</v>
      </c>
      <c r="G307" s="17">
        <v>1878</v>
      </c>
      <c r="H307" s="17">
        <v>25</v>
      </c>
      <c r="I307" s="17">
        <f t="shared" si="9"/>
        <v>1853</v>
      </c>
      <c r="J307" s="16" t="s">
        <v>153</v>
      </c>
      <c r="K307" s="16" t="s">
        <v>33</v>
      </c>
      <c r="L307" s="16" t="s">
        <v>3430</v>
      </c>
      <c r="M307" s="16" t="s">
        <v>155</v>
      </c>
      <c r="N307" s="16" t="s">
        <v>156</v>
      </c>
      <c r="O307" s="16" t="s">
        <v>156</v>
      </c>
      <c r="P307" s="16" t="s">
        <v>157</v>
      </c>
      <c r="Q307" s="46">
        <v>1</v>
      </c>
      <c r="R307" s="52"/>
    </row>
    <row r="308" spans="1:18" s="2" customFormat="1" x14ac:dyDescent="0.25">
      <c r="A308" s="16"/>
      <c r="B308" s="16" t="s">
        <v>27</v>
      </c>
      <c r="C308" s="16" t="s">
        <v>2231</v>
      </c>
      <c r="D308" s="16" t="s">
        <v>2232</v>
      </c>
      <c r="E308" s="16" t="s">
        <v>2233</v>
      </c>
      <c r="F308" s="17">
        <v>11</v>
      </c>
      <c r="G308" s="17">
        <v>1555</v>
      </c>
      <c r="H308" s="17">
        <v>25</v>
      </c>
      <c r="I308" s="17">
        <f t="shared" si="9"/>
        <v>1530</v>
      </c>
      <c r="J308" s="16" t="s">
        <v>153</v>
      </c>
      <c r="K308" s="16" t="s">
        <v>33</v>
      </c>
      <c r="L308" s="16" t="s">
        <v>2122</v>
      </c>
      <c r="M308" s="16" t="s">
        <v>155</v>
      </c>
      <c r="N308" s="16" t="s">
        <v>156</v>
      </c>
      <c r="O308" s="16" t="s">
        <v>156</v>
      </c>
      <c r="P308" s="16" t="s">
        <v>157</v>
      </c>
      <c r="Q308" s="46">
        <v>1</v>
      </c>
      <c r="R308" s="52"/>
    </row>
    <row r="309" spans="1:18" s="38" customFormat="1" x14ac:dyDescent="0.25">
      <c r="A309" s="36"/>
      <c r="B309" s="36" t="s">
        <v>27</v>
      </c>
      <c r="C309" s="36" t="s">
        <v>4117</v>
      </c>
      <c r="D309" s="36" t="s">
        <v>4118</v>
      </c>
      <c r="E309" s="36" t="s">
        <v>4119</v>
      </c>
      <c r="F309" s="36" t="s">
        <v>44</v>
      </c>
      <c r="G309" s="37">
        <v>1205</v>
      </c>
      <c r="H309" s="37">
        <v>0</v>
      </c>
      <c r="I309" s="37">
        <f t="shared" si="9"/>
        <v>1205</v>
      </c>
      <c r="J309" s="36" t="s">
        <v>153</v>
      </c>
      <c r="K309" s="36" t="s">
        <v>33</v>
      </c>
      <c r="L309" s="36" t="s">
        <v>3430</v>
      </c>
      <c r="M309" s="36" t="s">
        <v>155</v>
      </c>
      <c r="N309" s="36" t="s">
        <v>156</v>
      </c>
      <c r="O309" s="36" t="s">
        <v>156</v>
      </c>
      <c r="P309" s="36" t="s">
        <v>157</v>
      </c>
      <c r="Q309" s="48">
        <v>1</v>
      </c>
      <c r="R309" s="54"/>
    </row>
    <row r="310" spans="1:18" s="2" customFormat="1" x14ac:dyDescent="0.25">
      <c r="A310" s="16"/>
      <c r="B310" s="16" t="s">
        <v>27</v>
      </c>
      <c r="C310" s="16" t="s">
        <v>2400</v>
      </c>
      <c r="D310" s="16" t="s">
        <v>4181</v>
      </c>
      <c r="E310" s="16" t="s">
        <v>4182</v>
      </c>
      <c r="F310" s="16" t="s">
        <v>31</v>
      </c>
      <c r="G310" s="17">
        <v>475</v>
      </c>
      <c r="H310" s="17">
        <v>25</v>
      </c>
      <c r="I310" s="17">
        <f t="shared" si="9"/>
        <v>450</v>
      </c>
      <c r="J310" s="16" t="s">
        <v>153</v>
      </c>
      <c r="K310" s="16" t="s">
        <v>33</v>
      </c>
      <c r="L310" s="16" t="s">
        <v>3430</v>
      </c>
      <c r="M310" s="16" t="s">
        <v>155</v>
      </c>
      <c r="N310" s="16" t="s">
        <v>156</v>
      </c>
      <c r="O310" s="16" t="s">
        <v>156</v>
      </c>
      <c r="P310" s="16" t="s">
        <v>157</v>
      </c>
      <c r="Q310" s="46">
        <v>1</v>
      </c>
      <c r="R310" s="52"/>
    </row>
    <row r="311" spans="1:18" s="2" customFormat="1" x14ac:dyDescent="0.25">
      <c r="A311" s="16"/>
      <c r="B311" s="16" t="s">
        <v>27</v>
      </c>
      <c r="C311" s="16" t="s">
        <v>3706</v>
      </c>
      <c r="D311" s="16" t="s">
        <v>3707</v>
      </c>
      <c r="E311" s="16" t="s">
        <v>3708</v>
      </c>
      <c r="F311" s="17">
        <v>12</v>
      </c>
      <c r="G311" s="17">
        <v>360</v>
      </c>
      <c r="H311" s="17">
        <v>30</v>
      </c>
      <c r="I311" s="17">
        <f>G311-H311</f>
        <v>330</v>
      </c>
      <c r="J311" s="16" t="s">
        <v>153</v>
      </c>
      <c r="K311" s="16" t="s">
        <v>33</v>
      </c>
      <c r="L311" s="16" t="s">
        <v>3430</v>
      </c>
      <c r="M311" s="16" t="s">
        <v>155</v>
      </c>
      <c r="N311" s="16" t="s">
        <v>156</v>
      </c>
      <c r="O311" s="16" t="s">
        <v>156</v>
      </c>
      <c r="P311" s="16" t="s">
        <v>157</v>
      </c>
      <c r="Q311" s="46">
        <v>1</v>
      </c>
      <c r="R311" s="52"/>
    </row>
    <row r="312" spans="1:18" s="2" customFormat="1" x14ac:dyDescent="0.25">
      <c r="A312" s="16"/>
      <c r="B312" s="16" t="s">
        <v>27</v>
      </c>
      <c r="C312" s="16" t="s">
        <v>4475</v>
      </c>
      <c r="D312" s="16" t="s">
        <v>4476</v>
      </c>
      <c r="E312" s="16" t="s">
        <v>4477</v>
      </c>
      <c r="F312" s="17">
        <v>12</v>
      </c>
      <c r="G312" s="17">
        <v>420</v>
      </c>
      <c r="H312" s="17">
        <v>30</v>
      </c>
      <c r="I312" s="17">
        <f>G312-H312</f>
        <v>390</v>
      </c>
      <c r="J312" s="16" t="s">
        <v>153</v>
      </c>
      <c r="K312" s="16" t="s">
        <v>33</v>
      </c>
      <c r="L312" s="16" t="s">
        <v>4213</v>
      </c>
      <c r="M312" s="16" t="s">
        <v>155</v>
      </c>
      <c r="N312" s="16" t="s">
        <v>156</v>
      </c>
      <c r="O312" s="16" t="s">
        <v>156</v>
      </c>
      <c r="P312" s="16" t="s">
        <v>157</v>
      </c>
      <c r="Q312" s="46">
        <v>1</v>
      </c>
      <c r="R312" s="52"/>
    </row>
    <row r="313" spans="1:18" s="2" customFormat="1" x14ac:dyDescent="0.25">
      <c r="A313" s="16"/>
      <c r="B313" s="16" t="s">
        <v>27</v>
      </c>
      <c r="C313" s="16" t="s">
        <v>3084</v>
      </c>
      <c r="D313" s="16" t="s">
        <v>3085</v>
      </c>
      <c r="E313" s="16" t="s">
        <v>3086</v>
      </c>
      <c r="F313" s="16" t="s">
        <v>48</v>
      </c>
      <c r="G313" s="17">
        <v>1510</v>
      </c>
      <c r="H313" s="17">
        <v>30</v>
      </c>
      <c r="I313" s="17">
        <f t="shared" si="9"/>
        <v>1480</v>
      </c>
      <c r="J313" s="16" t="s">
        <v>153</v>
      </c>
      <c r="K313" s="16" t="s">
        <v>33</v>
      </c>
      <c r="L313" s="16" t="s">
        <v>2667</v>
      </c>
      <c r="M313" s="16" t="s">
        <v>155</v>
      </c>
      <c r="N313" s="16" t="s">
        <v>156</v>
      </c>
      <c r="O313" s="16" t="s">
        <v>156</v>
      </c>
      <c r="P313" s="16" t="s">
        <v>157</v>
      </c>
      <c r="Q313" s="46">
        <v>1</v>
      </c>
      <c r="R313" s="52"/>
    </row>
    <row r="314" spans="1:18" s="2" customFormat="1" x14ac:dyDescent="0.25">
      <c r="A314" s="16"/>
      <c r="B314" s="16" t="s">
        <v>27</v>
      </c>
      <c r="C314" s="16" t="s">
        <v>1761</v>
      </c>
      <c r="D314" s="16" t="s">
        <v>1762</v>
      </c>
      <c r="E314" s="16" t="s">
        <v>1763</v>
      </c>
      <c r="F314" s="16" t="s">
        <v>48</v>
      </c>
      <c r="G314" s="17">
        <v>0</v>
      </c>
      <c r="H314" s="17">
        <v>30</v>
      </c>
      <c r="I314" s="17">
        <f t="shared" si="9"/>
        <v>-30</v>
      </c>
      <c r="J314" s="16" t="s">
        <v>153</v>
      </c>
      <c r="K314" s="16" t="s">
        <v>33</v>
      </c>
      <c r="L314" s="16" t="s">
        <v>1754</v>
      </c>
      <c r="M314" s="16" t="s">
        <v>155</v>
      </c>
      <c r="N314" s="16" t="s">
        <v>156</v>
      </c>
      <c r="O314" s="16" t="s">
        <v>156</v>
      </c>
      <c r="P314" s="16" t="s">
        <v>157</v>
      </c>
      <c r="Q314" s="46">
        <v>1</v>
      </c>
      <c r="R314" s="55"/>
    </row>
    <row r="315" spans="1:18" s="2" customFormat="1" x14ac:dyDescent="0.25">
      <c r="A315" s="16"/>
      <c r="B315" s="16" t="s">
        <v>27</v>
      </c>
      <c r="C315" s="16" t="s">
        <v>3105</v>
      </c>
      <c r="D315" s="16" t="s">
        <v>3106</v>
      </c>
      <c r="E315" s="16" t="s">
        <v>3107</v>
      </c>
      <c r="F315" s="16" t="s">
        <v>48</v>
      </c>
      <c r="G315" s="17">
        <v>460</v>
      </c>
      <c r="H315" s="17">
        <v>30</v>
      </c>
      <c r="I315" s="17">
        <f t="shared" si="9"/>
        <v>430</v>
      </c>
      <c r="J315" s="16" t="s">
        <v>153</v>
      </c>
      <c r="K315" s="16" t="s">
        <v>33</v>
      </c>
      <c r="L315" s="16" t="s">
        <v>2667</v>
      </c>
      <c r="M315" s="16" t="s">
        <v>155</v>
      </c>
      <c r="N315" s="16" t="s">
        <v>156</v>
      </c>
      <c r="O315" s="16" t="s">
        <v>156</v>
      </c>
      <c r="P315" s="16" t="s">
        <v>157</v>
      </c>
      <c r="Q315" s="46">
        <v>1</v>
      </c>
      <c r="R315" s="52"/>
    </row>
    <row r="316" spans="1:18" s="2" customFormat="1" x14ac:dyDescent="0.25">
      <c r="A316" s="16"/>
      <c r="B316" s="16" t="s">
        <v>27</v>
      </c>
      <c r="C316" s="16" t="s">
        <v>2851</v>
      </c>
      <c r="D316" s="16" t="s">
        <v>2852</v>
      </c>
      <c r="E316" s="16" t="s">
        <v>2853</v>
      </c>
      <c r="F316" s="16" t="s">
        <v>48</v>
      </c>
      <c r="G316" s="17">
        <v>1420</v>
      </c>
      <c r="H316" s="17">
        <v>30</v>
      </c>
      <c r="I316" s="17">
        <f t="shared" si="9"/>
        <v>1390</v>
      </c>
      <c r="J316" s="16" t="s">
        <v>153</v>
      </c>
      <c r="K316" s="16" t="s">
        <v>33</v>
      </c>
      <c r="L316" s="16" t="s">
        <v>2667</v>
      </c>
      <c r="M316" s="16" t="s">
        <v>155</v>
      </c>
      <c r="N316" s="16" t="s">
        <v>156</v>
      </c>
      <c r="O316" s="16" t="s">
        <v>156</v>
      </c>
      <c r="P316" s="16" t="s">
        <v>157</v>
      </c>
      <c r="Q316" s="46">
        <v>1</v>
      </c>
      <c r="R316" s="52"/>
    </row>
    <row r="317" spans="1:18" s="2" customFormat="1" x14ac:dyDescent="0.25">
      <c r="A317" s="16"/>
      <c r="B317" s="16" t="s">
        <v>27</v>
      </c>
      <c r="C317" s="16" t="s">
        <v>4304</v>
      </c>
      <c r="D317" s="16" t="s">
        <v>4305</v>
      </c>
      <c r="E317" s="16" t="s">
        <v>4306</v>
      </c>
      <c r="F317" s="16" t="s">
        <v>55</v>
      </c>
      <c r="G317" s="17">
        <v>2435</v>
      </c>
      <c r="H317" s="17">
        <v>35</v>
      </c>
      <c r="I317" s="17">
        <f t="shared" si="9"/>
        <v>2400</v>
      </c>
      <c r="J317" s="16" t="s">
        <v>153</v>
      </c>
      <c r="K317" s="16" t="s">
        <v>33</v>
      </c>
      <c r="L317" s="16" t="s">
        <v>4213</v>
      </c>
      <c r="M317" s="16" t="s">
        <v>155</v>
      </c>
      <c r="N317" s="16" t="s">
        <v>156</v>
      </c>
      <c r="O317" s="16" t="s">
        <v>156</v>
      </c>
      <c r="P317" s="16" t="s">
        <v>157</v>
      </c>
      <c r="Q317" s="46">
        <v>1</v>
      </c>
      <c r="R317" s="52"/>
    </row>
    <row r="319" spans="1:18" x14ac:dyDescent="0.25">
      <c r="D319" s="1">
        <f>COUNTA(D3:D317)</f>
        <v>308</v>
      </c>
      <c r="G319" s="1">
        <f t="shared" ref="G319:Q319" si="10">SUBTOTAL(9,G3:G317)</f>
        <v>255707</v>
      </c>
      <c r="H319" s="1">
        <f t="shared" si="10"/>
        <v>8340</v>
      </c>
      <c r="I319" s="1">
        <f t="shared" si="10"/>
        <v>247367</v>
      </c>
      <c r="J319" s="1">
        <f t="shared" si="10"/>
        <v>0</v>
      </c>
      <c r="K319" s="1">
        <f t="shared" si="10"/>
        <v>0</v>
      </c>
      <c r="L319" s="1">
        <f t="shared" si="10"/>
        <v>0</v>
      </c>
      <c r="M319" s="1">
        <f t="shared" si="10"/>
        <v>0</v>
      </c>
      <c r="N319" s="1">
        <f t="shared" si="10"/>
        <v>0</v>
      </c>
      <c r="O319" s="1">
        <f t="shared" si="10"/>
        <v>0</v>
      </c>
      <c r="P319" s="1">
        <f t="shared" si="10"/>
        <v>0</v>
      </c>
      <c r="Q319" s="1">
        <f t="shared" si="10"/>
        <v>315</v>
      </c>
    </row>
    <row r="320" spans="1:18" x14ac:dyDescent="0.25">
      <c r="H320">
        <f>-57*17</f>
        <v>-969</v>
      </c>
      <c r="I320">
        <f>9*17</f>
        <v>153</v>
      </c>
    </row>
    <row r="321" spans="1:16" x14ac:dyDescent="0.25">
      <c r="A321" s="1" t="s">
        <v>27</v>
      </c>
      <c r="C321" s="60" t="s">
        <v>158</v>
      </c>
      <c r="D321" s="60"/>
      <c r="E321" s="4" t="s">
        <v>159</v>
      </c>
      <c r="H321">
        <f>-64*25</f>
        <v>-1600</v>
      </c>
      <c r="I321">
        <f>4*25</f>
        <v>100</v>
      </c>
      <c r="K321" s="6" t="s">
        <v>4787</v>
      </c>
      <c r="L321" s="6" t="s">
        <v>160</v>
      </c>
      <c r="M321" s="6" t="s">
        <v>159</v>
      </c>
      <c r="O321" s="4" t="s">
        <v>161</v>
      </c>
    </row>
    <row r="322" spans="1:16" x14ac:dyDescent="0.25">
      <c r="A322" t="s">
        <v>4788</v>
      </c>
      <c r="B322" s="3" t="s">
        <v>162</v>
      </c>
      <c r="C322" s="61">
        <f>SUMIFS(I$3:I$317,B$3:B$317,A$321,L$3:L$317,A$322)</f>
        <v>227479</v>
      </c>
      <c r="D322" s="61"/>
      <c r="E322" s="3">
        <f>SUMIFS(Q$3:Q$317,B$3:B$317,A$321,L$3:L$317,A$322)</f>
        <v>290</v>
      </c>
      <c r="F322" t="s">
        <v>163</v>
      </c>
      <c r="H322">
        <f>-16*30</f>
        <v>-480</v>
      </c>
      <c r="I322">
        <f>1*30</f>
        <v>30</v>
      </c>
      <c r="K322" t="s">
        <v>164</v>
      </c>
      <c r="L322">
        <f>SUMIFS(G$3:G$317,J$3:J$317,K$321)</f>
        <v>126099</v>
      </c>
      <c r="M322">
        <f>SUMIFS(Q$3:Q$317,J$3:J$317,K$321)-INT(COUNTIFS(J$3:J$317,K$321,M$3:M$317,"*gộp*")/2)</f>
        <v>138</v>
      </c>
      <c r="O322" t="s">
        <v>5530</v>
      </c>
      <c r="P322">
        <f>L327</f>
        <v>109254</v>
      </c>
    </row>
    <row r="323" spans="1:16" x14ac:dyDescent="0.25">
      <c r="B323" s="2" t="s">
        <v>166</v>
      </c>
      <c r="C323" s="62">
        <v>0</v>
      </c>
      <c r="D323" s="62"/>
      <c r="I323" s="42">
        <f>G309-25</f>
        <v>1180</v>
      </c>
      <c r="K323" t="s">
        <v>167</v>
      </c>
      <c r="L323">
        <f>SUM(H320:H322)</f>
        <v>-3049</v>
      </c>
      <c r="M323">
        <f>SUMIFS(Q$3:Q$317,J$3:J$317,K$321)-INT(COUNTIFS(J$3:J$317,K$321,M$3:M$317,"*gộp*")/2)</f>
        <v>138</v>
      </c>
      <c r="O323" t="s">
        <v>119</v>
      </c>
      <c r="P323">
        <f>L335</f>
        <v>57108</v>
      </c>
    </row>
    <row r="324" spans="1:16" x14ac:dyDescent="0.25">
      <c r="B324" s="2" t="s">
        <v>168</v>
      </c>
      <c r="C324" s="62">
        <f>-SUMIFS(I$3:I$317,B$3:B$317,A$321,P$3:P$317,"xx",N$3:N$317,"x")</f>
        <v>-23598</v>
      </c>
      <c r="D324" s="62"/>
      <c r="E324" s="2">
        <f>SUMIFS(Q$3:Q$317,B$3:B$317,A$321,P$3:P$317,"xx",N$3:N$317,"x")</f>
        <v>29</v>
      </c>
      <c r="K324" t="s">
        <v>169</v>
      </c>
      <c r="L324">
        <f>-M324*2</f>
        <v>0</v>
      </c>
      <c r="M324">
        <f>COUNTIFS(K$3:K$317,K$321,L$3:L$317,A$322)-(COUNTIFS(K$3:K$317,K$321,M$3:M$317,"*gộp*")/2)-COUNTIFS(K$3:K$317,K$321,M$3:M$317,"*đơn trả*")-COUNTIFS(K$3:K$317,K$321,M$3:M$317,"*hàng tỉnh*")</f>
        <v>0</v>
      </c>
      <c r="O324" t="s">
        <v>33</v>
      </c>
      <c r="P324">
        <f>L343</f>
        <v>36787</v>
      </c>
    </row>
    <row r="325" spans="1:16" x14ac:dyDescent="0.25">
      <c r="B325" s="4" t="s">
        <v>170</v>
      </c>
      <c r="C325" s="60">
        <f>SUBTOTAL(9,C322:C324)</f>
        <v>203881</v>
      </c>
      <c r="D325" s="60"/>
      <c r="E325">
        <f>E322</f>
        <v>290</v>
      </c>
      <c r="K325" s="7" t="s">
        <v>155</v>
      </c>
      <c r="L325" s="18">
        <v>-13796</v>
      </c>
      <c r="M325" s="18" t="s">
        <v>5531</v>
      </c>
      <c r="O325" t="s">
        <v>171</v>
      </c>
      <c r="P325">
        <f>-C329</f>
        <v>-203881</v>
      </c>
    </row>
    <row r="326" spans="1:16" x14ac:dyDescent="0.25">
      <c r="B326" s="2" t="s">
        <v>172</v>
      </c>
      <c r="C326" s="58"/>
      <c r="D326" s="58"/>
      <c r="K326" s="2" t="s">
        <v>173</v>
      </c>
      <c r="O326" s="4" t="s">
        <v>174</v>
      </c>
      <c r="P326" s="4">
        <f>SUBTOTAL(9,P322:P325)</f>
        <v>-732</v>
      </c>
    </row>
    <row r="327" spans="1:16" x14ac:dyDescent="0.25">
      <c r="B327" s="8" t="s">
        <v>175</v>
      </c>
      <c r="C327" s="58"/>
      <c r="D327" s="58"/>
      <c r="L327" s="9">
        <f>SUBTOTAL(9,L322:L326)</f>
        <v>109254</v>
      </c>
      <c r="M327" s="9">
        <f>M322</f>
        <v>138</v>
      </c>
    </row>
    <row r="329" spans="1:16" x14ac:dyDescent="0.25">
      <c r="B329" s="1" t="s">
        <v>176</v>
      </c>
      <c r="C329" s="59">
        <f>C325+C326+C327</f>
        <v>203881</v>
      </c>
      <c r="D329" s="59"/>
      <c r="E329" s="1" t="s">
        <v>177</v>
      </c>
      <c r="K329" s="6" t="s">
        <v>119</v>
      </c>
      <c r="L329" s="6" t="s">
        <v>160</v>
      </c>
      <c r="M329" s="6" t="s">
        <v>159</v>
      </c>
    </row>
    <row r="330" spans="1:16" x14ac:dyDescent="0.25">
      <c r="K330" t="s">
        <v>164</v>
      </c>
      <c r="L330">
        <f>SUMIFS(G$3:G$317,J$3:J$317,K$329)</f>
        <v>59793</v>
      </c>
      <c r="M330">
        <f>SUMIFS(Q$3:Q$317,J$3:J$317,K$329)-INT(COUNTIFS(J$3:J$317,K$329,M$3:M$317,"*gộp*")/2)</f>
        <v>75</v>
      </c>
    </row>
    <row r="331" spans="1:16" x14ac:dyDescent="0.25">
      <c r="K331" t="s">
        <v>167</v>
      </c>
      <c r="L331">
        <f>-SUMIFS(H$3:H$317,J$3:J$317,K$329)+M331*5</f>
        <v>-1490</v>
      </c>
      <c r="M331">
        <f>SUMIFS(Q$3:Q$317,J$3:J$317,K$329)-INT(COUNTIFS(J$3:J$317,K$329,M$3:M$317,"*gộp*")/2)</f>
        <v>75</v>
      </c>
    </row>
    <row r="332" spans="1:16" x14ac:dyDescent="0.25">
      <c r="K332" t="s">
        <v>169</v>
      </c>
      <c r="L332">
        <f>-M332*2</f>
        <v>0</v>
      </c>
      <c r="M332">
        <f>COUNTIFS(K$3:K$317,K$329,L$3:L$317,A$322)-(COUNTIFS(K$3:K$317,K$329,M$3:M$317,"*gộp*")/2)-COUNTIFS(K$3:K$317,K$329,M$3:M$317,"*đơn trả*")-COUNTIFS(K$3:K$317,K$329,M$3:M$317,"*hàng tỉnh*")</f>
        <v>0</v>
      </c>
    </row>
    <row r="333" spans="1:16" x14ac:dyDescent="0.25">
      <c r="K333" s="7" t="s">
        <v>155</v>
      </c>
      <c r="L333" s="18">
        <v>-1195</v>
      </c>
      <c r="M333" s="18" t="s">
        <v>4589</v>
      </c>
    </row>
    <row r="334" spans="1:16" x14ac:dyDescent="0.25">
      <c r="K334" s="2" t="s">
        <v>173</v>
      </c>
    </row>
    <row r="335" spans="1:16" x14ac:dyDescent="0.25">
      <c r="L335" s="9">
        <f>SUBTOTAL(9,L330:L334)</f>
        <v>57108</v>
      </c>
      <c r="M335" s="9">
        <f>M330</f>
        <v>75</v>
      </c>
    </row>
    <row r="337" spans="11:13" x14ac:dyDescent="0.25">
      <c r="K337" s="6" t="s">
        <v>33</v>
      </c>
      <c r="L337" s="6" t="s">
        <v>160</v>
      </c>
      <c r="M337" s="6" t="s">
        <v>159</v>
      </c>
    </row>
    <row r="338" spans="11:13" x14ac:dyDescent="0.25">
      <c r="K338" t="s">
        <v>164</v>
      </c>
      <c r="L338">
        <f>SUMIFS(G$3:G$317,J$3:J$317,K$337)</f>
        <v>45577</v>
      </c>
      <c r="M338">
        <f>SUMIFS(Q$3:Q$317,J$3:J$317,K$337)-INT(COUNTIFS(J$3:J$317,K$337,M$3:M$317,"*gộp*")/2)</f>
        <v>67</v>
      </c>
    </row>
    <row r="339" spans="11:13" x14ac:dyDescent="0.25">
      <c r="K339" t="s">
        <v>167</v>
      </c>
      <c r="L339">
        <f>-SUMIFS(H$3:H$317,J$3:J$317,K$337)+M339*5</f>
        <v>-1310</v>
      </c>
      <c r="M339">
        <f>SUMIFS(Q$3:Q$317,J$3:J$317,K$337)-INT(COUNTIFS(J$3:J$317,K$337,M$3:M$317,"*gộp*")/2)</f>
        <v>67</v>
      </c>
    </row>
    <row r="340" spans="11:13" x14ac:dyDescent="0.25">
      <c r="K340" t="s">
        <v>169</v>
      </c>
      <c r="L340">
        <f>-M340*2</f>
        <v>-510</v>
      </c>
      <c r="M340">
        <f>COUNTIFS(K$3:K$317,K$337,L$3:L$317,A$322)-(COUNTIFS(K$3:K$317,K$337,M$3:M$317,"*gộp*")/2)-COUNTIFS(K$3:K$317,K$337,M$3:M$317,"*đơn trả*")-COUNTIFS(K$3:K$317,K$337,M$3:M$317,"*hàng tỉnh*")</f>
        <v>255</v>
      </c>
    </row>
    <row r="341" spans="11:13" x14ac:dyDescent="0.25">
      <c r="K341" s="7" t="s">
        <v>155</v>
      </c>
      <c r="L341" s="18">
        <v>-6970</v>
      </c>
      <c r="M341" s="18" t="s">
        <v>5537</v>
      </c>
    </row>
    <row r="342" spans="11:13" x14ac:dyDescent="0.25">
      <c r="K342" s="2" t="s">
        <v>173</v>
      </c>
    </row>
    <row r="343" spans="11:13" x14ac:dyDescent="0.25">
      <c r="L343" s="9">
        <f>SUBTOTAL(9,L338:L342)</f>
        <v>36787</v>
      </c>
      <c r="M343" s="9">
        <f>M338</f>
        <v>67</v>
      </c>
    </row>
  </sheetData>
  <autoFilter ref="A2:P317" xr:uid="{00000000-0009-0000-0000-000000000000}">
    <sortState xmlns:xlrd2="http://schemas.microsoft.com/office/spreadsheetml/2017/richdata2" ref="A3:P317">
      <sortCondition ref="J2:J317"/>
    </sortState>
  </autoFilter>
  <mergeCells count="8">
    <mergeCell ref="C327:D327"/>
    <mergeCell ref="C329:D329"/>
    <mergeCell ref="C321:D321"/>
    <mergeCell ref="C322:D322"/>
    <mergeCell ref="C323:D323"/>
    <mergeCell ref="C324:D324"/>
    <mergeCell ref="C325:D325"/>
    <mergeCell ref="C326:D326"/>
  </mergeCells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C6E1-D52B-4DA1-B1ED-5E31B14E7153}">
  <dimension ref="A1:R141"/>
  <sheetViews>
    <sheetView topLeftCell="C15" zoomScale="90" zoomScaleNormal="90" workbookViewId="0">
      <selection activeCell="E32" sqref="E32"/>
    </sheetView>
  </sheetViews>
  <sheetFormatPr defaultRowHeight="15" x14ac:dyDescent="0.25"/>
  <cols>
    <col min="1" max="1" width="12.7109375" customWidth="1"/>
    <col min="2" max="2" width="9" customWidth="1"/>
    <col min="3" max="3" width="45.42578125" customWidth="1"/>
    <col min="4" max="4" width="9.85546875" customWidth="1"/>
    <col min="5" max="5" width="81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22.5703125" bestFit="1" customWidth="1"/>
    <col min="12" max="12" width="12.5703125" bestFit="1" customWidth="1"/>
    <col min="13" max="13" width="22.5703125" customWidth="1"/>
    <col min="14" max="14" width="9.7109375" customWidth="1"/>
    <col min="15" max="15" width="10.42578125" customWidth="1"/>
    <col min="16" max="16" width="7.28515625" bestFit="1" customWidth="1"/>
  </cols>
  <sheetData>
    <row r="1" spans="1:18" x14ac:dyDescent="0.25">
      <c r="B1" t="s">
        <v>5539</v>
      </c>
      <c r="C1" t="s">
        <v>5540</v>
      </c>
      <c r="I1">
        <f>G1-H1</f>
        <v>0</v>
      </c>
    </row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 t="s">
        <v>59</v>
      </c>
      <c r="B3" s="11" t="s">
        <v>27</v>
      </c>
      <c r="C3" s="11" t="s">
        <v>5546</v>
      </c>
      <c r="D3" s="11"/>
      <c r="E3" s="11" t="s">
        <v>215</v>
      </c>
      <c r="F3" s="12">
        <v>6</v>
      </c>
      <c r="G3" s="12">
        <v>0</v>
      </c>
      <c r="H3" s="12">
        <v>30</v>
      </c>
      <c r="I3" s="12">
        <f t="shared" ref="I3:I34" si="0">G3-H3</f>
        <v>-30</v>
      </c>
      <c r="J3" s="11" t="s">
        <v>5547</v>
      </c>
      <c r="K3" s="11" t="s">
        <v>33</v>
      </c>
      <c r="L3" s="11" t="s">
        <v>5542</v>
      </c>
      <c r="M3" s="11"/>
      <c r="N3" s="11"/>
      <c r="O3" s="11"/>
      <c r="P3" s="11"/>
      <c r="Q3" s="11">
        <v>1</v>
      </c>
      <c r="R3" s="5">
        <f>H3</f>
        <v>30</v>
      </c>
    </row>
    <row r="4" spans="1:18" x14ac:dyDescent="0.25">
      <c r="A4" s="11"/>
      <c r="B4" s="11" t="s">
        <v>27</v>
      </c>
      <c r="C4" s="11" t="s">
        <v>5548</v>
      </c>
      <c r="D4" s="11" t="s">
        <v>5549</v>
      </c>
      <c r="E4" s="11" t="s">
        <v>5550</v>
      </c>
      <c r="F4" s="12">
        <v>8</v>
      </c>
      <c r="G4" s="12">
        <v>760</v>
      </c>
      <c r="H4" s="12">
        <v>30</v>
      </c>
      <c r="I4" s="12">
        <f t="shared" si="0"/>
        <v>730</v>
      </c>
      <c r="J4" s="11" t="s">
        <v>5547</v>
      </c>
      <c r="K4" s="11" t="s">
        <v>33</v>
      </c>
      <c r="L4" s="11" t="s">
        <v>5542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5551</v>
      </c>
      <c r="D5" s="11" t="s">
        <v>5552</v>
      </c>
      <c r="E5" s="11" t="s">
        <v>5553</v>
      </c>
      <c r="F5" s="12">
        <v>12</v>
      </c>
      <c r="G5" s="12">
        <v>1110</v>
      </c>
      <c r="H5" s="12">
        <v>30</v>
      </c>
      <c r="I5" s="12">
        <f t="shared" si="0"/>
        <v>1080</v>
      </c>
      <c r="J5" s="11" t="s">
        <v>5547</v>
      </c>
      <c r="K5" s="11" t="s">
        <v>33</v>
      </c>
      <c r="L5" s="11" t="s">
        <v>5542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5554</v>
      </c>
      <c r="D6" s="11" t="s">
        <v>5555</v>
      </c>
      <c r="E6" s="11" t="s">
        <v>5556</v>
      </c>
      <c r="F6" s="12">
        <v>7</v>
      </c>
      <c r="G6" s="12">
        <v>30</v>
      </c>
      <c r="H6" s="12">
        <v>30</v>
      </c>
      <c r="I6" s="12">
        <f t="shared" si="0"/>
        <v>0</v>
      </c>
      <c r="J6" s="11" t="s">
        <v>5547</v>
      </c>
      <c r="K6" s="11" t="s">
        <v>33</v>
      </c>
      <c r="L6" s="11" t="s">
        <v>5542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5557</v>
      </c>
      <c r="D7" s="11" t="s">
        <v>5558</v>
      </c>
      <c r="E7" s="11" t="s">
        <v>491</v>
      </c>
      <c r="F7" s="11" t="s">
        <v>104</v>
      </c>
      <c r="G7" s="12">
        <v>750</v>
      </c>
      <c r="H7" s="12">
        <v>30</v>
      </c>
      <c r="I7" s="12">
        <f t="shared" si="0"/>
        <v>720</v>
      </c>
      <c r="J7" s="11" t="s">
        <v>5547</v>
      </c>
      <c r="K7" s="11" t="s">
        <v>33</v>
      </c>
      <c r="L7" s="11" t="s">
        <v>5542</v>
      </c>
      <c r="M7" s="11"/>
      <c r="N7" s="11"/>
      <c r="O7" s="11"/>
      <c r="P7" s="11"/>
      <c r="Q7" s="11">
        <v>1</v>
      </c>
    </row>
    <row r="8" spans="1:18" x14ac:dyDescent="0.25">
      <c r="A8" s="11" t="s">
        <v>59</v>
      </c>
      <c r="B8" s="11" t="s">
        <v>27</v>
      </c>
      <c r="C8" s="11" t="s">
        <v>2674</v>
      </c>
      <c r="D8" s="11"/>
      <c r="E8" s="11" t="s">
        <v>1449</v>
      </c>
      <c r="F8" s="12">
        <v>6</v>
      </c>
      <c r="G8" s="12">
        <v>960</v>
      </c>
      <c r="H8" s="12">
        <v>30</v>
      </c>
      <c r="I8" s="12">
        <f t="shared" si="0"/>
        <v>930</v>
      </c>
      <c r="J8" s="11" t="s">
        <v>5547</v>
      </c>
      <c r="K8" s="11" t="s">
        <v>33</v>
      </c>
      <c r="L8" s="11" t="s">
        <v>5542</v>
      </c>
      <c r="M8" s="11"/>
      <c r="N8" s="11"/>
      <c r="O8" s="11"/>
      <c r="P8" s="11"/>
      <c r="Q8" s="11">
        <v>1</v>
      </c>
    </row>
    <row r="9" spans="1:18" x14ac:dyDescent="0.25">
      <c r="A9" s="11" t="s">
        <v>59</v>
      </c>
      <c r="B9" s="11" t="s">
        <v>27</v>
      </c>
      <c r="C9" s="11" t="s">
        <v>5563</v>
      </c>
      <c r="D9" s="11"/>
      <c r="E9" s="11" t="s">
        <v>5564</v>
      </c>
      <c r="F9" s="11" t="s">
        <v>48</v>
      </c>
      <c r="G9" s="12">
        <v>0</v>
      </c>
      <c r="H9" s="12">
        <v>35</v>
      </c>
      <c r="I9" s="12">
        <f t="shared" si="0"/>
        <v>-35</v>
      </c>
      <c r="J9" s="11" t="s">
        <v>5547</v>
      </c>
      <c r="K9" s="11" t="s">
        <v>33</v>
      </c>
      <c r="L9" s="11" t="s">
        <v>5542</v>
      </c>
      <c r="M9" s="11"/>
      <c r="N9" s="11"/>
      <c r="O9" s="11"/>
      <c r="P9" s="11"/>
      <c r="Q9" s="11">
        <v>1</v>
      </c>
      <c r="R9" s="5">
        <f>H9</f>
        <v>35</v>
      </c>
    </row>
    <row r="10" spans="1:18" x14ac:dyDescent="0.25">
      <c r="A10" s="11"/>
      <c r="B10" s="11" t="s">
        <v>27</v>
      </c>
      <c r="C10" s="11" t="s">
        <v>4045</v>
      </c>
      <c r="D10" s="11" t="s">
        <v>5583</v>
      </c>
      <c r="E10" s="11" t="s">
        <v>5584</v>
      </c>
      <c r="F10" s="11" t="s">
        <v>44</v>
      </c>
      <c r="G10" s="12">
        <v>495</v>
      </c>
      <c r="H10" s="12">
        <v>25</v>
      </c>
      <c r="I10" s="12">
        <f t="shared" si="0"/>
        <v>470</v>
      </c>
      <c r="J10" s="11" t="s">
        <v>5547</v>
      </c>
      <c r="K10" s="11" t="s">
        <v>33</v>
      </c>
      <c r="L10" s="11" t="s">
        <v>5542</v>
      </c>
      <c r="M10" s="11"/>
      <c r="N10" s="11"/>
      <c r="O10" s="11"/>
      <c r="P10" s="11"/>
      <c r="Q10" s="11">
        <v>1</v>
      </c>
    </row>
    <row r="11" spans="1:18" x14ac:dyDescent="0.25">
      <c r="A11" s="11"/>
      <c r="B11" s="11" t="s">
        <v>27</v>
      </c>
      <c r="C11" s="11" t="s">
        <v>5618</v>
      </c>
      <c r="D11" s="11" t="s">
        <v>5619</v>
      </c>
      <c r="E11" s="11" t="s">
        <v>5620</v>
      </c>
      <c r="F11" s="11" t="s">
        <v>44</v>
      </c>
      <c r="G11" s="12">
        <v>1208</v>
      </c>
      <c r="H11" s="12">
        <v>25</v>
      </c>
      <c r="I11" s="12">
        <f t="shared" si="0"/>
        <v>1183</v>
      </c>
      <c r="J11" s="11" t="s">
        <v>5547</v>
      </c>
      <c r="K11" s="11" t="s">
        <v>33</v>
      </c>
      <c r="L11" s="11" t="s">
        <v>5542</v>
      </c>
      <c r="M11" s="24" t="s">
        <v>340</v>
      </c>
      <c r="N11" s="11"/>
      <c r="O11" s="11"/>
      <c r="P11" s="11"/>
      <c r="Q11" s="11">
        <v>1</v>
      </c>
      <c r="R11" s="5">
        <f>H11</f>
        <v>25</v>
      </c>
    </row>
    <row r="12" spans="1:18" x14ac:dyDescent="0.25">
      <c r="A12" s="11"/>
      <c r="B12" s="11" t="s">
        <v>27</v>
      </c>
      <c r="C12" s="11" t="s">
        <v>4334</v>
      </c>
      <c r="D12" s="11" t="s">
        <v>5629</v>
      </c>
      <c r="E12" s="11" t="s">
        <v>3263</v>
      </c>
      <c r="F12" s="12">
        <v>6</v>
      </c>
      <c r="G12" s="12">
        <v>545</v>
      </c>
      <c r="H12" s="12">
        <v>25</v>
      </c>
      <c r="I12" s="12">
        <f t="shared" si="0"/>
        <v>520</v>
      </c>
      <c r="J12" s="11" t="s">
        <v>5547</v>
      </c>
      <c r="K12" s="11" t="s">
        <v>33</v>
      </c>
      <c r="L12" s="11" t="s">
        <v>5542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5656</v>
      </c>
      <c r="D13" s="11" t="s">
        <v>5657</v>
      </c>
      <c r="E13" s="11" t="s">
        <v>5658</v>
      </c>
      <c r="F13" s="11" t="s">
        <v>44</v>
      </c>
      <c r="G13" s="12">
        <v>695</v>
      </c>
      <c r="H13" s="12">
        <v>25</v>
      </c>
      <c r="I13" s="12">
        <f t="shared" si="0"/>
        <v>670</v>
      </c>
      <c r="J13" s="11" t="s">
        <v>5547</v>
      </c>
      <c r="K13" s="11" t="s">
        <v>33</v>
      </c>
      <c r="L13" s="11" t="s">
        <v>5542</v>
      </c>
      <c r="M13" s="11"/>
      <c r="N13" s="11"/>
      <c r="O13" s="11"/>
      <c r="P13" s="11"/>
      <c r="Q13" s="11">
        <v>1</v>
      </c>
    </row>
    <row r="14" spans="1:18" s="15" customFormat="1" x14ac:dyDescent="0.25">
      <c r="A14" s="13"/>
      <c r="B14" s="13" t="s">
        <v>27</v>
      </c>
      <c r="C14" s="13" t="s">
        <v>2394</v>
      </c>
      <c r="D14" s="13" t="s">
        <v>5693</v>
      </c>
      <c r="E14" s="13" t="s">
        <v>2396</v>
      </c>
      <c r="F14" s="13" t="s">
        <v>48</v>
      </c>
      <c r="G14" s="14">
        <v>0</v>
      </c>
      <c r="H14" s="14">
        <v>30</v>
      </c>
      <c r="I14" s="14">
        <f t="shared" si="0"/>
        <v>-30</v>
      </c>
      <c r="J14" s="13" t="s">
        <v>5547</v>
      </c>
      <c r="K14" s="13" t="s">
        <v>33</v>
      </c>
      <c r="L14" s="13" t="s">
        <v>5542</v>
      </c>
      <c r="M14" s="13" t="s">
        <v>100</v>
      </c>
      <c r="N14" s="13"/>
      <c r="O14" s="13"/>
      <c r="P14" s="13"/>
      <c r="Q14" s="13">
        <v>1</v>
      </c>
      <c r="R14" s="19">
        <f>H14</f>
        <v>30</v>
      </c>
    </row>
    <row r="15" spans="1:18" x14ac:dyDescent="0.25">
      <c r="A15" s="11"/>
      <c r="B15" s="11" t="s">
        <v>27</v>
      </c>
      <c r="C15" s="11" t="s">
        <v>1037</v>
      </c>
      <c r="D15" s="11" t="s">
        <v>5700</v>
      </c>
      <c r="E15" s="11" t="s">
        <v>5701</v>
      </c>
      <c r="F15" s="11" t="s">
        <v>48</v>
      </c>
      <c r="G15" s="12">
        <v>0</v>
      </c>
      <c r="H15" s="12">
        <v>30</v>
      </c>
      <c r="I15" s="12">
        <f t="shared" si="0"/>
        <v>-30</v>
      </c>
      <c r="J15" s="11" t="s">
        <v>5547</v>
      </c>
      <c r="K15" s="11" t="s">
        <v>33</v>
      </c>
      <c r="L15" s="11" t="s">
        <v>5542</v>
      </c>
      <c r="M15" s="24" t="s">
        <v>6069</v>
      </c>
      <c r="N15" s="11"/>
      <c r="O15" s="11"/>
      <c r="P15" s="11"/>
      <c r="Q15" s="11">
        <v>1</v>
      </c>
      <c r="R15" s="5">
        <f>H15</f>
        <v>30</v>
      </c>
    </row>
    <row r="16" spans="1:18" x14ac:dyDescent="0.25">
      <c r="A16" s="11"/>
      <c r="B16" s="11" t="s">
        <v>27</v>
      </c>
      <c r="C16" s="11" t="s">
        <v>2938</v>
      </c>
      <c r="D16" s="11" t="s">
        <v>5702</v>
      </c>
      <c r="E16" s="11" t="s">
        <v>2940</v>
      </c>
      <c r="F16" s="11" t="s">
        <v>44</v>
      </c>
      <c r="G16" s="12">
        <v>955</v>
      </c>
      <c r="H16" s="12">
        <v>25</v>
      </c>
      <c r="I16" s="12">
        <f t="shared" si="0"/>
        <v>930</v>
      </c>
      <c r="J16" s="11" t="s">
        <v>5547</v>
      </c>
      <c r="K16" s="11" t="s">
        <v>33</v>
      </c>
      <c r="L16" s="11" t="s">
        <v>5542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5703</v>
      </c>
      <c r="D17" s="11" t="s">
        <v>5704</v>
      </c>
      <c r="E17" s="11" t="s">
        <v>5705</v>
      </c>
      <c r="F17" s="11" t="s">
        <v>48</v>
      </c>
      <c r="G17" s="12">
        <v>468</v>
      </c>
      <c r="H17" s="12">
        <v>30</v>
      </c>
      <c r="I17" s="12">
        <f t="shared" si="0"/>
        <v>438</v>
      </c>
      <c r="J17" s="11" t="s">
        <v>5547</v>
      </c>
      <c r="K17" s="11" t="s">
        <v>33</v>
      </c>
      <c r="L17" s="11" t="s">
        <v>5542</v>
      </c>
      <c r="M17" s="24" t="s">
        <v>340</v>
      </c>
      <c r="N17" s="11"/>
      <c r="O17" s="11"/>
      <c r="P17" s="11"/>
      <c r="Q17" s="11">
        <v>1</v>
      </c>
      <c r="R17" s="5">
        <f>H17</f>
        <v>30</v>
      </c>
    </row>
    <row r="18" spans="1:18" x14ac:dyDescent="0.25">
      <c r="A18" s="11"/>
      <c r="B18" s="11" t="s">
        <v>27</v>
      </c>
      <c r="C18" s="11" t="s">
        <v>5717</v>
      </c>
      <c r="D18" s="11" t="s">
        <v>5718</v>
      </c>
      <c r="E18" s="11" t="s">
        <v>5719</v>
      </c>
      <c r="F18" s="11" t="s">
        <v>31</v>
      </c>
      <c r="G18" s="12">
        <v>375</v>
      </c>
      <c r="H18" s="12">
        <v>25</v>
      </c>
      <c r="I18" s="12">
        <f t="shared" si="0"/>
        <v>350</v>
      </c>
      <c r="J18" s="11" t="s">
        <v>5547</v>
      </c>
      <c r="K18" s="11" t="s">
        <v>33</v>
      </c>
      <c r="L18" s="11" t="s">
        <v>5542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5720</v>
      </c>
      <c r="D19" s="11" t="s">
        <v>5721</v>
      </c>
      <c r="E19" s="11" t="s">
        <v>5722</v>
      </c>
      <c r="F19" s="11" t="s">
        <v>31</v>
      </c>
      <c r="G19" s="12">
        <v>295</v>
      </c>
      <c r="H19" s="12">
        <v>25</v>
      </c>
      <c r="I19" s="12">
        <f t="shared" si="0"/>
        <v>270</v>
      </c>
      <c r="J19" s="11" t="s">
        <v>5547</v>
      </c>
      <c r="K19" s="11" t="s">
        <v>33</v>
      </c>
      <c r="L19" s="11" t="s">
        <v>5542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5128</v>
      </c>
      <c r="D20" s="11" t="s">
        <v>5725</v>
      </c>
      <c r="E20" s="11" t="s">
        <v>5130</v>
      </c>
      <c r="F20" s="11" t="s">
        <v>104</v>
      </c>
      <c r="G20" s="12">
        <v>458</v>
      </c>
      <c r="H20" s="12">
        <v>30</v>
      </c>
      <c r="I20" s="12">
        <f t="shared" si="0"/>
        <v>428</v>
      </c>
      <c r="J20" s="11" t="s">
        <v>5547</v>
      </c>
      <c r="K20" s="11" t="s">
        <v>33</v>
      </c>
      <c r="L20" s="11" t="s">
        <v>5542</v>
      </c>
      <c r="M20" s="24" t="s">
        <v>340</v>
      </c>
      <c r="N20" s="11"/>
      <c r="O20" s="11"/>
      <c r="P20" s="11"/>
      <c r="Q20" s="11">
        <v>1</v>
      </c>
      <c r="R20" s="5">
        <f>H20</f>
        <v>30</v>
      </c>
    </row>
    <row r="21" spans="1:18" x14ac:dyDescent="0.25">
      <c r="A21" s="11"/>
      <c r="B21" s="11" t="s">
        <v>27</v>
      </c>
      <c r="C21" s="11" t="s">
        <v>5358</v>
      </c>
      <c r="D21" s="11" t="s">
        <v>5739</v>
      </c>
      <c r="E21" s="11" t="s">
        <v>5740</v>
      </c>
      <c r="F21" s="12">
        <v>12</v>
      </c>
      <c r="G21" s="12">
        <v>450</v>
      </c>
      <c r="H21" s="12">
        <v>30</v>
      </c>
      <c r="I21" s="12">
        <f t="shared" si="0"/>
        <v>420</v>
      </c>
      <c r="J21" s="11" t="s">
        <v>5547</v>
      </c>
      <c r="K21" s="11" t="s">
        <v>33</v>
      </c>
      <c r="L21" s="11" t="s">
        <v>5542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652</v>
      </c>
      <c r="D22" s="11" t="s">
        <v>5741</v>
      </c>
      <c r="E22" s="11" t="s">
        <v>5742</v>
      </c>
      <c r="F22" s="12">
        <v>6</v>
      </c>
      <c r="G22" s="12">
        <v>0</v>
      </c>
      <c r="H22" s="12">
        <v>25</v>
      </c>
      <c r="I22" s="12">
        <f t="shared" si="0"/>
        <v>-25</v>
      </c>
      <c r="J22" s="11" t="s">
        <v>5547</v>
      </c>
      <c r="K22" s="11" t="s">
        <v>33</v>
      </c>
      <c r="L22" s="11" t="s">
        <v>5542</v>
      </c>
      <c r="M22" s="11"/>
      <c r="N22" s="11"/>
      <c r="O22" s="11"/>
      <c r="P22" s="11"/>
      <c r="Q22" s="11">
        <v>1</v>
      </c>
      <c r="R22" s="5">
        <f>H22</f>
        <v>25</v>
      </c>
    </row>
    <row r="23" spans="1:18" x14ac:dyDescent="0.25">
      <c r="A23" s="11"/>
      <c r="B23" s="11" t="s">
        <v>27</v>
      </c>
      <c r="C23" s="11" t="s">
        <v>4937</v>
      </c>
      <c r="D23" s="11" t="s">
        <v>5757</v>
      </c>
      <c r="E23" s="11" t="s">
        <v>3924</v>
      </c>
      <c r="F23" s="12">
        <v>7</v>
      </c>
      <c r="G23" s="12">
        <v>2188</v>
      </c>
      <c r="H23" s="12">
        <v>35</v>
      </c>
      <c r="I23" s="12">
        <f t="shared" si="0"/>
        <v>2153</v>
      </c>
      <c r="J23" s="11" t="s">
        <v>5547</v>
      </c>
      <c r="K23" s="11" t="s">
        <v>33</v>
      </c>
      <c r="L23" s="11" t="s">
        <v>5542</v>
      </c>
      <c r="M23" s="24" t="s">
        <v>340</v>
      </c>
      <c r="N23" s="11"/>
      <c r="O23" s="11"/>
      <c r="P23" s="11"/>
      <c r="Q23" s="11">
        <v>1</v>
      </c>
      <c r="R23" s="5">
        <f t="shared" ref="R23:R24" si="1">H23</f>
        <v>35</v>
      </c>
    </row>
    <row r="24" spans="1:18" x14ac:dyDescent="0.25">
      <c r="A24" s="11"/>
      <c r="B24" s="11" t="s">
        <v>27</v>
      </c>
      <c r="C24" s="11" t="s">
        <v>5758</v>
      </c>
      <c r="D24" s="11" t="s">
        <v>5759</v>
      </c>
      <c r="E24" s="11" t="s">
        <v>5760</v>
      </c>
      <c r="F24" s="11" t="s">
        <v>104</v>
      </c>
      <c r="G24" s="12">
        <v>698</v>
      </c>
      <c r="H24" s="12">
        <v>30</v>
      </c>
      <c r="I24" s="12">
        <f t="shared" si="0"/>
        <v>668</v>
      </c>
      <c r="J24" s="11" t="s">
        <v>5547</v>
      </c>
      <c r="K24" s="11" t="s">
        <v>33</v>
      </c>
      <c r="L24" s="11" t="s">
        <v>5542</v>
      </c>
      <c r="M24" s="24" t="s">
        <v>340</v>
      </c>
      <c r="N24" s="11"/>
      <c r="O24" s="11"/>
      <c r="P24" s="11"/>
      <c r="Q24" s="11">
        <v>1</v>
      </c>
      <c r="R24" s="5">
        <f t="shared" si="1"/>
        <v>30</v>
      </c>
    </row>
    <row r="25" spans="1:18" x14ac:dyDescent="0.25">
      <c r="A25" s="11"/>
      <c r="B25" s="11" t="s">
        <v>27</v>
      </c>
      <c r="C25" s="11" t="s">
        <v>5770</v>
      </c>
      <c r="D25" s="11" t="s">
        <v>5771</v>
      </c>
      <c r="E25" s="11" t="s">
        <v>5772</v>
      </c>
      <c r="F25" s="12">
        <v>12</v>
      </c>
      <c r="G25" s="12">
        <v>1990</v>
      </c>
      <c r="H25" s="12">
        <v>30</v>
      </c>
      <c r="I25" s="12">
        <f t="shared" si="0"/>
        <v>1960</v>
      </c>
      <c r="J25" s="11" t="s">
        <v>5547</v>
      </c>
      <c r="K25" s="11" t="s">
        <v>33</v>
      </c>
      <c r="L25" s="11" t="s">
        <v>5542</v>
      </c>
      <c r="M25" s="11"/>
      <c r="N25" s="11"/>
      <c r="O25" s="11"/>
      <c r="P25" s="11"/>
      <c r="Q25" s="11">
        <v>1</v>
      </c>
    </row>
    <row r="26" spans="1:18" x14ac:dyDescent="0.25">
      <c r="A26" s="11"/>
      <c r="B26" s="11" t="s">
        <v>27</v>
      </c>
      <c r="C26" s="11" t="s">
        <v>5773</v>
      </c>
      <c r="D26" s="11" t="s">
        <v>5774</v>
      </c>
      <c r="E26" s="11" t="s">
        <v>5775</v>
      </c>
      <c r="F26" s="11" t="s">
        <v>31</v>
      </c>
      <c r="G26" s="12">
        <v>375</v>
      </c>
      <c r="H26" s="12">
        <v>25</v>
      </c>
      <c r="I26" s="12">
        <f t="shared" si="0"/>
        <v>350</v>
      </c>
      <c r="J26" s="11" t="s">
        <v>5547</v>
      </c>
      <c r="K26" s="11" t="s">
        <v>33</v>
      </c>
      <c r="L26" s="11" t="s">
        <v>5542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1602</v>
      </c>
      <c r="D27" s="11" t="s">
        <v>5779</v>
      </c>
      <c r="E27" s="11" t="s">
        <v>1604</v>
      </c>
      <c r="F27" s="11" t="s">
        <v>104</v>
      </c>
      <c r="G27" s="12">
        <v>30</v>
      </c>
      <c r="H27" s="12">
        <v>30</v>
      </c>
      <c r="I27" s="12">
        <f t="shared" si="0"/>
        <v>0</v>
      </c>
      <c r="J27" s="11" t="s">
        <v>5547</v>
      </c>
      <c r="K27" s="11" t="s">
        <v>33</v>
      </c>
      <c r="L27" s="11" t="s">
        <v>5542</v>
      </c>
      <c r="M27" s="11"/>
      <c r="N27" s="11"/>
      <c r="O27" s="11"/>
      <c r="P27" s="11"/>
      <c r="Q27" s="11">
        <v>1</v>
      </c>
    </row>
    <row r="28" spans="1:18" x14ac:dyDescent="0.25">
      <c r="A28" s="11"/>
      <c r="B28" s="11" t="s">
        <v>27</v>
      </c>
      <c r="C28" s="11" t="s">
        <v>5780</v>
      </c>
      <c r="D28" s="11" t="s">
        <v>5781</v>
      </c>
      <c r="E28" s="11" t="s">
        <v>5782</v>
      </c>
      <c r="F28" s="12">
        <v>8</v>
      </c>
      <c r="G28" s="12">
        <v>1050</v>
      </c>
      <c r="H28" s="12">
        <v>30</v>
      </c>
      <c r="I28" s="12">
        <f t="shared" si="0"/>
        <v>1020</v>
      </c>
      <c r="J28" s="11" t="s">
        <v>5547</v>
      </c>
      <c r="K28" s="11" t="s">
        <v>33</v>
      </c>
      <c r="L28" s="11" t="s">
        <v>5542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5783</v>
      </c>
      <c r="D29" s="11" t="s">
        <v>5784</v>
      </c>
      <c r="E29" s="11" t="s">
        <v>5785</v>
      </c>
      <c r="F29" s="12">
        <v>7</v>
      </c>
      <c r="G29" s="12">
        <v>1760</v>
      </c>
      <c r="H29" s="12">
        <v>30</v>
      </c>
      <c r="I29" s="12">
        <f t="shared" si="0"/>
        <v>1730</v>
      </c>
      <c r="J29" s="11" t="s">
        <v>5547</v>
      </c>
      <c r="K29" s="11" t="s">
        <v>33</v>
      </c>
      <c r="L29" s="11" t="s">
        <v>5542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5786</v>
      </c>
      <c r="D30" s="11" t="s">
        <v>5787</v>
      </c>
      <c r="E30" s="11" t="s">
        <v>5788</v>
      </c>
      <c r="F30" s="11" t="s">
        <v>31</v>
      </c>
      <c r="G30" s="12">
        <v>1395</v>
      </c>
      <c r="H30" s="12">
        <v>25</v>
      </c>
      <c r="I30" s="12">
        <f t="shared" si="0"/>
        <v>1370</v>
      </c>
      <c r="J30" s="11" t="s">
        <v>5547</v>
      </c>
      <c r="K30" s="11" t="s">
        <v>33</v>
      </c>
      <c r="L30" s="11" t="s">
        <v>5542</v>
      </c>
      <c r="M30" s="11"/>
      <c r="N30" s="11"/>
      <c r="O30" s="11"/>
      <c r="P30" s="11"/>
      <c r="Q30" s="11">
        <v>1</v>
      </c>
    </row>
    <row r="31" spans="1:18" x14ac:dyDescent="0.25">
      <c r="A31" s="11"/>
      <c r="B31" s="11" t="s">
        <v>27</v>
      </c>
      <c r="C31" s="11" t="s">
        <v>5236</v>
      </c>
      <c r="D31" s="11" t="s">
        <v>5237</v>
      </c>
      <c r="E31" s="11" t="s">
        <v>5238</v>
      </c>
      <c r="F31" s="11" t="s">
        <v>44</v>
      </c>
      <c r="G31" s="12">
        <v>298</v>
      </c>
      <c r="H31" s="12">
        <v>25</v>
      </c>
      <c r="I31" s="12">
        <f t="shared" si="0"/>
        <v>273</v>
      </c>
      <c r="J31" s="11" t="s">
        <v>5547</v>
      </c>
      <c r="K31" s="11" t="s">
        <v>33</v>
      </c>
      <c r="L31" s="11" t="s">
        <v>4788</v>
      </c>
      <c r="M31" s="26" t="s">
        <v>5789</v>
      </c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5292</v>
      </c>
      <c r="D32" s="11" t="s">
        <v>5293</v>
      </c>
      <c r="E32" s="11" t="s">
        <v>5294</v>
      </c>
      <c r="F32" s="11" t="s">
        <v>44</v>
      </c>
      <c r="G32" s="12">
        <v>1055</v>
      </c>
      <c r="H32" s="12">
        <v>25</v>
      </c>
      <c r="I32" s="12">
        <f t="shared" si="0"/>
        <v>1030</v>
      </c>
      <c r="J32" s="11" t="s">
        <v>5547</v>
      </c>
      <c r="K32" s="11" t="s">
        <v>33</v>
      </c>
      <c r="L32" s="11" t="s">
        <v>4788</v>
      </c>
      <c r="M32" s="26" t="s">
        <v>5789</v>
      </c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5790</v>
      </c>
      <c r="D33" s="11" t="s">
        <v>5791</v>
      </c>
      <c r="E33" s="11" t="s">
        <v>5792</v>
      </c>
      <c r="F33" s="12">
        <v>6</v>
      </c>
      <c r="G33" s="12">
        <v>0</v>
      </c>
      <c r="H33" s="12">
        <v>25</v>
      </c>
      <c r="I33" s="12">
        <f t="shared" si="0"/>
        <v>-25</v>
      </c>
      <c r="J33" s="11" t="s">
        <v>5547</v>
      </c>
      <c r="K33" s="11" t="s">
        <v>33</v>
      </c>
      <c r="L33" s="11" t="s">
        <v>5542</v>
      </c>
      <c r="M33" s="11"/>
      <c r="N33" s="11"/>
      <c r="O33" s="11"/>
      <c r="P33" s="11"/>
      <c r="Q33" s="11">
        <v>1</v>
      </c>
      <c r="R33" s="5">
        <f>H33</f>
        <v>25</v>
      </c>
    </row>
    <row r="34" spans="1:18" x14ac:dyDescent="0.25">
      <c r="A34" s="11"/>
      <c r="B34" s="11" t="s">
        <v>27</v>
      </c>
      <c r="C34" s="11" t="s">
        <v>4577</v>
      </c>
      <c r="D34" s="11" t="s">
        <v>5559</v>
      </c>
      <c r="E34" s="11" t="s">
        <v>5560</v>
      </c>
      <c r="F34" s="11" t="s">
        <v>78</v>
      </c>
      <c r="G34" s="12">
        <v>510</v>
      </c>
      <c r="H34" s="12">
        <v>20</v>
      </c>
      <c r="I34" s="12">
        <f t="shared" si="0"/>
        <v>490</v>
      </c>
      <c r="J34" s="11" t="s">
        <v>33</v>
      </c>
      <c r="K34" s="11" t="s">
        <v>33</v>
      </c>
      <c r="L34" s="11" t="s">
        <v>5542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2260</v>
      </c>
      <c r="D35" s="11" t="s">
        <v>5566</v>
      </c>
      <c r="E35" s="11" t="s">
        <v>2262</v>
      </c>
      <c r="F35" s="11" t="s">
        <v>78</v>
      </c>
      <c r="G35" s="12">
        <v>480</v>
      </c>
      <c r="H35" s="12">
        <v>20</v>
      </c>
      <c r="I35" s="12">
        <f t="shared" ref="I35:I66" si="2">G35-H35</f>
        <v>460</v>
      </c>
      <c r="J35" s="11" t="s">
        <v>33</v>
      </c>
      <c r="K35" s="11" t="s">
        <v>33</v>
      </c>
      <c r="L35" s="11" t="s">
        <v>5542</v>
      </c>
      <c r="M35" s="11"/>
      <c r="N35" s="11"/>
      <c r="O35" s="11"/>
      <c r="P35" s="11"/>
      <c r="Q35" s="11">
        <v>1</v>
      </c>
    </row>
    <row r="36" spans="1:18" x14ac:dyDescent="0.25">
      <c r="A36" s="11"/>
      <c r="B36" s="11" t="s">
        <v>27</v>
      </c>
      <c r="C36" s="11" t="s">
        <v>5574</v>
      </c>
      <c r="D36" s="11" t="s">
        <v>5575</v>
      </c>
      <c r="E36" s="11" t="s">
        <v>5576</v>
      </c>
      <c r="F36" s="11" t="s">
        <v>78</v>
      </c>
      <c r="G36" s="12">
        <v>760</v>
      </c>
      <c r="H36" s="12">
        <v>20</v>
      </c>
      <c r="I36" s="12">
        <f t="shared" si="2"/>
        <v>740</v>
      </c>
      <c r="J36" s="11" t="s">
        <v>33</v>
      </c>
      <c r="K36" s="11" t="s">
        <v>33</v>
      </c>
      <c r="L36" s="11" t="s">
        <v>5542</v>
      </c>
      <c r="M36" s="11"/>
      <c r="N36" s="11"/>
      <c r="O36" s="11"/>
      <c r="P36" s="11"/>
      <c r="Q36" s="11">
        <v>1</v>
      </c>
    </row>
    <row r="37" spans="1:18" x14ac:dyDescent="0.25">
      <c r="A37" s="11"/>
      <c r="B37" s="11" t="s">
        <v>27</v>
      </c>
      <c r="C37" s="11" t="s">
        <v>5577</v>
      </c>
      <c r="D37" s="11" t="s">
        <v>5578</v>
      </c>
      <c r="E37" s="11" t="s">
        <v>5579</v>
      </c>
      <c r="F37" s="11" t="s">
        <v>68</v>
      </c>
      <c r="G37" s="12">
        <v>898</v>
      </c>
      <c r="H37" s="12">
        <v>25</v>
      </c>
      <c r="I37" s="12">
        <f t="shared" si="2"/>
        <v>873</v>
      </c>
      <c r="J37" s="11" t="s">
        <v>33</v>
      </c>
      <c r="K37" s="11" t="s">
        <v>33</v>
      </c>
      <c r="L37" s="11" t="s">
        <v>5542</v>
      </c>
      <c r="M37" s="24" t="s">
        <v>340</v>
      </c>
      <c r="N37" s="11"/>
      <c r="O37" s="11"/>
      <c r="P37" s="11"/>
      <c r="Q37" s="11">
        <v>1</v>
      </c>
      <c r="R37" s="5">
        <f>H37</f>
        <v>25</v>
      </c>
    </row>
    <row r="38" spans="1:18" x14ac:dyDescent="0.25">
      <c r="A38" s="11"/>
      <c r="B38" s="11" t="s">
        <v>27</v>
      </c>
      <c r="C38" s="11" t="s">
        <v>5589</v>
      </c>
      <c r="D38" s="11" t="s">
        <v>5590</v>
      </c>
      <c r="E38" s="11" t="s">
        <v>5591</v>
      </c>
      <c r="F38" s="11" t="s">
        <v>68</v>
      </c>
      <c r="G38" s="12">
        <v>205</v>
      </c>
      <c r="H38" s="12">
        <v>25</v>
      </c>
      <c r="I38" s="12">
        <f t="shared" si="2"/>
        <v>180</v>
      </c>
      <c r="J38" s="11" t="s">
        <v>33</v>
      </c>
      <c r="K38" s="11" t="s">
        <v>33</v>
      </c>
      <c r="L38" s="11" t="s">
        <v>5542</v>
      </c>
      <c r="M38" s="11"/>
      <c r="N38" s="11"/>
      <c r="O38" s="11"/>
      <c r="P38" s="11"/>
      <c r="Q38" s="11">
        <v>1</v>
      </c>
    </row>
    <row r="39" spans="1:18" x14ac:dyDescent="0.25">
      <c r="A39" s="11"/>
      <c r="B39" s="11" t="s">
        <v>27</v>
      </c>
      <c r="C39" s="11" t="s">
        <v>5592</v>
      </c>
      <c r="D39" s="11" t="s">
        <v>5593</v>
      </c>
      <c r="E39" s="11" t="s">
        <v>5018</v>
      </c>
      <c r="F39" s="11" t="s">
        <v>78</v>
      </c>
      <c r="G39" s="12">
        <v>468</v>
      </c>
      <c r="H39" s="12">
        <v>20</v>
      </c>
      <c r="I39" s="12">
        <f t="shared" si="2"/>
        <v>448</v>
      </c>
      <c r="J39" s="11" t="s">
        <v>33</v>
      </c>
      <c r="K39" s="11" t="s">
        <v>33</v>
      </c>
      <c r="L39" s="11" t="s">
        <v>5542</v>
      </c>
      <c r="M39" s="24" t="s">
        <v>340</v>
      </c>
      <c r="N39" s="11"/>
      <c r="O39" s="11"/>
      <c r="P39" s="11"/>
      <c r="Q39" s="11">
        <v>1</v>
      </c>
      <c r="R39" s="5">
        <f>H39</f>
        <v>20</v>
      </c>
    </row>
    <row r="40" spans="1:18" x14ac:dyDescent="0.25">
      <c r="A40" s="11"/>
      <c r="B40" s="11" t="s">
        <v>27</v>
      </c>
      <c r="C40" s="11" t="s">
        <v>5594</v>
      </c>
      <c r="D40" s="11" t="s">
        <v>5595</v>
      </c>
      <c r="E40" s="11" t="s">
        <v>5596</v>
      </c>
      <c r="F40" s="11" t="s">
        <v>68</v>
      </c>
      <c r="G40" s="12">
        <v>435</v>
      </c>
      <c r="H40" s="12">
        <v>25</v>
      </c>
      <c r="I40" s="12">
        <f t="shared" si="2"/>
        <v>410</v>
      </c>
      <c r="J40" s="11" t="s">
        <v>33</v>
      </c>
      <c r="K40" s="11" t="s">
        <v>33</v>
      </c>
      <c r="L40" s="11" t="s">
        <v>5542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5597</v>
      </c>
      <c r="D41" s="11" t="s">
        <v>5598</v>
      </c>
      <c r="E41" s="11" t="s">
        <v>5599</v>
      </c>
      <c r="F41" s="11" t="s">
        <v>68</v>
      </c>
      <c r="G41" s="12">
        <v>125</v>
      </c>
      <c r="H41" s="12">
        <v>25</v>
      </c>
      <c r="I41" s="12">
        <f t="shared" si="2"/>
        <v>100</v>
      </c>
      <c r="J41" s="11" t="s">
        <v>33</v>
      </c>
      <c r="K41" s="11" t="s">
        <v>33</v>
      </c>
      <c r="L41" s="11" t="s">
        <v>5542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5603</v>
      </c>
      <c r="D42" s="11" t="s">
        <v>5604</v>
      </c>
      <c r="E42" s="11" t="s">
        <v>5605</v>
      </c>
      <c r="F42" s="11" t="s">
        <v>78</v>
      </c>
      <c r="G42" s="12">
        <v>430</v>
      </c>
      <c r="H42" s="12">
        <v>20</v>
      </c>
      <c r="I42" s="12">
        <f t="shared" si="2"/>
        <v>410</v>
      </c>
      <c r="J42" s="11" t="s">
        <v>33</v>
      </c>
      <c r="K42" s="11" t="s">
        <v>33</v>
      </c>
      <c r="L42" s="11" t="s">
        <v>5542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5606</v>
      </c>
      <c r="D43" s="11" t="s">
        <v>5607</v>
      </c>
      <c r="E43" s="11" t="s">
        <v>5608</v>
      </c>
      <c r="F43" s="11" t="s">
        <v>68</v>
      </c>
      <c r="G43" s="12">
        <v>715</v>
      </c>
      <c r="H43" s="12">
        <v>25</v>
      </c>
      <c r="I43" s="12">
        <f t="shared" si="2"/>
        <v>690</v>
      </c>
      <c r="J43" s="11" t="s">
        <v>33</v>
      </c>
      <c r="K43" s="11" t="s">
        <v>33</v>
      </c>
      <c r="L43" s="11" t="s">
        <v>5542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5609</v>
      </c>
      <c r="D44" s="11" t="s">
        <v>5610</v>
      </c>
      <c r="E44" s="11" t="s">
        <v>5611</v>
      </c>
      <c r="F44" s="12">
        <v>2</v>
      </c>
      <c r="G44" s="12">
        <v>4825</v>
      </c>
      <c r="H44" s="12">
        <v>45</v>
      </c>
      <c r="I44" s="12">
        <f t="shared" si="2"/>
        <v>4780</v>
      </c>
      <c r="J44" s="11" t="s">
        <v>33</v>
      </c>
      <c r="K44" s="11" t="s">
        <v>33</v>
      </c>
      <c r="L44" s="11" t="s">
        <v>5542</v>
      </c>
      <c r="M44" s="11"/>
      <c r="N44" s="11"/>
      <c r="O44" s="11"/>
      <c r="P44" s="11"/>
      <c r="Q44" s="11">
        <v>1</v>
      </c>
    </row>
    <row r="45" spans="1:18" x14ac:dyDescent="0.25">
      <c r="A45" s="11"/>
      <c r="B45" s="11" t="s">
        <v>27</v>
      </c>
      <c r="C45" s="11" t="s">
        <v>5612</v>
      </c>
      <c r="D45" s="11" t="s">
        <v>5613</v>
      </c>
      <c r="E45" s="11" t="s">
        <v>5614</v>
      </c>
      <c r="F45" s="11" t="s">
        <v>68</v>
      </c>
      <c r="G45" s="12">
        <v>315</v>
      </c>
      <c r="H45" s="12">
        <v>25</v>
      </c>
      <c r="I45" s="12">
        <f t="shared" si="2"/>
        <v>290</v>
      </c>
      <c r="J45" s="11" t="s">
        <v>33</v>
      </c>
      <c r="K45" s="11" t="s">
        <v>33</v>
      </c>
      <c r="L45" s="11" t="s">
        <v>5542</v>
      </c>
      <c r="M45" s="43" t="s">
        <v>6065</v>
      </c>
      <c r="N45" s="11"/>
      <c r="O45" s="11"/>
      <c r="P45" s="11"/>
      <c r="Q45" s="11">
        <v>1</v>
      </c>
    </row>
    <row r="46" spans="1:18" x14ac:dyDescent="0.25">
      <c r="A46" s="11"/>
      <c r="B46" s="11" t="s">
        <v>27</v>
      </c>
      <c r="C46" s="11" t="s">
        <v>5630</v>
      </c>
      <c r="D46" s="11" t="s">
        <v>5631</v>
      </c>
      <c r="E46" s="11" t="s">
        <v>5632</v>
      </c>
      <c r="F46" s="11" t="s">
        <v>78</v>
      </c>
      <c r="G46" s="12">
        <v>208</v>
      </c>
      <c r="H46" s="12">
        <v>20</v>
      </c>
      <c r="I46" s="12">
        <f t="shared" si="2"/>
        <v>188</v>
      </c>
      <c r="J46" s="11" t="s">
        <v>33</v>
      </c>
      <c r="K46" s="11" t="s">
        <v>33</v>
      </c>
      <c r="L46" s="11" t="s">
        <v>5542</v>
      </c>
      <c r="M46" s="24" t="s">
        <v>340</v>
      </c>
      <c r="N46" s="11"/>
      <c r="O46" s="11"/>
      <c r="P46" s="11"/>
      <c r="Q46" s="11">
        <v>1</v>
      </c>
      <c r="R46" s="5">
        <f t="shared" ref="R46:R47" si="3">H46</f>
        <v>20</v>
      </c>
    </row>
    <row r="47" spans="1:18" x14ac:dyDescent="0.25">
      <c r="A47" s="11"/>
      <c r="B47" s="11" t="s">
        <v>27</v>
      </c>
      <c r="C47" s="11" t="s">
        <v>5633</v>
      </c>
      <c r="D47" s="11" t="s">
        <v>5634</v>
      </c>
      <c r="E47" s="11" t="s">
        <v>5635</v>
      </c>
      <c r="F47" s="11" t="s">
        <v>68</v>
      </c>
      <c r="G47" s="12">
        <v>588</v>
      </c>
      <c r="H47" s="12">
        <v>25</v>
      </c>
      <c r="I47" s="12">
        <f t="shared" si="2"/>
        <v>563</v>
      </c>
      <c r="J47" s="11" t="s">
        <v>33</v>
      </c>
      <c r="K47" s="11" t="s">
        <v>33</v>
      </c>
      <c r="L47" s="11" t="s">
        <v>5542</v>
      </c>
      <c r="M47" s="24" t="s">
        <v>340</v>
      </c>
      <c r="N47" s="11"/>
      <c r="O47" s="11"/>
      <c r="P47" s="11"/>
      <c r="Q47" s="11">
        <v>1</v>
      </c>
      <c r="R47" s="5">
        <f t="shared" si="3"/>
        <v>25</v>
      </c>
    </row>
    <row r="48" spans="1:18" x14ac:dyDescent="0.25">
      <c r="A48" s="11"/>
      <c r="B48" s="11" t="s">
        <v>27</v>
      </c>
      <c r="C48" s="11" t="s">
        <v>1950</v>
      </c>
      <c r="D48" s="11" t="s">
        <v>5636</v>
      </c>
      <c r="E48" s="11" t="s">
        <v>1952</v>
      </c>
      <c r="F48" s="11" t="s">
        <v>78</v>
      </c>
      <c r="G48" s="12">
        <v>530</v>
      </c>
      <c r="H48" s="12">
        <v>20</v>
      </c>
      <c r="I48" s="12">
        <f t="shared" si="2"/>
        <v>510</v>
      </c>
      <c r="J48" s="11" t="s">
        <v>33</v>
      </c>
      <c r="K48" s="11" t="s">
        <v>33</v>
      </c>
      <c r="L48" s="11" t="s">
        <v>5542</v>
      </c>
      <c r="M48" s="11"/>
      <c r="N48" s="11"/>
      <c r="O48" s="11"/>
      <c r="P48" s="11"/>
      <c r="Q48" s="11">
        <v>1</v>
      </c>
    </row>
    <row r="49" spans="1:18" x14ac:dyDescent="0.25">
      <c r="A49" s="11"/>
      <c r="B49" s="11" t="s">
        <v>27</v>
      </c>
      <c r="C49" s="11" t="s">
        <v>5637</v>
      </c>
      <c r="D49" s="11" t="s">
        <v>5638</v>
      </c>
      <c r="E49" s="11" t="s">
        <v>5639</v>
      </c>
      <c r="F49" s="11" t="s">
        <v>78</v>
      </c>
      <c r="G49" s="12">
        <v>760</v>
      </c>
      <c r="H49" s="12">
        <v>20</v>
      </c>
      <c r="I49" s="12">
        <f t="shared" si="2"/>
        <v>740</v>
      </c>
      <c r="J49" s="11" t="s">
        <v>33</v>
      </c>
      <c r="K49" s="11" t="s">
        <v>33</v>
      </c>
      <c r="L49" s="11" t="s">
        <v>5542</v>
      </c>
      <c r="M49" s="11"/>
      <c r="N49" s="11"/>
      <c r="O49" s="11"/>
      <c r="P49" s="11"/>
      <c r="Q49" s="11">
        <v>1</v>
      </c>
    </row>
    <row r="50" spans="1:18" x14ac:dyDescent="0.25">
      <c r="A50" s="11"/>
      <c r="B50" s="11" t="s">
        <v>27</v>
      </c>
      <c r="C50" s="11" t="s">
        <v>5016</v>
      </c>
      <c r="D50" s="11" t="s">
        <v>5640</v>
      </c>
      <c r="E50" s="11" t="s">
        <v>5018</v>
      </c>
      <c r="F50" s="11" t="s">
        <v>78</v>
      </c>
      <c r="G50" s="12">
        <v>1430</v>
      </c>
      <c r="H50" s="12">
        <v>20</v>
      </c>
      <c r="I50" s="12">
        <f t="shared" si="2"/>
        <v>1410</v>
      </c>
      <c r="J50" s="11" t="s">
        <v>33</v>
      </c>
      <c r="K50" s="11" t="s">
        <v>33</v>
      </c>
      <c r="L50" s="11" t="s">
        <v>5542</v>
      </c>
      <c r="M50" s="11"/>
      <c r="N50" s="11"/>
      <c r="O50" s="11"/>
      <c r="P50" s="11"/>
      <c r="Q50" s="11">
        <v>1</v>
      </c>
    </row>
    <row r="51" spans="1:18" x14ac:dyDescent="0.25">
      <c r="A51" s="11"/>
      <c r="B51" s="11" t="s">
        <v>27</v>
      </c>
      <c r="C51" s="11" t="s">
        <v>5646</v>
      </c>
      <c r="D51" s="11" t="s">
        <v>5647</v>
      </c>
      <c r="E51" s="11" t="s">
        <v>5648</v>
      </c>
      <c r="F51" s="11" t="s">
        <v>78</v>
      </c>
      <c r="G51" s="12">
        <v>1258</v>
      </c>
      <c r="H51" s="12">
        <v>20</v>
      </c>
      <c r="I51" s="12">
        <f t="shared" si="2"/>
        <v>1238</v>
      </c>
      <c r="J51" s="11" t="s">
        <v>33</v>
      </c>
      <c r="K51" s="11" t="s">
        <v>33</v>
      </c>
      <c r="L51" s="11" t="s">
        <v>5542</v>
      </c>
      <c r="M51" s="24" t="s">
        <v>340</v>
      </c>
      <c r="N51" s="11"/>
      <c r="O51" s="11"/>
      <c r="P51" s="11"/>
      <c r="Q51" s="11">
        <v>1</v>
      </c>
      <c r="R51" s="5">
        <f>H51</f>
        <v>20</v>
      </c>
    </row>
    <row r="52" spans="1:18" x14ac:dyDescent="0.25">
      <c r="A52" s="11"/>
      <c r="B52" s="11" t="s">
        <v>27</v>
      </c>
      <c r="C52" s="11" t="s">
        <v>4301</v>
      </c>
      <c r="D52" s="11" t="s">
        <v>5652</v>
      </c>
      <c r="E52" s="11" t="s">
        <v>5653</v>
      </c>
      <c r="F52" s="11" t="s">
        <v>68</v>
      </c>
      <c r="G52" s="12">
        <v>345</v>
      </c>
      <c r="H52" s="12">
        <v>25</v>
      </c>
      <c r="I52" s="12">
        <f t="shared" si="2"/>
        <v>320</v>
      </c>
      <c r="J52" s="11" t="s">
        <v>33</v>
      </c>
      <c r="K52" s="11" t="s">
        <v>33</v>
      </c>
      <c r="L52" s="11" t="s">
        <v>5542</v>
      </c>
      <c r="M52" s="11"/>
      <c r="N52" s="11"/>
      <c r="O52" s="11"/>
      <c r="P52" s="11"/>
      <c r="Q52" s="11">
        <v>1</v>
      </c>
    </row>
    <row r="53" spans="1:18" x14ac:dyDescent="0.25">
      <c r="A53" s="11"/>
      <c r="B53" s="11" t="s">
        <v>27</v>
      </c>
      <c r="C53" s="11" t="s">
        <v>5654</v>
      </c>
      <c r="D53" s="11" t="s">
        <v>5655</v>
      </c>
      <c r="E53" s="11" t="s">
        <v>5018</v>
      </c>
      <c r="F53" s="11" t="s">
        <v>78</v>
      </c>
      <c r="G53" s="12">
        <v>480</v>
      </c>
      <c r="H53" s="12">
        <v>20</v>
      </c>
      <c r="I53" s="12">
        <f t="shared" si="2"/>
        <v>460</v>
      </c>
      <c r="J53" s="11" t="s">
        <v>33</v>
      </c>
      <c r="K53" s="11" t="s">
        <v>33</v>
      </c>
      <c r="L53" s="11" t="s">
        <v>5542</v>
      </c>
      <c r="M53" s="11"/>
      <c r="N53" s="11"/>
      <c r="O53" s="11"/>
      <c r="P53" s="11"/>
      <c r="Q53" s="11">
        <v>1</v>
      </c>
    </row>
    <row r="54" spans="1:18" x14ac:dyDescent="0.25">
      <c r="A54" s="11"/>
      <c r="B54" s="11" t="s">
        <v>27</v>
      </c>
      <c r="C54" s="11" t="s">
        <v>5661</v>
      </c>
      <c r="D54" s="11" t="s">
        <v>5662</v>
      </c>
      <c r="E54" s="11" t="s">
        <v>5663</v>
      </c>
      <c r="F54" s="11" t="s">
        <v>68</v>
      </c>
      <c r="G54" s="12">
        <v>195</v>
      </c>
      <c r="H54" s="12">
        <v>25</v>
      </c>
      <c r="I54" s="12">
        <f t="shared" si="2"/>
        <v>170</v>
      </c>
      <c r="J54" s="11" t="s">
        <v>33</v>
      </c>
      <c r="K54" s="11" t="s">
        <v>33</v>
      </c>
      <c r="L54" s="11" t="s">
        <v>5542</v>
      </c>
      <c r="M54" s="11"/>
      <c r="N54" s="11"/>
      <c r="O54" s="11"/>
      <c r="P54" s="11"/>
      <c r="Q54" s="11">
        <v>1</v>
      </c>
    </row>
    <row r="55" spans="1:18" x14ac:dyDescent="0.25">
      <c r="A55" s="11"/>
      <c r="B55" s="11" t="s">
        <v>27</v>
      </c>
      <c r="C55" s="11" t="s">
        <v>2738</v>
      </c>
      <c r="D55" s="11" t="s">
        <v>5664</v>
      </c>
      <c r="E55" s="11" t="s">
        <v>5665</v>
      </c>
      <c r="F55" s="11" t="s">
        <v>68</v>
      </c>
      <c r="G55" s="12">
        <v>1005</v>
      </c>
      <c r="H55" s="12">
        <v>25</v>
      </c>
      <c r="I55" s="12">
        <f t="shared" si="2"/>
        <v>980</v>
      </c>
      <c r="J55" s="11" t="s">
        <v>33</v>
      </c>
      <c r="K55" s="11" t="s">
        <v>33</v>
      </c>
      <c r="L55" s="11" t="s">
        <v>5542</v>
      </c>
      <c r="M55" s="11"/>
      <c r="N55" s="11"/>
      <c r="O55" s="11"/>
      <c r="P55" s="11"/>
      <c r="Q55" s="11">
        <v>1</v>
      </c>
    </row>
    <row r="56" spans="1:18" x14ac:dyDescent="0.25">
      <c r="A56" s="11"/>
      <c r="B56" s="11" t="s">
        <v>27</v>
      </c>
      <c r="C56" s="11" t="s">
        <v>5666</v>
      </c>
      <c r="D56" s="11" t="s">
        <v>5667</v>
      </c>
      <c r="E56" s="11" t="s">
        <v>5668</v>
      </c>
      <c r="F56" s="11" t="s">
        <v>78</v>
      </c>
      <c r="G56" s="12">
        <v>538</v>
      </c>
      <c r="H56" s="12">
        <v>20</v>
      </c>
      <c r="I56" s="12">
        <f t="shared" si="2"/>
        <v>518</v>
      </c>
      <c r="J56" s="11" t="s">
        <v>33</v>
      </c>
      <c r="K56" s="11" t="s">
        <v>33</v>
      </c>
      <c r="L56" s="11" t="s">
        <v>5542</v>
      </c>
      <c r="M56" s="24" t="s">
        <v>340</v>
      </c>
      <c r="N56" s="11"/>
      <c r="O56" s="11"/>
      <c r="P56" s="11"/>
      <c r="Q56" s="11">
        <v>1</v>
      </c>
      <c r="R56" s="5">
        <f>H56</f>
        <v>20</v>
      </c>
    </row>
    <row r="57" spans="1:18" x14ac:dyDescent="0.25">
      <c r="A57" s="11"/>
      <c r="B57" s="11" t="s">
        <v>27</v>
      </c>
      <c r="C57" s="11" t="s">
        <v>5672</v>
      </c>
      <c r="D57" s="11" t="s">
        <v>5673</v>
      </c>
      <c r="E57" s="11" t="s">
        <v>5674</v>
      </c>
      <c r="F57" s="11" t="s">
        <v>68</v>
      </c>
      <c r="G57" s="12">
        <v>615</v>
      </c>
      <c r="H57" s="12">
        <v>25</v>
      </c>
      <c r="I57" s="12">
        <f t="shared" si="2"/>
        <v>590</v>
      </c>
      <c r="J57" s="11" t="s">
        <v>33</v>
      </c>
      <c r="K57" s="11" t="s">
        <v>33</v>
      </c>
      <c r="L57" s="11" t="s">
        <v>5542</v>
      </c>
      <c r="M57" s="11"/>
      <c r="N57" s="11"/>
      <c r="O57" s="11"/>
      <c r="P57" s="11"/>
      <c r="Q57" s="11">
        <v>1</v>
      </c>
    </row>
    <row r="58" spans="1:18" x14ac:dyDescent="0.25">
      <c r="A58" s="11"/>
      <c r="B58" s="11" t="s">
        <v>27</v>
      </c>
      <c r="C58" s="11" t="s">
        <v>5683</v>
      </c>
      <c r="D58" s="11" t="s">
        <v>5684</v>
      </c>
      <c r="E58" s="11" t="s">
        <v>5685</v>
      </c>
      <c r="F58" s="11" t="s">
        <v>78</v>
      </c>
      <c r="G58" s="12">
        <v>1240</v>
      </c>
      <c r="H58" s="12">
        <v>20</v>
      </c>
      <c r="I58" s="12">
        <f t="shared" si="2"/>
        <v>1220</v>
      </c>
      <c r="J58" s="11" t="s">
        <v>33</v>
      </c>
      <c r="K58" s="11" t="s">
        <v>33</v>
      </c>
      <c r="L58" s="11" t="s">
        <v>5542</v>
      </c>
      <c r="M58" s="11"/>
      <c r="N58" s="11"/>
      <c r="O58" s="11"/>
      <c r="P58" s="11"/>
      <c r="Q58" s="11">
        <v>1</v>
      </c>
    </row>
    <row r="59" spans="1:18" x14ac:dyDescent="0.25">
      <c r="A59" s="11"/>
      <c r="B59" s="11" t="s">
        <v>27</v>
      </c>
      <c r="C59" s="11" t="s">
        <v>5690</v>
      </c>
      <c r="D59" s="11" t="s">
        <v>5691</v>
      </c>
      <c r="E59" s="11" t="s">
        <v>5692</v>
      </c>
      <c r="F59" s="11" t="s">
        <v>78</v>
      </c>
      <c r="G59" s="12">
        <v>780</v>
      </c>
      <c r="H59" s="12">
        <v>20</v>
      </c>
      <c r="I59" s="12">
        <f t="shared" si="2"/>
        <v>760</v>
      </c>
      <c r="J59" s="11" t="s">
        <v>33</v>
      </c>
      <c r="K59" s="11" t="s">
        <v>33</v>
      </c>
      <c r="L59" s="11" t="s">
        <v>5542</v>
      </c>
      <c r="M59" s="11"/>
      <c r="N59" s="11"/>
      <c r="O59" s="11"/>
      <c r="P59" s="11"/>
      <c r="Q59" s="11">
        <v>1</v>
      </c>
    </row>
    <row r="60" spans="1:18" x14ac:dyDescent="0.25">
      <c r="A60" s="11"/>
      <c r="B60" s="11" t="s">
        <v>27</v>
      </c>
      <c r="C60" s="11" t="s">
        <v>5694</v>
      </c>
      <c r="D60" s="11" t="s">
        <v>5695</v>
      </c>
      <c r="E60" s="11" t="s">
        <v>5696</v>
      </c>
      <c r="F60" s="11" t="s">
        <v>78</v>
      </c>
      <c r="G60" s="12">
        <v>460</v>
      </c>
      <c r="H60" s="12">
        <v>20</v>
      </c>
      <c r="I60" s="12">
        <f t="shared" si="2"/>
        <v>440</v>
      </c>
      <c r="J60" s="11" t="s">
        <v>33</v>
      </c>
      <c r="K60" s="11" t="s">
        <v>33</v>
      </c>
      <c r="L60" s="11" t="s">
        <v>5542</v>
      </c>
      <c r="M60" s="11"/>
      <c r="N60" s="11"/>
      <c r="O60" s="11"/>
      <c r="P60" s="11"/>
      <c r="Q60" s="11">
        <v>1</v>
      </c>
    </row>
    <row r="61" spans="1:18" x14ac:dyDescent="0.25">
      <c r="A61" s="11"/>
      <c r="B61" s="11" t="s">
        <v>27</v>
      </c>
      <c r="C61" s="11" t="s">
        <v>5706</v>
      </c>
      <c r="D61" s="11" t="s">
        <v>5707</v>
      </c>
      <c r="E61" s="11" t="s">
        <v>5708</v>
      </c>
      <c r="F61" s="12">
        <v>2</v>
      </c>
      <c r="G61" s="12">
        <v>358</v>
      </c>
      <c r="H61" s="12">
        <v>30</v>
      </c>
      <c r="I61" s="12">
        <f t="shared" si="2"/>
        <v>328</v>
      </c>
      <c r="J61" s="11" t="s">
        <v>33</v>
      </c>
      <c r="K61" s="11" t="s">
        <v>33</v>
      </c>
      <c r="L61" s="11" t="s">
        <v>5542</v>
      </c>
      <c r="M61" s="24" t="s">
        <v>340</v>
      </c>
      <c r="N61" s="11"/>
      <c r="O61" s="11"/>
      <c r="P61" s="11"/>
      <c r="Q61" s="11">
        <v>1</v>
      </c>
      <c r="R61" s="5">
        <f>H61</f>
        <v>30</v>
      </c>
    </row>
    <row r="62" spans="1:18" x14ac:dyDescent="0.25">
      <c r="A62" s="11"/>
      <c r="B62" s="11" t="s">
        <v>27</v>
      </c>
      <c r="C62" s="11" t="s">
        <v>5709</v>
      </c>
      <c r="D62" s="11" t="s">
        <v>5710</v>
      </c>
      <c r="E62" s="11" t="s">
        <v>5305</v>
      </c>
      <c r="F62" s="11" t="s">
        <v>68</v>
      </c>
      <c r="G62" s="12">
        <v>365</v>
      </c>
      <c r="H62" s="12">
        <v>25</v>
      </c>
      <c r="I62" s="12">
        <f t="shared" si="2"/>
        <v>340</v>
      </c>
      <c r="J62" s="11" t="s">
        <v>33</v>
      </c>
      <c r="K62" s="11" t="s">
        <v>33</v>
      </c>
      <c r="L62" s="11" t="s">
        <v>5542</v>
      </c>
      <c r="M62" s="11"/>
      <c r="N62" s="11"/>
      <c r="O62" s="11"/>
      <c r="P62" s="11"/>
      <c r="Q62" s="11">
        <v>1</v>
      </c>
    </row>
    <row r="63" spans="1:18" x14ac:dyDescent="0.25">
      <c r="A63" s="11"/>
      <c r="B63" s="11" t="s">
        <v>27</v>
      </c>
      <c r="C63" s="11" t="s">
        <v>5711</v>
      </c>
      <c r="D63" s="11" t="s">
        <v>5712</v>
      </c>
      <c r="E63" s="11" t="s">
        <v>5713</v>
      </c>
      <c r="F63" s="11" t="s">
        <v>78</v>
      </c>
      <c r="G63" s="12">
        <v>450</v>
      </c>
      <c r="H63" s="12">
        <v>20</v>
      </c>
      <c r="I63" s="12">
        <f t="shared" si="2"/>
        <v>430</v>
      </c>
      <c r="J63" s="11" t="s">
        <v>33</v>
      </c>
      <c r="K63" s="11" t="s">
        <v>33</v>
      </c>
      <c r="L63" s="11" t="s">
        <v>5542</v>
      </c>
      <c r="M63" s="11"/>
      <c r="N63" s="11"/>
      <c r="O63" s="11"/>
      <c r="P63" s="11"/>
      <c r="Q63" s="11">
        <v>1</v>
      </c>
    </row>
    <row r="64" spans="1:18" x14ac:dyDescent="0.25">
      <c r="A64" s="11"/>
      <c r="B64" s="11" t="s">
        <v>27</v>
      </c>
      <c r="C64" s="11" t="s">
        <v>5726</v>
      </c>
      <c r="D64" s="11" t="s">
        <v>5727</v>
      </c>
      <c r="E64" s="11" t="s">
        <v>5728</v>
      </c>
      <c r="F64" s="12">
        <v>2</v>
      </c>
      <c r="G64" s="12">
        <v>300</v>
      </c>
      <c r="H64" s="12">
        <v>30</v>
      </c>
      <c r="I64" s="12">
        <f t="shared" si="2"/>
        <v>270</v>
      </c>
      <c r="J64" s="11" t="s">
        <v>33</v>
      </c>
      <c r="K64" s="11" t="s">
        <v>33</v>
      </c>
      <c r="L64" s="11" t="s">
        <v>5542</v>
      </c>
      <c r="M64" s="11"/>
      <c r="N64" s="11"/>
      <c r="O64" s="11"/>
      <c r="P64" s="11"/>
      <c r="Q64" s="11">
        <v>1</v>
      </c>
    </row>
    <row r="65" spans="1:18" x14ac:dyDescent="0.25">
      <c r="A65" s="11"/>
      <c r="B65" s="11" t="s">
        <v>27</v>
      </c>
      <c r="C65" s="11" t="s">
        <v>5736</v>
      </c>
      <c r="D65" s="11" t="s">
        <v>5737</v>
      </c>
      <c r="E65" s="11" t="s">
        <v>5738</v>
      </c>
      <c r="F65" s="11" t="s">
        <v>104</v>
      </c>
      <c r="G65" s="12">
        <v>2220</v>
      </c>
      <c r="H65" s="12">
        <v>30</v>
      </c>
      <c r="I65" s="12">
        <f t="shared" si="2"/>
        <v>2190</v>
      </c>
      <c r="J65" s="11" t="s">
        <v>33</v>
      </c>
      <c r="K65" s="11" t="s">
        <v>33</v>
      </c>
      <c r="L65" s="11" t="s">
        <v>5542</v>
      </c>
      <c r="M65" s="11"/>
      <c r="N65" s="11"/>
      <c r="O65" s="11"/>
      <c r="P65" s="11"/>
      <c r="Q65" s="11">
        <v>1</v>
      </c>
    </row>
    <row r="66" spans="1:18" x14ac:dyDescent="0.25">
      <c r="A66" s="11"/>
      <c r="B66" s="11" t="s">
        <v>27</v>
      </c>
      <c r="C66" s="11" t="s">
        <v>5178</v>
      </c>
      <c r="D66" s="11" t="s">
        <v>5743</v>
      </c>
      <c r="E66" s="11" t="s">
        <v>5180</v>
      </c>
      <c r="F66" s="11" t="s">
        <v>78</v>
      </c>
      <c r="G66" s="12">
        <v>598</v>
      </c>
      <c r="H66" s="12">
        <v>20</v>
      </c>
      <c r="I66" s="12">
        <f t="shared" si="2"/>
        <v>578</v>
      </c>
      <c r="J66" s="11" t="s">
        <v>33</v>
      </c>
      <c r="K66" s="11" t="s">
        <v>33</v>
      </c>
      <c r="L66" s="11" t="s">
        <v>5542</v>
      </c>
      <c r="M66" s="24" t="s">
        <v>340</v>
      </c>
      <c r="N66" s="11"/>
      <c r="O66" s="11"/>
      <c r="P66" s="11"/>
      <c r="Q66" s="11">
        <v>1</v>
      </c>
      <c r="R66" s="5">
        <f>H66</f>
        <v>20</v>
      </c>
    </row>
    <row r="67" spans="1:18" x14ac:dyDescent="0.25">
      <c r="A67" s="11"/>
      <c r="B67" s="11" t="s">
        <v>27</v>
      </c>
      <c r="C67" s="11" t="s">
        <v>5750</v>
      </c>
      <c r="D67" s="11" t="s">
        <v>5751</v>
      </c>
      <c r="E67" s="11" t="s">
        <v>5752</v>
      </c>
      <c r="F67" s="12">
        <v>2</v>
      </c>
      <c r="G67" s="12">
        <v>0</v>
      </c>
      <c r="H67" s="12">
        <v>30</v>
      </c>
      <c r="I67" s="12">
        <f t="shared" ref="I67:I98" si="4">G67-H67</f>
        <v>-30</v>
      </c>
      <c r="J67" s="11" t="s">
        <v>33</v>
      </c>
      <c r="K67" s="11" t="s">
        <v>33</v>
      </c>
      <c r="L67" s="11" t="s">
        <v>5542</v>
      </c>
      <c r="M67" s="11"/>
      <c r="N67" s="11"/>
      <c r="O67" s="11"/>
      <c r="P67" s="11"/>
      <c r="Q67" s="11">
        <v>1</v>
      </c>
      <c r="R67" s="5">
        <f>H67</f>
        <v>30</v>
      </c>
    </row>
    <row r="68" spans="1:18" x14ac:dyDescent="0.25">
      <c r="A68" s="11"/>
      <c r="B68" s="11" t="s">
        <v>27</v>
      </c>
      <c r="C68" s="11" t="s">
        <v>4561</v>
      </c>
      <c r="D68" s="11" t="s">
        <v>5753</v>
      </c>
      <c r="E68" s="11" t="s">
        <v>4429</v>
      </c>
      <c r="F68" s="11" t="s">
        <v>78</v>
      </c>
      <c r="G68" s="12">
        <v>1140</v>
      </c>
      <c r="H68" s="12">
        <v>20</v>
      </c>
      <c r="I68" s="12">
        <f t="shared" si="4"/>
        <v>1120</v>
      </c>
      <c r="J68" s="11" t="s">
        <v>33</v>
      </c>
      <c r="K68" s="11" t="s">
        <v>33</v>
      </c>
      <c r="L68" s="11" t="s">
        <v>5542</v>
      </c>
      <c r="M68" s="11"/>
      <c r="N68" s="11"/>
      <c r="O68" s="11"/>
      <c r="P68" s="11"/>
      <c r="Q68" s="11">
        <v>1</v>
      </c>
    </row>
    <row r="69" spans="1:18" x14ac:dyDescent="0.25">
      <c r="A69" s="11"/>
      <c r="B69" s="11" t="s">
        <v>27</v>
      </c>
      <c r="C69" s="11" t="s">
        <v>5764</v>
      </c>
      <c r="D69" s="11" t="s">
        <v>5765</v>
      </c>
      <c r="E69" s="11" t="s">
        <v>5766</v>
      </c>
      <c r="F69" s="11" t="s">
        <v>78</v>
      </c>
      <c r="G69" s="12">
        <v>470</v>
      </c>
      <c r="H69" s="12">
        <v>20</v>
      </c>
      <c r="I69" s="12">
        <f t="shared" si="4"/>
        <v>450</v>
      </c>
      <c r="J69" s="11" t="s">
        <v>33</v>
      </c>
      <c r="K69" s="11" t="s">
        <v>33</v>
      </c>
      <c r="L69" s="11" t="s">
        <v>5542</v>
      </c>
      <c r="M69" s="11"/>
      <c r="N69" s="11"/>
      <c r="O69" s="11"/>
      <c r="P69" s="11"/>
      <c r="Q69" s="11">
        <v>1</v>
      </c>
    </row>
    <row r="70" spans="1:18" x14ac:dyDescent="0.25">
      <c r="A70" s="11"/>
      <c r="B70" s="11" t="s">
        <v>27</v>
      </c>
      <c r="C70" s="11" t="s">
        <v>5767</v>
      </c>
      <c r="D70" s="11" t="s">
        <v>5768</v>
      </c>
      <c r="E70" s="11" t="s">
        <v>5769</v>
      </c>
      <c r="F70" s="11" t="s">
        <v>78</v>
      </c>
      <c r="G70" s="12">
        <v>1370</v>
      </c>
      <c r="H70" s="12">
        <v>20</v>
      </c>
      <c r="I70" s="12">
        <f t="shared" si="4"/>
        <v>1350</v>
      </c>
      <c r="J70" s="11" t="s">
        <v>33</v>
      </c>
      <c r="K70" s="11" t="s">
        <v>33</v>
      </c>
      <c r="L70" s="11" t="s">
        <v>5542</v>
      </c>
      <c r="M70" s="11"/>
      <c r="N70" s="11"/>
      <c r="O70" s="11"/>
      <c r="P70" s="11"/>
      <c r="Q70" s="11">
        <v>1</v>
      </c>
    </row>
    <row r="71" spans="1:18" x14ac:dyDescent="0.25">
      <c r="A71" s="11"/>
      <c r="B71" s="11" t="s">
        <v>27</v>
      </c>
      <c r="C71" s="11" t="s">
        <v>3771</v>
      </c>
      <c r="D71" s="11" t="s">
        <v>3772</v>
      </c>
      <c r="E71" s="11" t="s">
        <v>5686</v>
      </c>
      <c r="F71" s="12">
        <v>12</v>
      </c>
      <c r="G71" s="12">
        <v>0</v>
      </c>
      <c r="H71" s="12">
        <v>40</v>
      </c>
      <c r="I71" s="12">
        <f t="shared" si="4"/>
        <v>-40</v>
      </c>
      <c r="J71" s="11" t="s">
        <v>33</v>
      </c>
      <c r="K71" s="11" t="s">
        <v>33</v>
      </c>
      <c r="L71" s="11" t="s">
        <v>5542</v>
      </c>
      <c r="M71" s="24" t="s">
        <v>1217</v>
      </c>
      <c r="N71" s="11"/>
      <c r="O71" s="11"/>
      <c r="P71" s="11"/>
      <c r="Q71" s="11">
        <v>1</v>
      </c>
      <c r="R71" s="5">
        <f t="shared" ref="R71:R72" si="5">H71</f>
        <v>40</v>
      </c>
    </row>
    <row r="72" spans="1:18" x14ac:dyDescent="0.25">
      <c r="A72" s="11"/>
      <c r="B72" s="11" t="s">
        <v>27</v>
      </c>
      <c r="C72" s="11" t="s">
        <v>3771</v>
      </c>
      <c r="D72" s="11" t="s">
        <v>3772</v>
      </c>
      <c r="E72" s="11" t="s">
        <v>5686</v>
      </c>
      <c r="F72" s="12">
        <v>12</v>
      </c>
      <c r="G72" s="12">
        <v>0</v>
      </c>
      <c r="H72" s="12">
        <v>0</v>
      </c>
      <c r="I72" s="12">
        <f t="shared" si="4"/>
        <v>0</v>
      </c>
      <c r="J72" s="11" t="s">
        <v>33</v>
      </c>
      <c r="K72" s="11" t="s">
        <v>33</v>
      </c>
      <c r="L72" s="11" t="s">
        <v>5542</v>
      </c>
      <c r="M72" s="24" t="s">
        <v>1217</v>
      </c>
      <c r="N72" s="11"/>
      <c r="O72" s="11"/>
      <c r="P72" s="11"/>
      <c r="Q72" s="11">
        <v>1</v>
      </c>
      <c r="R72" s="5">
        <f t="shared" si="5"/>
        <v>0</v>
      </c>
    </row>
    <row r="73" spans="1:18" x14ac:dyDescent="0.25">
      <c r="A73" s="11" t="s">
        <v>59</v>
      </c>
      <c r="B73" s="11" t="s">
        <v>27</v>
      </c>
      <c r="C73" s="11" t="s">
        <v>5541</v>
      </c>
      <c r="D73" s="11"/>
      <c r="E73" s="11" t="s">
        <v>610</v>
      </c>
      <c r="F73" s="11" t="s">
        <v>44</v>
      </c>
      <c r="G73" s="12">
        <v>30</v>
      </c>
      <c r="H73" s="12">
        <v>30</v>
      </c>
      <c r="I73" s="12">
        <f t="shared" si="4"/>
        <v>0</v>
      </c>
      <c r="J73" s="11" t="s">
        <v>119</v>
      </c>
      <c r="K73" s="11" t="s">
        <v>33</v>
      </c>
      <c r="L73" s="11" t="s">
        <v>5542</v>
      </c>
      <c r="M73" s="11"/>
      <c r="N73" s="11"/>
      <c r="O73" s="11"/>
      <c r="P73" s="11"/>
      <c r="Q73" s="11">
        <v>1</v>
      </c>
    </row>
    <row r="74" spans="1:18" x14ac:dyDescent="0.25">
      <c r="A74" s="11"/>
      <c r="B74" s="11" t="s">
        <v>27</v>
      </c>
      <c r="C74" s="11" t="s">
        <v>5543</v>
      </c>
      <c r="D74" s="11" t="s">
        <v>5544</v>
      </c>
      <c r="E74" s="11" t="s">
        <v>5545</v>
      </c>
      <c r="F74" s="12">
        <v>1</v>
      </c>
      <c r="G74" s="12">
        <v>605</v>
      </c>
      <c r="H74" s="12">
        <v>25</v>
      </c>
      <c r="I74" s="12">
        <f t="shared" si="4"/>
        <v>580</v>
      </c>
      <c r="J74" s="11" t="s">
        <v>119</v>
      </c>
      <c r="K74" s="11" t="s">
        <v>33</v>
      </c>
      <c r="L74" s="11" t="s">
        <v>5542</v>
      </c>
      <c r="M74" s="11"/>
      <c r="N74" s="11"/>
      <c r="O74" s="11"/>
      <c r="P74" s="11"/>
      <c r="Q74" s="11">
        <v>1</v>
      </c>
    </row>
    <row r="75" spans="1:18" x14ac:dyDescent="0.25">
      <c r="A75" s="11"/>
      <c r="B75" s="11" t="s">
        <v>27</v>
      </c>
      <c r="C75" s="11" t="s">
        <v>4872</v>
      </c>
      <c r="D75" s="11" t="s">
        <v>5561</v>
      </c>
      <c r="E75" s="11" t="s">
        <v>5562</v>
      </c>
      <c r="F75" s="11" t="s">
        <v>118</v>
      </c>
      <c r="G75" s="12">
        <v>610</v>
      </c>
      <c r="H75" s="12">
        <v>20</v>
      </c>
      <c r="I75" s="12">
        <f t="shared" si="4"/>
        <v>590</v>
      </c>
      <c r="J75" s="11" t="s">
        <v>119</v>
      </c>
      <c r="K75" s="11" t="s">
        <v>33</v>
      </c>
      <c r="L75" s="11" t="s">
        <v>5542</v>
      </c>
      <c r="M75" s="11"/>
      <c r="N75" s="11"/>
      <c r="O75" s="11"/>
      <c r="P75" s="11"/>
      <c r="Q75" s="11">
        <v>1</v>
      </c>
    </row>
    <row r="76" spans="1:18" x14ac:dyDescent="0.25">
      <c r="A76" s="11" t="s">
        <v>59</v>
      </c>
      <c r="B76" s="11" t="s">
        <v>27</v>
      </c>
      <c r="C76" s="11" t="s">
        <v>2670</v>
      </c>
      <c r="D76" s="11"/>
      <c r="E76" s="11" t="s">
        <v>5565</v>
      </c>
      <c r="F76" s="11" t="s">
        <v>44</v>
      </c>
      <c r="G76" s="12">
        <v>1460</v>
      </c>
      <c r="H76" s="12">
        <v>30</v>
      </c>
      <c r="I76" s="12">
        <f t="shared" si="4"/>
        <v>1430</v>
      </c>
      <c r="J76" s="11" t="s">
        <v>119</v>
      </c>
      <c r="K76" s="11" t="s">
        <v>33</v>
      </c>
      <c r="L76" s="11" t="s">
        <v>5542</v>
      </c>
      <c r="M76" s="11"/>
      <c r="N76" s="11"/>
      <c r="O76" s="11"/>
      <c r="P76" s="11"/>
      <c r="Q76" s="11">
        <v>1</v>
      </c>
    </row>
    <row r="77" spans="1:18" x14ac:dyDescent="0.25">
      <c r="A77" s="11"/>
      <c r="B77" s="11" t="s">
        <v>27</v>
      </c>
      <c r="C77" s="11" t="s">
        <v>4403</v>
      </c>
      <c r="D77" s="11" t="s">
        <v>5567</v>
      </c>
      <c r="E77" s="11" t="s">
        <v>5568</v>
      </c>
      <c r="F77" s="12">
        <v>3</v>
      </c>
      <c r="G77" s="12">
        <v>1055</v>
      </c>
      <c r="H77" s="12">
        <v>25</v>
      </c>
      <c r="I77" s="12">
        <f t="shared" si="4"/>
        <v>1030</v>
      </c>
      <c r="J77" s="11" t="s">
        <v>119</v>
      </c>
      <c r="K77" s="11" t="s">
        <v>33</v>
      </c>
      <c r="L77" s="11" t="s">
        <v>5542</v>
      </c>
      <c r="M77" s="11"/>
      <c r="N77" s="11"/>
      <c r="O77" s="11"/>
      <c r="P77" s="11"/>
      <c r="Q77" s="11">
        <v>1</v>
      </c>
    </row>
    <row r="78" spans="1:18" x14ac:dyDescent="0.25">
      <c r="A78" s="11" t="s">
        <v>59</v>
      </c>
      <c r="B78" s="11" t="s">
        <v>27</v>
      </c>
      <c r="C78" s="11" t="s">
        <v>5569</v>
      </c>
      <c r="D78" s="11"/>
      <c r="E78" s="11" t="s">
        <v>5570</v>
      </c>
      <c r="F78" s="11" t="s">
        <v>44</v>
      </c>
      <c r="G78" s="12">
        <v>0</v>
      </c>
      <c r="H78" s="12">
        <v>30</v>
      </c>
      <c r="I78" s="12">
        <f t="shared" si="4"/>
        <v>-30</v>
      </c>
      <c r="J78" s="11" t="s">
        <v>119</v>
      </c>
      <c r="K78" s="11" t="s">
        <v>33</v>
      </c>
      <c r="L78" s="11" t="s">
        <v>5542</v>
      </c>
      <c r="M78" s="11"/>
      <c r="N78" s="11"/>
      <c r="O78" s="11"/>
      <c r="P78" s="11"/>
      <c r="Q78" s="11">
        <v>1</v>
      </c>
      <c r="R78" s="5">
        <f>H78</f>
        <v>30</v>
      </c>
    </row>
    <row r="79" spans="1:18" x14ac:dyDescent="0.25">
      <c r="A79" s="11"/>
      <c r="B79" s="11" t="s">
        <v>27</v>
      </c>
      <c r="C79" s="11" t="s">
        <v>5571</v>
      </c>
      <c r="D79" s="11" t="s">
        <v>5572</v>
      </c>
      <c r="E79" s="11" t="s">
        <v>5573</v>
      </c>
      <c r="F79" s="12">
        <v>1</v>
      </c>
      <c r="G79" s="12">
        <v>1315</v>
      </c>
      <c r="H79" s="12">
        <v>25</v>
      </c>
      <c r="I79" s="12">
        <f t="shared" si="4"/>
        <v>1290</v>
      </c>
      <c r="J79" s="11" t="s">
        <v>119</v>
      </c>
      <c r="K79" s="11" t="s">
        <v>33</v>
      </c>
      <c r="L79" s="11" t="s">
        <v>5542</v>
      </c>
      <c r="M79" s="11"/>
      <c r="N79" s="11"/>
      <c r="O79" s="11"/>
      <c r="P79" s="11"/>
      <c r="Q79" s="11">
        <v>1</v>
      </c>
    </row>
    <row r="80" spans="1:18" x14ac:dyDescent="0.25">
      <c r="A80" s="11"/>
      <c r="B80" s="11" t="s">
        <v>27</v>
      </c>
      <c r="C80" s="11" t="s">
        <v>5571</v>
      </c>
      <c r="D80" s="11" t="s">
        <v>5796</v>
      </c>
      <c r="E80" s="11" t="s">
        <v>5573</v>
      </c>
      <c r="F80" s="12">
        <v>1</v>
      </c>
      <c r="G80" s="12">
        <v>8735</v>
      </c>
      <c r="H80" s="12">
        <v>25</v>
      </c>
      <c r="I80" s="12">
        <f t="shared" si="4"/>
        <v>8710</v>
      </c>
      <c r="J80" s="11" t="s">
        <v>119</v>
      </c>
      <c r="K80" s="11" t="s">
        <v>33</v>
      </c>
      <c r="L80" s="11" t="s">
        <v>5542</v>
      </c>
      <c r="M80" s="11"/>
      <c r="N80" s="11"/>
      <c r="O80" s="11"/>
      <c r="P80" s="11"/>
      <c r="Q80" s="11">
        <v>1</v>
      </c>
    </row>
    <row r="81" spans="1:18" x14ac:dyDescent="0.25">
      <c r="A81" s="11"/>
      <c r="B81" s="11" t="s">
        <v>27</v>
      </c>
      <c r="C81" s="11" t="s">
        <v>5580</v>
      </c>
      <c r="D81" s="11" t="s">
        <v>5581</v>
      </c>
      <c r="E81" s="11" t="s">
        <v>5582</v>
      </c>
      <c r="F81" s="12">
        <v>1</v>
      </c>
      <c r="G81" s="12">
        <v>1088</v>
      </c>
      <c r="H81" s="12">
        <v>25</v>
      </c>
      <c r="I81" s="12">
        <f t="shared" si="4"/>
        <v>1063</v>
      </c>
      <c r="J81" s="11" t="s">
        <v>119</v>
      </c>
      <c r="K81" s="11" t="s">
        <v>33</v>
      </c>
      <c r="L81" s="11" t="s">
        <v>5542</v>
      </c>
      <c r="M81" s="24" t="s">
        <v>340</v>
      </c>
      <c r="N81" s="11"/>
      <c r="O81" s="11"/>
      <c r="P81" s="11"/>
      <c r="Q81" s="11">
        <v>1</v>
      </c>
      <c r="R81" s="5">
        <f>H81</f>
        <v>25</v>
      </c>
    </row>
    <row r="82" spans="1:18" x14ac:dyDescent="0.25">
      <c r="A82" s="11"/>
      <c r="B82" s="11" t="s">
        <v>27</v>
      </c>
      <c r="C82" s="11" t="s">
        <v>3391</v>
      </c>
      <c r="D82" s="11" t="s">
        <v>5585</v>
      </c>
      <c r="E82" s="11" t="s">
        <v>5586</v>
      </c>
      <c r="F82" s="12">
        <v>1</v>
      </c>
      <c r="G82" s="12">
        <v>0</v>
      </c>
      <c r="H82" s="12">
        <v>25</v>
      </c>
      <c r="I82" s="12">
        <f t="shared" si="4"/>
        <v>-25</v>
      </c>
      <c r="J82" s="11" t="s">
        <v>119</v>
      </c>
      <c r="K82" s="11" t="s">
        <v>33</v>
      </c>
      <c r="L82" s="11" t="s">
        <v>5542</v>
      </c>
      <c r="M82" s="24" t="s">
        <v>5797</v>
      </c>
      <c r="N82" s="11"/>
      <c r="O82" s="11"/>
      <c r="P82" s="11"/>
      <c r="Q82" s="11">
        <v>1</v>
      </c>
      <c r="R82" s="5">
        <f>H82</f>
        <v>25</v>
      </c>
    </row>
    <row r="83" spans="1:18" x14ac:dyDescent="0.25">
      <c r="A83" s="11"/>
      <c r="B83" s="11" t="s">
        <v>27</v>
      </c>
      <c r="C83" s="11" t="s">
        <v>3060</v>
      </c>
      <c r="D83" s="11" t="s">
        <v>5587</v>
      </c>
      <c r="E83" s="11" t="s">
        <v>5588</v>
      </c>
      <c r="F83" s="11" t="s">
        <v>44</v>
      </c>
      <c r="G83" s="12">
        <v>1915</v>
      </c>
      <c r="H83" s="12">
        <v>25</v>
      </c>
      <c r="I83" s="12">
        <f t="shared" si="4"/>
        <v>1890</v>
      </c>
      <c r="J83" s="11" t="s">
        <v>119</v>
      </c>
      <c r="K83" s="11" t="s">
        <v>33</v>
      </c>
      <c r="L83" s="11" t="s">
        <v>5542</v>
      </c>
      <c r="M83" s="11"/>
      <c r="N83" s="11"/>
      <c r="O83" s="11"/>
      <c r="P83" s="11"/>
      <c r="Q83" s="11">
        <v>1</v>
      </c>
    </row>
    <row r="84" spans="1:18" x14ac:dyDescent="0.25">
      <c r="A84" s="11"/>
      <c r="B84" s="11" t="s">
        <v>27</v>
      </c>
      <c r="C84" s="11" t="s">
        <v>5600</v>
      </c>
      <c r="D84" s="11" t="s">
        <v>5601</v>
      </c>
      <c r="E84" s="11" t="s">
        <v>5602</v>
      </c>
      <c r="F84" s="11" t="s">
        <v>44</v>
      </c>
      <c r="G84" s="12">
        <v>428</v>
      </c>
      <c r="H84" s="12">
        <v>25</v>
      </c>
      <c r="I84" s="12">
        <f t="shared" si="4"/>
        <v>403</v>
      </c>
      <c r="J84" s="11" t="s">
        <v>119</v>
      </c>
      <c r="K84" s="11" t="s">
        <v>33</v>
      </c>
      <c r="L84" s="11" t="s">
        <v>5542</v>
      </c>
      <c r="M84" s="24" t="s">
        <v>340</v>
      </c>
      <c r="N84" s="11"/>
      <c r="O84" s="11"/>
      <c r="P84" s="11"/>
      <c r="Q84" s="11">
        <v>1</v>
      </c>
      <c r="R84" s="5">
        <f>H84</f>
        <v>25</v>
      </c>
    </row>
    <row r="85" spans="1:18" x14ac:dyDescent="0.25">
      <c r="A85" s="11"/>
      <c r="B85" s="11" t="s">
        <v>27</v>
      </c>
      <c r="C85" s="11" t="s">
        <v>5615</v>
      </c>
      <c r="D85" s="11" t="s">
        <v>5616</v>
      </c>
      <c r="E85" s="11" t="s">
        <v>5617</v>
      </c>
      <c r="F85" s="12">
        <v>1</v>
      </c>
      <c r="G85" s="12">
        <v>485</v>
      </c>
      <c r="H85" s="12">
        <v>25</v>
      </c>
      <c r="I85" s="12">
        <f t="shared" si="4"/>
        <v>460</v>
      </c>
      <c r="J85" s="11" t="s">
        <v>119</v>
      </c>
      <c r="K85" s="11" t="s">
        <v>33</v>
      </c>
      <c r="L85" s="11" t="s">
        <v>5542</v>
      </c>
      <c r="M85" s="11"/>
      <c r="N85" s="11"/>
      <c r="O85" s="11"/>
      <c r="P85" s="11"/>
      <c r="Q85" s="11">
        <v>1</v>
      </c>
    </row>
    <row r="86" spans="1:18" x14ac:dyDescent="0.25">
      <c r="A86" s="11"/>
      <c r="B86" s="11" t="s">
        <v>27</v>
      </c>
      <c r="C86" s="11" t="s">
        <v>5621</v>
      </c>
      <c r="D86" s="11" t="s">
        <v>5622</v>
      </c>
      <c r="E86" s="11" t="s">
        <v>5623</v>
      </c>
      <c r="F86" s="11" t="s">
        <v>44</v>
      </c>
      <c r="G86" s="12">
        <v>1875</v>
      </c>
      <c r="H86" s="12">
        <v>25</v>
      </c>
      <c r="I86" s="12">
        <f t="shared" si="4"/>
        <v>1850</v>
      </c>
      <c r="J86" s="11" t="s">
        <v>119</v>
      </c>
      <c r="K86" s="11" t="s">
        <v>33</v>
      </c>
      <c r="L86" s="11" t="s">
        <v>5542</v>
      </c>
      <c r="M86" s="11"/>
      <c r="N86" s="11"/>
      <c r="O86" s="11"/>
      <c r="P86" s="11"/>
      <c r="Q86" s="11">
        <v>1</v>
      </c>
    </row>
    <row r="87" spans="1:18" x14ac:dyDescent="0.25">
      <c r="A87" s="11"/>
      <c r="B87" s="11" t="s">
        <v>27</v>
      </c>
      <c r="C87" s="11" t="s">
        <v>5624</v>
      </c>
      <c r="D87" s="11" t="s">
        <v>5625</v>
      </c>
      <c r="E87" s="11" t="s">
        <v>5626</v>
      </c>
      <c r="F87" s="11" t="s">
        <v>44</v>
      </c>
      <c r="G87" s="12">
        <v>475</v>
      </c>
      <c r="H87" s="12">
        <v>25</v>
      </c>
      <c r="I87" s="12">
        <f t="shared" si="4"/>
        <v>450</v>
      </c>
      <c r="J87" s="11" t="s">
        <v>119</v>
      </c>
      <c r="K87" s="11" t="s">
        <v>33</v>
      </c>
      <c r="L87" s="11" t="s">
        <v>5542</v>
      </c>
      <c r="M87" s="24" t="s">
        <v>6066</v>
      </c>
      <c r="N87" s="11"/>
      <c r="O87" s="11"/>
      <c r="P87" s="11"/>
      <c r="Q87" s="11">
        <v>1</v>
      </c>
    </row>
    <row r="88" spans="1:18" x14ac:dyDescent="0.25">
      <c r="A88" s="11"/>
      <c r="B88" s="11" t="s">
        <v>27</v>
      </c>
      <c r="C88" s="11" t="s">
        <v>5627</v>
      </c>
      <c r="D88" s="11" t="s">
        <v>5628</v>
      </c>
      <c r="E88" s="11" t="s">
        <v>5602</v>
      </c>
      <c r="F88" s="11" t="s">
        <v>44</v>
      </c>
      <c r="G88" s="12">
        <v>438</v>
      </c>
      <c r="H88" s="12">
        <v>25</v>
      </c>
      <c r="I88" s="12">
        <f t="shared" si="4"/>
        <v>413</v>
      </c>
      <c r="J88" s="11" t="s">
        <v>119</v>
      </c>
      <c r="K88" s="11" t="s">
        <v>33</v>
      </c>
      <c r="L88" s="11" t="s">
        <v>5542</v>
      </c>
      <c r="M88" s="24" t="s">
        <v>340</v>
      </c>
      <c r="N88" s="11"/>
      <c r="O88" s="11"/>
      <c r="P88" s="11"/>
      <c r="Q88" s="11">
        <v>1</v>
      </c>
      <c r="R88" s="5">
        <f>H88</f>
        <v>25</v>
      </c>
    </row>
    <row r="89" spans="1:18" x14ac:dyDescent="0.25">
      <c r="A89" s="11"/>
      <c r="B89" s="11" t="s">
        <v>27</v>
      </c>
      <c r="C89" s="11" t="s">
        <v>5641</v>
      </c>
      <c r="D89" s="11" t="s">
        <v>5642</v>
      </c>
      <c r="E89" s="11" t="s">
        <v>5643</v>
      </c>
      <c r="F89" s="11" t="s">
        <v>44</v>
      </c>
      <c r="G89" s="12">
        <v>415</v>
      </c>
      <c r="H89" s="12">
        <v>25</v>
      </c>
      <c r="I89" s="12">
        <f t="shared" si="4"/>
        <v>390</v>
      </c>
      <c r="J89" s="11" t="s">
        <v>119</v>
      </c>
      <c r="K89" s="11" t="s">
        <v>33</v>
      </c>
      <c r="L89" s="11" t="s">
        <v>5542</v>
      </c>
      <c r="M89" s="11"/>
      <c r="N89" s="11"/>
      <c r="O89" s="11"/>
      <c r="P89" s="11"/>
      <c r="Q89" s="11">
        <v>1</v>
      </c>
    </row>
    <row r="90" spans="1:18" x14ac:dyDescent="0.25">
      <c r="A90" s="11"/>
      <c r="B90" s="11" t="s">
        <v>27</v>
      </c>
      <c r="C90" s="11" t="s">
        <v>3155</v>
      </c>
      <c r="D90" s="11" t="s">
        <v>5644</v>
      </c>
      <c r="E90" s="11" t="s">
        <v>5645</v>
      </c>
      <c r="F90" s="11" t="s">
        <v>44</v>
      </c>
      <c r="G90" s="12">
        <v>2590</v>
      </c>
      <c r="H90" s="12">
        <v>30</v>
      </c>
      <c r="I90" s="12">
        <f t="shared" si="4"/>
        <v>2560</v>
      </c>
      <c r="J90" s="11" t="s">
        <v>119</v>
      </c>
      <c r="K90" s="11" t="s">
        <v>33</v>
      </c>
      <c r="L90" s="11" t="s">
        <v>5542</v>
      </c>
      <c r="M90" s="11"/>
      <c r="N90" s="11"/>
      <c r="O90" s="11"/>
      <c r="P90" s="11"/>
      <c r="Q90" s="11">
        <v>1</v>
      </c>
    </row>
    <row r="91" spans="1:18" x14ac:dyDescent="0.25">
      <c r="A91" s="11"/>
      <c r="B91" s="11" t="s">
        <v>27</v>
      </c>
      <c r="C91" s="11" t="s">
        <v>5649</v>
      </c>
      <c r="D91" s="11" t="s">
        <v>5650</v>
      </c>
      <c r="E91" s="11" t="s">
        <v>5651</v>
      </c>
      <c r="F91" s="11" t="s">
        <v>118</v>
      </c>
      <c r="G91" s="12">
        <v>600</v>
      </c>
      <c r="H91" s="12">
        <v>20</v>
      </c>
      <c r="I91" s="12">
        <f t="shared" si="4"/>
        <v>580</v>
      </c>
      <c r="J91" s="11" t="s">
        <v>119</v>
      </c>
      <c r="K91" s="11" t="s">
        <v>33</v>
      </c>
      <c r="L91" s="11" t="s">
        <v>5542</v>
      </c>
      <c r="M91" s="11"/>
      <c r="N91" s="11"/>
      <c r="O91" s="11"/>
      <c r="P91" s="11"/>
      <c r="Q91" s="11">
        <v>1</v>
      </c>
    </row>
    <row r="92" spans="1:18" x14ac:dyDescent="0.25">
      <c r="A92" s="11"/>
      <c r="B92" s="11" t="s">
        <v>27</v>
      </c>
      <c r="C92" s="11" t="s">
        <v>4122</v>
      </c>
      <c r="D92" s="11" t="s">
        <v>5659</v>
      </c>
      <c r="E92" s="11" t="s">
        <v>5660</v>
      </c>
      <c r="F92" s="11" t="s">
        <v>44</v>
      </c>
      <c r="G92" s="12">
        <v>795</v>
      </c>
      <c r="H92" s="12">
        <v>25</v>
      </c>
      <c r="I92" s="12">
        <f t="shared" si="4"/>
        <v>770</v>
      </c>
      <c r="J92" s="11" t="s">
        <v>119</v>
      </c>
      <c r="K92" s="11" t="s">
        <v>33</v>
      </c>
      <c r="L92" s="11" t="s">
        <v>5542</v>
      </c>
      <c r="M92" s="11"/>
      <c r="N92" s="11"/>
      <c r="O92" s="11"/>
      <c r="P92" s="11"/>
      <c r="Q92" s="11">
        <v>1</v>
      </c>
    </row>
    <row r="93" spans="1:18" x14ac:dyDescent="0.25">
      <c r="A93" s="11"/>
      <c r="B93" s="11" t="s">
        <v>27</v>
      </c>
      <c r="C93" s="11" t="s">
        <v>5669</v>
      </c>
      <c r="D93" s="11" t="s">
        <v>5670</v>
      </c>
      <c r="E93" s="11" t="s">
        <v>5671</v>
      </c>
      <c r="F93" s="11" t="s">
        <v>118</v>
      </c>
      <c r="G93" s="12">
        <v>340</v>
      </c>
      <c r="H93" s="12">
        <v>20</v>
      </c>
      <c r="I93" s="12">
        <f t="shared" si="4"/>
        <v>320</v>
      </c>
      <c r="J93" s="11" t="s">
        <v>119</v>
      </c>
      <c r="K93" s="11" t="s">
        <v>33</v>
      </c>
      <c r="L93" s="11" t="s">
        <v>5542</v>
      </c>
      <c r="M93" s="11"/>
      <c r="N93" s="11"/>
      <c r="O93" s="11"/>
      <c r="P93" s="11"/>
      <c r="Q93" s="11">
        <v>1</v>
      </c>
    </row>
    <row r="94" spans="1:18" x14ac:dyDescent="0.25">
      <c r="A94" s="11"/>
      <c r="B94" s="11" t="s">
        <v>27</v>
      </c>
      <c r="C94" s="11" t="s">
        <v>2609</v>
      </c>
      <c r="D94" s="11" t="s">
        <v>5675</v>
      </c>
      <c r="E94" s="11" t="s">
        <v>5676</v>
      </c>
      <c r="F94" s="11" t="s">
        <v>118</v>
      </c>
      <c r="G94" s="12">
        <v>468</v>
      </c>
      <c r="H94" s="12">
        <v>20</v>
      </c>
      <c r="I94" s="12">
        <f t="shared" si="4"/>
        <v>448</v>
      </c>
      <c r="J94" s="11" t="s">
        <v>119</v>
      </c>
      <c r="K94" s="11" t="s">
        <v>33</v>
      </c>
      <c r="L94" s="11" t="s">
        <v>5542</v>
      </c>
      <c r="M94" s="24" t="s">
        <v>340</v>
      </c>
      <c r="N94" s="11"/>
      <c r="O94" s="11"/>
      <c r="P94" s="11"/>
      <c r="Q94" s="11">
        <v>1</v>
      </c>
      <c r="R94" s="5">
        <f>H94</f>
        <v>20</v>
      </c>
    </row>
    <row r="95" spans="1:18" x14ac:dyDescent="0.25">
      <c r="A95" s="11"/>
      <c r="B95" s="11" t="s">
        <v>27</v>
      </c>
      <c r="C95" s="11" t="s">
        <v>5677</v>
      </c>
      <c r="D95" s="11" t="s">
        <v>5678</v>
      </c>
      <c r="E95" s="11" t="s">
        <v>5679</v>
      </c>
      <c r="F95" s="12">
        <v>3</v>
      </c>
      <c r="G95" s="12">
        <v>385</v>
      </c>
      <c r="H95" s="12">
        <v>25</v>
      </c>
      <c r="I95" s="12">
        <f t="shared" si="4"/>
        <v>360</v>
      </c>
      <c r="J95" s="11" t="s">
        <v>119</v>
      </c>
      <c r="K95" s="11" t="s">
        <v>33</v>
      </c>
      <c r="L95" s="11" t="s">
        <v>5542</v>
      </c>
      <c r="M95" s="11"/>
      <c r="N95" s="11"/>
      <c r="O95" s="11"/>
      <c r="P95" s="11"/>
      <c r="Q95" s="11">
        <v>1</v>
      </c>
    </row>
    <row r="96" spans="1:18" x14ac:dyDescent="0.25">
      <c r="A96" s="11"/>
      <c r="B96" s="11" t="s">
        <v>27</v>
      </c>
      <c r="C96" s="11" t="s">
        <v>5680</v>
      </c>
      <c r="D96" s="11" t="s">
        <v>5681</v>
      </c>
      <c r="E96" s="11" t="s">
        <v>5682</v>
      </c>
      <c r="F96" s="11" t="s">
        <v>44</v>
      </c>
      <c r="G96" s="12">
        <v>0</v>
      </c>
      <c r="H96" s="12">
        <v>25</v>
      </c>
      <c r="I96" s="12">
        <f t="shared" si="4"/>
        <v>-25</v>
      </c>
      <c r="J96" s="11" t="s">
        <v>119</v>
      </c>
      <c r="K96" s="11" t="s">
        <v>33</v>
      </c>
      <c r="L96" s="11" t="s">
        <v>5542</v>
      </c>
      <c r="M96" s="11"/>
      <c r="N96" s="11"/>
      <c r="O96" s="11"/>
      <c r="P96" s="11"/>
      <c r="Q96" s="11">
        <v>1</v>
      </c>
      <c r="R96" s="5">
        <f>H96</f>
        <v>25</v>
      </c>
    </row>
    <row r="97" spans="1:18" x14ac:dyDescent="0.25">
      <c r="A97" s="11"/>
      <c r="B97" s="11" t="s">
        <v>27</v>
      </c>
      <c r="C97" s="11" t="s">
        <v>5687</v>
      </c>
      <c r="D97" s="11" t="s">
        <v>5688</v>
      </c>
      <c r="E97" s="11" t="s">
        <v>5689</v>
      </c>
      <c r="F97" s="12">
        <v>1</v>
      </c>
      <c r="G97" s="12">
        <v>1205</v>
      </c>
      <c r="H97" s="12">
        <v>25</v>
      </c>
      <c r="I97" s="12">
        <f t="shared" si="4"/>
        <v>1180</v>
      </c>
      <c r="J97" s="11" t="s">
        <v>119</v>
      </c>
      <c r="K97" s="11" t="s">
        <v>33</v>
      </c>
      <c r="L97" s="11" t="s">
        <v>5542</v>
      </c>
      <c r="M97" s="11"/>
      <c r="N97" s="11"/>
      <c r="O97" s="11"/>
      <c r="P97" s="11"/>
      <c r="Q97" s="11">
        <v>1</v>
      </c>
    </row>
    <row r="98" spans="1:18" x14ac:dyDescent="0.25">
      <c r="A98" s="11"/>
      <c r="B98" s="11" t="s">
        <v>27</v>
      </c>
      <c r="C98" s="11" t="s">
        <v>5697</v>
      </c>
      <c r="D98" s="11" t="s">
        <v>5698</v>
      </c>
      <c r="E98" s="11" t="s">
        <v>5699</v>
      </c>
      <c r="F98" s="11" t="s">
        <v>44</v>
      </c>
      <c r="G98" s="12">
        <v>0</v>
      </c>
      <c r="H98" s="12">
        <v>25</v>
      </c>
      <c r="I98" s="12">
        <f t="shared" si="4"/>
        <v>-25</v>
      </c>
      <c r="J98" s="11" t="s">
        <v>119</v>
      </c>
      <c r="K98" s="11" t="s">
        <v>33</v>
      </c>
      <c r="L98" s="11" t="s">
        <v>5542</v>
      </c>
      <c r="M98" s="11"/>
      <c r="N98" s="11"/>
      <c r="O98" s="11"/>
      <c r="P98" s="11"/>
      <c r="Q98" s="11">
        <v>1</v>
      </c>
      <c r="R98" s="5">
        <f>H98</f>
        <v>25</v>
      </c>
    </row>
    <row r="99" spans="1:18" x14ac:dyDescent="0.25">
      <c r="A99" s="11"/>
      <c r="B99" s="11" t="s">
        <v>27</v>
      </c>
      <c r="C99" s="11" t="s">
        <v>5714</v>
      </c>
      <c r="D99" s="11" t="s">
        <v>5715</v>
      </c>
      <c r="E99" s="11" t="s">
        <v>5716</v>
      </c>
      <c r="F99" s="12">
        <v>10</v>
      </c>
      <c r="G99" s="12">
        <v>1095</v>
      </c>
      <c r="H99" s="12">
        <v>25</v>
      </c>
      <c r="I99" s="12">
        <f t="shared" ref="I99:I115" si="6">G99-H99</f>
        <v>1070</v>
      </c>
      <c r="J99" s="11" t="s">
        <v>119</v>
      </c>
      <c r="K99" s="11" t="s">
        <v>33</v>
      </c>
      <c r="L99" s="11" t="s">
        <v>5542</v>
      </c>
      <c r="M99" s="11"/>
      <c r="N99" s="11"/>
      <c r="O99" s="11"/>
      <c r="P99" s="11"/>
      <c r="Q99" s="11">
        <v>1</v>
      </c>
    </row>
    <row r="100" spans="1:18" x14ac:dyDescent="0.25">
      <c r="A100" s="11"/>
      <c r="B100" s="11" t="s">
        <v>27</v>
      </c>
      <c r="C100" s="11" t="s">
        <v>3382</v>
      </c>
      <c r="D100" s="11" t="s">
        <v>5723</v>
      </c>
      <c r="E100" s="11" t="s">
        <v>5724</v>
      </c>
      <c r="F100" s="12">
        <v>4</v>
      </c>
      <c r="G100" s="12">
        <v>255</v>
      </c>
      <c r="H100" s="12">
        <v>25</v>
      </c>
      <c r="I100" s="12">
        <f t="shared" si="6"/>
        <v>230</v>
      </c>
      <c r="J100" s="11" t="s">
        <v>119</v>
      </c>
      <c r="K100" s="11" t="s">
        <v>33</v>
      </c>
      <c r="L100" s="11" t="s">
        <v>5542</v>
      </c>
      <c r="M100" s="11"/>
      <c r="N100" s="11"/>
      <c r="O100" s="11"/>
      <c r="P100" s="11"/>
      <c r="Q100" s="11">
        <v>1</v>
      </c>
    </row>
    <row r="101" spans="1:18" x14ac:dyDescent="0.25">
      <c r="A101" s="11"/>
      <c r="B101" s="11" t="s">
        <v>27</v>
      </c>
      <c r="C101" s="11" t="s">
        <v>2623</v>
      </c>
      <c r="D101" s="11" t="s">
        <v>5729</v>
      </c>
      <c r="E101" s="11" t="s">
        <v>2625</v>
      </c>
      <c r="F101" s="12">
        <v>4</v>
      </c>
      <c r="G101" s="12">
        <v>1135</v>
      </c>
      <c r="H101" s="12">
        <v>25</v>
      </c>
      <c r="I101" s="12">
        <f t="shared" si="6"/>
        <v>1110</v>
      </c>
      <c r="J101" s="11" t="s">
        <v>119</v>
      </c>
      <c r="K101" s="11" t="s">
        <v>33</v>
      </c>
      <c r="L101" s="11" t="s">
        <v>5542</v>
      </c>
      <c r="M101" s="11"/>
      <c r="N101" s="11"/>
      <c r="O101" s="11"/>
      <c r="P101" s="11"/>
      <c r="Q101" s="11">
        <v>1</v>
      </c>
    </row>
    <row r="102" spans="1:18" x14ac:dyDescent="0.25">
      <c r="A102" s="11"/>
      <c r="B102" s="11" t="s">
        <v>27</v>
      </c>
      <c r="C102" s="11" t="s">
        <v>5730</v>
      </c>
      <c r="D102" s="11" t="s">
        <v>5731</v>
      </c>
      <c r="E102" s="11" t="s">
        <v>5732</v>
      </c>
      <c r="F102" s="12">
        <v>10</v>
      </c>
      <c r="G102" s="12">
        <v>2008</v>
      </c>
      <c r="H102" s="12">
        <v>30</v>
      </c>
      <c r="I102" s="12">
        <f t="shared" si="6"/>
        <v>1978</v>
      </c>
      <c r="J102" s="11" t="s">
        <v>119</v>
      </c>
      <c r="K102" s="11" t="s">
        <v>33</v>
      </c>
      <c r="L102" s="11" t="s">
        <v>5542</v>
      </c>
      <c r="M102" s="24" t="s">
        <v>340</v>
      </c>
      <c r="N102" s="11"/>
      <c r="O102" s="11"/>
      <c r="P102" s="11"/>
      <c r="Q102" s="11">
        <v>1</v>
      </c>
      <c r="R102" s="5">
        <f t="shared" ref="R102:R103" si="7">H102</f>
        <v>30</v>
      </c>
    </row>
    <row r="103" spans="1:18" x14ac:dyDescent="0.25">
      <c r="A103" s="11"/>
      <c r="B103" s="11" t="s">
        <v>27</v>
      </c>
      <c r="C103" s="11" t="s">
        <v>5747</v>
      </c>
      <c r="D103" s="11" t="s">
        <v>5748</v>
      </c>
      <c r="E103" s="11" t="s">
        <v>5749</v>
      </c>
      <c r="F103" s="12">
        <v>1</v>
      </c>
      <c r="G103" s="12">
        <v>438</v>
      </c>
      <c r="H103" s="12">
        <v>25</v>
      </c>
      <c r="I103" s="12">
        <f t="shared" si="6"/>
        <v>413</v>
      </c>
      <c r="J103" s="11" t="s">
        <v>119</v>
      </c>
      <c r="K103" s="11" t="s">
        <v>33</v>
      </c>
      <c r="L103" s="11" t="s">
        <v>5542</v>
      </c>
      <c r="M103" s="24" t="s">
        <v>340</v>
      </c>
      <c r="N103" s="11"/>
      <c r="O103" s="11"/>
      <c r="P103" s="11"/>
      <c r="Q103" s="11">
        <v>1</v>
      </c>
      <c r="R103" s="5">
        <f t="shared" si="7"/>
        <v>25</v>
      </c>
    </row>
    <row r="104" spans="1:18" x14ac:dyDescent="0.25">
      <c r="A104" s="11"/>
      <c r="B104" s="11" t="s">
        <v>27</v>
      </c>
      <c r="C104" s="11" t="s">
        <v>5761</v>
      </c>
      <c r="D104" s="11" t="s">
        <v>5762</v>
      </c>
      <c r="E104" s="11" t="s">
        <v>5763</v>
      </c>
      <c r="F104" s="12">
        <v>3</v>
      </c>
      <c r="G104" s="12">
        <v>315</v>
      </c>
      <c r="H104" s="12">
        <v>25</v>
      </c>
      <c r="I104" s="12">
        <f t="shared" si="6"/>
        <v>290</v>
      </c>
      <c r="J104" s="11" t="s">
        <v>119</v>
      </c>
      <c r="K104" s="11" t="s">
        <v>33</v>
      </c>
      <c r="L104" s="11" t="s">
        <v>5542</v>
      </c>
      <c r="M104" s="11"/>
      <c r="N104" s="11"/>
      <c r="O104" s="11"/>
      <c r="P104" s="11"/>
      <c r="Q104" s="11">
        <v>1</v>
      </c>
    </row>
    <row r="105" spans="1:18" x14ac:dyDescent="0.25">
      <c r="A105" s="11"/>
      <c r="B105" s="11" t="s">
        <v>27</v>
      </c>
      <c r="C105" s="11" t="s">
        <v>5776</v>
      </c>
      <c r="D105" s="11" t="s">
        <v>5777</v>
      </c>
      <c r="E105" s="11" t="s">
        <v>5778</v>
      </c>
      <c r="F105" s="12">
        <v>4</v>
      </c>
      <c r="G105" s="12">
        <v>1375</v>
      </c>
      <c r="H105" s="12">
        <v>25</v>
      </c>
      <c r="I105" s="12">
        <f t="shared" si="6"/>
        <v>1350</v>
      </c>
      <c r="J105" s="11" t="s">
        <v>119</v>
      </c>
      <c r="K105" s="11" t="s">
        <v>33</v>
      </c>
      <c r="L105" s="11" t="s">
        <v>5542</v>
      </c>
      <c r="M105" s="11"/>
      <c r="N105" s="11"/>
      <c r="O105" s="11"/>
      <c r="P105" s="11"/>
      <c r="Q105" s="11">
        <v>1</v>
      </c>
    </row>
    <row r="106" spans="1:18" s="2" customFormat="1" x14ac:dyDescent="0.25">
      <c r="A106" s="16"/>
      <c r="B106" s="16" t="s">
        <v>27</v>
      </c>
      <c r="C106" s="16" t="s">
        <v>5733</v>
      </c>
      <c r="D106" s="16" t="s">
        <v>5734</v>
      </c>
      <c r="E106" s="16" t="s">
        <v>5735</v>
      </c>
      <c r="F106" s="16" t="s">
        <v>996</v>
      </c>
      <c r="G106" s="17">
        <v>530</v>
      </c>
      <c r="H106" s="17">
        <v>0</v>
      </c>
      <c r="I106" s="17">
        <f t="shared" si="6"/>
        <v>530</v>
      </c>
      <c r="J106" s="16" t="s">
        <v>153</v>
      </c>
      <c r="K106" s="16" t="s">
        <v>33</v>
      </c>
      <c r="L106" s="16" t="s">
        <v>5542</v>
      </c>
      <c r="M106" s="16" t="s">
        <v>997</v>
      </c>
      <c r="N106" s="16" t="s">
        <v>156</v>
      </c>
      <c r="O106" s="16"/>
      <c r="P106" s="16" t="s">
        <v>157</v>
      </c>
      <c r="Q106" s="16">
        <v>1</v>
      </c>
    </row>
    <row r="107" spans="1:18" s="2" customFormat="1" x14ac:dyDescent="0.25">
      <c r="A107" s="16"/>
      <c r="B107" s="16" t="s">
        <v>27</v>
      </c>
      <c r="C107" s="16" t="s">
        <v>5744</v>
      </c>
      <c r="D107" s="16" t="s">
        <v>5745</v>
      </c>
      <c r="E107" s="16" t="s">
        <v>5746</v>
      </c>
      <c r="F107" s="16" t="s">
        <v>996</v>
      </c>
      <c r="G107" s="17">
        <v>680</v>
      </c>
      <c r="H107" s="17">
        <v>0</v>
      </c>
      <c r="I107" s="17">
        <f t="shared" si="6"/>
        <v>680</v>
      </c>
      <c r="J107" s="16" t="s">
        <v>153</v>
      </c>
      <c r="K107" s="16" t="s">
        <v>33</v>
      </c>
      <c r="L107" s="16" t="s">
        <v>5542</v>
      </c>
      <c r="M107" s="16" t="s">
        <v>997</v>
      </c>
      <c r="N107" s="16" t="s">
        <v>156</v>
      </c>
      <c r="O107" s="16"/>
      <c r="P107" s="16" t="s">
        <v>157</v>
      </c>
      <c r="Q107" s="16">
        <v>1</v>
      </c>
    </row>
    <row r="108" spans="1:18" s="2" customFormat="1" x14ac:dyDescent="0.25">
      <c r="A108" s="16"/>
      <c r="B108" s="16" t="s">
        <v>27</v>
      </c>
      <c r="C108" s="16" t="s">
        <v>5754</v>
      </c>
      <c r="D108" s="16" t="s">
        <v>5755</v>
      </c>
      <c r="E108" s="16" t="s">
        <v>5756</v>
      </c>
      <c r="F108" s="16" t="s">
        <v>996</v>
      </c>
      <c r="G108" s="17">
        <v>360</v>
      </c>
      <c r="H108" s="17">
        <v>0</v>
      </c>
      <c r="I108" s="17">
        <f t="shared" si="6"/>
        <v>360</v>
      </c>
      <c r="J108" s="16" t="s">
        <v>153</v>
      </c>
      <c r="K108" s="16" t="s">
        <v>33</v>
      </c>
      <c r="L108" s="16" t="s">
        <v>5542</v>
      </c>
      <c r="M108" s="16" t="s">
        <v>997</v>
      </c>
      <c r="N108" s="16" t="s">
        <v>156</v>
      </c>
      <c r="O108" s="16"/>
      <c r="P108" s="16" t="s">
        <v>157</v>
      </c>
      <c r="Q108" s="16">
        <v>1</v>
      </c>
    </row>
    <row r="109" spans="1:18" s="2" customFormat="1" x14ac:dyDescent="0.25">
      <c r="A109" s="16"/>
      <c r="B109" s="16" t="s">
        <v>27</v>
      </c>
      <c r="C109" s="16" t="s">
        <v>4499</v>
      </c>
      <c r="D109" s="16" t="s">
        <v>5123</v>
      </c>
      <c r="E109" s="16" t="s">
        <v>4501</v>
      </c>
      <c r="F109" s="16" t="s">
        <v>68</v>
      </c>
      <c r="G109" s="17">
        <v>665</v>
      </c>
      <c r="H109" s="17">
        <v>25</v>
      </c>
      <c r="I109" s="17">
        <f t="shared" si="6"/>
        <v>640</v>
      </c>
      <c r="J109" s="16" t="s">
        <v>153</v>
      </c>
      <c r="K109" s="16" t="s">
        <v>33</v>
      </c>
      <c r="L109" s="16" t="s">
        <v>4788</v>
      </c>
      <c r="M109" s="16" t="s">
        <v>155</v>
      </c>
      <c r="N109" s="16" t="s">
        <v>156</v>
      </c>
      <c r="O109" s="16" t="s">
        <v>156</v>
      </c>
      <c r="P109" s="16" t="s">
        <v>157</v>
      </c>
      <c r="Q109" s="16">
        <v>1</v>
      </c>
    </row>
    <row r="110" spans="1:18" s="2" customFormat="1" x14ac:dyDescent="0.25">
      <c r="A110" s="16"/>
      <c r="B110" s="16" t="s">
        <v>27</v>
      </c>
      <c r="C110" s="16" t="s">
        <v>5374</v>
      </c>
      <c r="D110" s="16" t="s">
        <v>5375</v>
      </c>
      <c r="E110" s="16" t="s">
        <v>5376</v>
      </c>
      <c r="F110" s="16" t="s">
        <v>68</v>
      </c>
      <c r="G110" s="17">
        <v>375</v>
      </c>
      <c r="H110" s="17">
        <v>25</v>
      </c>
      <c r="I110" s="17">
        <f t="shared" si="6"/>
        <v>350</v>
      </c>
      <c r="J110" s="16" t="s">
        <v>153</v>
      </c>
      <c r="K110" s="16" t="s">
        <v>33</v>
      </c>
      <c r="L110" s="16" t="s">
        <v>4788</v>
      </c>
      <c r="M110" s="16" t="s">
        <v>155</v>
      </c>
      <c r="N110" s="16" t="s">
        <v>156</v>
      </c>
      <c r="O110" s="16" t="s">
        <v>156</v>
      </c>
      <c r="P110" s="16" t="s">
        <v>157</v>
      </c>
      <c r="Q110" s="16">
        <v>1</v>
      </c>
    </row>
    <row r="111" spans="1:18" s="2" customFormat="1" x14ac:dyDescent="0.25">
      <c r="A111" s="16"/>
      <c r="B111" s="16" t="s">
        <v>27</v>
      </c>
      <c r="C111" s="16" t="s">
        <v>4499</v>
      </c>
      <c r="D111" s="16" t="s">
        <v>4500</v>
      </c>
      <c r="E111" s="16" t="s">
        <v>4501</v>
      </c>
      <c r="F111" s="16" t="s">
        <v>68</v>
      </c>
      <c r="G111" s="17">
        <v>2165</v>
      </c>
      <c r="H111" s="17">
        <v>25</v>
      </c>
      <c r="I111" s="17">
        <f t="shared" si="6"/>
        <v>2140</v>
      </c>
      <c r="J111" s="16" t="s">
        <v>153</v>
      </c>
      <c r="K111" s="16" t="s">
        <v>33</v>
      </c>
      <c r="L111" s="16" t="s">
        <v>4213</v>
      </c>
      <c r="M111" s="16" t="s">
        <v>155</v>
      </c>
      <c r="N111" s="16" t="s">
        <v>156</v>
      </c>
      <c r="O111" s="16" t="s">
        <v>156</v>
      </c>
      <c r="P111" s="16" t="s">
        <v>157</v>
      </c>
      <c r="Q111" s="16">
        <v>1</v>
      </c>
    </row>
    <row r="112" spans="1:18" s="2" customFormat="1" x14ac:dyDescent="0.25">
      <c r="A112" s="16"/>
      <c r="B112" s="16" t="s">
        <v>27</v>
      </c>
      <c r="C112" s="16" t="s">
        <v>4577</v>
      </c>
      <c r="D112" s="16" t="s">
        <v>4578</v>
      </c>
      <c r="E112" s="16" t="s">
        <v>4579</v>
      </c>
      <c r="F112" s="16" t="s">
        <v>78</v>
      </c>
      <c r="G112" s="17">
        <v>1030</v>
      </c>
      <c r="H112" s="17">
        <v>20</v>
      </c>
      <c r="I112" s="17">
        <f t="shared" si="6"/>
        <v>1010</v>
      </c>
      <c r="J112" s="16" t="s">
        <v>153</v>
      </c>
      <c r="K112" s="16" t="s">
        <v>33</v>
      </c>
      <c r="L112" s="16" t="s">
        <v>4213</v>
      </c>
      <c r="M112" s="16" t="s">
        <v>155</v>
      </c>
      <c r="N112" s="16" t="s">
        <v>156</v>
      </c>
      <c r="O112" s="16" t="s">
        <v>156</v>
      </c>
      <c r="P112" s="16" t="s">
        <v>157</v>
      </c>
      <c r="Q112" s="16">
        <v>1</v>
      </c>
    </row>
    <row r="113" spans="1:17" s="2" customFormat="1" x14ac:dyDescent="0.25">
      <c r="A113" s="16"/>
      <c r="B113" s="16" t="s">
        <v>27</v>
      </c>
      <c r="C113" s="16" t="s">
        <v>5239</v>
      </c>
      <c r="D113" s="16" t="s">
        <v>5240</v>
      </c>
      <c r="E113" s="16" t="s">
        <v>5241</v>
      </c>
      <c r="F113" s="17">
        <v>1</v>
      </c>
      <c r="G113" s="17">
        <v>1485</v>
      </c>
      <c r="H113" s="17">
        <v>25</v>
      </c>
      <c r="I113" s="17">
        <f t="shared" si="6"/>
        <v>1460</v>
      </c>
      <c r="J113" s="16" t="s">
        <v>153</v>
      </c>
      <c r="K113" s="16" t="s">
        <v>33</v>
      </c>
      <c r="L113" s="16" t="s">
        <v>4788</v>
      </c>
      <c r="M113" s="16" t="s">
        <v>155</v>
      </c>
      <c r="N113" s="16" t="s">
        <v>156</v>
      </c>
      <c r="O113" s="16" t="s">
        <v>156</v>
      </c>
      <c r="P113" s="16" t="s">
        <v>157</v>
      </c>
      <c r="Q113" s="16">
        <v>1</v>
      </c>
    </row>
    <row r="114" spans="1:17" s="2" customFormat="1" x14ac:dyDescent="0.25">
      <c r="A114" s="16"/>
      <c r="B114" s="16" t="s">
        <v>27</v>
      </c>
      <c r="C114" s="16" t="s">
        <v>5019</v>
      </c>
      <c r="D114" s="16" t="s">
        <v>5020</v>
      </c>
      <c r="E114" s="16" t="s">
        <v>5021</v>
      </c>
      <c r="F114" s="17">
        <v>3</v>
      </c>
      <c r="G114" s="17">
        <v>615</v>
      </c>
      <c r="H114" s="17">
        <v>25</v>
      </c>
      <c r="I114" s="17">
        <f t="shared" si="6"/>
        <v>590</v>
      </c>
      <c r="J114" s="16" t="s">
        <v>153</v>
      </c>
      <c r="K114" s="16" t="s">
        <v>33</v>
      </c>
      <c r="L114" s="16" t="s">
        <v>4788</v>
      </c>
      <c r="M114" s="16" t="s">
        <v>155</v>
      </c>
      <c r="N114" s="16" t="s">
        <v>156</v>
      </c>
      <c r="O114" s="16" t="s">
        <v>156</v>
      </c>
      <c r="P114" s="16" t="s">
        <v>157</v>
      </c>
      <c r="Q114" s="16">
        <v>1</v>
      </c>
    </row>
    <row r="115" spans="1:17" s="2" customFormat="1" x14ac:dyDescent="0.25">
      <c r="A115" s="16"/>
      <c r="B115" s="16" t="s">
        <v>27</v>
      </c>
      <c r="C115" s="16" t="s">
        <v>5076</v>
      </c>
      <c r="D115" s="16" t="s">
        <v>5077</v>
      </c>
      <c r="E115" s="16" t="s">
        <v>5078</v>
      </c>
      <c r="F115" s="17">
        <v>10</v>
      </c>
      <c r="G115" s="17">
        <v>805</v>
      </c>
      <c r="H115" s="17">
        <v>25</v>
      </c>
      <c r="I115" s="17">
        <f t="shared" si="6"/>
        <v>780</v>
      </c>
      <c r="J115" s="16" t="s">
        <v>153</v>
      </c>
      <c r="K115" s="16" t="s">
        <v>33</v>
      </c>
      <c r="L115" s="16" t="s">
        <v>4788</v>
      </c>
      <c r="M115" s="16" t="s">
        <v>155</v>
      </c>
      <c r="N115" s="16" t="s">
        <v>156</v>
      </c>
      <c r="O115" s="16" t="s">
        <v>156</v>
      </c>
      <c r="P115" s="16" t="s">
        <v>157</v>
      </c>
      <c r="Q115" s="16">
        <v>1</v>
      </c>
    </row>
    <row r="117" spans="1:17" x14ac:dyDescent="0.25">
      <c r="D117" s="1">
        <f>COUNTA(D1:D115)</f>
        <v>108</v>
      </c>
      <c r="G117" s="1">
        <f t="shared" ref="G117:Q117" si="8">SUBTOTAL(9,G1:G115)</f>
        <v>90905</v>
      </c>
      <c r="H117" s="1">
        <f t="shared" si="8"/>
        <v>2780</v>
      </c>
      <c r="I117" s="1">
        <f>SUBTOTAL(9,I1:I115)</f>
        <v>88125</v>
      </c>
      <c r="J117" s="1">
        <f t="shared" si="8"/>
        <v>0</v>
      </c>
      <c r="K117" s="1">
        <f t="shared" si="8"/>
        <v>0</v>
      </c>
      <c r="L117" s="1">
        <f t="shared" si="8"/>
        <v>0</v>
      </c>
      <c r="M117" s="1">
        <f t="shared" si="8"/>
        <v>0</v>
      </c>
      <c r="N117" s="1">
        <f t="shared" si="8"/>
        <v>0</v>
      </c>
      <c r="O117" s="1">
        <f t="shared" si="8"/>
        <v>0</v>
      </c>
      <c r="P117" s="1">
        <f t="shared" si="8"/>
        <v>0</v>
      </c>
      <c r="Q117" s="1">
        <f t="shared" si="8"/>
        <v>113</v>
      </c>
    </row>
    <row r="118" spans="1:17" x14ac:dyDescent="0.25">
      <c r="H118">
        <f>-20*17</f>
        <v>-340</v>
      </c>
    </row>
    <row r="119" spans="1:17" x14ac:dyDescent="0.25">
      <c r="A119" s="1" t="s">
        <v>27</v>
      </c>
      <c r="C119" s="60" t="s">
        <v>158</v>
      </c>
      <c r="D119" s="60"/>
      <c r="E119" s="4" t="s">
        <v>159</v>
      </c>
      <c r="H119">
        <f>-11*25</f>
        <v>-275</v>
      </c>
      <c r="K119" s="6" t="s">
        <v>119</v>
      </c>
      <c r="L119" s="6" t="s">
        <v>160</v>
      </c>
      <c r="M119" s="6" t="s">
        <v>159</v>
      </c>
      <c r="O119" s="4" t="s">
        <v>161</v>
      </c>
    </row>
    <row r="120" spans="1:17" x14ac:dyDescent="0.25">
      <c r="A120" t="s">
        <v>5542</v>
      </c>
      <c r="B120" s="3" t="s">
        <v>162</v>
      </c>
      <c r="C120" s="61">
        <f>SUMIFS(I$1:I$115,B$1:B$115,A$119,L$1:L$115,A$120)</f>
        <v>79852</v>
      </c>
      <c r="D120" s="61"/>
      <c r="E120" s="3">
        <f>SUMIFS(Q$1:Q$115,B$1:B$115,A$119,L$1:L$115,A$120)</f>
        <v>104</v>
      </c>
      <c r="F120" t="s">
        <v>163</v>
      </c>
      <c r="K120" t="s">
        <v>164</v>
      </c>
      <c r="L120">
        <f>SUMIFS(G$1:G$115,J$1:J$115,K$119)</f>
        <v>33933</v>
      </c>
      <c r="M120">
        <f>SUMIFS(Q$1:Q$115,J$1:J$115,K$119)-INT(COUNTIFS(J$1:J$115,K$119,M$1:M$115,"*gộp*")/2)</f>
        <v>33</v>
      </c>
      <c r="O120" t="s">
        <v>119</v>
      </c>
      <c r="P120">
        <f>L126</f>
        <v>29110</v>
      </c>
    </row>
    <row r="121" spans="1:17" x14ac:dyDescent="0.25">
      <c r="B121" s="2" t="s">
        <v>166</v>
      </c>
      <c r="C121" s="62">
        <v>0</v>
      </c>
      <c r="D121" s="62"/>
      <c r="K121" t="s">
        <v>167</v>
      </c>
      <c r="L121">
        <f>-SUMIFS(H$1:H$115,J$1:J$115,K$119)+M121*5</f>
        <v>-665</v>
      </c>
      <c r="M121">
        <f>SUMIFS(Q$1:Q$115,J$1:J$115,K$119)-INT(COUNTIFS(J$1:J$115,K$119,M$1:M$115,"*gộp*")/2)</f>
        <v>33</v>
      </c>
      <c r="O121" t="s">
        <v>5793</v>
      </c>
      <c r="P121">
        <f>L133</f>
        <v>19778</v>
      </c>
    </row>
    <row r="122" spans="1:17" x14ac:dyDescent="0.25">
      <c r="B122" s="2" t="s">
        <v>168</v>
      </c>
      <c r="C122" s="62">
        <f>-SUMIFS(I$1:I$115,B$1:B$115,A$119,P$1:P$115,"xx",N$1:N$115,"x")</f>
        <v>-8540</v>
      </c>
      <c r="D122" s="62"/>
      <c r="E122" s="2">
        <f>SUMIFS(Q$1:Q$115,B$1:B$115,A$119,P$1:P$115,"xx",N$1:N$115,"x")</f>
        <v>10</v>
      </c>
      <c r="K122" t="s">
        <v>169</v>
      </c>
      <c r="L122">
        <f>-M122*2</f>
        <v>0</v>
      </c>
      <c r="M122">
        <f>COUNTIFS(K$1:K$115,K$119,L$1:L$115,A$120)-(COUNTIFS(K$1:K$115,K$119,M$1:M$115,"*gộp*")/2)-COUNTIFS(K$1:K$115,K$119,M$1:M$115,"*đơn trả*")-COUNTIFS(K$1:K$115,K$119,M$1:M$115,"*hàng tỉnh*")</f>
        <v>0</v>
      </c>
      <c r="O122" t="s">
        <v>33</v>
      </c>
      <c r="P122">
        <f>L141</f>
        <v>22808</v>
      </c>
    </row>
    <row r="123" spans="1:17" x14ac:dyDescent="0.25">
      <c r="B123" s="4" t="s">
        <v>170</v>
      </c>
      <c r="C123" s="60">
        <f>SUBTOTAL(9,C120:C122)</f>
        <v>71312</v>
      </c>
      <c r="D123" s="60"/>
      <c r="E123">
        <f>E120</f>
        <v>104</v>
      </c>
      <c r="K123" s="7" t="s">
        <v>155</v>
      </c>
      <c r="L123" s="18">
        <v>-2845</v>
      </c>
      <c r="M123" s="18" t="s">
        <v>4589</v>
      </c>
      <c r="O123" t="s">
        <v>171</v>
      </c>
      <c r="P123">
        <f>-C127</f>
        <v>-71312</v>
      </c>
    </row>
    <row r="124" spans="1:17" x14ac:dyDescent="0.25">
      <c r="B124" s="2" t="s">
        <v>172</v>
      </c>
      <c r="C124" s="58"/>
      <c r="D124" s="58"/>
      <c r="K124" s="2" t="s">
        <v>173</v>
      </c>
      <c r="O124" s="4" t="s">
        <v>174</v>
      </c>
      <c r="P124" s="4">
        <f>SUBTOTAL(9,P120:P123)</f>
        <v>384</v>
      </c>
    </row>
    <row r="125" spans="1:17" x14ac:dyDescent="0.25">
      <c r="B125" s="8" t="s">
        <v>175</v>
      </c>
      <c r="C125" s="58"/>
      <c r="D125" s="58"/>
      <c r="K125" s="2" t="s">
        <v>5789</v>
      </c>
      <c r="L125" s="18">
        <v>-1313</v>
      </c>
      <c r="M125" s="18" t="s">
        <v>5795</v>
      </c>
    </row>
    <row r="126" spans="1:17" x14ac:dyDescent="0.25">
      <c r="L126" s="9">
        <f>SUBTOTAL(9,L120:L125)</f>
        <v>29110</v>
      </c>
      <c r="M126" s="9">
        <f>M121</f>
        <v>33</v>
      </c>
    </row>
    <row r="127" spans="1:17" x14ac:dyDescent="0.25">
      <c r="B127" s="1" t="s">
        <v>176</v>
      </c>
      <c r="C127" s="59">
        <f>C123+C124+C125</f>
        <v>71312</v>
      </c>
      <c r="D127" s="59"/>
      <c r="E127" s="1" t="s">
        <v>177</v>
      </c>
      <c r="K127" s="6" t="s">
        <v>5547</v>
      </c>
      <c r="L127" s="6" t="s">
        <v>160</v>
      </c>
      <c r="M127" s="6" t="s">
        <v>159</v>
      </c>
    </row>
    <row r="128" spans="1:17" x14ac:dyDescent="0.25">
      <c r="K128" t="s">
        <v>164</v>
      </c>
      <c r="L128">
        <f>SUMIFS(G$1:G$115,J$1:J$115,K$127)</f>
        <v>20393</v>
      </c>
      <c r="M128">
        <f>SUMIFS(Q$1:Q$115,J$1:J$115,K$127)-INT(COUNTIFS(J$1:J$115,K$127,M$1:M$115,"*gộp*")/2)</f>
        <v>31</v>
      </c>
    </row>
    <row r="129" spans="11:13" x14ac:dyDescent="0.25">
      <c r="K129" t="s">
        <v>167</v>
      </c>
      <c r="L129">
        <f>SUM(H118:H119)</f>
        <v>-615</v>
      </c>
      <c r="M129">
        <f>SUMIFS(Q$1:Q$115,J$1:J$115,K$127)-INT(COUNTIFS(J$1:J$115,K$127,M$1:M$115,"*gộp*")/2)</f>
        <v>31</v>
      </c>
    </row>
    <row r="130" spans="11:13" x14ac:dyDescent="0.25">
      <c r="K130" t="s">
        <v>169</v>
      </c>
      <c r="L130">
        <f>-M130*2</f>
        <v>0</v>
      </c>
      <c r="M130">
        <f>COUNTIFS(K$1:K$115,K$127,L$1:L$115,A$120)-(COUNTIFS(K$1:K$115,K$127,M$1:M$115,"*gộp*")/2)-COUNTIFS(K$1:K$115,K$127,M$1:M$115,"*đơn trả*")-COUNTIFS(K$1:K$115,K$127,M$1:M$115,"*hàng tỉnh*")</f>
        <v>0</v>
      </c>
    </row>
    <row r="131" spans="11:13" x14ac:dyDescent="0.25">
      <c r="K131" s="7" t="s">
        <v>155</v>
      </c>
    </row>
    <row r="132" spans="11:13" x14ac:dyDescent="0.25">
      <c r="K132" s="2" t="s">
        <v>173</v>
      </c>
    </row>
    <row r="133" spans="11:13" x14ac:dyDescent="0.25">
      <c r="L133" s="9">
        <f>SUBTOTAL(9,L128:L132)</f>
        <v>19778</v>
      </c>
      <c r="M133" s="9">
        <f>M128</f>
        <v>31</v>
      </c>
    </row>
    <row r="135" spans="11:13" x14ac:dyDescent="0.25">
      <c r="K135" s="6" t="s">
        <v>33</v>
      </c>
      <c r="L135" s="6" t="s">
        <v>160</v>
      </c>
      <c r="M135" s="6" t="s">
        <v>159</v>
      </c>
    </row>
    <row r="136" spans="11:13" x14ac:dyDescent="0.25">
      <c r="K136" t="s">
        <v>164</v>
      </c>
      <c r="L136">
        <f>SUMIFS(G$1:G$115,J$1:J$115,K$135)</f>
        <v>27869</v>
      </c>
      <c r="M136">
        <f>SUMIFS(Q$1:Q$115,J$1:J$115,K$135)-INT(COUNTIFS(J$1:J$115,K$135,M$1:M$115,"*gộp*")/2)</f>
        <v>38</v>
      </c>
    </row>
    <row r="137" spans="11:13" x14ac:dyDescent="0.25">
      <c r="K137" t="s">
        <v>167</v>
      </c>
      <c r="L137">
        <f>-SUMIFS(H$1:H$115,J$1:J$115,K$135)+M137*5</f>
        <v>-715</v>
      </c>
      <c r="M137">
        <f>SUMIFS(Q$1:Q$115,J$1:J$115,K$135)-INT(COUNTIFS(J$1:J$115,K$135,M$1:M$115,"*gộp*")/2)</f>
        <v>38</v>
      </c>
    </row>
    <row r="138" spans="11:13" x14ac:dyDescent="0.25">
      <c r="K138" t="s">
        <v>169</v>
      </c>
      <c r="L138">
        <f>-M138*2</f>
        <v>-186</v>
      </c>
      <c r="M138">
        <f>COUNTIFS(K$1:K$115,K$135,L$1:L$115,A$120)-(COUNTIFS(K$1:K$115,K$135,M$1:M$115,"*gộp*")/2)-COUNTIFS(K$1:K$115,K$135,M$1:M$115,"*đơn trả*")-COUNTIFS(K$1:K$115,K$135,M$1:M$115,"*hàng tỉnh*")</f>
        <v>93</v>
      </c>
    </row>
    <row r="139" spans="11:13" x14ac:dyDescent="0.25">
      <c r="K139" s="7" t="s">
        <v>155</v>
      </c>
      <c r="L139" s="18">
        <v>-4160</v>
      </c>
      <c r="M139" s="18" t="s">
        <v>5794</v>
      </c>
    </row>
    <row r="140" spans="11:13" x14ac:dyDescent="0.25">
      <c r="K140" s="2" t="s">
        <v>173</v>
      </c>
    </row>
    <row r="141" spans="11:13" x14ac:dyDescent="0.25">
      <c r="L141" s="9">
        <f>SUBTOTAL(9,L136:L140)</f>
        <v>22808</v>
      </c>
      <c r="M141" s="9">
        <f>M136</f>
        <v>38</v>
      </c>
    </row>
  </sheetData>
  <autoFilter ref="A2:P115" xr:uid="{00000000-0009-0000-0000-000000000000}">
    <sortState xmlns:xlrd2="http://schemas.microsoft.com/office/spreadsheetml/2017/richdata2" ref="A3:P115">
      <sortCondition ref="J2:J115"/>
    </sortState>
  </autoFilter>
  <mergeCells count="8">
    <mergeCell ref="C125:D125"/>
    <mergeCell ref="C127:D127"/>
    <mergeCell ref="C119:D119"/>
    <mergeCell ref="C120:D120"/>
    <mergeCell ref="C121:D121"/>
    <mergeCell ref="C122:D122"/>
    <mergeCell ref="C123:D123"/>
    <mergeCell ref="C124:D124"/>
  </mergeCells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F291-4740-4674-8109-07F026877E81}">
  <dimension ref="A2:R103"/>
  <sheetViews>
    <sheetView topLeftCell="A50" zoomScale="90" zoomScaleNormal="90" workbookViewId="0">
      <selection activeCell="E36" sqref="E36"/>
    </sheetView>
  </sheetViews>
  <sheetFormatPr defaultRowHeight="15" x14ac:dyDescent="0.25"/>
  <cols>
    <col min="1" max="1" width="12.7109375" customWidth="1"/>
    <col min="2" max="2" width="9.140625" customWidth="1"/>
    <col min="3" max="3" width="45.140625" bestFit="1" customWidth="1"/>
    <col min="4" max="4" width="10.28515625" bestFit="1" customWidth="1"/>
    <col min="5" max="5" width="77.140625" bestFit="1" customWidth="1"/>
    <col min="6" max="6" width="10.7109375" bestFit="1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22.570312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2851</v>
      </c>
      <c r="D3" s="11" t="s">
        <v>2852</v>
      </c>
      <c r="E3" s="11" t="s">
        <v>4888</v>
      </c>
      <c r="F3" s="11" t="s">
        <v>48</v>
      </c>
      <c r="G3" s="12">
        <v>1420</v>
      </c>
      <c r="H3" s="12">
        <v>30</v>
      </c>
      <c r="I3" s="12">
        <f t="shared" ref="I3:I34" si="0">G3-H3</f>
        <v>1390</v>
      </c>
      <c r="J3" s="11" t="s">
        <v>5798</v>
      </c>
      <c r="K3" s="11" t="s">
        <v>33</v>
      </c>
      <c r="L3" s="11" t="s">
        <v>5800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4050</v>
      </c>
      <c r="D4" s="11" t="s">
        <v>5799</v>
      </c>
      <c r="E4" s="11" t="s">
        <v>4052</v>
      </c>
      <c r="F4" s="11" t="s">
        <v>48</v>
      </c>
      <c r="G4" s="12">
        <v>450</v>
      </c>
      <c r="H4" s="12">
        <v>30</v>
      </c>
      <c r="I4" s="12">
        <f t="shared" si="0"/>
        <v>420</v>
      </c>
      <c r="J4" s="11" t="s">
        <v>5798</v>
      </c>
      <c r="K4" s="11" t="s">
        <v>33</v>
      </c>
      <c r="L4" s="11" t="s">
        <v>5800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1761</v>
      </c>
      <c r="D5" s="11" t="s">
        <v>1762</v>
      </c>
      <c r="E5" s="11" t="s">
        <v>5810</v>
      </c>
      <c r="F5" s="11" t="s">
        <v>48</v>
      </c>
      <c r="G5" s="12">
        <v>0</v>
      </c>
      <c r="H5" s="12">
        <v>30</v>
      </c>
      <c r="I5" s="12">
        <f t="shared" si="0"/>
        <v>-30</v>
      </c>
      <c r="J5" s="11" t="s">
        <v>5798</v>
      </c>
      <c r="K5" s="11" t="s">
        <v>33</v>
      </c>
      <c r="L5" s="11" t="s">
        <v>5800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2293</v>
      </c>
      <c r="D6" s="11" t="s">
        <v>5811</v>
      </c>
      <c r="E6" s="11" t="s">
        <v>1388</v>
      </c>
      <c r="F6" s="11" t="s">
        <v>31</v>
      </c>
      <c r="G6" s="12">
        <v>918</v>
      </c>
      <c r="H6" s="12">
        <v>25</v>
      </c>
      <c r="I6" s="12">
        <f t="shared" si="0"/>
        <v>893</v>
      </c>
      <c r="J6" s="11" t="s">
        <v>5798</v>
      </c>
      <c r="K6" s="11" t="s">
        <v>33</v>
      </c>
      <c r="L6" s="11" t="s">
        <v>5800</v>
      </c>
      <c r="M6" s="24" t="s">
        <v>340</v>
      </c>
      <c r="N6" s="11"/>
      <c r="O6" s="11"/>
      <c r="P6" s="11"/>
      <c r="Q6" s="11">
        <v>1</v>
      </c>
      <c r="R6" s="5">
        <f>H6</f>
        <v>25</v>
      </c>
    </row>
    <row r="7" spans="1:18" x14ac:dyDescent="0.25">
      <c r="A7" s="11"/>
      <c r="B7" s="11" t="s">
        <v>27</v>
      </c>
      <c r="C7" s="11" t="s">
        <v>5812</v>
      </c>
      <c r="D7" s="11" t="s">
        <v>5813</v>
      </c>
      <c r="E7" s="11" t="s">
        <v>5814</v>
      </c>
      <c r="F7" s="12">
        <v>5</v>
      </c>
      <c r="G7" s="12">
        <v>0</v>
      </c>
      <c r="H7" s="12">
        <v>25</v>
      </c>
      <c r="I7" s="12">
        <f t="shared" si="0"/>
        <v>-25</v>
      </c>
      <c r="J7" s="11" t="s">
        <v>5798</v>
      </c>
      <c r="K7" s="11" t="s">
        <v>33</v>
      </c>
      <c r="L7" s="11" t="s">
        <v>5800</v>
      </c>
      <c r="M7" s="43" t="s">
        <v>6067</v>
      </c>
      <c r="N7" s="11"/>
      <c r="O7" s="11"/>
      <c r="P7" s="11"/>
      <c r="Q7" s="11">
        <v>1</v>
      </c>
      <c r="R7" s="5">
        <f>H7</f>
        <v>25</v>
      </c>
    </row>
    <row r="8" spans="1:18" x14ac:dyDescent="0.25">
      <c r="A8" s="11"/>
      <c r="B8" s="11" t="s">
        <v>27</v>
      </c>
      <c r="C8" s="11" t="s">
        <v>5815</v>
      </c>
      <c r="D8" s="11" t="s">
        <v>5816</v>
      </c>
      <c r="E8" s="11" t="s">
        <v>5817</v>
      </c>
      <c r="F8" s="12">
        <v>7</v>
      </c>
      <c r="G8" s="12">
        <v>440</v>
      </c>
      <c r="H8" s="12">
        <v>30</v>
      </c>
      <c r="I8" s="12">
        <f t="shared" si="0"/>
        <v>410</v>
      </c>
      <c r="J8" s="11" t="s">
        <v>5798</v>
      </c>
      <c r="K8" s="11" t="s">
        <v>33</v>
      </c>
      <c r="L8" s="11" t="s">
        <v>5800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5825</v>
      </c>
      <c r="D9" s="11" t="s">
        <v>5826</v>
      </c>
      <c r="E9" s="11" t="s">
        <v>5827</v>
      </c>
      <c r="F9" s="11" t="s">
        <v>104</v>
      </c>
      <c r="G9" s="12">
        <v>1110</v>
      </c>
      <c r="H9" s="12">
        <v>30</v>
      </c>
      <c r="I9" s="12">
        <f t="shared" si="0"/>
        <v>1080</v>
      </c>
      <c r="J9" s="11" t="s">
        <v>5798</v>
      </c>
      <c r="K9" s="11" t="s">
        <v>33</v>
      </c>
      <c r="L9" s="11" t="s">
        <v>5800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4472</v>
      </c>
      <c r="D10" s="11" t="s">
        <v>5828</v>
      </c>
      <c r="E10" s="11" t="s">
        <v>5829</v>
      </c>
      <c r="F10" s="12">
        <v>7</v>
      </c>
      <c r="G10" s="12">
        <v>1198</v>
      </c>
      <c r="H10" s="12">
        <v>30</v>
      </c>
      <c r="I10" s="12">
        <f t="shared" si="0"/>
        <v>1168</v>
      </c>
      <c r="J10" s="11" t="s">
        <v>5798</v>
      </c>
      <c r="K10" s="11" t="s">
        <v>33</v>
      </c>
      <c r="L10" s="11" t="s">
        <v>5800</v>
      </c>
      <c r="M10" s="24" t="s">
        <v>340</v>
      </c>
      <c r="N10" s="11"/>
      <c r="O10" s="11"/>
      <c r="P10" s="11"/>
      <c r="Q10" s="11">
        <v>1</v>
      </c>
      <c r="R10" s="5">
        <f t="shared" ref="R10:R11" si="1">H10</f>
        <v>30</v>
      </c>
    </row>
    <row r="11" spans="1:18" s="15" customFormat="1" x14ac:dyDescent="0.25">
      <c r="A11" s="13"/>
      <c r="B11" s="13" t="s">
        <v>27</v>
      </c>
      <c r="C11" s="13" t="s">
        <v>5830</v>
      </c>
      <c r="D11" s="13" t="s">
        <v>5831</v>
      </c>
      <c r="E11" s="13" t="s">
        <v>5832</v>
      </c>
      <c r="F11" s="13" t="s">
        <v>68</v>
      </c>
      <c r="G11" s="14">
        <v>730</v>
      </c>
      <c r="H11" s="14">
        <v>25</v>
      </c>
      <c r="I11" s="14">
        <f t="shared" si="0"/>
        <v>705</v>
      </c>
      <c r="J11" s="13" t="s">
        <v>5798</v>
      </c>
      <c r="K11" s="13" t="s">
        <v>33</v>
      </c>
      <c r="L11" s="13" t="s">
        <v>5800</v>
      </c>
      <c r="M11" s="24" t="s">
        <v>4745</v>
      </c>
      <c r="N11" s="13"/>
      <c r="O11" s="13"/>
      <c r="P11" s="13"/>
      <c r="Q11" s="13">
        <v>1</v>
      </c>
      <c r="R11" s="19">
        <f t="shared" si="1"/>
        <v>25</v>
      </c>
    </row>
    <row r="12" spans="1:18" x14ac:dyDescent="0.25">
      <c r="A12" s="11"/>
      <c r="B12" s="11" t="s">
        <v>27</v>
      </c>
      <c r="C12" s="11" t="s">
        <v>5833</v>
      </c>
      <c r="D12" s="11" t="s">
        <v>5834</v>
      </c>
      <c r="E12" s="11" t="s">
        <v>5835</v>
      </c>
      <c r="F12" s="12">
        <v>12</v>
      </c>
      <c r="G12" s="12">
        <v>520</v>
      </c>
      <c r="H12" s="12">
        <v>30</v>
      </c>
      <c r="I12" s="12">
        <f t="shared" si="0"/>
        <v>490</v>
      </c>
      <c r="J12" s="11" t="s">
        <v>5798</v>
      </c>
      <c r="K12" s="11" t="s">
        <v>33</v>
      </c>
      <c r="L12" s="11" t="s">
        <v>5800</v>
      </c>
      <c r="M12" s="11"/>
      <c r="N12" s="11"/>
      <c r="O12" s="11"/>
      <c r="P12" s="11"/>
      <c r="Q12" s="11">
        <v>1</v>
      </c>
    </row>
    <row r="13" spans="1:18" x14ac:dyDescent="0.25">
      <c r="A13" s="11"/>
      <c r="B13" s="11" t="s">
        <v>27</v>
      </c>
      <c r="C13" s="11" t="s">
        <v>5841</v>
      </c>
      <c r="D13" s="11" t="s">
        <v>5842</v>
      </c>
      <c r="E13" s="11" t="s">
        <v>5843</v>
      </c>
      <c r="F13" s="11" t="s">
        <v>48</v>
      </c>
      <c r="G13" s="12">
        <v>580</v>
      </c>
      <c r="H13" s="12">
        <v>30</v>
      </c>
      <c r="I13" s="12">
        <f t="shared" si="0"/>
        <v>550</v>
      </c>
      <c r="J13" s="11" t="s">
        <v>5798</v>
      </c>
      <c r="K13" s="11" t="s">
        <v>33</v>
      </c>
      <c r="L13" s="11" t="s">
        <v>5800</v>
      </c>
      <c r="M13" s="11"/>
      <c r="N13" s="11"/>
      <c r="O13" s="11"/>
      <c r="P13" s="11"/>
      <c r="Q13" s="11">
        <v>1</v>
      </c>
    </row>
    <row r="14" spans="1:18" s="15" customFormat="1" x14ac:dyDescent="0.25">
      <c r="A14" s="13"/>
      <c r="B14" s="13" t="s">
        <v>27</v>
      </c>
      <c r="C14" s="13" t="s">
        <v>4530</v>
      </c>
      <c r="D14" s="13" t="s">
        <v>5858</v>
      </c>
      <c r="E14" s="13" t="s">
        <v>4532</v>
      </c>
      <c r="F14" s="14">
        <v>12</v>
      </c>
      <c r="G14" s="14">
        <v>0</v>
      </c>
      <c r="H14" s="14">
        <v>30</v>
      </c>
      <c r="I14" s="14">
        <f t="shared" si="0"/>
        <v>-30</v>
      </c>
      <c r="J14" s="13" t="s">
        <v>5798</v>
      </c>
      <c r="K14" s="13" t="s">
        <v>33</v>
      </c>
      <c r="L14" s="13" t="s">
        <v>5800</v>
      </c>
      <c r="M14" s="13" t="s">
        <v>100</v>
      </c>
      <c r="N14" s="13"/>
      <c r="O14" s="13"/>
      <c r="P14" s="13"/>
      <c r="Q14" s="13">
        <v>1</v>
      </c>
      <c r="R14" s="19">
        <f>H14</f>
        <v>30</v>
      </c>
    </row>
    <row r="15" spans="1:18" x14ac:dyDescent="0.25">
      <c r="A15" s="11"/>
      <c r="B15" s="11" t="s">
        <v>27</v>
      </c>
      <c r="C15" s="11" t="s">
        <v>5859</v>
      </c>
      <c r="D15" s="11" t="s">
        <v>5860</v>
      </c>
      <c r="E15" s="11" t="s">
        <v>5861</v>
      </c>
      <c r="F15" s="12">
        <v>7</v>
      </c>
      <c r="G15" s="12">
        <v>930</v>
      </c>
      <c r="H15" s="12">
        <v>30</v>
      </c>
      <c r="I15" s="12">
        <f t="shared" si="0"/>
        <v>900</v>
      </c>
      <c r="J15" s="11" t="s">
        <v>5798</v>
      </c>
      <c r="K15" s="11" t="s">
        <v>33</v>
      </c>
      <c r="L15" s="11" t="s">
        <v>5800</v>
      </c>
      <c r="M15" s="11"/>
      <c r="N15" s="11"/>
      <c r="O15" s="11"/>
      <c r="P15" s="11"/>
      <c r="Q15" s="11">
        <v>1</v>
      </c>
    </row>
    <row r="16" spans="1:18" x14ac:dyDescent="0.25">
      <c r="A16" s="11"/>
      <c r="B16" s="11" t="s">
        <v>27</v>
      </c>
      <c r="C16" s="11" t="s">
        <v>4680</v>
      </c>
      <c r="D16" s="11" t="s">
        <v>5862</v>
      </c>
      <c r="E16" s="11" t="s">
        <v>4609</v>
      </c>
      <c r="F16" s="11" t="s">
        <v>55</v>
      </c>
      <c r="G16" s="12">
        <v>1005</v>
      </c>
      <c r="H16" s="12">
        <v>35</v>
      </c>
      <c r="I16" s="12">
        <f t="shared" si="0"/>
        <v>970</v>
      </c>
      <c r="J16" s="11" t="s">
        <v>5798</v>
      </c>
      <c r="K16" s="11" t="s">
        <v>33</v>
      </c>
      <c r="L16" s="11" t="s">
        <v>5800</v>
      </c>
      <c r="M16" s="11"/>
      <c r="N16" s="11"/>
      <c r="O16" s="11"/>
      <c r="P16" s="11"/>
      <c r="Q16" s="11">
        <v>1</v>
      </c>
    </row>
    <row r="17" spans="1:18" x14ac:dyDescent="0.25">
      <c r="A17" s="11"/>
      <c r="B17" s="11" t="s">
        <v>27</v>
      </c>
      <c r="C17" s="11" t="s">
        <v>5866</v>
      </c>
      <c r="D17" s="11" t="s">
        <v>5867</v>
      </c>
      <c r="E17" s="11" t="s">
        <v>5868</v>
      </c>
      <c r="F17" s="11" t="s">
        <v>31</v>
      </c>
      <c r="G17" s="12">
        <v>828</v>
      </c>
      <c r="H17" s="12">
        <v>25</v>
      </c>
      <c r="I17" s="12">
        <f t="shared" si="0"/>
        <v>803</v>
      </c>
      <c r="J17" s="11" t="s">
        <v>5798</v>
      </c>
      <c r="K17" s="11" t="s">
        <v>33</v>
      </c>
      <c r="L17" s="11" t="s">
        <v>5800</v>
      </c>
      <c r="M17" s="24" t="s">
        <v>340</v>
      </c>
      <c r="N17" s="11"/>
      <c r="O17" s="11"/>
      <c r="P17" s="11"/>
      <c r="Q17" s="11">
        <v>1</v>
      </c>
      <c r="R17" s="5">
        <f>H17</f>
        <v>25</v>
      </c>
    </row>
    <row r="18" spans="1:18" x14ac:dyDescent="0.25">
      <c r="A18" s="11"/>
      <c r="B18" s="11" t="s">
        <v>27</v>
      </c>
      <c r="C18" s="11" t="s">
        <v>5869</v>
      </c>
      <c r="D18" s="11" t="s">
        <v>5870</v>
      </c>
      <c r="E18" s="11" t="s">
        <v>5871</v>
      </c>
      <c r="F18" s="12">
        <v>12</v>
      </c>
      <c r="G18" s="12">
        <v>1300</v>
      </c>
      <c r="H18" s="12">
        <v>30</v>
      </c>
      <c r="I18" s="12">
        <f t="shared" si="0"/>
        <v>1270</v>
      </c>
      <c r="J18" s="11" t="s">
        <v>5798</v>
      </c>
      <c r="K18" s="11" t="s">
        <v>33</v>
      </c>
      <c r="L18" s="11" t="s">
        <v>5800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5881</v>
      </c>
      <c r="D19" s="11" t="s">
        <v>5882</v>
      </c>
      <c r="E19" s="11" t="s">
        <v>5883</v>
      </c>
      <c r="F19" s="12">
        <v>2</v>
      </c>
      <c r="G19" s="12">
        <v>520</v>
      </c>
      <c r="H19" s="12">
        <v>30</v>
      </c>
      <c r="I19" s="12">
        <f t="shared" si="0"/>
        <v>490</v>
      </c>
      <c r="J19" s="11" t="s">
        <v>5798</v>
      </c>
      <c r="K19" s="11" t="s">
        <v>33</v>
      </c>
      <c r="L19" s="11" t="s">
        <v>5800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5884</v>
      </c>
      <c r="D20" s="11" t="s">
        <v>5885</v>
      </c>
      <c r="E20" s="11" t="s">
        <v>5886</v>
      </c>
      <c r="F20" s="12">
        <v>9</v>
      </c>
      <c r="G20" s="12">
        <v>1120</v>
      </c>
      <c r="H20" s="12">
        <v>30</v>
      </c>
      <c r="I20" s="12">
        <f t="shared" si="0"/>
        <v>1090</v>
      </c>
      <c r="J20" s="11" t="s">
        <v>5798</v>
      </c>
      <c r="K20" s="11" t="s">
        <v>33</v>
      </c>
      <c r="L20" s="11" t="s">
        <v>5800</v>
      </c>
      <c r="M20" s="11"/>
      <c r="N20" s="11"/>
      <c r="O20" s="11"/>
      <c r="P20" s="11"/>
      <c r="Q20" s="11">
        <v>1</v>
      </c>
    </row>
    <row r="21" spans="1:18" x14ac:dyDescent="0.25">
      <c r="A21" s="11"/>
      <c r="B21" s="11" t="s">
        <v>27</v>
      </c>
      <c r="C21" s="11" t="s">
        <v>5893</v>
      </c>
      <c r="D21" s="11" t="s">
        <v>5894</v>
      </c>
      <c r="E21" s="11" t="s">
        <v>5895</v>
      </c>
      <c r="F21" s="11" t="s">
        <v>104</v>
      </c>
      <c r="G21" s="12">
        <v>540</v>
      </c>
      <c r="H21" s="12">
        <v>30</v>
      </c>
      <c r="I21" s="12">
        <f t="shared" si="0"/>
        <v>510</v>
      </c>
      <c r="J21" s="11" t="s">
        <v>5798</v>
      </c>
      <c r="K21" s="11" t="s">
        <v>33</v>
      </c>
      <c r="L21" s="11" t="s">
        <v>5800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4937</v>
      </c>
      <c r="D22" s="11" t="s">
        <v>5896</v>
      </c>
      <c r="E22" s="11" t="s">
        <v>3924</v>
      </c>
      <c r="F22" s="12">
        <v>7</v>
      </c>
      <c r="G22" s="12">
        <v>2540</v>
      </c>
      <c r="H22" s="12">
        <v>30</v>
      </c>
      <c r="I22" s="12">
        <f t="shared" si="0"/>
        <v>2510</v>
      </c>
      <c r="J22" s="11" t="s">
        <v>5798</v>
      </c>
      <c r="K22" s="11" t="s">
        <v>33</v>
      </c>
      <c r="L22" s="11" t="s">
        <v>5800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5025</v>
      </c>
      <c r="D23" s="11" t="s">
        <v>5897</v>
      </c>
      <c r="E23" s="11" t="s">
        <v>5027</v>
      </c>
      <c r="F23" s="12">
        <v>7</v>
      </c>
      <c r="G23" s="12">
        <v>1320</v>
      </c>
      <c r="H23" s="12">
        <v>30</v>
      </c>
      <c r="I23" s="12">
        <f t="shared" si="0"/>
        <v>1290</v>
      </c>
      <c r="J23" s="11" t="s">
        <v>5798</v>
      </c>
      <c r="K23" s="11" t="s">
        <v>33</v>
      </c>
      <c r="L23" s="11" t="s">
        <v>5800</v>
      </c>
      <c r="M23" s="11"/>
      <c r="N23" s="11"/>
      <c r="O23" s="11"/>
      <c r="P23" s="11"/>
      <c r="Q23" s="11">
        <v>1</v>
      </c>
    </row>
    <row r="24" spans="1:18" x14ac:dyDescent="0.25">
      <c r="A24" s="11"/>
      <c r="B24" s="11" t="s">
        <v>27</v>
      </c>
      <c r="C24" s="11" t="s">
        <v>5904</v>
      </c>
      <c r="D24" s="11" t="s">
        <v>5905</v>
      </c>
      <c r="E24" s="11" t="s">
        <v>5906</v>
      </c>
      <c r="F24" s="12">
        <v>9</v>
      </c>
      <c r="G24" s="12">
        <v>470</v>
      </c>
      <c r="H24" s="12">
        <v>30</v>
      </c>
      <c r="I24" s="12">
        <f t="shared" si="0"/>
        <v>440</v>
      </c>
      <c r="J24" s="11" t="s">
        <v>5798</v>
      </c>
      <c r="K24" s="11" t="s">
        <v>33</v>
      </c>
      <c r="L24" s="11" t="s">
        <v>5800</v>
      </c>
      <c r="M24" s="11"/>
      <c r="N24" s="11"/>
      <c r="O24" s="11"/>
      <c r="P24" s="11"/>
      <c r="Q24" s="11">
        <v>1</v>
      </c>
    </row>
    <row r="25" spans="1:18" x14ac:dyDescent="0.25">
      <c r="A25" s="11"/>
      <c r="B25" s="11" t="s">
        <v>27</v>
      </c>
      <c r="C25" s="11" t="s">
        <v>5128</v>
      </c>
      <c r="D25" s="11" t="s">
        <v>5910</v>
      </c>
      <c r="E25" s="11" t="s">
        <v>5911</v>
      </c>
      <c r="F25" s="11" t="s">
        <v>104</v>
      </c>
      <c r="G25" s="12">
        <v>738</v>
      </c>
      <c r="H25" s="12">
        <v>30</v>
      </c>
      <c r="I25" s="12">
        <f t="shared" si="0"/>
        <v>708</v>
      </c>
      <c r="J25" s="11" t="s">
        <v>5798</v>
      </c>
      <c r="K25" s="11" t="s">
        <v>33</v>
      </c>
      <c r="L25" s="11" t="s">
        <v>5800</v>
      </c>
      <c r="M25" s="24" t="s">
        <v>340</v>
      </c>
      <c r="N25" s="11"/>
      <c r="O25" s="11"/>
      <c r="P25" s="11"/>
      <c r="Q25" s="11">
        <v>1</v>
      </c>
      <c r="R25" s="5">
        <f>H25</f>
        <v>30</v>
      </c>
    </row>
    <row r="26" spans="1:18" x14ac:dyDescent="0.25">
      <c r="A26" s="11"/>
      <c r="B26" s="11" t="s">
        <v>27</v>
      </c>
      <c r="C26" s="11" t="s">
        <v>5141</v>
      </c>
      <c r="D26" s="11" t="s">
        <v>5914</v>
      </c>
      <c r="E26" s="11" t="s">
        <v>5143</v>
      </c>
      <c r="F26" s="12">
        <v>12</v>
      </c>
      <c r="G26" s="12">
        <v>2878</v>
      </c>
      <c r="H26" s="12">
        <v>35</v>
      </c>
      <c r="I26" s="12">
        <f t="shared" si="0"/>
        <v>2843</v>
      </c>
      <c r="J26" s="11" t="s">
        <v>5798</v>
      </c>
      <c r="K26" s="11" t="s">
        <v>33</v>
      </c>
      <c r="L26" s="11" t="s">
        <v>5800</v>
      </c>
      <c r="M26" s="24" t="s">
        <v>340</v>
      </c>
      <c r="N26" s="11"/>
      <c r="O26" s="11"/>
      <c r="P26" s="11"/>
      <c r="Q26" s="11">
        <v>1</v>
      </c>
      <c r="R26" s="5">
        <f>H26</f>
        <v>35</v>
      </c>
    </row>
    <row r="27" spans="1:18" s="15" customFormat="1" x14ac:dyDescent="0.25">
      <c r="A27" s="13"/>
      <c r="B27" s="13" t="s">
        <v>27</v>
      </c>
      <c r="C27" s="13" t="s">
        <v>4656</v>
      </c>
      <c r="D27" s="13" t="s">
        <v>5924</v>
      </c>
      <c r="E27" s="13" t="s">
        <v>5925</v>
      </c>
      <c r="F27" s="13" t="s">
        <v>44</v>
      </c>
      <c r="G27" s="14">
        <v>0</v>
      </c>
      <c r="H27" s="14">
        <v>25</v>
      </c>
      <c r="I27" s="14">
        <f t="shared" si="0"/>
        <v>-25</v>
      </c>
      <c r="J27" s="13" t="s">
        <v>5798</v>
      </c>
      <c r="K27" s="13" t="s">
        <v>33</v>
      </c>
      <c r="L27" s="13" t="s">
        <v>5800</v>
      </c>
      <c r="M27" s="13" t="s">
        <v>100</v>
      </c>
      <c r="N27" s="13"/>
      <c r="O27" s="13"/>
      <c r="P27" s="13"/>
      <c r="Q27" s="13">
        <v>1</v>
      </c>
      <c r="R27" s="19">
        <f>H27</f>
        <v>25</v>
      </c>
    </row>
    <row r="28" spans="1:18" x14ac:dyDescent="0.25">
      <c r="A28" s="11"/>
      <c r="B28" s="11" t="s">
        <v>27</v>
      </c>
      <c r="C28" s="11" t="s">
        <v>5932</v>
      </c>
      <c r="D28" s="11" t="s">
        <v>5933</v>
      </c>
      <c r="E28" s="11" t="s">
        <v>5934</v>
      </c>
      <c r="F28" s="12">
        <v>11</v>
      </c>
      <c r="G28" s="12">
        <v>375</v>
      </c>
      <c r="H28" s="12">
        <v>25</v>
      </c>
      <c r="I28" s="12">
        <f t="shared" si="0"/>
        <v>350</v>
      </c>
      <c r="J28" s="11" t="s">
        <v>5798</v>
      </c>
      <c r="K28" s="11" t="s">
        <v>33</v>
      </c>
      <c r="L28" s="11" t="s">
        <v>5800</v>
      </c>
      <c r="M28" s="11"/>
      <c r="N28" s="11"/>
      <c r="O28" s="11"/>
      <c r="P28" s="11"/>
      <c r="Q28" s="11">
        <v>1</v>
      </c>
    </row>
    <row r="29" spans="1:18" x14ac:dyDescent="0.25">
      <c r="A29" s="11"/>
      <c r="B29" s="11" t="s">
        <v>27</v>
      </c>
      <c r="C29" s="11" t="s">
        <v>5941</v>
      </c>
      <c r="D29" s="11" t="s">
        <v>5942</v>
      </c>
      <c r="E29" s="11" t="s">
        <v>5943</v>
      </c>
      <c r="F29" s="12">
        <v>12</v>
      </c>
      <c r="G29" s="12">
        <v>1130</v>
      </c>
      <c r="H29" s="12">
        <v>30</v>
      </c>
      <c r="I29" s="12">
        <f t="shared" si="0"/>
        <v>1100</v>
      </c>
      <c r="J29" s="11" t="s">
        <v>5798</v>
      </c>
      <c r="K29" s="11" t="s">
        <v>33</v>
      </c>
      <c r="L29" s="11" t="s">
        <v>5800</v>
      </c>
      <c r="M29" s="11"/>
      <c r="N29" s="11"/>
      <c r="O29" s="11"/>
      <c r="P29" s="11"/>
      <c r="Q29" s="11">
        <v>1</v>
      </c>
    </row>
    <row r="30" spans="1:18" s="15" customFormat="1" x14ac:dyDescent="0.25">
      <c r="A30" s="13"/>
      <c r="B30" s="13" t="s">
        <v>27</v>
      </c>
      <c r="C30" s="13" t="s">
        <v>5944</v>
      </c>
      <c r="D30" s="13" t="s">
        <v>5945</v>
      </c>
      <c r="E30" s="13" t="s">
        <v>5946</v>
      </c>
      <c r="F30" s="13" t="s">
        <v>48</v>
      </c>
      <c r="G30" s="14">
        <v>30</v>
      </c>
      <c r="H30" s="14">
        <v>30</v>
      </c>
      <c r="I30" s="14">
        <f t="shared" si="0"/>
        <v>0</v>
      </c>
      <c r="J30" s="13" t="s">
        <v>5798</v>
      </c>
      <c r="K30" s="13" t="s">
        <v>33</v>
      </c>
      <c r="L30" s="13" t="s">
        <v>5800</v>
      </c>
      <c r="M30" s="13" t="s">
        <v>100</v>
      </c>
      <c r="N30" s="13"/>
      <c r="O30" s="13"/>
      <c r="P30" s="13"/>
      <c r="Q30" s="13">
        <v>1</v>
      </c>
    </row>
    <row r="31" spans="1:18" x14ac:dyDescent="0.25">
      <c r="A31" s="11"/>
      <c r="B31" s="11" t="s">
        <v>27</v>
      </c>
      <c r="C31" s="11" t="s">
        <v>5950</v>
      </c>
      <c r="D31" s="11" t="s">
        <v>5951</v>
      </c>
      <c r="E31" s="11" t="s">
        <v>5952</v>
      </c>
      <c r="F31" s="11" t="s">
        <v>48</v>
      </c>
      <c r="G31" s="12">
        <v>720</v>
      </c>
      <c r="H31" s="12">
        <v>30</v>
      </c>
      <c r="I31" s="12">
        <f t="shared" si="0"/>
        <v>690</v>
      </c>
      <c r="J31" s="11" t="s">
        <v>5798</v>
      </c>
      <c r="K31" s="11" t="s">
        <v>33</v>
      </c>
      <c r="L31" s="11" t="s">
        <v>5800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5953</v>
      </c>
      <c r="D32" s="11" t="s">
        <v>5954</v>
      </c>
      <c r="E32" s="11" t="s">
        <v>5955</v>
      </c>
      <c r="F32" s="12">
        <v>8</v>
      </c>
      <c r="G32" s="12">
        <v>860</v>
      </c>
      <c r="H32" s="12">
        <v>30</v>
      </c>
      <c r="I32" s="12">
        <f t="shared" si="0"/>
        <v>830</v>
      </c>
      <c r="J32" s="11" t="s">
        <v>5798</v>
      </c>
      <c r="K32" s="11" t="s">
        <v>33</v>
      </c>
      <c r="L32" s="11" t="s">
        <v>5800</v>
      </c>
      <c r="M32" s="11"/>
      <c r="N32" s="11"/>
      <c r="O32" s="11"/>
      <c r="P32" s="11"/>
      <c r="Q32" s="11">
        <v>1</v>
      </c>
    </row>
    <row r="33" spans="1:18" x14ac:dyDescent="0.25">
      <c r="A33" s="11"/>
      <c r="B33" s="11" t="s">
        <v>27</v>
      </c>
      <c r="C33" s="11" t="s">
        <v>5965</v>
      </c>
      <c r="D33" s="11" t="s">
        <v>5966</v>
      </c>
      <c r="E33" s="11" t="s">
        <v>5967</v>
      </c>
      <c r="F33" s="11" t="s">
        <v>48</v>
      </c>
      <c r="G33" s="12">
        <v>0</v>
      </c>
      <c r="H33" s="12">
        <v>30</v>
      </c>
      <c r="I33" s="12">
        <f t="shared" si="0"/>
        <v>-30</v>
      </c>
      <c r="J33" s="11" t="s">
        <v>5798</v>
      </c>
      <c r="K33" s="11" t="s">
        <v>33</v>
      </c>
      <c r="L33" s="11" t="s">
        <v>5800</v>
      </c>
      <c r="M33" s="11"/>
      <c r="N33" s="11"/>
      <c r="O33" s="11"/>
      <c r="P33" s="11"/>
      <c r="Q33" s="11">
        <v>1</v>
      </c>
    </row>
    <row r="34" spans="1:18" x14ac:dyDescent="0.25">
      <c r="A34" s="11"/>
      <c r="B34" s="11" t="s">
        <v>27</v>
      </c>
      <c r="C34" s="11" t="s">
        <v>5968</v>
      </c>
      <c r="D34" s="11" t="s">
        <v>5969</v>
      </c>
      <c r="E34" s="11" t="s">
        <v>5970</v>
      </c>
      <c r="F34" s="11" t="s">
        <v>48</v>
      </c>
      <c r="G34" s="12">
        <v>460</v>
      </c>
      <c r="H34" s="12">
        <v>30</v>
      </c>
      <c r="I34" s="12">
        <f t="shared" si="0"/>
        <v>430</v>
      </c>
      <c r="J34" s="11" t="s">
        <v>5798</v>
      </c>
      <c r="K34" s="11" t="s">
        <v>33</v>
      </c>
      <c r="L34" s="11" t="s">
        <v>5800</v>
      </c>
      <c r="M34" s="11"/>
      <c r="N34" s="11"/>
      <c r="O34" s="11"/>
      <c r="P34" s="11"/>
      <c r="Q34" s="11">
        <v>1</v>
      </c>
    </row>
    <row r="35" spans="1:18" x14ac:dyDescent="0.25">
      <c r="A35" s="11"/>
      <c r="B35" s="11" t="s">
        <v>27</v>
      </c>
      <c r="C35" s="11" t="s">
        <v>5971</v>
      </c>
      <c r="D35" s="11" t="s">
        <v>5972</v>
      </c>
      <c r="E35" s="11" t="s">
        <v>5973</v>
      </c>
      <c r="F35" s="12">
        <v>11</v>
      </c>
      <c r="G35" s="12">
        <v>655</v>
      </c>
      <c r="H35" s="12">
        <v>25</v>
      </c>
      <c r="I35" s="12">
        <f t="shared" ref="I35:I66" si="2">G35-H35</f>
        <v>630</v>
      </c>
      <c r="J35" s="11" t="s">
        <v>5798</v>
      </c>
      <c r="K35" s="11" t="s">
        <v>33</v>
      </c>
      <c r="L35" s="11" t="s">
        <v>5800</v>
      </c>
      <c r="M35" s="11"/>
      <c r="N35" s="11"/>
      <c r="O35" s="11"/>
      <c r="P35" s="11"/>
      <c r="Q35" s="11">
        <v>1</v>
      </c>
    </row>
    <row r="36" spans="1:18" x14ac:dyDescent="0.25">
      <c r="A36" s="11" t="s">
        <v>59</v>
      </c>
      <c r="B36" s="11" t="s">
        <v>27</v>
      </c>
      <c r="C36" s="11" t="s">
        <v>5974</v>
      </c>
      <c r="D36" s="11"/>
      <c r="E36" s="11" t="s">
        <v>5975</v>
      </c>
      <c r="F36" s="12">
        <v>6</v>
      </c>
      <c r="G36" s="12">
        <v>0</v>
      </c>
      <c r="H36" s="12">
        <v>30</v>
      </c>
      <c r="I36" s="12">
        <f t="shared" si="2"/>
        <v>-30</v>
      </c>
      <c r="J36" s="11" t="s">
        <v>5798</v>
      </c>
      <c r="K36" s="11" t="s">
        <v>33</v>
      </c>
      <c r="L36" s="11" t="s">
        <v>5800</v>
      </c>
      <c r="M36" s="11"/>
      <c r="N36" s="11"/>
      <c r="O36" s="11"/>
      <c r="P36" s="11"/>
      <c r="Q36" s="11">
        <v>1</v>
      </c>
    </row>
    <row r="37" spans="1:18" x14ac:dyDescent="0.25">
      <c r="A37" s="11" t="s">
        <v>59</v>
      </c>
      <c r="B37" s="11" t="s">
        <v>27</v>
      </c>
      <c r="C37" s="11" t="s">
        <v>1551</v>
      </c>
      <c r="D37" s="11"/>
      <c r="E37" s="11" t="s">
        <v>5976</v>
      </c>
      <c r="F37" s="11" t="s">
        <v>48</v>
      </c>
      <c r="G37" s="12">
        <v>445</v>
      </c>
      <c r="H37" s="12">
        <v>35</v>
      </c>
      <c r="I37" s="12">
        <f t="shared" si="2"/>
        <v>410</v>
      </c>
      <c r="J37" s="11" t="s">
        <v>5798</v>
      </c>
      <c r="K37" s="11" t="s">
        <v>33</v>
      </c>
      <c r="L37" s="11" t="s">
        <v>5800</v>
      </c>
      <c r="M37" s="11"/>
      <c r="N37" s="11"/>
      <c r="O37" s="11"/>
      <c r="P37" s="11"/>
      <c r="Q37" s="11">
        <v>1</v>
      </c>
    </row>
    <row r="38" spans="1:18" x14ac:dyDescent="0.25">
      <c r="A38" s="11"/>
      <c r="B38" s="11" t="s">
        <v>27</v>
      </c>
      <c r="C38" s="11" t="s">
        <v>5804</v>
      </c>
      <c r="D38" s="11" t="s">
        <v>5805</v>
      </c>
      <c r="E38" s="11" t="s">
        <v>5806</v>
      </c>
      <c r="F38" s="11" t="s">
        <v>68</v>
      </c>
      <c r="G38" s="12">
        <v>1888</v>
      </c>
      <c r="H38" s="12">
        <v>25</v>
      </c>
      <c r="I38" s="12">
        <f t="shared" si="2"/>
        <v>1863</v>
      </c>
      <c r="J38" s="11" t="s">
        <v>33</v>
      </c>
      <c r="K38" s="11" t="s">
        <v>33</v>
      </c>
      <c r="L38" s="11" t="s">
        <v>5800</v>
      </c>
      <c r="M38" s="24" t="s">
        <v>340</v>
      </c>
      <c r="N38" s="11"/>
      <c r="O38" s="11"/>
      <c r="P38" s="11"/>
      <c r="Q38" s="11">
        <v>1</v>
      </c>
      <c r="R38" s="5">
        <f>H38</f>
        <v>25</v>
      </c>
    </row>
    <row r="39" spans="1:18" x14ac:dyDescent="0.25">
      <c r="A39" s="11"/>
      <c r="B39" s="11" t="s">
        <v>27</v>
      </c>
      <c r="C39" s="11" t="s">
        <v>5807</v>
      </c>
      <c r="D39" s="11" t="s">
        <v>5808</v>
      </c>
      <c r="E39" s="11" t="s">
        <v>5809</v>
      </c>
      <c r="F39" s="11" t="s">
        <v>68</v>
      </c>
      <c r="G39" s="12">
        <v>605</v>
      </c>
      <c r="H39" s="12">
        <v>25</v>
      </c>
      <c r="I39" s="12">
        <f t="shared" si="2"/>
        <v>580</v>
      </c>
      <c r="J39" s="11" t="s">
        <v>33</v>
      </c>
      <c r="K39" s="11" t="s">
        <v>33</v>
      </c>
      <c r="L39" s="11" t="s">
        <v>5800</v>
      </c>
      <c r="M39" s="11"/>
      <c r="N39" s="11"/>
      <c r="O39" s="11"/>
      <c r="P39" s="11"/>
      <c r="Q39" s="11">
        <v>1</v>
      </c>
    </row>
    <row r="40" spans="1:18" x14ac:dyDescent="0.25">
      <c r="A40" s="11"/>
      <c r="B40" s="11" t="s">
        <v>27</v>
      </c>
      <c r="C40" s="11" t="s">
        <v>5818</v>
      </c>
      <c r="D40" s="11" t="s">
        <v>5819</v>
      </c>
      <c r="E40" s="11" t="s">
        <v>5820</v>
      </c>
      <c r="F40" s="11" t="s">
        <v>68</v>
      </c>
      <c r="G40" s="12">
        <v>1245</v>
      </c>
      <c r="H40" s="12">
        <v>25</v>
      </c>
      <c r="I40" s="12">
        <f t="shared" si="2"/>
        <v>1220</v>
      </c>
      <c r="J40" s="11" t="s">
        <v>33</v>
      </c>
      <c r="K40" s="11" t="s">
        <v>33</v>
      </c>
      <c r="L40" s="11" t="s">
        <v>5800</v>
      </c>
      <c r="M40" s="11"/>
      <c r="N40" s="11"/>
      <c r="O40" s="11"/>
      <c r="P40" s="11"/>
      <c r="Q40" s="11">
        <v>1</v>
      </c>
    </row>
    <row r="41" spans="1:18" x14ac:dyDescent="0.25">
      <c r="A41" s="11"/>
      <c r="B41" s="11" t="s">
        <v>27</v>
      </c>
      <c r="C41" s="11" t="s">
        <v>5821</v>
      </c>
      <c r="D41" s="11" t="s">
        <v>5822</v>
      </c>
      <c r="E41" s="11" t="s">
        <v>5823</v>
      </c>
      <c r="F41" s="11" t="s">
        <v>78</v>
      </c>
      <c r="G41" s="12">
        <v>1080</v>
      </c>
      <c r="H41" s="12">
        <v>20</v>
      </c>
      <c r="I41" s="12">
        <f t="shared" si="2"/>
        <v>1060</v>
      </c>
      <c r="J41" s="11" t="s">
        <v>33</v>
      </c>
      <c r="K41" s="11" t="s">
        <v>33</v>
      </c>
      <c r="L41" s="11" t="s">
        <v>5800</v>
      </c>
      <c r="M41" s="11"/>
      <c r="N41" s="11"/>
      <c r="O41" s="11"/>
      <c r="P41" s="11"/>
      <c r="Q41" s="11">
        <v>1</v>
      </c>
    </row>
    <row r="42" spans="1:18" x14ac:dyDescent="0.25">
      <c r="A42" s="11"/>
      <c r="B42" s="11" t="s">
        <v>27</v>
      </c>
      <c r="C42" s="11" t="s">
        <v>2876</v>
      </c>
      <c r="D42" s="11" t="s">
        <v>5824</v>
      </c>
      <c r="E42" s="11" t="s">
        <v>4726</v>
      </c>
      <c r="F42" s="11" t="s">
        <v>68</v>
      </c>
      <c r="G42" s="12">
        <v>0</v>
      </c>
      <c r="H42" s="12">
        <v>25</v>
      </c>
      <c r="I42" s="12">
        <f t="shared" si="2"/>
        <v>-25</v>
      </c>
      <c r="J42" s="11" t="s">
        <v>33</v>
      </c>
      <c r="K42" s="11" t="s">
        <v>33</v>
      </c>
      <c r="L42" s="11" t="s">
        <v>5800</v>
      </c>
      <c r="M42" s="11"/>
      <c r="N42" s="11"/>
      <c r="O42" s="11"/>
      <c r="P42" s="11"/>
      <c r="Q42" s="11">
        <v>1</v>
      </c>
    </row>
    <row r="43" spans="1:18" x14ac:dyDescent="0.25">
      <c r="A43" s="11"/>
      <c r="B43" s="11" t="s">
        <v>27</v>
      </c>
      <c r="C43" s="11" t="s">
        <v>3951</v>
      </c>
      <c r="D43" s="11" t="s">
        <v>5857</v>
      </c>
      <c r="E43" s="11" t="s">
        <v>3953</v>
      </c>
      <c r="F43" s="11" t="s">
        <v>68</v>
      </c>
      <c r="G43" s="12">
        <v>655</v>
      </c>
      <c r="H43" s="12">
        <v>25</v>
      </c>
      <c r="I43" s="12">
        <f t="shared" si="2"/>
        <v>630</v>
      </c>
      <c r="J43" s="11" t="s">
        <v>33</v>
      </c>
      <c r="K43" s="11" t="s">
        <v>33</v>
      </c>
      <c r="L43" s="11" t="s">
        <v>5800</v>
      </c>
      <c r="M43" s="11"/>
      <c r="N43" s="11"/>
      <c r="O43" s="11"/>
      <c r="P43" s="11"/>
      <c r="Q43" s="11">
        <v>1</v>
      </c>
    </row>
    <row r="44" spans="1:18" x14ac:dyDescent="0.25">
      <c r="A44" s="11"/>
      <c r="B44" s="11" t="s">
        <v>27</v>
      </c>
      <c r="C44" s="11" t="s">
        <v>5863</v>
      </c>
      <c r="D44" s="11" t="s">
        <v>5864</v>
      </c>
      <c r="E44" s="11" t="s">
        <v>5865</v>
      </c>
      <c r="F44" s="11" t="s">
        <v>68</v>
      </c>
      <c r="G44" s="12">
        <v>535</v>
      </c>
      <c r="H44" s="12">
        <v>25</v>
      </c>
      <c r="I44" s="12">
        <f t="shared" si="2"/>
        <v>510</v>
      </c>
      <c r="J44" s="11" t="s">
        <v>33</v>
      </c>
      <c r="K44" s="11" t="s">
        <v>33</v>
      </c>
      <c r="L44" s="11" t="s">
        <v>5800</v>
      </c>
      <c r="M44" s="11"/>
      <c r="N44" s="11"/>
      <c r="O44" s="11"/>
      <c r="P44" s="11"/>
      <c r="Q44" s="11">
        <v>1</v>
      </c>
    </row>
    <row r="45" spans="1:18" x14ac:dyDescent="0.25">
      <c r="A45" s="11"/>
      <c r="B45" s="11" t="s">
        <v>27</v>
      </c>
      <c r="C45" s="11" t="s">
        <v>5872</v>
      </c>
      <c r="D45" s="11" t="s">
        <v>5873</v>
      </c>
      <c r="E45" s="11" t="s">
        <v>5874</v>
      </c>
      <c r="F45" s="11" t="s">
        <v>68</v>
      </c>
      <c r="G45" s="12">
        <v>995</v>
      </c>
      <c r="H45" s="12">
        <v>25</v>
      </c>
      <c r="I45" s="12">
        <f t="shared" si="2"/>
        <v>970</v>
      </c>
      <c r="J45" s="11" t="s">
        <v>33</v>
      </c>
      <c r="K45" s="11" t="s">
        <v>33</v>
      </c>
      <c r="L45" s="11" t="s">
        <v>5800</v>
      </c>
      <c r="M45" s="11"/>
      <c r="N45" s="11"/>
      <c r="O45" s="11"/>
      <c r="P45" s="11"/>
      <c r="Q45" s="11">
        <v>1</v>
      </c>
    </row>
    <row r="46" spans="1:18" x14ac:dyDescent="0.25">
      <c r="A46" s="11"/>
      <c r="B46" s="11" t="s">
        <v>27</v>
      </c>
      <c r="C46" s="11" t="s">
        <v>5875</v>
      </c>
      <c r="D46" s="11" t="s">
        <v>5876</v>
      </c>
      <c r="E46" s="11" t="s">
        <v>5877</v>
      </c>
      <c r="F46" s="11" t="s">
        <v>68</v>
      </c>
      <c r="G46" s="12">
        <v>865</v>
      </c>
      <c r="H46" s="12">
        <v>25</v>
      </c>
      <c r="I46" s="12">
        <f t="shared" si="2"/>
        <v>840</v>
      </c>
      <c r="J46" s="11" t="s">
        <v>33</v>
      </c>
      <c r="K46" s="11" t="s">
        <v>33</v>
      </c>
      <c r="L46" s="11" t="s">
        <v>5800</v>
      </c>
      <c r="M46" s="11"/>
      <c r="N46" s="11"/>
      <c r="O46" s="11"/>
      <c r="P46" s="11"/>
      <c r="Q46" s="11">
        <v>1</v>
      </c>
    </row>
    <row r="47" spans="1:18" x14ac:dyDescent="0.25">
      <c r="A47" s="11"/>
      <c r="B47" s="11" t="s">
        <v>27</v>
      </c>
      <c r="C47" s="11" t="s">
        <v>5878</v>
      </c>
      <c r="D47" s="11" t="s">
        <v>5879</v>
      </c>
      <c r="E47" s="11" t="s">
        <v>5880</v>
      </c>
      <c r="F47" s="11" t="s">
        <v>68</v>
      </c>
      <c r="G47" s="12">
        <v>515</v>
      </c>
      <c r="H47" s="12">
        <v>25</v>
      </c>
      <c r="I47" s="12">
        <f t="shared" si="2"/>
        <v>490</v>
      </c>
      <c r="J47" s="11" t="s">
        <v>33</v>
      </c>
      <c r="K47" s="11" t="s">
        <v>33</v>
      </c>
      <c r="L47" s="11" t="s">
        <v>5800</v>
      </c>
      <c r="M47" s="11"/>
      <c r="N47" s="11"/>
      <c r="O47" s="11"/>
      <c r="P47" s="11"/>
      <c r="Q47" s="11">
        <v>1</v>
      </c>
    </row>
    <row r="48" spans="1:18" x14ac:dyDescent="0.25">
      <c r="A48" s="11"/>
      <c r="B48" s="11" t="s">
        <v>27</v>
      </c>
      <c r="C48" s="11" t="s">
        <v>3762</v>
      </c>
      <c r="D48" s="11" t="s">
        <v>5898</v>
      </c>
      <c r="E48" s="11" t="s">
        <v>5899</v>
      </c>
      <c r="F48" s="12">
        <v>2</v>
      </c>
      <c r="G48" s="12">
        <v>2088</v>
      </c>
      <c r="H48" s="12">
        <v>35</v>
      </c>
      <c r="I48" s="12">
        <f t="shared" si="2"/>
        <v>2053</v>
      </c>
      <c r="J48" s="11" t="s">
        <v>33</v>
      </c>
      <c r="K48" s="11" t="s">
        <v>33</v>
      </c>
      <c r="L48" s="11" t="s">
        <v>5800</v>
      </c>
      <c r="M48" s="24" t="s">
        <v>340</v>
      </c>
      <c r="N48" s="11"/>
      <c r="O48" s="11"/>
      <c r="P48" s="11"/>
      <c r="Q48" s="11">
        <v>1</v>
      </c>
      <c r="R48" s="5">
        <f t="shared" ref="R48:R50" si="3">H48</f>
        <v>35</v>
      </c>
    </row>
    <row r="49" spans="1:18" x14ac:dyDescent="0.25">
      <c r="A49" s="11"/>
      <c r="B49" s="11" t="s">
        <v>27</v>
      </c>
      <c r="C49" s="11" t="s">
        <v>4114</v>
      </c>
      <c r="D49" s="11" t="s">
        <v>5903</v>
      </c>
      <c r="E49" s="11" t="s">
        <v>4116</v>
      </c>
      <c r="F49" s="11" t="s">
        <v>78</v>
      </c>
      <c r="G49" s="12">
        <v>388</v>
      </c>
      <c r="H49" s="12">
        <v>20</v>
      </c>
      <c r="I49" s="12">
        <f t="shared" si="2"/>
        <v>368</v>
      </c>
      <c r="J49" s="11" t="s">
        <v>33</v>
      </c>
      <c r="K49" s="11" t="s">
        <v>33</v>
      </c>
      <c r="L49" s="11" t="s">
        <v>5800</v>
      </c>
      <c r="M49" s="24" t="s">
        <v>340</v>
      </c>
      <c r="N49" s="11"/>
      <c r="O49" s="11"/>
      <c r="P49" s="11"/>
      <c r="Q49" s="11">
        <v>1</v>
      </c>
      <c r="R49" s="5">
        <f t="shared" si="3"/>
        <v>20</v>
      </c>
    </row>
    <row r="50" spans="1:18" s="15" customFormat="1" x14ac:dyDescent="0.25">
      <c r="A50" s="13"/>
      <c r="B50" s="13" t="s">
        <v>27</v>
      </c>
      <c r="C50" s="13" t="s">
        <v>4552</v>
      </c>
      <c r="D50" s="13" t="s">
        <v>5908</v>
      </c>
      <c r="E50" s="13" t="s">
        <v>5909</v>
      </c>
      <c r="F50" s="14">
        <v>2</v>
      </c>
      <c r="G50" s="14">
        <v>488</v>
      </c>
      <c r="H50" s="14">
        <v>30</v>
      </c>
      <c r="I50" s="14">
        <f t="shared" si="2"/>
        <v>458</v>
      </c>
      <c r="J50" s="13" t="s">
        <v>33</v>
      </c>
      <c r="K50" s="13" t="s">
        <v>33</v>
      </c>
      <c r="L50" s="13" t="s">
        <v>5800</v>
      </c>
      <c r="M50" s="24" t="s">
        <v>4745</v>
      </c>
      <c r="N50" s="13"/>
      <c r="O50" s="13"/>
      <c r="P50" s="13"/>
      <c r="Q50" s="13">
        <v>1</v>
      </c>
      <c r="R50" s="19">
        <f t="shared" si="3"/>
        <v>30</v>
      </c>
    </row>
    <row r="51" spans="1:18" x14ac:dyDescent="0.25">
      <c r="A51" s="11"/>
      <c r="B51" s="11" t="s">
        <v>27</v>
      </c>
      <c r="C51" s="11" t="s">
        <v>5915</v>
      </c>
      <c r="D51" s="11" t="s">
        <v>5916</v>
      </c>
      <c r="E51" s="11" t="s">
        <v>5917</v>
      </c>
      <c r="F51" s="12">
        <v>2</v>
      </c>
      <c r="G51" s="12">
        <v>490</v>
      </c>
      <c r="H51" s="12">
        <v>30</v>
      </c>
      <c r="I51" s="12">
        <f t="shared" si="2"/>
        <v>460</v>
      </c>
      <c r="J51" s="11" t="s">
        <v>33</v>
      </c>
      <c r="K51" s="11" t="s">
        <v>33</v>
      </c>
      <c r="L51" s="11" t="s">
        <v>5800</v>
      </c>
      <c r="M51" s="11"/>
      <c r="N51" s="11"/>
      <c r="O51" s="11"/>
      <c r="P51" s="11"/>
      <c r="Q51" s="11">
        <v>1</v>
      </c>
    </row>
    <row r="52" spans="1:18" x14ac:dyDescent="0.25">
      <c r="A52" s="11"/>
      <c r="B52" s="11" t="s">
        <v>27</v>
      </c>
      <c r="C52" s="11" t="s">
        <v>5918</v>
      </c>
      <c r="D52" s="11" t="s">
        <v>5919</v>
      </c>
      <c r="E52" s="11" t="s">
        <v>5920</v>
      </c>
      <c r="F52" s="11" t="s">
        <v>68</v>
      </c>
      <c r="G52" s="12">
        <v>535</v>
      </c>
      <c r="H52" s="12">
        <v>25</v>
      </c>
      <c r="I52" s="12">
        <f t="shared" si="2"/>
        <v>510</v>
      </c>
      <c r="J52" s="11" t="s">
        <v>33</v>
      </c>
      <c r="K52" s="11" t="s">
        <v>33</v>
      </c>
      <c r="L52" s="11" t="s">
        <v>5800</v>
      </c>
      <c r="M52" s="11"/>
      <c r="N52" s="11"/>
      <c r="O52" s="11"/>
      <c r="P52" s="11"/>
      <c r="Q52" s="11">
        <v>1</v>
      </c>
    </row>
    <row r="53" spans="1:18" x14ac:dyDescent="0.25">
      <c r="A53" s="11"/>
      <c r="B53" s="11" t="s">
        <v>27</v>
      </c>
      <c r="C53" s="11" t="s">
        <v>5929</v>
      </c>
      <c r="D53" s="11" t="s">
        <v>5930</v>
      </c>
      <c r="E53" s="11" t="s">
        <v>5931</v>
      </c>
      <c r="F53" s="11" t="s">
        <v>78</v>
      </c>
      <c r="G53" s="12">
        <v>590</v>
      </c>
      <c r="H53" s="12">
        <v>20</v>
      </c>
      <c r="I53" s="12">
        <f t="shared" si="2"/>
        <v>570</v>
      </c>
      <c r="J53" s="11" t="s">
        <v>33</v>
      </c>
      <c r="K53" s="11" t="s">
        <v>33</v>
      </c>
      <c r="L53" s="11" t="s">
        <v>5800</v>
      </c>
      <c r="M53" s="11"/>
      <c r="N53" s="11"/>
      <c r="O53" s="11"/>
      <c r="P53" s="11"/>
      <c r="Q53" s="11">
        <v>1</v>
      </c>
    </row>
    <row r="54" spans="1:18" x14ac:dyDescent="0.25">
      <c r="A54" s="11"/>
      <c r="B54" s="11" t="s">
        <v>27</v>
      </c>
      <c r="C54" s="11" t="s">
        <v>5935</v>
      </c>
      <c r="D54" s="11" t="s">
        <v>5936</v>
      </c>
      <c r="E54" s="11" t="s">
        <v>5937</v>
      </c>
      <c r="F54" s="11" t="s">
        <v>44</v>
      </c>
      <c r="G54" s="12">
        <v>455</v>
      </c>
      <c r="H54" s="12">
        <v>25</v>
      </c>
      <c r="I54" s="12">
        <f t="shared" si="2"/>
        <v>430</v>
      </c>
      <c r="J54" s="11" t="s">
        <v>33</v>
      </c>
      <c r="K54" s="11" t="s">
        <v>33</v>
      </c>
      <c r="L54" s="11" t="s">
        <v>5800</v>
      </c>
      <c r="M54" s="11"/>
      <c r="N54" s="11"/>
      <c r="O54" s="11"/>
      <c r="P54" s="11"/>
      <c r="Q54" s="11">
        <v>1</v>
      </c>
    </row>
    <row r="55" spans="1:18" x14ac:dyDescent="0.25">
      <c r="A55" s="11"/>
      <c r="B55" s="11" t="s">
        <v>27</v>
      </c>
      <c r="C55" s="11" t="s">
        <v>5960</v>
      </c>
      <c r="D55" s="11" t="s">
        <v>5961</v>
      </c>
      <c r="E55" s="11" t="s">
        <v>5820</v>
      </c>
      <c r="F55" s="11" t="s">
        <v>68</v>
      </c>
      <c r="G55" s="12">
        <v>1395</v>
      </c>
      <c r="H55" s="12">
        <v>25</v>
      </c>
      <c r="I55" s="12">
        <f t="shared" si="2"/>
        <v>1370</v>
      </c>
      <c r="J55" s="11" t="s">
        <v>33</v>
      </c>
      <c r="K55" s="11" t="s">
        <v>33</v>
      </c>
      <c r="L55" s="11" t="s">
        <v>5800</v>
      </c>
      <c r="M55" s="11"/>
      <c r="N55" s="11"/>
      <c r="O55" s="11"/>
      <c r="P55" s="11"/>
      <c r="Q55" s="11">
        <v>1</v>
      </c>
    </row>
    <row r="56" spans="1:18" x14ac:dyDescent="0.25">
      <c r="A56" s="11"/>
      <c r="B56" s="11" t="s">
        <v>27</v>
      </c>
      <c r="C56" s="11" t="s">
        <v>5962</v>
      </c>
      <c r="D56" s="11" t="s">
        <v>5963</v>
      </c>
      <c r="E56" s="11" t="s">
        <v>5964</v>
      </c>
      <c r="F56" s="12">
        <v>2</v>
      </c>
      <c r="G56" s="12">
        <v>370</v>
      </c>
      <c r="H56" s="12">
        <v>30</v>
      </c>
      <c r="I56" s="12">
        <f t="shared" si="2"/>
        <v>340</v>
      </c>
      <c r="J56" s="11" t="s">
        <v>33</v>
      </c>
      <c r="K56" s="11" t="s">
        <v>33</v>
      </c>
      <c r="L56" s="11" t="s">
        <v>5800</v>
      </c>
      <c r="M56" s="11"/>
      <c r="N56" s="11"/>
      <c r="O56" s="11"/>
      <c r="P56" s="11"/>
      <c r="Q56" s="11">
        <v>1</v>
      </c>
    </row>
    <row r="57" spans="1:18" x14ac:dyDescent="0.25">
      <c r="A57" s="11"/>
      <c r="B57" s="11" t="s">
        <v>27</v>
      </c>
      <c r="C57" s="11" t="s">
        <v>5977</v>
      </c>
      <c r="D57" s="11" t="s">
        <v>5978</v>
      </c>
      <c r="E57" s="11" t="s">
        <v>5979</v>
      </c>
      <c r="F57" s="12">
        <v>2</v>
      </c>
      <c r="G57" s="12">
        <v>0</v>
      </c>
      <c r="H57" s="12">
        <v>30</v>
      </c>
      <c r="I57" s="12">
        <f t="shared" si="2"/>
        <v>-30</v>
      </c>
      <c r="J57" s="11" t="s">
        <v>33</v>
      </c>
      <c r="K57" s="11" t="s">
        <v>33</v>
      </c>
      <c r="L57" s="11" t="s">
        <v>5800</v>
      </c>
      <c r="M57" s="24" t="s">
        <v>6063</v>
      </c>
      <c r="N57" s="11"/>
      <c r="O57" s="11"/>
      <c r="P57" s="11"/>
      <c r="Q57" s="11">
        <v>1</v>
      </c>
      <c r="R57" s="5">
        <f>H57</f>
        <v>30</v>
      </c>
    </row>
    <row r="58" spans="1:18" x14ac:dyDescent="0.25">
      <c r="A58" s="11"/>
      <c r="B58" s="11" t="s">
        <v>27</v>
      </c>
      <c r="C58" s="11" t="s">
        <v>5980</v>
      </c>
      <c r="D58" s="11" t="s">
        <v>5981</v>
      </c>
      <c r="E58" s="11" t="s">
        <v>5982</v>
      </c>
      <c r="F58" s="11" t="s">
        <v>78</v>
      </c>
      <c r="G58" s="12">
        <v>420</v>
      </c>
      <c r="H58" s="12">
        <v>20</v>
      </c>
      <c r="I58" s="12">
        <f t="shared" si="2"/>
        <v>400</v>
      </c>
      <c r="J58" s="11" t="s">
        <v>33</v>
      </c>
      <c r="K58" s="11" t="s">
        <v>33</v>
      </c>
      <c r="L58" s="11" t="s">
        <v>5800</v>
      </c>
      <c r="M58" s="11"/>
      <c r="N58" s="11"/>
      <c r="O58" s="11"/>
      <c r="P58" s="11"/>
      <c r="Q58" s="11">
        <v>1</v>
      </c>
    </row>
    <row r="59" spans="1:18" x14ac:dyDescent="0.25">
      <c r="A59" s="11"/>
      <c r="B59" s="11" t="s">
        <v>27</v>
      </c>
      <c r="C59" s="11" t="s">
        <v>5801</v>
      </c>
      <c r="D59" s="11" t="s">
        <v>5802</v>
      </c>
      <c r="E59" s="11" t="s">
        <v>5803</v>
      </c>
      <c r="F59" s="12">
        <v>1</v>
      </c>
      <c r="G59" s="12">
        <v>1675</v>
      </c>
      <c r="H59" s="12">
        <v>25</v>
      </c>
      <c r="I59" s="12">
        <f t="shared" si="2"/>
        <v>1650</v>
      </c>
      <c r="J59" s="11" t="s">
        <v>119</v>
      </c>
      <c r="K59" s="11" t="s">
        <v>33</v>
      </c>
      <c r="L59" s="11" t="s">
        <v>5800</v>
      </c>
      <c r="M59" s="11"/>
      <c r="N59" s="11"/>
      <c r="O59" s="11"/>
      <c r="P59" s="11"/>
      <c r="Q59" s="11">
        <v>1</v>
      </c>
    </row>
    <row r="60" spans="1:18" s="15" customFormat="1" x14ac:dyDescent="0.25">
      <c r="A60" s="13"/>
      <c r="B60" s="13" t="s">
        <v>27</v>
      </c>
      <c r="C60" s="13" t="s">
        <v>5836</v>
      </c>
      <c r="D60" s="13" t="s">
        <v>5837</v>
      </c>
      <c r="E60" s="13" t="s">
        <v>4934</v>
      </c>
      <c r="F60" s="14">
        <v>10</v>
      </c>
      <c r="G60" s="14">
        <v>0</v>
      </c>
      <c r="H60" s="14">
        <v>25</v>
      </c>
      <c r="I60" s="14">
        <f t="shared" si="2"/>
        <v>-25</v>
      </c>
      <c r="J60" s="13" t="s">
        <v>119</v>
      </c>
      <c r="K60" s="13" t="s">
        <v>33</v>
      </c>
      <c r="L60" s="13" t="s">
        <v>5800</v>
      </c>
      <c r="M60" s="13" t="s">
        <v>100</v>
      </c>
      <c r="N60" s="13"/>
      <c r="O60" s="13"/>
      <c r="P60" s="13"/>
      <c r="Q60" s="13">
        <v>1</v>
      </c>
      <c r="R60" s="19">
        <f>H60</f>
        <v>25</v>
      </c>
    </row>
    <row r="61" spans="1:18" x14ac:dyDescent="0.25">
      <c r="A61" s="11"/>
      <c r="B61" s="11" t="s">
        <v>27</v>
      </c>
      <c r="C61" s="11" t="s">
        <v>5838</v>
      </c>
      <c r="D61" s="11" t="s">
        <v>5839</v>
      </c>
      <c r="E61" s="11" t="s">
        <v>5840</v>
      </c>
      <c r="F61" s="11" t="s">
        <v>44</v>
      </c>
      <c r="G61" s="12">
        <v>455</v>
      </c>
      <c r="H61" s="12">
        <v>25</v>
      </c>
      <c r="I61" s="12">
        <f t="shared" si="2"/>
        <v>430</v>
      </c>
      <c r="J61" s="11" t="s">
        <v>119</v>
      </c>
      <c r="K61" s="11" t="s">
        <v>33</v>
      </c>
      <c r="L61" s="11" t="s">
        <v>5800</v>
      </c>
      <c r="M61" s="11"/>
      <c r="N61" s="11"/>
      <c r="O61" s="11"/>
      <c r="P61" s="11"/>
      <c r="Q61" s="11">
        <v>1</v>
      </c>
    </row>
    <row r="62" spans="1:18" x14ac:dyDescent="0.25">
      <c r="A62" s="11"/>
      <c r="B62" s="11" t="s">
        <v>27</v>
      </c>
      <c r="C62" s="11" t="s">
        <v>5844</v>
      </c>
      <c r="D62" s="11" t="s">
        <v>5845</v>
      </c>
      <c r="E62" s="11" t="s">
        <v>5846</v>
      </c>
      <c r="F62" s="12">
        <v>3</v>
      </c>
      <c r="G62" s="12">
        <v>415</v>
      </c>
      <c r="H62" s="12">
        <v>25</v>
      </c>
      <c r="I62" s="12">
        <f t="shared" si="2"/>
        <v>390</v>
      </c>
      <c r="J62" s="11" t="s">
        <v>119</v>
      </c>
      <c r="K62" s="11" t="s">
        <v>33</v>
      </c>
      <c r="L62" s="11" t="s">
        <v>5800</v>
      </c>
      <c r="M62" s="11"/>
      <c r="N62" s="11"/>
      <c r="O62" s="11"/>
      <c r="P62" s="11"/>
      <c r="Q62" s="11">
        <v>1</v>
      </c>
    </row>
    <row r="63" spans="1:18" x14ac:dyDescent="0.25">
      <c r="A63" s="11"/>
      <c r="B63" s="11" t="s">
        <v>27</v>
      </c>
      <c r="C63" s="11" t="s">
        <v>5847</v>
      </c>
      <c r="D63" s="11" t="s">
        <v>5848</v>
      </c>
      <c r="E63" s="11" t="s">
        <v>5849</v>
      </c>
      <c r="F63" s="12">
        <v>3</v>
      </c>
      <c r="G63" s="12">
        <v>1545</v>
      </c>
      <c r="H63" s="12">
        <v>25</v>
      </c>
      <c r="I63" s="12">
        <f t="shared" si="2"/>
        <v>1520</v>
      </c>
      <c r="J63" s="11" t="s">
        <v>119</v>
      </c>
      <c r="K63" s="11" t="s">
        <v>33</v>
      </c>
      <c r="L63" s="11" t="s">
        <v>5800</v>
      </c>
      <c r="M63" s="11"/>
      <c r="N63" s="11"/>
      <c r="O63" s="11"/>
      <c r="P63" s="11"/>
      <c r="Q63" s="11">
        <v>1</v>
      </c>
    </row>
    <row r="64" spans="1:18" x14ac:dyDescent="0.25">
      <c r="A64" s="11"/>
      <c r="B64" s="11" t="s">
        <v>27</v>
      </c>
      <c r="C64" s="11" t="s">
        <v>5850</v>
      </c>
      <c r="D64" s="11" t="s">
        <v>5851</v>
      </c>
      <c r="E64" s="11" t="s">
        <v>5852</v>
      </c>
      <c r="F64" s="12">
        <v>1</v>
      </c>
      <c r="G64" s="12">
        <v>2038</v>
      </c>
      <c r="H64" s="12">
        <v>30</v>
      </c>
      <c r="I64" s="12">
        <f t="shared" si="2"/>
        <v>2008</v>
      </c>
      <c r="J64" s="11" t="s">
        <v>119</v>
      </c>
      <c r="K64" s="11" t="s">
        <v>33</v>
      </c>
      <c r="L64" s="11" t="s">
        <v>5800</v>
      </c>
      <c r="M64" s="24" t="s">
        <v>340</v>
      </c>
      <c r="N64" s="11"/>
      <c r="O64" s="11"/>
      <c r="P64" s="11"/>
      <c r="Q64" s="11">
        <v>1</v>
      </c>
      <c r="R64" s="5">
        <f>H64</f>
        <v>30</v>
      </c>
    </row>
    <row r="65" spans="1:18" x14ac:dyDescent="0.25">
      <c r="A65" s="11"/>
      <c r="B65" s="11" t="s">
        <v>27</v>
      </c>
      <c r="C65" s="11" t="s">
        <v>5853</v>
      </c>
      <c r="D65" s="11" t="s">
        <v>5854</v>
      </c>
      <c r="E65" s="11" t="s">
        <v>5855</v>
      </c>
      <c r="F65" s="11" t="s">
        <v>118</v>
      </c>
      <c r="G65" s="12">
        <v>610</v>
      </c>
      <c r="H65" s="12">
        <v>20</v>
      </c>
      <c r="I65" s="12">
        <f t="shared" si="2"/>
        <v>590</v>
      </c>
      <c r="J65" s="11" t="s">
        <v>119</v>
      </c>
      <c r="K65" s="11" t="s">
        <v>33</v>
      </c>
      <c r="L65" s="11" t="s">
        <v>5800</v>
      </c>
      <c r="M65" s="11"/>
      <c r="N65" s="11"/>
      <c r="O65" s="11"/>
      <c r="P65" s="11"/>
      <c r="Q65" s="11">
        <v>1</v>
      </c>
    </row>
    <row r="66" spans="1:18" x14ac:dyDescent="0.25">
      <c r="A66" s="11"/>
      <c r="B66" s="11" t="s">
        <v>27</v>
      </c>
      <c r="C66" s="11" t="s">
        <v>4281</v>
      </c>
      <c r="D66" s="11" t="s">
        <v>5856</v>
      </c>
      <c r="E66" s="11" t="s">
        <v>4283</v>
      </c>
      <c r="F66" s="12">
        <v>3</v>
      </c>
      <c r="G66" s="12">
        <v>1355</v>
      </c>
      <c r="H66" s="12">
        <v>25</v>
      </c>
      <c r="I66" s="12">
        <f t="shared" si="2"/>
        <v>1330</v>
      </c>
      <c r="J66" s="11" t="s">
        <v>119</v>
      </c>
      <c r="K66" s="11" t="s">
        <v>33</v>
      </c>
      <c r="L66" s="11" t="s">
        <v>5800</v>
      </c>
      <c r="M66" s="11"/>
      <c r="N66" s="11"/>
      <c r="O66" s="11"/>
      <c r="P66" s="11"/>
      <c r="Q66" s="11">
        <v>1</v>
      </c>
    </row>
    <row r="67" spans="1:18" x14ac:dyDescent="0.25">
      <c r="A67" s="11"/>
      <c r="B67" s="11" t="s">
        <v>27</v>
      </c>
      <c r="C67" s="11" t="s">
        <v>5887</v>
      </c>
      <c r="D67" s="11" t="s">
        <v>5888</v>
      </c>
      <c r="E67" s="11" t="s">
        <v>5889</v>
      </c>
      <c r="F67" s="12">
        <v>3</v>
      </c>
      <c r="G67" s="12">
        <v>435</v>
      </c>
      <c r="H67" s="12">
        <v>25</v>
      </c>
      <c r="I67" s="12">
        <f t="shared" ref="I67:I77" si="4">G67-H67</f>
        <v>410</v>
      </c>
      <c r="J67" s="11" t="s">
        <v>119</v>
      </c>
      <c r="K67" s="11" t="s">
        <v>33</v>
      </c>
      <c r="L67" s="11" t="s">
        <v>5800</v>
      </c>
      <c r="M67" s="11"/>
      <c r="N67" s="11"/>
      <c r="O67" s="11"/>
      <c r="P67" s="11"/>
      <c r="Q67" s="11">
        <v>1</v>
      </c>
    </row>
    <row r="68" spans="1:18" x14ac:dyDescent="0.25">
      <c r="A68" s="11"/>
      <c r="B68" s="11" t="s">
        <v>27</v>
      </c>
      <c r="C68" s="11" t="s">
        <v>5890</v>
      </c>
      <c r="D68" s="11" t="s">
        <v>5891</v>
      </c>
      <c r="E68" s="11" t="s">
        <v>5892</v>
      </c>
      <c r="F68" s="11" t="s">
        <v>44</v>
      </c>
      <c r="G68" s="12">
        <v>505</v>
      </c>
      <c r="H68" s="12">
        <v>25</v>
      </c>
      <c r="I68" s="12">
        <f t="shared" si="4"/>
        <v>480</v>
      </c>
      <c r="J68" s="11" t="s">
        <v>119</v>
      </c>
      <c r="K68" s="11" t="s">
        <v>33</v>
      </c>
      <c r="L68" s="11" t="s">
        <v>5800</v>
      </c>
      <c r="M68" s="11"/>
      <c r="N68" s="11"/>
      <c r="O68" s="11"/>
      <c r="P68" s="11"/>
      <c r="Q68" s="11">
        <v>1</v>
      </c>
    </row>
    <row r="69" spans="1:18" x14ac:dyDescent="0.25">
      <c r="A69" s="11"/>
      <c r="B69" s="11" t="s">
        <v>27</v>
      </c>
      <c r="C69" s="11" t="s">
        <v>5900</v>
      </c>
      <c r="D69" s="11" t="s">
        <v>5901</v>
      </c>
      <c r="E69" s="11" t="s">
        <v>5902</v>
      </c>
      <c r="F69" s="11" t="s">
        <v>118</v>
      </c>
      <c r="G69" s="12">
        <v>1730</v>
      </c>
      <c r="H69" s="12">
        <v>20</v>
      </c>
      <c r="I69" s="12">
        <f t="shared" si="4"/>
        <v>1710</v>
      </c>
      <c r="J69" s="11" t="s">
        <v>119</v>
      </c>
      <c r="K69" s="11" t="s">
        <v>33</v>
      </c>
      <c r="L69" s="11" t="s">
        <v>5800</v>
      </c>
      <c r="M69" s="11"/>
      <c r="N69" s="11"/>
      <c r="O69" s="11"/>
      <c r="P69" s="11"/>
      <c r="Q69" s="11">
        <v>1</v>
      </c>
    </row>
    <row r="70" spans="1:18" s="15" customFormat="1" x14ac:dyDescent="0.25">
      <c r="A70" s="13"/>
      <c r="B70" s="13" t="s">
        <v>27</v>
      </c>
      <c r="C70" s="13" t="s">
        <v>1930</v>
      </c>
      <c r="D70" s="13" t="s">
        <v>5907</v>
      </c>
      <c r="E70" s="13" t="s">
        <v>1932</v>
      </c>
      <c r="F70" s="14">
        <v>5</v>
      </c>
      <c r="G70" s="14">
        <v>25</v>
      </c>
      <c r="H70" s="14">
        <v>25</v>
      </c>
      <c r="I70" s="14">
        <f t="shared" si="4"/>
        <v>0</v>
      </c>
      <c r="J70" s="13" t="s">
        <v>119</v>
      </c>
      <c r="K70" s="13" t="s">
        <v>33</v>
      </c>
      <c r="L70" s="13" t="s">
        <v>5800</v>
      </c>
      <c r="M70" s="13" t="s">
        <v>100</v>
      </c>
      <c r="N70" s="13"/>
      <c r="O70" s="13"/>
      <c r="P70" s="13"/>
      <c r="Q70" s="13">
        <v>1</v>
      </c>
    </row>
    <row r="71" spans="1:18" x14ac:dyDescent="0.25">
      <c r="A71" s="11"/>
      <c r="B71" s="11" t="s">
        <v>27</v>
      </c>
      <c r="C71" s="11" t="s">
        <v>5912</v>
      </c>
      <c r="D71" s="11" t="s">
        <v>5913</v>
      </c>
      <c r="E71" s="11" t="s">
        <v>4621</v>
      </c>
      <c r="F71" s="12">
        <v>4</v>
      </c>
      <c r="G71" s="12">
        <v>785</v>
      </c>
      <c r="H71" s="12">
        <v>25</v>
      </c>
      <c r="I71" s="12">
        <f t="shared" si="4"/>
        <v>760</v>
      </c>
      <c r="J71" s="11" t="s">
        <v>119</v>
      </c>
      <c r="K71" s="11" t="s">
        <v>33</v>
      </c>
      <c r="L71" s="11" t="s">
        <v>5800</v>
      </c>
      <c r="M71" s="11"/>
      <c r="N71" s="11"/>
      <c r="O71" s="11"/>
      <c r="P71" s="11"/>
      <c r="Q71" s="11">
        <v>1</v>
      </c>
    </row>
    <row r="72" spans="1:18" x14ac:dyDescent="0.25">
      <c r="A72" s="11"/>
      <c r="B72" s="11" t="s">
        <v>27</v>
      </c>
      <c r="C72" s="11" t="s">
        <v>5921</v>
      </c>
      <c r="D72" s="11" t="s">
        <v>5922</v>
      </c>
      <c r="E72" s="11" t="s">
        <v>5923</v>
      </c>
      <c r="F72" s="12">
        <v>5</v>
      </c>
      <c r="G72" s="12">
        <v>455</v>
      </c>
      <c r="H72" s="12">
        <v>25</v>
      </c>
      <c r="I72" s="12">
        <f t="shared" si="4"/>
        <v>430</v>
      </c>
      <c r="J72" s="11" t="s">
        <v>119</v>
      </c>
      <c r="K72" s="11" t="s">
        <v>33</v>
      </c>
      <c r="L72" s="11" t="s">
        <v>5800</v>
      </c>
      <c r="M72" s="11"/>
      <c r="N72" s="11"/>
      <c r="O72" s="11"/>
      <c r="P72" s="11"/>
      <c r="Q72" s="11">
        <v>1</v>
      </c>
    </row>
    <row r="73" spans="1:18" x14ac:dyDescent="0.25">
      <c r="A73" s="11"/>
      <c r="B73" s="11" t="s">
        <v>27</v>
      </c>
      <c r="C73" s="11" t="s">
        <v>5938</v>
      </c>
      <c r="D73" s="11" t="s">
        <v>5939</v>
      </c>
      <c r="E73" s="11" t="s">
        <v>5940</v>
      </c>
      <c r="F73" s="12">
        <v>3</v>
      </c>
      <c r="G73" s="12">
        <v>3180</v>
      </c>
      <c r="H73" s="12">
        <v>35</v>
      </c>
      <c r="I73" s="12">
        <f t="shared" si="4"/>
        <v>3145</v>
      </c>
      <c r="J73" s="11" t="s">
        <v>119</v>
      </c>
      <c r="K73" s="11" t="s">
        <v>33</v>
      </c>
      <c r="L73" s="11" t="s">
        <v>5800</v>
      </c>
      <c r="M73" s="11"/>
      <c r="N73" s="11"/>
      <c r="O73" s="11"/>
      <c r="P73" s="11"/>
      <c r="Q73" s="11">
        <v>1</v>
      </c>
    </row>
    <row r="74" spans="1:18" x14ac:dyDescent="0.25">
      <c r="A74" s="11"/>
      <c r="B74" s="11" t="s">
        <v>27</v>
      </c>
      <c r="C74" s="11" t="s">
        <v>5947</v>
      </c>
      <c r="D74" s="11" t="s">
        <v>5948</v>
      </c>
      <c r="E74" s="11" t="s">
        <v>5949</v>
      </c>
      <c r="F74" s="12">
        <v>1</v>
      </c>
      <c r="G74" s="12">
        <v>1095</v>
      </c>
      <c r="H74" s="12">
        <v>25</v>
      </c>
      <c r="I74" s="12">
        <f t="shared" si="4"/>
        <v>1070</v>
      </c>
      <c r="J74" s="11" t="s">
        <v>119</v>
      </c>
      <c r="K74" s="11" t="s">
        <v>33</v>
      </c>
      <c r="L74" s="11" t="s">
        <v>5800</v>
      </c>
      <c r="M74" s="11"/>
      <c r="N74" s="11"/>
      <c r="O74" s="11"/>
      <c r="P74" s="11"/>
      <c r="Q74" s="11">
        <v>1</v>
      </c>
    </row>
    <row r="75" spans="1:18" x14ac:dyDescent="0.25">
      <c r="A75" s="11"/>
      <c r="B75" s="11" t="s">
        <v>27</v>
      </c>
      <c r="C75" s="11" t="s">
        <v>5956</v>
      </c>
      <c r="D75" s="11" t="s">
        <v>5957</v>
      </c>
      <c r="E75" s="11" t="s">
        <v>5958</v>
      </c>
      <c r="F75" s="12">
        <v>5</v>
      </c>
      <c r="G75" s="12">
        <v>0</v>
      </c>
      <c r="H75" s="12">
        <v>25</v>
      </c>
      <c r="I75" s="12">
        <f t="shared" si="4"/>
        <v>-25</v>
      </c>
      <c r="J75" s="11" t="s">
        <v>119</v>
      </c>
      <c r="K75" s="11" t="s">
        <v>33</v>
      </c>
      <c r="L75" s="11" t="s">
        <v>5800</v>
      </c>
      <c r="M75" s="11"/>
      <c r="N75" s="11"/>
      <c r="O75" s="11"/>
      <c r="P75" s="11"/>
      <c r="Q75" s="11">
        <v>1</v>
      </c>
    </row>
    <row r="76" spans="1:18" x14ac:dyDescent="0.25">
      <c r="A76" s="11"/>
      <c r="B76" s="11" t="s">
        <v>27</v>
      </c>
      <c r="C76" s="11" t="s">
        <v>5600</v>
      </c>
      <c r="D76" s="11" t="s">
        <v>5959</v>
      </c>
      <c r="E76" s="11" t="s">
        <v>5602</v>
      </c>
      <c r="F76" s="11" t="s">
        <v>44</v>
      </c>
      <c r="G76" s="12">
        <v>1138</v>
      </c>
      <c r="H76" s="12">
        <v>25</v>
      </c>
      <c r="I76" s="12">
        <f t="shared" si="4"/>
        <v>1113</v>
      </c>
      <c r="J76" s="11" t="s">
        <v>119</v>
      </c>
      <c r="K76" s="11" t="s">
        <v>33</v>
      </c>
      <c r="L76" s="11" t="s">
        <v>5800</v>
      </c>
      <c r="M76" s="24" t="s">
        <v>340</v>
      </c>
      <c r="N76" s="11"/>
      <c r="O76" s="11"/>
      <c r="P76" s="11"/>
      <c r="Q76" s="11">
        <v>1</v>
      </c>
      <c r="R76" s="5">
        <f>H76</f>
        <v>25</v>
      </c>
    </row>
    <row r="77" spans="1:18" s="2" customFormat="1" x14ac:dyDescent="0.25">
      <c r="A77" s="16"/>
      <c r="B77" s="16" t="s">
        <v>27</v>
      </c>
      <c r="C77" s="16" t="s">
        <v>5926</v>
      </c>
      <c r="D77" s="16" t="s">
        <v>5927</v>
      </c>
      <c r="E77" s="16" t="s">
        <v>5928</v>
      </c>
      <c r="F77" s="16" t="s">
        <v>996</v>
      </c>
      <c r="G77" s="17">
        <v>150</v>
      </c>
      <c r="H77" s="17">
        <v>0</v>
      </c>
      <c r="I77" s="17">
        <f t="shared" si="4"/>
        <v>150</v>
      </c>
      <c r="J77" s="16" t="s">
        <v>153</v>
      </c>
      <c r="K77" s="16" t="s">
        <v>33</v>
      </c>
      <c r="L77" s="16" t="s">
        <v>5800</v>
      </c>
      <c r="M77" s="16" t="s">
        <v>997</v>
      </c>
      <c r="N77" s="16" t="s">
        <v>156</v>
      </c>
      <c r="O77" s="16"/>
      <c r="P77" s="16" t="s">
        <v>157</v>
      </c>
      <c r="Q77" s="16">
        <v>1</v>
      </c>
    </row>
    <row r="79" spans="1:18" x14ac:dyDescent="0.25">
      <c r="D79" s="1">
        <f>COUNTA(D3:D77)</f>
        <v>73</v>
      </c>
      <c r="G79" s="1">
        <f t="shared" ref="G79:Q79" si="5">SUBTOTAL(9,G3:G77)</f>
        <v>59423</v>
      </c>
      <c r="H79" s="1">
        <f t="shared" si="5"/>
        <v>2020</v>
      </c>
      <c r="I79" s="1">
        <f>SUBTOTAL(9,I3:I77)</f>
        <v>57403</v>
      </c>
      <c r="J79" s="1">
        <f t="shared" si="5"/>
        <v>0</v>
      </c>
      <c r="K79" s="1">
        <f t="shared" si="5"/>
        <v>0</v>
      </c>
      <c r="L79" s="1">
        <f t="shared" si="5"/>
        <v>0</v>
      </c>
      <c r="M79" s="1">
        <f t="shared" si="5"/>
        <v>0</v>
      </c>
      <c r="N79" s="1">
        <f t="shared" si="5"/>
        <v>0</v>
      </c>
      <c r="O79" s="1">
        <f t="shared" si="5"/>
        <v>0</v>
      </c>
      <c r="P79" s="1">
        <f t="shared" si="5"/>
        <v>0</v>
      </c>
      <c r="Q79" s="1">
        <f t="shared" si="5"/>
        <v>75</v>
      </c>
    </row>
    <row r="80" spans="1:18" x14ac:dyDescent="0.25">
      <c r="H80">
        <f>-14*17</f>
        <v>-238</v>
      </c>
    </row>
    <row r="81" spans="1:16" x14ac:dyDescent="0.25">
      <c r="A81" s="1" t="s">
        <v>27</v>
      </c>
      <c r="C81" s="60" t="s">
        <v>158</v>
      </c>
      <c r="D81" s="60"/>
      <c r="E81" s="4" t="s">
        <v>159</v>
      </c>
      <c r="H81">
        <f>-20*25</f>
        <v>-500</v>
      </c>
      <c r="K81" s="6" t="s">
        <v>5798</v>
      </c>
      <c r="L81" s="6" t="s">
        <v>160</v>
      </c>
      <c r="M81" s="6" t="s">
        <v>159</v>
      </c>
      <c r="O81" s="4" t="s">
        <v>161</v>
      </c>
    </row>
    <row r="82" spans="1:16" x14ac:dyDescent="0.25">
      <c r="A82" t="s">
        <v>5800</v>
      </c>
      <c r="B82" s="3" t="s">
        <v>162</v>
      </c>
      <c r="C82" s="61">
        <f>SUMIFS(I$3:I$77,B$3:B$77,A$81,L$3:L$77,A$82)</f>
        <v>57403</v>
      </c>
      <c r="D82" s="61"/>
      <c r="E82" s="3">
        <f>SUMIFS(Q$3:Q$77,B$3:B$77,A$81,L$3:L$77,A$82)</f>
        <v>75</v>
      </c>
      <c r="F82" t="s">
        <v>163</v>
      </c>
      <c r="H82">
        <f>-1*30</f>
        <v>-30</v>
      </c>
      <c r="K82" t="s">
        <v>164</v>
      </c>
      <c r="L82">
        <f>SUMIFS(G$3:G$77,J$3:J$77,K$81)</f>
        <v>26230</v>
      </c>
      <c r="M82">
        <f>SUMIFS(Q$3:Q$77,J$3:J$77,K$81)-INT(COUNTIFS(J$3:J$77,K$81,M$3:M$77,"*gộp*")/2)</f>
        <v>35</v>
      </c>
      <c r="O82" t="s">
        <v>5983</v>
      </c>
      <c r="P82">
        <f>L87</f>
        <v>25462</v>
      </c>
    </row>
    <row r="83" spans="1:16" x14ac:dyDescent="0.25">
      <c r="B83" s="2" t="s">
        <v>166</v>
      </c>
      <c r="C83" s="62">
        <v>0</v>
      </c>
      <c r="D83" s="62"/>
      <c r="K83" t="s">
        <v>167</v>
      </c>
      <c r="L83">
        <f>SUM(H80:H82)</f>
        <v>-768</v>
      </c>
      <c r="M83">
        <f>SUMIFS(Q$3:Q$77,J$3:J$77,K$81)-INT(COUNTIFS(J$3:J$77,K$81,M$3:M$77,"*gộp*")/2)</f>
        <v>35</v>
      </c>
      <c r="O83" t="s">
        <v>119</v>
      </c>
      <c r="P83">
        <f>L95</f>
        <v>17076</v>
      </c>
    </row>
    <row r="84" spans="1:16" x14ac:dyDescent="0.25">
      <c r="B84" s="2" t="s">
        <v>168</v>
      </c>
      <c r="C84" s="62">
        <f>-SUMIFS(I$3:I$77,B$3:B$77,A$81,P$3:P$77,"xx",N$3:N$77,"x")</f>
        <v>-150</v>
      </c>
      <c r="D84" s="62"/>
      <c r="E84" s="2">
        <f>SUMIFS(Q$3:Q$77,B$3:B$77,A$81,P$3:P$77,"xx",N$3:N$77,"x")</f>
        <v>1</v>
      </c>
      <c r="K84" t="s">
        <v>169</v>
      </c>
      <c r="L84">
        <f>-M84*2</f>
        <v>0</v>
      </c>
      <c r="M84">
        <f>COUNTIFS(K$3:K$77,K$81,L$3:L$77,A$82)-(COUNTIFS(K$3:K$77,K$81,M$3:M$77,"*gộp*")/2)-COUNTIFS(K$3:K$77,K$81,M$3:M$77,"*đơn trả*")-COUNTIFS(K$3:K$77,K$81,M$3:M$77,"*hàng tỉnh*")</f>
        <v>0</v>
      </c>
      <c r="O84" t="s">
        <v>33</v>
      </c>
      <c r="P84">
        <f>L103</f>
        <v>15024</v>
      </c>
    </row>
    <row r="85" spans="1:16" x14ac:dyDescent="0.25">
      <c r="B85" s="4" t="s">
        <v>170</v>
      </c>
      <c r="C85" s="60">
        <f>SUBTOTAL(9,C82:C84)</f>
        <v>57253</v>
      </c>
      <c r="D85" s="60"/>
      <c r="E85">
        <f>E82</f>
        <v>75</v>
      </c>
      <c r="K85" s="7" t="s">
        <v>155</v>
      </c>
      <c r="O85" t="s">
        <v>171</v>
      </c>
      <c r="P85">
        <f>-C89</f>
        <v>-57253</v>
      </c>
    </row>
    <row r="86" spans="1:16" x14ac:dyDescent="0.25">
      <c r="B86" s="2" t="s">
        <v>172</v>
      </c>
      <c r="C86" s="58"/>
      <c r="D86" s="58"/>
      <c r="K86" s="2" t="s">
        <v>173</v>
      </c>
      <c r="O86" s="4" t="s">
        <v>174</v>
      </c>
      <c r="P86" s="4">
        <f>SUBTOTAL(9,P82:P85)</f>
        <v>309</v>
      </c>
    </row>
    <row r="87" spans="1:16" x14ac:dyDescent="0.25">
      <c r="B87" s="8" t="s">
        <v>175</v>
      </c>
      <c r="C87" s="58"/>
      <c r="D87" s="58"/>
      <c r="L87" s="9">
        <f>SUBTOTAL(9,L82:L86)</f>
        <v>25462</v>
      </c>
      <c r="M87" s="9">
        <f>M82</f>
        <v>35</v>
      </c>
    </row>
    <row r="89" spans="1:16" x14ac:dyDescent="0.25">
      <c r="B89" s="1" t="s">
        <v>176</v>
      </c>
      <c r="C89" s="59">
        <f>C85+C86+C87</f>
        <v>57253</v>
      </c>
      <c r="D89" s="59"/>
      <c r="E89" s="1" t="s">
        <v>177</v>
      </c>
      <c r="K89" s="6" t="s">
        <v>119</v>
      </c>
      <c r="L89" s="6" t="s">
        <v>160</v>
      </c>
      <c r="M89" s="6" t="s">
        <v>159</v>
      </c>
    </row>
    <row r="90" spans="1:16" x14ac:dyDescent="0.25">
      <c r="K90" t="s">
        <v>164</v>
      </c>
      <c r="L90">
        <f>SUMIFS(G$3:G$77,J$3:J$77,K$89)</f>
        <v>17441</v>
      </c>
      <c r="M90">
        <f>SUMIFS(Q$3:Q$77,J$3:J$77,K$89)-INT(COUNTIFS(J$3:J$77,K$89,M$3:M$77,"*gộp*")/2)</f>
        <v>18</v>
      </c>
    </row>
    <row r="91" spans="1:16" x14ac:dyDescent="0.25">
      <c r="K91" t="s">
        <v>167</v>
      </c>
      <c r="L91">
        <f>-SUMIFS(H$3:H$77,J$3:J$77,K$89)+M91*5</f>
        <v>-365</v>
      </c>
      <c r="M91">
        <f>SUMIFS(Q$3:Q$77,J$3:J$77,K$89)-INT(COUNTIFS(J$3:J$77,K$89,M$3:M$77,"*gộp*")/2)</f>
        <v>18</v>
      </c>
    </row>
    <row r="92" spans="1:16" x14ac:dyDescent="0.25">
      <c r="K92" t="s">
        <v>169</v>
      </c>
      <c r="L92">
        <f>-M92*2</f>
        <v>0</v>
      </c>
      <c r="M92">
        <f>COUNTIFS(K$3:K$77,K$89,L$3:L$77,A$82)-(COUNTIFS(K$3:K$77,K$89,M$3:M$77,"*gộp*")/2)-COUNTIFS(K$3:K$77,K$89,M$3:M$77,"*đơn trả*")-COUNTIFS(K$3:K$77,K$89,M$3:M$77,"*hàng tỉnh*")</f>
        <v>0</v>
      </c>
    </row>
    <row r="93" spans="1:16" x14ac:dyDescent="0.25">
      <c r="K93" s="7" t="s">
        <v>155</v>
      </c>
    </row>
    <row r="94" spans="1:16" x14ac:dyDescent="0.25">
      <c r="K94" s="2" t="s">
        <v>173</v>
      </c>
    </row>
    <row r="95" spans="1:16" x14ac:dyDescent="0.25">
      <c r="L95" s="9">
        <f>SUBTOTAL(9,L90:L94)</f>
        <v>17076</v>
      </c>
      <c r="M95" s="9">
        <f>M90</f>
        <v>18</v>
      </c>
    </row>
    <row r="97" spans="11:13" x14ac:dyDescent="0.25">
      <c r="K97" s="6" t="s">
        <v>33</v>
      </c>
      <c r="L97" s="6" t="s">
        <v>160</v>
      </c>
      <c r="M97" s="6" t="s">
        <v>159</v>
      </c>
    </row>
    <row r="98" spans="11:13" x14ac:dyDescent="0.25">
      <c r="K98" t="s">
        <v>164</v>
      </c>
      <c r="L98">
        <f>SUMIFS(G$3:G$77,J$3:J$77,K$97)</f>
        <v>15602</v>
      </c>
      <c r="M98">
        <f>SUMIFS(Q$3:Q$77,J$3:J$77,K$97)-INT(COUNTIFS(J$3:J$77,K$97,M$3:M$77,"*gộp*")/2)</f>
        <v>21</v>
      </c>
    </row>
    <row r="99" spans="11:13" x14ac:dyDescent="0.25">
      <c r="K99" t="s">
        <v>167</v>
      </c>
      <c r="L99">
        <f>-SUMIFS(H$3:H$77,J$3:J$77,K$97)+M99*5</f>
        <v>-430</v>
      </c>
      <c r="M99">
        <f>SUMIFS(Q$3:Q$77,J$3:J$77,K$97)-INT(COUNTIFS(J$3:J$77,K$97,M$3:M$77,"*gộp*")/2)</f>
        <v>21</v>
      </c>
    </row>
    <row r="100" spans="11:13" x14ac:dyDescent="0.25">
      <c r="K100" t="s">
        <v>169</v>
      </c>
      <c r="L100">
        <f>-M100*2</f>
        <v>-148</v>
      </c>
      <c r="M100">
        <f>COUNTIFS(K$3:K$77,K$97,L$3:L$77,A$82)-(COUNTIFS(K$3:K$77,K$97,M$3:M$77,"*gộp*")/2)-COUNTIFS(K$3:K$77,K$97,M$3:M$77,"*đơn trả*")-COUNTIFS(K$3:K$77,K$97,M$3:M$77,"*hàng tỉnh*")</f>
        <v>74</v>
      </c>
    </row>
    <row r="101" spans="11:13" x14ac:dyDescent="0.25">
      <c r="K101" s="7" t="s">
        <v>155</v>
      </c>
    </row>
    <row r="102" spans="11:13" x14ac:dyDescent="0.25">
      <c r="K102" s="2" t="s">
        <v>173</v>
      </c>
    </row>
    <row r="103" spans="11:13" x14ac:dyDescent="0.25">
      <c r="L103" s="9">
        <f>SUBTOTAL(9,L98:L102)</f>
        <v>15024</v>
      </c>
      <c r="M103" s="9">
        <f>M98</f>
        <v>21</v>
      </c>
    </row>
  </sheetData>
  <autoFilter ref="A2:P77" xr:uid="{00000000-0009-0000-0000-000000000000}">
    <sortState xmlns:xlrd2="http://schemas.microsoft.com/office/spreadsheetml/2017/richdata2" ref="A3:P77">
      <sortCondition ref="J2:J77"/>
    </sortState>
  </autoFilter>
  <mergeCells count="8">
    <mergeCell ref="C87:D87"/>
    <mergeCell ref="C89:D89"/>
    <mergeCell ref="C81:D81"/>
    <mergeCell ref="C82:D82"/>
    <mergeCell ref="C83:D83"/>
    <mergeCell ref="C84:D84"/>
    <mergeCell ref="C85:D85"/>
    <mergeCell ref="C86:D86"/>
  </mergeCells>
  <pageMargins left="0.75" right="0.75" top="0.75" bottom="0.5" header="0.5" footer="0.7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D796-754C-442C-AA2A-324CDF00371B}">
  <dimension ref="A2:R63"/>
  <sheetViews>
    <sheetView topLeftCell="B10" workbookViewId="0">
      <selection activeCell="J38" sqref="J38"/>
    </sheetView>
  </sheetViews>
  <sheetFormatPr defaultRowHeight="15" x14ac:dyDescent="0.25"/>
  <cols>
    <col min="1" max="1" width="12.7109375" customWidth="1"/>
    <col min="2" max="2" width="9" customWidth="1"/>
    <col min="3" max="3" width="30.85546875" customWidth="1"/>
    <col min="4" max="4" width="9.85546875" customWidth="1"/>
    <col min="5" max="5" width="83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/>
    </row>
    <row r="3" spans="1:18" x14ac:dyDescent="0.25">
      <c r="A3" s="11"/>
      <c r="B3" s="11" t="s">
        <v>27</v>
      </c>
      <c r="C3" s="11" t="s">
        <v>374</v>
      </c>
      <c r="D3" s="11" t="s">
        <v>5984</v>
      </c>
      <c r="E3" s="11" t="s">
        <v>376</v>
      </c>
      <c r="F3" s="12">
        <v>8</v>
      </c>
      <c r="G3" s="12">
        <v>1090</v>
      </c>
      <c r="H3" s="12">
        <v>30</v>
      </c>
      <c r="I3" s="12">
        <f t="shared" ref="I3:I37" si="0">G3-H3</f>
        <v>1060</v>
      </c>
      <c r="J3" s="11" t="s">
        <v>5798</v>
      </c>
      <c r="K3" s="11" t="s">
        <v>33</v>
      </c>
      <c r="L3" s="11" t="s">
        <v>5800</v>
      </c>
      <c r="M3" s="11"/>
      <c r="N3" s="11"/>
      <c r="O3" s="11"/>
      <c r="P3" s="11"/>
      <c r="Q3" s="11">
        <v>1</v>
      </c>
    </row>
    <row r="4" spans="1:18" x14ac:dyDescent="0.25">
      <c r="A4" s="11"/>
      <c r="B4" s="11" t="s">
        <v>27</v>
      </c>
      <c r="C4" s="11" t="s">
        <v>5990</v>
      </c>
      <c r="D4" s="11" t="s">
        <v>5991</v>
      </c>
      <c r="E4" s="11" t="s">
        <v>5992</v>
      </c>
      <c r="F4" s="11" t="s">
        <v>44</v>
      </c>
      <c r="G4" s="12">
        <v>925</v>
      </c>
      <c r="H4" s="12">
        <v>25</v>
      </c>
      <c r="I4" s="12">
        <f t="shared" si="0"/>
        <v>900</v>
      </c>
      <c r="J4" s="11" t="s">
        <v>5798</v>
      </c>
      <c r="K4" s="11" t="s">
        <v>33</v>
      </c>
      <c r="L4" s="11" t="s">
        <v>5800</v>
      </c>
      <c r="M4" s="11"/>
      <c r="N4" s="11"/>
      <c r="O4" s="11"/>
      <c r="P4" s="11"/>
      <c r="Q4" s="11">
        <v>1</v>
      </c>
    </row>
    <row r="5" spans="1:18" x14ac:dyDescent="0.25">
      <c r="A5" s="11"/>
      <c r="B5" s="11" t="s">
        <v>27</v>
      </c>
      <c r="C5" s="11" t="s">
        <v>5996</v>
      </c>
      <c r="D5" s="11" t="s">
        <v>5997</v>
      </c>
      <c r="E5" s="11" t="s">
        <v>5998</v>
      </c>
      <c r="F5" s="12">
        <v>7</v>
      </c>
      <c r="G5" s="12">
        <v>710</v>
      </c>
      <c r="H5" s="12">
        <v>30</v>
      </c>
      <c r="I5" s="12">
        <f t="shared" si="0"/>
        <v>680</v>
      </c>
      <c r="J5" s="11" t="s">
        <v>5798</v>
      </c>
      <c r="K5" s="11" t="s">
        <v>33</v>
      </c>
      <c r="L5" s="11" t="s">
        <v>5800</v>
      </c>
      <c r="M5" s="11"/>
      <c r="N5" s="11"/>
      <c r="O5" s="11"/>
      <c r="P5" s="11"/>
      <c r="Q5" s="11">
        <v>1</v>
      </c>
    </row>
    <row r="6" spans="1:18" x14ac:dyDescent="0.25">
      <c r="A6" s="11"/>
      <c r="B6" s="11" t="s">
        <v>27</v>
      </c>
      <c r="C6" s="11" t="s">
        <v>4937</v>
      </c>
      <c r="D6" s="11" t="s">
        <v>6018</v>
      </c>
      <c r="E6" s="11" t="s">
        <v>6019</v>
      </c>
      <c r="F6" s="12">
        <v>7</v>
      </c>
      <c r="G6" s="12">
        <v>2160</v>
      </c>
      <c r="H6" s="12">
        <v>30</v>
      </c>
      <c r="I6" s="12">
        <f t="shared" si="0"/>
        <v>2130</v>
      </c>
      <c r="J6" s="11" t="s">
        <v>5798</v>
      </c>
      <c r="K6" s="11" t="s">
        <v>33</v>
      </c>
      <c r="L6" s="11" t="s">
        <v>5800</v>
      </c>
      <c r="M6" s="11"/>
      <c r="N6" s="11"/>
      <c r="O6" s="11"/>
      <c r="P6" s="11"/>
      <c r="Q6" s="11">
        <v>1</v>
      </c>
    </row>
    <row r="7" spans="1:18" x14ac:dyDescent="0.25">
      <c r="A7" s="11"/>
      <c r="B7" s="11" t="s">
        <v>27</v>
      </c>
      <c r="C7" s="11" t="s">
        <v>6023</v>
      </c>
      <c r="D7" s="11" t="s">
        <v>6024</v>
      </c>
      <c r="E7" s="11" t="s">
        <v>6025</v>
      </c>
      <c r="F7" s="11" t="s">
        <v>104</v>
      </c>
      <c r="G7" s="12">
        <v>0</v>
      </c>
      <c r="H7" s="12">
        <v>30</v>
      </c>
      <c r="I7" s="12">
        <f t="shared" si="0"/>
        <v>-30</v>
      </c>
      <c r="J7" s="11" t="s">
        <v>5798</v>
      </c>
      <c r="K7" s="11" t="s">
        <v>33</v>
      </c>
      <c r="L7" s="11" t="s">
        <v>5800</v>
      </c>
      <c r="M7" s="11"/>
      <c r="N7" s="11"/>
      <c r="O7" s="11"/>
      <c r="P7" s="11"/>
      <c r="Q7" s="11">
        <v>1</v>
      </c>
      <c r="R7" s="5">
        <f>H7</f>
        <v>30</v>
      </c>
    </row>
    <row r="8" spans="1:18" x14ac:dyDescent="0.25">
      <c r="A8" s="11"/>
      <c r="B8" s="11" t="s">
        <v>27</v>
      </c>
      <c r="C8" s="11" t="s">
        <v>6033</v>
      </c>
      <c r="D8" s="11" t="s">
        <v>6034</v>
      </c>
      <c r="E8" s="11" t="s">
        <v>61</v>
      </c>
      <c r="F8" s="11" t="s">
        <v>48</v>
      </c>
      <c r="G8" s="12">
        <v>220</v>
      </c>
      <c r="H8" s="12">
        <v>30</v>
      </c>
      <c r="I8" s="12">
        <f t="shared" si="0"/>
        <v>190</v>
      </c>
      <c r="J8" s="11" t="s">
        <v>5798</v>
      </c>
      <c r="K8" s="11" t="s">
        <v>33</v>
      </c>
      <c r="L8" s="11" t="s">
        <v>5800</v>
      </c>
      <c r="M8" s="11"/>
      <c r="N8" s="11"/>
      <c r="O8" s="11"/>
      <c r="P8" s="11"/>
      <c r="Q8" s="11">
        <v>1</v>
      </c>
    </row>
    <row r="9" spans="1:18" x14ac:dyDescent="0.25">
      <c r="A9" s="11"/>
      <c r="B9" s="11" t="s">
        <v>27</v>
      </c>
      <c r="C9" s="11" t="s">
        <v>6049</v>
      </c>
      <c r="D9" s="11" t="s">
        <v>6050</v>
      </c>
      <c r="E9" s="11" t="s">
        <v>6051</v>
      </c>
      <c r="F9" s="11" t="s">
        <v>444</v>
      </c>
      <c r="G9" s="12">
        <v>1075</v>
      </c>
      <c r="H9" s="12">
        <v>35</v>
      </c>
      <c r="I9" s="12">
        <f t="shared" si="0"/>
        <v>1040</v>
      </c>
      <c r="J9" s="11" t="s">
        <v>5798</v>
      </c>
      <c r="K9" s="11" t="s">
        <v>33</v>
      </c>
      <c r="L9" s="11" t="s">
        <v>5800</v>
      </c>
      <c r="M9" s="11"/>
      <c r="N9" s="11"/>
      <c r="O9" s="11"/>
      <c r="P9" s="11"/>
      <c r="Q9" s="11">
        <v>1</v>
      </c>
    </row>
    <row r="10" spans="1:18" x14ac:dyDescent="0.25">
      <c r="A10" s="11"/>
      <c r="B10" s="11" t="s">
        <v>27</v>
      </c>
      <c r="C10" s="11" t="s">
        <v>2955</v>
      </c>
      <c r="D10" s="11" t="s">
        <v>6058</v>
      </c>
      <c r="E10" s="11" t="s">
        <v>5058</v>
      </c>
      <c r="F10" s="11" t="s">
        <v>78</v>
      </c>
      <c r="G10" s="12">
        <v>660</v>
      </c>
      <c r="H10" s="12">
        <v>20</v>
      </c>
      <c r="I10" s="12">
        <f t="shared" si="0"/>
        <v>640</v>
      </c>
      <c r="J10" s="11" t="s">
        <v>5798</v>
      </c>
      <c r="K10" s="11" t="s">
        <v>33</v>
      </c>
      <c r="L10" s="11" t="s">
        <v>5800</v>
      </c>
      <c r="M10" s="11"/>
      <c r="N10" s="11"/>
      <c r="O10" s="11"/>
      <c r="P10" s="11"/>
      <c r="Q10" s="11">
        <v>1</v>
      </c>
    </row>
    <row r="11" spans="1:18" s="15" customFormat="1" x14ac:dyDescent="0.25">
      <c r="A11" s="13"/>
      <c r="B11" s="13" t="s">
        <v>27</v>
      </c>
      <c r="C11" s="13" t="s">
        <v>5325</v>
      </c>
      <c r="D11" s="13" t="s">
        <v>6062</v>
      </c>
      <c r="E11" s="13" t="s">
        <v>5327</v>
      </c>
      <c r="F11" s="13" t="s">
        <v>48</v>
      </c>
      <c r="G11" s="14">
        <v>0</v>
      </c>
      <c r="H11" s="14">
        <v>30</v>
      </c>
      <c r="I11" s="14">
        <f t="shared" si="0"/>
        <v>-30</v>
      </c>
      <c r="J11" s="13" t="s">
        <v>5798</v>
      </c>
      <c r="K11" s="13" t="s">
        <v>33</v>
      </c>
      <c r="L11" s="13" t="s">
        <v>5800</v>
      </c>
      <c r="M11" s="13" t="s">
        <v>100</v>
      </c>
      <c r="N11" s="13"/>
      <c r="O11" s="13"/>
      <c r="P11" s="13"/>
      <c r="Q11" s="13">
        <v>1</v>
      </c>
      <c r="R11" s="19">
        <f>H11</f>
        <v>30</v>
      </c>
    </row>
    <row r="12" spans="1:18" x14ac:dyDescent="0.25">
      <c r="A12" s="11"/>
      <c r="B12" s="11" t="s">
        <v>27</v>
      </c>
      <c r="C12" s="11" t="s">
        <v>5987</v>
      </c>
      <c r="D12" s="11" t="s">
        <v>5988</v>
      </c>
      <c r="E12" s="11" t="s">
        <v>67</v>
      </c>
      <c r="F12" s="11" t="s">
        <v>68</v>
      </c>
      <c r="G12" s="12">
        <v>1148</v>
      </c>
      <c r="H12" s="12">
        <v>25</v>
      </c>
      <c r="I12" s="12">
        <f t="shared" si="0"/>
        <v>1123</v>
      </c>
      <c r="J12" s="11" t="s">
        <v>33</v>
      </c>
      <c r="K12" s="11" t="s">
        <v>33</v>
      </c>
      <c r="L12" s="11" t="s">
        <v>5800</v>
      </c>
      <c r="M12" s="24" t="s">
        <v>340</v>
      </c>
      <c r="N12" s="11"/>
      <c r="O12" s="11"/>
      <c r="P12" s="11"/>
      <c r="Q12" s="11">
        <v>1</v>
      </c>
      <c r="R12" s="5">
        <f>H12</f>
        <v>25</v>
      </c>
    </row>
    <row r="13" spans="1:18" s="15" customFormat="1" x14ac:dyDescent="0.25">
      <c r="A13" s="13"/>
      <c r="B13" s="13" t="s">
        <v>27</v>
      </c>
      <c r="C13" s="13" t="s">
        <v>1994</v>
      </c>
      <c r="D13" s="13" t="s">
        <v>5989</v>
      </c>
      <c r="E13" s="13" t="s">
        <v>1996</v>
      </c>
      <c r="F13" s="13" t="s">
        <v>78</v>
      </c>
      <c r="G13" s="14">
        <v>0</v>
      </c>
      <c r="H13" s="14">
        <v>20</v>
      </c>
      <c r="I13" s="14">
        <f t="shared" si="0"/>
        <v>-20</v>
      </c>
      <c r="J13" s="13" t="s">
        <v>33</v>
      </c>
      <c r="K13" s="13" t="s">
        <v>33</v>
      </c>
      <c r="L13" s="13" t="s">
        <v>5800</v>
      </c>
      <c r="M13" s="13" t="s">
        <v>100</v>
      </c>
      <c r="N13" s="13"/>
      <c r="O13" s="13"/>
      <c r="P13" s="13"/>
      <c r="Q13" s="13">
        <v>1</v>
      </c>
      <c r="R13" s="19">
        <f>H13</f>
        <v>20</v>
      </c>
    </row>
    <row r="14" spans="1:18" x14ac:dyDescent="0.25">
      <c r="A14" s="11"/>
      <c r="B14" s="11" t="s">
        <v>27</v>
      </c>
      <c r="C14" s="11" t="s">
        <v>5661</v>
      </c>
      <c r="D14" s="11" t="s">
        <v>5994</v>
      </c>
      <c r="E14" s="11" t="s">
        <v>5663</v>
      </c>
      <c r="F14" s="11" t="s">
        <v>68</v>
      </c>
      <c r="G14" s="12">
        <v>298</v>
      </c>
      <c r="H14" s="12">
        <v>25</v>
      </c>
      <c r="I14" s="12">
        <f t="shared" si="0"/>
        <v>273</v>
      </c>
      <c r="J14" s="11" t="s">
        <v>33</v>
      </c>
      <c r="K14" s="11" t="s">
        <v>33</v>
      </c>
      <c r="L14" s="11" t="s">
        <v>5800</v>
      </c>
      <c r="M14" s="24" t="s">
        <v>340</v>
      </c>
      <c r="N14" s="11"/>
      <c r="O14" s="11"/>
      <c r="P14" s="11"/>
      <c r="Q14" s="11">
        <v>1</v>
      </c>
      <c r="R14" s="5">
        <f t="shared" ref="R14:R15" si="1">H14</f>
        <v>25</v>
      </c>
    </row>
    <row r="15" spans="1:18" x14ac:dyDescent="0.25">
      <c r="A15" s="11"/>
      <c r="B15" s="11" t="s">
        <v>27</v>
      </c>
      <c r="C15" s="11" t="s">
        <v>6007</v>
      </c>
      <c r="D15" s="11" t="s">
        <v>6008</v>
      </c>
      <c r="E15" s="11" t="s">
        <v>6009</v>
      </c>
      <c r="F15" s="11" t="s">
        <v>68</v>
      </c>
      <c r="G15" s="12">
        <v>158</v>
      </c>
      <c r="H15" s="12">
        <v>25</v>
      </c>
      <c r="I15" s="12">
        <f t="shared" si="0"/>
        <v>133</v>
      </c>
      <c r="J15" s="11" t="s">
        <v>33</v>
      </c>
      <c r="K15" s="11" t="s">
        <v>33</v>
      </c>
      <c r="L15" s="11" t="s">
        <v>5800</v>
      </c>
      <c r="M15" s="24" t="s">
        <v>340</v>
      </c>
      <c r="N15" s="11"/>
      <c r="O15" s="11"/>
      <c r="P15" s="11"/>
      <c r="Q15" s="11">
        <v>1</v>
      </c>
      <c r="R15" s="5">
        <f t="shared" si="1"/>
        <v>25</v>
      </c>
    </row>
    <row r="16" spans="1:18" x14ac:dyDescent="0.25">
      <c r="A16" s="11"/>
      <c r="B16" s="11" t="s">
        <v>27</v>
      </c>
      <c r="C16" s="11" t="s">
        <v>236</v>
      </c>
      <c r="D16" s="11" t="s">
        <v>6017</v>
      </c>
      <c r="E16" s="11" t="s">
        <v>238</v>
      </c>
      <c r="F16" s="12">
        <v>12</v>
      </c>
      <c r="G16" s="12">
        <v>0</v>
      </c>
      <c r="H16" s="12">
        <v>30</v>
      </c>
      <c r="I16" s="12">
        <f t="shared" si="0"/>
        <v>-30</v>
      </c>
      <c r="J16" s="11" t="s">
        <v>33</v>
      </c>
      <c r="K16" s="11" t="s">
        <v>33</v>
      </c>
      <c r="L16" s="11" t="s">
        <v>5800</v>
      </c>
      <c r="M16" s="11"/>
      <c r="N16" s="11"/>
      <c r="O16" s="11"/>
      <c r="P16" s="11"/>
      <c r="Q16" s="11">
        <v>1</v>
      </c>
      <c r="R16" s="5">
        <f>H16</f>
        <v>30</v>
      </c>
    </row>
    <row r="17" spans="1:18" x14ac:dyDescent="0.25">
      <c r="A17" s="11"/>
      <c r="B17" s="11" t="s">
        <v>27</v>
      </c>
      <c r="C17" s="11" t="s">
        <v>6020</v>
      </c>
      <c r="D17" s="11" t="s">
        <v>6021</v>
      </c>
      <c r="E17" s="11" t="s">
        <v>6022</v>
      </c>
      <c r="F17" s="11" t="s">
        <v>68</v>
      </c>
      <c r="G17" s="12">
        <v>245</v>
      </c>
      <c r="H17" s="12">
        <v>25</v>
      </c>
      <c r="I17" s="12">
        <f t="shared" si="0"/>
        <v>220</v>
      </c>
      <c r="J17" s="11" t="s">
        <v>33</v>
      </c>
      <c r="K17" s="11" t="s">
        <v>33</v>
      </c>
      <c r="L17" s="11" t="s">
        <v>5800</v>
      </c>
      <c r="M17" s="11"/>
      <c r="N17" s="11"/>
      <c r="O17" s="11"/>
      <c r="P17" s="11"/>
      <c r="Q17" s="11">
        <v>1</v>
      </c>
    </row>
    <row r="18" spans="1:18" x14ac:dyDescent="0.25">
      <c r="A18" s="11"/>
      <c r="B18" s="11" t="s">
        <v>27</v>
      </c>
      <c r="C18" s="11" t="s">
        <v>4754</v>
      </c>
      <c r="D18" s="11" t="s">
        <v>6029</v>
      </c>
      <c r="E18" s="11" t="s">
        <v>4756</v>
      </c>
      <c r="F18" s="11" t="s">
        <v>68</v>
      </c>
      <c r="G18" s="12">
        <v>265</v>
      </c>
      <c r="H18" s="12">
        <v>25</v>
      </c>
      <c r="I18" s="12">
        <f t="shared" si="0"/>
        <v>240</v>
      </c>
      <c r="J18" s="11" t="s">
        <v>33</v>
      </c>
      <c r="K18" s="11" t="s">
        <v>33</v>
      </c>
      <c r="L18" s="11" t="s">
        <v>5800</v>
      </c>
      <c r="M18" s="11"/>
      <c r="N18" s="11"/>
      <c r="O18" s="11"/>
      <c r="P18" s="11"/>
      <c r="Q18" s="11">
        <v>1</v>
      </c>
    </row>
    <row r="19" spans="1:18" x14ac:dyDescent="0.25">
      <c r="A19" s="11"/>
      <c r="B19" s="11" t="s">
        <v>27</v>
      </c>
      <c r="C19" s="11" t="s">
        <v>6030</v>
      </c>
      <c r="D19" s="11" t="s">
        <v>6031</v>
      </c>
      <c r="E19" s="11" t="s">
        <v>6032</v>
      </c>
      <c r="F19" s="11" t="s">
        <v>78</v>
      </c>
      <c r="G19" s="12">
        <v>2785</v>
      </c>
      <c r="H19" s="12">
        <v>25</v>
      </c>
      <c r="I19" s="12">
        <f t="shared" si="0"/>
        <v>2760</v>
      </c>
      <c r="J19" s="11" t="s">
        <v>33</v>
      </c>
      <c r="K19" s="11" t="s">
        <v>33</v>
      </c>
      <c r="L19" s="11" t="s">
        <v>5800</v>
      </c>
      <c r="M19" s="11"/>
      <c r="N19" s="11"/>
      <c r="O19" s="11"/>
      <c r="P19" s="11"/>
      <c r="Q19" s="11">
        <v>1</v>
      </c>
    </row>
    <row r="20" spans="1:18" x14ac:dyDescent="0.25">
      <c r="A20" s="11"/>
      <c r="B20" s="11" t="s">
        <v>27</v>
      </c>
      <c r="C20" s="11" t="s">
        <v>6038</v>
      </c>
      <c r="D20" s="11" t="s">
        <v>6039</v>
      </c>
      <c r="E20" s="11" t="s">
        <v>6040</v>
      </c>
      <c r="F20" s="11" t="s">
        <v>68</v>
      </c>
      <c r="G20" s="12">
        <v>1238</v>
      </c>
      <c r="H20" s="12">
        <v>25</v>
      </c>
      <c r="I20" s="12">
        <f t="shared" si="0"/>
        <v>1213</v>
      </c>
      <c r="J20" s="11" t="s">
        <v>33</v>
      </c>
      <c r="K20" s="11" t="s">
        <v>33</v>
      </c>
      <c r="L20" s="11" t="s">
        <v>5800</v>
      </c>
      <c r="M20" s="24" t="s">
        <v>340</v>
      </c>
      <c r="N20" s="11"/>
      <c r="O20" s="11"/>
      <c r="P20" s="11"/>
      <c r="Q20" s="11">
        <v>1</v>
      </c>
      <c r="R20" s="5">
        <f>H20</f>
        <v>25</v>
      </c>
    </row>
    <row r="21" spans="1:18" x14ac:dyDescent="0.25">
      <c r="A21" s="11"/>
      <c r="B21" s="11" t="s">
        <v>27</v>
      </c>
      <c r="C21" s="11" t="s">
        <v>6041</v>
      </c>
      <c r="D21" s="11" t="s">
        <v>6042</v>
      </c>
      <c r="E21" s="11" t="s">
        <v>5806</v>
      </c>
      <c r="F21" s="11" t="s">
        <v>68</v>
      </c>
      <c r="G21" s="12">
        <v>885</v>
      </c>
      <c r="H21" s="12">
        <v>25</v>
      </c>
      <c r="I21" s="12">
        <f t="shared" si="0"/>
        <v>860</v>
      </c>
      <c r="J21" s="11" t="s">
        <v>33</v>
      </c>
      <c r="K21" s="11" t="s">
        <v>33</v>
      </c>
      <c r="L21" s="11" t="s">
        <v>5800</v>
      </c>
      <c r="M21" s="11"/>
      <c r="N21" s="11"/>
      <c r="O21" s="11"/>
      <c r="P21" s="11"/>
      <c r="Q21" s="11">
        <v>1</v>
      </c>
    </row>
    <row r="22" spans="1:18" x14ac:dyDescent="0.25">
      <c r="A22" s="11"/>
      <c r="B22" s="11" t="s">
        <v>27</v>
      </c>
      <c r="C22" s="11" t="s">
        <v>6052</v>
      </c>
      <c r="D22" s="11" t="s">
        <v>6053</v>
      </c>
      <c r="E22" s="11" t="s">
        <v>6054</v>
      </c>
      <c r="F22" s="11" t="s">
        <v>44</v>
      </c>
      <c r="G22" s="12">
        <v>765</v>
      </c>
      <c r="H22" s="12">
        <v>25</v>
      </c>
      <c r="I22" s="12">
        <f t="shared" si="0"/>
        <v>740</v>
      </c>
      <c r="J22" s="11" t="s">
        <v>33</v>
      </c>
      <c r="K22" s="11" t="s">
        <v>33</v>
      </c>
      <c r="L22" s="11" t="s">
        <v>5800</v>
      </c>
      <c r="M22" s="11"/>
      <c r="N22" s="11"/>
      <c r="O22" s="11"/>
      <c r="P22" s="11"/>
      <c r="Q22" s="11">
        <v>1</v>
      </c>
    </row>
    <row r="23" spans="1:18" x14ac:dyDescent="0.25">
      <c r="A23" s="11"/>
      <c r="B23" s="11" t="s">
        <v>27</v>
      </c>
      <c r="C23" s="11" t="s">
        <v>6055</v>
      </c>
      <c r="D23" s="11" t="s">
        <v>6056</v>
      </c>
      <c r="E23" s="11" t="s">
        <v>6057</v>
      </c>
      <c r="F23" s="11" t="s">
        <v>68</v>
      </c>
      <c r="G23" s="12">
        <v>428</v>
      </c>
      <c r="H23" s="12">
        <v>25</v>
      </c>
      <c r="I23" s="12">
        <f t="shared" si="0"/>
        <v>403</v>
      </c>
      <c r="J23" s="11" t="s">
        <v>33</v>
      </c>
      <c r="K23" s="11" t="s">
        <v>33</v>
      </c>
      <c r="L23" s="11" t="s">
        <v>5800</v>
      </c>
      <c r="M23" s="24" t="s">
        <v>340</v>
      </c>
      <c r="N23" s="11"/>
      <c r="O23" s="11"/>
      <c r="P23" s="11"/>
      <c r="Q23" s="11">
        <v>1</v>
      </c>
      <c r="R23" s="5">
        <f>H23</f>
        <v>25</v>
      </c>
    </row>
    <row r="24" spans="1:18" x14ac:dyDescent="0.25">
      <c r="A24" s="11"/>
      <c r="B24" s="11" t="s">
        <v>27</v>
      </c>
      <c r="C24" s="11" t="s">
        <v>5985</v>
      </c>
      <c r="D24" s="11" t="s">
        <v>5986</v>
      </c>
      <c r="E24" s="11" t="s">
        <v>5892</v>
      </c>
      <c r="F24" s="11" t="s">
        <v>44</v>
      </c>
      <c r="G24" s="12">
        <v>1846</v>
      </c>
      <c r="H24" s="12">
        <v>25</v>
      </c>
      <c r="I24" s="12">
        <f t="shared" si="0"/>
        <v>1821</v>
      </c>
      <c r="J24" s="11" t="s">
        <v>119</v>
      </c>
      <c r="K24" s="11" t="s">
        <v>33</v>
      </c>
      <c r="L24" s="11" t="s">
        <v>5800</v>
      </c>
      <c r="M24" s="24" t="s">
        <v>340</v>
      </c>
      <c r="N24" s="11"/>
      <c r="O24" s="11"/>
      <c r="P24" s="11"/>
      <c r="Q24" s="11">
        <v>1</v>
      </c>
      <c r="R24" s="5">
        <f>H24</f>
        <v>25</v>
      </c>
    </row>
    <row r="25" spans="1:18" x14ac:dyDescent="0.25">
      <c r="A25" s="11"/>
      <c r="B25" s="11" t="s">
        <v>27</v>
      </c>
      <c r="C25" s="11" t="s">
        <v>5956</v>
      </c>
      <c r="D25" s="11" t="s">
        <v>5993</v>
      </c>
      <c r="E25" s="11" t="s">
        <v>5958</v>
      </c>
      <c r="F25" s="12">
        <v>5</v>
      </c>
      <c r="G25" s="12">
        <v>0</v>
      </c>
      <c r="H25" s="12">
        <v>25</v>
      </c>
      <c r="I25" s="12">
        <f t="shared" si="0"/>
        <v>-25</v>
      </c>
      <c r="J25" s="11" t="s">
        <v>119</v>
      </c>
      <c r="K25" s="11" t="s">
        <v>33</v>
      </c>
      <c r="L25" s="11" t="s">
        <v>5800</v>
      </c>
      <c r="M25" s="11"/>
      <c r="N25" s="11"/>
      <c r="O25" s="11"/>
      <c r="P25" s="11"/>
      <c r="Q25" s="11">
        <v>1</v>
      </c>
      <c r="R25" s="5">
        <f>H25</f>
        <v>25</v>
      </c>
    </row>
    <row r="26" spans="1:18" x14ac:dyDescent="0.25">
      <c r="A26" s="11"/>
      <c r="B26" s="11" t="s">
        <v>27</v>
      </c>
      <c r="C26" s="11" t="s">
        <v>4122</v>
      </c>
      <c r="D26" s="11" t="s">
        <v>5995</v>
      </c>
      <c r="E26" s="11" t="s">
        <v>5660</v>
      </c>
      <c r="F26" s="11" t="s">
        <v>44</v>
      </c>
      <c r="G26" s="12">
        <v>485</v>
      </c>
      <c r="H26" s="12">
        <v>25</v>
      </c>
      <c r="I26" s="12">
        <f t="shared" si="0"/>
        <v>460</v>
      </c>
      <c r="J26" s="11" t="s">
        <v>119</v>
      </c>
      <c r="K26" s="11" t="s">
        <v>33</v>
      </c>
      <c r="L26" s="11" t="s">
        <v>5800</v>
      </c>
      <c r="M26" s="11"/>
      <c r="N26" s="11"/>
      <c r="O26" s="11"/>
      <c r="P26" s="11"/>
      <c r="Q26" s="11">
        <v>1</v>
      </c>
    </row>
    <row r="27" spans="1:18" x14ac:dyDescent="0.25">
      <c r="A27" s="11"/>
      <c r="B27" s="11" t="s">
        <v>27</v>
      </c>
      <c r="C27" s="11" t="s">
        <v>5999</v>
      </c>
      <c r="D27" s="11" t="s">
        <v>6000</v>
      </c>
      <c r="E27" s="11" t="s">
        <v>6001</v>
      </c>
      <c r="F27" s="12">
        <v>3</v>
      </c>
      <c r="G27" s="12">
        <v>475</v>
      </c>
      <c r="H27" s="12">
        <v>25</v>
      </c>
      <c r="I27" s="12">
        <f t="shared" si="0"/>
        <v>450</v>
      </c>
      <c r="J27" s="11" t="s">
        <v>119</v>
      </c>
      <c r="K27" s="11" t="s">
        <v>33</v>
      </c>
      <c r="L27" s="11" t="s">
        <v>5800</v>
      </c>
      <c r="M27" s="11"/>
      <c r="N27" s="11"/>
      <c r="O27" s="11"/>
      <c r="P27" s="11"/>
      <c r="Q27" s="11">
        <v>1</v>
      </c>
    </row>
    <row r="28" spans="1:18" s="15" customFormat="1" x14ac:dyDescent="0.25">
      <c r="A28" s="13"/>
      <c r="B28" s="13" t="s">
        <v>27</v>
      </c>
      <c r="C28" s="13" t="s">
        <v>4637</v>
      </c>
      <c r="D28" s="13" t="s">
        <v>6002</v>
      </c>
      <c r="E28" s="13" t="s">
        <v>6003</v>
      </c>
      <c r="F28" s="13" t="s">
        <v>44</v>
      </c>
      <c r="G28" s="14">
        <v>40</v>
      </c>
      <c r="H28" s="14">
        <v>40</v>
      </c>
      <c r="I28" s="14">
        <f t="shared" si="0"/>
        <v>0</v>
      </c>
      <c r="J28" s="13" t="s">
        <v>119</v>
      </c>
      <c r="K28" s="13" t="s">
        <v>33</v>
      </c>
      <c r="L28" s="13" t="s">
        <v>5800</v>
      </c>
      <c r="M28" s="13" t="s">
        <v>100</v>
      </c>
      <c r="N28" s="13"/>
      <c r="O28" s="13"/>
      <c r="P28" s="13"/>
      <c r="Q28" s="13">
        <v>1</v>
      </c>
    </row>
    <row r="29" spans="1:18" x14ac:dyDescent="0.25">
      <c r="A29" s="11"/>
      <c r="B29" s="11" t="s">
        <v>27</v>
      </c>
      <c r="C29" s="11" t="s">
        <v>6004</v>
      </c>
      <c r="D29" s="11" t="s">
        <v>6005</v>
      </c>
      <c r="E29" s="11" t="s">
        <v>6006</v>
      </c>
      <c r="F29" s="11" t="s">
        <v>118</v>
      </c>
      <c r="G29" s="12">
        <v>640</v>
      </c>
      <c r="H29" s="12">
        <v>20</v>
      </c>
      <c r="I29" s="12">
        <f t="shared" si="0"/>
        <v>620</v>
      </c>
      <c r="J29" s="11" t="s">
        <v>119</v>
      </c>
      <c r="K29" s="11" t="s">
        <v>33</v>
      </c>
      <c r="L29" s="11" t="s">
        <v>5800</v>
      </c>
      <c r="M29" s="11"/>
      <c r="N29" s="11"/>
      <c r="O29" s="11"/>
      <c r="P29" s="11"/>
      <c r="Q29" s="11">
        <v>1</v>
      </c>
    </row>
    <row r="30" spans="1:18" x14ac:dyDescent="0.25">
      <c r="A30" s="11"/>
      <c r="B30" s="11" t="s">
        <v>27</v>
      </c>
      <c r="C30" s="11" t="s">
        <v>6010</v>
      </c>
      <c r="D30" s="11" t="s">
        <v>6011</v>
      </c>
      <c r="E30" s="11" t="s">
        <v>6012</v>
      </c>
      <c r="F30" s="12">
        <v>10</v>
      </c>
      <c r="G30" s="12">
        <v>1188</v>
      </c>
      <c r="H30" s="12">
        <v>25</v>
      </c>
      <c r="I30" s="12">
        <f t="shared" si="0"/>
        <v>1163</v>
      </c>
      <c r="J30" s="11" t="s">
        <v>119</v>
      </c>
      <c r="K30" s="11" t="s">
        <v>33</v>
      </c>
      <c r="L30" s="11" t="s">
        <v>5800</v>
      </c>
      <c r="M30" s="24" t="s">
        <v>340</v>
      </c>
      <c r="N30" s="11"/>
      <c r="O30" s="11"/>
      <c r="P30" s="11"/>
      <c r="Q30" s="11">
        <v>1</v>
      </c>
      <c r="R30" s="5">
        <f>H30</f>
        <v>25</v>
      </c>
    </row>
    <row r="31" spans="1:18" x14ac:dyDescent="0.25">
      <c r="A31" s="11"/>
      <c r="B31" s="11" t="s">
        <v>27</v>
      </c>
      <c r="C31" s="11" t="s">
        <v>263</v>
      </c>
      <c r="D31" s="11" t="s">
        <v>6013</v>
      </c>
      <c r="E31" s="11" t="s">
        <v>1428</v>
      </c>
      <c r="F31" s="12">
        <v>10</v>
      </c>
      <c r="G31" s="12">
        <v>195</v>
      </c>
      <c r="H31" s="12">
        <v>25</v>
      </c>
      <c r="I31" s="12">
        <f t="shared" si="0"/>
        <v>170</v>
      </c>
      <c r="J31" s="11" t="s">
        <v>119</v>
      </c>
      <c r="K31" s="11" t="s">
        <v>33</v>
      </c>
      <c r="L31" s="11" t="s">
        <v>5800</v>
      </c>
      <c r="M31" s="11"/>
      <c r="N31" s="11"/>
      <c r="O31" s="11"/>
      <c r="P31" s="11"/>
      <c r="Q31" s="11">
        <v>1</v>
      </c>
    </row>
    <row r="32" spans="1:18" x14ac:dyDescent="0.25">
      <c r="A32" s="11"/>
      <c r="B32" s="11" t="s">
        <v>27</v>
      </c>
      <c r="C32" s="11" t="s">
        <v>6014</v>
      </c>
      <c r="D32" s="11" t="s">
        <v>6015</v>
      </c>
      <c r="E32" s="11" t="s">
        <v>6016</v>
      </c>
      <c r="F32" s="12">
        <v>4</v>
      </c>
      <c r="G32" s="12">
        <v>715</v>
      </c>
      <c r="H32" s="12">
        <v>25</v>
      </c>
      <c r="I32" s="12">
        <f t="shared" si="0"/>
        <v>690</v>
      </c>
      <c r="J32" s="11" t="s">
        <v>119</v>
      </c>
      <c r="K32" s="11" t="s">
        <v>33</v>
      </c>
      <c r="L32" s="11" t="s">
        <v>5800</v>
      </c>
      <c r="M32" s="11"/>
      <c r="N32" s="11"/>
      <c r="O32" s="11"/>
      <c r="P32" s="11"/>
      <c r="Q32" s="11">
        <v>1</v>
      </c>
    </row>
    <row r="33" spans="1:17" x14ac:dyDescent="0.25">
      <c r="A33" s="11"/>
      <c r="B33" s="11" t="s">
        <v>27</v>
      </c>
      <c r="C33" s="11" t="s">
        <v>6026</v>
      </c>
      <c r="D33" s="11" t="s">
        <v>6027</v>
      </c>
      <c r="E33" s="11" t="s">
        <v>6028</v>
      </c>
      <c r="F33" s="12">
        <v>4</v>
      </c>
      <c r="G33" s="12">
        <v>308</v>
      </c>
      <c r="H33" s="12">
        <v>25</v>
      </c>
      <c r="I33" s="12">
        <f t="shared" si="0"/>
        <v>283</v>
      </c>
      <c r="J33" s="11" t="s">
        <v>119</v>
      </c>
      <c r="K33" s="11" t="s">
        <v>33</v>
      </c>
      <c r="L33" s="11" t="s">
        <v>5800</v>
      </c>
      <c r="M33" s="11"/>
      <c r="N33" s="11"/>
      <c r="O33" s="11"/>
      <c r="P33" s="11"/>
      <c r="Q33" s="11">
        <v>1</v>
      </c>
    </row>
    <row r="34" spans="1:17" x14ac:dyDescent="0.25">
      <c r="A34" s="11"/>
      <c r="B34" s="11" t="s">
        <v>27</v>
      </c>
      <c r="C34" s="11" t="s">
        <v>6035</v>
      </c>
      <c r="D34" s="11" t="s">
        <v>6036</v>
      </c>
      <c r="E34" s="11" t="s">
        <v>6037</v>
      </c>
      <c r="F34" s="12">
        <v>1</v>
      </c>
      <c r="G34" s="12">
        <v>395</v>
      </c>
      <c r="H34" s="12">
        <v>25</v>
      </c>
      <c r="I34" s="12">
        <f t="shared" si="0"/>
        <v>370</v>
      </c>
      <c r="J34" s="11" t="s">
        <v>119</v>
      </c>
      <c r="K34" s="11" t="s">
        <v>33</v>
      </c>
      <c r="L34" s="11" t="s">
        <v>5800</v>
      </c>
      <c r="M34" s="24" t="s">
        <v>4784</v>
      </c>
      <c r="N34" s="11"/>
      <c r="O34" s="11"/>
      <c r="P34" s="11"/>
      <c r="Q34" s="11">
        <v>1</v>
      </c>
    </row>
    <row r="35" spans="1:17" x14ac:dyDescent="0.25">
      <c r="A35" s="11"/>
      <c r="B35" s="11" t="s">
        <v>27</v>
      </c>
      <c r="C35" s="11" t="s">
        <v>6043</v>
      </c>
      <c r="D35" s="11" t="s">
        <v>6044</v>
      </c>
      <c r="E35" s="11" t="s">
        <v>6045</v>
      </c>
      <c r="F35" s="11" t="s">
        <v>118</v>
      </c>
      <c r="G35" s="12">
        <v>370</v>
      </c>
      <c r="H35" s="12">
        <v>20</v>
      </c>
      <c r="I35" s="12">
        <f t="shared" si="0"/>
        <v>350</v>
      </c>
      <c r="J35" s="11" t="s">
        <v>119</v>
      </c>
      <c r="K35" s="11" t="s">
        <v>33</v>
      </c>
      <c r="L35" s="11" t="s">
        <v>5800</v>
      </c>
      <c r="M35" s="11"/>
      <c r="N35" s="11"/>
      <c r="O35" s="11"/>
      <c r="P35" s="11"/>
      <c r="Q35" s="11">
        <v>1</v>
      </c>
    </row>
    <row r="36" spans="1:17" x14ac:dyDescent="0.25">
      <c r="A36" s="11"/>
      <c r="B36" s="11" t="s">
        <v>27</v>
      </c>
      <c r="C36" s="11" t="s">
        <v>6046</v>
      </c>
      <c r="D36" s="11" t="s">
        <v>6047</v>
      </c>
      <c r="E36" s="11" t="s">
        <v>6048</v>
      </c>
      <c r="F36" s="11" t="s">
        <v>118</v>
      </c>
      <c r="G36" s="12">
        <v>1880</v>
      </c>
      <c r="H36" s="12">
        <v>20</v>
      </c>
      <c r="I36" s="12">
        <f t="shared" si="0"/>
        <v>1860</v>
      </c>
      <c r="J36" s="11" t="s">
        <v>119</v>
      </c>
      <c r="K36" s="11" t="s">
        <v>33</v>
      </c>
      <c r="L36" s="11" t="s">
        <v>5800</v>
      </c>
      <c r="M36" s="11"/>
      <c r="N36" s="11"/>
      <c r="O36" s="11"/>
      <c r="P36" s="11"/>
      <c r="Q36" s="11">
        <v>1</v>
      </c>
    </row>
    <row r="37" spans="1:17" x14ac:dyDescent="0.25">
      <c r="A37" s="11"/>
      <c r="B37" s="11" t="s">
        <v>27</v>
      </c>
      <c r="C37" s="11" t="s">
        <v>6059</v>
      </c>
      <c r="D37" s="11" t="s">
        <v>6060</v>
      </c>
      <c r="E37" s="11" t="s">
        <v>6061</v>
      </c>
      <c r="F37" s="11" t="s">
        <v>118</v>
      </c>
      <c r="G37" s="12">
        <v>310</v>
      </c>
      <c r="H37" s="12">
        <v>20</v>
      </c>
      <c r="I37" s="12">
        <f t="shared" si="0"/>
        <v>290</v>
      </c>
      <c r="J37" s="11" t="s">
        <v>119</v>
      </c>
      <c r="K37" s="11" t="s">
        <v>33</v>
      </c>
      <c r="L37" s="11" t="s">
        <v>5800</v>
      </c>
      <c r="M37" s="11"/>
      <c r="N37" s="11"/>
      <c r="O37" s="11"/>
      <c r="P37" s="11"/>
      <c r="Q37" s="11">
        <v>1</v>
      </c>
    </row>
    <row r="39" spans="1:17" x14ac:dyDescent="0.25">
      <c r="D39" s="1">
        <f>COUNTA(D3:D37)</f>
        <v>35</v>
      </c>
      <c r="G39" s="1">
        <f t="shared" ref="G39:Q39" si="2">SUBTOTAL(9,G3:G37)</f>
        <v>23902</v>
      </c>
      <c r="H39" s="1">
        <f t="shared" si="2"/>
        <v>905</v>
      </c>
      <c r="I39" s="1">
        <f t="shared" si="2"/>
        <v>22997</v>
      </c>
      <c r="J39" s="1">
        <f t="shared" si="2"/>
        <v>0</v>
      </c>
      <c r="K39" s="1">
        <f t="shared" si="2"/>
        <v>0</v>
      </c>
      <c r="L39" s="1">
        <f t="shared" si="2"/>
        <v>0</v>
      </c>
      <c r="M39" s="1">
        <f t="shared" si="2"/>
        <v>0</v>
      </c>
      <c r="N39" s="1">
        <f t="shared" si="2"/>
        <v>0</v>
      </c>
      <c r="O39" s="1">
        <f t="shared" si="2"/>
        <v>0</v>
      </c>
      <c r="P39" s="1">
        <f t="shared" si="2"/>
        <v>0</v>
      </c>
      <c r="Q39" s="1">
        <f t="shared" si="2"/>
        <v>35</v>
      </c>
    </row>
    <row r="40" spans="1:17" x14ac:dyDescent="0.25">
      <c r="H40">
        <f>-5*17</f>
        <v>-85</v>
      </c>
    </row>
    <row r="41" spans="1:17" x14ac:dyDescent="0.25">
      <c r="A41" s="1" t="s">
        <v>27</v>
      </c>
      <c r="C41" s="60" t="s">
        <v>158</v>
      </c>
      <c r="D41" s="60"/>
      <c r="E41" s="4" t="s">
        <v>159</v>
      </c>
      <c r="H41">
        <f>-3*25</f>
        <v>-75</v>
      </c>
      <c r="K41" s="6" t="s">
        <v>5798</v>
      </c>
      <c r="L41" s="6" t="s">
        <v>160</v>
      </c>
      <c r="M41" s="6" t="s">
        <v>159</v>
      </c>
      <c r="O41" s="4" t="s">
        <v>161</v>
      </c>
    </row>
    <row r="42" spans="1:17" x14ac:dyDescent="0.25">
      <c r="A42" t="s">
        <v>5800</v>
      </c>
      <c r="B42" s="3" t="s">
        <v>162</v>
      </c>
      <c r="C42" s="61">
        <f>SUMIFS(I$3:I$37,B$3:B$37,A$41,L$3:L$37,A$42)</f>
        <v>22997</v>
      </c>
      <c r="D42" s="61"/>
      <c r="E42" s="3">
        <f>SUMIFS(Q$3:Q$37,B$3:B$37,A$41,L$3:L$37,A$42)</f>
        <v>35</v>
      </c>
      <c r="F42" t="s">
        <v>163</v>
      </c>
      <c r="H42">
        <f>-1*30</f>
        <v>-30</v>
      </c>
      <c r="K42" t="s">
        <v>164</v>
      </c>
      <c r="L42">
        <f>SUMIFS(G$3:G$37,J$3:J$37,K$41)</f>
        <v>6840</v>
      </c>
      <c r="M42">
        <f>SUMIFS(Q$3:Q$37,J$3:J$37,K$41)-INT(COUNTIFS(J$3:J$37,K$41,M$3:M$37,"*gộp*")/2)</f>
        <v>9</v>
      </c>
      <c r="O42" t="s">
        <v>5983</v>
      </c>
      <c r="P42">
        <f>L47</f>
        <v>6650</v>
      </c>
    </row>
    <row r="43" spans="1:17" x14ac:dyDescent="0.25">
      <c r="B43" s="2" t="s">
        <v>166</v>
      </c>
      <c r="C43" s="62">
        <v>0</v>
      </c>
      <c r="D43" s="62"/>
      <c r="K43" t="s">
        <v>167</v>
      </c>
      <c r="L43">
        <f>SUM(H40:H42)</f>
        <v>-190</v>
      </c>
      <c r="M43">
        <f>SUMIFS(Q$3:Q$37,J$3:J$37,K$41)-INT(COUNTIFS(J$3:J$37,K$41,M$3:M$37,"*gộp*")/2)</f>
        <v>9</v>
      </c>
      <c r="O43" t="s">
        <v>119</v>
      </c>
      <c r="P43">
        <f>L55</f>
        <v>8572</v>
      </c>
    </row>
    <row r="44" spans="1:17" x14ac:dyDescent="0.25">
      <c r="B44" s="2" t="s">
        <v>168</v>
      </c>
      <c r="C44" s="62">
        <f>-SUMIFS(I$3:I$37,B$3:B$37,A$41,P$3:P$37,"xx",N$3:N$37,"x")</f>
        <v>0</v>
      </c>
      <c r="D44" s="62"/>
      <c r="E44" s="2">
        <f>SUMIFS(Q$3:Q$37,B$3:B$37,A$41,P$3:P$37,"xx",N$3:N$37,"x")</f>
        <v>0</v>
      </c>
      <c r="K44" t="s">
        <v>169</v>
      </c>
      <c r="L44">
        <f>-M44*2</f>
        <v>0</v>
      </c>
      <c r="M44">
        <f>COUNTIFS(K$3:K$37,K$41,L$3:L$37,A$42)-(COUNTIFS(K$3:K$37,K$41,M$3:M$37,"*gộp*")/2)-COUNTIFS(K$3:K$37,K$41,M$3:M$37,"*đơn trả*")-COUNTIFS(K$3:K$37,K$41,M$3:M$37,"*hàng tỉnh*")</f>
        <v>0</v>
      </c>
      <c r="O44" t="s">
        <v>33</v>
      </c>
      <c r="P44">
        <f>L63</f>
        <v>7905</v>
      </c>
    </row>
    <row r="45" spans="1:17" x14ac:dyDescent="0.25">
      <c r="B45" s="4" t="s">
        <v>170</v>
      </c>
      <c r="C45" s="60">
        <f>SUBTOTAL(9,C42:C44)</f>
        <v>22997</v>
      </c>
      <c r="D45" s="60"/>
      <c r="E45">
        <f>E42</f>
        <v>35</v>
      </c>
      <c r="K45" s="7" t="s">
        <v>155</v>
      </c>
      <c r="O45" t="s">
        <v>171</v>
      </c>
      <c r="P45">
        <f>-C49</f>
        <v>-22997</v>
      </c>
    </row>
    <row r="46" spans="1:17" x14ac:dyDescent="0.25">
      <c r="B46" s="2" t="s">
        <v>172</v>
      </c>
      <c r="C46" s="58"/>
      <c r="D46" s="58"/>
      <c r="K46" s="2" t="s">
        <v>173</v>
      </c>
      <c r="O46" s="4" t="s">
        <v>174</v>
      </c>
      <c r="P46" s="4">
        <f>SUBTOTAL(9,P42:P45)</f>
        <v>130</v>
      </c>
    </row>
    <row r="47" spans="1:17" x14ac:dyDescent="0.25">
      <c r="B47" s="8" t="s">
        <v>175</v>
      </c>
      <c r="C47" s="58"/>
      <c r="D47" s="58"/>
      <c r="L47" s="9">
        <f>SUBTOTAL(9,L42:L46)</f>
        <v>6650</v>
      </c>
      <c r="M47" s="9">
        <f>M42</f>
        <v>9</v>
      </c>
    </row>
    <row r="49" spans="2:13" x14ac:dyDescent="0.25">
      <c r="B49" s="1" t="s">
        <v>176</v>
      </c>
      <c r="C49" s="59">
        <f>C45+C46+C47</f>
        <v>22997</v>
      </c>
      <c r="D49" s="59"/>
      <c r="E49" s="1" t="s">
        <v>177</v>
      </c>
      <c r="K49" s="6" t="s">
        <v>119</v>
      </c>
      <c r="L49" s="6" t="s">
        <v>160</v>
      </c>
      <c r="M49" s="6" t="s">
        <v>159</v>
      </c>
    </row>
    <row r="50" spans="2:13" x14ac:dyDescent="0.25">
      <c r="K50" t="s">
        <v>164</v>
      </c>
      <c r="L50">
        <f>SUMIFS(G$3:G$37,J$3:J$37,K$49)</f>
        <v>8847</v>
      </c>
      <c r="M50">
        <f>SUMIFS(Q$3:Q$37,J$3:J$37,K$49)-INT(COUNTIFS(J$3:J$37,K$49,M$3:M$37,"*gộp*")/2)</f>
        <v>14</v>
      </c>
    </row>
    <row r="51" spans="2:13" x14ac:dyDescent="0.25">
      <c r="K51" t="s">
        <v>167</v>
      </c>
      <c r="L51">
        <f>-SUMIFS(H$3:H$37,J$3:J$37,K$49)+M51*5</f>
        <v>-275</v>
      </c>
      <c r="M51">
        <f>SUMIFS(Q$3:Q$37,J$3:J$37,K$49)-INT(COUNTIFS(J$3:J$37,K$49,M$3:M$37,"*gộp*")/2)</f>
        <v>14</v>
      </c>
    </row>
    <row r="52" spans="2:13" x14ac:dyDescent="0.25">
      <c r="K52" t="s">
        <v>169</v>
      </c>
      <c r="L52">
        <f>-M52*2</f>
        <v>0</v>
      </c>
      <c r="M52">
        <f>COUNTIFS(K$3:K$37,K$49,L$3:L$37,A$42)-(COUNTIFS(K$3:K$37,K$49,M$3:M$37,"*gộp*")/2)-COUNTIFS(K$3:K$37,K$49,M$3:M$37,"*đơn trả*")-COUNTIFS(K$3:K$37,K$49,M$3:M$37,"*hàng tỉnh*")</f>
        <v>0</v>
      </c>
    </row>
    <row r="53" spans="2:13" x14ac:dyDescent="0.25">
      <c r="K53" s="7" t="s">
        <v>155</v>
      </c>
    </row>
    <row r="54" spans="2:13" x14ac:dyDescent="0.25">
      <c r="K54" s="2" t="s">
        <v>173</v>
      </c>
    </row>
    <row r="55" spans="2:13" x14ac:dyDescent="0.25">
      <c r="L55" s="9">
        <f>SUBTOTAL(9,L50:L54)</f>
        <v>8572</v>
      </c>
      <c r="M55" s="9">
        <f>M50</f>
        <v>14</v>
      </c>
    </row>
    <row r="57" spans="2:13" x14ac:dyDescent="0.25">
      <c r="K57" s="6" t="s">
        <v>33</v>
      </c>
      <c r="L57" s="6" t="s">
        <v>160</v>
      </c>
      <c r="M57" s="6" t="s">
        <v>159</v>
      </c>
    </row>
    <row r="58" spans="2:13" x14ac:dyDescent="0.25">
      <c r="K58" t="s">
        <v>164</v>
      </c>
      <c r="L58">
        <f>SUMIFS(G$3:G$37,J$3:J$37,K$57)</f>
        <v>8215</v>
      </c>
      <c r="M58">
        <f>SUMIFS(Q$3:Q$37,J$3:J$37,K$57)-INT(COUNTIFS(J$3:J$37,K$57,M$3:M$37,"*gộp*")/2)</f>
        <v>12</v>
      </c>
    </row>
    <row r="59" spans="2:13" x14ac:dyDescent="0.25">
      <c r="K59" t="s">
        <v>167</v>
      </c>
      <c r="L59">
        <f>-SUMIFS(H$3:H$37,J$3:J$37,K$57)+M59*5</f>
        <v>-240</v>
      </c>
      <c r="M59">
        <f>SUMIFS(Q$3:Q$37,J$3:J$37,K$57)-INT(COUNTIFS(J$3:J$37,K$57,M$3:M$37,"*gộp*")/2)</f>
        <v>12</v>
      </c>
    </row>
    <row r="60" spans="2:13" x14ac:dyDescent="0.25">
      <c r="K60" t="s">
        <v>169</v>
      </c>
      <c r="L60">
        <f>-M60*2</f>
        <v>-70</v>
      </c>
      <c r="M60">
        <f>COUNTIFS(K$3:K$37,K$57,L$3:L$37,A$42)-(COUNTIFS(K$3:K$37,K$57,M$3:M$37,"*gộp*")/2)-COUNTIFS(K$3:K$37,K$57,M$3:M$37,"*đơn trả*")-COUNTIFS(K$3:K$37,K$57,M$3:M$37,"*hàng tỉnh*")</f>
        <v>35</v>
      </c>
    </row>
    <row r="61" spans="2:13" x14ac:dyDescent="0.25">
      <c r="K61" s="7" t="s">
        <v>155</v>
      </c>
    </row>
    <row r="62" spans="2:13" x14ac:dyDescent="0.25">
      <c r="K62" s="2" t="s">
        <v>173</v>
      </c>
    </row>
    <row r="63" spans="2:13" x14ac:dyDescent="0.25">
      <c r="L63" s="9">
        <f>SUBTOTAL(9,L58:L62)</f>
        <v>7905</v>
      </c>
      <c r="M63" s="9">
        <f>M58</f>
        <v>12</v>
      </c>
    </row>
  </sheetData>
  <autoFilter ref="A2:P37" xr:uid="{00000000-0009-0000-0000-000000000000}">
    <sortState xmlns:xlrd2="http://schemas.microsoft.com/office/spreadsheetml/2017/richdata2" ref="A3:P37">
      <sortCondition ref="J2:J37"/>
    </sortState>
  </autoFilter>
  <mergeCells count="8">
    <mergeCell ref="C47:D47"/>
    <mergeCell ref="C49:D49"/>
    <mergeCell ref="C41:D41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Sheet1</vt:lpstr>
      <vt:lpstr>01-08</vt:lpstr>
      <vt:lpstr>03-08</vt:lpstr>
      <vt:lpstr>04-08</vt:lpstr>
      <vt:lpstr>05-08</vt:lpstr>
      <vt:lpstr>06-08</vt:lpstr>
      <vt:lpstr>07-08</vt:lpstr>
      <vt:lpstr>08-08</vt:lpstr>
      <vt:lpstr>10-08</vt:lpstr>
      <vt:lpstr>11-08</vt:lpstr>
      <vt:lpstr>12-08</vt:lpstr>
      <vt:lpstr>13-08</vt:lpstr>
      <vt:lpstr>14-08</vt:lpstr>
      <vt:lpstr>15-08</vt:lpstr>
      <vt:lpstr>17-08</vt:lpstr>
      <vt:lpstr>18-08</vt:lpstr>
      <vt:lpstr>19-08</vt:lpstr>
      <vt:lpstr>20-08</vt:lpstr>
      <vt:lpstr>21-08</vt:lpstr>
      <vt:lpstr>22-08</vt:lpstr>
      <vt:lpstr>24-08_Morning</vt:lpstr>
      <vt:lpstr>24-08_Night</vt:lpstr>
      <vt:lpstr>25-08_Morning</vt:lpstr>
      <vt:lpstr>25-08_Night</vt:lpstr>
      <vt:lpstr>26-08_Morning</vt:lpstr>
      <vt:lpstr>26-08_Night</vt:lpstr>
      <vt:lpstr>27-08_Morning</vt:lpstr>
      <vt:lpstr>27-08_Night</vt:lpstr>
      <vt:lpstr>28-08_Morning</vt:lpstr>
      <vt:lpstr>28-08_Night</vt:lpstr>
      <vt:lpstr>29-08</vt:lpstr>
      <vt:lpstr>30-08</vt:lpstr>
      <vt:lpstr>31-08_Morning</vt:lpstr>
      <vt:lpstr>31-08_Night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2026-09-11T06:03:37Z</dcterms:modified>
</cp:coreProperties>
</file>