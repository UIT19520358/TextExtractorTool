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ork\Freelance\TextInputter\data\Jun\"/>
    </mc:Choice>
  </mc:AlternateContent>
  <xr:revisionPtr revIDLastSave="0" documentId="13_ncr:1_{BA624F96-F28A-4D3F-9415-53135D029175}" xr6:coauthVersionLast="47" xr6:coauthVersionMax="47" xr10:uidLastSave="{00000000-0000-0000-0000-000000000000}"/>
  <bookViews>
    <workbookView xWindow="-120" yWindow="-120" windowWidth="29040" windowHeight="15720" tabRatio="981" firstSheet="5" activeTab="25" xr2:uid="{00000000-000D-0000-FFFF-FFFF00000000}"/>
  </bookViews>
  <sheets>
    <sheet name="1-6" sheetId="26" r:id="rId1"/>
    <sheet name="2-6" sheetId="27" r:id="rId2"/>
    <sheet name="3-6" sheetId="28" r:id="rId3"/>
    <sheet name="4-6" sheetId="29" r:id="rId4"/>
    <sheet name="5-6" sheetId="30" r:id="rId5"/>
    <sheet name="6-6" sheetId="31" r:id="rId6"/>
    <sheet name="8-6" sheetId="32" r:id="rId7"/>
    <sheet name="9-6" sheetId="33" r:id="rId8"/>
    <sheet name="10-6" sheetId="34" r:id="rId9"/>
    <sheet name="11-6" sheetId="35" r:id="rId10"/>
    <sheet name="12-6" sheetId="36" r:id="rId11"/>
    <sheet name="13-6" sheetId="37" r:id="rId12"/>
    <sheet name="15-6" sheetId="38" r:id="rId13"/>
    <sheet name="16-6" sheetId="39" r:id="rId14"/>
    <sheet name="17-6" sheetId="40" r:id="rId15"/>
    <sheet name="18-6" sheetId="41" r:id="rId16"/>
    <sheet name="19-6" sheetId="42" r:id="rId17"/>
    <sheet name="20-6" sheetId="43" r:id="rId18"/>
    <sheet name="22-6" sheetId="44" r:id="rId19"/>
    <sheet name="23-6" sheetId="45" r:id="rId20"/>
    <sheet name="24-6" sheetId="46" r:id="rId21"/>
    <sheet name="25-6" sheetId="47" r:id="rId22"/>
    <sheet name="26-6" sheetId="49" r:id="rId23"/>
    <sheet name="27-6" sheetId="48" r:id="rId24"/>
    <sheet name="29-6" sheetId="50" r:id="rId25"/>
    <sheet name="30-6" sheetId="51" r:id="rId26"/>
  </sheets>
  <definedNames>
    <definedName name="_xlnm._FilterDatabase" localSheetId="8" hidden="1">'10-6'!$A$2:$P$21</definedName>
    <definedName name="_xlnm._FilterDatabase" localSheetId="9" hidden="1">'11-6'!$A$2:$P$22</definedName>
    <definedName name="_xlnm._FilterDatabase" localSheetId="10" hidden="1">'12-6'!$A$2:$P$19</definedName>
    <definedName name="_xlnm._FilterDatabase" localSheetId="11" hidden="1">'13-6'!$A$2:$P$19</definedName>
    <definedName name="_xlnm._FilterDatabase" localSheetId="12" hidden="1">'15-6'!$A$2:$P$66</definedName>
    <definedName name="_xlnm._FilterDatabase" localSheetId="0" hidden="1">'1-6'!$A$2:$P$54</definedName>
    <definedName name="_xlnm._FilterDatabase" localSheetId="13" hidden="1">'16-6'!$A$2:$P$40</definedName>
    <definedName name="_xlnm._FilterDatabase" localSheetId="14" hidden="1">'17-6'!$A$2:$P$37</definedName>
    <definedName name="_xlnm._FilterDatabase" localSheetId="15" hidden="1">'18-6'!$A$2:$P$50</definedName>
    <definedName name="_xlnm._FilterDatabase" localSheetId="16" hidden="1">'19-6'!$A$2:$P$35</definedName>
    <definedName name="_xlnm._FilterDatabase" localSheetId="17" hidden="1">'20-6'!$A$2:$P$45</definedName>
    <definedName name="_xlnm._FilterDatabase" localSheetId="18" hidden="1">'22-6'!$A$2:$P$53</definedName>
    <definedName name="_xlnm._FilterDatabase" localSheetId="19" hidden="1">'23-6'!$A$2:$P$36</definedName>
    <definedName name="_xlnm._FilterDatabase" localSheetId="20" hidden="1">'24-6'!$A$2:$P$38</definedName>
    <definedName name="_xlnm._FilterDatabase" localSheetId="21" hidden="1">'25-6'!$A$2:$P$32</definedName>
    <definedName name="_xlnm._FilterDatabase" localSheetId="1" hidden="1">'2-6'!$A$2:$P$22</definedName>
    <definedName name="_xlnm._FilterDatabase" localSheetId="22" hidden="1">'26-6'!$A$2:$P$58</definedName>
    <definedName name="_xlnm._FilterDatabase" localSheetId="23" hidden="1">'27-6'!$A$2:$P$43</definedName>
    <definedName name="_xlnm._FilterDatabase" localSheetId="24" hidden="1">'29-6'!$A$2:$P$57</definedName>
    <definedName name="_xlnm._FilterDatabase" localSheetId="25" hidden="1">'30-6'!$A$2:$P$35</definedName>
    <definedName name="_xlnm._FilterDatabase" localSheetId="2" hidden="1">'3-6'!$A$2:$P$29</definedName>
    <definedName name="_xlnm._FilterDatabase" localSheetId="3" hidden="1">'4-6'!$A$2:$P$38</definedName>
    <definedName name="_xlnm._FilterDatabase" localSheetId="4" hidden="1">'5-6'!$A$2:$P$37</definedName>
    <definedName name="_xlnm._FilterDatabase" localSheetId="5" hidden="1">'6-6'!$A$2:$P$19</definedName>
    <definedName name="_xlnm._FilterDatabase" localSheetId="6" hidden="1">'8-6'!$A$2:$P$40</definedName>
    <definedName name="_xlnm._FilterDatabase" localSheetId="7" hidden="1">'9-6'!$A$2:$P$25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51" l="1"/>
  <c r="I35" i="51"/>
  <c r="R34" i="51"/>
  <c r="I34" i="51"/>
  <c r="I33" i="51"/>
  <c r="I32" i="51"/>
  <c r="I31" i="51"/>
  <c r="I30" i="51"/>
  <c r="I29" i="51"/>
  <c r="I28" i="51"/>
  <c r="I27" i="51"/>
  <c r="I26" i="51"/>
  <c r="I25" i="51"/>
  <c r="R24" i="51"/>
  <c r="I24" i="51"/>
  <c r="I23" i="51"/>
  <c r="I22" i="51"/>
  <c r="R21" i="51"/>
  <c r="I21" i="51"/>
  <c r="I20" i="51"/>
  <c r="R19" i="51"/>
  <c r="I19" i="51"/>
  <c r="R18" i="51"/>
  <c r="I18" i="51"/>
  <c r="I17" i="51"/>
  <c r="I16" i="51"/>
  <c r="R15" i="51"/>
  <c r="I15" i="51"/>
  <c r="I14" i="51"/>
  <c r="R13" i="51"/>
  <c r="I13" i="51"/>
  <c r="R12" i="51"/>
  <c r="I12" i="51"/>
  <c r="I11" i="51"/>
  <c r="I10" i="51"/>
  <c r="I37" i="51" s="1"/>
  <c r="I42" i="51" s="1"/>
  <c r="R9" i="51"/>
  <c r="I9" i="51"/>
  <c r="I8" i="51"/>
  <c r="I7" i="51"/>
  <c r="R6" i="51"/>
  <c r="I6" i="51"/>
  <c r="I5" i="51"/>
  <c r="I4" i="51"/>
  <c r="R3" i="51"/>
  <c r="I3" i="51"/>
  <c r="I46" i="51"/>
  <c r="I45" i="51"/>
  <c r="I44" i="51"/>
  <c r="Q37" i="51"/>
  <c r="J42" i="51" s="1"/>
  <c r="J49" i="51" s="1"/>
  <c r="P37" i="51"/>
  <c r="O37" i="51"/>
  <c r="N37" i="51"/>
  <c r="M37" i="51"/>
  <c r="L37" i="51"/>
  <c r="K37" i="51"/>
  <c r="J37" i="51"/>
  <c r="H37" i="51"/>
  <c r="G37" i="51"/>
  <c r="I57" i="50"/>
  <c r="I56" i="50"/>
  <c r="R55" i="50"/>
  <c r="I55" i="50"/>
  <c r="I54" i="50"/>
  <c r="I53" i="50"/>
  <c r="R52" i="50"/>
  <c r="I52" i="50"/>
  <c r="R51" i="50"/>
  <c r="I51" i="50"/>
  <c r="R50" i="50"/>
  <c r="I50" i="50"/>
  <c r="I49" i="50"/>
  <c r="R48" i="50"/>
  <c r="I48" i="50"/>
  <c r="I47" i="50"/>
  <c r="I46" i="50"/>
  <c r="R45" i="50"/>
  <c r="I45" i="50"/>
  <c r="R44" i="50"/>
  <c r="I44" i="50"/>
  <c r="I43" i="50"/>
  <c r="I42" i="50"/>
  <c r="I41" i="50"/>
  <c r="I40" i="50"/>
  <c r="I39" i="50"/>
  <c r="I38" i="50"/>
  <c r="I37" i="50"/>
  <c r="R36" i="50"/>
  <c r="I36" i="50"/>
  <c r="I35" i="50"/>
  <c r="I34" i="50"/>
  <c r="I33" i="50"/>
  <c r="R32" i="50"/>
  <c r="I32" i="50"/>
  <c r="I31" i="50"/>
  <c r="I30" i="50"/>
  <c r="I29" i="50"/>
  <c r="I28" i="50"/>
  <c r="I27" i="50"/>
  <c r="I26" i="50"/>
  <c r="I25" i="50"/>
  <c r="I24" i="50"/>
  <c r="R23" i="50"/>
  <c r="I23" i="50"/>
  <c r="I22" i="50"/>
  <c r="R21" i="50"/>
  <c r="I21" i="50"/>
  <c r="I20" i="50"/>
  <c r="I19" i="50"/>
  <c r="R18" i="50"/>
  <c r="I18" i="50"/>
  <c r="I17" i="50"/>
  <c r="I16" i="50"/>
  <c r="I15" i="50"/>
  <c r="I14" i="50"/>
  <c r="I13" i="50"/>
  <c r="I12" i="50"/>
  <c r="R11" i="50"/>
  <c r="I11" i="50"/>
  <c r="I10" i="50"/>
  <c r="R9" i="50"/>
  <c r="I9" i="50"/>
  <c r="I8" i="50"/>
  <c r="I7" i="50"/>
  <c r="I6" i="50"/>
  <c r="I5" i="50"/>
  <c r="I4" i="50"/>
  <c r="R3" i="50"/>
  <c r="I3" i="50"/>
  <c r="R37" i="51" l="1"/>
  <c r="I43" i="51" s="1"/>
  <c r="I49" i="51" s="1"/>
  <c r="I43" i="48"/>
  <c r="R42" i="48"/>
  <c r="I42" i="48"/>
  <c r="I41" i="48"/>
  <c r="I40" i="48"/>
  <c r="R39" i="48"/>
  <c r="I39" i="48"/>
  <c r="I38" i="48"/>
  <c r="R37" i="48"/>
  <c r="I37" i="48"/>
  <c r="I36" i="48"/>
  <c r="I35" i="48"/>
  <c r="I34" i="48"/>
  <c r="R33" i="48"/>
  <c r="I33" i="48"/>
  <c r="I32" i="48"/>
  <c r="I31" i="48"/>
  <c r="I30" i="48"/>
  <c r="R29" i="48"/>
  <c r="I29" i="48"/>
  <c r="R28" i="48"/>
  <c r="I28" i="48"/>
  <c r="I27" i="48"/>
  <c r="I26" i="48"/>
  <c r="I25" i="48"/>
  <c r="I24" i="48"/>
  <c r="I23" i="48"/>
  <c r="I22" i="48"/>
  <c r="R21" i="48"/>
  <c r="I21" i="48"/>
  <c r="I20" i="48"/>
  <c r="I19" i="48"/>
  <c r="R18" i="48"/>
  <c r="I18" i="48"/>
  <c r="I17" i="48"/>
  <c r="R16" i="48"/>
  <c r="I16" i="48"/>
  <c r="R15" i="48"/>
  <c r="I15" i="48"/>
  <c r="I14" i="48"/>
  <c r="I13" i="48"/>
  <c r="R12" i="48"/>
  <c r="I12" i="48"/>
  <c r="I11" i="48"/>
  <c r="I10" i="48"/>
  <c r="R9" i="48"/>
  <c r="I9" i="48"/>
  <c r="I8" i="48"/>
  <c r="I7" i="48"/>
  <c r="R6" i="48"/>
  <c r="I6" i="48"/>
  <c r="I5" i="48"/>
  <c r="I4" i="48"/>
  <c r="I3" i="48"/>
  <c r="R9" i="49"/>
  <c r="I68" i="50"/>
  <c r="I67" i="50"/>
  <c r="I66" i="50"/>
  <c r="R59" i="50"/>
  <c r="I65" i="50" s="1"/>
  <c r="Q59" i="50"/>
  <c r="J64" i="50" s="1"/>
  <c r="J71" i="50" s="1"/>
  <c r="P59" i="50"/>
  <c r="O59" i="50"/>
  <c r="N59" i="50"/>
  <c r="M59" i="50"/>
  <c r="L59" i="50"/>
  <c r="K59" i="50"/>
  <c r="J59" i="50"/>
  <c r="I59" i="50"/>
  <c r="I64" i="50" s="1"/>
  <c r="H59" i="50"/>
  <c r="G59" i="50"/>
  <c r="H74" i="49"/>
  <c r="R58" i="49"/>
  <c r="I58" i="49"/>
  <c r="R57" i="49"/>
  <c r="I57" i="49"/>
  <c r="I56" i="49"/>
  <c r="I55" i="49"/>
  <c r="R54" i="49"/>
  <c r="I54" i="49"/>
  <c r="I53" i="49"/>
  <c r="I52" i="49"/>
  <c r="I51" i="49"/>
  <c r="I50" i="49"/>
  <c r="I49" i="49"/>
  <c r="R48" i="49"/>
  <c r="I48" i="49"/>
  <c r="I47" i="49"/>
  <c r="R46" i="49"/>
  <c r="I46" i="49"/>
  <c r="I45" i="49"/>
  <c r="R44" i="49"/>
  <c r="I44" i="49"/>
  <c r="I43" i="49"/>
  <c r="I42" i="49"/>
  <c r="I41" i="49"/>
  <c r="R40" i="49"/>
  <c r="I40" i="49"/>
  <c r="I39" i="49"/>
  <c r="R38" i="49"/>
  <c r="I38" i="49"/>
  <c r="I37" i="49"/>
  <c r="I36" i="49"/>
  <c r="I35" i="49"/>
  <c r="I34" i="49"/>
  <c r="I33" i="49"/>
  <c r="R32" i="49"/>
  <c r="I32" i="49"/>
  <c r="I31" i="49"/>
  <c r="R30" i="49"/>
  <c r="I30" i="49"/>
  <c r="I29" i="49"/>
  <c r="I28" i="49"/>
  <c r="I27" i="49"/>
  <c r="R26" i="49"/>
  <c r="I26" i="49"/>
  <c r="R25" i="49"/>
  <c r="I25" i="49"/>
  <c r="R24" i="49"/>
  <c r="I24" i="49"/>
  <c r="I23" i="49"/>
  <c r="R22" i="49"/>
  <c r="I22" i="49"/>
  <c r="R21" i="49"/>
  <c r="I21" i="49"/>
  <c r="I20" i="49"/>
  <c r="I19" i="49"/>
  <c r="I18" i="49"/>
  <c r="R17" i="49"/>
  <c r="I17" i="49"/>
  <c r="R16" i="49"/>
  <c r="I16" i="49"/>
  <c r="I15" i="49"/>
  <c r="R14" i="49"/>
  <c r="I14" i="49"/>
  <c r="R13" i="49"/>
  <c r="I13" i="49"/>
  <c r="I12" i="49"/>
  <c r="I11" i="49"/>
  <c r="R10" i="49"/>
  <c r="I10" i="49"/>
  <c r="I9" i="49"/>
  <c r="R8" i="49"/>
  <c r="I8" i="49"/>
  <c r="R7" i="49"/>
  <c r="I7" i="49"/>
  <c r="I6" i="49"/>
  <c r="I5" i="49"/>
  <c r="I4" i="49"/>
  <c r="R3" i="49"/>
  <c r="I3" i="49"/>
  <c r="I71" i="50" l="1"/>
  <c r="I69" i="49"/>
  <c r="I68" i="49"/>
  <c r="I67" i="49"/>
  <c r="R60" i="49"/>
  <c r="I66" i="49" s="1"/>
  <c r="Q60" i="49"/>
  <c r="J65" i="49" s="1"/>
  <c r="J72" i="49" s="1"/>
  <c r="P60" i="49"/>
  <c r="O60" i="49"/>
  <c r="N60" i="49"/>
  <c r="M60" i="49"/>
  <c r="L60" i="49"/>
  <c r="K60" i="49"/>
  <c r="J60" i="49"/>
  <c r="I60" i="49"/>
  <c r="I65" i="49" s="1"/>
  <c r="H60" i="49"/>
  <c r="G60" i="49"/>
  <c r="R19" i="47"/>
  <c r="R18" i="47"/>
  <c r="R16" i="47"/>
  <c r="R14" i="47"/>
  <c r="R13" i="47"/>
  <c r="R12" i="47"/>
  <c r="R7" i="47"/>
  <c r="R6" i="47"/>
  <c r="R27" i="47"/>
  <c r="R25" i="47"/>
  <c r="I32" i="47"/>
  <c r="I31" i="47"/>
  <c r="I30" i="47"/>
  <c r="I29" i="47"/>
  <c r="I28" i="47"/>
  <c r="I27" i="47"/>
  <c r="I26" i="47"/>
  <c r="I25" i="47"/>
  <c r="I24" i="47"/>
  <c r="R23" i="47"/>
  <c r="I23" i="47"/>
  <c r="R22" i="47"/>
  <c r="I22" i="47"/>
  <c r="I21" i="47"/>
  <c r="I20" i="47"/>
  <c r="I19" i="47"/>
  <c r="I18" i="47"/>
  <c r="I17" i="47"/>
  <c r="I16" i="47"/>
  <c r="I15" i="47"/>
  <c r="I14" i="47"/>
  <c r="I13" i="47"/>
  <c r="I12" i="47"/>
  <c r="I11" i="47"/>
  <c r="I10" i="47"/>
  <c r="I9" i="47"/>
  <c r="I8" i="47"/>
  <c r="I7" i="47"/>
  <c r="I6" i="47"/>
  <c r="I5" i="47"/>
  <c r="I4" i="47"/>
  <c r="I3" i="47"/>
  <c r="I54" i="48"/>
  <c r="I53" i="48"/>
  <c r="I52" i="48"/>
  <c r="R45" i="48"/>
  <c r="I51" i="48" s="1"/>
  <c r="Q45" i="48"/>
  <c r="J50" i="48" s="1"/>
  <c r="J57" i="48" s="1"/>
  <c r="P45" i="48"/>
  <c r="O45" i="48"/>
  <c r="N45" i="48"/>
  <c r="M45" i="48"/>
  <c r="L45" i="48"/>
  <c r="K45" i="48"/>
  <c r="J45" i="48"/>
  <c r="I45" i="48"/>
  <c r="I50" i="48" s="1"/>
  <c r="H45" i="48"/>
  <c r="G45" i="48"/>
  <c r="H56" i="46"/>
  <c r="H57" i="46"/>
  <c r="R17" i="46"/>
  <c r="R18" i="46"/>
  <c r="H55" i="46"/>
  <c r="I38" i="46"/>
  <c r="I37" i="46"/>
  <c r="I36" i="46"/>
  <c r="I35" i="46"/>
  <c r="I34" i="46"/>
  <c r="I33" i="46"/>
  <c r="I32" i="46"/>
  <c r="I31" i="46"/>
  <c r="I30" i="46"/>
  <c r="I29" i="46"/>
  <c r="R28" i="46"/>
  <c r="I28" i="46"/>
  <c r="I27" i="46"/>
  <c r="I26" i="46"/>
  <c r="R25" i="46"/>
  <c r="I25" i="46"/>
  <c r="I24" i="46"/>
  <c r="R23" i="46"/>
  <c r="I23" i="46"/>
  <c r="I22" i="46"/>
  <c r="I21" i="46"/>
  <c r="R20" i="46"/>
  <c r="I20" i="46"/>
  <c r="R19" i="46"/>
  <c r="I19" i="46"/>
  <c r="I18" i="46"/>
  <c r="I17" i="46"/>
  <c r="I16" i="46"/>
  <c r="R15" i="46"/>
  <c r="I15" i="46"/>
  <c r="I14" i="46"/>
  <c r="I13" i="46"/>
  <c r="I12" i="46"/>
  <c r="I11" i="46"/>
  <c r="R10" i="46"/>
  <c r="R40" i="46" s="1"/>
  <c r="I46" i="46" s="1"/>
  <c r="I10" i="46"/>
  <c r="I9" i="46"/>
  <c r="I8" i="46"/>
  <c r="I7" i="46"/>
  <c r="I6" i="46"/>
  <c r="I5" i="46"/>
  <c r="I4" i="46"/>
  <c r="I3" i="46"/>
  <c r="I43" i="47"/>
  <c r="I42" i="47"/>
  <c r="I41" i="47"/>
  <c r="Q34" i="47"/>
  <c r="J39" i="47" s="1"/>
  <c r="J46" i="47" s="1"/>
  <c r="P34" i="47"/>
  <c r="O34" i="47"/>
  <c r="N34" i="47"/>
  <c r="M34" i="47"/>
  <c r="L34" i="47"/>
  <c r="K34" i="47"/>
  <c r="J34" i="47"/>
  <c r="H34" i="47"/>
  <c r="G34" i="47"/>
  <c r="I36" i="45"/>
  <c r="I35" i="45"/>
  <c r="I34" i="45"/>
  <c r="I33" i="45"/>
  <c r="I32" i="45"/>
  <c r="I31" i="45"/>
  <c r="I30" i="45"/>
  <c r="I29" i="45"/>
  <c r="I28" i="45"/>
  <c r="R27" i="45"/>
  <c r="I27" i="45"/>
  <c r="I26" i="45"/>
  <c r="I25" i="45"/>
  <c r="R24" i="45"/>
  <c r="I24" i="45"/>
  <c r="I23" i="45"/>
  <c r="I22" i="45"/>
  <c r="R21" i="45"/>
  <c r="I21" i="45"/>
  <c r="I20" i="45"/>
  <c r="R19" i="45"/>
  <c r="I19" i="45"/>
  <c r="I18" i="45"/>
  <c r="I17" i="45"/>
  <c r="I16" i="45"/>
  <c r="I15" i="45"/>
  <c r="R14" i="45"/>
  <c r="I14" i="45"/>
  <c r="R13" i="45"/>
  <c r="I13" i="45"/>
  <c r="R12" i="45"/>
  <c r="I12" i="45"/>
  <c r="I11" i="45"/>
  <c r="I10" i="45"/>
  <c r="I9" i="45"/>
  <c r="I8" i="45"/>
  <c r="I7" i="45"/>
  <c r="I6" i="45"/>
  <c r="I5" i="45"/>
  <c r="I4" i="45"/>
  <c r="I3" i="45"/>
  <c r="I49" i="46"/>
  <c r="I48" i="46"/>
  <c r="I47" i="46"/>
  <c r="Q40" i="46"/>
  <c r="J45" i="46" s="1"/>
  <c r="J52" i="46" s="1"/>
  <c r="P40" i="46"/>
  <c r="O40" i="46"/>
  <c r="N40" i="46"/>
  <c r="M40" i="46"/>
  <c r="L40" i="46"/>
  <c r="K40" i="46"/>
  <c r="J40" i="46"/>
  <c r="H40" i="46"/>
  <c r="G40" i="46"/>
  <c r="I53" i="44"/>
  <c r="I52" i="44"/>
  <c r="I51" i="44"/>
  <c r="I50" i="44"/>
  <c r="I49" i="44"/>
  <c r="R48" i="44"/>
  <c r="I48" i="44"/>
  <c r="I47" i="44"/>
  <c r="I46" i="44"/>
  <c r="I45" i="44"/>
  <c r="R44" i="44"/>
  <c r="I44" i="44"/>
  <c r="I43" i="44"/>
  <c r="I42" i="44"/>
  <c r="R41" i="44"/>
  <c r="I41" i="44"/>
  <c r="I40" i="44"/>
  <c r="R39" i="44"/>
  <c r="I39" i="44"/>
  <c r="I38" i="44"/>
  <c r="I37" i="44"/>
  <c r="I36" i="44"/>
  <c r="R35" i="44"/>
  <c r="I35" i="44"/>
  <c r="R34" i="44"/>
  <c r="I34" i="44"/>
  <c r="I33" i="44"/>
  <c r="I32" i="44"/>
  <c r="I31" i="44"/>
  <c r="I30" i="44"/>
  <c r="I29" i="44"/>
  <c r="R28" i="44"/>
  <c r="I28" i="44"/>
  <c r="R27" i="44"/>
  <c r="I27" i="44"/>
  <c r="I26" i="44"/>
  <c r="I25" i="44"/>
  <c r="I24" i="44"/>
  <c r="I23" i="44"/>
  <c r="I22" i="44"/>
  <c r="R21" i="44"/>
  <c r="I21" i="44"/>
  <c r="I20" i="44"/>
  <c r="R19" i="44"/>
  <c r="I19" i="44"/>
  <c r="R18" i="44"/>
  <c r="I18" i="44"/>
  <c r="I17" i="44"/>
  <c r="R16" i="44"/>
  <c r="I16" i="44"/>
  <c r="I15" i="44"/>
  <c r="I14" i="44"/>
  <c r="R13" i="44"/>
  <c r="I13" i="44"/>
  <c r="R12" i="44"/>
  <c r="I12" i="44"/>
  <c r="R11" i="44"/>
  <c r="I11" i="44"/>
  <c r="I10" i="44"/>
  <c r="I9" i="44"/>
  <c r="I8" i="44"/>
  <c r="I7" i="44"/>
  <c r="I6" i="44"/>
  <c r="I5" i="44"/>
  <c r="I4" i="44"/>
  <c r="I3" i="44"/>
  <c r="I47" i="45"/>
  <c r="I46" i="45"/>
  <c r="I45" i="45"/>
  <c r="Q38" i="45"/>
  <c r="J43" i="45" s="1"/>
  <c r="J50" i="45" s="1"/>
  <c r="P38" i="45"/>
  <c r="O38" i="45"/>
  <c r="N38" i="45"/>
  <c r="M38" i="45"/>
  <c r="L38" i="45"/>
  <c r="K38" i="45"/>
  <c r="J38" i="45"/>
  <c r="H38" i="45"/>
  <c r="G38" i="45"/>
  <c r="R45" i="43"/>
  <c r="I45" i="43"/>
  <c r="I44" i="43"/>
  <c r="I43" i="43"/>
  <c r="R42" i="43"/>
  <c r="I42" i="43"/>
  <c r="I41" i="43"/>
  <c r="R40" i="43"/>
  <c r="I40" i="43"/>
  <c r="I39" i="43"/>
  <c r="I38" i="43"/>
  <c r="I37" i="43"/>
  <c r="I36" i="43"/>
  <c r="I35" i="43"/>
  <c r="I34" i="43"/>
  <c r="I33" i="43"/>
  <c r="R32" i="43"/>
  <c r="I32" i="43"/>
  <c r="I31" i="43"/>
  <c r="I30" i="43"/>
  <c r="I29" i="43"/>
  <c r="I28" i="43"/>
  <c r="I27" i="43"/>
  <c r="R26" i="43"/>
  <c r="I26" i="43"/>
  <c r="I25" i="43"/>
  <c r="R24" i="43"/>
  <c r="I24" i="43"/>
  <c r="I23" i="43"/>
  <c r="I22" i="43"/>
  <c r="I21" i="43"/>
  <c r="R20" i="43"/>
  <c r="I20" i="43"/>
  <c r="I19" i="43"/>
  <c r="I18" i="43"/>
  <c r="I17" i="43"/>
  <c r="I16" i="43"/>
  <c r="I15" i="43"/>
  <c r="I14" i="43"/>
  <c r="I13" i="43"/>
  <c r="I12" i="43"/>
  <c r="R11" i="43"/>
  <c r="I11" i="43"/>
  <c r="I10" i="43"/>
  <c r="R9" i="43"/>
  <c r="I9" i="43"/>
  <c r="R8" i="43"/>
  <c r="I8" i="43"/>
  <c r="I47" i="43" s="1"/>
  <c r="I52" i="43" s="1"/>
  <c r="R7" i="43"/>
  <c r="I7" i="43"/>
  <c r="R6" i="43"/>
  <c r="I6" i="43"/>
  <c r="I5" i="43"/>
  <c r="R4" i="43"/>
  <c r="I4" i="43"/>
  <c r="I3" i="43"/>
  <c r="I64" i="44"/>
  <c r="I63" i="44"/>
  <c r="I62" i="44"/>
  <c r="Q55" i="44"/>
  <c r="J60" i="44" s="1"/>
  <c r="J67" i="44" s="1"/>
  <c r="P55" i="44"/>
  <c r="O55" i="44"/>
  <c r="N55" i="44"/>
  <c r="M55" i="44"/>
  <c r="L55" i="44"/>
  <c r="K55" i="44"/>
  <c r="J55" i="44"/>
  <c r="H55" i="44"/>
  <c r="G55" i="44"/>
  <c r="R35" i="42"/>
  <c r="I35" i="42"/>
  <c r="I34" i="42"/>
  <c r="I33" i="42"/>
  <c r="R32" i="42"/>
  <c r="I32" i="42"/>
  <c r="I31" i="42"/>
  <c r="I30" i="42"/>
  <c r="R29" i="42"/>
  <c r="I29" i="42"/>
  <c r="I28" i="42"/>
  <c r="I27" i="42"/>
  <c r="I26" i="42"/>
  <c r="I25" i="42"/>
  <c r="I24" i="42"/>
  <c r="R23" i="42"/>
  <c r="I23" i="42"/>
  <c r="I22" i="42"/>
  <c r="R21" i="42"/>
  <c r="I21" i="42"/>
  <c r="I20" i="42"/>
  <c r="I19" i="42"/>
  <c r="R18" i="42"/>
  <c r="I18" i="42"/>
  <c r="I17" i="42"/>
  <c r="R16" i="42"/>
  <c r="I16" i="42"/>
  <c r="I15" i="42"/>
  <c r="I14" i="42"/>
  <c r="R13" i="42"/>
  <c r="I13" i="42"/>
  <c r="R12" i="42"/>
  <c r="I12" i="42"/>
  <c r="I11" i="42"/>
  <c r="I10" i="42"/>
  <c r="R9" i="42"/>
  <c r="I9" i="42"/>
  <c r="R8" i="42"/>
  <c r="I8" i="42"/>
  <c r="R7" i="42"/>
  <c r="I7" i="42"/>
  <c r="R6" i="42"/>
  <c r="I6" i="42"/>
  <c r="I5" i="42"/>
  <c r="R4" i="42"/>
  <c r="I4" i="42"/>
  <c r="R3" i="42"/>
  <c r="R37" i="42" s="1"/>
  <c r="I43" i="42" s="1"/>
  <c r="I3" i="42"/>
  <c r="I56" i="43"/>
  <c r="I55" i="43"/>
  <c r="I54" i="43"/>
  <c r="Q47" i="43"/>
  <c r="J52" i="43" s="1"/>
  <c r="J59" i="43" s="1"/>
  <c r="P47" i="43"/>
  <c r="O47" i="43"/>
  <c r="N47" i="43"/>
  <c r="M47" i="43"/>
  <c r="L47" i="43"/>
  <c r="K47" i="43"/>
  <c r="J47" i="43"/>
  <c r="H47" i="43"/>
  <c r="G47" i="43"/>
  <c r="I50" i="41"/>
  <c r="R49" i="41"/>
  <c r="I49" i="41"/>
  <c r="I48" i="41"/>
  <c r="R47" i="41"/>
  <c r="I47" i="41"/>
  <c r="I46" i="41"/>
  <c r="I45" i="41"/>
  <c r="R44" i="41"/>
  <c r="I44" i="41"/>
  <c r="I43" i="41"/>
  <c r="I42" i="41"/>
  <c r="I41" i="41"/>
  <c r="R40" i="41"/>
  <c r="I40" i="41"/>
  <c r="I39" i="41"/>
  <c r="I38" i="41"/>
  <c r="I37" i="41"/>
  <c r="I36" i="41"/>
  <c r="I35" i="41"/>
  <c r="I34" i="41"/>
  <c r="R33" i="41"/>
  <c r="I33" i="41"/>
  <c r="I32" i="41"/>
  <c r="R31" i="41"/>
  <c r="I31" i="41"/>
  <c r="I30" i="41"/>
  <c r="I29" i="41"/>
  <c r="I28" i="41"/>
  <c r="I27" i="41"/>
  <c r="I26" i="41"/>
  <c r="I25" i="41"/>
  <c r="R24" i="41"/>
  <c r="I24" i="41"/>
  <c r="R23" i="41"/>
  <c r="I23" i="41"/>
  <c r="R22" i="41"/>
  <c r="I22" i="41"/>
  <c r="R21" i="41"/>
  <c r="I21" i="41"/>
  <c r="R20" i="41"/>
  <c r="I20" i="41"/>
  <c r="I19" i="41"/>
  <c r="I18" i="41"/>
  <c r="R17" i="41"/>
  <c r="I17" i="41"/>
  <c r="R16" i="41"/>
  <c r="I16" i="41"/>
  <c r="I15" i="41"/>
  <c r="I14" i="41"/>
  <c r="I13" i="41"/>
  <c r="I12" i="41"/>
  <c r="R11" i="41"/>
  <c r="I11" i="41"/>
  <c r="I10" i="41"/>
  <c r="I9" i="41"/>
  <c r="I8" i="41"/>
  <c r="I7" i="41"/>
  <c r="R6" i="41"/>
  <c r="I6" i="41"/>
  <c r="I5" i="41"/>
  <c r="R4" i="41"/>
  <c r="I4" i="41"/>
  <c r="I3" i="41"/>
  <c r="I46" i="42"/>
  <c r="I45" i="42"/>
  <c r="I44" i="42"/>
  <c r="Q37" i="42"/>
  <c r="J42" i="42" s="1"/>
  <c r="J49" i="42" s="1"/>
  <c r="P37" i="42"/>
  <c r="O37" i="42"/>
  <c r="N37" i="42"/>
  <c r="M37" i="42"/>
  <c r="L37" i="42"/>
  <c r="K37" i="42"/>
  <c r="J37" i="42"/>
  <c r="H37" i="42"/>
  <c r="G37" i="42"/>
  <c r="R37" i="40"/>
  <c r="I37" i="40"/>
  <c r="R36" i="40"/>
  <c r="I36" i="40"/>
  <c r="I35" i="40"/>
  <c r="R34" i="40"/>
  <c r="I34" i="40"/>
  <c r="I33" i="40"/>
  <c r="I32" i="40"/>
  <c r="I31" i="40"/>
  <c r="R30" i="40"/>
  <c r="I30" i="40"/>
  <c r="R29" i="40"/>
  <c r="I29" i="40"/>
  <c r="I28" i="40"/>
  <c r="R27" i="40"/>
  <c r="I27" i="40"/>
  <c r="R26" i="40"/>
  <c r="I26" i="40"/>
  <c r="I25" i="40"/>
  <c r="I24" i="40"/>
  <c r="I23" i="40"/>
  <c r="I22" i="40"/>
  <c r="I21" i="40"/>
  <c r="I20" i="40"/>
  <c r="I19" i="40"/>
  <c r="R18" i="40"/>
  <c r="I18" i="40"/>
  <c r="I17" i="40"/>
  <c r="I16" i="40"/>
  <c r="I15" i="40"/>
  <c r="I14" i="40"/>
  <c r="R13" i="40"/>
  <c r="I13" i="40"/>
  <c r="R12" i="40"/>
  <c r="I12" i="40"/>
  <c r="I11" i="40"/>
  <c r="I10" i="40"/>
  <c r="R9" i="40"/>
  <c r="I9" i="40"/>
  <c r="I8" i="40"/>
  <c r="I7" i="40"/>
  <c r="R6" i="40"/>
  <c r="I6" i="40"/>
  <c r="I5" i="40"/>
  <c r="I4" i="40"/>
  <c r="I3" i="40"/>
  <c r="I61" i="41"/>
  <c r="I60" i="41"/>
  <c r="I59" i="41"/>
  <c r="Q52" i="41"/>
  <c r="J57" i="41" s="1"/>
  <c r="J64" i="41" s="1"/>
  <c r="P52" i="41"/>
  <c r="O52" i="41"/>
  <c r="N52" i="41"/>
  <c r="M52" i="41"/>
  <c r="L52" i="41"/>
  <c r="K52" i="41"/>
  <c r="J52" i="41"/>
  <c r="H52" i="41"/>
  <c r="G52" i="41"/>
  <c r="H57" i="39"/>
  <c r="R37" i="39"/>
  <c r="R36" i="39"/>
  <c r="R30" i="39"/>
  <c r="R26" i="39"/>
  <c r="R25" i="39"/>
  <c r="R22" i="39"/>
  <c r="R10" i="39"/>
  <c r="R8" i="39"/>
  <c r="R7" i="39"/>
  <c r="R3" i="39"/>
  <c r="R13" i="39"/>
  <c r="R31" i="39"/>
  <c r="I40" i="39"/>
  <c r="I39" i="39"/>
  <c r="I38" i="39"/>
  <c r="I37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10" i="39"/>
  <c r="I9" i="39"/>
  <c r="I8" i="39"/>
  <c r="I7" i="39"/>
  <c r="I6" i="39"/>
  <c r="I5" i="39"/>
  <c r="I4" i="39"/>
  <c r="I3" i="39"/>
  <c r="I72" i="49" l="1"/>
  <c r="I34" i="47"/>
  <c r="I39" i="47" s="1"/>
  <c r="I46" i="47" s="1"/>
  <c r="R34" i="47"/>
  <c r="I40" i="47" s="1"/>
  <c r="I57" i="48"/>
  <c r="I40" i="46"/>
  <c r="I45" i="46" s="1"/>
  <c r="I52" i="46" s="1"/>
  <c r="R38" i="45"/>
  <c r="I44" i="45" s="1"/>
  <c r="I38" i="45"/>
  <c r="I43" i="45" s="1"/>
  <c r="I50" i="45" s="1"/>
  <c r="I55" i="44"/>
  <c r="I60" i="44" s="1"/>
  <c r="R55" i="44"/>
  <c r="I61" i="44" s="1"/>
  <c r="I67" i="44"/>
  <c r="R47" i="43"/>
  <c r="I53" i="43" s="1"/>
  <c r="I59" i="43" s="1"/>
  <c r="I37" i="42"/>
  <c r="I42" i="42" s="1"/>
  <c r="I49" i="42" s="1"/>
  <c r="I52" i="41"/>
  <c r="I57" i="41" s="1"/>
  <c r="I64" i="41" s="1"/>
  <c r="R52" i="41"/>
  <c r="I58" i="41" s="1"/>
  <c r="I48" i="40"/>
  <c r="I47" i="40"/>
  <c r="I46" i="40"/>
  <c r="R39" i="40"/>
  <c r="I45" i="40" s="1"/>
  <c r="Q39" i="40"/>
  <c r="J44" i="40" s="1"/>
  <c r="J51" i="40" s="1"/>
  <c r="P39" i="40"/>
  <c r="O39" i="40"/>
  <c r="N39" i="40"/>
  <c r="M39" i="40"/>
  <c r="L39" i="40"/>
  <c r="K39" i="40"/>
  <c r="J39" i="40"/>
  <c r="I39" i="40"/>
  <c r="I44" i="40" s="1"/>
  <c r="H39" i="40"/>
  <c r="G39" i="40"/>
  <c r="I66" i="38"/>
  <c r="I64" i="38"/>
  <c r="R64" i="38"/>
  <c r="I63" i="38"/>
  <c r="I62" i="38"/>
  <c r="I61" i="38"/>
  <c r="I60" i="38"/>
  <c r="I59" i="38"/>
  <c r="I58" i="38"/>
  <c r="I57" i="38"/>
  <c r="I56" i="38"/>
  <c r="I55" i="38"/>
  <c r="I54" i="38"/>
  <c r="I53" i="38"/>
  <c r="I52" i="38"/>
  <c r="I51" i="38"/>
  <c r="I50" i="38"/>
  <c r="I49" i="38"/>
  <c r="I48" i="38"/>
  <c r="I47" i="38"/>
  <c r="I46" i="38"/>
  <c r="I45" i="38"/>
  <c r="I44" i="38"/>
  <c r="I43" i="38"/>
  <c r="I42" i="38"/>
  <c r="I41" i="38"/>
  <c r="I40" i="38"/>
  <c r="I39" i="38"/>
  <c r="I38" i="38"/>
  <c r="I37" i="38"/>
  <c r="I36" i="38"/>
  <c r="R36" i="38"/>
  <c r="I35" i="38"/>
  <c r="I34" i="38"/>
  <c r="R34" i="38"/>
  <c r="I33" i="38"/>
  <c r="R33" i="38"/>
  <c r="I32" i="38"/>
  <c r="I31" i="38"/>
  <c r="I30" i="38"/>
  <c r="I29" i="38"/>
  <c r="I28" i="38"/>
  <c r="I27" i="38"/>
  <c r="I26" i="38"/>
  <c r="I25" i="38"/>
  <c r="I24" i="38"/>
  <c r="R24" i="38"/>
  <c r="I23" i="38"/>
  <c r="I22" i="38"/>
  <c r="I21" i="38"/>
  <c r="R21" i="38"/>
  <c r="I20" i="38"/>
  <c r="I19" i="38"/>
  <c r="I18" i="38"/>
  <c r="R18" i="38"/>
  <c r="I17" i="38"/>
  <c r="I16" i="38"/>
  <c r="I15" i="38"/>
  <c r="R15" i="38"/>
  <c r="I65" i="38"/>
  <c r="I14" i="38"/>
  <c r="I13" i="38"/>
  <c r="R12" i="38"/>
  <c r="I12" i="38"/>
  <c r="I11" i="38"/>
  <c r="I10" i="38"/>
  <c r="I9" i="38"/>
  <c r="I8" i="38"/>
  <c r="I7" i="38"/>
  <c r="I6" i="38"/>
  <c r="I5" i="38"/>
  <c r="I4" i="38"/>
  <c r="I3" i="38"/>
  <c r="I51" i="39"/>
  <c r="I50" i="39"/>
  <c r="I49" i="39"/>
  <c r="R42" i="39"/>
  <c r="I48" i="39" s="1"/>
  <c r="Q42" i="39"/>
  <c r="J47" i="39" s="1"/>
  <c r="J54" i="39" s="1"/>
  <c r="P42" i="39"/>
  <c r="O42" i="39"/>
  <c r="N42" i="39"/>
  <c r="M42" i="39"/>
  <c r="L42" i="39"/>
  <c r="K42" i="39"/>
  <c r="J42" i="39"/>
  <c r="I42" i="39"/>
  <c r="I47" i="39" s="1"/>
  <c r="H42" i="39"/>
  <c r="G42" i="39"/>
  <c r="I19" i="37"/>
  <c r="I18" i="37"/>
  <c r="I17" i="37"/>
  <c r="R16" i="37"/>
  <c r="I16" i="37"/>
  <c r="I15" i="37"/>
  <c r="R14" i="37"/>
  <c r="I14" i="37"/>
  <c r="I13" i="37"/>
  <c r="I12" i="37"/>
  <c r="I11" i="37"/>
  <c r="I10" i="37"/>
  <c r="I9" i="37"/>
  <c r="I8" i="37"/>
  <c r="I7" i="37"/>
  <c r="I6" i="37"/>
  <c r="I5" i="37"/>
  <c r="R4" i="37"/>
  <c r="I4" i="37"/>
  <c r="I3" i="37"/>
  <c r="I51" i="40" l="1"/>
  <c r="I54" i="39"/>
  <c r="I77" i="38"/>
  <c r="I76" i="38"/>
  <c r="I75" i="38"/>
  <c r="R68" i="38"/>
  <c r="I74" i="38" s="1"/>
  <c r="Q68" i="38"/>
  <c r="J73" i="38" s="1"/>
  <c r="J80" i="38" s="1"/>
  <c r="P68" i="38"/>
  <c r="O68" i="38"/>
  <c r="N68" i="38"/>
  <c r="M68" i="38"/>
  <c r="L68" i="38"/>
  <c r="K68" i="38"/>
  <c r="J68" i="38"/>
  <c r="I68" i="38"/>
  <c r="I73" i="38" s="1"/>
  <c r="H68" i="38"/>
  <c r="G68" i="38"/>
  <c r="I19" i="36"/>
  <c r="R18" i="36"/>
  <c r="I18" i="36"/>
  <c r="R17" i="36"/>
  <c r="I17" i="36"/>
  <c r="R16" i="36"/>
  <c r="I16" i="36"/>
  <c r="R15" i="36"/>
  <c r="I15" i="36"/>
  <c r="R14" i="36"/>
  <c r="I14" i="36"/>
  <c r="R13" i="36"/>
  <c r="I13" i="36"/>
  <c r="R12" i="36"/>
  <c r="I12" i="36"/>
  <c r="R11" i="36"/>
  <c r="I11" i="36"/>
  <c r="I10" i="36"/>
  <c r="R9" i="36"/>
  <c r="I9" i="36"/>
  <c r="I8" i="36"/>
  <c r="I7" i="36"/>
  <c r="I6" i="36"/>
  <c r="R5" i="36"/>
  <c r="R21" i="36" s="1"/>
  <c r="I27" i="36" s="1"/>
  <c r="I5" i="36"/>
  <c r="R4" i="36"/>
  <c r="I4" i="36"/>
  <c r="I3" i="36"/>
  <c r="I30" i="37"/>
  <c r="I29" i="37"/>
  <c r="I28" i="37"/>
  <c r="R21" i="37"/>
  <c r="I27" i="37" s="1"/>
  <c r="Q21" i="37"/>
  <c r="J26" i="37" s="1"/>
  <c r="J33" i="37" s="1"/>
  <c r="P21" i="37"/>
  <c r="O21" i="37"/>
  <c r="N21" i="37"/>
  <c r="M21" i="37"/>
  <c r="L21" i="37"/>
  <c r="K21" i="37"/>
  <c r="J21" i="37"/>
  <c r="I21" i="37"/>
  <c r="I26" i="37" s="1"/>
  <c r="H21" i="37"/>
  <c r="G21" i="37"/>
  <c r="R16" i="35"/>
  <c r="R14" i="35"/>
  <c r="R24" i="35" s="1"/>
  <c r="I30" i="35" s="1"/>
  <c r="R10" i="35"/>
  <c r="R7" i="35"/>
  <c r="R3" i="35"/>
  <c r="R5" i="35"/>
  <c r="R11" i="35"/>
  <c r="I22" i="35"/>
  <c r="I21" i="35"/>
  <c r="I20" i="35"/>
  <c r="I19" i="35"/>
  <c r="I18" i="35"/>
  <c r="I17" i="35"/>
  <c r="I16" i="35"/>
  <c r="I15" i="35"/>
  <c r="I14" i="35"/>
  <c r="I13" i="35"/>
  <c r="I12" i="35"/>
  <c r="I11" i="35"/>
  <c r="I10" i="35"/>
  <c r="I9" i="35"/>
  <c r="I8" i="35"/>
  <c r="I7" i="35"/>
  <c r="I6" i="35"/>
  <c r="I5" i="35"/>
  <c r="I4" i="35"/>
  <c r="I3" i="35"/>
  <c r="I30" i="36"/>
  <c r="I29" i="36"/>
  <c r="I28" i="36"/>
  <c r="Q21" i="36"/>
  <c r="J26" i="36" s="1"/>
  <c r="J33" i="36" s="1"/>
  <c r="P21" i="36"/>
  <c r="O21" i="36"/>
  <c r="N21" i="36"/>
  <c r="M21" i="36"/>
  <c r="L21" i="36"/>
  <c r="K21" i="36"/>
  <c r="J21" i="36"/>
  <c r="I21" i="36"/>
  <c r="I26" i="36" s="1"/>
  <c r="H21" i="36"/>
  <c r="G21" i="36"/>
  <c r="R21" i="34"/>
  <c r="I21" i="34"/>
  <c r="I20" i="34"/>
  <c r="I19" i="34"/>
  <c r="I18" i="34"/>
  <c r="I17" i="34"/>
  <c r="I16" i="34"/>
  <c r="I15" i="34"/>
  <c r="I14" i="34"/>
  <c r="I13" i="34"/>
  <c r="I12" i="34"/>
  <c r="I11" i="34"/>
  <c r="I10" i="34"/>
  <c r="I9" i="34"/>
  <c r="R8" i="34"/>
  <c r="I8" i="34"/>
  <c r="R7" i="34"/>
  <c r="I7" i="34"/>
  <c r="I6" i="34"/>
  <c r="R5" i="34"/>
  <c r="I5" i="34"/>
  <c r="R4" i="34"/>
  <c r="I4" i="34"/>
  <c r="I3" i="34"/>
  <c r="I33" i="35"/>
  <c r="I32" i="35"/>
  <c r="I31" i="35"/>
  <c r="Q24" i="35"/>
  <c r="J29" i="35" s="1"/>
  <c r="J36" i="35" s="1"/>
  <c r="P24" i="35"/>
  <c r="O24" i="35"/>
  <c r="N24" i="35"/>
  <c r="M24" i="35"/>
  <c r="L24" i="35"/>
  <c r="K24" i="35"/>
  <c r="J24" i="35"/>
  <c r="H24" i="35"/>
  <c r="G24" i="35"/>
  <c r="R25" i="33"/>
  <c r="I25" i="33"/>
  <c r="I24" i="33"/>
  <c r="R23" i="33"/>
  <c r="I23" i="33"/>
  <c r="I22" i="33"/>
  <c r="R21" i="33"/>
  <c r="I21" i="33"/>
  <c r="R20" i="33"/>
  <c r="I20" i="33"/>
  <c r="I19" i="33"/>
  <c r="R18" i="33"/>
  <c r="I18" i="33"/>
  <c r="R17" i="33"/>
  <c r="I17" i="33"/>
  <c r="R16" i="33"/>
  <c r="I16" i="33"/>
  <c r="I15" i="33"/>
  <c r="R14" i="33"/>
  <c r="I14" i="33"/>
  <c r="I13" i="33"/>
  <c r="R12" i="33"/>
  <c r="I12" i="33"/>
  <c r="R11" i="33"/>
  <c r="I11" i="33"/>
  <c r="I10" i="33"/>
  <c r="R9" i="33"/>
  <c r="I9" i="33"/>
  <c r="I8" i="33"/>
  <c r="I7" i="33"/>
  <c r="R6" i="33"/>
  <c r="I6" i="33"/>
  <c r="R5" i="33"/>
  <c r="I5" i="33"/>
  <c r="R4" i="33"/>
  <c r="I4" i="33"/>
  <c r="R3" i="33"/>
  <c r="I3" i="33"/>
  <c r="I80" i="38" l="1"/>
  <c r="I33" i="37"/>
  <c r="I24" i="35"/>
  <c r="I29" i="35" s="1"/>
  <c r="I36" i="35" s="1"/>
  <c r="I33" i="36"/>
  <c r="I32" i="34"/>
  <c r="I31" i="34"/>
  <c r="I30" i="34"/>
  <c r="R23" i="34"/>
  <c r="I29" i="34" s="1"/>
  <c r="Q23" i="34"/>
  <c r="J28" i="34" s="1"/>
  <c r="J35" i="34" s="1"/>
  <c r="P23" i="34"/>
  <c r="O23" i="34"/>
  <c r="N23" i="34"/>
  <c r="M23" i="34"/>
  <c r="L23" i="34"/>
  <c r="K23" i="34"/>
  <c r="J23" i="34"/>
  <c r="I23" i="34"/>
  <c r="I28" i="34" s="1"/>
  <c r="H23" i="34"/>
  <c r="G23" i="34"/>
  <c r="R40" i="32"/>
  <c r="I40" i="32"/>
  <c r="I39" i="32"/>
  <c r="I38" i="32"/>
  <c r="R37" i="32"/>
  <c r="I37" i="32"/>
  <c r="I36" i="32"/>
  <c r="R35" i="32"/>
  <c r="I35" i="32"/>
  <c r="R34" i="32"/>
  <c r="I34" i="32"/>
  <c r="I33" i="32"/>
  <c r="I32" i="32"/>
  <c r="I31" i="32"/>
  <c r="I30" i="32"/>
  <c r="I29" i="32"/>
  <c r="I28" i="32"/>
  <c r="I27" i="32"/>
  <c r="I26" i="32"/>
  <c r="I25" i="32"/>
  <c r="I24" i="32"/>
  <c r="R23" i="32"/>
  <c r="I23" i="32"/>
  <c r="I22" i="32"/>
  <c r="I21" i="32"/>
  <c r="I20" i="32"/>
  <c r="I19" i="32"/>
  <c r="R18" i="32"/>
  <c r="I18" i="32"/>
  <c r="I17" i="32"/>
  <c r="I16" i="32"/>
  <c r="I15" i="32"/>
  <c r="R14" i="32"/>
  <c r="I14" i="32"/>
  <c r="I13" i="32"/>
  <c r="I12" i="32"/>
  <c r="I11" i="32"/>
  <c r="I10" i="32"/>
  <c r="I9" i="32"/>
  <c r="I8" i="32"/>
  <c r="R7" i="32"/>
  <c r="I7" i="32"/>
  <c r="R6" i="32"/>
  <c r="I6" i="32"/>
  <c r="I5" i="32"/>
  <c r="I4" i="32"/>
  <c r="I3" i="32"/>
  <c r="I36" i="33"/>
  <c r="I35" i="33"/>
  <c r="I34" i="33"/>
  <c r="R27" i="33"/>
  <c r="I33" i="33" s="1"/>
  <c r="Q27" i="33"/>
  <c r="J32" i="33" s="1"/>
  <c r="J39" i="33" s="1"/>
  <c r="P27" i="33"/>
  <c r="O27" i="33"/>
  <c r="N27" i="33"/>
  <c r="M27" i="33"/>
  <c r="L27" i="33"/>
  <c r="K27" i="33"/>
  <c r="J27" i="33"/>
  <c r="I27" i="33"/>
  <c r="I32" i="33" s="1"/>
  <c r="H27" i="33"/>
  <c r="G27" i="33"/>
  <c r="I19" i="31"/>
  <c r="I18" i="31"/>
  <c r="I17" i="31"/>
  <c r="I16" i="31"/>
  <c r="I15" i="31"/>
  <c r="I14" i="31"/>
  <c r="I13" i="31"/>
  <c r="I12" i="31"/>
  <c r="I11" i="31"/>
  <c r="I10" i="31"/>
  <c r="I9" i="31"/>
  <c r="I8" i="31"/>
  <c r="I7" i="31"/>
  <c r="I6" i="31"/>
  <c r="I5" i="31"/>
  <c r="I4" i="31"/>
  <c r="I3" i="31"/>
  <c r="I51" i="32"/>
  <c r="I50" i="32"/>
  <c r="I49" i="32"/>
  <c r="R42" i="32"/>
  <c r="I48" i="32" s="1"/>
  <c r="Q42" i="32"/>
  <c r="J47" i="32" s="1"/>
  <c r="J54" i="32" s="1"/>
  <c r="P42" i="32"/>
  <c r="O42" i="32"/>
  <c r="N42" i="32"/>
  <c r="M42" i="32"/>
  <c r="L42" i="32"/>
  <c r="K42" i="32"/>
  <c r="J42" i="32"/>
  <c r="H42" i="32"/>
  <c r="G42" i="32"/>
  <c r="H54" i="30"/>
  <c r="R37" i="30"/>
  <c r="I37" i="30"/>
  <c r="I36" i="30"/>
  <c r="I35" i="30"/>
  <c r="R34" i="30"/>
  <c r="I34" i="30"/>
  <c r="I33" i="30"/>
  <c r="I32" i="30"/>
  <c r="I31" i="30"/>
  <c r="I30" i="30"/>
  <c r="I29" i="30"/>
  <c r="I28" i="30"/>
  <c r="I27" i="30"/>
  <c r="I26" i="30"/>
  <c r="R25" i="30"/>
  <c r="I25" i="30"/>
  <c r="I24" i="30"/>
  <c r="R23" i="30"/>
  <c r="I23" i="30"/>
  <c r="R22" i="30"/>
  <c r="I22" i="30"/>
  <c r="R21" i="30"/>
  <c r="I21" i="30"/>
  <c r="I20" i="30"/>
  <c r="I19" i="30"/>
  <c r="I18" i="30"/>
  <c r="I17" i="30"/>
  <c r="R16" i="30"/>
  <c r="I16" i="30"/>
  <c r="R15" i="30"/>
  <c r="I15" i="30"/>
  <c r="I14" i="30"/>
  <c r="I13" i="30"/>
  <c r="I12" i="30"/>
  <c r="R11" i="30"/>
  <c r="I11" i="30"/>
  <c r="I10" i="30"/>
  <c r="I9" i="30"/>
  <c r="R8" i="30"/>
  <c r="I8" i="30"/>
  <c r="R7" i="30"/>
  <c r="I7" i="30"/>
  <c r="I6" i="30"/>
  <c r="I5" i="30"/>
  <c r="I4" i="30"/>
  <c r="I3" i="30"/>
  <c r="I35" i="34" l="1"/>
  <c r="I39" i="33"/>
  <c r="I42" i="32"/>
  <c r="I47" i="32" s="1"/>
  <c r="I54" i="32" s="1"/>
  <c r="I30" i="31"/>
  <c r="I29" i="31"/>
  <c r="I28" i="31"/>
  <c r="R21" i="31"/>
  <c r="I27" i="31" s="1"/>
  <c r="Q21" i="31"/>
  <c r="J26" i="31" s="1"/>
  <c r="J33" i="31" s="1"/>
  <c r="P21" i="31"/>
  <c r="O21" i="31"/>
  <c r="N21" i="31"/>
  <c r="M21" i="31"/>
  <c r="L21" i="31"/>
  <c r="K21" i="31"/>
  <c r="J21" i="31"/>
  <c r="I21" i="31"/>
  <c r="I26" i="31" s="1"/>
  <c r="H21" i="31"/>
  <c r="G21" i="31"/>
  <c r="H56" i="29"/>
  <c r="H55" i="29"/>
  <c r="R38" i="29"/>
  <c r="I38" i="29"/>
  <c r="I37" i="29"/>
  <c r="I36" i="29"/>
  <c r="R35" i="29"/>
  <c r="I35" i="29"/>
  <c r="R34" i="29"/>
  <c r="I34" i="29"/>
  <c r="R33" i="29"/>
  <c r="I33" i="29"/>
  <c r="I32" i="29"/>
  <c r="R31" i="29"/>
  <c r="I31" i="29"/>
  <c r="I30" i="29"/>
  <c r="I29" i="29"/>
  <c r="I28" i="29"/>
  <c r="I27" i="29"/>
  <c r="R26" i="29"/>
  <c r="I26" i="29"/>
  <c r="R25" i="29"/>
  <c r="I25" i="29"/>
  <c r="R24" i="29"/>
  <c r="I24" i="29"/>
  <c r="I23" i="29"/>
  <c r="I22" i="29"/>
  <c r="I21" i="29"/>
  <c r="I20" i="29"/>
  <c r="R19" i="29"/>
  <c r="I19" i="29"/>
  <c r="I18" i="29"/>
  <c r="R17" i="29"/>
  <c r="I17" i="29"/>
  <c r="I16" i="29"/>
  <c r="R15" i="29"/>
  <c r="I15" i="29"/>
  <c r="I14" i="29"/>
  <c r="R13" i="29"/>
  <c r="I13" i="29"/>
  <c r="R12" i="29"/>
  <c r="I12" i="29"/>
  <c r="I11" i="29"/>
  <c r="I10" i="29"/>
  <c r="I9" i="29"/>
  <c r="R8" i="29"/>
  <c r="I8" i="29"/>
  <c r="R7" i="29"/>
  <c r="I7" i="29"/>
  <c r="I40" i="29" s="1"/>
  <c r="I45" i="29" s="1"/>
  <c r="R6" i="29"/>
  <c r="R40" i="29" s="1"/>
  <c r="I46" i="29" s="1"/>
  <c r="I6" i="29"/>
  <c r="I5" i="29"/>
  <c r="I4" i="29"/>
  <c r="I3" i="29"/>
  <c r="I48" i="30"/>
  <c r="I47" i="30"/>
  <c r="I46" i="30"/>
  <c r="R39" i="30"/>
  <c r="I45" i="30" s="1"/>
  <c r="Q39" i="30"/>
  <c r="J44" i="30" s="1"/>
  <c r="J51" i="30" s="1"/>
  <c r="P39" i="30"/>
  <c r="O39" i="30"/>
  <c r="N39" i="30"/>
  <c r="M39" i="30"/>
  <c r="L39" i="30"/>
  <c r="K39" i="30"/>
  <c r="J39" i="30"/>
  <c r="I39" i="30"/>
  <c r="I44" i="30" s="1"/>
  <c r="H39" i="30"/>
  <c r="G39" i="30"/>
  <c r="H46" i="28"/>
  <c r="R29" i="28"/>
  <c r="I29" i="28"/>
  <c r="I28" i="28"/>
  <c r="I27" i="28"/>
  <c r="I26" i="28"/>
  <c r="I25" i="28"/>
  <c r="I24" i="28"/>
  <c r="I23" i="28"/>
  <c r="R22" i="28"/>
  <c r="R31" i="28" s="1"/>
  <c r="I37" i="28" s="1"/>
  <c r="I22" i="28"/>
  <c r="R21" i="28"/>
  <c r="I21" i="28"/>
  <c r="I20" i="28"/>
  <c r="I19" i="28"/>
  <c r="R18" i="28"/>
  <c r="I18" i="28"/>
  <c r="I17" i="28"/>
  <c r="R16" i="28"/>
  <c r="I16" i="28"/>
  <c r="I15" i="28"/>
  <c r="I14" i="28"/>
  <c r="R13" i="28"/>
  <c r="I13" i="28"/>
  <c r="I12" i="28"/>
  <c r="R11" i="28"/>
  <c r="I11" i="28"/>
  <c r="I10" i="28"/>
  <c r="I9" i="28"/>
  <c r="I8" i="28"/>
  <c r="R7" i="28"/>
  <c r="I7" i="28"/>
  <c r="I6" i="28"/>
  <c r="I5" i="28"/>
  <c r="I31" i="28" s="1"/>
  <c r="I36" i="28" s="1"/>
  <c r="I4" i="28"/>
  <c r="I3" i="28"/>
  <c r="I49" i="29"/>
  <c r="I48" i="29"/>
  <c r="I47" i="29"/>
  <c r="Q40" i="29"/>
  <c r="J45" i="29" s="1"/>
  <c r="J52" i="29" s="1"/>
  <c r="P40" i="29"/>
  <c r="O40" i="29"/>
  <c r="N40" i="29"/>
  <c r="M40" i="29"/>
  <c r="L40" i="29"/>
  <c r="K40" i="29"/>
  <c r="J40" i="29"/>
  <c r="H40" i="29"/>
  <c r="G40" i="29"/>
  <c r="R19" i="27"/>
  <c r="R17" i="27"/>
  <c r="R12" i="27"/>
  <c r="R10" i="27"/>
  <c r="I22" i="27"/>
  <c r="I21" i="27"/>
  <c r="I20" i="27"/>
  <c r="I19" i="27"/>
  <c r="I18" i="27"/>
  <c r="I17" i="27"/>
  <c r="I16" i="27"/>
  <c r="I15" i="27"/>
  <c r="I14" i="27"/>
  <c r="I13" i="27"/>
  <c r="I12" i="27"/>
  <c r="I11" i="27"/>
  <c r="I10" i="27"/>
  <c r="I9" i="27"/>
  <c r="I8" i="27"/>
  <c r="I7" i="27"/>
  <c r="I6" i="27"/>
  <c r="I5" i="27"/>
  <c r="I4" i="27"/>
  <c r="I3" i="27"/>
  <c r="I40" i="28"/>
  <c r="I39" i="28"/>
  <c r="I38" i="28"/>
  <c r="Q31" i="28"/>
  <c r="J36" i="28" s="1"/>
  <c r="J43" i="28" s="1"/>
  <c r="P31" i="28"/>
  <c r="O31" i="28"/>
  <c r="N31" i="28"/>
  <c r="M31" i="28"/>
  <c r="L31" i="28"/>
  <c r="K31" i="28"/>
  <c r="J31" i="28"/>
  <c r="H31" i="28"/>
  <c r="G31" i="28"/>
  <c r="H24" i="27"/>
  <c r="J24" i="27"/>
  <c r="K24" i="27"/>
  <c r="L24" i="27"/>
  <c r="M24" i="27"/>
  <c r="N24" i="27"/>
  <c r="O24" i="27"/>
  <c r="P24" i="27"/>
  <c r="Q24" i="27"/>
  <c r="J29" i="27" s="1"/>
  <c r="J36" i="27" s="1"/>
  <c r="G24" i="27"/>
  <c r="H56" i="26"/>
  <c r="I56" i="26"/>
  <c r="J56" i="26"/>
  <c r="K56" i="26"/>
  <c r="L56" i="26"/>
  <c r="M56" i="26"/>
  <c r="N56" i="26"/>
  <c r="O56" i="26"/>
  <c r="P56" i="26"/>
  <c r="Q56" i="26"/>
  <c r="J61" i="26" s="1"/>
  <c r="J68" i="26" s="1"/>
  <c r="R56" i="26"/>
  <c r="G56" i="26"/>
  <c r="I61" i="26"/>
  <c r="H71" i="26"/>
  <c r="I54" i="26"/>
  <c r="R53" i="26"/>
  <c r="I53" i="26"/>
  <c r="R52" i="26"/>
  <c r="I52" i="26"/>
  <c r="R51" i="26"/>
  <c r="I51" i="26"/>
  <c r="I50" i="26"/>
  <c r="R49" i="26"/>
  <c r="I49" i="26"/>
  <c r="I48" i="26"/>
  <c r="I47" i="26"/>
  <c r="I46" i="26"/>
  <c r="I45" i="26"/>
  <c r="R44" i="26"/>
  <c r="I44" i="26"/>
  <c r="I43" i="26"/>
  <c r="R42" i="26"/>
  <c r="I42" i="26"/>
  <c r="I41" i="26"/>
  <c r="I40" i="26"/>
  <c r="I39" i="26"/>
  <c r="I38" i="26"/>
  <c r="R37" i="26"/>
  <c r="I37" i="26"/>
  <c r="I36" i="26"/>
  <c r="I35" i="26"/>
  <c r="R34" i="26"/>
  <c r="I34" i="26"/>
  <c r="R33" i="26"/>
  <c r="I33" i="26"/>
  <c r="I32" i="26"/>
  <c r="R31" i="26"/>
  <c r="I31" i="26"/>
  <c r="I30" i="26"/>
  <c r="I29" i="26"/>
  <c r="I28" i="26"/>
  <c r="R27" i="26"/>
  <c r="I27" i="26"/>
  <c r="I26" i="26"/>
  <c r="R25" i="26"/>
  <c r="I25" i="26"/>
  <c r="I24" i="26"/>
  <c r="I23" i="26"/>
  <c r="R22" i="26"/>
  <c r="I22" i="26"/>
  <c r="I21" i="26"/>
  <c r="I20" i="26"/>
  <c r="R19" i="26"/>
  <c r="I19" i="26"/>
  <c r="I18" i="26"/>
  <c r="I17" i="26"/>
  <c r="R16" i="26"/>
  <c r="I16" i="26"/>
  <c r="I15" i="26"/>
  <c r="I14" i="26"/>
  <c r="R13" i="26"/>
  <c r="I13" i="26"/>
  <c r="I12" i="26"/>
  <c r="I11" i="26"/>
  <c r="I10" i="26"/>
  <c r="R9" i="26"/>
  <c r="I9" i="26"/>
  <c r="I8" i="26"/>
  <c r="I7" i="26"/>
  <c r="I6" i="26"/>
  <c r="I5" i="26"/>
  <c r="I4" i="26"/>
  <c r="I3" i="26"/>
  <c r="I33" i="27"/>
  <c r="I32" i="27"/>
  <c r="I31" i="27"/>
  <c r="I65" i="26"/>
  <c r="I64" i="26"/>
  <c r="I63" i="26"/>
  <c r="I33" i="31" l="1"/>
  <c r="I51" i="30"/>
  <c r="I43" i="28"/>
  <c r="I52" i="29"/>
  <c r="R24" i="27"/>
  <c r="I30" i="27" s="1"/>
  <c r="I24" i="27"/>
  <c r="I29" i="27" s="1"/>
  <c r="I36" i="27" s="1"/>
  <c r="I62" i="26"/>
  <c r="I68" i="26" s="1"/>
</calcChain>
</file>

<file path=xl/sharedStrings.xml><?xml version="1.0" encoding="utf-8"?>
<sst xmlns="http://schemas.openxmlformats.org/spreadsheetml/2006/main" count="7863" uniqueCount="2484">
  <si>
    <t>Tình trạng TT</t>
  </si>
  <si>
    <t>SHOP</t>
  </si>
  <si>
    <t>TÊN KH</t>
  </si>
  <si>
    <t>MÃ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</si>
  <si>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</si>
  <si>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</si>
  <si>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</si>
  <si>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</si>
  <si>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</si>
  <si>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</si>
  <si>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</si>
  <si>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</si>
  <si>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</si>
  <si>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</si>
  <si>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</si>
  <si>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Tiền</t>
  </si>
  <si>
    <t>Số đơn</t>
  </si>
  <si>
    <t>Tiền hàng Thanh Toán</t>
  </si>
  <si>
    <t>Trừ Ship</t>
  </si>
  <si>
    <t>Cước xe</t>
  </si>
  <si>
    <t>Khách C.khoản</t>
  </si>
  <si>
    <t>Giảm tiền thu Khách</t>
  </si>
  <si>
    <t xml:space="preserve">Hàng Boom Trả </t>
  </si>
  <si>
    <t>Trừ đơn củ đã ck</t>
  </si>
  <si>
    <t xml:space="preserve">Tổng Tiền Hàng </t>
  </si>
  <si>
    <t>ĐỊA CHỈ</t>
  </si>
  <si>
    <t>THU 2</t>
  </si>
  <si>
    <t>NGAY 1-6</t>
  </si>
  <si>
    <t>T2.1.6.2026</t>
  </si>
  <si>
    <t>THU 3</t>
  </si>
  <si>
    <t>NGAY 2-6</t>
  </si>
  <si>
    <t>T3.2.6.2026</t>
  </si>
  <si>
    <t>ĐOÀN NGÂN CHÂU</t>
  </si>
  <si>
    <t>Lữ Duyên</t>
  </si>
  <si>
    <t>HD025178</t>
  </si>
  <si>
    <t>76 Quang Trung Tăng nhơn phú B</t>
  </si>
  <si>
    <t>a.quyen</t>
  </si>
  <si>
    <t>c.cuong</t>
  </si>
  <si>
    <t>01-06-2026</t>
  </si>
  <si>
    <t>Hoàng Quỳnh</t>
  </si>
  <si>
    <t>HD025159</t>
  </si>
  <si>
    <t>14/9b đường 12, tăng nhơn phú B</t>
  </si>
  <si>
    <t>Mi Su</t>
  </si>
  <si>
    <t>HD024769</t>
  </si>
  <si>
    <t>34/15/15 lien khu 2-5 kp5 binh tri dong</t>
  </si>
  <si>
    <t>binh tan</t>
  </si>
  <si>
    <t>AT 01-06</t>
  </si>
  <si>
    <t>Hang Nguyen fb Bella Nguyễn</t>
  </si>
  <si>
    <t>HD024885</t>
  </si>
  <si>
    <t>10/23 chiến lược p bình trị đông</t>
  </si>
  <si>
    <t>Bé Cam</t>
  </si>
  <si>
    <t>HD025067</t>
  </si>
  <si>
    <t>Số 7 đường 31 bình trị đông B</t>
  </si>
  <si>
    <t>Bé My</t>
  </si>
  <si>
    <t>HD024832</t>
  </si>
  <si>
    <t>304/45 đường số 8 bình hưng hoà a</t>
  </si>
  <si>
    <t>Vatana KhengEV37761</t>
  </si>
  <si>
    <t>HD024765</t>
  </si>
  <si>
    <t>315/18/6 Nguyễn Thị Tú, Phường Bình Hưng Hòa B</t>
  </si>
  <si>
    <t>Quyn Nguyễn</t>
  </si>
  <si>
    <t>HD025074</t>
  </si>
  <si>
    <t>Chung cư Emerald block C khu Celadon</t>
  </si>
  <si>
    <t>tan phu</t>
  </si>
  <si>
    <t>Mai Diệu Trang</t>
  </si>
  <si>
    <t>HD025180</t>
  </si>
  <si>
    <t>60a phạm Đinh hổ p2</t>
  </si>
  <si>
    <t>Phuong Tran</t>
  </si>
  <si>
    <t>HD024960</t>
  </si>
  <si>
    <t>40/18 đường 27 p sơn kì</t>
  </si>
  <si>
    <t>Minh Thoan</t>
  </si>
  <si>
    <t>HD025166</t>
  </si>
  <si>
    <t>195 tân hương p phú thọ hoà</t>
  </si>
  <si>
    <t>Như Như</t>
  </si>
  <si>
    <t>HD024827</t>
  </si>
  <si>
    <t>Chung Cư Akari, toà AK7, 77 Võ Văn Kiệt, Phường An Lạc</t>
  </si>
  <si>
    <t>Minh Anh</t>
  </si>
  <si>
    <t>HD025119</t>
  </si>
  <si>
    <t>1A tạ quang bửu, p6 Chung cư tara B2.17.09</t>
  </si>
  <si>
    <t>Huỳnh Lê (Malaysia)</t>
  </si>
  <si>
    <t>HD025207</t>
  </si>
  <si>
    <t>24/5F, Ấp Đông Lân, Xã Bà Điểm</t>
  </si>
  <si>
    <t>hoc mon</t>
  </si>
  <si>
    <t>Huỳnh Quế Trinh</t>
  </si>
  <si>
    <t>HD025151</t>
  </si>
  <si>
    <t>166 đường số 1, khu phố 25, phường Bình Hưng Hòa</t>
  </si>
  <si>
    <t>Minh Thuỳ</t>
  </si>
  <si>
    <t>HD024970</t>
  </si>
  <si>
    <t>54/208/14A Phạm Hùng, xã Bình Hưng</t>
  </si>
  <si>
    <t>binh chanh</t>
  </si>
  <si>
    <t>quỳnh vũ (minh hải)</t>
  </si>
  <si>
    <t>HD024806</t>
  </si>
  <si>
    <t>Số 17 đường số 13 phường bình hưng hòa</t>
  </si>
  <si>
    <t>Linh - fb Trâm Phí</t>
  </si>
  <si>
    <t>HD025073</t>
  </si>
  <si>
    <t>4D4 Thảo Nguyên Sài Gòn, đường số 2, P. Long Bình</t>
  </si>
  <si>
    <t>Thỏ Thỏ</t>
  </si>
  <si>
    <t>HD024768</t>
  </si>
  <si>
    <t>Số 1 đường số 4 kdc vĩnh quang p16</t>
  </si>
  <si>
    <t>Võ Thu Hà</t>
  </si>
  <si>
    <t>HD024962</t>
  </si>
  <si>
    <t>262/15 lũy bán bích, hòa thạch</t>
  </si>
  <si>
    <t>Huỳnh Thanh Trúc</t>
  </si>
  <si>
    <t>HD024857</t>
  </si>
  <si>
    <t>18 nguyễn ngọc nhựt p.tân quý</t>
  </si>
  <si>
    <t>Lam Nguyễn</t>
  </si>
  <si>
    <t>HD025235</t>
  </si>
  <si>
    <t>18 Nguyễn thiệu lâu, hiệp Tân</t>
  </si>
  <si>
    <t>hàng sỉ</t>
  </si>
  <si>
    <t>Nguyễn Minh Hải</t>
  </si>
  <si>
    <t>17 Đường Số 13 Bình Hưng Hoà</t>
  </si>
  <si>
    <t>Ruby vo</t>
  </si>
  <si>
    <t>510 kinh dương vương, phường An Lạc</t>
  </si>
  <si>
    <t>BELLA TRẦN</t>
  </si>
  <si>
    <t>66 đường 17 p10</t>
  </si>
  <si>
    <t>người nhận: Triệu Vy _ Ciny</t>
  </si>
  <si>
    <t>HD025182</t>
  </si>
  <si>
    <t>HCM: 403 Tân Sơn, p12</t>
  </si>
  <si>
    <t>go vap</t>
  </si>
  <si>
    <t>Hoa Ban Mai</t>
  </si>
  <si>
    <t>HD025160</t>
  </si>
  <si>
    <t>Số 12 đường 51 P Bình Trưng Đông cũ</t>
  </si>
  <si>
    <t>Chị Mỹ</t>
  </si>
  <si>
    <t>HD025217</t>
  </si>
  <si>
    <t>Toà Landmark 6 - Vinhomes Central Park, 720A Điện Biên Phủ, Phường Thạnh Mỹ Tây</t>
  </si>
  <si>
    <t>binh thanh</t>
  </si>
  <si>
    <t>W3309 - IG Mint</t>
  </si>
  <si>
    <t>HD024761</t>
  </si>
  <si>
    <t>375 tân thới hiệp 21, Tổ 3, Kp3</t>
  </si>
  <si>
    <t>Anh Hiệp nhận cho Anh Nguyễn</t>
  </si>
  <si>
    <t>HD024906</t>
  </si>
  <si>
    <t>189/46A Bạch Đằng, P3</t>
  </si>
  <si>
    <t>Thuỳ Dương</t>
  </si>
  <si>
    <t>HD025186</t>
  </si>
  <si>
    <t>1275/1 phan văn trị</t>
  </si>
  <si>
    <t>kh ck shop 915k</t>
  </si>
  <si>
    <t>Ngọc Giàu</t>
  </si>
  <si>
    <t>HD025210</t>
  </si>
  <si>
    <t>83/3g đường tam bình phường tam bình</t>
  </si>
  <si>
    <t>thu duc</t>
  </si>
  <si>
    <t>Khả Hân</t>
  </si>
  <si>
    <t>HD025045</t>
  </si>
  <si>
    <t>10 Tạ Hiện Cát Lái</t>
  </si>
  <si>
    <t>Ngô Hoàng Ánh</t>
  </si>
  <si>
    <t>HD025051</t>
  </si>
  <si>
    <t>235 QL13 Cũ, HBP</t>
  </si>
  <si>
    <t>Ái Linh</t>
  </si>
  <si>
    <t>HD025029</t>
  </si>
  <si>
    <t>17/2 đường số 10 p bình trưng tây</t>
  </si>
  <si>
    <t>đổi hàng</t>
  </si>
  <si>
    <t>Vân Bee</t>
  </si>
  <si>
    <t>HD024905</t>
  </si>
  <si>
    <t>302/16 lê đức thọ p6</t>
  </si>
  <si>
    <t>Binh Huong</t>
  </si>
  <si>
    <t>HD024786</t>
  </si>
  <si>
    <t>13 đường 44 phường 14</t>
  </si>
  <si>
    <t>Nguyễn Thị Minh Phượng</t>
  </si>
  <si>
    <t>HD025171</t>
  </si>
  <si>
    <t>ACB Lê văn Khương 225-261a Lê văn Khương, phường Hiệp Thành</t>
  </si>
  <si>
    <t>TRANG TRẦN 2</t>
  </si>
  <si>
    <t>1122/23/7 quang trung phường 8</t>
  </si>
  <si>
    <t>Ly Clara Selena</t>
  </si>
  <si>
    <t>403 tân sơn p12</t>
  </si>
  <si>
    <t>jenny bouti</t>
  </si>
  <si>
    <t>401 Quang trung f10</t>
  </si>
  <si>
    <t>QN NGUYEN</t>
  </si>
  <si>
    <t>189/46a Bạch Đằng, phường Hạnh Thông</t>
  </si>
  <si>
    <t>Hoa Nhỏ</t>
  </si>
  <si>
    <t>HD025169</t>
  </si>
  <si>
    <t>chung cư an gia riverside lê thị chợ, p. phú thuận</t>
  </si>
  <si>
    <t>c.hieu</t>
  </si>
  <si>
    <t>Trang Lê</t>
  </si>
  <si>
    <t>HD025174</t>
  </si>
  <si>
    <t>8A Sông Thương P2</t>
  </si>
  <si>
    <t>tan binh</t>
  </si>
  <si>
    <t>Nguyễn Hoàng Bảo An</t>
  </si>
  <si>
    <t>HD025177</t>
  </si>
  <si>
    <t>Chung cư milendium 132 bến vân đồn</t>
  </si>
  <si>
    <t>Mai Chi Thi Nguyen</t>
  </si>
  <si>
    <t>HD024887</t>
  </si>
  <si>
    <t>100/38 Dương Bá Trạc phường 2</t>
  </si>
  <si>
    <t>Ánh Hồng</t>
  </si>
  <si>
    <t>HD025232</t>
  </si>
  <si>
    <t>266/82/50 tô hiến thành</t>
  </si>
  <si>
    <t>shop chịu ship</t>
  </si>
  <si>
    <t>Nguyet</t>
  </si>
  <si>
    <t>HD025094</t>
  </si>
  <si>
    <t>Toà nhà lux 6...Vinhomes Golden River ( Bason), 2 Nguyễn Hữu Cảnh, P. Bến Nghé</t>
  </si>
  <si>
    <t>Diida pnhom Penh</t>
  </si>
  <si>
    <t>HD025040</t>
  </si>
  <si>
    <t>nhà xe khải nam</t>
  </si>
  <si>
    <t>Trịnh Mộng Tuyền</t>
  </si>
  <si>
    <t>HD025163</t>
  </si>
  <si>
    <t>422 đào trí, phú thuận lock b</t>
  </si>
  <si>
    <t>Kelly Phan</t>
  </si>
  <si>
    <t>HD024762</t>
  </si>
  <si>
    <t>240/6A lê thánh tôn bến thành</t>
  </si>
  <si>
    <t>Trân Trân</t>
  </si>
  <si>
    <t>HD025126</t>
  </si>
  <si>
    <t>con 56 ben van don</t>
  </si>
  <si>
    <t>đơn ck</t>
  </si>
  <si>
    <t>T4.3.6.2026</t>
  </si>
  <si>
    <t>THU 4</t>
  </si>
  <si>
    <t>NGAY 3-6</t>
  </si>
  <si>
    <t>Diễn Phan</t>
  </si>
  <si>
    <t>HD025447</t>
  </si>
  <si>
    <t>11/26/14 đường nam cao</t>
  </si>
  <si>
    <t>AT 02-06</t>
  </si>
  <si>
    <t>02-06-2026</t>
  </si>
  <si>
    <t>Lâm Tuyền (lyly)</t>
  </si>
  <si>
    <t>HD025348</t>
  </si>
  <si>
    <t>Khu C1 chung cư Diamond Cantery đường N2, phường Tây Thạnh</t>
  </si>
  <si>
    <t>Hồ Ngọc</t>
  </si>
  <si>
    <t>HD025417</t>
  </si>
  <si>
    <t>17/12 lương minh nguyệt tân thới hòa</t>
  </si>
  <si>
    <t>NG MY</t>
  </si>
  <si>
    <t>HD025123</t>
  </si>
  <si>
    <t>75/3 đường 30/4 tân thành</t>
  </si>
  <si>
    <t>Lê Kim Khoẻ</t>
  </si>
  <si>
    <t>HD025405</t>
  </si>
  <si>
    <t>block C , Chung cư Conic Đông Nam Á , đường số 2, Xã Bình Hưng (Xã Phong Phú cũ)</t>
  </si>
  <si>
    <t>Kevin Nguyễn</t>
  </si>
  <si>
    <t>HD025433</t>
  </si>
  <si>
    <t>1280/24 phạm thế hiển p. chánh hưng</t>
  </si>
  <si>
    <t>Bé Quyên</t>
  </si>
  <si>
    <t>HD025302</t>
  </si>
  <si>
    <t>40 đường số 7 an lạc A</t>
  </si>
  <si>
    <t>BN10247</t>
  </si>
  <si>
    <t>HD025148</t>
  </si>
  <si>
    <t>163 Trương Thị Hoa</t>
  </si>
  <si>
    <t>Huỳnh Thị Bảo Trân</t>
  </si>
  <si>
    <t>HD025434</t>
  </si>
  <si>
    <t>105/18 đường số 59 p14</t>
  </si>
  <si>
    <t>chị hương fb Kim Tien Pham</t>
  </si>
  <si>
    <t>HD025455</t>
  </si>
  <si>
    <t>328 đường số 8 thông tây hội</t>
  </si>
  <si>
    <t>Phạm Duyên</t>
  </si>
  <si>
    <t>HD025288</t>
  </si>
  <si>
    <t>Số 107, Đường Dương Quảng Hàm, Phường 7</t>
  </si>
  <si>
    <t>Thao Doan</t>
  </si>
  <si>
    <t>HD025355</t>
  </si>
  <si>
    <t>81/64 Nguyễn Cửu Vân, p17</t>
  </si>
  <si>
    <t>thu phùng</t>
  </si>
  <si>
    <t>HD025252</t>
  </si>
  <si>
    <t>Cổng số 4, Feliz En Vista, 1 Lê Hiền Mai, Thạnh Mỹ Lợi</t>
  </si>
  <si>
    <t>Gửi Lucky fb Trang Suri</t>
  </si>
  <si>
    <t>HD025418</t>
  </si>
  <si>
    <t>39 An Nhơn, Phường 17</t>
  </si>
  <si>
    <t>Quach Thu Hien</t>
  </si>
  <si>
    <t>HD025256</t>
  </si>
  <si>
    <t>346 bến vân đồn gold view</t>
  </si>
  <si>
    <t>Cún + Như wl</t>
  </si>
  <si>
    <t>HD025364</t>
  </si>
  <si>
    <t>Kho D36. Đường c2. Phường bảy hiền</t>
  </si>
  <si>
    <t>Mi Yu</t>
  </si>
  <si>
    <t>HD025300</t>
  </si>
  <si>
    <t>12 sông đà phường Tân Sơn Hòa</t>
  </si>
  <si>
    <t>Hiếu Lee</t>
  </si>
  <si>
    <t>HD025333</t>
  </si>
  <si>
    <t>Chung cu folita him lam</t>
  </si>
  <si>
    <t>My My</t>
  </si>
  <si>
    <t>HD025318</t>
  </si>
  <si>
    <t>114 võ liêm Sơn, phường Chánh Hưng</t>
  </si>
  <si>
    <t>đơn trả 3.6</t>
  </si>
  <si>
    <t>NGAY 4-6</t>
  </si>
  <si>
    <t>THU 5</t>
  </si>
  <si>
    <t>T5.4.6.2026</t>
  </si>
  <si>
    <t>Le Ngoc Giau</t>
  </si>
  <si>
    <t>HD025705</t>
  </si>
  <si>
    <t>53 đường số 8 phường bình hưng hoà A</t>
  </si>
  <si>
    <t>AT 03-06</t>
  </si>
  <si>
    <t>03-06-2026</t>
  </si>
  <si>
    <t>Huyền Phan</t>
  </si>
  <si>
    <t>HD025604</t>
  </si>
  <si>
    <t>Toà nhà huy hưng 2 532/21/38 khu y tế kỹ thuật cao, phường an lạc</t>
  </si>
  <si>
    <t>Diễm My</t>
  </si>
  <si>
    <t>HD025471</t>
  </si>
  <si>
    <t>82 lý phục man phường bình thuận (giao cho phòng 714)</t>
  </si>
  <si>
    <t>Nhi Yến</t>
  </si>
  <si>
    <t>HD025525</t>
  </si>
  <si>
    <t>Khu biệt thự Phú Gia, P. Tân Phong (đi đường vào cổng Đông, số nhà 041)</t>
  </si>
  <si>
    <t>MeyMey EV28641</t>
  </si>
  <si>
    <t>HD025539</t>
  </si>
  <si>
    <t>315/18/6 Nguyễn Thị Tú Bình Hưng Hòa B</t>
  </si>
  <si>
    <t>Đỗ Hồng Ánh</t>
  </si>
  <si>
    <t>HD025517</t>
  </si>
  <si>
    <t>a5/16q quốc lộ 1A- tân tạo A</t>
  </si>
  <si>
    <t>Thúy Duy</t>
  </si>
  <si>
    <t>HD025495</t>
  </si>
  <si>
    <t>539/22, hương lộ 3, phường bình hưng hòa</t>
  </si>
  <si>
    <t>Linh Nguyễn</t>
  </si>
  <si>
    <t>HD025670</t>
  </si>
  <si>
    <t>Tòa V6, Sunrise City 23 nguyễn hữu thọ, phường tân hưng</t>
  </si>
  <si>
    <t>Trúc Nguyễn</t>
  </si>
  <si>
    <t>HD025571</t>
  </si>
  <si>
    <t>38 Đường 6 Linh Chiểu</t>
  </si>
  <si>
    <t>Thi Thỏ</t>
  </si>
  <si>
    <t>HD025712</t>
  </si>
  <si>
    <t>338/5/7 Nguyễn Xí phường 13</t>
  </si>
  <si>
    <t>Daisie Lai</t>
  </si>
  <si>
    <t>HD025673</t>
  </si>
  <si>
    <t>Vinhome central park - park 1 zone A, 208 nguyễn hữu cảnh, phường 22</t>
  </si>
  <si>
    <t>chị linh</t>
  </si>
  <si>
    <t>HD025949</t>
  </si>
  <si>
    <t>36-j3, đường dd7-1, phường tân hưng thuận</t>
  </si>
  <si>
    <t>Pon Nis</t>
  </si>
  <si>
    <t>HD023919</t>
  </si>
  <si>
    <t>chung cư tín phong 5 tầng, số nhà 006 đường tân thới nhất B, phường đông hưng thuận</t>
  </si>
  <si>
    <t>HD025602</t>
  </si>
  <si>
    <t>624 Lê thị riêng, thới an</t>
  </si>
  <si>
    <t>Jemial Vo</t>
  </si>
  <si>
    <t>HD025531</t>
  </si>
  <si>
    <t>436 phan văn trị, p. hạnh thông</t>
  </si>
  <si>
    <t>Mien Tran</t>
  </si>
  <si>
    <t>14 Lam Thi Ho, Tan Chanh Hiep Ward</t>
  </si>
  <si>
    <t>Saigon BauTroi</t>
  </si>
  <si>
    <t>HD025678</t>
  </si>
  <si>
    <t>282 Phan Xích Long phường cầu kiệu</t>
  </si>
  <si>
    <t>phu nhuan</t>
  </si>
  <si>
    <t>Quinny Le</t>
  </si>
  <si>
    <t>HD025564</t>
  </si>
  <si>
    <t>51/10 đặng chất p2</t>
  </si>
  <si>
    <t>Bùi Thị Hải Yến</t>
  </si>
  <si>
    <t>HD025667</t>
  </si>
  <si>
    <t>28/13 trần thiện chánh</t>
  </si>
  <si>
    <t>kh ck shop 1725k</t>
  </si>
  <si>
    <t>An fb Anne Nhu Pham</t>
  </si>
  <si>
    <t>HD025568</t>
  </si>
  <si>
    <t>40/14/7 Nguyễn Khoái P2</t>
  </si>
  <si>
    <t>Nga Dinh</t>
  </si>
  <si>
    <t>HD025653</t>
  </si>
  <si>
    <t>184 Nguyễn Đình Chiểu Phường Sài Gòn (Đakao cũ), Spa Cô Chủ Nhỏ</t>
  </si>
  <si>
    <t>Quỳnh Như</t>
  </si>
  <si>
    <t>HD025401</t>
  </si>
  <si>
    <t>66/68, Phố Quang, Phường 2</t>
  </si>
  <si>
    <t>Dương Ngọc Trâm</t>
  </si>
  <si>
    <t>HD025520</t>
  </si>
  <si>
    <t>18 gò cẩm đệm, bảy hiền</t>
  </si>
  <si>
    <t>Lê Thị Quỳnh Yến</t>
  </si>
  <si>
    <t>HD025548</t>
  </si>
  <si>
    <t>82 bạch vân</t>
  </si>
  <si>
    <t>Thanh Hằng (Vivi Kosalim)</t>
  </si>
  <si>
    <t>605 Âu Cơ, Phường Phú Trung</t>
  </si>
  <si>
    <t>DARAVIN</t>
  </si>
  <si>
    <t>301 Phạm Ngũ Lão, Phường Phạm Ngũ Lão</t>
  </si>
  <si>
    <t>T6.5.6.2026</t>
  </si>
  <si>
    <t>THU 6</t>
  </si>
  <si>
    <t>NGAY 5-6</t>
  </si>
  <si>
    <t>HD025980</t>
  </si>
  <si>
    <t>AT 04-06</t>
  </si>
  <si>
    <t>04-06-2026</t>
  </si>
  <si>
    <t>Ngọc Diệu</t>
  </si>
  <si>
    <t>HD025931</t>
  </si>
  <si>
    <t>132 Le van quoi p. bình hưng hòa a</t>
  </si>
  <si>
    <t>Việt Thư</t>
  </si>
  <si>
    <t>HD025809</t>
  </si>
  <si>
    <t>199 đường số 5 bình trị đông</t>
  </si>
  <si>
    <t>NHƯ Ý NGUYỄN</t>
  </si>
  <si>
    <t>HD025899</t>
  </si>
  <si>
    <t>4 đào trí phường Phú thuận</t>
  </si>
  <si>
    <t>Thủy Heri</t>
  </si>
  <si>
    <t>HD025933</t>
  </si>
  <si>
    <t>184/17/35 Bãi Sậy, P. Bình Tiên</t>
  </si>
  <si>
    <t>Ngọc Phượng</t>
  </si>
  <si>
    <t>HD025727</t>
  </si>
  <si>
    <t>The grand midtown m5 đường số 16 p. tân phú</t>
  </si>
  <si>
    <t>Ji Ah</t>
  </si>
  <si>
    <t>HD025815</t>
  </si>
  <si>
    <t>89 Lê Thị Chợ Phú Thuận Chung cư Skyline</t>
  </si>
  <si>
    <t>Tuyết Nhi</t>
  </si>
  <si>
    <t>HD025739</t>
  </si>
  <si>
    <t>Block D2, Chung cư Sài Gòn Riverside, 4 Đào Trí, phú thuận</t>
  </si>
  <si>
    <t>Ngọc Tiên</t>
  </si>
  <si>
    <t>HD025784</t>
  </si>
  <si>
    <t>59 Trần Hưng Đạo, p. tân thành</t>
  </si>
  <si>
    <t>kim trang</t>
  </si>
  <si>
    <t>HD025605</t>
  </si>
  <si>
    <t>94/3/9 phú thọ</t>
  </si>
  <si>
    <t>kh ck shop 1105k</t>
  </si>
  <si>
    <t>THI (KT Ng)</t>
  </si>
  <si>
    <t>HD025728</t>
  </si>
  <si>
    <t>39 Nguyễn Thị Thập khu dân cư Him Lam phuong tan hung</t>
  </si>
  <si>
    <t>Minh Xuân</t>
  </si>
  <si>
    <t>HD025760</t>
  </si>
  <si>
    <t>13 Bình Thới p. phú thọ</t>
  </si>
  <si>
    <t>Jess-9244</t>
  </si>
  <si>
    <t>275/14B1 Đặng Nguyên Cẩn, Phường Phú Lâm</t>
  </si>
  <si>
    <t>Tran Thi Thuy Trang</t>
  </si>
  <si>
    <t>HD025758</t>
  </si>
  <si>
    <t>184 nguyễn xí- cc Bấc Đình Bộ Linh - lô A82 căn cầu thang cuối cùng, Phường 26</t>
  </si>
  <si>
    <t>HD025750</t>
  </si>
  <si>
    <t>Hải Yến</t>
  </si>
  <si>
    <t>HD025650</t>
  </si>
  <si>
    <t>Lô A07.01 chung cư Riverside 90 Nguyễn Hữu Cảnh, Thạnh Mỹ Tây</t>
  </si>
  <si>
    <t>NHI ÚC (THIỀU ĐĂNG KHOA)</t>
  </si>
  <si>
    <t>HD025800</t>
  </si>
  <si>
    <t>653/36 QUANG TRUNG P. 11</t>
  </si>
  <si>
    <t>Tâm Như</t>
  </si>
  <si>
    <t>HD025796</t>
  </si>
  <si>
    <t>129/34 Nguyễn Văn Công, Phường Gò Vấp</t>
  </si>
  <si>
    <t>Phạm Thị Bảo Trân</t>
  </si>
  <si>
    <t>HD025932</t>
  </si>
  <si>
    <t>Block B Chung cư Urban Green, Đường Số 6, Hiệp Bình</t>
  </si>
  <si>
    <t>Nhan Thanh Nguyen</t>
  </si>
  <si>
    <t>HD025618</t>
  </si>
  <si>
    <t>688/12/7 quang trung p11</t>
  </si>
  <si>
    <t>kh ck shop 845k</t>
  </si>
  <si>
    <t>Nguyễn Minh Kính</t>
  </si>
  <si>
    <t>HD025656</t>
  </si>
  <si>
    <t>Vinhomes Central Park P3 208 Nguyễn Hữu Cảnh P22</t>
  </si>
  <si>
    <t>Nguyễn Thị Yến Linh</t>
  </si>
  <si>
    <t>HD025826</t>
  </si>
  <si>
    <t>61a chương dương, linh chiểu</t>
  </si>
  <si>
    <t>Trần Loan</t>
  </si>
  <si>
    <t>HD025935</t>
  </si>
  <si>
    <t>448/56/12 Phan Huy Ích, P12</t>
  </si>
  <si>
    <t>Lyu Na Trann</t>
  </si>
  <si>
    <t>HD025946</t>
  </si>
  <si>
    <t>Chung cư Lavita Garden, số 17, đường số 3, phường Trường Thọ (Lock A, A3-19)</t>
  </si>
  <si>
    <t>JENNY</t>
  </si>
  <si>
    <t>401 Quang Trung f10</t>
  </si>
  <si>
    <t>Khánh Tâm</t>
  </si>
  <si>
    <t>HD025606</t>
  </si>
  <si>
    <t>11 nguyễn tiểu la phường 5</t>
  </si>
  <si>
    <t>Linh Huệ</t>
  </si>
  <si>
    <t>HD025958</t>
  </si>
  <si>
    <t>12 tôn đản</t>
  </si>
  <si>
    <t>Ngan Tran</t>
  </si>
  <si>
    <t>HD025669</t>
  </si>
  <si>
    <t>11/39, Nguyễn Văn Mại, Phường Tân Sơn Nhất</t>
  </si>
  <si>
    <t>Thanh Nguyen</t>
  </si>
  <si>
    <t>HD025938</t>
  </si>
  <si>
    <t>702/3E Sư Vạn Hạnh, phường Hòa Hưng</t>
  </si>
  <si>
    <t>HD025964</t>
  </si>
  <si>
    <t>18 Gò Cẩm Đệm, bảy hiền</t>
  </si>
  <si>
    <t>Quinney Le</t>
  </si>
  <si>
    <t>HD025837</t>
  </si>
  <si>
    <t>HD025744</t>
  </si>
  <si>
    <t>28/13 Trần Thiện Chánh</t>
  </si>
  <si>
    <t>gộp</t>
  </si>
  <si>
    <t>HD025838</t>
  </si>
  <si>
    <t>HD025615</t>
  </si>
  <si>
    <t>66/68, Phổ Quang, Phường 2</t>
  </si>
  <si>
    <t>HD025759</t>
  </si>
  <si>
    <t>Số 94A-96 Trương Công Định, Phường Tân Bình</t>
  </si>
  <si>
    <t>SU ANH</t>
  </si>
  <si>
    <t>72/5 Giải Phóng, Tân Sơn Nhất</t>
  </si>
  <si>
    <t>đơn trả 5.6</t>
  </si>
  <si>
    <t>NGAY 6-6</t>
  </si>
  <si>
    <t>THU 7</t>
  </si>
  <si>
    <t>T7.6.6.2026</t>
  </si>
  <si>
    <t>Nguyễn Elly</t>
  </si>
  <si>
    <t>HD026152</t>
  </si>
  <si>
    <t>510 kinh dương vương, an lạc a</t>
  </si>
  <si>
    <t>AT 05-06</t>
  </si>
  <si>
    <t>05-06-2026</t>
  </si>
  <si>
    <t>Xuyến Huỳnh</t>
  </si>
  <si>
    <t>HD025907</t>
  </si>
  <si>
    <t>Lk7-05 valora Bình hưng</t>
  </si>
  <si>
    <t>Rosie Linh</t>
  </si>
  <si>
    <t>HD026192</t>
  </si>
  <si>
    <t>Akari ak2 77 Võ Văn Kiệt, An Lạc</t>
  </si>
  <si>
    <t>HD026156</t>
  </si>
  <si>
    <t>13 bình thới p phú thọ</t>
  </si>
  <si>
    <t>ETV Sominea Chuon (EV34968)</t>
  </si>
  <si>
    <t>HD026002</t>
  </si>
  <si>
    <t>315/18/6 Nhuyễn Thị Tú, Phường Bình Hưng Hòa B</t>
  </si>
  <si>
    <t>Khánh Thuận</t>
  </si>
  <si>
    <t>HD025897</t>
  </si>
  <si>
    <t>30 tùng thiện vương phường Phú Định</t>
  </si>
  <si>
    <t>kh ck shop 1840k</t>
  </si>
  <si>
    <t>Tuyết Hằng</t>
  </si>
  <si>
    <t>HD026201</t>
  </si>
  <si>
    <t>B7 cao thị chính</t>
  </si>
  <si>
    <t>Lê Ngọc Diễm</t>
  </si>
  <si>
    <t>HD026160</t>
  </si>
  <si>
    <t>1A tạ quang bửu, P bình đông, chung cư tara, block b2</t>
  </si>
  <si>
    <t>Nguyễn Ngọc Liên</t>
  </si>
  <si>
    <t>HD026194</t>
  </si>
  <si>
    <t>345/21/17, Âu Cơ, Phường Tân Phú</t>
  </si>
  <si>
    <t>Trần Lê Trâm Anh</t>
  </si>
  <si>
    <t>HD026070</t>
  </si>
  <si>
    <t>179/13A hoà bình Phường Hiệp Tân</t>
  </si>
  <si>
    <t>Nhung Phan</t>
  </si>
  <si>
    <t>HD026190</t>
  </si>
  <si>
    <t>Lô 26-28 đường tân tạo, khu công nghiệp tân tạo, tân tạo a</t>
  </si>
  <si>
    <t>Bùi Vĩ Thương</t>
  </si>
  <si>
    <t>HD026049</t>
  </si>
  <si>
    <t>3273 phạm thế hiển, p7</t>
  </si>
  <si>
    <t>Heng Roza (EV38382)</t>
  </si>
  <si>
    <t>HD025916</t>
  </si>
  <si>
    <t>MINH TUỆ</t>
  </si>
  <si>
    <t>27/5 Quách Văn Tuấn, F12</t>
  </si>
  <si>
    <t>Kim Tuyến Nguyễn</t>
  </si>
  <si>
    <t>HD026007</t>
  </si>
  <si>
    <t>6/29 duong số 44 phuong an hoi tay</t>
  </si>
  <si>
    <t>tiểu nhi</t>
  </si>
  <si>
    <t>HD026042</t>
  </si>
  <si>
    <t>174/37 đường số 20 an nhơn</t>
  </si>
  <si>
    <t>Minh Hà Hana</t>
  </si>
  <si>
    <t>HD026108</t>
  </si>
  <si>
    <t>So 1 võ trường toản</t>
  </si>
  <si>
    <t>anh Lai</t>
  </si>
  <si>
    <t>HD026071</t>
  </si>
  <si>
    <t>Số 2 đường DCT 15 Tân Hưng Thuận</t>
  </si>
  <si>
    <t>W24130 Miki (Chou)</t>
  </si>
  <si>
    <t>HD026203</t>
  </si>
  <si>
    <t>624 Lê thị riêng,thới an</t>
  </si>
  <si>
    <t>Gia Huy fb Thuỵ Sara</t>
  </si>
  <si>
    <t>HD026189</t>
  </si>
  <si>
    <t>24/3 võ oanh, phường 25</t>
  </si>
  <si>
    <t>Milo Milo fb Le Thu Thuy</t>
  </si>
  <si>
    <t>HD026066</t>
  </si>
  <si>
    <t>74/4 trần thái tông p15</t>
  </si>
  <si>
    <t>Mén HM</t>
  </si>
  <si>
    <t>HD026048</t>
  </si>
  <si>
    <t>Toà landmark 2</t>
  </si>
  <si>
    <t>Han Bui</t>
  </si>
  <si>
    <t>HD026105</t>
  </si>
  <si>
    <t>36 Thảo Điền P An Khánh note: khu biệt thự an phú số nhà 14 Orchid</t>
  </si>
  <si>
    <t>TOM AG</t>
  </si>
  <si>
    <t>12 HO VAN HUE, PHƯỜNG 9</t>
  </si>
  <si>
    <t>Minơ fb Lê Tú</t>
  </si>
  <si>
    <t>HD026112</t>
  </si>
  <si>
    <t>chung cư Sài Gòn Mia - lock A ) 200 đường số 9A- xã bình hưng</t>
  </si>
  <si>
    <t>Tạ Vui</t>
  </si>
  <si>
    <t>HD026035</t>
  </si>
  <si>
    <t>463b/39a cách mạng tháng 8, phường 13</t>
  </si>
  <si>
    <t>Huỳnh Như</t>
  </si>
  <si>
    <t>HD026180</t>
  </si>
  <si>
    <t>Block B chung cư Mia đường 9a kdc trung sơn bình Hưng</t>
  </si>
  <si>
    <t>Ngọc Ngọc</t>
  </si>
  <si>
    <t>HD026161</t>
  </si>
  <si>
    <t>81 cách mạng tháng 8, p bến thành</t>
  </si>
  <si>
    <t>Cherry Pam</t>
  </si>
  <si>
    <t>HD026202</t>
  </si>
  <si>
    <t>107 Nguyen Van Linh P. Tan Thuan Tay</t>
  </si>
  <si>
    <t>Đông Phạm</t>
  </si>
  <si>
    <t>HD026204</t>
  </si>
  <si>
    <t>88 hùng vương p1</t>
  </si>
  <si>
    <t>Ngọc Mai Lê</t>
  </si>
  <si>
    <t>HD026163</t>
  </si>
  <si>
    <t>15 phan tay hồ p7</t>
  </si>
  <si>
    <t>Ka Nguyễn</t>
  </si>
  <si>
    <t>HD025856</t>
  </si>
  <si>
    <t>cc Golden Mansion - Toà GM2 - 119 Đ. Phổ Quang, Phường 9</t>
  </si>
  <si>
    <t>Kim Thu</t>
  </si>
  <si>
    <t>HD026051</t>
  </si>
  <si>
    <t>Chung cư saigon mia lok C, đường 9a, kdc trung sơn</t>
  </si>
  <si>
    <t>fb Dương Khánh Huyền</t>
  </si>
  <si>
    <t>HD026065</t>
  </si>
  <si>
    <t>418/4 trường sa p2</t>
  </si>
  <si>
    <t>Nguyễn Trần Phương Như</t>
  </si>
  <si>
    <t>HD026107</t>
  </si>
  <si>
    <t>118/7 nguyễn thị thập</t>
  </si>
  <si>
    <t>đơn trả 6.6</t>
  </si>
  <si>
    <t>T2.8.6.2026</t>
  </si>
  <si>
    <t>NGAY 8-6</t>
  </si>
  <si>
    <t>Bảo Trân</t>
  </si>
  <si>
    <t>131/12 bình trị đông</t>
  </si>
  <si>
    <t>AT 06-06</t>
  </si>
  <si>
    <t>06-06-2026</t>
  </si>
  <si>
    <t>HSM RIDA CHUON</t>
  </si>
  <si>
    <t>HD026368</t>
  </si>
  <si>
    <t>177c đường số 1 bình hưng hòa b</t>
  </si>
  <si>
    <t>Tú Oanh - fb Không Nói Xàm</t>
  </si>
  <si>
    <t>HD026239</t>
  </si>
  <si>
    <t>69 Dương Đình Nghệ P8</t>
  </si>
  <si>
    <t>Lona</t>
  </si>
  <si>
    <t>HD026147</t>
  </si>
  <si>
    <t>Chung cư Mỹ Khánh 4B, P Tân Hưng</t>
  </si>
  <si>
    <t>Bảo Yến</t>
  </si>
  <si>
    <t>HD026262</t>
  </si>
  <si>
    <t>Khu dân cư An Hoa 7 toà 001 số 7 đường Trần trọng cung, phường Tân Thuận Đông</t>
  </si>
  <si>
    <t>Loan</t>
  </si>
  <si>
    <t>HD026380</t>
  </si>
  <si>
    <t>300 minh phụng, P2</t>
  </si>
  <si>
    <t>Hoàng Nhung</t>
  </si>
  <si>
    <t>HD026164</t>
  </si>
  <si>
    <t>Chung cư Sai Gon Avenue - Đường số 11, khu phố 4, phường Tam Bình</t>
  </si>
  <si>
    <t>Trâm Nguyễn</t>
  </si>
  <si>
    <t>HD026230</t>
  </si>
  <si>
    <t>85/6 bình tây phường 1</t>
  </si>
  <si>
    <t>Thu Hang Truong</t>
  </si>
  <si>
    <t>HD026373</t>
  </si>
  <si>
    <t>4/28 Phạm huy thông, p7</t>
  </si>
  <si>
    <t>Trịnh Ngọc Hân</t>
  </si>
  <si>
    <t>HD026287</t>
  </si>
  <si>
    <t>1 bạch đằng phường tân sơn hòa chung cư airport plaza Tòa bluesky 3</t>
  </si>
  <si>
    <t>Ly Ly Nguyen</t>
  </si>
  <si>
    <t>HD026237</t>
  </si>
  <si>
    <t>Chung cư A3 đường Phan xích Long phường 7</t>
  </si>
  <si>
    <t>miki chouchou</t>
  </si>
  <si>
    <t>HD026422</t>
  </si>
  <si>
    <t>163 Đường Trương Thị Hoa, phường Tân Thới Hiệp</t>
  </si>
  <si>
    <t>HD026039</t>
  </si>
  <si>
    <t>HD026258</t>
  </si>
  <si>
    <t>702/3B Sư Vạn Hạnh, phường Hòa Hưng</t>
  </si>
  <si>
    <t>HD026286</t>
  </si>
  <si>
    <t>Tâm trần - fb ( Cẩm Giang) Kim Sarang</t>
  </si>
  <si>
    <t>HD026394</t>
  </si>
  <si>
    <t>86A trần kế xương</t>
  </si>
  <si>
    <t>NGAY 9-6</t>
  </si>
  <si>
    <t>Phương Phạm</t>
  </si>
  <si>
    <t>HD026650</t>
  </si>
  <si>
    <t>Bs16A vinhome grand park long bình</t>
  </si>
  <si>
    <t>08-06-2026</t>
  </si>
  <si>
    <t>Thảo Thị Thu Phan</t>
  </si>
  <si>
    <t>HD026598</t>
  </si>
  <si>
    <t>S1001 vinhome grand park, phường long bình</t>
  </si>
  <si>
    <t>Hằng Khương</t>
  </si>
  <si>
    <t>HD026753</t>
  </si>
  <si>
    <t>Lumiere toà erica vinhome grand park</t>
  </si>
  <si>
    <t>Kim Thủy</t>
  </si>
  <si>
    <t>HD026679</t>
  </si>
  <si>
    <t>532/3/6 kinh dương vương phường an lạc</t>
  </si>
  <si>
    <t>AT 08-06</t>
  </si>
  <si>
    <t>Jenny Zalo Lê anh</t>
  </si>
  <si>
    <t>HD026398</t>
  </si>
  <si>
    <t>Số 17 Đường Số 13, Phường Bình Hưng Hoà</t>
  </si>
  <si>
    <t>Thùy Linh</t>
  </si>
  <si>
    <t>HD026043</t>
  </si>
  <si>
    <t>61/4/2/17/5/2 đường số 2 khu phố 5 phường bình hưng hòa b</t>
  </si>
  <si>
    <t>Lam Anh</t>
  </si>
  <si>
    <t>HD026670</t>
  </si>
  <si>
    <t>356 tạ quang bửu _ phường 4</t>
  </si>
  <si>
    <t>Mộng Cầm</t>
  </si>
  <si>
    <t>HD026646</t>
  </si>
  <si>
    <t>105 đường số 1, p.10( bảy hiền)</t>
  </si>
  <si>
    <t>Ny Na</t>
  </si>
  <si>
    <t>HD026630</t>
  </si>
  <si>
    <t>980/4 B lò gốm p8</t>
  </si>
  <si>
    <t>Meo Meo</t>
  </si>
  <si>
    <t>HD026752</t>
  </si>
  <si>
    <t>49/31 Giang Cự Vọng Phường Trung Mỹ Tây</t>
  </si>
  <si>
    <t>Phan Vii</t>
  </si>
  <si>
    <t>HD026584</t>
  </si>
  <si>
    <t>257/10 tạ uyên, p6</t>
  </si>
  <si>
    <t>JESS-9244</t>
  </si>
  <si>
    <t>Châu Bích</t>
  </si>
  <si>
    <t>HD026675</t>
  </si>
  <si>
    <t>11/25 nguyễn đức thuận, phường 13</t>
  </si>
  <si>
    <t>Windy</t>
  </si>
  <si>
    <t>HD026497</t>
  </si>
  <si>
    <t>Landmark 5 vinhome nguyễn hữu cảnh</t>
  </si>
  <si>
    <t>Người nhận: Dương Thuý FB</t>
  </si>
  <si>
    <t>HD026468</t>
  </si>
  <si>
    <t>Công ty Trans Adam Express 30E Phan Văn Sửu - phường 13</t>
  </si>
  <si>
    <t>HD026570</t>
  </si>
  <si>
    <t>Đinh Hiền</t>
  </si>
  <si>
    <t>HD026732</t>
  </si>
  <si>
    <t>172 Võ Văn Ngân, Bình Thọ</t>
  </si>
  <si>
    <t>Ngọc Dung - fb Wendy NZ</t>
  </si>
  <si>
    <t>HD026758</t>
  </si>
  <si>
    <t>90/3 Nguyễn Văn Quá, phường Đông Hưng Thuận</t>
  </si>
  <si>
    <t>Nhận hộ Nguyễn Hà</t>
  </si>
  <si>
    <t>HD026518</t>
  </si>
  <si>
    <t>433/11/2 Lê Đức Thọ, Phường 17</t>
  </si>
  <si>
    <t>HƯƠNG TRẦN</t>
  </si>
  <si>
    <t>261/26c chu văn an p12</t>
  </si>
  <si>
    <t>Phương Linh</t>
  </si>
  <si>
    <t>HD026736</t>
  </si>
  <si>
    <t>86/36/3 PHỔ QUANG, PHƯỜNG TÂN SƠN HOÀ</t>
  </si>
  <si>
    <t>Thảo Thảo - fb Eno Eno</t>
  </si>
  <si>
    <t>HD026597</t>
  </si>
  <si>
    <t>nguyễn trọng lội, phường 4</t>
  </si>
  <si>
    <t>Hằng</t>
  </si>
  <si>
    <t>HD026626</t>
  </si>
  <si>
    <t>83 đường 14 chung cư Florita Joe phường Tân Hưng</t>
  </si>
  <si>
    <t>kim thê hee</t>
  </si>
  <si>
    <t>HD026672</t>
  </si>
  <si>
    <t>số 9a sài hòn mia block A trung sơn</t>
  </si>
  <si>
    <t>Nguyễn Hana</t>
  </si>
  <si>
    <t>HD026608</t>
  </si>
  <si>
    <t>142 Nguyễn Trãi phường bến thành</t>
  </si>
  <si>
    <t>Trúc Ly</t>
  </si>
  <si>
    <t>HD026567</t>
  </si>
  <si>
    <t>tháp 2 river panorama lê thị chợ, phú thuận</t>
  </si>
  <si>
    <t>Nguyễn T.Ngọc Huyền</t>
  </si>
  <si>
    <t>HD026649</t>
  </si>
  <si>
    <t>9A Thái Văn Lung, tiệm tóc MyMy, phường Bến Nghé</t>
  </si>
  <si>
    <t>Nguyen Kim Ngan</t>
  </si>
  <si>
    <t>HD026500</t>
  </si>
  <si>
    <t>D08 lô J, chung cư Nguyễn Thiện Thuật, bàn cờ</t>
  </si>
  <si>
    <t>Bảo Anh</t>
  </si>
  <si>
    <t>HD026673</t>
  </si>
  <si>
    <t>954 nguyễn văn linh</t>
  </si>
  <si>
    <t>(inst-sth3a)</t>
  </si>
  <si>
    <t>HD026451</t>
  </si>
  <si>
    <t>1. Khai nam bus transportation hcm, 363 hùng vương, An Đông</t>
  </si>
  <si>
    <t>Nguyễn Thị Minh Thư</t>
  </si>
  <si>
    <t>HD026510</t>
  </si>
  <si>
    <t>164 Lê Quốc Hưng P13</t>
  </si>
  <si>
    <t>Huyền Trang</t>
  </si>
  <si>
    <t>HD026347</t>
  </si>
  <si>
    <t>406 Trần Hưng Đạo, P2</t>
  </si>
  <si>
    <t>chanz trang</t>
  </si>
  <si>
    <t>HDD26627</t>
  </si>
  <si>
    <t>136 Yên Thế, Phường 2</t>
  </si>
  <si>
    <t>Đạt Phạm Đạt</t>
  </si>
  <si>
    <t>HD026759</t>
  </si>
  <si>
    <t>2 Nguyễn Văn Tưởng, Tân mỹ, Trung cư Reviera point tháp3</t>
  </si>
  <si>
    <t>Nguyễn Thuận</t>
  </si>
  <si>
    <t>HD026573</t>
  </si>
  <si>
    <t>128 Hồng Hà p9</t>
  </si>
  <si>
    <t>Aiddy Shwe</t>
  </si>
  <si>
    <t>27-29 Trương Định, Bến Thành</t>
  </si>
  <si>
    <t>NGAY 10-6</t>
  </si>
  <si>
    <t>T4.10.6.2026</t>
  </si>
  <si>
    <t>T3.9.6.2026</t>
  </si>
  <si>
    <t>Hồ Thị Mỹ Hạnh</t>
  </si>
  <si>
    <t>HD026826</t>
  </si>
  <si>
    <t>S3.02 vinhomes garden park long bình</t>
  </si>
  <si>
    <t>AT 09-06</t>
  </si>
  <si>
    <t>09-06-2026</t>
  </si>
  <si>
    <t>HD026890</t>
  </si>
  <si>
    <t>zalo hoa thanh nguyen</t>
  </si>
  <si>
    <t>HD026913</t>
  </si>
  <si>
    <t>688/23/1C Hương Lộ 2, P. Bình Trị Đông A</t>
  </si>
  <si>
    <t>HD026804</t>
  </si>
  <si>
    <t>30 tùng thiện vương, phường phú định</t>
  </si>
  <si>
    <t>Tôn Ngọc Nữ</t>
  </si>
  <si>
    <t>HD026838</t>
  </si>
  <si>
    <t>76/43/23 nguyễn sơn</t>
  </si>
  <si>
    <t>Mai Trần</t>
  </si>
  <si>
    <t>135 hải thượng lấn Ông P10</t>
  </si>
  <si>
    <t>Charii ( inst chari_importshop )-BN2441</t>
  </si>
  <si>
    <t>HD026734</t>
  </si>
  <si>
    <t>163 Trương Thị Hoa, phường Tân Thới Hiệp</t>
  </si>
  <si>
    <t>Ngọc Mơ</t>
  </si>
  <si>
    <t>HD026914</t>
  </si>
  <si>
    <t>107/7 huỳnh an khương p5</t>
  </si>
  <si>
    <t>Hoài Bảo</t>
  </si>
  <si>
    <t>HD026741</t>
  </si>
  <si>
    <t>603 Lê Văn Thọ, P14</t>
  </si>
  <si>
    <t>Fb: An An</t>
  </si>
  <si>
    <t>HD026837</t>
  </si>
  <si>
    <t>Cty Thế Long Express 27/5 Quách Văn tuấn, f12</t>
  </si>
  <si>
    <t>Mỹ Ngọc</t>
  </si>
  <si>
    <t>HD026921</t>
  </si>
  <si>
    <t>242 nguyễn oanh, phường gò vấp</t>
  </si>
  <si>
    <t>W3235</t>
  </si>
  <si>
    <t>HD026790</t>
  </si>
  <si>
    <t>Pachara</t>
  </si>
  <si>
    <t>CUS19950/pelpanhaketya</t>
  </si>
  <si>
    <t>HD026800</t>
  </si>
  <si>
    <t>270B Lý thường kiệt, khu phố 1, Phường 6</t>
  </si>
  <si>
    <t>Mai Huỳnh</t>
  </si>
  <si>
    <t>HD026923</t>
  </si>
  <si>
    <t>364 an dương vương, p4</t>
  </si>
  <si>
    <t>HD026832</t>
  </si>
  <si>
    <t>363 Hùng Vương, An Đông, Nhà xe Khải Nam</t>
  </si>
  <si>
    <t>Ng nhận Hà - fb Lien Phuong Bui</t>
  </si>
  <si>
    <t>HD026635</t>
  </si>
  <si>
    <t>JJ 14 Bạch Mã, p15, cư xá bắc hải</t>
  </si>
  <si>
    <t>đổi hàng, shop chịu ship</t>
  </si>
  <si>
    <t>Vân Vân</t>
  </si>
  <si>
    <t>HD026839</t>
  </si>
  <si>
    <t>86/36/3 phổ quang, tân sơn hòa</t>
  </si>
  <si>
    <t>Cô Yến nhận hàng dùm Phương</t>
  </si>
  <si>
    <t>HD026916</t>
  </si>
  <si>
    <t>126/1 Trần Kế Xương, Khu Phố 23, Phường Cầu Kiệu</t>
  </si>
  <si>
    <t>THU TRƯƠNG</t>
  </si>
  <si>
    <t>159/43/5 Đường Bạch Đằng, phường Tân Sơn Hòa</t>
  </si>
  <si>
    <t>MINZZY</t>
  </si>
  <si>
    <t>XE TOAN THANG</t>
  </si>
  <si>
    <t>đơn trả 10.6</t>
  </si>
  <si>
    <t>T5.11.6.2026</t>
  </si>
  <si>
    <t>NGAY 11-6</t>
  </si>
  <si>
    <t>Nick Loan</t>
  </si>
  <si>
    <t>HD027078</t>
  </si>
  <si>
    <t>536/43/40 âu cơ p bảy hiền</t>
  </si>
  <si>
    <t>AT 10-06</t>
  </si>
  <si>
    <t>10-06-2026</t>
  </si>
  <si>
    <t>LDVKH</t>
  </si>
  <si>
    <t>HD027063</t>
  </si>
  <si>
    <t>(LDVKH1211714)177C ( Đối diện 93C) Đường Số 1, Phường Hưng Hoà B, BÃI XE MINH CHÂU</t>
  </si>
  <si>
    <t>Ng nhận : nhi nhi</t>
  </si>
  <si>
    <t>HD026988</t>
  </si>
  <si>
    <t>532/3/93 kinh dương vương, phường An Lạc</t>
  </si>
  <si>
    <t>Na NG</t>
  </si>
  <si>
    <t>108 khổng tử, hiệp phú</t>
  </si>
  <si>
    <t>Ly Truong fb Huyền Chân</t>
  </si>
  <si>
    <t>HD027075</t>
  </si>
  <si>
    <t>D36 đường c2, phường bảy hiền</t>
  </si>
  <si>
    <t>Nguyễn Thị Mỹ Phúc</t>
  </si>
  <si>
    <t>HD027097</t>
  </si>
  <si>
    <t>nhaThe Sun Avenue (tòa S5) 28 Mai Chí Thọ, An Phú</t>
  </si>
  <si>
    <t>HD027050</t>
  </si>
  <si>
    <t>Nguyễn Trang</t>
  </si>
  <si>
    <t>HD026998</t>
  </si>
  <si>
    <t>Chung cư freshca lock b, P. Bình Chiểu</t>
  </si>
  <si>
    <t>chú mau - fb Hana Ngo</t>
  </si>
  <si>
    <t>HD027087</t>
  </si>
  <si>
    <t>67 Trang tử phường 14</t>
  </si>
  <si>
    <t>HD026968</t>
  </si>
  <si>
    <t>142 Nguyễn Trãi, phường Bến Thành</t>
  </si>
  <si>
    <t>Fb. Kitty mèo</t>
  </si>
  <si>
    <t>HD026991</t>
  </si>
  <si>
    <t>Chung cư:Sunrise city view,tòa B, đường Nguyễn hữu Thọ, phường Tân Hưng</t>
  </si>
  <si>
    <t>Tấn Đạt</t>
  </si>
  <si>
    <t>HDO27084</t>
  </si>
  <si>
    <t>177/6 Lý Tự Trọng,phường Bến Thành</t>
  </si>
  <si>
    <t>Alina Phạm</t>
  </si>
  <si>
    <t>HD027100</t>
  </si>
  <si>
    <t>92/30 phạm ngọc thạch, phường 6</t>
  </si>
  <si>
    <t>Ly Ly</t>
  </si>
  <si>
    <t>HD027001</t>
  </si>
  <si>
    <t>212 b/d11 nguyen trai</t>
  </si>
  <si>
    <t>Thuong Trieu</t>
  </si>
  <si>
    <t>HD027103</t>
  </si>
  <si>
    <t>131 Tạ Uyên F12</t>
  </si>
  <si>
    <t>Ghi tên Thuỳ</t>
  </si>
  <si>
    <t>HD026176</t>
  </si>
  <si>
    <t>357/3 Trần Phú, Phường An Đông</t>
  </si>
  <si>
    <t>HD027058</t>
  </si>
  <si>
    <t>lỵka</t>
  </si>
  <si>
    <t>Nhà xe Khải Nam, 363 Đường Hùng Vương, P.9</t>
  </si>
  <si>
    <t>đơn trả 11.6</t>
  </si>
  <si>
    <t>NGAY 12-6</t>
  </si>
  <si>
    <t>T6.12.6.2026</t>
  </si>
  <si>
    <t>HD027132</t>
  </si>
  <si>
    <t>AT 11-06</t>
  </si>
  <si>
    <t>11-06-2026</t>
  </si>
  <si>
    <t>Thanh Tuyền</t>
  </si>
  <si>
    <t>HD027170</t>
  </si>
  <si>
    <t>S10.02 Vinhomes Grand Park long bình</t>
  </si>
  <si>
    <t>Hoa</t>
  </si>
  <si>
    <t>HD027274</t>
  </si>
  <si>
    <t>127/9 phạm đình hổ p6</t>
  </si>
  <si>
    <t>Hà Nguyễn (inst nganha.1994)</t>
  </si>
  <si>
    <t>HD027238</t>
  </si>
  <si>
    <t>82 an dương vương, an lạc</t>
  </si>
  <si>
    <t>Thu hiền (insta __nowvie_)</t>
  </si>
  <si>
    <t>HD027076</t>
  </si>
  <si>
    <t>231 thống nhất, p11</t>
  </si>
  <si>
    <t>Thơ Mia</t>
  </si>
  <si>
    <t>HD027184</t>
  </si>
  <si>
    <t>766/30 hà huy giáp, thạnh lộc</t>
  </si>
  <si>
    <t>Ngọc Nga</t>
  </si>
  <si>
    <t>HD027267</t>
  </si>
  <si>
    <t>60K Nguyễn Thị Đặng, Tân Thới Hiệp</t>
  </si>
  <si>
    <t>HD027183</t>
  </si>
  <si>
    <t>624 Lê thị riêng thới an</t>
  </si>
  <si>
    <t>HD027271</t>
  </si>
  <si>
    <t>Nguyen Tuong San</t>
  </si>
  <si>
    <t>HD027275</t>
  </si>
  <si>
    <t>Toà opera tháp A đường d6, thủ thiêm</t>
  </si>
  <si>
    <t>LISA</t>
  </si>
  <si>
    <t>173 phan huy ích, phường tân sơn</t>
  </si>
  <si>
    <t>Đỗ Phương Thảo</t>
  </si>
  <si>
    <t>HD027258</t>
  </si>
  <si>
    <t>Block E cc Himlam riverside D1 p.Tân Hưng</t>
  </si>
  <si>
    <t>HD027266</t>
  </si>
  <si>
    <t>Viina</t>
  </si>
  <si>
    <t>HD027123</t>
  </si>
  <si>
    <t>Cambodia,Preah Sihanouk, 88 Residence Room:1812 855 NHÀ XE KHẢI NAM</t>
  </si>
  <si>
    <t>Phuong Nhi Le</t>
  </si>
  <si>
    <t>HD027176</t>
  </si>
  <si>
    <t>76 Lê Lai</t>
  </si>
  <si>
    <t>Tam</t>
  </si>
  <si>
    <t>HD027240</t>
  </si>
  <si>
    <t>57 rạch bùng binh p nhiêu lộc</t>
  </si>
  <si>
    <t>Kim Chúc</t>
  </si>
  <si>
    <t>HD027257</t>
  </si>
  <si>
    <t>Hẻm 18B/73 Nguyễn thị minh khai đakao</t>
  </si>
  <si>
    <t>Như Nguyễn</t>
  </si>
  <si>
    <t>HD027270</t>
  </si>
  <si>
    <t>32 đường số 2 kdc kim sơn tân phong</t>
  </si>
  <si>
    <t>HD027255</t>
  </si>
  <si>
    <t>Nhiên An</t>
  </si>
  <si>
    <t>HD027198</t>
  </si>
  <si>
    <t>28/31 âu dương lân p3</t>
  </si>
  <si>
    <t>đơn trả 12.6</t>
  </si>
  <si>
    <t>T7.13.6.2026</t>
  </si>
  <si>
    <t>NGAY 13-6</t>
  </si>
  <si>
    <t>Ngọc Venus</t>
  </si>
  <si>
    <t>HD027402</t>
  </si>
  <si>
    <t>69 phố tiểu nam, p. Tân Phú</t>
  </si>
  <si>
    <t>AT 12-06</t>
  </si>
  <si>
    <t>12-06-2026</t>
  </si>
  <si>
    <t>HD027419</t>
  </si>
  <si>
    <t>Trinh</t>
  </si>
  <si>
    <t>HD027416</t>
  </si>
  <si>
    <t>block C20.01, sunrise riverside, nguyễn hữu thọ, phước kiển</t>
  </si>
  <si>
    <t>nha be</t>
  </si>
  <si>
    <t>Ngân Nguyễn</t>
  </si>
  <si>
    <t>HD027454</t>
  </si>
  <si>
    <t>50/63/3 Nguyễn Quý Yêm, An Lạc</t>
  </si>
  <si>
    <t>Nguyên Yến</t>
  </si>
  <si>
    <t>HD027256</t>
  </si>
  <si>
    <t>67/36 bui van ba tan thuan dong</t>
  </si>
  <si>
    <t>RuBy Nguyen</t>
  </si>
  <si>
    <t>HD027453</t>
  </si>
  <si>
    <t>Chung cư Topaz Elite Block D1B đường tạ quang bửu phường 4</t>
  </si>
  <si>
    <t>Trần Thảo</t>
  </si>
  <si>
    <t>Số 262/26/3 Lũy Bán Bích , phường Tân Phú</t>
  </si>
  <si>
    <t>Thùy Trang</t>
  </si>
  <si>
    <t>HD027335</t>
  </si>
  <si>
    <t>34B/25A1 Ung Văn Khiêm, P. Thạnh Mỹ Tây</t>
  </si>
  <si>
    <t>Mickey - mingvrk</t>
  </si>
  <si>
    <t>HD027318</t>
  </si>
  <si>
    <t>624 Lê Thị Riêng</t>
  </si>
  <si>
    <t>W24130</t>
  </si>
  <si>
    <t>HD027353</t>
  </si>
  <si>
    <t>624 Lê Thị Riêng, Thới An</t>
  </si>
  <si>
    <t>anh Lai fb Dinh Luong</t>
  </si>
  <si>
    <t>HD027439</t>
  </si>
  <si>
    <t>Cẩm Hiếu</t>
  </si>
  <si>
    <t>HD027251</t>
  </si>
  <si>
    <t>74 trường sa, phường Gia Định</t>
  </si>
  <si>
    <t>Thiên Vũ</t>
  </si>
  <si>
    <t>HD027463</t>
  </si>
  <si>
    <t>497/11 phan văn trị</t>
  </si>
  <si>
    <t>HD027456</t>
  </si>
  <si>
    <t>Chung cư freshca lock b, Phường Bình Chiểu</t>
  </si>
  <si>
    <t>22/40 Yên Thế, P2</t>
  </si>
  <si>
    <t>mimi (giao cho lễ tân báo hàng của Mimi)</t>
  </si>
  <si>
    <t>HD027458</t>
  </si>
  <si>
    <t>339/24B Đ. Lê Văn Sỹ, Phường 13</t>
  </si>
  <si>
    <t>Thanh Hương</t>
  </si>
  <si>
    <t>HD027371</t>
  </si>
  <si>
    <t>254 điện biên phủ, phường võ thị sáu (nha khoa true dental)</t>
  </si>
  <si>
    <t>NGAY 15-6</t>
  </si>
  <si>
    <t>T2.15.6.2026</t>
  </si>
  <si>
    <t>Hoang Song Trần</t>
  </si>
  <si>
    <t>HD027471</t>
  </si>
  <si>
    <t>203/18/32 Lạc Long Quân, phường bình thái</t>
  </si>
  <si>
    <t>AT 13-06</t>
  </si>
  <si>
    <t>13-06-2026</t>
  </si>
  <si>
    <t>Gia Hân</t>
  </si>
  <si>
    <t>HD027622</t>
  </si>
  <si>
    <t>616/5/8 Lê Trọng Tấn, phường Bình Hưng Hòa</t>
  </si>
  <si>
    <t>Trang Đài Thị Trần</t>
  </si>
  <si>
    <t>HD027505</t>
  </si>
  <si>
    <t>19 song hành, phường bình phú</t>
  </si>
  <si>
    <t>Yến Yến</t>
  </si>
  <si>
    <t>HD027620</t>
  </si>
  <si>
    <t>Toà t5 masteti thảo điền</t>
  </si>
  <si>
    <t>Thơm Thơm</t>
  </si>
  <si>
    <t>HD027506</t>
  </si>
  <si>
    <t>119 nguyễn văn công p. Hạnh Thông</t>
  </si>
  <si>
    <t>Nguyễn Huỳnh Cẩm Tú</t>
  </si>
  <si>
    <t>HD027479</t>
  </si>
  <si>
    <t>78/63 đường số 11, phường thông tây hội</t>
  </si>
  <si>
    <t>Lý Thị Tiên</t>
  </si>
  <si>
    <t>HD027560</t>
  </si>
  <si>
    <t>192 trần bá giao, phường an nhơn</t>
  </si>
  <si>
    <t>NGUYỄN MINH DUY</t>
  </si>
  <si>
    <t>90/35 Trần Văn Ơn, Phường Tân Sơn Nhì</t>
  </si>
  <si>
    <t>Jenny bouti</t>
  </si>
  <si>
    <t>HD027609</t>
  </si>
  <si>
    <t>Sảnh w3 sunrise city Central, 25 Nguyễn Hữu Thọ, phường tân hưng</t>
  </si>
  <si>
    <t>HD027512</t>
  </si>
  <si>
    <t>Khu biệt thự Phú gia, phường Tân Phong</t>
  </si>
  <si>
    <t>Đỗ Quyên</t>
  </si>
  <si>
    <t>HD027543</t>
  </si>
  <si>
    <t>toà X2 Suriecity north 27 nguyễn hữu thọ gửi căn 1508b</t>
  </si>
  <si>
    <t>HD027616</t>
  </si>
  <si>
    <t>Block d2, chung cư sài gòn riverside (số 4 đào trí, phú thuận)</t>
  </si>
  <si>
    <t>Nguyễn Huỳnh Như</t>
  </si>
  <si>
    <t>HD027518</t>
  </si>
  <si>
    <t>39B Đường Nguyễn Văn Linh</t>
  </si>
  <si>
    <t>Dương Thùy</t>
  </si>
  <si>
    <t>HD027612</t>
  </si>
  <si>
    <t>Số 8 bùi thị xuân p. phạm ngũ lão</t>
  </si>
  <si>
    <t>Tuệ Nhi</t>
  </si>
  <si>
    <t>HD027603</t>
  </si>
  <si>
    <t>92-94 nam kỳ khởi nghĩa- bến nghé</t>
  </si>
  <si>
    <t>Ellie Quach</t>
  </si>
  <si>
    <t>8A sông thương. Phường 2</t>
  </si>
  <si>
    <t>T3.16.6.2026</t>
  </si>
  <si>
    <t>NGAY 16-6</t>
  </si>
  <si>
    <t>Mỹ Diện</t>
  </si>
  <si>
    <t>HD027693</t>
  </si>
  <si>
    <t>vinhomes grand park tòa nhà s705 nguyễn xiển p long thạnh mỹ</t>
  </si>
  <si>
    <t>15-06-2026</t>
  </si>
  <si>
    <t>Lê Thảo</t>
  </si>
  <si>
    <t>HD027919</t>
  </si>
  <si>
    <t>Toà s703 vinhome grand park nguyễn xiển phường long bình</t>
  </si>
  <si>
    <t>Bích Phượng</t>
  </si>
  <si>
    <t>HD027644</t>
  </si>
  <si>
    <t>8/5 thạnh lộc 31</t>
  </si>
  <si>
    <t>AT 15-06</t>
  </si>
  <si>
    <t>Phạm My</t>
  </si>
  <si>
    <t>HD027629</t>
  </si>
  <si>
    <t>24-26 ĐƯỜNG SỐ 30, PHƯỜNG AN LẠC (HOTEL MINH HÀ)</t>
  </si>
  <si>
    <t>Phạm Kim Trang</t>
  </si>
  <si>
    <t>HD027993</t>
  </si>
  <si>
    <t>258/23/17 Bông Sao phường 5</t>
  </si>
  <si>
    <t>Hiệp To Hani Miya</t>
  </si>
  <si>
    <t>HD028016</t>
  </si>
  <si>
    <t>154/95 âu cơ, phường 9</t>
  </si>
  <si>
    <t>HD027888</t>
  </si>
  <si>
    <t>213/20/3 lê đình cẩn, phường tân tạo</t>
  </si>
  <si>
    <t>HD027893</t>
  </si>
  <si>
    <t>Đoàn Ngọc</t>
  </si>
  <si>
    <t>HD028108</t>
  </si>
  <si>
    <t>137/2 bình long, bình trị đông</t>
  </si>
  <si>
    <t>HD027742</t>
  </si>
  <si>
    <t>Phạm Bích Trâm</t>
  </si>
  <si>
    <t>HD028101</t>
  </si>
  <si>
    <t>32A ao đôi bình trị đông</t>
  </si>
  <si>
    <t>Gia Hue</t>
  </si>
  <si>
    <t>HD027767</t>
  </si>
  <si>
    <t>24 tân hoà đông p14</t>
  </si>
  <si>
    <t>HD027976</t>
  </si>
  <si>
    <t>HD028042</t>
  </si>
  <si>
    <t>1A tạ quang bữu, P. bình đông, chung cư tara, block b2</t>
  </si>
  <si>
    <t>Yến Cổ</t>
  </si>
  <si>
    <t>HD028120</t>
  </si>
  <si>
    <t>17/15/13 gò dầu, p phú thọ hòa</t>
  </si>
  <si>
    <t>coca ( kẹ)</t>
  </si>
  <si>
    <t>HD028010</t>
  </si>
  <si>
    <t>532/3/93 kinh dương vương. Phường an lạc</t>
  </si>
  <si>
    <t>Tuyết Nhi ZL2</t>
  </si>
  <si>
    <t>170F Tân Hoà Đông f14</t>
  </si>
  <si>
    <t>Nguyễn Thị Trâm Anh</t>
  </si>
  <si>
    <t>HD027684</t>
  </si>
  <si>
    <t>40/11 trần thị nghỉ, hạnh thông</t>
  </si>
  <si>
    <t>Thu Ba DS</t>
  </si>
  <si>
    <t>HD027753</t>
  </si>
  <si>
    <t>395 Bùi Đình Tuý, p14</t>
  </si>
  <si>
    <t>Phước Ngọc</t>
  </si>
  <si>
    <t>HD028100</t>
  </si>
  <si>
    <t>landmart 3 vinhomes center park</t>
  </si>
  <si>
    <t>THÁI HÀ</t>
  </si>
  <si>
    <t>HD027964</t>
  </si>
  <si>
    <t>Empire city Linden ressidence Mai Chí Thọ Thủ Thiêm</t>
  </si>
  <si>
    <t>ELLY NGUYỄN - THẮM NGUYỄN</t>
  </si>
  <si>
    <t>HD027740</t>
  </si>
  <si>
    <t>120/3/11 Đặng Thùy Trâm, P13 (CTY GIA HUY EXPRES)</t>
  </si>
  <si>
    <t>Yen Ngoc Nguyen</t>
  </si>
  <si>
    <t>HD027979</t>
  </si>
  <si>
    <t>Park 7B-35. 10, Vinhomes Central Park, 720A Điện Biên Phủ, P22</t>
  </si>
  <si>
    <t>Phạm Dung</t>
  </si>
  <si>
    <t>HD027956</t>
  </si>
  <si>
    <t>208 nguyễn hữu cảnh phường 22 chung cư vinhome tòa landmark 5</t>
  </si>
  <si>
    <t>HD028019</t>
  </si>
  <si>
    <t>247 đường số 1, thông tây hội</t>
  </si>
  <si>
    <t>HD027982</t>
  </si>
  <si>
    <t>Cẩm Tú</t>
  </si>
  <si>
    <t>HD027942</t>
  </si>
  <si>
    <t>chung cư terrace 21 võ trường toản</t>
  </si>
  <si>
    <t>Thế Diễm</t>
  </si>
  <si>
    <t>HD027921</t>
  </si>
  <si>
    <t>159 Võ Nguyên Giáp, P. Thảo Điền, Chung cư Masteri Thảo Điền (Tháp 3)</t>
  </si>
  <si>
    <t>Thảo Ng</t>
  </si>
  <si>
    <t>HD027694</t>
  </si>
  <si>
    <t>463/15/6 kha vạn cân, linh Đông</t>
  </si>
  <si>
    <t>Mimi -87780266</t>
  </si>
  <si>
    <t>HD027817</t>
  </si>
  <si>
    <t>39 an nhơn phường 17</t>
  </si>
  <si>
    <t>Kimm</t>
  </si>
  <si>
    <t>HD028129</t>
  </si>
  <si>
    <t>15/13 lê văn huân</t>
  </si>
  <si>
    <t>An Nguyen - fb Nguyễn Hoàng Thúy An</t>
  </si>
  <si>
    <t>HD027833</t>
  </si>
  <si>
    <t>105/48 Nguyễn tư giản f12</t>
  </si>
  <si>
    <t>Bảo Bảo</t>
  </si>
  <si>
    <t>HD027831</t>
  </si>
  <si>
    <t>75 phan chu trinh phường 12</t>
  </si>
  <si>
    <t>NINI AIR LENH LENH</t>
  </si>
  <si>
    <t>HD027738</t>
  </si>
  <si>
    <t>144C Trần Thị Trọng, Phường 15</t>
  </si>
  <si>
    <t>Linh Linh</t>
  </si>
  <si>
    <t>HD028091</t>
  </si>
  <si>
    <t>83/1/6 Phạm Văn Bạch</t>
  </si>
  <si>
    <t>Hà Trần</t>
  </si>
  <si>
    <t>HD027977</t>
  </si>
  <si>
    <t>200 đường 3/2 phường 12</t>
  </si>
  <si>
    <t>Phuong Thao</t>
  </si>
  <si>
    <t>HD028004</t>
  </si>
  <si>
    <t>46 lê hồng phong, chợ quán</t>
  </si>
  <si>
    <t>HD027892</t>
  </si>
  <si>
    <t>Mi Nhon</t>
  </si>
  <si>
    <t>HD028021</t>
  </si>
  <si>
    <t>132 bến vân đồn p6</t>
  </si>
  <si>
    <t>Tú Tú</t>
  </si>
  <si>
    <t>HD027830</t>
  </si>
  <si>
    <t>Chung cư saigon mia lốc C bình hưng</t>
  </si>
  <si>
    <t>Thanh Thảo</t>
  </si>
  <si>
    <t>HD027856</t>
  </si>
  <si>
    <t>47/3 lê trực phường gia định</t>
  </si>
  <si>
    <t>Nguyễn Quyên</t>
  </si>
  <si>
    <t>HD028109</t>
  </si>
  <si>
    <t>13-15 hung gia 1.5, phường tân phong</t>
  </si>
  <si>
    <t>Tú</t>
  </si>
  <si>
    <t>HD027630</t>
  </si>
  <si>
    <t>Đc. Saigon Mia, block B (mặt sau), kdc Trung Son</t>
  </si>
  <si>
    <t>Tuyet Nhung Nguyen</t>
  </si>
  <si>
    <t>HD027866</t>
  </si>
  <si>
    <t>35 Duy Tân phường 8</t>
  </si>
  <si>
    <t>Doan Ngoc Phuong Anh</t>
  </si>
  <si>
    <t>HD027853</t>
  </si>
  <si>
    <t>664/119 Nguyen Dinh Chiču p3</t>
  </si>
  <si>
    <t>Nhi Nhi</t>
  </si>
  <si>
    <t>HD027871</t>
  </si>
  <si>
    <t>chung cư sunrise city viev block B</t>
  </si>
  <si>
    <t>HD027801</t>
  </si>
  <si>
    <t>Kim Hằng</t>
  </si>
  <si>
    <t>HD028106</t>
  </si>
  <si>
    <t>PARK VIEW APARTMENT R4-10-11, Hưng Gia 1, Đ. Số 2, Tân Phong</t>
  </si>
  <si>
    <t>Ngo Thi Bich Loan</t>
  </si>
  <si>
    <t>HD027951</t>
  </si>
  <si>
    <t>167 đặng văn ngữ</t>
  </si>
  <si>
    <t>Võ Aanh Thư</t>
  </si>
  <si>
    <t>HD027885</t>
  </si>
  <si>
    <t>813 Trần Xuân Soạn, Phường Tân Hưng</t>
  </si>
  <si>
    <t>Thuý Hana</t>
  </si>
  <si>
    <t>HD028030</t>
  </si>
  <si>
    <t>De La Sol, 1 Tôn Thất Thuyết, Phường 1</t>
  </si>
  <si>
    <t>Nguyễn Trọng Tình</t>
  </si>
  <si>
    <t>HD028103</t>
  </si>
  <si>
    <t>43-45 cao triều phát, tân phong</t>
  </si>
  <si>
    <t>Huệ Nghi fo Violet Đỗ</t>
  </si>
  <si>
    <t>HD028107</t>
  </si>
  <si>
    <t>115 / 52a trần Đình su, P Nguyễn cư trinh</t>
  </si>
  <si>
    <t>Triệu Như Huyền</t>
  </si>
  <si>
    <t>HD028043</t>
  </si>
  <si>
    <t>39 bến vân đồn</t>
  </si>
  <si>
    <t>Dương Tường Vy</t>
  </si>
  <si>
    <t>HD027887</t>
  </si>
  <si>
    <t>24 đặng tất, phường tân định</t>
  </si>
  <si>
    <t>Tuyết Trinh</t>
  </si>
  <si>
    <t>HD028044</t>
  </si>
  <si>
    <t>19 trần văn đag p nhiêu lộc</t>
  </si>
  <si>
    <t>Thy Mai</t>
  </si>
  <si>
    <t>HD028053</t>
  </si>
  <si>
    <t>2 nguyễn văn tưởng, phường tân phú . , chung cư the view reviera point - Tháp T7-2105</t>
  </si>
  <si>
    <t>Na</t>
  </si>
  <si>
    <t>HD028144</t>
  </si>
  <si>
    <t>96a đường 79 tân quy</t>
  </si>
  <si>
    <t>nhận em xíu shiiny</t>
  </si>
  <si>
    <t>HD028143</t>
  </si>
  <si>
    <t>số 217 Đường bùi thị xuân phường 1</t>
  </si>
  <si>
    <t>Sun Na</t>
  </si>
  <si>
    <t>HD027691</t>
  </si>
  <si>
    <t>Chung cu cardinal court toà B</t>
  </si>
  <si>
    <t>CUS19950/pe panhaketya</t>
  </si>
  <si>
    <t>HD028089</t>
  </si>
  <si>
    <t>Kim Thanh</t>
  </si>
  <si>
    <t>HD028122</t>
  </si>
  <si>
    <t>387 nguyễn trãi</t>
  </si>
  <si>
    <t>Bùi Thị Thúy Diễm</t>
  </si>
  <si>
    <t>HD027928</t>
  </si>
  <si>
    <t>cty cop vell (chang rong) đường d9 khu công nghiệp lạch bắp an tây</t>
  </si>
  <si>
    <t>tinh</t>
  </si>
  <si>
    <t>luu tra</t>
  </si>
  <si>
    <t>hàng tỉnh</t>
  </si>
  <si>
    <t>x</t>
  </si>
  <si>
    <t>xx</t>
  </si>
  <si>
    <t>đơn trả 16.6</t>
  </si>
  <si>
    <t>đơn hoàn về</t>
  </si>
  <si>
    <t>NGAY 17-6</t>
  </si>
  <si>
    <t>T4.17.6.2026</t>
  </si>
  <si>
    <t>NNNN</t>
  </si>
  <si>
    <t>HD028303</t>
  </si>
  <si>
    <t>Số 78 Đường Số 7, P. Bình Hưng Hòa</t>
  </si>
  <si>
    <t>AT 16-06</t>
  </si>
  <si>
    <t>16-06-2026</t>
  </si>
  <si>
    <t>Phương Trinh</t>
  </si>
  <si>
    <t>HD028421</t>
  </si>
  <si>
    <t>Toà B masteri centre point, long binh</t>
  </si>
  <si>
    <t>HD028447</t>
  </si>
  <si>
    <t>114 vỏ liêm Sơn, phường Chánh hưng</t>
  </si>
  <si>
    <t>HD028390</t>
  </si>
  <si>
    <t>fb Bảo Trang - Tuyến nhận hộ</t>
  </si>
  <si>
    <t>HD028174</t>
  </si>
  <si>
    <t>Công ty vận chuyển quốc tế TNI Express ( chi nhánh III).230/6/1/6 Mã Lò, Bình trị đông A</t>
  </si>
  <si>
    <t>(SS3164 - Mr. skill) SS Cargo Shipping</t>
  </si>
  <si>
    <t>HD028259</t>
  </si>
  <si>
    <t>674 đường số 2, Phường 13</t>
  </si>
  <si>
    <t>Dương Hoàng Yến</t>
  </si>
  <si>
    <t>HD027922</t>
  </si>
  <si>
    <t>15 đường số 26, phường Bình Phú</t>
  </si>
  <si>
    <t>HUYNH NHUNG</t>
  </si>
  <si>
    <t>HD028203</t>
  </si>
  <si>
    <t>45/9/3 đường TCH 25 -kp 23 - Phường Trung Mỹ Tây</t>
  </si>
  <si>
    <t>quỳnh ny</t>
  </si>
  <si>
    <t>HD028391</t>
  </si>
  <si>
    <t>88/71A pham hung P Chánh Hưng</t>
  </si>
  <si>
    <t>Doan Sam</t>
  </si>
  <si>
    <t>HD028211</t>
  </si>
  <si>
    <t>179/17 Đường Phan Văn Hùm, Kp8, P.Trung Mỹ Tây</t>
  </si>
  <si>
    <t>lý hán thanh fb na tây</t>
  </si>
  <si>
    <t>HD028219</t>
  </si>
  <si>
    <t>85/6 bình tây, phường 1</t>
  </si>
  <si>
    <t>Phương Thảo</t>
  </si>
  <si>
    <t>HD027923</t>
  </si>
  <si>
    <t>the sun avenua s4</t>
  </si>
  <si>
    <t>Linh Nhi</t>
  </si>
  <si>
    <t>HD028406</t>
  </si>
  <si>
    <t>12, đường số 5 khu phố 5,phường hiệp bình chánh (quán Leo Coffee, trong đường 23)</t>
  </si>
  <si>
    <t>Nguyễn Nguyễn</t>
  </si>
  <si>
    <t>HD028238</t>
  </si>
  <si>
    <t>362/25/29 phan huy ích p12</t>
  </si>
  <si>
    <t>HD028394</t>
  </si>
  <si>
    <t>HD028130</t>
  </si>
  <si>
    <t>Vinhomes Cantral Park P3 208 Nguyễn Hữu Cảnh P22</t>
  </si>
  <si>
    <t>HD028201</t>
  </si>
  <si>
    <t>173 Phan Huy Ích, phường Tân Sơn</t>
  </si>
  <si>
    <t>Trang Angels</t>
  </si>
  <si>
    <t>HD028128</t>
  </si>
  <si>
    <t>nhà 20 đường 2B, phường Tân Mỹ</t>
  </si>
  <si>
    <t>Kim Hân</t>
  </si>
  <si>
    <t>HD028272</t>
  </si>
  <si>
    <t>302 nguyễn chí thanh p5</t>
  </si>
  <si>
    <t>Kimchou Try</t>
  </si>
  <si>
    <t>HD028392</t>
  </si>
  <si>
    <t>#301 Pham Ngu Lao Street</t>
  </si>
  <si>
    <t>Phúc An</t>
  </si>
  <si>
    <t>HD028342</t>
  </si>
  <si>
    <t>1027/10 huỳnh tấn phát, phú thuận</t>
  </si>
  <si>
    <t>HD028240</t>
  </si>
  <si>
    <t>Nguyễn My</t>
  </si>
  <si>
    <t>HD028451</t>
  </si>
  <si>
    <t>Tk18/3 nguyễn cảnh chân p.cầu kho</t>
  </si>
  <si>
    <t>VIP-SREYEGNEGN NOEUN (Insta dalissd)</t>
  </si>
  <si>
    <t>HD028083</t>
  </si>
  <si>
    <t>363-365-367, 363 Đ. Hùng Vương</t>
  </si>
  <si>
    <t>Nhy Lê</t>
  </si>
  <si>
    <t>HD028403</t>
  </si>
  <si>
    <t>chung cư Grandview C, C7-1 đường nguyễn cảnh, p tân hưng</t>
  </si>
  <si>
    <t>HD028255</t>
  </si>
  <si>
    <t>Kim Ngoc Nguyen</t>
  </si>
  <si>
    <t>HD028239</t>
  </si>
  <si>
    <t>Sunrise city view toà B 33 nguyễn hữu thọ</t>
  </si>
  <si>
    <t>HD028250</t>
  </si>
  <si>
    <t>Le Phuong Hanh</t>
  </si>
  <si>
    <t>HD028212</t>
  </si>
  <si>
    <t>Chung cư Hoàng Anh Thanh Bình đường - D4 - phường Tân Hưng</t>
  </si>
  <si>
    <t>Linh Đan</t>
  </si>
  <si>
    <t>HD028419</t>
  </si>
  <si>
    <t>2581/53/7F huỳnh tất phát</t>
  </si>
  <si>
    <t>Ngọc Khánh</t>
  </si>
  <si>
    <t>HD028412</t>
  </si>
  <si>
    <t>1014/15a cách mạng tháng tám p5</t>
  </si>
  <si>
    <t>Mi</t>
  </si>
  <si>
    <t>93/1 Nguyễn Chí Thanh P9</t>
  </si>
  <si>
    <t>Phnom Penh</t>
  </si>
  <si>
    <t>nhà xe Khải Nam, 363 Đường Hùng Vương, P.9</t>
  </si>
  <si>
    <t>Nhân Thiên</t>
  </si>
  <si>
    <t>HD028056</t>
  </si>
  <si>
    <t>Ấp 2, xã Đức hoà, tỉnh Tây Ninh</t>
  </si>
  <si>
    <t>đơn trả 17.6</t>
  </si>
  <si>
    <t>đơn cũ ck</t>
  </si>
  <si>
    <t>kh ck shop 920k</t>
  </si>
  <si>
    <t>T5.18.6.2026</t>
  </si>
  <si>
    <t>NGAY 18-6</t>
  </si>
  <si>
    <t>Hoàng Quyên</t>
  </si>
  <si>
    <t>HD028703</t>
  </si>
  <si>
    <t>S503 vinhome grandpark</t>
  </si>
  <si>
    <t>17-06-2026</t>
  </si>
  <si>
    <t>Hoàng Thu Trang</t>
  </si>
  <si>
    <t>HD028598</t>
  </si>
  <si>
    <t>Toà Daisy lumier vinhomes</t>
  </si>
  <si>
    <t>Yến Như</t>
  </si>
  <si>
    <t>HD028526</t>
  </si>
  <si>
    <t>213 Bưng Ông Thoàn, Tăng Nhơn Phú B</t>
  </si>
  <si>
    <t>Mỹ Tiên</t>
  </si>
  <si>
    <t>HD028714</t>
  </si>
  <si>
    <t>124 đường 24b, Bình Trị Đông B</t>
  </si>
  <si>
    <t>AT 17-06</t>
  </si>
  <si>
    <t>Mai Anh - FB Như Bình</t>
  </si>
  <si>
    <t>HD028715</t>
  </si>
  <si>
    <t>688/23/16 hương lộ 2, p. Bình Trị Đông A</t>
  </si>
  <si>
    <t>Trần Thu Thảoo</t>
  </si>
  <si>
    <t>HD028480</t>
  </si>
  <si>
    <t>Topaz city sảnh A1 39 cao lỗ phường chánh hưng (phường 4 quận 8 cũ)</t>
  </si>
  <si>
    <t>Mai Phượng</t>
  </si>
  <si>
    <t>HD028677</t>
  </si>
  <si>
    <t>D1/31A đường đoàn nguyễn tuấn, ấp 24 xã hưng long, (số 48 ấp 7 xã qui đức cũ)</t>
  </si>
  <si>
    <t>Kim Ngân</t>
  </si>
  <si>
    <t>HD028582</t>
  </si>
  <si>
    <t>Số 11 đường 50 tân tạo</t>
  </si>
  <si>
    <t>Vũ My</t>
  </si>
  <si>
    <t>HD028637</t>
  </si>
  <si>
    <t>270 TTH21</t>
  </si>
  <si>
    <t>Tuấn</t>
  </si>
  <si>
    <t>HD028710</t>
  </si>
  <si>
    <t>2225 Phạm Thế Hiển, phường Bình Đông</t>
  </si>
  <si>
    <t>Minh Thơ</t>
  </si>
  <si>
    <t>HD028220</t>
  </si>
  <si>
    <t>K11/33-35 Nguyen Huu Tien St Nguyen Huu Tien St., Tay Thanh Ward</t>
  </si>
  <si>
    <t>Xuân Xuân</t>
  </si>
  <si>
    <t>HD028558</t>
  </si>
  <si>
    <t>đối diện 210/12 trịnh đình trọng, p. tân phú</t>
  </si>
  <si>
    <t>HD028588</t>
  </si>
  <si>
    <t>HD028698</t>
  </si>
  <si>
    <t>Minh Nguyet</t>
  </si>
  <si>
    <t>HD028713</t>
  </si>
  <si>
    <t>Park 5, vinhomes Central Park, 208 Nguyễn Hữu Cảnh P22</t>
  </si>
  <si>
    <t>HD028712</t>
  </si>
  <si>
    <t>gộp, đổi hàng</t>
  </si>
  <si>
    <t>Duyên Nguyễn</t>
  </si>
  <si>
    <t>HD028687</t>
  </si>
  <si>
    <t>1244/64/7 Lê Đức Thọ, p13</t>
  </si>
  <si>
    <t>Mie</t>
  </si>
  <si>
    <t>HD028431</t>
  </si>
  <si>
    <t>235/5p nguyễn xí,bình lợi trung</t>
  </si>
  <si>
    <t>Phụng Đỗ</t>
  </si>
  <si>
    <t>HD028534</t>
  </si>
  <si>
    <t>Nhà G Iô N chung cư Bình Khánh</t>
  </si>
  <si>
    <t>Phan Thị Yến Nhi</t>
  </si>
  <si>
    <t>HD028584</t>
  </si>
  <si>
    <t>Tháp 3 Masteri Thảo Điền</t>
  </si>
  <si>
    <t>HD028347</t>
  </si>
  <si>
    <t>47/3 lê trực, phường gia định</t>
  </si>
  <si>
    <t>HD028518</t>
  </si>
  <si>
    <t>Fb Phương Mai</t>
  </si>
  <si>
    <t>HD028635</t>
  </si>
  <si>
    <t>Thuy Chu</t>
  </si>
  <si>
    <t>HD028688</t>
  </si>
  <si>
    <t>8 đường 61, bình trưng đông</t>
  </si>
  <si>
    <t>HD028691</t>
  </si>
  <si>
    <t>Hồ Thảo</t>
  </si>
  <si>
    <t>HD028685</t>
  </si>
  <si>
    <t>82a trần bá giao phường an nhơn</t>
  </si>
  <si>
    <t>May Oo (Isabella)</t>
  </si>
  <si>
    <t>494/1/12 Le Quang Dinh, P1</t>
  </si>
  <si>
    <t>Kiều My</t>
  </si>
  <si>
    <t>HD028478</t>
  </si>
  <si>
    <t>Block e cc ecogreen p tân thuận tây</t>
  </si>
  <si>
    <t>Vy</t>
  </si>
  <si>
    <t>HD028498</t>
  </si>
  <si>
    <t>8a/e2 thái văn lung, bến nghé</t>
  </si>
  <si>
    <t>Trần Ngọc Bích</t>
  </si>
  <si>
    <t>HD028426</t>
  </si>
  <si>
    <t>43/3 Cửu Long p2</t>
  </si>
  <si>
    <t>VERISKA (YAYANG) ROOM 104</t>
  </si>
  <si>
    <t>HD028389</t>
  </si>
  <si>
    <t>Saigon Europe Hotel, số 207 đường Đề Thám, phường Bến Thành</t>
  </si>
  <si>
    <t>Phương Anh</t>
  </si>
  <si>
    <t>HD028681</t>
  </si>
  <si>
    <t>791/21 Đ. Trần Xuân SoạnTân Hưng</t>
  </si>
  <si>
    <t>Bích Ngọc</t>
  </si>
  <si>
    <t>HD028516</t>
  </si>
  <si>
    <t>71/5 nguyễn công hoan, p7</t>
  </si>
  <si>
    <t>Not Dechatorn</t>
  </si>
  <si>
    <t>HD028675</t>
  </si>
  <si>
    <t>Express by M Village Lê Văn Sỹ, a brand of Modern Village Lifestyle 359/1 Đường Lê Văn Sỹ, Nhiêu Lộc</t>
  </si>
  <si>
    <t>NGAY 19-6</t>
  </si>
  <si>
    <t>T6.19.6.2026</t>
  </si>
  <si>
    <t>Lan Moon</t>
  </si>
  <si>
    <t>HD028717</t>
  </si>
  <si>
    <t>31/2E đường số 8, phường tăng nhơn phú b</t>
  </si>
  <si>
    <t>AT 18-06</t>
  </si>
  <si>
    <t>18-06-2026</t>
  </si>
  <si>
    <t>Nguyễn Huyền Trang</t>
  </si>
  <si>
    <t>HD028737</t>
  </si>
  <si>
    <t>67 duong 14 khu lovera khang điền phong phú 4</t>
  </si>
  <si>
    <t>Yến Lê</t>
  </si>
  <si>
    <t>HD028999</t>
  </si>
  <si>
    <t>114 đường số 28,Bình Trị Đông B (An Lạc mới) (đốidiện Aeon Mall Bình Tân)</t>
  </si>
  <si>
    <t>Thanh Phuong</t>
  </si>
  <si>
    <t>HD028894</t>
  </si>
  <si>
    <t>29/5 Tân hoà tân hiệp</t>
  </si>
  <si>
    <t>Hạnh Huỳnh</t>
  </si>
  <si>
    <t>HD028781</t>
  </si>
  <si>
    <t>42A, đường Mã Lò, phường Bình Trị Đông A</t>
  </si>
  <si>
    <t>Nguyễn Chi</t>
  </si>
  <si>
    <t>HD028817</t>
  </si>
  <si>
    <t>73/6 ta13 phường thới an</t>
  </si>
  <si>
    <t>Mỡ Mỡ</t>
  </si>
  <si>
    <t>HD028910</t>
  </si>
  <si>
    <t>51/5b, Đường số 18B, Phường Bình Hưng Hoà A</t>
  </si>
  <si>
    <t>Lương Thị Ngọc Oanh</t>
  </si>
  <si>
    <t>HD029007</t>
  </si>
  <si>
    <t>4449 nguyễn cửu Phú - tân tạo A</t>
  </si>
  <si>
    <t>ng gửi: An Nhiên, ngừoi nhận : dũng</t>
  </si>
  <si>
    <t>HD028903</t>
  </si>
  <si>
    <t>107 đường số 13, Xã Phong Phú</t>
  </si>
  <si>
    <t>Thao Yumi</t>
  </si>
  <si>
    <t>HD029001</t>
  </si>
  <si>
    <t>Số 17, Đường Số 13, Phường Bình Hưng Hòa</t>
  </si>
  <si>
    <t>NHUNG HM</t>
  </si>
  <si>
    <t>8/1 nguyễn ảnh thủ,trung Chánh</t>
  </si>
  <si>
    <t>NGÂN HÀ</t>
  </si>
  <si>
    <t>40 đường 53 p10</t>
  </si>
  <si>
    <t>TUYẾT NHI ZL2</t>
  </si>
  <si>
    <t>Hiền Elly</t>
  </si>
  <si>
    <t>HD028052</t>
  </si>
  <si>
    <t>19 Nguyễn Văn Lạc</t>
  </si>
  <si>
    <t>Người nhận :Quách Nhi</t>
  </si>
  <si>
    <t>HD028950</t>
  </si>
  <si>
    <t>39 an nhơn phường, 17</t>
  </si>
  <si>
    <t>HD028983</t>
  </si>
  <si>
    <t>Kimi pet số 9 đường số 13</t>
  </si>
  <si>
    <t>HD028878</t>
  </si>
  <si>
    <t>184 nguyễn xí- cc Bắc Kinh Bộ Lĩnh - lộ A82 căn cầu thang cuối cùng, Phường 26</t>
  </si>
  <si>
    <t>Nguyễn Trương Phương Oanh</t>
  </si>
  <si>
    <t>HD028706</t>
  </si>
  <si>
    <t>125/42/2 Bùi Đình Tuý, phường 14</t>
  </si>
  <si>
    <t>nhận hàng dùm c Judy</t>
  </si>
  <si>
    <t>HD028943</t>
  </si>
  <si>
    <t>433/11/2 Lê Đức Thọ, Phường Gò Vấp ( Phường 17 cũ)</t>
  </si>
  <si>
    <t>BN2705</t>
  </si>
  <si>
    <t>HD028742</t>
  </si>
  <si>
    <t>163 Trường Thi Hoa, phường Tân Thới Hiệp</t>
  </si>
  <si>
    <t>Nguyễn Thị Thuỳ Trang</t>
  </si>
  <si>
    <t>HD028814</t>
  </si>
  <si>
    <t>41A Huỳnh Tịnh Của p19</t>
  </si>
  <si>
    <t>Kieu Oanh (websie)</t>
  </si>
  <si>
    <t>HD028993</t>
  </si>
  <si>
    <t>566/131 Nguyễn Thái Sơn, Phường 5</t>
  </si>
  <si>
    <t>Nguyễn Nhường</t>
  </si>
  <si>
    <t>HD028783</t>
  </si>
  <si>
    <t>Chug cư new city 17 mai chí thọ, an khánh, Toà hawaii 2</t>
  </si>
  <si>
    <t>Tên: ngọc anh</t>
  </si>
  <si>
    <t>HD028779</t>
  </si>
  <si>
    <t>Chung cư landmark 3</t>
  </si>
  <si>
    <t>Bùi thị Duyên</t>
  </si>
  <si>
    <t>HD028767</t>
  </si>
  <si>
    <t>L6- 16.02 Landmark 6, vinhomes central park 720 A Diện biủ, p 22</t>
  </si>
  <si>
    <t>HD028920</t>
  </si>
  <si>
    <t>Ngọc Trang</t>
  </si>
  <si>
    <t>HD029018</t>
  </si>
  <si>
    <t>Foxshop 28 Lê Văn Duyệt, P1</t>
  </si>
  <si>
    <t>Người nhận: Fb Phương Mai</t>
  </si>
  <si>
    <t>HD028770</t>
  </si>
  <si>
    <t>HD028905</t>
  </si>
  <si>
    <t>222 nguyễn văn đậu p bình lợi trung</t>
  </si>
  <si>
    <t>Huyền Trâm</t>
  </si>
  <si>
    <t>HD028837</t>
  </si>
  <si>
    <t>237/33/32N phạm văn chiêu f14</t>
  </si>
  <si>
    <t>khả trinh</t>
  </si>
  <si>
    <t>HD028819</t>
  </si>
  <si>
    <t>82/17/20đinh tiên hoàng p1</t>
  </si>
  <si>
    <t>Yin Nguyễn</t>
  </si>
  <si>
    <t>HD028897</t>
  </si>
  <si>
    <t>116a đường số 16 p tân quy</t>
  </si>
  <si>
    <t>Giang Nguyen</t>
  </si>
  <si>
    <t>HD028977</t>
  </si>
  <si>
    <t>44 trường sơn P2</t>
  </si>
  <si>
    <t>Thanh Duyên</t>
  </si>
  <si>
    <t>HD029020</t>
  </si>
  <si>
    <t>400 nhật tảo phường 6</t>
  </si>
  <si>
    <t>Ngân Kim Lê</t>
  </si>
  <si>
    <t>HD028755</t>
  </si>
  <si>
    <t>90 trần đình xu, phường Cầu Ông Lãnh</t>
  </si>
  <si>
    <t>HD028964</t>
  </si>
  <si>
    <t>Thư Thư</t>
  </si>
  <si>
    <t>HD028831</t>
  </si>
  <si>
    <t>132 đường số 1, Tân Phú</t>
  </si>
  <si>
    <t>HD028733</t>
  </si>
  <si>
    <t>c duyên - fb Hà Túi</t>
  </si>
  <si>
    <t>HD028842</t>
  </si>
  <si>
    <t>Toà t1 15a duong nguyễn hữu thọ Toà t5</t>
  </si>
  <si>
    <t>HD028901</t>
  </si>
  <si>
    <t>46 lê hồng phong, chợ quán cũ</t>
  </si>
  <si>
    <t>HD028978</t>
  </si>
  <si>
    <t>borameyyy 015738168</t>
  </si>
  <si>
    <t>HD028464</t>
  </si>
  <si>
    <t>363-365-367, 363 Đ. Hùng Vương, Phường 9</t>
  </si>
  <si>
    <t>HD029010</t>
  </si>
  <si>
    <t>Thuý Vy</t>
  </si>
  <si>
    <t>HD028716</t>
  </si>
  <si>
    <t>138/47 Nguyễn Trãi phường 3</t>
  </si>
  <si>
    <t>Veriska DEBORA Room 102 Saigon Europe Hotel</t>
  </si>
  <si>
    <t>HD028835</t>
  </si>
  <si>
    <t>207 Đề Thám, Phường Phạm Ngũ Lão</t>
  </si>
  <si>
    <t>Ngọc Huyền</t>
  </si>
  <si>
    <t>HD028777</t>
  </si>
  <si>
    <t>chung cư rive gate 151 - 155 bến vân đồn, p6 sảnh B</t>
  </si>
  <si>
    <t>phnom penh</t>
  </si>
  <si>
    <t>363 Hùng Vương, Phường 9</t>
  </si>
  <si>
    <t>Yuri what's app</t>
  </si>
  <si>
    <t>2/13 Nguyễn Bặc, Phường 3</t>
  </si>
  <si>
    <t>đơn trả 19.6</t>
  </si>
  <si>
    <t>T7.20.6.2026</t>
  </si>
  <si>
    <t>NGAY 20-6</t>
  </si>
  <si>
    <t>ambodian Monyrothna Leng TKK</t>
  </si>
  <si>
    <t>HD028751</t>
  </si>
  <si>
    <t>154 tuệ tĩnh p12</t>
  </si>
  <si>
    <t>AT 19-06</t>
  </si>
  <si>
    <t>19-06-2026</t>
  </si>
  <si>
    <t>HD029268</t>
  </si>
  <si>
    <t>chung cư Flora Kikyo Phú Hữu</t>
  </si>
  <si>
    <t>HD028917</t>
  </si>
  <si>
    <t>HD029208</t>
  </si>
  <si>
    <t>Kim Bui</t>
  </si>
  <si>
    <t>HD029276</t>
  </si>
  <si>
    <t>128/4 Lê Đình Cẩn P.Tân Tạo</t>
  </si>
  <si>
    <t>Kaity HG</t>
  </si>
  <si>
    <t>HD029137</t>
  </si>
  <si>
    <t>688/23/1C hương lộ 2 phường Bình Trị Đông A</t>
  </si>
  <si>
    <t>Trúc Linh</t>
  </si>
  <si>
    <t>HD028965</t>
  </si>
  <si>
    <t>RRVV+8H3 OPUS ONE LONG BÌNH (TÒA OST)</t>
  </si>
  <si>
    <t>Bé heo wharg pp maria</t>
  </si>
  <si>
    <t>HD029075</t>
  </si>
  <si>
    <t>205/120/51 Pham Đăng giảng, bình hưng hòa</t>
  </si>
  <si>
    <t>Phùng Bích Phương</t>
  </si>
  <si>
    <t>HD029263</t>
  </si>
  <si>
    <t>735 Phạm Thế Hiển P.Chánh hưng</t>
  </si>
  <si>
    <t>Nga Hong Cornee</t>
  </si>
  <si>
    <t>HD028579</t>
  </si>
  <si>
    <t>24/5F, Ấp Đồng Lân, Bà Điểm</t>
  </si>
  <si>
    <t>Mr Thế</t>
  </si>
  <si>
    <t>Trần thị vân</t>
  </si>
  <si>
    <t>HD029250</t>
  </si>
  <si>
    <t>1335/10/50, kp.2, Tỉnh Lộ 43, P. Tam Bình</t>
  </si>
  <si>
    <t>HD029110</t>
  </si>
  <si>
    <t>Ngo Thuy Linh</t>
  </si>
  <si>
    <t>HD029109</t>
  </si>
  <si>
    <t>37 nguyễn văn hưởng thảo điền</t>
  </si>
  <si>
    <t>Trần Cẩm Khôi Nguyên</t>
  </si>
  <si>
    <t>HD029279</t>
  </si>
  <si>
    <t>4/11/3 đường 6 phường Cát Lái, HCM dc cũ là phường Thạnh Mỹ Lợi</t>
  </si>
  <si>
    <t>NT Thanh Hậu</t>
  </si>
  <si>
    <t>HD029079</t>
  </si>
  <si>
    <t>56/26/12/24 Đường HT45 - Phường Hiệp Thành</t>
  </si>
  <si>
    <t>Hồ Thanh Phương</t>
  </si>
  <si>
    <t>HD029136</t>
  </si>
  <si>
    <t>158/56/21 Phạm Văn Chiêu, phường 8</t>
  </si>
  <si>
    <t>Lữ Anh Thư</t>
  </si>
  <si>
    <t>HD029209</t>
  </si>
  <si>
    <t>30b2 đường dd3 tân hưng thuận</t>
  </si>
  <si>
    <t>Charii ( inst charl_importshop )-BN2441</t>
  </si>
  <si>
    <t>HD028832</t>
  </si>
  <si>
    <t>Tường Vy</t>
  </si>
  <si>
    <t>HD029277</t>
  </si>
  <si>
    <t>166/25 huỳnh văn nghệ phường 15</t>
  </si>
  <si>
    <t>Nhi</t>
  </si>
  <si>
    <t>HD029083</t>
  </si>
  <si>
    <t>548/23 điện biên phủ phường 21</t>
  </si>
  <si>
    <t>Thư Võ</t>
  </si>
  <si>
    <t>HD029117</t>
  </si>
  <si>
    <t>389, QL13, p.Hiệp Bình Phước</t>
  </si>
  <si>
    <t>Ng nhận mèo mít đát (thắm cherry)</t>
  </si>
  <si>
    <t>HD028969</t>
  </si>
  <si>
    <t>39 AN NHƠN</t>
  </si>
  <si>
    <t>YURI</t>
  </si>
  <si>
    <t>Kim Thoa</t>
  </si>
  <si>
    <t>HD029269</t>
  </si>
  <si>
    <t>198 nguyễn thị minh khai</t>
  </si>
  <si>
    <t>HD029252</t>
  </si>
  <si>
    <t>55 Trần Quang Diệu, Nhiêu Lộc</t>
  </si>
  <si>
    <t>Edgar Lee</t>
  </si>
  <si>
    <t>HD029273</t>
  </si>
  <si>
    <t>A18.03, Block A, Hung Phuc Happy Residence, District 7</t>
  </si>
  <si>
    <t>Anh Đào Phan</t>
  </si>
  <si>
    <t>HD028642</t>
  </si>
  <si>
    <t>33/2 lý văn phức- tân định</t>
  </si>
  <si>
    <t>Huệ Nghi fb Violet Đỗ</t>
  </si>
  <si>
    <t>HD028982</t>
  </si>
  <si>
    <t>det</t>
  </si>
  <si>
    <t>HD028699</t>
  </si>
  <si>
    <t>363 Hùng Vương,p9</t>
  </si>
  <si>
    <t>HD029281</t>
  </si>
  <si>
    <t>39B đường Nguyễn Văn Linh, Tân Thuận Tây Lock B</t>
  </si>
  <si>
    <t>Phương Anh Chu</t>
  </si>
  <si>
    <t>HD029082</t>
  </si>
  <si>
    <t>Chung cư Grand Riverside - 278 Bến Vân Đồn P2</t>
  </si>
  <si>
    <t>Jun</t>
  </si>
  <si>
    <t>HD028523</t>
  </si>
  <si>
    <t>385H Nguyễn Trãi, p.Nguyễn Cư Trinh</t>
  </si>
  <si>
    <t>T2.22.6.2026</t>
  </si>
  <si>
    <t>NGAY 22-6</t>
  </si>
  <si>
    <t>HD029523</t>
  </si>
  <si>
    <t>AT 20-06</t>
  </si>
  <si>
    <t>20-06-2026</t>
  </si>
  <si>
    <t>Người Nhận : ZL KIM ÁNH</t>
  </si>
  <si>
    <t>HD029332</t>
  </si>
  <si>
    <t>Số 78 Đường Số 7, P. Bình Hưng Hòa B</t>
  </si>
  <si>
    <t>HD029463</t>
  </si>
  <si>
    <t>31/2E đường số 8 phường tăng nhơn phú B</t>
  </si>
  <si>
    <t>VTS-34309SAK</t>
  </si>
  <si>
    <t>HD029490</t>
  </si>
  <si>
    <t>131 Trần Đại Nghĩa, Ấp 32, Xã Tân Nhựt</t>
  </si>
  <si>
    <t>MC Sanita Mao (MV01908)</t>
  </si>
  <si>
    <t>HD029525</t>
  </si>
  <si>
    <t>315/18/6 Nguyễn Thị Tú</t>
  </si>
  <si>
    <t>HD028963</t>
  </si>
  <si>
    <t>Bảo Ngân</t>
  </si>
  <si>
    <t>HD029375</t>
  </si>
  <si>
    <t>S9.02B Vinhome Grandpark, Long Bình</t>
  </si>
  <si>
    <t>Phượng Thường</t>
  </si>
  <si>
    <t>HD029391</t>
  </si>
  <si>
    <t>12-14 đường 13c phường bình trị đông</t>
  </si>
  <si>
    <t>HD028669</t>
  </si>
  <si>
    <t>315/18/6 Nhuyễn Thị Tú, Phưởng Bình Hưng Hòa B</t>
  </si>
  <si>
    <t>Ngoc Phan</t>
  </si>
  <si>
    <t>HD029522</t>
  </si>
  <si>
    <t>Số 8, đường DC9, phường Sơn Kỳ</t>
  </si>
  <si>
    <t>Hồng Lê</t>
  </si>
  <si>
    <t>HD029287</t>
  </si>
  <si>
    <t>Toà S6.03 the origami - Vinhome grand park - long bình</t>
  </si>
  <si>
    <t>Nguyễn Quỳnh</t>
  </si>
  <si>
    <t>HD029384</t>
  </si>
  <si>
    <t>454 Võ Chí Công, phường Phú Hữu (Safira Khang Điền)</t>
  </si>
  <si>
    <t>Thy Tuyết</t>
  </si>
  <si>
    <t>HD029240</t>
  </si>
  <si>
    <t>Landmark 4, vinhomes central park, 720A Điện Biên Phủ, phường 22</t>
  </si>
  <si>
    <t>Diệu Quyên</t>
  </si>
  <si>
    <t>HD029521</t>
  </si>
  <si>
    <t>242/20 phạm văn bạch p15</t>
  </si>
  <si>
    <t>HD029557</t>
  </si>
  <si>
    <t>Trang Quynh</t>
  </si>
  <si>
    <t>HD029360</t>
  </si>
  <si>
    <t>97A rần Thái tông p 15</t>
  </si>
  <si>
    <t>Ngọc Ánh</t>
  </si>
  <si>
    <t>HD029395</t>
  </si>
  <si>
    <t>Toà Aster - Urban green (đối diện Vạn Phúc)</t>
  </si>
  <si>
    <t>HD029316</t>
  </si>
  <si>
    <t>Meo - fb Trương Ngọc Thiên Ân</t>
  </si>
  <si>
    <t>HD029432</t>
  </si>
  <si>
    <t>Vinhomes Central Park ( Park 5 ) 720A Điện Biên Phủ, P22</t>
  </si>
  <si>
    <t>HD029385</t>
  </si>
  <si>
    <t>HD029456</t>
  </si>
  <si>
    <t>Anh Thư</t>
  </si>
  <si>
    <t>HD029542</t>
  </si>
  <si>
    <t>Số 22, đường 19, p linh chiểu</t>
  </si>
  <si>
    <t>434 Lê Hồng Phong, Vườn Lài</t>
  </si>
  <si>
    <t>HD029435</t>
  </si>
  <si>
    <t>16/5 trần quang diệu</t>
  </si>
  <si>
    <t>Nguyễn Ngọc Thanh Thuý</t>
  </si>
  <si>
    <t>HD029427</t>
  </si>
  <si>
    <t>675/33A trần xuân soạn p tân hưng</t>
  </si>
  <si>
    <t>Viên Trương</t>
  </si>
  <si>
    <t>HD029397</t>
  </si>
  <si>
    <t>Xi Grand Court Block C 258 lý thường kiệt phường 14</t>
  </si>
  <si>
    <t>HD029396</t>
  </si>
  <si>
    <t>68hùng vuong p9</t>
  </si>
  <si>
    <t>HIẾU (fb Huyen Nguyen)</t>
  </si>
  <si>
    <t>HD029319</t>
  </si>
  <si>
    <t>623/43 CMT8 p15</t>
  </si>
  <si>
    <t>HD029414</t>
  </si>
  <si>
    <t>Nicky Nguyễn</t>
  </si>
  <si>
    <t>HD029345</t>
  </si>
  <si>
    <t>418-420 Nguyễn Thị Minh Khai P. Bàn Cờ</t>
  </si>
  <si>
    <t>HD029426</t>
  </si>
  <si>
    <t>HD029201</t>
  </si>
  <si>
    <t>Yu Mi</t>
  </si>
  <si>
    <t>HD029540</t>
  </si>
  <si>
    <t>346 bến vân đồn p1 (chung cư gold view, Block a3)</t>
  </si>
  <si>
    <t>Topaz elite dragon</t>
  </si>
  <si>
    <t>HD029340</t>
  </si>
  <si>
    <t>2A phường 4</t>
  </si>
  <si>
    <t>Thi Vo</t>
  </si>
  <si>
    <t>HD029554</t>
  </si>
  <si>
    <t>3, NGÔ THỊ THU MINH, F2</t>
  </si>
  <si>
    <t>Nguyễn Thị Cúc</t>
  </si>
  <si>
    <t>HD029343</t>
  </si>
  <si>
    <t>36/4 cù lao</t>
  </si>
  <si>
    <t>yusi</t>
  </si>
  <si>
    <t>HD029431</t>
  </si>
  <si>
    <t>86/36/3 PHỔ QUANG, PHƯỜNG TÂN SƠN HÒA</t>
  </si>
  <si>
    <t>Tuyết Nương</t>
  </si>
  <si>
    <t>HD029424</t>
  </si>
  <si>
    <t>219/78 Trần Văn đang, phường nhiêu lộc</t>
  </si>
  <si>
    <t>HD029520</t>
  </si>
  <si>
    <t>74 Nguyễn công hoang cầu kiệu</t>
  </si>
  <si>
    <t>HD029455</t>
  </si>
  <si>
    <t>160/20 võ thị sáu p8</t>
  </si>
  <si>
    <t>HD029380</t>
  </si>
  <si>
    <t>CUS19950/pepanhaketya</t>
  </si>
  <si>
    <t>HD029508</t>
  </si>
  <si>
    <t>kh ck shop 760k</t>
  </si>
  <si>
    <t>HD029820</t>
  </si>
  <si>
    <t>22-06-2026</t>
  </si>
  <si>
    <t>Hiếu Phan</t>
  </si>
  <si>
    <t>HD029832</t>
  </si>
  <si>
    <t>BS10A vinhomes grand park, phường long bình</t>
  </si>
  <si>
    <t>HD029825</t>
  </si>
  <si>
    <t>Hạnh Trần</t>
  </si>
  <si>
    <t>HD029934</t>
  </si>
  <si>
    <t>Chung cư Tecco, Block C, đường Nguyễn Cứu Phú, phường Tân Tạo</t>
  </si>
  <si>
    <t>AT 22-06</t>
  </si>
  <si>
    <t>HD029611</t>
  </si>
  <si>
    <t>cammy.nggg</t>
  </si>
  <si>
    <t>HD029579</t>
  </si>
  <si>
    <t>256/40 phạm van chi phuong 1</t>
  </si>
  <si>
    <t>Vinh Trần</t>
  </si>
  <si>
    <t>HD029682</t>
  </si>
  <si>
    <t>16 vạn hạnh,phường tân sơn nhì ( tân thành cũ )</t>
  </si>
  <si>
    <t>Anna Hằng</t>
  </si>
  <si>
    <t>HD029807</t>
  </si>
  <si>
    <t>113 ao đôi</t>
  </si>
  <si>
    <t>Trúc Đinh</t>
  </si>
  <si>
    <t>HD029812</t>
  </si>
  <si>
    <t>685 âu cơ - Chung cư Oriental Block D, Phường Tân Thành</t>
  </si>
  <si>
    <t>Name: THZ yujin</t>
  </si>
  <si>
    <t>HD029768</t>
  </si>
  <si>
    <t>Nhà 39, Đường B4, Tây Thạnh</t>
  </si>
  <si>
    <t>Olala Nguyễn</t>
  </si>
  <si>
    <t>226 Tân Hương</t>
  </si>
  <si>
    <t>chị ngọc</t>
  </si>
  <si>
    <t>HD029708</t>
  </si>
  <si>
    <t>C4/68 phạm hùng</t>
  </si>
  <si>
    <t>Diệu Linh</t>
  </si>
  <si>
    <t>HD029838</t>
  </si>
  <si>
    <t>103 đường số 6, phường Bình Hưng Hòa</t>
  </si>
  <si>
    <t>Chu Diệp Anh</t>
  </si>
  <si>
    <t>HD029573</t>
  </si>
  <si>
    <t>616/5/8 lê trọng tấn bình hưng hòa</t>
  </si>
  <si>
    <t>Phùng Thúy Duy</t>
  </si>
  <si>
    <t>HD029824</t>
  </si>
  <si>
    <t>59 võ văn kiệt, phường an lạc</t>
  </si>
  <si>
    <t>Minh Hai</t>
  </si>
  <si>
    <t>17 Street No. 13, Binh Hung Hoa</t>
  </si>
  <si>
    <t>275/1B Đặng Nguyên Cẩn, Phường Phú Lâm</t>
  </si>
  <si>
    <t>HD029648</t>
  </si>
  <si>
    <t>Thien Thanh</t>
  </si>
  <si>
    <t>HD029847</t>
  </si>
  <si>
    <t>72 nguyen co thach p an khanh (toà nhà vietcambank)</t>
  </si>
  <si>
    <t>HD029657</t>
  </si>
  <si>
    <t>45-47 Vũ Tông Phan, An Phú (Bình Trưng)</t>
  </si>
  <si>
    <t>Anh Tran</t>
  </si>
  <si>
    <t>HD029842</t>
  </si>
  <si>
    <t>48B Gò Dưa, Tam Bình</t>
  </si>
  <si>
    <t>Luu Lam Bong (Thơ)</t>
  </si>
  <si>
    <t>HD029666</t>
  </si>
  <si>
    <t>211 Đỗ Pháp Thuận, P. Bình Trưng</t>
  </si>
  <si>
    <t>HD029717</t>
  </si>
  <si>
    <t>BN182 miki chouchou Fb</t>
  </si>
  <si>
    <t>HD029891</t>
  </si>
  <si>
    <t>HD029973</t>
  </si>
  <si>
    <t>Nguyễn Trần Thanh Hà</t>
  </si>
  <si>
    <t>HD029641</t>
  </si>
  <si>
    <t>43/2a3 đường số 8 hoàng diệu 2, linh trung</t>
  </si>
  <si>
    <t>Hà Hà</t>
  </si>
  <si>
    <t>HD029940</t>
  </si>
  <si>
    <t>29 đường 58 bình trưng đông</t>
  </si>
  <si>
    <t>Đậu Đậu</t>
  </si>
  <si>
    <t>HD029794</t>
  </si>
  <si>
    <t>106/4 phan van tri phường 12</t>
  </si>
  <si>
    <t>Như Quỳnh</t>
  </si>
  <si>
    <t>HD029937</t>
  </si>
  <si>
    <t>28 Mai Chí Thọ, Mộc Nhiên spa sav3 00.10 the sun avenue, Phường Bình Trưng</t>
  </si>
  <si>
    <t>Nguyễn An Bình</t>
  </si>
  <si>
    <t>HD029958</t>
  </si>
  <si>
    <t>6-8 giang văn minh, an phú</t>
  </si>
  <si>
    <t>Gián Hiền Linh</t>
  </si>
  <si>
    <t>HD029980</t>
  </si>
  <si>
    <t>90 nguyễn hữu cảnh, phường 22</t>
  </si>
  <si>
    <t>HD029865</t>
  </si>
  <si>
    <t>140 lê văn Khương, phường thới an cũ (kế bên siêu thị xe máy Binh Minh)</t>
  </si>
  <si>
    <t>BMB</t>
  </si>
  <si>
    <t>119 hoàng diệu 2 linh trung</t>
  </si>
  <si>
    <t>Hannah Lương + Quỳnh WL</t>
  </si>
  <si>
    <t>HD029965</t>
  </si>
  <si>
    <t>Kho D36, đường C2, Phường Bảy Hiền</t>
  </si>
  <si>
    <t>HD029604</t>
  </si>
  <si>
    <t>Phương Lê</t>
  </si>
  <si>
    <t>HD029927</t>
  </si>
  <si>
    <t>314/54 âu dương lân p3</t>
  </si>
  <si>
    <t>Hoàng Trần Phi Yến</t>
  </si>
  <si>
    <t>HD029919</t>
  </si>
  <si>
    <t>96A-96B nam kỳ khởi nghĩa, phường sài gòn</t>
  </si>
  <si>
    <t>HD029813</t>
  </si>
  <si>
    <t>Trần Lan</t>
  </si>
  <si>
    <t>HD029795</t>
  </si>
  <si>
    <t>Citilight Tower, 45 Võ Thị Sáu, Tân Định</t>
  </si>
  <si>
    <t>Yen Thi Kim Le</t>
  </si>
  <si>
    <t>HD029817</t>
  </si>
  <si>
    <t>549 Điện Biên Phủ bàn cờ</t>
  </si>
  <si>
    <t>Nguyễn Thị Ánh Tuyết</t>
  </si>
  <si>
    <t>HD029816</t>
  </si>
  <si>
    <t>Tòa nhà B2 Căn M2 13.05 Chung Cư SAIGON RIVERSIDE SỐ 04 Đào Trí Phường Phú Thuận</t>
  </si>
  <si>
    <t>Cẩm Tiên</t>
  </si>
  <si>
    <t>HD029941</t>
  </si>
  <si>
    <t>Chung cư topaz dragon 2A 457-459 tạ quang bửu - phường 4</t>
  </si>
  <si>
    <t>Muội Muội</t>
  </si>
  <si>
    <t>HD029930</t>
  </si>
  <si>
    <t>740/5 Sư Vạn Hành p12</t>
  </si>
  <si>
    <t>Kamy Trần</t>
  </si>
  <si>
    <t>HD029762</t>
  </si>
  <si>
    <t>280A/7 Phạm Thế Hiển p3</t>
  </si>
  <si>
    <t>K Chi Lam</t>
  </si>
  <si>
    <t>HD029603</t>
  </si>
  <si>
    <t>Kingdom 101 tô hiến thành</t>
  </si>
  <si>
    <t>Nguyễn Thị Bảo Loan</t>
  </si>
  <si>
    <t>HD029593</t>
  </si>
  <si>
    <t>tòa b2 chung cư lavida số 1181 nguyễn văn linh tân phong</t>
  </si>
  <si>
    <t>Suna</t>
  </si>
  <si>
    <t>HD029486</t>
  </si>
  <si>
    <t>chung cư cardinal block B</t>
  </si>
  <si>
    <t>NGAY 23-6</t>
  </si>
  <si>
    <t>T3.23.6.2026</t>
  </si>
  <si>
    <t>T4.24.6.2026</t>
  </si>
  <si>
    <t>NGAY 24-6</t>
  </si>
  <si>
    <t>23-06-2026</t>
  </si>
  <si>
    <t>207, đường DX071, phường Chánh Hiệp</t>
  </si>
  <si>
    <t>HD030214</t>
  </si>
  <si>
    <t>NY Lan - fb Dương Thủy</t>
  </si>
  <si>
    <t>212B/D35 bis Nguyễn Trãi P Nguyễn Cư Trinh</t>
  </si>
  <si>
    <t>HD030105</t>
  </si>
  <si>
    <t>Hân Hồ</t>
  </si>
  <si>
    <t>61 bùi điền p4</t>
  </si>
  <si>
    <t>HD030221</t>
  </si>
  <si>
    <t>Ruby Cẩm Tú</t>
  </si>
  <si>
    <t>15 Nguyên Cao sảnh O Phường Tân Hưng</t>
  </si>
  <si>
    <t>HD030031</t>
  </si>
  <si>
    <t>Ms viên</t>
  </si>
  <si>
    <t>HD029699</t>
  </si>
  <si>
    <t>Topaz city sảnh A1 39 cao lỗ phường chánh hưng (phường 4 cũ)</t>
  </si>
  <si>
    <t>HD030080</t>
  </si>
  <si>
    <t>topaz elite dragon 2a</t>
  </si>
  <si>
    <t>HD030224</t>
  </si>
  <si>
    <t>Oanh Trương</t>
  </si>
  <si>
    <t>13 trần thị ngôi p4</t>
  </si>
  <si>
    <t>HD029873</t>
  </si>
  <si>
    <t>Nhun Nhun</t>
  </si>
  <si>
    <t>13-15 hùng gia 1.5, phường tân phong</t>
  </si>
  <si>
    <t>HD030219</t>
  </si>
  <si>
    <t>163 đường Trương Thị Hoa, phường Tân Thới Hiệp</t>
  </si>
  <si>
    <t>HẠNH NARIN</t>
  </si>
  <si>
    <t>Cty The Long Express 27/5 Quách Văn Tuấn f12</t>
  </si>
  <si>
    <t>HD030152</t>
  </si>
  <si>
    <t>Trâm (zalo fb Lâm Yến Nhi)</t>
  </si>
  <si>
    <t>104 phan văn hớn tân thới nhất</t>
  </si>
  <si>
    <t>HD030225</t>
  </si>
  <si>
    <t>Minh Chau</t>
  </si>
  <si>
    <t>HD030009</t>
  </si>
  <si>
    <t>208 nguyễn hữu cảnh p22 - landmark 3</t>
  </si>
  <si>
    <t>HD030003</t>
  </si>
  <si>
    <t>Hien Hoang</t>
  </si>
  <si>
    <t>số 22 đường số 6city land</t>
  </si>
  <si>
    <t>HD030227</t>
  </si>
  <si>
    <t>c ngọc</t>
  </si>
  <si>
    <t>Chung Cư Centana - An Phú</t>
  </si>
  <si>
    <t>HD030092</t>
  </si>
  <si>
    <t>Bùi Thủy</t>
  </si>
  <si>
    <t>392/2 ung văn khiêm p25</t>
  </si>
  <si>
    <t>HD029524</t>
  </si>
  <si>
    <t>Nytha</t>
  </si>
  <si>
    <t>Chung cư lavita charm block b 58 số 1 trường thọ</t>
  </si>
  <si>
    <t>HD030213</t>
  </si>
  <si>
    <t>Nguyễn Thị Diễm Trang</t>
  </si>
  <si>
    <t>mai chí thọ phường an phú</t>
  </si>
  <si>
    <t>HD029938</t>
  </si>
  <si>
    <t>Nuong Huynh</t>
  </si>
  <si>
    <t>59/36 đỗ thúc tịnh p.an hội tây</t>
  </si>
  <si>
    <t>HD030211</t>
  </si>
  <si>
    <t>Trang Huyền</t>
  </si>
  <si>
    <t>HD030049</t>
  </si>
  <si>
    <t>17 trần thái tông tân sơn</t>
  </si>
  <si>
    <t>HD030207</t>
  </si>
  <si>
    <t>Lê Minh Thư</t>
  </si>
  <si>
    <t>HD029484</t>
  </si>
  <si>
    <t>BN7123</t>
  </si>
  <si>
    <t>Số 2 đường số 51 p bình trung đông</t>
  </si>
  <si>
    <t>HD030070</t>
  </si>
  <si>
    <t>Nguyen Minh Thu</t>
  </si>
  <si>
    <t>AT 23-06</t>
  </si>
  <si>
    <t>Chung cư richstar 2, toà RS7, 239-241 Hoà Bình, Hiệp Tân</t>
  </si>
  <si>
    <t>HD030122</t>
  </si>
  <si>
    <t>Loan Luong</t>
  </si>
  <si>
    <t>M37/15 Cư Xá Phú Lâm A Phường 12</t>
  </si>
  <si>
    <t>HD030017</t>
  </si>
  <si>
    <t>Phương Thảo TA</t>
  </si>
  <si>
    <t>19 đường 2a, an lạc A</t>
  </si>
  <si>
    <t>HD030015</t>
  </si>
  <si>
    <t>154/9b Âu Cơ, P9</t>
  </si>
  <si>
    <t>HD029948</t>
  </si>
  <si>
    <t>Hiệp hani miya</t>
  </si>
  <si>
    <t>220/54/1 âu cơ p9</t>
  </si>
  <si>
    <t>HD029939</t>
  </si>
  <si>
    <t>Ngọc Mỹ</t>
  </si>
  <si>
    <t>456/4 phú thọ hòa, phường phú thọ hòa</t>
  </si>
  <si>
    <t>HD030021</t>
  </si>
  <si>
    <t>Ngọc Du</t>
  </si>
  <si>
    <t>390/27/32/12 ql1a binh hung hoa b</t>
  </si>
  <si>
    <t>HD030032</t>
  </si>
  <si>
    <t>nuong pham</t>
  </si>
  <si>
    <t>S10.03 Vinhomes Grand Park, Ng Xiển, Long Bình</t>
  </si>
  <si>
    <t>HD029933</t>
  </si>
  <si>
    <t>Hang Pham</t>
  </si>
  <si>
    <t>Chung cư Safira Khang điền 454 võ chí công</t>
  </si>
  <si>
    <t>HD029944</t>
  </si>
  <si>
    <t>Lê Thùy Tiên</t>
  </si>
  <si>
    <t>đơn trả 24.6</t>
  </si>
  <si>
    <t>T5.25.6.2026</t>
  </si>
  <si>
    <t>NGAY 25-6</t>
  </si>
  <si>
    <t>Yến Chi Nguyễn</t>
  </si>
  <si>
    <t>HD030431</t>
  </si>
  <si>
    <t>83 đường số 6, Kdc phú hữu</t>
  </si>
  <si>
    <t>24-06-2026</t>
  </si>
  <si>
    <t>Lê Thị Mỹ Lệ</t>
  </si>
  <si>
    <t>HD030451</t>
  </si>
  <si>
    <t>Vinhome grand park m2.05 f long binh</t>
  </si>
  <si>
    <t>Hân Trần</t>
  </si>
  <si>
    <t>HD030443</t>
  </si>
  <si>
    <t>454 Võ Chí Công - Phú Hữu</t>
  </si>
  <si>
    <t>HD030321</t>
  </si>
  <si>
    <t>HD030453</t>
  </si>
  <si>
    <t>454 Võ Chí Công, phường Phú Hữu (Safira Khang Dien)</t>
  </si>
  <si>
    <t>Kim Nhân</t>
  </si>
  <si>
    <t>HD030489</t>
  </si>
  <si>
    <t>5M1/10 An Hạ</t>
  </si>
  <si>
    <t>AT 24-06</t>
  </si>
  <si>
    <t>HD030063</t>
  </si>
  <si>
    <t>Phy Phy</t>
  </si>
  <si>
    <t>HD030444</t>
  </si>
  <si>
    <t>18A Tân Thới Nhất, phường Tân Thới Nhất</t>
  </si>
  <si>
    <t>người nhận Tâm mini</t>
  </si>
  <si>
    <t>HD030448</t>
  </si>
  <si>
    <t>202B, HOÀNG VĂN THỤ PHƯỜNG 9</t>
  </si>
  <si>
    <t>Ngọc Diệp</t>
  </si>
  <si>
    <t>HD030315</t>
  </si>
  <si>
    <t>Ngọc diệp ak neo chung cư akari 77 đại lộ võ văn kiệt p an lạc</t>
  </si>
  <si>
    <t>HD030296</t>
  </si>
  <si>
    <t>3273 pham the hien, p7</t>
  </si>
  <si>
    <t>HD030480</t>
  </si>
  <si>
    <t>1079 tạ quang bửu pб</t>
  </si>
  <si>
    <t>Minh Tâm</t>
  </si>
  <si>
    <t>HD030316</t>
  </si>
  <si>
    <t>579/7 Quang trung, p11</t>
  </si>
  <si>
    <t>Fb: Thê Hy</t>
  </si>
  <si>
    <t>HD030483</t>
  </si>
  <si>
    <t>27/5 Quách Văn Tuân, F12</t>
  </si>
  <si>
    <t>HD030310</t>
  </si>
  <si>
    <t>120/3/11 Đặng Thùy Trâm, P13 ( CTY GIA HUY EXPRESS )</t>
  </si>
  <si>
    <t>kh ck shop 1730k</t>
  </si>
  <si>
    <t>HD030457</t>
  </si>
  <si>
    <t>ái - fb Nguyễn Vân</t>
  </si>
  <si>
    <t>HD030452</t>
  </si>
  <si>
    <t>25 đường số 6 khu đô thị lake view, an phú</t>
  </si>
  <si>
    <t>HD030341</t>
  </si>
  <si>
    <t>209/17 Nguyễn Văn Khối, p8</t>
  </si>
  <si>
    <t>Chu Huyền</t>
  </si>
  <si>
    <t>HD030495</t>
  </si>
  <si>
    <t>b08 trần não phường bình an</t>
  </si>
  <si>
    <t>W3423</t>
  </si>
  <si>
    <t>HD030181</t>
  </si>
  <si>
    <t>Nguyễn Thùy Vi</t>
  </si>
  <si>
    <t>HD030312</t>
  </si>
  <si>
    <t>Toà Crest, N11 Metropole Thủ Thiêm, p. An Khánh</t>
  </si>
  <si>
    <t>Hoà Lê</t>
  </si>
  <si>
    <t>số 42/13 - 45 Nguyễn Minh Hoàng, phường 12</t>
  </si>
  <si>
    <t>Ngọc Thuý - fb Nhi Do</t>
  </si>
  <si>
    <t>HD030450</t>
  </si>
  <si>
    <t>Số 1242b, Đường Lê Văn Lương, Ấp 3, Xã Phước Kiển</t>
  </si>
  <si>
    <t>Mẫn Mẫn</t>
  </si>
  <si>
    <t>HD030371</t>
  </si>
  <si>
    <t>39bis hoa cuc phường 7</t>
  </si>
  <si>
    <t>Đặng Minh Hải</t>
  </si>
  <si>
    <t>HD030446</t>
  </si>
  <si>
    <t>Cc lavida plus, Nguyễn Văn Linh, phường Tân Phong</t>
  </si>
  <si>
    <t>kh ck shop 2630k</t>
  </si>
  <si>
    <t>Nguyễn Thuỳ Linh</t>
  </si>
  <si>
    <t>HD030454</t>
  </si>
  <si>
    <t>88/71A pham hung p9</t>
  </si>
  <si>
    <t>HD030340</t>
  </si>
  <si>
    <t>HD030218</t>
  </si>
  <si>
    <t>Chung cư cardinal court toà B</t>
  </si>
  <si>
    <t>chị diệu</t>
  </si>
  <si>
    <t>HD030481</t>
  </si>
  <si>
    <t>132 đường số 1, tân phú (tam anh house)</t>
  </si>
  <si>
    <t>HD030294</t>
  </si>
  <si>
    <t>Kim Nguyen</t>
  </si>
  <si>
    <t>HD030335</t>
  </si>
  <si>
    <t>Chung cư - 04 đào trí phú thuận</t>
  </si>
  <si>
    <t>Elly Phuong</t>
  </si>
  <si>
    <t>HD030079</t>
  </si>
  <si>
    <t>915/74/5 đường c2 phuoc kiên</t>
  </si>
  <si>
    <t>HD030491</t>
  </si>
  <si>
    <t>Khu dân cư An Hòa 7 tòa 001 số 7 đường Trần Trọng Cung, phường Tân Thuận Đông</t>
  </si>
  <si>
    <t>Trịnh Trần Phương Trang</t>
  </si>
  <si>
    <t>HD029931</t>
  </si>
  <si>
    <t>Chung cư De La Sol Block A ( 1 Tôn Thất Thuyết P1 )</t>
  </si>
  <si>
    <t>Nguyễn Ái My</t>
  </si>
  <si>
    <t>HD030360</t>
  </si>
  <si>
    <t>391/29 sư vạn hạnh hòa hưng</t>
  </si>
  <si>
    <t>đơn trả 25.6</t>
  </si>
  <si>
    <t>kh ck shop 1875k</t>
  </si>
  <si>
    <t>NGAY 26-6</t>
  </si>
  <si>
    <t>T6.26.6.2026</t>
  </si>
  <si>
    <t>MAI TRẦN</t>
  </si>
  <si>
    <t>135 hải thượng lãn Ông P10</t>
  </si>
  <si>
    <t>AT 25-06</t>
  </si>
  <si>
    <t>25-06-2026</t>
  </si>
  <si>
    <t>Quế Trân</t>
  </si>
  <si>
    <t>HD030554</t>
  </si>
  <si>
    <t>69/2b đường 6 phường Tăng Nhơn Phú B</t>
  </si>
  <si>
    <t>Nguyễn Thúy Nhi</t>
  </si>
  <si>
    <t>HD030680</t>
  </si>
  <si>
    <t>276/29/34a mã lò kp6 binh trị đông a</t>
  </si>
  <si>
    <t>Nhi Le</t>
  </si>
  <si>
    <t>HD002024</t>
  </si>
  <si>
    <t>743/11/10 Hồng Bàng P6</t>
  </si>
  <si>
    <t>Nhận hàng giúp chị phương (ở Úc) fb Phương My</t>
  </si>
  <si>
    <t>HD030543</t>
  </si>
  <si>
    <t>126/5h song hành, tân hiệp</t>
  </si>
  <si>
    <t>HD030596</t>
  </si>
  <si>
    <t>bé ti - fb Phan Thị Yến Nhi</t>
  </si>
  <si>
    <t>HD030469</t>
  </si>
  <si>
    <t>A5/21 ấp 1, vĩnh lộc b</t>
  </si>
  <si>
    <t>HD030663</t>
  </si>
  <si>
    <t>Phạm Thu Hường</t>
  </si>
  <si>
    <t>HD030705</t>
  </si>
  <si>
    <t>Căn hộ Mizuki Flora - tháp FP1 Đường số 1, KĐT Mizuki Park, X. Bình Hưng</t>
  </si>
  <si>
    <t>Huyền My</t>
  </si>
  <si>
    <t>HD030658</t>
  </si>
  <si>
    <t>201/12 Mã Lò, Phường Bình Trị Đông</t>
  </si>
  <si>
    <t>Nguyễn Đắc Hợi (Vy Tran USA - Chou Chou)</t>
  </si>
  <si>
    <t>127/17 bình lợi p13</t>
  </si>
  <si>
    <t>403 Tân Sơn p12</t>
  </si>
  <si>
    <t>HD030579</t>
  </si>
  <si>
    <t>HD030661</t>
  </si>
  <si>
    <t>Kim Ngan Nguyen</t>
  </si>
  <si>
    <t>HD030695</t>
  </si>
  <si>
    <t>22bis Phan Đăng Lưu P6</t>
  </si>
  <si>
    <t>HD030683</t>
  </si>
  <si>
    <t>548/23 Điện biên phủ phường 21</t>
  </si>
  <si>
    <t>Mỹ Hiền</t>
  </si>
  <si>
    <t>HD030581</t>
  </si>
  <si>
    <t>25 đường số 6 khu đô thị lake view an phú</t>
  </si>
  <si>
    <t>A Cường - Hoàng My</t>
  </si>
  <si>
    <t>HD030739</t>
  </si>
  <si>
    <t>685/78/20 xô viết nghệ tĩnh, phường 26</t>
  </si>
  <si>
    <t>Khanhkim Nguyễn</t>
  </si>
  <si>
    <t>HD030684</t>
  </si>
  <si>
    <t>351 tân thới hiệp, Tân thới hiệp</t>
  </si>
  <si>
    <t>Flora Dy</t>
  </si>
  <si>
    <t>HD030639</t>
  </si>
  <si>
    <t>129 Trần Thị Năm P Trung Mỹ TÂY</t>
  </si>
  <si>
    <t>Hương</t>
  </si>
  <si>
    <t>HD030714</t>
  </si>
  <si>
    <t>214/b26 Nguyễn Trãi, cầu ông lãnh</t>
  </si>
  <si>
    <t>Bảo Ngọc</t>
  </si>
  <si>
    <t>HD030738</t>
  </si>
  <si>
    <t>100 cô giang , chung cư SOHO</t>
  </si>
  <si>
    <t>HD030654</t>
  </si>
  <si>
    <t>Thái Ngọc Trinh</t>
  </si>
  <si>
    <t>HD030534</t>
  </si>
  <si>
    <t>132 bến vân đồn</t>
  </si>
  <si>
    <t>Thanh Trúc</t>
  </si>
  <si>
    <t>290 An Dương Vương</t>
  </si>
  <si>
    <t>Phạm Mai</t>
  </si>
  <si>
    <t>HD030580</t>
  </si>
  <si>
    <t>khách sạn Bích Tuyền 23 đường số 1, Lý Phục Man, phường Tân Thuận</t>
  </si>
  <si>
    <t>Tu Nguyên</t>
  </si>
  <si>
    <t>HD030514</t>
  </si>
  <si>
    <t>311 Nguyễn thị thập phường Tân Phú</t>
  </si>
  <si>
    <t>bảo bảo fb Phương Phương</t>
  </si>
  <si>
    <t>HD030696</t>
  </si>
  <si>
    <t>132 bến vẫn đồn p6</t>
  </si>
  <si>
    <t>kim ngân</t>
  </si>
  <si>
    <t>HD030585</t>
  </si>
  <si>
    <t>C15 cao thị chính, phường phú nhuận</t>
  </si>
  <si>
    <t>Tú Nguyễn</t>
  </si>
  <si>
    <t>HD030677</t>
  </si>
  <si>
    <t>19 đào trí p phú thuận</t>
  </si>
  <si>
    <t>NGAY 27-6</t>
  </si>
  <si>
    <t>T7.27.6.2026</t>
  </si>
  <si>
    <t>fb Thuyền Quyền</t>
  </si>
  <si>
    <t>HD030775</t>
  </si>
  <si>
    <t>688/23/1C hương lộ 2, phường bình trị đông A</t>
  </si>
  <si>
    <t>AT 26-06</t>
  </si>
  <si>
    <t>26-06-2026</t>
  </si>
  <si>
    <t>Ngọc Phuong Chau</t>
  </si>
  <si>
    <t>HD030856</t>
  </si>
  <si>
    <t>240/45c Thoại Ngọc hầu, phường phú thạnh</t>
  </si>
  <si>
    <t>Trần Ngọc Minh Châu</t>
  </si>
  <si>
    <t>HD031017</t>
  </si>
  <si>
    <t>số 3 hoà bình, phường bình thới</t>
  </si>
  <si>
    <t>Hà Thư</t>
  </si>
  <si>
    <t>HD030956</t>
  </si>
  <si>
    <t>78 đường số 9 khu dân cư phong phú 4</t>
  </si>
  <si>
    <t>Vy Vy - VY VY LE YUAN</t>
  </si>
  <si>
    <t>HD030850</t>
  </si>
  <si>
    <t>66 đường số 17, phường Bình Phú</t>
  </si>
  <si>
    <t>Kim Ánh</t>
  </si>
  <si>
    <t>HD030933</t>
  </si>
  <si>
    <t>Số 895, Nguyễn Cửu Phú, Ấp 23 Tân Nhựt</t>
  </si>
  <si>
    <t>Dương Thị Thành</t>
  </si>
  <si>
    <t>HD031086</t>
  </si>
  <si>
    <t>14/47 phạm hùng bình Hưng</t>
  </si>
  <si>
    <t>SS Cargo Shipping</t>
  </si>
  <si>
    <t>HD031038</t>
  </si>
  <si>
    <t>674 Đường số 2, phường 13</t>
  </si>
  <si>
    <t>HD031081</t>
  </si>
  <si>
    <t>Chung cư him lam chợ lớn đường hậu giang f11</t>
  </si>
  <si>
    <t>Khánh Linh</t>
  </si>
  <si>
    <t>HD030766</t>
  </si>
  <si>
    <t>8/48 đường sinco an lạc</t>
  </si>
  <si>
    <t>Tuyến fb Cỏ Đuôi Già</t>
  </si>
  <si>
    <t>HD030854</t>
  </si>
  <si>
    <t>7/88, Ik 5-6, bình Hưng hoà B</t>
  </si>
  <si>
    <t>HD030921</t>
  </si>
  <si>
    <t>532/3/6 kinh dương vương, phường an lạc</t>
  </si>
  <si>
    <t>HD031065</t>
  </si>
  <si>
    <t>Code (BN182 Labelle)</t>
  </si>
  <si>
    <t>HD030993</t>
  </si>
  <si>
    <t>HD031084</t>
  </si>
  <si>
    <t>Nhận dùm: FB Đỗ Thanh Tuyền</t>
  </si>
  <si>
    <t>HD030926</t>
  </si>
  <si>
    <t>Cty Thế Long Express 27/5 Quách Văn Tuấn F12</t>
  </si>
  <si>
    <t>Nhận hộ fb Nguyễn Hà</t>
  </si>
  <si>
    <t>HD031057</t>
  </si>
  <si>
    <t>433/11/2 Lê Đức Thọ. Phường 17</t>
  </si>
  <si>
    <t>HD030924</t>
  </si>
  <si>
    <t>HD030812</t>
  </si>
  <si>
    <t>Thyy Uyên Vũ</t>
  </si>
  <si>
    <t>HD030961</t>
  </si>
  <si>
    <t>Chung cư the manor 2</t>
  </si>
  <si>
    <t>Thái Lan Phương</t>
  </si>
  <si>
    <t>HD030973</t>
  </si>
  <si>
    <t>135/17/68 nguyễn hữu cảnh</t>
  </si>
  <si>
    <t>Huynh Thi Thu Nga</t>
  </si>
  <si>
    <t>HD031034</t>
  </si>
  <si>
    <t>417/49/97 Quang Trung, Phường Gò Vấp (Phường 10 cũ)</t>
  </si>
  <si>
    <t>HD030992</t>
  </si>
  <si>
    <t>HD031121</t>
  </si>
  <si>
    <t>Mỹ Hạnh</t>
  </si>
  <si>
    <t>HD030836</t>
  </si>
  <si>
    <t>21 Nguyễn Thị Định</t>
  </si>
  <si>
    <t>HD031136</t>
  </si>
  <si>
    <t>cc Golden Mansion - Ta GM2 - 119 Đ. Phổ Quang, Phường 9</t>
  </si>
  <si>
    <t>Nguyễn Thị Trúc Ly</t>
  </si>
  <si>
    <t>HD030913</t>
  </si>
  <si>
    <t>S7 office the sun avenue</t>
  </si>
  <si>
    <t>HD030982</t>
  </si>
  <si>
    <t>41A Huỳnh Tịnh của p19</t>
  </si>
  <si>
    <t>Minh Tuệ</t>
  </si>
  <si>
    <t>Thanh Xuân</t>
  </si>
  <si>
    <t>HD031069</t>
  </si>
  <si>
    <t>138/47 nguyễn trãi, phường chợ quán</t>
  </si>
  <si>
    <t>Anh Thu Nguyen</t>
  </si>
  <si>
    <t>HD030931</t>
  </si>
  <si>
    <t>230 cao thắng, p12</t>
  </si>
  <si>
    <t>Như Ý Lê</t>
  </si>
  <si>
    <t>HD030878</t>
  </si>
  <si>
    <t>174 Bùi Thị Xuân P3</t>
  </si>
  <si>
    <t>gặp Thủy fb Barbie Phạm</t>
  </si>
  <si>
    <t>HD030910</t>
  </si>
  <si>
    <t>469 Nguyễn Hữu Thọ Tân Hưng</t>
  </si>
  <si>
    <t>Nguyễn Ngọc Thanh Thuỷ</t>
  </si>
  <si>
    <t>HD030950</t>
  </si>
  <si>
    <t>675/33A trần xuân soạn p. tân hưng</t>
  </si>
  <si>
    <t>Vin Vyn-Daravin</t>
  </si>
  <si>
    <t>HD030876</t>
  </si>
  <si>
    <t>An Thi</t>
  </si>
  <si>
    <t>HD031064</t>
  </si>
  <si>
    <t>100/124 duong bá trac p2</t>
  </si>
  <si>
    <t>Jessica Nhi Pham</t>
  </si>
  <si>
    <t>HD031061</t>
  </si>
  <si>
    <t>88/69/16 Nguyễn Văn Quỳ, Khu Phố Phường Phú Thuận</t>
  </si>
  <si>
    <t>Ybinh Lê</t>
  </si>
  <si>
    <t>HD031022</t>
  </si>
  <si>
    <t>27 rạch bùng binh phường nhiêu Lộc</t>
  </si>
  <si>
    <t>Tất Phú</t>
  </si>
  <si>
    <t>HD030960</t>
  </si>
  <si>
    <t>Bệnh viện Nhi đồng 1: 532 Lý Thái Tổ, P10</t>
  </si>
  <si>
    <t>Ngọc (FB Tihi Tran)</t>
  </si>
  <si>
    <t>HD031079</t>
  </si>
  <si>
    <t>184 Nam Kỳ Khởi Nghĩa, P xuân hoà</t>
  </si>
  <si>
    <t>HD030860</t>
  </si>
  <si>
    <t>329 trần bình trọng</t>
  </si>
  <si>
    <t>Thý An</t>
  </si>
  <si>
    <t>HD030861</t>
  </si>
  <si>
    <t>306 Nguyễn thiện thuật phường 3</t>
  </si>
  <si>
    <t>Yun Yun Abby</t>
  </si>
  <si>
    <t>HD031044</t>
  </si>
  <si>
    <t>Mi Em</t>
  </si>
  <si>
    <t>HD030979</t>
  </si>
  <si>
    <t>Toà endovina 146 nguyễn đình chiểu, p. xuân hoà</t>
  </si>
  <si>
    <t>Dinh Luong</t>
  </si>
  <si>
    <t>HD030749</t>
  </si>
  <si>
    <t>246 nguyễn duy dương f4</t>
  </si>
  <si>
    <t>Lê Cẩm Nhung</t>
  </si>
  <si>
    <t>HD031092</t>
  </si>
  <si>
    <t>82-84 trăng long p.4</t>
  </si>
  <si>
    <t>HD030987</t>
  </si>
  <si>
    <t>c duyên fb Hà Túi</t>
  </si>
  <si>
    <t>HD030859</t>
  </si>
  <si>
    <t>Toà t1 15a duong nguyễn hữu thọ Toà 5</t>
  </si>
  <si>
    <t>Nguyễn Hoài An</t>
  </si>
  <si>
    <t>HD031094</t>
  </si>
  <si>
    <t>15 đặng thai mai p7</t>
  </si>
  <si>
    <t>Kiều Hiền</t>
  </si>
  <si>
    <t>HD030786</t>
  </si>
  <si>
    <t>404 võ văn tần p5</t>
  </si>
  <si>
    <t>Ánh Út</t>
  </si>
  <si>
    <t>HD030847</t>
  </si>
  <si>
    <t>183f/1/7 tôn thất thuyết p4</t>
  </si>
  <si>
    <t>Luna</t>
  </si>
  <si>
    <t>HD030674</t>
  </si>
  <si>
    <t>Block A- chung cư delasol số 1 tôn thất thuyết</t>
  </si>
  <si>
    <t>Hằng Hằng</t>
  </si>
  <si>
    <t>HD030789</t>
  </si>
  <si>
    <t>8/69Nguyễn đình khơi, P tân sơn</t>
  </si>
  <si>
    <t>8A Sông thương, Phường 2</t>
  </si>
  <si>
    <t>MINEA</t>
  </si>
  <si>
    <t>kh ck shop 625k</t>
  </si>
  <si>
    <t>T2.29.6.2026</t>
  </si>
  <si>
    <t>NGAY 29-6</t>
  </si>
  <si>
    <t>HD031474</t>
  </si>
  <si>
    <t>AT 27-06</t>
  </si>
  <si>
    <t>27-06-2026</t>
  </si>
  <si>
    <t>Ngoc Phuong Chau</t>
  </si>
  <si>
    <t>HD031348</t>
  </si>
  <si>
    <t>Winny Nguyễn</t>
  </si>
  <si>
    <t>HD031248</t>
  </si>
  <si>
    <t>Chung cư celadon city emerald, block D Số 2 đường n4 phường sơn kỳ</t>
  </si>
  <si>
    <t>HD031386</t>
  </si>
  <si>
    <t>177C ( Đối diện 93C) Đường Số 1, Phường Hưng Hoà B, BÃI XE MINH CHÂU</t>
  </si>
  <si>
    <t>Ana Huynh</t>
  </si>
  <si>
    <t>HD031434</t>
  </si>
  <si>
    <t>Cafe sao mai 75 đường số 5, phường Bình Trị Đông B</t>
  </si>
  <si>
    <t>Nguyễn Thị Kim Thoa</t>
  </si>
  <si>
    <t>HD031401</t>
  </si>
  <si>
    <t>số 25a đường 22 bình hưng hòa a</t>
  </si>
  <si>
    <t>Coco Coca</t>
  </si>
  <si>
    <t>HD031463</t>
  </si>
  <si>
    <t>730/129/3 hương lộ 2 bình trị đông A</t>
  </si>
  <si>
    <t>Thuy Nguyen</t>
  </si>
  <si>
    <t>HD031475</t>
  </si>
  <si>
    <t>sảnh cư dân toà Landmark 81</t>
  </si>
  <si>
    <t>Chị Huệ</t>
  </si>
  <si>
    <t>HD031088</t>
  </si>
  <si>
    <t>Số 89, Đường Đinh Thị Thi, Khu Đô Thị Vạn Phúc, Phường Hiệp Bình Phước</t>
  </si>
  <si>
    <t>HD030781</t>
  </si>
  <si>
    <t>mai chí thọ, phường an phú Cc lexington block B</t>
  </si>
  <si>
    <t>đào trần phú anh 29 ĐI ĐƠN</t>
  </si>
  <si>
    <t>HD031426</t>
  </si>
  <si>
    <t>25 nguyễn văn dung p6</t>
  </si>
  <si>
    <t>HD031349</t>
  </si>
  <si>
    <t>C9-YY-TANYEE</t>
  </si>
  <si>
    <t>HD031360</t>
  </si>
  <si>
    <t>457 Pham Van Bach, Ward 15</t>
  </si>
  <si>
    <t>HD031430</t>
  </si>
  <si>
    <t>208 nguyễn hữu cảnh phường 22 chung cư vinhome toà lanmark 5</t>
  </si>
  <si>
    <t>HD031366</t>
  </si>
  <si>
    <t>May Ngoc Nguyen</t>
  </si>
  <si>
    <t>HD031399</t>
  </si>
  <si>
    <t>Lô j nhà D chung cư bình Khánh</t>
  </si>
  <si>
    <t>HD031372</t>
  </si>
  <si>
    <t>Số 2 đường số 51 p bình trưng đông</t>
  </si>
  <si>
    <t>(c uyên) Kim Chi</t>
  </si>
  <si>
    <t>HD031370</t>
  </si>
  <si>
    <t>Gửi hàng về e 61/15/3 đường số 8, phường trường thọ</t>
  </si>
  <si>
    <t>Thanh Nguyễn</t>
  </si>
  <si>
    <t>HD031471</t>
  </si>
  <si>
    <t>188/4 đường Thới an phường thới an</t>
  </si>
  <si>
    <t>Le Tuyet Trinh</t>
  </si>
  <si>
    <t>HD031468</t>
  </si>
  <si>
    <t>13.04 S6, The Sun Anenue, 28 Đ, Mai Chí Thọ, An Phú</t>
  </si>
  <si>
    <t>Kitty Tan</t>
  </si>
  <si>
    <t>HD031230</t>
  </si>
  <si>
    <t>266/54c tôn đản p8</t>
  </si>
  <si>
    <t>Villa</t>
  </si>
  <si>
    <t>HD031484</t>
  </si>
  <si>
    <t>11 Nguyễn trọng lội (phường tân sơn nhất (phường 4 cũ)</t>
  </si>
  <si>
    <t>Vi Cherry</t>
  </si>
  <si>
    <t>HD031485</t>
  </si>
  <si>
    <t>213/30 hồng lạc1p10</t>
  </si>
  <si>
    <t>Khiết Nghi</t>
  </si>
  <si>
    <t>HD031409</t>
  </si>
  <si>
    <t>128A/17 ng chí thanh, p2 ( p vườn lài )</t>
  </si>
  <si>
    <t>HD031403</t>
  </si>
  <si>
    <t>209 Phạm Ngũ Lão, Bến Thành</t>
  </si>
  <si>
    <t>Phiến Trương</t>
  </si>
  <si>
    <t>HD031229</t>
  </si>
  <si>
    <t>56/28b Thích quảng đức</t>
  </si>
  <si>
    <t>HD031418</t>
  </si>
  <si>
    <t>HD031410</t>
  </si>
  <si>
    <t>Snit.07 Phnom Penh</t>
  </si>
  <si>
    <t>HD031424</t>
  </si>
  <si>
    <t>301 phạm ngũ lão</t>
  </si>
  <si>
    <t>Thuy Tien</t>
  </si>
  <si>
    <t>HD031266</t>
  </si>
  <si>
    <t>132 bến vân đồn f6</t>
  </si>
  <si>
    <t>Linh nguyễn</t>
  </si>
  <si>
    <t>HD031460</t>
  </si>
  <si>
    <t>56/1a nguyễn thông, phường nhiêu lộc (khách sạn lâm viên)</t>
  </si>
  <si>
    <t>HD031467</t>
  </si>
  <si>
    <t>HD031183</t>
  </si>
  <si>
    <t>88/69/16 Nguyễn Văn Quỳ, phường Phú Thuận</t>
  </si>
  <si>
    <t>HD031451</t>
  </si>
  <si>
    <t>Cc lavida plus, Nguyễn Văn Linh, Phường Tân Phong</t>
  </si>
  <si>
    <t>MiNi Nguyễn</t>
  </si>
  <si>
    <t>HD031455</t>
  </si>
  <si>
    <t>68/27 đường 25a, phường tân quy</t>
  </si>
  <si>
    <t>Minơ - Angela Ngọc Nữ</t>
  </si>
  <si>
    <t>HD031428</t>
  </si>
  <si>
    <t>Fangfang</t>
  </si>
  <si>
    <t>A75/6B/2 Bạch Đằng, Phường 2</t>
  </si>
  <si>
    <t>42/43 - 45 Nguyễn Minh Hoàng, phường 12</t>
  </si>
  <si>
    <t>AT 29-06</t>
  </si>
  <si>
    <t>29-06-2026</t>
  </si>
  <si>
    <t>Hoài Sen</t>
  </si>
  <si>
    <t>HD031765</t>
  </si>
  <si>
    <t>Chung cư Conic, block G, đường Nguyễn Văn Linh, xã Phong Phú</t>
  </si>
  <si>
    <t>Nguyễn Thuý Ái</t>
  </si>
  <si>
    <t>HD031493</t>
  </si>
  <si>
    <t>4449 nguyễn cửu phú, tân tạo a</t>
  </si>
  <si>
    <t>Yên Yên</t>
  </si>
  <si>
    <t>HD031967</t>
  </si>
  <si>
    <t>104-102 đường số 28 p bình trị đông b</t>
  </si>
  <si>
    <t>Hồng Trương</t>
  </si>
  <si>
    <t>HD031751</t>
  </si>
  <si>
    <t>Sảnh a5, chung cư Diamond Alnata Plus, 02 đường n1,sơn kỳ</t>
  </si>
  <si>
    <t>Vy Nguyen</t>
  </si>
  <si>
    <t>HD031877</t>
  </si>
  <si>
    <t>24 đường 902 tạ quang bửu p5</t>
  </si>
  <si>
    <t>HD031373</t>
  </si>
  <si>
    <t>Diễm Dora</t>
  </si>
  <si>
    <t>HD031789</t>
  </si>
  <si>
    <t>D12/4 le thi dung xa Vĩnh loc a</t>
  </si>
  <si>
    <t>Út Nhỏ (thu trần ) (Malaysia)</t>
  </si>
  <si>
    <t>HD031744</t>
  </si>
  <si>
    <t>Tuyền Hồ</t>
  </si>
  <si>
    <t>HD032002</t>
  </si>
  <si>
    <t>Liên tỉnh 5 p5</t>
  </si>
  <si>
    <t>Pông Pông</t>
  </si>
  <si>
    <t>HD031566</t>
  </si>
  <si>
    <t>1491/9 phạm thế hiển p6</t>
  </si>
  <si>
    <t>Nguyễn Huyền Sương</t>
  </si>
  <si>
    <t>HD031737</t>
  </si>
  <si>
    <t>113/49/29 Lâm Thị Hổ, Tân Chánh Hiệp</t>
  </si>
  <si>
    <t>Kim Tuyền</t>
  </si>
  <si>
    <t>HD031491</t>
  </si>
  <si>
    <t>451/40 phạm thế hiển phường 3</t>
  </si>
  <si>
    <t>Trang Tran NJ</t>
  </si>
  <si>
    <t>384/22 phạm văn bạch, Tân Sơn</t>
  </si>
  <si>
    <t>Đào Chipi</t>
  </si>
  <si>
    <t>HD031510</t>
  </si>
  <si>
    <t>80 lê hoàng phái</t>
  </si>
  <si>
    <t>HD031758</t>
  </si>
  <si>
    <t>Tram Ngoc</t>
  </si>
  <si>
    <t>HD031660</t>
  </si>
  <si>
    <t>61/7 Đường số 35, kp7 cũ, Phường Hiệp Bình Chánh cũ (P. Hiệp Bình mới)</t>
  </si>
  <si>
    <t>HD031776</t>
  </si>
  <si>
    <t>433/11/2 Lê Đức Thọ, Phường Gò Vấp ( Phương 17 cũ)</t>
  </si>
  <si>
    <t>Mai Trang</t>
  </si>
  <si>
    <t>HD032015</t>
  </si>
  <si>
    <t>399 cộng hoà ,p tân bình</t>
  </si>
  <si>
    <t>HD031854</t>
  </si>
  <si>
    <t>Cty Thế Long Express 27/5 Quách Văn Tuấn, f12</t>
  </si>
  <si>
    <t>HD031955</t>
  </si>
  <si>
    <t>HD031500</t>
  </si>
  <si>
    <t>Trang Huyên</t>
  </si>
  <si>
    <t>HDC31932</t>
  </si>
  <si>
    <t>Phạm Châu</t>
  </si>
  <si>
    <t>HD031862</t>
  </si>
  <si>
    <t>81/7C đường 59 p14</t>
  </si>
  <si>
    <t>Pham Jenny</t>
  </si>
  <si>
    <t>HD031784</t>
  </si>
  <si>
    <t>208 nguyễn hữu cảnh p22, Vinhome landmark plus</t>
  </si>
  <si>
    <t>HD031937</t>
  </si>
  <si>
    <t>mai chí thọ, phường an phú, Cc lexington block B</t>
  </si>
  <si>
    <t>Pham Dung</t>
  </si>
  <si>
    <t>HD031946</t>
  </si>
  <si>
    <t>208 nguyễn hữu cảnh phường 22 chung cư vinhome toà lan mark 5</t>
  </si>
  <si>
    <t>HD031788</t>
  </si>
  <si>
    <t>HD031495</t>
  </si>
  <si>
    <t>HD031831</t>
  </si>
  <si>
    <t>tna binh</t>
  </si>
  <si>
    <t>Hương Ly</t>
  </si>
  <si>
    <t>HD031581</t>
  </si>
  <si>
    <t>Block B, Chung cư The Antonia, Đường số 19, P. Tân Phú</t>
  </si>
  <si>
    <t>HD031738</t>
  </si>
  <si>
    <t>Thỏ Bunny</t>
  </si>
  <si>
    <t>HD031824</t>
  </si>
  <si>
    <t>vinhome golden river, aqua 2, tôn đức thắng, bến nghé</t>
  </si>
  <si>
    <t>HD031488</t>
  </si>
  <si>
    <t>391/29 sư vạn hạnh, hòa hưng</t>
  </si>
  <si>
    <t>HD031511</t>
  </si>
  <si>
    <t>Kim Thương</t>
  </si>
  <si>
    <t>HD031986</t>
  </si>
  <si>
    <t>212A trần hưng đạo, phường nguyễn cư trinh</t>
  </si>
  <si>
    <t>HD032000</t>
  </si>
  <si>
    <t>Trần Lê Bích Ngọc</t>
  </si>
  <si>
    <t>HD031861</t>
  </si>
  <si>
    <t>324/9/4 Lý Thường Kiệt, F14</t>
  </si>
  <si>
    <t>Ly Truong fb Huyên Chân</t>
  </si>
  <si>
    <t>HD031648</t>
  </si>
  <si>
    <t>Ni Tiên</t>
  </si>
  <si>
    <t>HD031416</t>
  </si>
  <si>
    <t>77 Trần Nhân Tôn P9 (Phường An Đông)</t>
  </si>
  <si>
    <t>My</t>
  </si>
  <si>
    <t>HD031895</t>
  </si>
  <si>
    <t>320/12 Đường Nguyễn Văn Linh, Bình Thuận, Tân Thuận</t>
  </si>
  <si>
    <t>mimi</t>
  </si>
  <si>
    <t>HD031978</t>
  </si>
  <si>
    <t>HD031878</t>
  </si>
  <si>
    <t>HD031808</t>
  </si>
  <si>
    <t>363-365-367, 363 Đ, Hùng Vương, Phường 9</t>
  </si>
  <si>
    <t>Zann (Mỹ Linh)</t>
  </si>
  <si>
    <t>HP031650</t>
  </si>
  <si>
    <t>34 Nguyễn Trọng Lội</t>
  </si>
  <si>
    <t>HD031823</t>
  </si>
  <si>
    <t>HD031965</t>
  </si>
  <si>
    <t>Thanh Vy - ship đồ cho Jolie</t>
  </si>
  <si>
    <t>HD031546</t>
  </si>
  <si>
    <t>243/92 Tôn Thất Thuyết, Phường 3</t>
  </si>
  <si>
    <t>Dạ Lan Chi (inst lanchi.tonnu)</t>
  </si>
  <si>
    <t>HD031725</t>
  </si>
  <si>
    <t>575/11/2 cách mạng tháng tám, p. Hòa Hưng</t>
  </si>
  <si>
    <t>Chạc Thúy</t>
  </si>
  <si>
    <t>HD031801</t>
  </si>
  <si>
    <t>Số nhà 38, Khu Biệt Thự Chateau 1 - Khu đô thị Phú Mỹ Hưng, Tân Mỹ</t>
  </si>
  <si>
    <t>HD031698</t>
  </si>
  <si>
    <t>đơn trả 30.6</t>
  </si>
  <si>
    <t>NGAY 30-6</t>
  </si>
  <si>
    <t>T3.30.6.2026</t>
  </si>
  <si>
    <t>KIM LINH</t>
  </si>
  <si>
    <t>HD032081</t>
  </si>
  <si>
    <t>688/23/1C Hương Lộ 2, Phường Bình Trị Đông A</t>
  </si>
  <si>
    <t>AT 30-06</t>
  </si>
  <si>
    <t>30-06-2026</t>
  </si>
  <si>
    <t>Mei NiNi</t>
  </si>
  <si>
    <t>HD032210</t>
  </si>
  <si>
    <t>9/20 Lê tấn bê, phường an lạc</t>
  </si>
  <si>
    <t>My Nhung Ly</t>
  </si>
  <si>
    <t>HD032246</t>
  </si>
  <si>
    <t>90a/10/10 Âu duong lân p3</t>
  </si>
  <si>
    <t>HD032262</t>
  </si>
  <si>
    <t>HD032127</t>
  </si>
  <si>
    <t>Phương Tũn ( zalo )</t>
  </si>
  <si>
    <t>HD032198</t>
  </si>
  <si>
    <t>405/61/38a p11 Hậu Giang</t>
  </si>
  <si>
    <t>HD032003</t>
  </si>
  <si>
    <t>108/4a miếu bình đông phương binh trị đông</t>
  </si>
  <si>
    <t>Thien Nhi</t>
  </si>
  <si>
    <t>HD032069</t>
  </si>
  <si>
    <t>116 lý chiêu hoàng, bình phú</t>
  </si>
  <si>
    <t>Nguyen Linh</t>
  </si>
  <si>
    <t>HD032058</t>
  </si>
  <si>
    <t>549/8a tân kỳ tân quý p tân sơn nhì</t>
  </si>
  <si>
    <t>JOEY | SUSI</t>
  </si>
  <si>
    <t>HD032202</t>
  </si>
  <si>
    <t>22, ĐƯỜNG TÂN THỚI NHẤT 1B, PHƯỜNG ĐÔNG HƯNG THUẬN</t>
  </si>
  <si>
    <t>HDD32263</t>
  </si>
  <si>
    <t>HD032214</t>
  </si>
  <si>
    <t>Yen Bobbi</t>
  </si>
  <si>
    <t>HD032291</t>
  </si>
  <si>
    <t>54 trung lang phường bảy hiền</t>
  </si>
  <si>
    <t>Hiền</t>
  </si>
  <si>
    <t>HD032296</t>
  </si>
  <si>
    <t>266/4 Vườn Lài, khu phố 6, phường An Phú Đông</t>
  </si>
  <si>
    <t>Vũ Nguyễn (FB Anh Dao)</t>
  </si>
  <si>
    <t>HD031918</t>
  </si>
  <si>
    <t>14/13/81 Thân Nhân Trung, Phường 13</t>
  </si>
  <si>
    <t>HD032134</t>
  </si>
  <si>
    <t>Người Nhận BN1549</t>
  </si>
  <si>
    <t>HD032152</t>
  </si>
  <si>
    <t>Jenny Bouti</t>
  </si>
  <si>
    <t>(Ngọc)</t>
  </si>
  <si>
    <t>HD032197</t>
  </si>
  <si>
    <t>213/43 Khuông Việt, Phú Trung</t>
  </si>
  <si>
    <t>Ngân</t>
  </si>
  <si>
    <t>HD032176</t>
  </si>
  <si>
    <t>Tòa Nhà The Tresor - Sảnh AP1, 39-39B Đường Bến Vân Đồn</t>
  </si>
  <si>
    <t>Huỳnh Huỳnh Như</t>
  </si>
  <si>
    <t>HD032090</t>
  </si>
  <si>
    <t>Đường số 15, Phường Tân Phú, The Peak Midtown Phú Mỹ Hưng</t>
  </si>
  <si>
    <t>Tuyết Nghi nhận hàng dùm Annie P Tran</t>
  </si>
  <si>
    <t>HD032290</t>
  </si>
  <si>
    <t>25/1A Thăng Long, P.Tân Sơn Nhất</t>
  </si>
  <si>
    <t>Hoàng Diệp Mẫn Vy</t>
  </si>
  <si>
    <t>HD032249</t>
  </si>
  <si>
    <t>33 nguyễn bĩnh khiêm p đakao</t>
  </si>
  <si>
    <t>Khánh Vi</t>
  </si>
  <si>
    <t>HD032187</t>
  </si>
  <si>
    <t>23 trần cao vân, phường sài gòn</t>
  </si>
  <si>
    <t>Mỹ Khanh - Hương Giang</t>
  </si>
  <si>
    <t>HD032061</t>
  </si>
  <si>
    <t>29/7 Yên Thế, phường 2</t>
  </si>
  <si>
    <t>HD032244</t>
  </si>
  <si>
    <t>Lành Lê</t>
  </si>
  <si>
    <t>HD032264</t>
  </si>
  <si>
    <t>20 đinh tiên hoàng, phường Đakao</t>
  </si>
  <si>
    <t>Trúc Quỳnh</t>
  </si>
  <si>
    <t>HD032106</t>
  </si>
  <si>
    <t>119/7 Nguyễn thị thập, Tân Phú</t>
  </si>
  <si>
    <t>Nguyễn Kim Ngân</t>
  </si>
  <si>
    <t>HD032075</t>
  </si>
  <si>
    <t>Lavida Plus, Nguyễn Văn Linh, Tân Phong</t>
  </si>
  <si>
    <t>An</t>
  </si>
  <si>
    <t>HD032276</t>
  </si>
  <si>
    <t>6/6 đồ sơn</t>
  </si>
  <si>
    <t>HD032059</t>
  </si>
  <si>
    <t>số 217Đường bùi thị xuân phường 1</t>
  </si>
  <si>
    <t>Nguyễn Thị Bích Thuỷ giao cho chị Anh Anh</t>
  </si>
  <si>
    <t>HD032149</t>
  </si>
  <si>
    <t>373/1/157 Đường Lý Thường Kiệt, Phường Tân Hòa</t>
  </si>
  <si>
    <t>Tuyên - nhận hàng Mai Trình - Lan Ngọc FB</t>
  </si>
  <si>
    <t>HD032083</t>
  </si>
  <si>
    <t>36/ Yên Thế p2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</si>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</sst>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63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2" fillId="0" borderId="0" xfId="1"/>
    <xf numFmtId="0" fontId="1" fillId="2" borderId="1" xfId="1" applyFont="1" applyFill="1" applyBorder="1"/>
    <xf numFmtId="0" fontId="2" fillId="0" borderId="1" xfId="1" applyBorder="1"/>
    <xf numFmtId="0" fontId="3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right"/>
    </xf>
    <xf numFmtId="0" fontId="1" fillId="4" borderId="1" xfId="1" applyFont="1" applyFill="1" applyBorder="1" applyAlignment="1">
      <alignment horizontal="left"/>
    </xf>
    <xf numFmtId="0" fontId="4" fillId="4" borderId="1" xfId="1" applyFont="1" applyFill="1" applyBorder="1" applyAlignment="1">
      <alignment horizontal="right"/>
    </xf>
    <xf numFmtId="0" fontId="1" fillId="5" borderId="1" xfId="1" applyFont="1" applyFill="1" applyBorder="1" applyAlignment="1">
      <alignment horizontal="left"/>
    </xf>
    <xf numFmtId="0" fontId="5" fillId="5" borderId="1" xfId="1" applyFont="1" applyFill="1" applyBorder="1" applyAlignment="1">
      <alignment horizontal="right"/>
    </xf>
    <xf numFmtId="0" fontId="1" fillId="5" borderId="1" xfId="1" applyFont="1" applyFill="1" applyBorder="1"/>
    <xf numFmtId="0" fontId="1" fillId="6" borderId="1" xfId="1" applyFont="1" applyFill="1" applyBorder="1" applyAlignment="1">
      <alignment horizontal="left"/>
    </xf>
    <xf numFmtId="0" fontId="6" fillId="6" borderId="1" xfId="1" applyFont="1" applyFill="1" applyBorder="1"/>
    <xf numFmtId="0" fontId="5" fillId="6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right"/>
    </xf>
    <xf numFmtId="0" fontId="0" fillId="8" borderId="1" xfId="0" applyFill="1" applyBorder="1"/>
    <xf numFmtId="3" fontId="0" fillId="8" borderId="1" xfId="0" applyNumberFormat="1" applyFill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8" fillId="2" borderId="1" xfId="0" applyFont="1" applyFill="1" applyBorder="1"/>
    <xf numFmtId="0" fontId="0" fillId="9" borderId="1" xfId="0" applyFill="1" applyBorder="1"/>
    <xf numFmtId="3" fontId="0" fillId="9" borderId="1" xfId="0" applyNumberFormat="1" applyFill="1" applyBorder="1"/>
    <xf numFmtId="3" fontId="0" fillId="9" borderId="0" xfId="0" applyNumberFormat="1" applyFill="1"/>
    <xf numFmtId="0" fontId="0" fillId="9" borderId="0" xfId="0" applyFill="1"/>
    <xf numFmtId="0" fontId="9" fillId="0" borderId="1" xfId="0" applyFont="1" applyBorder="1"/>
    <xf numFmtId="3" fontId="9" fillId="0" borderId="1" xfId="0" applyNumberFormat="1" applyFont="1" applyBorder="1"/>
    <xf numFmtId="49" fontId="0" fillId="0" borderId="1" xfId="0" applyNumberFormat="1" applyBorder="1"/>
    <xf numFmtId="49" fontId="0" fillId="8" borderId="1" xfId="0" applyNumberFormat="1" applyFill="1" applyBorder="1"/>
    <xf numFmtId="0" fontId="0" fillId="8" borderId="0" xfId="0" applyFill="1"/>
    <xf numFmtId="3" fontId="0" fillId="8" borderId="0" xfId="0" applyNumberFormat="1" applyFill="1"/>
    <xf numFmtId="0" fontId="8" fillId="0" borderId="1" xfId="0" applyFont="1" applyBorder="1"/>
    <xf numFmtId="3" fontId="8" fillId="0" borderId="1" xfId="0" applyNumberFormat="1" applyFont="1" applyBorder="1"/>
    <xf numFmtId="0" fontId="8" fillId="0" borderId="0" xfId="0" applyFont="1"/>
    <xf numFmtId="3" fontId="9" fillId="0" borderId="0" xfId="0" applyNumberFormat="1" applyFont="1"/>
    <xf numFmtId="0" fontId="9" fillId="0" borderId="0" xfId="0" applyFont="1"/>
    <xf numFmtId="0" fontId="10" fillId="2" borderId="1" xfId="1" applyFont="1" applyFill="1" applyBorder="1"/>
    <xf numFmtId="0" fontId="10" fillId="0" borderId="1" xfId="1" applyFont="1" applyBorder="1"/>
    <xf numFmtId="0" fontId="9" fillId="2" borderId="1" xfId="0" applyFont="1" applyFill="1" applyBorder="1"/>
  </cellXfs>
  <cellStyles count="2">
    <cellStyle name="Normal" xfId="0" builtinId="0"/>
    <cellStyle name="Normal 2" xfId="1" xr:uid="{D1AD9FCC-7941-4EA1-A803-F399CA3A6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58DF-2500-4E0A-8EAB-C494DB22964E}">
  <dimension ref="A1:R71"/>
  <sheetViews>
    <sheetView topLeftCell="A38" zoomScale="82" zoomScaleNormal="80" workbookViewId="0">
      <selection activeCell="H28" sqref="H28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27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33</v>
      </c>
      <c r="D3" s="19" t="s">
        <v>34</v>
      </c>
      <c r="E3" s="19" t="s">
        <v>35</v>
      </c>
      <c r="F3" s="20">
        <v>9</v>
      </c>
      <c r="G3" s="20">
        <v>900</v>
      </c>
      <c r="H3" s="20">
        <v>30</v>
      </c>
      <c r="I3" s="20">
        <f t="shared" ref="I3:I54" si="0">G3-H3</f>
        <v>870</v>
      </c>
      <c r="J3" s="19" t="s">
        <v>36</v>
      </c>
      <c r="K3" s="19" t="s">
        <v>37</v>
      </c>
      <c r="L3" s="19" t="s">
        <v>38</v>
      </c>
      <c r="M3" s="19"/>
      <c r="N3" s="19"/>
      <c r="O3" s="19"/>
      <c r="P3" s="19"/>
      <c r="Q3" s="19">
        <v>1</v>
      </c>
    </row>
    <row r="4" spans="1:18" customFormat="1" x14ac:dyDescent="0.25">
      <c r="A4" s="19"/>
      <c r="B4" s="19" t="s">
        <v>32</v>
      </c>
      <c r="C4" s="19" t="s">
        <v>39</v>
      </c>
      <c r="D4" s="19" t="s">
        <v>40</v>
      </c>
      <c r="E4" s="19" t="s">
        <v>41</v>
      </c>
      <c r="F4" s="20">
        <v>9</v>
      </c>
      <c r="G4" s="20">
        <v>1460</v>
      </c>
      <c r="H4" s="20">
        <v>30</v>
      </c>
      <c r="I4" s="20">
        <f t="shared" si="0"/>
        <v>1430</v>
      </c>
      <c r="J4" s="19" t="s">
        <v>36</v>
      </c>
      <c r="K4" s="19" t="s">
        <v>37</v>
      </c>
      <c r="L4" s="19" t="s">
        <v>38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42</v>
      </c>
      <c r="D5" s="19" t="s">
        <v>43</v>
      </c>
      <c r="E5" s="19" t="s">
        <v>44</v>
      </c>
      <c r="F5" s="19" t="s">
        <v>45</v>
      </c>
      <c r="G5" s="20">
        <v>920</v>
      </c>
      <c r="H5" s="20">
        <v>30</v>
      </c>
      <c r="I5" s="20">
        <f t="shared" si="0"/>
        <v>890</v>
      </c>
      <c r="J5" s="19" t="s">
        <v>46</v>
      </c>
      <c r="K5" s="19" t="s">
        <v>37</v>
      </c>
      <c r="L5" s="19" t="s">
        <v>38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47</v>
      </c>
      <c r="D6" s="19" t="s">
        <v>48</v>
      </c>
      <c r="E6" s="19" t="s">
        <v>49</v>
      </c>
      <c r="F6" s="19" t="s">
        <v>45</v>
      </c>
      <c r="G6" s="20">
        <v>870</v>
      </c>
      <c r="H6" s="20">
        <v>30</v>
      </c>
      <c r="I6" s="20">
        <f t="shared" si="0"/>
        <v>840</v>
      </c>
      <c r="J6" s="19" t="s">
        <v>46</v>
      </c>
      <c r="K6" s="19" t="s">
        <v>37</v>
      </c>
      <c r="L6" s="19" t="s">
        <v>38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50</v>
      </c>
      <c r="D7" s="19" t="s">
        <v>51</v>
      </c>
      <c r="E7" s="19" t="s">
        <v>52</v>
      </c>
      <c r="F7" s="19" t="s">
        <v>45</v>
      </c>
      <c r="G7" s="20">
        <v>920</v>
      </c>
      <c r="H7" s="20">
        <v>30</v>
      </c>
      <c r="I7" s="20">
        <f t="shared" si="0"/>
        <v>890</v>
      </c>
      <c r="J7" s="19" t="s">
        <v>46</v>
      </c>
      <c r="K7" s="19" t="s">
        <v>37</v>
      </c>
      <c r="L7" s="19" t="s">
        <v>38</v>
      </c>
      <c r="M7" s="19"/>
      <c r="N7" s="19"/>
      <c r="O7" s="19"/>
      <c r="P7" s="19"/>
      <c r="Q7" s="19">
        <v>1</v>
      </c>
    </row>
    <row r="8" spans="1:18" customFormat="1" x14ac:dyDescent="0.25">
      <c r="A8" s="19"/>
      <c r="B8" s="19" t="s">
        <v>32</v>
      </c>
      <c r="C8" s="19" t="s">
        <v>53</v>
      </c>
      <c r="D8" s="19" t="s">
        <v>54</v>
      </c>
      <c r="E8" s="19" t="s">
        <v>55</v>
      </c>
      <c r="F8" s="19" t="s">
        <v>45</v>
      </c>
      <c r="G8" s="20">
        <v>910</v>
      </c>
      <c r="H8" s="20">
        <v>30</v>
      </c>
      <c r="I8" s="20">
        <f t="shared" si="0"/>
        <v>880</v>
      </c>
      <c r="J8" s="19" t="s">
        <v>46</v>
      </c>
      <c r="K8" s="19" t="s">
        <v>37</v>
      </c>
      <c r="L8" s="19" t="s">
        <v>38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56</v>
      </c>
      <c r="D9" s="19" t="s">
        <v>57</v>
      </c>
      <c r="E9" s="19" t="s">
        <v>58</v>
      </c>
      <c r="F9" s="19" t="s">
        <v>45</v>
      </c>
      <c r="G9" s="20">
        <v>0</v>
      </c>
      <c r="H9" s="20">
        <v>30</v>
      </c>
      <c r="I9" s="20">
        <f t="shared" si="0"/>
        <v>-30</v>
      </c>
      <c r="J9" s="19" t="s">
        <v>46</v>
      </c>
      <c r="K9" s="19" t="s">
        <v>37</v>
      </c>
      <c r="L9" s="19" t="s">
        <v>38</v>
      </c>
      <c r="M9" s="19"/>
      <c r="N9" s="19"/>
      <c r="O9" s="19"/>
      <c r="P9" s="19"/>
      <c r="Q9" s="19">
        <v>1</v>
      </c>
      <c r="R9" s="21">
        <f>H9</f>
        <v>30</v>
      </c>
    </row>
    <row r="10" spans="1:18" customFormat="1" x14ac:dyDescent="0.25">
      <c r="A10" s="19"/>
      <c r="B10" s="19" t="s">
        <v>32</v>
      </c>
      <c r="C10" s="19" t="s">
        <v>59</v>
      </c>
      <c r="D10" s="19" t="s">
        <v>60</v>
      </c>
      <c r="E10" s="19" t="s">
        <v>61</v>
      </c>
      <c r="F10" s="19" t="s">
        <v>62</v>
      </c>
      <c r="G10" s="20">
        <v>915</v>
      </c>
      <c r="H10" s="20">
        <v>25</v>
      </c>
      <c r="I10" s="20">
        <f t="shared" si="0"/>
        <v>890</v>
      </c>
      <c r="J10" s="19" t="s">
        <v>46</v>
      </c>
      <c r="K10" s="19" t="s">
        <v>37</v>
      </c>
      <c r="L10" s="19" t="s">
        <v>38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63</v>
      </c>
      <c r="D11" s="19" t="s">
        <v>64</v>
      </c>
      <c r="E11" s="19" t="s">
        <v>65</v>
      </c>
      <c r="F11" s="20">
        <v>6</v>
      </c>
      <c r="G11" s="20">
        <v>915</v>
      </c>
      <c r="H11" s="20">
        <v>25</v>
      </c>
      <c r="I11" s="20">
        <f t="shared" si="0"/>
        <v>890</v>
      </c>
      <c r="J11" s="19" t="s">
        <v>46</v>
      </c>
      <c r="K11" s="19" t="s">
        <v>37</v>
      </c>
      <c r="L11" s="19" t="s">
        <v>38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66</v>
      </c>
      <c r="D12" s="19" t="s">
        <v>67</v>
      </c>
      <c r="E12" s="19" t="s">
        <v>68</v>
      </c>
      <c r="F12" s="19" t="s">
        <v>62</v>
      </c>
      <c r="G12" s="20">
        <v>385</v>
      </c>
      <c r="H12" s="20">
        <v>25</v>
      </c>
      <c r="I12" s="20">
        <f t="shared" si="0"/>
        <v>360</v>
      </c>
      <c r="J12" s="19" t="s">
        <v>46</v>
      </c>
      <c r="K12" s="19" t="s">
        <v>37</v>
      </c>
      <c r="L12" s="19" t="s">
        <v>38</v>
      </c>
      <c r="M12" s="19"/>
      <c r="N12" s="19"/>
      <c r="O12" s="19"/>
      <c r="P12" s="19"/>
      <c r="Q12" s="19">
        <v>1</v>
      </c>
    </row>
    <row r="13" spans="1:18" customFormat="1" x14ac:dyDescent="0.25">
      <c r="A13" s="19"/>
      <c r="B13" s="19" t="s">
        <v>32</v>
      </c>
      <c r="C13" s="19" t="s">
        <v>69</v>
      </c>
      <c r="D13" s="19" t="s">
        <v>70</v>
      </c>
      <c r="E13" s="19" t="s">
        <v>71</v>
      </c>
      <c r="F13" s="19" t="s">
        <v>62</v>
      </c>
      <c r="G13" s="20">
        <v>0</v>
      </c>
      <c r="H13" s="20">
        <v>25</v>
      </c>
      <c r="I13" s="20">
        <f t="shared" si="0"/>
        <v>-25</v>
      </c>
      <c r="J13" s="19" t="s">
        <v>46</v>
      </c>
      <c r="K13" s="19" t="s">
        <v>37</v>
      </c>
      <c r="L13" s="19" t="s">
        <v>38</v>
      </c>
      <c r="M13" s="19"/>
      <c r="N13" s="19"/>
      <c r="O13" s="19"/>
      <c r="P13" s="19"/>
      <c r="Q13" s="19">
        <v>1</v>
      </c>
      <c r="R13" s="21">
        <f>H13</f>
        <v>25</v>
      </c>
    </row>
    <row r="14" spans="1:18" customFormat="1" x14ac:dyDescent="0.25">
      <c r="A14" s="19"/>
      <c r="B14" s="19" t="s">
        <v>32</v>
      </c>
      <c r="C14" s="19" t="s">
        <v>72</v>
      </c>
      <c r="D14" s="19" t="s">
        <v>73</v>
      </c>
      <c r="E14" s="19" t="s">
        <v>74</v>
      </c>
      <c r="F14" s="19" t="s">
        <v>45</v>
      </c>
      <c r="G14" s="20">
        <v>920</v>
      </c>
      <c r="H14" s="20">
        <v>30</v>
      </c>
      <c r="I14" s="20">
        <f t="shared" si="0"/>
        <v>890</v>
      </c>
      <c r="J14" s="19" t="s">
        <v>46</v>
      </c>
      <c r="K14" s="19" t="s">
        <v>37</v>
      </c>
      <c r="L14" s="19" t="s">
        <v>38</v>
      </c>
      <c r="M14" s="19"/>
      <c r="N14" s="19"/>
      <c r="O14" s="19"/>
      <c r="P14" s="19"/>
      <c r="Q14" s="19">
        <v>1</v>
      </c>
    </row>
    <row r="15" spans="1:18" customFormat="1" x14ac:dyDescent="0.25">
      <c r="A15" s="19"/>
      <c r="B15" s="19" t="s">
        <v>32</v>
      </c>
      <c r="C15" s="19" t="s">
        <v>75</v>
      </c>
      <c r="D15" s="19" t="s">
        <v>76</v>
      </c>
      <c r="E15" s="19" t="s">
        <v>77</v>
      </c>
      <c r="F15" s="20">
        <v>8</v>
      </c>
      <c r="G15" s="20">
        <v>1810</v>
      </c>
      <c r="H15" s="20">
        <v>30</v>
      </c>
      <c r="I15" s="20">
        <f t="shared" si="0"/>
        <v>1780</v>
      </c>
      <c r="J15" s="19" t="s">
        <v>46</v>
      </c>
      <c r="K15" s="19" t="s">
        <v>37</v>
      </c>
      <c r="L15" s="19" t="s">
        <v>38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78</v>
      </c>
      <c r="D16" s="19" t="s">
        <v>79</v>
      </c>
      <c r="E16" s="19" t="s">
        <v>80</v>
      </c>
      <c r="F16" s="19" t="s">
        <v>81</v>
      </c>
      <c r="G16" s="20">
        <v>0</v>
      </c>
      <c r="H16" s="20">
        <v>35</v>
      </c>
      <c r="I16" s="20">
        <f t="shared" si="0"/>
        <v>-35</v>
      </c>
      <c r="J16" s="19" t="s">
        <v>46</v>
      </c>
      <c r="K16" s="19" t="s">
        <v>37</v>
      </c>
      <c r="L16" s="19" t="s">
        <v>38</v>
      </c>
      <c r="M16" s="19"/>
      <c r="N16" s="19"/>
      <c r="O16" s="19"/>
      <c r="P16" s="19"/>
      <c r="Q16" s="19">
        <v>1</v>
      </c>
      <c r="R16" s="21">
        <f>H16</f>
        <v>35</v>
      </c>
    </row>
    <row r="17" spans="1:18" customFormat="1" x14ac:dyDescent="0.25">
      <c r="A17" s="19"/>
      <c r="B17" s="19" t="s">
        <v>32</v>
      </c>
      <c r="C17" s="19" t="s">
        <v>82</v>
      </c>
      <c r="D17" s="19" t="s">
        <v>83</v>
      </c>
      <c r="E17" s="19" t="s">
        <v>84</v>
      </c>
      <c r="F17" s="19" t="s">
        <v>45</v>
      </c>
      <c r="G17" s="20">
        <v>940</v>
      </c>
      <c r="H17" s="20">
        <v>30</v>
      </c>
      <c r="I17" s="20">
        <f t="shared" si="0"/>
        <v>910</v>
      </c>
      <c r="J17" s="19" t="s">
        <v>46</v>
      </c>
      <c r="K17" s="19" t="s">
        <v>37</v>
      </c>
      <c r="L17" s="19" t="s">
        <v>38</v>
      </c>
      <c r="M17" s="19"/>
      <c r="N17" s="19"/>
      <c r="O17" s="19"/>
      <c r="P17" s="19"/>
      <c r="Q17" s="19">
        <v>1</v>
      </c>
    </row>
    <row r="18" spans="1:18" customFormat="1" x14ac:dyDescent="0.25">
      <c r="A18" s="19"/>
      <c r="B18" s="19" t="s">
        <v>32</v>
      </c>
      <c r="C18" s="19" t="s">
        <v>85</v>
      </c>
      <c r="D18" s="19" t="s">
        <v>86</v>
      </c>
      <c r="E18" s="19" t="s">
        <v>87</v>
      </c>
      <c r="F18" s="19" t="s">
        <v>88</v>
      </c>
      <c r="G18" s="20">
        <v>1025</v>
      </c>
      <c r="H18" s="20">
        <v>35</v>
      </c>
      <c r="I18" s="20">
        <f t="shared" si="0"/>
        <v>990</v>
      </c>
      <c r="J18" s="19" t="s">
        <v>46</v>
      </c>
      <c r="K18" s="19" t="s">
        <v>37</v>
      </c>
      <c r="L18" s="19" t="s">
        <v>38</v>
      </c>
      <c r="M18" s="19"/>
      <c r="N18" s="19"/>
      <c r="O18" s="19"/>
      <c r="P18" s="19"/>
      <c r="Q18" s="19">
        <v>1</v>
      </c>
    </row>
    <row r="19" spans="1:18" customFormat="1" x14ac:dyDescent="0.25">
      <c r="A19" s="19"/>
      <c r="B19" s="19" t="s">
        <v>32</v>
      </c>
      <c r="C19" s="19" t="s">
        <v>89</v>
      </c>
      <c r="D19" s="19" t="s">
        <v>90</v>
      </c>
      <c r="E19" s="19" t="s">
        <v>91</v>
      </c>
      <c r="F19" s="19" t="s">
        <v>45</v>
      </c>
      <c r="G19" s="20">
        <v>0</v>
      </c>
      <c r="H19" s="20">
        <v>30</v>
      </c>
      <c r="I19" s="20">
        <f t="shared" si="0"/>
        <v>-30</v>
      </c>
      <c r="J19" s="19" t="s">
        <v>46</v>
      </c>
      <c r="K19" s="19" t="s">
        <v>37</v>
      </c>
      <c r="L19" s="19" t="s">
        <v>38</v>
      </c>
      <c r="M19" s="19"/>
      <c r="N19" s="19"/>
      <c r="O19" s="19"/>
      <c r="P19" s="19"/>
      <c r="Q19" s="19">
        <v>1</v>
      </c>
      <c r="R19" s="21">
        <f>H19</f>
        <v>30</v>
      </c>
    </row>
    <row r="20" spans="1:18" customFormat="1" x14ac:dyDescent="0.25">
      <c r="A20" s="19"/>
      <c r="B20" s="19" t="s">
        <v>32</v>
      </c>
      <c r="C20" s="19" t="s">
        <v>92</v>
      </c>
      <c r="D20" s="19" t="s">
        <v>93</v>
      </c>
      <c r="E20" s="19" t="s">
        <v>94</v>
      </c>
      <c r="F20" s="20">
        <v>9</v>
      </c>
      <c r="G20" s="20">
        <v>690</v>
      </c>
      <c r="H20" s="20">
        <v>30</v>
      </c>
      <c r="I20" s="20">
        <f t="shared" si="0"/>
        <v>660</v>
      </c>
      <c r="J20" s="19" t="s">
        <v>46</v>
      </c>
      <c r="K20" s="19" t="s">
        <v>37</v>
      </c>
      <c r="L20" s="19" t="s">
        <v>38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95</v>
      </c>
      <c r="D21" s="19" t="s">
        <v>96</v>
      </c>
      <c r="E21" s="19" t="s">
        <v>97</v>
      </c>
      <c r="F21" s="20">
        <v>8</v>
      </c>
      <c r="G21" s="20">
        <v>670</v>
      </c>
      <c r="H21" s="20">
        <v>30</v>
      </c>
      <c r="I21" s="20">
        <f t="shared" si="0"/>
        <v>640</v>
      </c>
      <c r="J21" s="19" t="s">
        <v>46</v>
      </c>
      <c r="K21" s="19" t="s">
        <v>37</v>
      </c>
      <c r="L21" s="19" t="s">
        <v>38</v>
      </c>
      <c r="M21" s="19"/>
      <c r="N21" s="19"/>
      <c r="O21" s="19"/>
      <c r="P21" s="19"/>
      <c r="Q21" s="19">
        <v>1</v>
      </c>
    </row>
    <row r="22" spans="1:18" customFormat="1" x14ac:dyDescent="0.25">
      <c r="A22" s="19"/>
      <c r="B22" s="19" t="s">
        <v>32</v>
      </c>
      <c r="C22" s="19" t="s">
        <v>98</v>
      </c>
      <c r="D22" s="19" t="s">
        <v>99</v>
      </c>
      <c r="E22" s="19" t="s">
        <v>100</v>
      </c>
      <c r="F22" s="19" t="s">
        <v>62</v>
      </c>
      <c r="G22" s="20">
        <v>0</v>
      </c>
      <c r="H22" s="20">
        <v>25</v>
      </c>
      <c r="I22" s="20">
        <f t="shared" si="0"/>
        <v>-25</v>
      </c>
      <c r="J22" s="19" t="s">
        <v>46</v>
      </c>
      <c r="K22" s="19" t="s">
        <v>37</v>
      </c>
      <c r="L22" s="19" t="s">
        <v>38</v>
      </c>
      <c r="M22" s="19"/>
      <c r="N22" s="19"/>
      <c r="O22" s="19"/>
      <c r="P22" s="19"/>
      <c r="Q22" s="19">
        <v>1</v>
      </c>
      <c r="R22" s="21">
        <f>H22</f>
        <v>25</v>
      </c>
    </row>
    <row r="23" spans="1:18" customFormat="1" x14ac:dyDescent="0.25">
      <c r="A23" s="19"/>
      <c r="B23" s="19" t="s">
        <v>32</v>
      </c>
      <c r="C23" s="19" t="s">
        <v>101</v>
      </c>
      <c r="D23" s="19" t="s">
        <v>102</v>
      </c>
      <c r="E23" s="19" t="s">
        <v>103</v>
      </c>
      <c r="F23" s="19" t="s">
        <v>62</v>
      </c>
      <c r="G23" s="20">
        <v>685</v>
      </c>
      <c r="H23" s="20">
        <v>25</v>
      </c>
      <c r="I23" s="20">
        <f t="shared" si="0"/>
        <v>660</v>
      </c>
      <c r="J23" s="19" t="s">
        <v>46</v>
      </c>
      <c r="K23" s="19" t="s">
        <v>37</v>
      </c>
      <c r="L23" s="19" t="s">
        <v>38</v>
      </c>
      <c r="M23" s="19"/>
      <c r="N23" s="19"/>
      <c r="O23" s="19"/>
      <c r="P23" s="19"/>
      <c r="Q23" s="19">
        <v>1</v>
      </c>
    </row>
    <row r="24" spans="1:18" customFormat="1" x14ac:dyDescent="0.25">
      <c r="A24" s="19"/>
      <c r="B24" s="19" t="s">
        <v>32</v>
      </c>
      <c r="C24" s="19" t="s">
        <v>104</v>
      </c>
      <c r="D24" s="19" t="s">
        <v>105</v>
      </c>
      <c r="E24" s="19" t="s">
        <v>106</v>
      </c>
      <c r="F24" s="19" t="s">
        <v>62</v>
      </c>
      <c r="G24" s="20">
        <v>895</v>
      </c>
      <c r="H24" s="20">
        <v>25</v>
      </c>
      <c r="I24" s="20">
        <f t="shared" si="0"/>
        <v>870</v>
      </c>
      <c r="J24" s="19" t="s">
        <v>46</v>
      </c>
      <c r="K24" s="19" t="s">
        <v>37</v>
      </c>
      <c r="L24" s="19" t="s">
        <v>38</v>
      </c>
      <c r="M24" s="19"/>
      <c r="N24" s="19"/>
      <c r="O24" s="19"/>
      <c r="P24" s="19"/>
      <c r="Q24" s="19">
        <v>1</v>
      </c>
    </row>
    <row r="25" spans="1:18" customFormat="1" x14ac:dyDescent="0.25">
      <c r="A25" s="19" t="s">
        <v>107</v>
      </c>
      <c r="B25" s="19" t="s">
        <v>32</v>
      </c>
      <c r="C25" s="19" t="s">
        <v>108</v>
      </c>
      <c r="D25" s="19"/>
      <c r="E25" s="19" t="s">
        <v>109</v>
      </c>
      <c r="F25" s="19" t="s">
        <v>45</v>
      </c>
      <c r="G25" s="20">
        <v>0</v>
      </c>
      <c r="H25" s="20">
        <v>35</v>
      </c>
      <c r="I25" s="20">
        <f t="shared" si="0"/>
        <v>-35</v>
      </c>
      <c r="J25" s="19" t="s">
        <v>46</v>
      </c>
      <c r="K25" s="19" t="s">
        <v>37</v>
      </c>
      <c r="L25" s="19" t="s">
        <v>38</v>
      </c>
      <c r="M25" s="19"/>
      <c r="N25" s="19"/>
      <c r="O25" s="19"/>
      <c r="P25" s="19"/>
      <c r="Q25" s="19">
        <v>1</v>
      </c>
      <c r="R25" s="21">
        <f>H25</f>
        <v>35</v>
      </c>
    </row>
    <row r="26" spans="1:18" customFormat="1" x14ac:dyDescent="0.25">
      <c r="A26" s="19" t="s">
        <v>107</v>
      </c>
      <c r="B26" s="19" t="s">
        <v>32</v>
      </c>
      <c r="C26" s="19" t="s">
        <v>110</v>
      </c>
      <c r="D26" s="19"/>
      <c r="E26" s="19" t="s">
        <v>111</v>
      </c>
      <c r="F26" s="19" t="s">
        <v>45</v>
      </c>
      <c r="G26" s="20">
        <v>35</v>
      </c>
      <c r="H26" s="20">
        <v>35</v>
      </c>
      <c r="I26" s="20">
        <f t="shared" si="0"/>
        <v>0</v>
      </c>
      <c r="J26" s="19" t="s">
        <v>46</v>
      </c>
      <c r="K26" s="19" t="s">
        <v>37</v>
      </c>
      <c r="L26" s="19" t="s">
        <v>38</v>
      </c>
      <c r="M26" s="19"/>
      <c r="N26" s="19"/>
      <c r="O26" s="19"/>
      <c r="P26" s="19"/>
      <c r="Q26" s="19">
        <v>1</v>
      </c>
    </row>
    <row r="27" spans="1:18" customFormat="1" x14ac:dyDescent="0.25">
      <c r="A27" s="19" t="s">
        <v>107</v>
      </c>
      <c r="B27" s="19" t="s">
        <v>32</v>
      </c>
      <c r="C27" s="19" t="s">
        <v>112</v>
      </c>
      <c r="D27" s="19"/>
      <c r="E27" s="19" t="s">
        <v>113</v>
      </c>
      <c r="F27" s="20">
        <v>6</v>
      </c>
      <c r="G27" s="20">
        <v>0</v>
      </c>
      <c r="H27" s="20">
        <v>30</v>
      </c>
      <c r="I27" s="20">
        <f t="shared" si="0"/>
        <v>-30</v>
      </c>
      <c r="J27" s="19" t="s">
        <v>46</v>
      </c>
      <c r="K27" s="19" t="s">
        <v>37</v>
      </c>
      <c r="L27" s="19" t="s">
        <v>38</v>
      </c>
      <c r="M27" s="19"/>
      <c r="N27" s="19"/>
      <c r="O27" s="19"/>
      <c r="P27" s="19"/>
      <c r="Q27" s="19">
        <v>1</v>
      </c>
      <c r="R27" s="21">
        <f>H27</f>
        <v>30</v>
      </c>
    </row>
    <row r="28" spans="1:18" customFormat="1" x14ac:dyDescent="0.25">
      <c r="A28" s="19"/>
      <c r="B28" s="19" t="s">
        <v>32</v>
      </c>
      <c r="C28" s="19" t="s">
        <v>114</v>
      </c>
      <c r="D28" s="19" t="s">
        <v>115</v>
      </c>
      <c r="E28" s="19" t="s">
        <v>116</v>
      </c>
      <c r="F28" s="19" t="s">
        <v>117</v>
      </c>
      <c r="G28" s="20">
        <v>15</v>
      </c>
      <c r="H28" s="20">
        <v>25</v>
      </c>
      <c r="I28" s="20">
        <f t="shared" si="0"/>
        <v>-10</v>
      </c>
      <c r="J28" s="19" t="s">
        <v>37</v>
      </c>
      <c r="K28" s="19" t="s">
        <v>37</v>
      </c>
      <c r="L28" s="19" t="s">
        <v>38</v>
      </c>
      <c r="M28" s="19"/>
      <c r="N28" s="19"/>
      <c r="O28" s="19"/>
      <c r="P28" s="19"/>
      <c r="Q28" s="19">
        <v>1</v>
      </c>
    </row>
    <row r="29" spans="1:18" customFormat="1" x14ac:dyDescent="0.25">
      <c r="A29" s="19"/>
      <c r="B29" s="19" t="s">
        <v>32</v>
      </c>
      <c r="C29" s="19" t="s">
        <v>118</v>
      </c>
      <c r="D29" s="19" t="s">
        <v>119</v>
      </c>
      <c r="E29" s="19" t="s">
        <v>120</v>
      </c>
      <c r="F29" s="20">
        <v>2</v>
      </c>
      <c r="G29" s="20">
        <v>720</v>
      </c>
      <c r="H29" s="20">
        <v>30</v>
      </c>
      <c r="I29" s="20">
        <f t="shared" si="0"/>
        <v>690</v>
      </c>
      <c r="J29" s="19" t="s">
        <v>37</v>
      </c>
      <c r="K29" s="19" t="s">
        <v>37</v>
      </c>
      <c r="L29" s="19" t="s">
        <v>38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121</v>
      </c>
      <c r="D30" s="19" t="s">
        <v>122</v>
      </c>
      <c r="E30" s="19" t="s">
        <v>123</v>
      </c>
      <c r="F30" s="19" t="s">
        <v>124</v>
      </c>
      <c r="G30" s="20">
        <v>370</v>
      </c>
      <c r="H30" s="20">
        <v>20</v>
      </c>
      <c r="I30" s="20">
        <f t="shared" si="0"/>
        <v>350</v>
      </c>
      <c r="J30" s="19" t="s">
        <v>37</v>
      </c>
      <c r="K30" s="19" t="s">
        <v>37</v>
      </c>
      <c r="L30" s="19" t="s">
        <v>38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125</v>
      </c>
      <c r="D31" s="19" t="s">
        <v>126</v>
      </c>
      <c r="E31" s="19" t="s">
        <v>127</v>
      </c>
      <c r="F31" s="20">
        <v>12</v>
      </c>
      <c r="G31" s="20">
        <v>0</v>
      </c>
      <c r="H31" s="20">
        <v>40</v>
      </c>
      <c r="I31" s="20">
        <f t="shared" si="0"/>
        <v>-40</v>
      </c>
      <c r="J31" s="19" t="s">
        <v>37</v>
      </c>
      <c r="K31" s="19" t="s">
        <v>37</v>
      </c>
      <c r="L31" s="19" t="s">
        <v>38</v>
      </c>
      <c r="M31" s="19"/>
      <c r="N31" s="19"/>
      <c r="O31" s="19"/>
      <c r="P31" s="19"/>
      <c r="Q31" s="19">
        <v>1</v>
      </c>
      <c r="R31" s="21">
        <f>H31</f>
        <v>40</v>
      </c>
    </row>
    <row r="32" spans="1:18" customFormat="1" x14ac:dyDescent="0.25">
      <c r="A32" s="19"/>
      <c r="B32" s="19" t="s">
        <v>32</v>
      </c>
      <c r="C32" s="19" t="s">
        <v>128</v>
      </c>
      <c r="D32" s="19" t="s">
        <v>129</v>
      </c>
      <c r="E32" s="19" t="s">
        <v>130</v>
      </c>
      <c r="F32" s="19" t="s">
        <v>117</v>
      </c>
      <c r="G32" s="20">
        <v>535</v>
      </c>
      <c r="H32" s="20">
        <v>25</v>
      </c>
      <c r="I32" s="20">
        <f t="shared" si="0"/>
        <v>510</v>
      </c>
      <c r="J32" s="19" t="s">
        <v>37</v>
      </c>
      <c r="K32" s="19" t="s">
        <v>37</v>
      </c>
      <c r="L32" s="19" t="s">
        <v>38</v>
      </c>
      <c r="M32" s="19"/>
      <c r="N32" s="19"/>
      <c r="O32" s="19"/>
      <c r="P32" s="19"/>
      <c r="Q32" s="19">
        <v>1</v>
      </c>
    </row>
    <row r="33" spans="1:18" customFormat="1" x14ac:dyDescent="0.25">
      <c r="A33" s="19"/>
      <c r="B33" s="19" t="s">
        <v>32</v>
      </c>
      <c r="C33" s="19" t="s">
        <v>131</v>
      </c>
      <c r="D33" s="19" t="s">
        <v>132</v>
      </c>
      <c r="E33" s="19" t="s">
        <v>133</v>
      </c>
      <c r="F33" s="19" t="s">
        <v>117</v>
      </c>
      <c r="G33" s="20">
        <v>0</v>
      </c>
      <c r="H33" s="20">
        <v>25</v>
      </c>
      <c r="I33" s="20">
        <f t="shared" si="0"/>
        <v>-25</v>
      </c>
      <c r="J33" s="19" t="s">
        <v>37</v>
      </c>
      <c r="K33" s="19" t="s">
        <v>37</v>
      </c>
      <c r="L33" s="19" t="s">
        <v>38</v>
      </c>
      <c r="M33" s="22" t="s">
        <v>134</v>
      </c>
      <c r="N33" s="19"/>
      <c r="O33" s="19"/>
      <c r="P33" s="19"/>
      <c r="Q33" s="19">
        <v>1</v>
      </c>
      <c r="R33" s="21">
        <f>H33</f>
        <v>25</v>
      </c>
    </row>
    <row r="34" spans="1:18" customFormat="1" x14ac:dyDescent="0.25">
      <c r="A34" s="19"/>
      <c r="B34" s="19" t="s">
        <v>32</v>
      </c>
      <c r="C34" s="19" t="s">
        <v>135</v>
      </c>
      <c r="D34" s="19" t="s">
        <v>136</v>
      </c>
      <c r="E34" s="19" t="s">
        <v>137</v>
      </c>
      <c r="F34" s="19" t="s">
        <v>138</v>
      </c>
      <c r="G34" s="20">
        <v>0</v>
      </c>
      <c r="H34" s="20">
        <v>30</v>
      </c>
      <c r="I34" s="20">
        <f t="shared" si="0"/>
        <v>-30</v>
      </c>
      <c r="J34" s="19" t="s">
        <v>37</v>
      </c>
      <c r="K34" s="19" t="s">
        <v>37</v>
      </c>
      <c r="L34" s="19" t="s">
        <v>38</v>
      </c>
      <c r="M34" s="19"/>
      <c r="N34" s="19"/>
      <c r="O34" s="19"/>
      <c r="P34" s="19"/>
      <c r="Q34" s="19">
        <v>1</v>
      </c>
      <c r="R34" s="21">
        <f>H34</f>
        <v>30</v>
      </c>
    </row>
    <row r="35" spans="1:18" customFormat="1" x14ac:dyDescent="0.25">
      <c r="A35" s="19"/>
      <c r="B35" s="19" t="s">
        <v>32</v>
      </c>
      <c r="C35" s="19" t="s">
        <v>139</v>
      </c>
      <c r="D35" s="19" t="s">
        <v>140</v>
      </c>
      <c r="E35" s="19" t="s">
        <v>141</v>
      </c>
      <c r="F35" s="20">
        <v>2</v>
      </c>
      <c r="G35" s="20">
        <v>900</v>
      </c>
      <c r="H35" s="20">
        <v>30</v>
      </c>
      <c r="I35" s="20">
        <f t="shared" si="0"/>
        <v>870</v>
      </c>
      <c r="J35" s="19" t="s">
        <v>37</v>
      </c>
      <c r="K35" s="19" t="s">
        <v>37</v>
      </c>
      <c r="L35" s="19" t="s">
        <v>38</v>
      </c>
      <c r="M35" s="19"/>
      <c r="N35" s="19"/>
      <c r="O35" s="19"/>
      <c r="P35" s="19"/>
      <c r="Q35" s="19">
        <v>1</v>
      </c>
    </row>
    <row r="36" spans="1:18" customFormat="1" x14ac:dyDescent="0.25">
      <c r="A36" s="19"/>
      <c r="B36" s="19" t="s">
        <v>32</v>
      </c>
      <c r="C36" s="19" t="s">
        <v>142</v>
      </c>
      <c r="D36" s="19" t="s">
        <v>143</v>
      </c>
      <c r="E36" s="19" t="s">
        <v>144</v>
      </c>
      <c r="F36" s="19" t="s">
        <v>138</v>
      </c>
      <c r="G36" s="20">
        <v>900</v>
      </c>
      <c r="H36" s="20">
        <v>30</v>
      </c>
      <c r="I36" s="20">
        <f t="shared" si="0"/>
        <v>870</v>
      </c>
      <c r="J36" s="19" t="s">
        <v>37</v>
      </c>
      <c r="K36" s="19" t="s">
        <v>37</v>
      </c>
      <c r="L36" s="19" t="s">
        <v>38</v>
      </c>
      <c r="M36" s="19"/>
      <c r="N36" s="19"/>
      <c r="O36" s="19"/>
      <c r="P36" s="19"/>
      <c r="Q36" s="19">
        <v>1</v>
      </c>
    </row>
    <row r="37" spans="1:18" s="26" customFormat="1" x14ac:dyDescent="0.25">
      <c r="A37" s="23"/>
      <c r="B37" s="23" t="s">
        <v>32</v>
      </c>
      <c r="C37" s="23" t="s">
        <v>145</v>
      </c>
      <c r="D37" s="23" t="s">
        <v>146</v>
      </c>
      <c r="E37" s="23" t="s">
        <v>147</v>
      </c>
      <c r="F37" s="24">
        <v>2</v>
      </c>
      <c r="G37" s="24">
        <v>0</v>
      </c>
      <c r="H37" s="24">
        <v>30</v>
      </c>
      <c r="I37" s="24">
        <f t="shared" si="0"/>
        <v>-30</v>
      </c>
      <c r="J37" s="23" t="s">
        <v>37</v>
      </c>
      <c r="K37" s="23" t="s">
        <v>37</v>
      </c>
      <c r="L37" s="23" t="s">
        <v>38</v>
      </c>
      <c r="M37" s="23" t="s">
        <v>148</v>
      </c>
      <c r="N37" s="23"/>
      <c r="O37" s="23"/>
      <c r="P37" s="23"/>
      <c r="Q37" s="23">
        <v>1</v>
      </c>
      <c r="R37" s="25">
        <f>H37</f>
        <v>30</v>
      </c>
    </row>
    <row r="38" spans="1:18" customFormat="1" x14ac:dyDescent="0.25">
      <c r="A38" s="19"/>
      <c r="B38" s="19" t="s">
        <v>32</v>
      </c>
      <c r="C38" s="19" t="s">
        <v>149</v>
      </c>
      <c r="D38" s="19" t="s">
        <v>150</v>
      </c>
      <c r="E38" s="19" t="s">
        <v>151</v>
      </c>
      <c r="F38" s="19" t="s">
        <v>117</v>
      </c>
      <c r="G38" s="20">
        <v>515</v>
      </c>
      <c r="H38" s="20">
        <v>25</v>
      </c>
      <c r="I38" s="20">
        <f t="shared" si="0"/>
        <v>490</v>
      </c>
      <c r="J38" s="19" t="s">
        <v>37</v>
      </c>
      <c r="K38" s="19" t="s">
        <v>37</v>
      </c>
      <c r="L38" s="19" t="s">
        <v>38</v>
      </c>
      <c r="M38" s="19"/>
      <c r="N38" s="19"/>
      <c r="O38" s="19"/>
      <c r="P38" s="19"/>
      <c r="Q38" s="19">
        <v>1</v>
      </c>
    </row>
    <row r="39" spans="1:18" customFormat="1" x14ac:dyDescent="0.25">
      <c r="A39" s="19"/>
      <c r="B39" s="19" t="s">
        <v>32</v>
      </c>
      <c r="C39" s="19" t="s">
        <v>152</v>
      </c>
      <c r="D39" s="19" t="s">
        <v>153</v>
      </c>
      <c r="E39" s="19" t="s">
        <v>154</v>
      </c>
      <c r="F39" s="19" t="s">
        <v>117</v>
      </c>
      <c r="G39" s="20">
        <v>765</v>
      </c>
      <c r="H39" s="20">
        <v>25</v>
      </c>
      <c r="I39" s="20">
        <f t="shared" si="0"/>
        <v>740</v>
      </c>
      <c r="J39" s="19" t="s">
        <v>37</v>
      </c>
      <c r="K39" s="19" t="s">
        <v>37</v>
      </c>
      <c r="L39" s="19" t="s">
        <v>38</v>
      </c>
      <c r="M39" s="19"/>
      <c r="N39" s="19"/>
      <c r="O39" s="19"/>
      <c r="P39" s="19"/>
      <c r="Q39" s="19">
        <v>1</v>
      </c>
    </row>
    <row r="40" spans="1:18" customFormat="1" x14ac:dyDescent="0.25">
      <c r="A40" s="19"/>
      <c r="B40" s="19" t="s">
        <v>32</v>
      </c>
      <c r="C40" s="19" t="s">
        <v>155</v>
      </c>
      <c r="D40" s="19" t="s">
        <v>156</v>
      </c>
      <c r="E40" s="19" t="s">
        <v>157</v>
      </c>
      <c r="F40" s="20">
        <v>12</v>
      </c>
      <c r="G40" s="20">
        <v>920</v>
      </c>
      <c r="H40" s="20">
        <v>30</v>
      </c>
      <c r="I40" s="20">
        <f t="shared" si="0"/>
        <v>890</v>
      </c>
      <c r="J40" s="19" t="s">
        <v>37</v>
      </c>
      <c r="K40" s="19" t="s">
        <v>37</v>
      </c>
      <c r="L40" s="19" t="s">
        <v>38</v>
      </c>
      <c r="M40" s="19"/>
      <c r="N40" s="19"/>
      <c r="O40" s="19"/>
      <c r="P40" s="19"/>
      <c r="Q40" s="19">
        <v>1</v>
      </c>
    </row>
    <row r="41" spans="1:18" customFormat="1" x14ac:dyDescent="0.25">
      <c r="A41" s="19" t="s">
        <v>107</v>
      </c>
      <c r="B41" s="19" t="s">
        <v>32</v>
      </c>
      <c r="C41" s="19" t="s">
        <v>158</v>
      </c>
      <c r="D41" s="19"/>
      <c r="E41" s="19" t="s">
        <v>159</v>
      </c>
      <c r="F41" s="19" t="s">
        <v>117</v>
      </c>
      <c r="G41" s="20">
        <v>35</v>
      </c>
      <c r="H41" s="20">
        <v>35</v>
      </c>
      <c r="I41" s="20">
        <f t="shared" si="0"/>
        <v>0</v>
      </c>
      <c r="J41" s="19" t="s">
        <v>37</v>
      </c>
      <c r="K41" s="19" t="s">
        <v>37</v>
      </c>
      <c r="L41" s="19" t="s">
        <v>38</v>
      </c>
      <c r="M41" s="19"/>
      <c r="N41" s="19"/>
      <c r="O41" s="19"/>
      <c r="P41" s="19"/>
      <c r="Q41" s="19">
        <v>1</v>
      </c>
    </row>
    <row r="42" spans="1:18" customFormat="1" x14ac:dyDescent="0.25">
      <c r="A42" s="19" t="s">
        <v>107</v>
      </c>
      <c r="B42" s="19" t="s">
        <v>32</v>
      </c>
      <c r="C42" s="19" t="s">
        <v>160</v>
      </c>
      <c r="D42" s="19"/>
      <c r="E42" s="19" t="s">
        <v>161</v>
      </c>
      <c r="F42" s="19" t="s">
        <v>117</v>
      </c>
      <c r="G42" s="20">
        <v>0</v>
      </c>
      <c r="H42" s="20">
        <v>30</v>
      </c>
      <c r="I42" s="20">
        <f t="shared" si="0"/>
        <v>-30</v>
      </c>
      <c r="J42" s="19" t="s">
        <v>37</v>
      </c>
      <c r="K42" s="19" t="s">
        <v>37</v>
      </c>
      <c r="L42" s="19" t="s">
        <v>38</v>
      </c>
      <c r="M42" s="19"/>
      <c r="N42" s="19"/>
      <c r="O42" s="19"/>
      <c r="P42" s="19"/>
      <c r="Q42" s="19">
        <v>1</v>
      </c>
      <c r="R42" s="21">
        <f>H42</f>
        <v>30</v>
      </c>
    </row>
    <row r="43" spans="1:18" customFormat="1" x14ac:dyDescent="0.25">
      <c r="A43" s="19" t="s">
        <v>107</v>
      </c>
      <c r="B43" s="19" t="s">
        <v>32</v>
      </c>
      <c r="C43" s="19" t="s">
        <v>162</v>
      </c>
      <c r="D43" s="19"/>
      <c r="E43" s="19" t="s">
        <v>163</v>
      </c>
      <c r="F43" s="19" t="s">
        <v>117</v>
      </c>
      <c r="G43" s="20">
        <v>4540</v>
      </c>
      <c r="H43" s="20">
        <v>40</v>
      </c>
      <c r="I43" s="20">
        <f t="shared" si="0"/>
        <v>4500</v>
      </c>
      <c r="J43" s="19" t="s">
        <v>37</v>
      </c>
      <c r="K43" s="19" t="s">
        <v>37</v>
      </c>
      <c r="L43" s="19" t="s">
        <v>38</v>
      </c>
      <c r="M43" s="19"/>
      <c r="N43" s="19"/>
      <c r="O43" s="19"/>
      <c r="P43" s="19"/>
      <c r="Q43" s="19">
        <v>1</v>
      </c>
    </row>
    <row r="44" spans="1:18" customFormat="1" x14ac:dyDescent="0.25">
      <c r="A44" s="19" t="s">
        <v>107</v>
      </c>
      <c r="B44" s="19" t="s">
        <v>32</v>
      </c>
      <c r="C44" s="19" t="s">
        <v>164</v>
      </c>
      <c r="D44" s="19"/>
      <c r="E44" s="19" t="s">
        <v>165</v>
      </c>
      <c r="F44" s="19" t="s">
        <v>117</v>
      </c>
      <c r="G44" s="20">
        <v>0</v>
      </c>
      <c r="H44" s="20">
        <v>30</v>
      </c>
      <c r="I44" s="20">
        <f t="shared" si="0"/>
        <v>-30</v>
      </c>
      <c r="J44" s="19" t="s">
        <v>37</v>
      </c>
      <c r="K44" s="19" t="s">
        <v>37</v>
      </c>
      <c r="L44" s="19" t="s">
        <v>38</v>
      </c>
      <c r="M44" s="19"/>
      <c r="N44" s="19"/>
      <c r="O44" s="19"/>
      <c r="P44" s="19"/>
      <c r="Q44" s="19">
        <v>1</v>
      </c>
      <c r="R44" s="21">
        <f>H44</f>
        <v>30</v>
      </c>
    </row>
    <row r="45" spans="1:18" customFormat="1" x14ac:dyDescent="0.25">
      <c r="A45" s="19"/>
      <c r="B45" s="19" t="s">
        <v>32</v>
      </c>
      <c r="C45" s="19" t="s">
        <v>166</v>
      </c>
      <c r="D45" s="19" t="s">
        <v>167</v>
      </c>
      <c r="E45" s="19" t="s">
        <v>168</v>
      </c>
      <c r="F45" s="20">
        <v>7</v>
      </c>
      <c r="G45" s="20">
        <v>550</v>
      </c>
      <c r="H45" s="20">
        <v>30</v>
      </c>
      <c r="I45" s="20">
        <f t="shared" si="0"/>
        <v>520</v>
      </c>
      <c r="J45" s="19" t="s">
        <v>169</v>
      </c>
      <c r="K45" s="19" t="s">
        <v>37</v>
      </c>
      <c r="L45" s="19" t="s">
        <v>38</v>
      </c>
      <c r="M45" s="19"/>
      <c r="N45" s="19"/>
      <c r="O45" s="19"/>
      <c r="P45" s="19"/>
      <c r="Q45" s="19">
        <v>1</v>
      </c>
    </row>
    <row r="46" spans="1:18" customFormat="1" x14ac:dyDescent="0.25">
      <c r="A46" s="19"/>
      <c r="B46" s="19" t="s">
        <v>32</v>
      </c>
      <c r="C46" s="19" t="s">
        <v>170</v>
      </c>
      <c r="D46" s="19" t="s">
        <v>171</v>
      </c>
      <c r="E46" s="19" t="s">
        <v>172</v>
      </c>
      <c r="F46" s="19" t="s">
        <v>173</v>
      </c>
      <c r="G46" s="20">
        <v>1015</v>
      </c>
      <c r="H46" s="20">
        <v>25</v>
      </c>
      <c r="I46" s="20">
        <f t="shared" si="0"/>
        <v>990</v>
      </c>
      <c r="J46" s="19" t="s">
        <v>169</v>
      </c>
      <c r="K46" s="19" t="s">
        <v>37</v>
      </c>
      <c r="L46" s="19" t="s">
        <v>38</v>
      </c>
      <c r="M46" s="19"/>
      <c r="N46" s="19"/>
      <c r="O46" s="19"/>
      <c r="P46" s="19"/>
      <c r="Q46" s="19">
        <v>1</v>
      </c>
    </row>
    <row r="47" spans="1:18" customFormat="1" x14ac:dyDescent="0.25">
      <c r="A47" s="19"/>
      <c r="B47" s="19" t="s">
        <v>32</v>
      </c>
      <c r="C47" s="19" t="s">
        <v>174</v>
      </c>
      <c r="D47" s="19" t="s">
        <v>175</v>
      </c>
      <c r="E47" s="19" t="s">
        <v>176</v>
      </c>
      <c r="F47" s="20">
        <v>4</v>
      </c>
      <c r="G47" s="20">
        <v>895</v>
      </c>
      <c r="H47" s="20">
        <v>25</v>
      </c>
      <c r="I47" s="20">
        <f t="shared" si="0"/>
        <v>870</v>
      </c>
      <c r="J47" s="19" t="s">
        <v>169</v>
      </c>
      <c r="K47" s="19" t="s">
        <v>37</v>
      </c>
      <c r="L47" s="19" t="s">
        <v>38</v>
      </c>
      <c r="M47" s="19"/>
      <c r="N47" s="19"/>
      <c r="O47" s="19"/>
      <c r="P47" s="19"/>
      <c r="Q47" s="19">
        <v>1</v>
      </c>
    </row>
    <row r="48" spans="1:18" customFormat="1" x14ac:dyDescent="0.25">
      <c r="A48" s="19"/>
      <c r="B48" s="19" t="s">
        <v>32</v>
      </c>
      <c r="C48" s="19" t="s">
        <v>177</v>
      </c>
      <c r="D48" s="19" t="s">
        <v>178</v>
      </c>
      <c r="E48" s="19" t="s">
        <v>179</v>
      </c>
      <c r="F48" s="20">
        <v>8</v>
      </c>
      <c r="G48" s="20">
        <v>620</v>
      </c>
      <c r="H48" s="20">
        <v>30</v>
      </c>
      <c r="I48" s="20">
        <f t="shared" si="0"/>
        <v>590</v>
      </c>
      <c r="J48" s="19" t="s">
        <v>169</v>
      </c>
      <c r="K48" s="19" t="s">
        <v>37</v>
      </c>
      <c r="L48" s="19" t="s">
        <v>38</v>
      </c>
      <c r="M48" s="19"/>
      <c r="N48" s="19"/>
      <c r="O48" s="19"/>
      <c r="P48" s="19"/>
      <c r="Q48" s="19">
        <v>1</v>
      </c>
    </row>
    <row r="49" spans="1:18" customFormat="1" x14ac:dyDescent="0.25">
      <c r="A49" s="19"/>
      <c r="B49" s="19" t="s">
        <v>32</v>
      </c>
      <c r="C49" s="19" t="s">
        <v>180</v>
      </c>
      <c r="D49" s="19" t="s">
        <v>181</v>
      </c>
      <c r="E49" s="19" t="s">
        <v>182</v>
      </c>
      <c r="F49" s="20">
        <v>10</v>
      </c>
      <c r="G49" s="20">
        <v>3260</v>
      </c>
      <c r="H49" s="20">
        <v>35</v>
      </c>
      <c r="I49" s="20">
        <f t="shared" si="0"/>
        <v>3225</v>
      </c>
      <c r="J49" s="19" t="s">
        <v>169</v>
      </c>
      <c r="K49" s="19" t="s">
        <v>37</v>
      </c>
      <c r="L49" s="19" t="s">
        <v>38</v>
      </c>
      <c r="M49" s="22" t="s">
        <v>183</v>
      </c>
      <c r="N49" s="19"/>
      <c r="O49" s="19"/>
      <c r="P49" s="19"/>
      <c r="Q49" s="19">
        <v>1</v>
      </c>
      <c r="R49" s="21">
        <f>H49</f>
        <v>35</v>
      </c>
    </row>
    <row r="50" spans="1:18" customFormat="1" x14ac:dyDescent="0.25">
      <c r="A50" s="19"/>
      <c r="B50" s="19" t="s">
        <v>32</v>
      </c>
      <c r="C50" s="19" t="s">
        <v>184</v>
      </c>
      <c r="D50" s="19" t="s">
        <v>185</v>
      </c>
      <c r="E50" s="19" t="s">
        <v>186</v>
      </c>
      <c r="F50" s="20">
        <v>1</v>
      </c>
      <c r="G50" s="20">
        <v>915</v>
      </c>
      <c r="H50" s="20">
        <v>25</v>
      </c>
      <c r="I50" s="20">
        <f t="shared" si="0"/>
        <v>890</v>
      </c>
      <c r="J50" s="19" t="s">
        <v>169</v>
      </c>
      <c r="K50" s="19" t="s">
        <v>37</v>
      </c>
      <c r="L50" s="19" t="s">
        <v>38</v>
      </c>
      <c r="M50" s="19"/>
      <c r="N50" s="19"/>
      <c r="O50" s="19"/>
      <c r="P50" s="19"/>
      <c r="Q50" s="19">
        <v>1</v>
      </c>
    </row>
    <row r="51" spans="1:18" customFormat="1" x14ac:dyDescent="0.25">
      <c r="A51" s="19"/>
      <c r="B51" s="19" t="s">
        <v>32</v>
      </c>
      <c r="C51" s="19" t="s">
        <v>187</v>
      </c>
      <c r="D51" s="19" t="s">
        <v>188</v>
      </c>
      <c r="E51" s="19" t="s">
        <v>189</v>
      </c>
      <c r="F51" s="20">
        <v>5</v>
      </c>
      <c r="G51" s="20">
        <v>0</v>
      </c>
      <c r="H51" s="20">
        <v>25</v>
      </c>
      <c r="I51" s="20">
        <f t="shared" si="0"/>
        <v>-25</v>
      </c>
      <c r="J51" s="19" t="s">
        <v>169</v>
      </c>
      <c r="K51" s="19" t="s">
        <v>37</v>
      </c>
      <c r="L51" s="19" t="s">
        <v>38</v>
      </c>
      <c r="M51" s="19"/>
      <c r="N51" s="19"/>
      <c r="O51" s="19"/>
      <c r="P51" s="19"/>
      <c r="Q51" s="19">
        <v>1</v>
      </c>
      <c r="R51" s="21">
        <f>H51</f>
        <v>25</v>
      </c>
    </row>
    <row r="52" spans="1:18" customFormat="1" x14ac:dyDescent="0.25">
      <c r="A52" s="19"/>
      <c r="B52" s="19" t="s">
        <v>32</v>
      </c>
      <c r="C52" s="19" t="s">
        <v>190</v>
      </c>
      <c r="D52" s="19" t="s">
        <v>191</v>
      </c>
      <c r="E52" s="19" t="s">
        <v>192</v>
      </c>
      <c r="F52" s="20">
        <v>7</v>
      </c>
      <c r="G52" s="20">
        <v>2690</v>
      </c>
      <c r="H52" s="20">
        <v>35</v>
      </c>
      <c r="I52" s="20">
        <f t="shared" si="0"/>
        <v>2655</v>
      </c>
      <c r="J52" s="19" t="s">
        <v>169</v>
      </c>
      <c r="K52" s="19" t="s">
        <v>37</v>
      </c>
      <c r="L52" s="19" t="s">
        <v>38</v>
      </c>
      <c r="M52" s="22" t="s">
        <v>183</v>
      </c>
      <c r="N52" s="19"/>
      <c r="O52" s="19"/>
      <c r="P52" s="19"/>
      <c r="Q52" s="19">
        <v>1</v>
      </c>
      <c r="R52" s="21">
        <f>H52</f>
        <v>35</v>
      </c>
    </row>
    <row r="53" spans="1:18" s="26" customFormat="1" x14ac:dyDescent="0.25">
      <c r="A53" s="23"/>
      <c r="B53" s="23" t="s">
        <v>32</v>
      </c>
      <c r="C53" s="23" t="s">
        <v>193</v>
      </c>
      <c r="D53" s="23" t="s">
        <v>194</v>
      </c>
      <c r="E53" s="23" t="s">
        <v>195</v>
      </c>
      <c r="F53" s="24">
        <v>1</v>
      </c>
      <c r="G53" s="24">
        <v>0</v>
      </c>
      <c r="H53" s="24">
        <v>25</v>
      </c>
      <c r="I53" s="24">
        <f t="shared" si="0"/>
        <v>-25</v>
      </c>
      <c r="J53" s="23" t="s">
        <v>169</v>
      </c>
      <c r="K53" s="23" t="s">
        <v>37</v>
      </c>
      <c r="L53" s="23" t="s">
        <v>38</v>
      </c>
      <c r="M53" s="23" t="s">
        <v>148</v>
      </c>
      <c r="N53" s="23"/>
      <c r="O53" s="23"/>
      <c r="P53" s="23"/>
      <c r="Q53" s="23">
        <v>1</v>
      </c>
      <c r="R53" s="25">
        <f>H53</f>
        <v>25</v>
      </c>
    </row>
    <row r="54" spans="1:18" customFormat="1" x14ac:dyDescent="0.25">
      <c r="A54" s="19"/>
      <c r="B54" s="19" t="s">
        <v>32</v>
      </c>
      <c r="C54" s="19" t="s">
        <v>196</v>
      </c>
      <c r="D54" s="19" t="s">
        <v>197</v>
      </c>
      <c r="E54" s="19" t="s">
        <v>198</v>
      </c>
      <c r="F54" s="20">
        <v>4</v>
      </c>
      <c r="G54" s="20">
        <v>1905</v>
      </c>
      <c r="H54" s="20">
        <v>25</v>
      </c>
      <c r="I54" s="20">
        <f t="shared" si="0"/>
        <v>1880</v>
      </c>
      <c r="J54" s="19" t="s">
        <v>169</v>
      </c>
      <c r="K54" s="19" t="s">
        <v>37</v>
      </c>
      <c r="L54" s="19" t="s">
        <v>38</v>
      </c>
      <c r="M54" s="19"/>
      <c r="N54" s="19"/>
      <c r="O54" s="19"/>
      <c r="P54" s="19"/>
      <c r="Q54" s="19">
        <v>1</v>
      </c>
    </row>
    <row r="56" spans="1:18" x14ac:dyDescent="0.25">
      <c r="G56" s="1">
        <f>SUBTOTAL(9,G3:G54)</f>
        <v>37930</v>
      </c>
      <c r="H56" s="1">
        <f t="shared" ref="H56:R56" si="1">SUBTOTAL(9,H3:H54)</f>
        <v>1515</v>
      </c>
      <c r="I56" s="1">
        <f t="shared" si="1"/>
        <v>36415</v>
      </c>
      <c r="J56" s="1">
        <f t="shared" si="1"/>
        <v>0</v>
      </c>
      <c r="K56" s="1">
        <f t="shared" si="1"/>
        <v>0</v>
      </c>
      <c r="L56" s="1">
        <f t="shared" si="1"/>
        <v>0</v>
      </c>
      <c r="M56" s="1">
        <f t="shared" si="1"/>
        <v>0</v>
      </c>
      <c r="N56" s="1">
        <f t="shared" si="1"/>
        <v>0</v>
      </c>
      <c r="O56" s="1">
        <f t="shared" si="1"/>
        <v>0</v>
      </c>
      <c r="P56" s="1">
        <f t="shared" si="1"/>
        <v>0</v>
      </c>
      <c r="Q56" s="1">
        <f t="shared" si="1"/>
        <v>52</v>
      </c>
      <c r="R56" s="1">
        <f t="shared" si="1"/>
        <v>515</v>
      </c>
    </row>
    <row r="60" spans="1:18" ht="20.25" customHeight="1" x14ac:dyDescent="0.3">
      <c r="H60" s="4" t="s">
        <v>28</v>
      </c>
      <c r="I60" s="5" t="s">
        <v>15</v>
      </c>
      <c r="J60" s="6" t="s">
        <v>16</v>
      </c>
    </row>
    <row r="61" spans="1:18" ht="15.75" customHeight="1" x14ac:dyDescent="0.25">
      <c r="H61" s="7" t="s">
        <v>17</v>
      </c>
      <c r="I61" s="8">
        <f>SUM(I55:I59)</f>
        <v>36415</v>
      </c>
      <c r="J61" s="8">
        <f>Q56</f>
        <v>52</v>
      </c>
    </row>
    <row r="62" spans="1:18" x14ac:dyDescent="0.25">
      <c r="H62" s="9" t="s">
        <v>18</v>
      </c>
      <c r="I62" s="10">
        <f>R56</f>
        <v>515</v>
      </c>
      <c r="J62" s="11"/>
    </row>
    <row r="63" spans="1:18" x14ac:dyDescent="0.25">
      <c r="H63" s="9" t="s">
        <v>19</v>
      </c>
      <c r="I63" s="10">
        <f>S55</f>
        <v>0</v>
      </c>
      <c r="J63" s="11"/>
    </row>
    <row r="64" spans="1:18" x14ac:dyDescent="0.25">
      <c r="H64" s="9" t="s">
        <v>20</v>
      </c>
      <c r="I64" s="10">
        <f>T55</f>
        <v>0</v>
      </c>
      <c r="J64" s="11"/>
    </row>
    <row r="65" spans="1:12" x14ac:dyDescent="0.25">
      <c r="H65" s="9" t="s">
        <v>21</v>
      </c>
      <c r="I65" s="10">
        <f>U55</f>
        <v>0</v>
      </c>
      <c r="J65" s="11"/>
    </row>
    <row r="66" spans="1:12" ht="15.75" customHeight="1" x14ac:dyDescent="0.25">
      <c r="H66" s="12" t="s">
        <v>22</v>
      </c>
      <c r="I66" s="13"/>
      <c r="J66" s="13"/>
    </row>
    <row r="67" spans="1:12" ht="15.75" customHeight="1" x14ac:dyDescent="0.25">
      <c r="H67" s="14" t="s">
        <v>23</v>
      </c>
      <c r="I67" s="13"/>
      <c r="J67" s="13"/>
    </row>
    <row r="68" spans="1:12" ht="21" customHeight="1" x14ac:dyDescent="0.35">
      <c r="H68" s="15" t="s">
        <v>24</v>
      </c>
      <c r="I68" s="16">
        <f>SUM(I61:I67)</f>
        <v>36930</v>
      </c>
      <c r="J68" s="16">
        <f>SUM(J61:J65)</f>
        <v>52</v>
      </c>
    </row>
    <row r="70" spans="1:12" x14ac:dyDescent="0.25">
      <c r="A70" s="1" t="s">
        <v>199</v>
      </c>
    </row>
    <row r="71" spans="1:12" x14ac:dyDescent="0.25">
      <c r="A71" s="27" t="s">
        <v>32</v>
      </c>
      <c r="B71" s="27" t="s">
        <v>131</v>
      </c>
      <c r="C71" s="27" t="s">
        <v>132</v>
      </c>
      <c r="D71" s="27" t="s">
        <v>133</v>
      </c>
      <c r="E71" s="27" t="s">
        <v>117</v>
      </c>
      <c r="F71" s="28">
        <v>915</v>
      </c>
      <c r="G71" s="28">
        <v>0</v>
      </c>
      <c r="H71" s="28">
        <f t="shared" ref="H71" si="2">F71-G71</f>
        <v>915</v>
      </c>
      <c r="I71" s="27" t="s">
        <v>37</v>
      </c>
      <c r="J71" s="27" t="s">
        <v>37</v>
      </c>
      <c r="K71" s="27" t="s">
        <v>38</v>
      </c>
      <c r="L71" s="22" t="s">
        <v>134</v>
      </c>
    </row>
  </sheetData>
  <autoFilter ref="A2:P54" xr:uid="{00000000-0009-0000-0000-000006000000}">
    <sortState xmlns:xlrd2="http://schemas.microsoft.com/office/spreadsheetml/2017/richdata2" ref="A3:P54">
      <sortCondition ref="J2:J54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06E0-A4A6-43FE-AF8E-4E3639F28E7A}">
  <dimension ref="A1:R36"/>
  <sheetViews>
    <sheetView topLeftCell="A2" zoomScale="82" zoomScaleNormal="80" workbookViewId="0">
      <selection activeCell="L31" sqref="L31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29</v>
      </c>
      <c r="C1" s="1" t="s">
        <v>30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203</v>
      </c>
      <c r="D3" s="19" t="s">
        <v>204</v>
      </c>
      <c r="E3" s="19" t="s">
        <v>205</v>
      </c>
      <c r="F3" s="19" t="s">
        <v>62</v>
      </c>
      <c r="G3" s="20">
        <v>465</v>
      </c>
      <c r="H3" s="20">
        <v>25</v>
      </c>
      <c r="I3" s="20">
        <f t="shared" ref="I3:I22" si="0">G3-H3</f>
        <v>440</v>
      </c>
      <c r="J3" s="19" t="s">
        <v>206</v>
      </c>
      <c r="K3" s="19" t="s">
        <v>37</v>
      </c>
      <c r="L3" s="19" t="s">
        <v>207</v>
      </c>
      <c r="M3" s="19"/>
      <c r="N3" s="19"/>
      <c r="O3" s="19"/>
      <c r="P3" s="19"/>
      <c r="Q3" s="19">
        <v>1</v>
      </c>
    </row>
    <row r="4" spans="1:18" customFormat="1" x14ac:dyDescent="0.25">
      <c r="A4" s="19"/>
      <c r="B4" s="19" t="s">
        <v>32</v>
      </c>
      <c r="C4" s="19" t="s">
        <v>208</v>
      </c>
      <c r="D4" s="19" t="s">
        <v>209</v>
      </c>
      <c r="E4" s="19" t="s">
        <v>210</v>
      </c>
      <c r="F4" s="19" t="s">
        <v>62</v>
      </c>
      <c r="G4" s="20">
        <v>845</v>
      </c>
      <c r="H4" s="20">
        <v>25</v>
      </c>
      <c r="I4" s="20">
        <f t="shared" si="0"/>
        <v>820</v>
      </c>
      <c r="J4" s="19" t="s">
        <v>206</v>
      </c>
      <c r="K4" s="19" t="s">
        <v>37</v>
      </c>
      <c r="L4" s="19" t="s">
        <v>207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211</v>
      </c>
      <c r="D5" s="19" t="s">
        <v>212</v>
      </c>
      <c r="E5" s="19" t="s">
        <v>213</v>
      </c>
      <c r="F5" s="19" t="s">
        <v>62</v>
      </c>
      <c r="G5" s="20">
        <v>875</v>
      </c>
      <c r="H5" s="20">
        <v>25</v>
      </c>
      <c r="I5" s="20">
        <f t="shared" si="0"/>
        <v>850</v>
      </c>
      <c r="J5" s="19" t="s">
        <v>206</v>
      </c>
      <c r="K5" s="19" t="s">
        <v>37</v>
      </c>
      <c r="L5" s="19" t="s">
        <v>207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214</v>
      </c>
      <c r="D6" s="19" t="s">
        <v>215</v>
      </c>
      <c r="E6" s="19" t="s">
        <v>216</v>
      </c>
      <c r="F6" s="19" t="s">
        <v>62</v>
      </c>
      <c r="G6" s="20">
        <v>915</v>
      </c>
      <c r="H6" s="20">
        <v>25</v>
      </c>
      <c r="I6" s="20">
        <f t="shared" si="0"/>
        <v>890</v>
      </c>
      <c r="J6" s="19" t="s">
        <v>206</v>
      </c>
      <c r="K6" s="19" t="s">
        <v>37</v>
      </c>
      <c r="L6" s="19" t="s">
        <v>207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217</v>
      </c>
      <c r="D7" s="19" t="s">
        <v>218</v>
      </c>
      <c r="E7" s="19" t="s">
        <v>219</v>
      </c>
      <c r="F7" s="19" t="s">
        <v>88</v>
      </c>
      <c r="G7" s="20">
        <v>925</v>
      </c>
      <c r="H7" s="20">
        <v>35</v>
      </c>
      <c r="I7" s="20">
        <f t="shared" si="0"/>
        <v>890</v>
      </c>
      <c r="J7" s="19" t="s">
        <v>206</v>
      </c>
      <c r="K7" s="19" t="s">
        <v>37</v>
      </c>
      <c r="L7" s="19" t="s">
        <v>207</v>
      </c>
      <c r="M7" s="19"/>
      <c r="N7" s="19"/>
      <c r="O7" s="19"/>
      <c r="P7" s="19"/>
      <c r="Q7" s="19">
        <v>1</v>
      </c>
    </row>
    <row r="8" spans="1:18" customFormat="1" x14ac:dyDescent="0.25">
      <c r="A8" s="19"/>
      <c r="B8" s="19" t="s">
        <v>32</v>
      </c>
      <c r="C8" s="19" t="s">
        <v>220</v>
      </c>
      <c r="D8" s="19" t="s">
        <v>221</v>
      </c>
      <c r="E8" s="19" t="s">
        <v>222</v>
      </c>
      <c r="F8" s="20">
        <v>8</v>
      </c>
      <c r="G8" s="20">
        <v>1800</v>
      </c>
      <c r="H8" s="20">
        <v>30</v>
      </c>
      <c r="I8" s="20">
        <f t="shared" si="0"/>
        <v>1770</v>
      </c>
      <c r="J8" s="19" t="s">
        <v>206</v>
      </c>
      <c r="K8" s="19" t="s">
        <v>37</v>
      </c>
      <c r="L8" s="19" t="s">
        <v>207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223</v>
      </c>
      <c r="D9" s="19" t="s">
        <v>224</v>
      </c>
      <c r="E9" s="19" t="s">
        <v>225</v>
      </c>
      <c r="F9" s="19" t="s">
        <v>45</v>
      </c>
      <c r="G9" s="20">
        <v>860</v>
      </c>
      <c r="H9" s="20">
        <v>30</v>
      </c>
      <c r="I9" s="20">
        <f t="shared" si="0"/>
        <v>830</v>
      </c>
      <c r="J9" s="19" t="s">
        <v>206</v>
      </c>
      <c r="K9" s="19" t="s">
        <v>37</v>
      </c>
      <c r="L9" s="19" t="s">
        <v>207</v>
      </c>
      <c r="M9" s="19"/>
      <c r="N9" s="19"/>
      <c r="O9" s="19"/>
      <c r="P9" s="19"/>
      <c r="Q9" s="19">
        <v>1</v>
      </c>
    </row>
    <row r="10" spans="1:18" customFormat="1" x14ac:dyDescent="0.25">
      <c r="A10" s="19"/>
      <c r="B10" s="19" t="s">
        <v>32</v>
      </c>
      <c r="C10" s="19" t="s">
        <v>226</v>
      </c>
      <c r="D10" s="19" t="s">
        <v>227</v>
      </c>
      <c r="E10" s="19" t="s">
        <v>228</v>
      </c>
      <c r="F10" s="20">
        <v>12</v>
      </c>
      <c r="G10" s="20">
        <v>0</v>
      </c>
      <c r="H10" s="20">
        <v>50</v>
      </c>
      <c r="I10" s="20">
        <f t="shared" si="0"/>
        <v>-50</v>
      </c>
      <c r="J10" s="19" t="s">
        <v>37</v>
      </c>
      <c r="K10" s="19" t="s">
        <v>37</v>
      </c>
      <c r="L10" s="19" t="s">
        <v>207</v>
      </c>
      <c r="M10" s="19"/>
      <c r="N10" s="19"/>
      <c r="O10" s="19"/>
      <c r="P10" s="19"/>
      <c r="Q10" s="19">
        <v>1</v>
      </c>
      <c r="R10" s="21">
        <f>H10</f>
        <v>50</v>
      </c>
    </row>
    <row r="11" spans="1:18" customFormat="1" x14ac:dyDescent="0.25">
      <c r="A11" s="19"/>
      <c r="B11" s="19" t="s">
        <v>32</v>
      </c>
      <c r="C11" s="19" t="s">
        <v>229</v>
      </c>
      <c r="D11" s="19" t="s">
        <v>230</v>
      </c>
      <c r="E11" s="19" t="s">
        <v>231</v>
      </c>
      <c r="F11" s="19" t="s">
        <v>117</v>
      </c>
      <c r="G11" s="20">
        <v>1015</v>
      </c>
      <c r="H11" s="20">
        <v>25</v>
      </c>
      <c r="I11" s="20">
        <f t="shared" si="0"/>
        <v>990</v>
      </c>
      <c r="J11" s="19" t="s">
        <v>37</v>
      </c>
      <c r="K11" s="19" t="s">
        <v>37</v>
      </c>
      <c r="L11" s="19" t="s">
        <v>207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232</v>
      </c>
      <c r="D12" s="19" t="s">
        <v>233</v>
      </c>
      <c r="E12" s="19" t="s">
        <v>234</v>
      </c>
      <c r="F12" s="19" t="s">
        <v>117</v>
      </c>
      <c r="G12" s="20">
        <v>0</v>
      </c>
      <c r="H12" s="20">
        <v>25</v>
      </c>
      <c r="I12" s="20">
        <f t="shared" si="0"/>
        <v>-25</v>
      </c>
      <c r="J12" s="19" t="s">
        <v>37</v>
      </c>
      <c r="K12" s="19" t="s">
        <v>37</v>
      </c>
      <c r="L12" s="19" t="s">
        <v>207</v>
      </c>
      <c r="M12" s="19"/>
      <c r="N12" s="19"/>
      <c r="O12" s="19"/>
      <c r="P12" s="19"/>
      <c r="Q12" s="19">
        <v>1</v>
      </c>
      <c r="R12" s="21">
        <f>H12</f>
        <v>25</v>
      </c>
    </row>
    <row r="13" spans="1:18" s="26" customFormat="1" x14ac:dyDescent="0.25">
      <c r="A13" s="23"/>
      <c r="B13" s="23" t="s">
        <v>32</v>
      </c>
      <c r="C13" s="23" t="s">
        <v>235</v>
      </c>
      <c r="D13" s="23" t="s">
        <v>236</v>
      </c>
      <c r="E13" s="23" t="s">
        <v>237</v>
      </c>
      <c r="F13" s="23" t="s">
        <v>117</v>
      </c>
      <c r="G13" s="24">
        <v>25</v>
      </c>
      <c r="H13" s="24">
        <v>25</v>
      </c>
      <c r="I13" s="24">
        <f t="shared" si="0"/>
        <v>0</v>
      </c>
      <c r="J13" s="23" t="s">
        <v>37</v>
      </c>
      <c r="K13" s="23" t="s">
        <v>37</v>
      </c>
      <c r="L13" s="23" t="s">
        <v>207</v>
      </c>
      <c r="M13" s="23" t="s">
        <v>148</v>
      </c>
      <c r="N13" s="23"/>
      <c r="O13" s="23"/>
      <c r="P13" s="23"/>
      <c r="Q13" s="23">
        <v>1</v>
      </c>
    </row>
    <row r="14" spans="1:18" customFormat="1" x14ac:dyDescent="0.25">
      <c r="A14" s="19"/>
      <c r="B14" s="19" t="s">
        <v>32</v>
      </c>
      <c r="C14" s="19" t="s">
        <v>238</v>
      </c>
      <c r="D14" s="19" t="s">
        <v>239</v>
      </c>
      <c r="E14" s="19" t="s">
        <v>240</v>
      </c>
      <c r="F14" s="19" t="s">
        <v>124</v>
      </c>
      <c r="G14" s="20">
        <v>850</v>
      </c>
      <c r="H14" s="20">
        <v>20</v>
      </c>
      <c r="I14" s="20">
        <f t="shared" si="0"/>
        <v>830</v>
      </c>
      <c r="J14" s="19" t="s">
        <v>37</v>
      </c>
      <c r="K14" s="19" t="s">
        <v>37</v>
      </c>
      <c r="L14" s="19" t="s">
        <v>207</v>
      </c>
      <c r="M14" s="19"/>
      <c r="N14" s="19"/>
      <c r="O14" s="19"/>
      <c r="P14" s="19"/>
      <c r="Q14" s="19">
        <v>1</v>
      </c>
    </row>
    <row r="15" spans="1:18" customFormat="1" x14ac:dyDescent="0.25">
      <c r="A15" s="19"/>
      <c r="B15" s="19" t="s">
        <v>32</v>
      </c>
      <c r="C15" s="19" t="s">
        <v>241</v>
      </c>
      <c r="D15" s="19" t="s">
        <v>242</v>
      </c>
      <c r="E15" s="19" t="s">
        <v>243</v>
      </c>
      <c r="F15" s="20">
        <v>2</v>
      </c>
      <c r="G15" s="20">
        <v>880</v>
      </c>
      <c r="H15" s="20">
        <v>30</v>
      </c>
      <c r="I15" s="20">
        <f t="shared" si="0"/>
        <v>850</v>
      </c>
      <c r="J15" s="19" t="s">
        <v>37</v>
      </c>
      <c r="K15" s="19" t="s">
        <v>37</v>
      </c>
      <c r="L15" s="19" t="s">
        <v>207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244</v>
      </c>
      <c r="D16" s="19" t="s">
        <v>245</v>
      </c>
      <c r="E16" s="19" t="s">
        <v>246</v>
      </c>
      <c r="F16" s="19" t="s">
        <v>117</v>
      </c>
      <c r="G16" s="20">
        <v>1745</v>
      </c>
      <c r="H16" s="20">
        <v>25</v>
      </c>
      <c r="I16" s="20">
        <f t="shared" si="0"/>
        <v>1720</v>
      </c>
      <c r="J16" s="19" t="s">
        <v>37</v>
      </c>
      <c r="K16" s="19" t="s">
        <v>37</v>
      </c>
      <c r="L16" s="19" t="s">
        <v>207</v>
      </c>
      <c r="M16" s="19"/>
      <c r="N16" s="19"/>
      <c r="O16" s="19"/>
      <c r="P16" s="19"/>
      <c r="Q16" s="19">
        <v>1</v>
      </c>
    </row>
    <row r="17" spans="1:18" customFormat="1" x14ac:dyDescent="0.25">
      <c r="A17" s="19" t="s">
        <v>107</v>
      </c>
      <c r="B17" s="19" t="s">
        <v>32</v>
      </c>
      <c r="C17" s="19" t="s">
        <v>160</v>
      </c>
      <c r="D17" s="19"/>
      <c r="E17" s="19" t="s">
        <v>161</v>
      </c>
      <c r="F17" s="19" t="s">
        <v>117</v>
      </c>
      <c r="G17" s="20">
        <v>0</v>
      </c>
      <c r="H17" s="20">
        <v>30</v>
      </c>
      <c r="I17" s="20">
        <f t="shared" si="0"/>
        <v>-30</v>
      </c>
      <c r="J17" s="19" t="s">
        <v>37</v>
      </c>
      <c r="K17" s="19" t="s">
        <v>37</v>
      </c>
      <c r="L17" s="19" t="s">
        <v>207</v>
      </c>
      <c r="M17" s="19"/>
      <c r="N17" s="19"/>
      <c r="O17" s="19"/>
      <c r="P17" s="19"/>
      <c r="Q17" s="19">
        <v>1</v>
      </c>
      <c r="R17" s="21">
        <f>H17</f>
        <v>30</v>
      </c>
    </row>
    <row r="18" spans="1:18" customFormat="1" x14ac:dyDescent="0.25">
      <c r="A18" s="19"/>
      <c r="B18" s="19" t="s">
        <v>32</v>
      </c>
      <c r="C18" s="19" t="s">
        <v>247</v>
      </c>
      <c r="D18" s="19" t="s">
        <v>248</v>
      </c>
      <c r="E18" s="19" t="s">
        <v>249</v>
      </c>
      <c r="F18" s="20">
        <v>4</v>
      </c>
      <c r="G18" s="20">
        <v>1235</v>
      </c>
      <c r="H18" s="20">
        <v>25</v>
      </c>
      <c r="I18" s="20">
        <f t="shared" si="0"/>
        <v>1210</v>
      </c>
      <c r="J18" s="19" t="s">
        <v>169</v>
      </c>
      <c r="K18" s="19" t="s">
        <v>37</v>
      </c>
      <c r="L18" s="19" t="s">
        <v>207</v>
      </c>
      <c r="M18" s="19"/>
      <c r="N18" s="19"/>
      <c r="O18" s="19"/>
      <c r="P18" s="19"/>
      <c r="Q18" s="19">
        <v>1</v>
      </c>
    </row>
    <row r="19" spans="1:18" customFormat="1" x14ac:dyDescent="0.25">
      <c r="A19" s="19"/>
      <c r="B19" s="19" t="s">
        <v>32</v>
      </c>
      <c r="C19" s="19" t="s">
        <v>250</v>
      </c>
      <c r="D19" s="19" t="s">
        <v>251</v>
      </c>
      <c r="E19" s="19" t="s">
        <v>252</v>
      </c>
      <c r="F19" s="19" t="s">
        <v>173</v>
      </c>
      <c r="G19" s="20">
        <v>0</v>
      </c>
      <c r="H19" s="20">
        <v>25</v>
      </c>
      <c r="I19" s="20">
        <f t="shared" si="0"/>
        <v>-25</v>
      </c>
      <c r="J19" s="19" t="s">
        <v>169</v>
      </c>
      <c r="K19" s="19" t="s">
        <v>37</v>
      </c>
      <c r="L19" s="19" t="s">
        <v>207</v>
      </c>
      <c r="M19" s="19"/>
      <c r="N19" s="19"/>
      <c r="O19" s="19"/>
      <c r="P19" s="19"/>
      <c r="Q19" s="19">
        <v>1</v>
      </c>
      <c r="R19" s="21">
        <f>H19</f>
        <v>25</v>
      </c>
    </row>
    <row r="20" spans="1:18" customFormat="1" x14ac:dyDescent="0.25">
      <c r="A20" s="19"/>
      <c r="B20" s="19" t="s">
        <v>32</v>
      </c>
      <c r="C20" s="19" t="s">
        <v>253</v>
      </c>
      <c r="D20" s="19" t="s">
        <v>254</v>
      </c>
      <c r="E20" s="19" t="s">
        <v>255</v>
      </c>
      <c r="F20" s="19" t="s">
        <v>173</v>
      </c>
      <c r="G20" s="20">
        <v>915</v>
      </c>
      <c r="H20" s="20">
        <v>25</v>
      </c>
      <c r="I20" s="20">
        <f t="shared" si="0"/>
        <v>890</v>
      </c>
      <c r="J20" s="19" t="s">
        <v>169</v>
      </c>
      <c r="K20" s="19" t="s">
        <v>37</v>
      </c>
      <c r="L20" s="19" t="s">
        <v>207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256</v>
      </c>
      <c r="D21" s="19" t="s">
        <v>257</v>
      </c>
      <c r="E21" s="19" t="s">
        <v>258</v>
      </c>
      <c r="F21" s="20">
        <v>7</v>
      </c>
      <c r="G21" s="20">
        <v>510</v>
      </c>
      <c r="H21" s="20">
        <v>30</v>
      </c>
      <c r="I21" s="20">
        <f t="shared" si="0"/>
        <v>480</v>
      </c>
      <c r="J21" s="19" t="s">
        <v>169</v>
      </c>
      <c r="K21" s="19" t="s">
        <v>37</v>
      </c>
      <c r="L21" s="19" t="s">
        <v>207</v>
      </c>
      <c r="M21" s="19"/>
      <c r="N21" s="19"/>
      <c r="O21" s="19"/>
      <c r="P21" s="19"/>
      <c r="Q21" s="19">
        <v>1</v>
      </c>
    </row>
    <row r="22" spans="1:18" customFormat="1" x14ac:dyDescent="0.25">
      <c r="A22" s="19"/>
      <c r="B22" s="19" t="s">
        <v>32</v>
      </c>
      <c r="C22" s="19" t="s">
        <v>259</v>
      </c>
      <c r="D22" s="19" t="s">
        <v>260</v>
      </c>
      <c r="E22" s="19" t="s">
        <v>261</v>
      </c>
      <c r="F22" s="20">
        <v>8</v>
      </c>
      <c r="G22" s="20">
        <v>770</v>
      </c>
      <c r="H22" s="20">
        <v>30</v>
      </c>
      <c r="I22" s="20">
        <f t="shared" si="0"/>
        <v>740</v>
      </c>
      <c r="J22" s="19" t="s">
        <v>169</v>
      </c>
      <c r="K22" s="19" t="s">
        <v>37</v>
      </c>
      <c r="L22" s="19" t="s">
        <v>207</v>
      </c>
      <c r="M22" s="19"/>
      <c r="N22" s="19"/>
      <c r="O22" s="19"/>
      <c r="P22" s="19"/>
      <c r="Q22" s="19">
        <v>1</v>
      </c>
    </row>
    <row r="24" spans="1:18" x14ac:dyDescent="0.25">
      <c r="G24" s="1">
        <f t="shared" ref="G24:R24" si="1">SUBTOTAL(9,G3:G22)</f>
        <v>14630</v>
      </c>
      <c r="H24" s="1">
        <f t="shared" si="1"/>
        <v>560</v>
      </c>
      <c r="I24" s="1">
        <f t="shared" si="1"/>
        <v>14070</v>
      </c>
      <c r="J24" s="1">
        <f t="shared" si="1"/>
        <v>0</v>
      </c>
      <c r="K24" s="1">
        <f t="shared" si="1"/>
        <v>0</v>
      </c>
      <c r="L24" s="1">
        <f t="shared" si="1"/>
        <v>0</v>
      </c>
      <c r="M24" s="1">
        <f t="shared" si="1"/>
        <v>0</v>
      </c>
      <c r="N24" s="1">
        <f t="shared" si="1"/>
        <v>0</v>
      </c>
      <c r="O24" s="1">
        <f t="shared" si="1"/>
        <v>0</v>
      </c>
      <c r="P24" s="1">
        <f t="shared" si="1"/>
        <v>0</v>
      </c>
      <c r="Q24" s="1">
        <f t="shared" si="1"/>
        <v>20</v>
      </c>
      <c r="R24" s="1">
        <f t="shared" si="1"/>
        <v>130</v>
      </c>
    </row>
    <row r="25" spans="1:18" x14ac:dyDescent="0.25">
      <c r="I25" s="1">
        <v>-820</v>
      </c>
      <c r="J25" s="1" t="s">
        <v>262</v>
      </c>
    </row>
    <row r="28" spans="1:18" ht="20.25" customHeight="1" x14ac:dyDescent="0.3">
      <c r="H28" s="4" t="s">
        <v>31</v>
      </c>
      <c r="I28" s="5" t="s">
        <v>15</v>
      </c>
      <c r="J28" s="6" t="s">
        <v>16</v>
      </c>
    </row>
    <row r="29" spans="1:18" ht="15.75" customHeight="1" x14ac:dyDescent="0.25">
      <c r="H29" s="7" t="s">
        <v>17</v>
      </c>
      <c r="I29" s="8">
        <f>SUM(I23:I27)</f>
        <v>13250</v>
      </c>
      <c r="J29" s="8">
        <f>Q24</f>
        <v>20</v>
      </c>
    </row>
    <row r="30" spans="1:18" x14ac:dyDescent="0.25">
      <c r="H30" s="9" t="s">
        <v>18</v>
      </c>
      <c r="I30" s="10">
        <f>R24</f>
        <v>130</v>
      </c>
      <c r="J30" s="11"/>
    </row>
    <row r="31" spans="1:18" x14ac:dyDescent="0.25">
      <c r="H31" s="9" t="s">
        <v>19</v>
      </c>
      <c r="I31" s="10">
        <f>S23</f>
        <v>0</v>
      </c>
      <c r="J31" s="11"/>
    </row>
    <row r="32" spans="1:18" x14ac:dyDescent="0.25">
      <c r="H32" s="9" t="s">
        <v>20</v>
      </c>
      <c r="I32" s="10">
        <f>T23</f>
        <v>0</v>
      </c>
      <c r="J32" s="11"/>
    </row>
    <row r="33" spans="8:10" x14ac:dyDescent="0.25">
      <c r="H33" s="9" t="s">
        <v>21</v>
      </c>
      <c r="I33" s="10">
        <f>U23</f>
        <v>0</v>
      </c>
      <c r="J33" s="11"/>
    </row>
    <row r="34" spans="8:10" ht="15.75" customHeight="1" x14ac:dyDescent="0.25">
      <c r="H34" s="12" t="s">
        <v>22</v>
      </c>
      <c r="I34" s="13"/>
      <c r="J34" s="13"/>
    </row>
    <row r="35" spans="8:10" ht="15.75" customHeight="1" x14ac:dyDescent="0.25">
      <c r="H35" s="14" t="s">
        <v>23</v>
      </c>
      <c r="I35" s="13"/>
      <c r="J35" s="13"/>
    </row>
    <row r="36" spans="8:10" ht="21" customHeight="1" x14ac:dyDescent="0.35">
      <c r="H36" s="15" t="s">
        <v>24</v>
      </c>
      <c r="I36" s="16">
        <f>SUM(I29:I35)</f>
        <v>13380</v>
      </c>
      <c r="J36" s="16">
        <f>SUM(J29:J33)</f>
        <v>20</v>
      </c>
    </row>
  </sheetData>
  <autoFilter ref="A2:P22" xr:uid="{00000000-0009-0000-0000-000006000000}">
    <sortState xmlns:xlrd2="http://schemas.microsoft.com/office/spreadsheetml/2017/richdata2" ref="A3:P22">
      <sortCondition ref="J2:J22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9497-2954-41AA-871F-5136343501FB}">
  <dimension ref="A1:R46"/>
  <sheetViews>
    <sheetView topLeftCell="A9" zoomScale="82" zoomScaleNormal="80" workbookViewId="0">
      <selection activeCell="G46" sqref="G46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201</v>
      </c>
      <c r="C1" s="1" t="s">
        <v>202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266</v>
      </c>
      <c r="D3" s="19" t="s">
        <v>267</v>
      </c>
      <c r="E3" s="19" t="s">
        <v>268</v>
      </c>
      <c r="F3" s="19" t="s">
        <v>45</v>
      </c>
      <c r="G3" s="20">
        <v>850</v>
      </c>
      <c r="H3" s="20">
        <v>30</v>
      </c>
      <c r="I3" s="20">
        <f t="shared" ref="I3:I29" si="0">G3-H3</f>
        <v>820</v>
      </c>
      <c r="J3" s="19" t="s">
        <v>269</v>
      </c>
      <c r="K3" s="19" t="s">
        <v>37</v>
      </c>
      <c r="L3" s="19" t="s">
        <v>270</v>
      </c>
      <c r="M3" s="19"/>
      <c r="N3" s="19"/>
      <c r="O3" s="19"/>
      <c r="P3" s="19"/>
      <c r="Q3" s="19">
        <v>1</v>
      </c>
    </row>
    <row r="4" spans="1:18" customFormat="1" x14ac:dyDescent="0.25">
      <c r="A4" s="19"/>
      <c r="B4" s="19" t="s">
        <v>32</v>
      </c>
      <c r="C4" s="19" t="s">
        <v>271</v>
      </c>
      <c r="D4" s="19" t="s">
        <v>272</v>
      </c>
      <c r="E4" s="19" t="s">
        <v>273</v>
      </c>
      <c r="F4" s="19" t="s">
        <v>45</v>
      </c>
      <c r="G4" s="20">
        <v>770</v>
      </c>
      <c r="H4" s="20">
        <v>30</v>
      </c>
      <c r="I4" s="20">
        <f t="shared" si="0"/>
        <v>740</v>
      </c>
      <c r="J4" s="19" t="s">
        <v>269</v>
      </c>
      <c r="K4" s="19" t="s">
        <v>37</v>
      </c>
      <c r="L4" s="19" t="s">
        <v>270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274</v>
      </c>
      <c r="D5" s="19" t="s">
        <v>275</v>
      </c>
      <c r="E5" s="19" t="s">
        <v>276</v>
      </c>
      <c r="F5" s="20">
        <v>7</v>
      </c>
      <c r="G5" s="20">
        <v>520</v>
      </c>
      <c r="H5" s="20">
        <v>30</v>
      </c>
      <c r="I5" s="20">
        <f t="shared" si="0"/>
        <v>490</v>
      </c>
      <c r="J5" s="19" t="s">
        <v>269</v>
      </c>
      <c r="K5" s="19" t="s">
        <v>37</v>
      </c>
      <c r="L5" s="19" t="s">
        <v>270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277</v>
      </c>
      <c r="D6" s="19" t="s">
        <v>278</v>
      </c>
      <c r="E6" s="19" t="s">
        <v>279</v>
      </c>
      <c r="F6" s="20">
        <v>7</v>
      </c>
      <c r="G6" s="20">
        <v>870</v>
      </c>
      <c r="H6" s="20">
        <v>30</v>
      </c>
      <c r="I6" s="20">
        <f t="shared" si="0"/>
        <v>840</v>
      </c>
      <c r="J6" s="19" t="s">
        <v>269</v>
      </c>
      <c r="K6" s="19" t="s">
        <v>37</v>
      </c>
      <c r="L6" s="19" t="s">
        <v>270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280</v>
      </c>
      <c r="D7" s="19" t="s">
        <v>281</v>
      </c>
      <c r="E7" s="19" t="s">
        <v>282</v>
      </c>
      <c r="F7" s="19" t="s">
        <v>45</v>
      </c>
      <c r="G7" s="20">
        <v>0</v>
      </c>
      <c r="H7" s="20">
        <v>30</v>
      </c>
      <c r="I7" s="20">
        <f t="shared" si="0"/>
        <v>-30</v>
      </c>
      <c r="J7" s="19" t="s">
        <v>269</v>
      </c>
      <c r="K7" s="19" t="s">
        <v>37</v>
      </c>
      <c r="L7" s="19" t="s">
        <v>270</v>
      </c>
      <c r="M7" s="19"/>
      <c r="N7" s="19"/>
      <c r="O7" s="19"/>
      <c r="P7" s="19"/>
      <c r="Q7" s="19">
        <v>1</v>
      </c>
      <c r="R7" s="21">
        <f>H7</f>
        <v>30</v>
      </c>
    </row>
    <row r="8" spans="1:18" customFormat="1" x14ac:dyDescent="0.25">
      <c r="A8" s="19"/>
      <c r="B8" s="19" t="s">
        <v>32</v>
      </c>
      <c r="C8" s="19" t="s">
        <v>283</v>
      </c>
      <c r="D8" s="19" t="s">
        <v>284</v>
      </c>
      <c r="E8" s="19" t="s">
        <v>285</v>
      </c>
      <c r="F8" s="19" t="s">
        <v>45</v>
      </c>
      <c r="G8" s="20">
        <v>860</v>
      </c>
      <c r="H8" s="20">
        <v>30</v>
      </c>
      <c r="I8" s="20">
        <f t="shared" si="0"/>
        <v>830</v>
      </c>
      <c r="J8" s="19" t="s">
        <v>269</v>
      </c>
      <c r="K8" s="19" t="s">
        <v>37</v>
      </c>
      <c r="L8" s="19" t="s">
        <v>270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286</v>
      </c>
      <c r="D9" s="19" t="s">
        <v>287</v>
      </c>
      <c r="E9" s="19" t="s">
        <v>288</v>
      </c>
      <c r="F9" s="19" t="s">
        <v>45</v>
      </c>
      <c r="G9" s="20">
        <v>850</v>
      </c>
      <c r="H9" s="20">
        <v>30</v>
      </c>
      <c r="I9" s="20">
        <f t="shared" si="0"/>
        <v>820</v>
      </c>
      <c r="J9" s="19" t="s">
        <v>269</v>
      </c>
      <c r="K9" s="19" t="s">
        <v>37</v>
      </c>
      <c r="L9" s="19" t="s">
        <v>270</v>
      </c>
      <c r="M9" s="19"/>
      <c r="N9" s="19"/>
      <c r="O9" s="19"/>
      <c r="P9" s="19"/>
      <c r="Q9" s="19">
        <v>1</v>
      </c>
    </row>
    <row r="10" spans="1:18" customFormat="1" x14ac:dyDescent="0.25">
      <c r="A10" s="19"/>
      <c r="B10" s="19" t="s">
        <v>32</v>
      </c>
      <c r="C10" s="19" t="s">
        <v>289</v>
      </c>
      <c r="D10" s="19" t="s">
        <v>290</v>
      </c>
      <c r="E10" s="19" t="s">
        <v>291</v>
      </c>
      <c r="F10" s="20">
        <v>7</v>
      </c>
      <c r="G10" s="20">
        <v>820</v>
      </c>
      <c r="H10" s="20">
        <v>30</v>
      </c>
      <c r="I10" s="20">
        <f t="shared" si="0"/>
        <v>790</v>
      </c>
      <c r="J10" s="19" t="s">
        <v>269</v>
      </c>
      <c r="K10" s="19" t="s">
        <v>37</v>
      </c>
      <c r="L10" s="19" t="s">
        <v>270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292</v>
      </c>
      <c r="D11" s="19" t="s">
        <v>293</v>
      </c>
      <c r="E11" s="19" t="s">
        <v>294</v>
      </c>
      <c r="F11" s="19" t="s">
        <v>138</v>
      </c>
      <c r="G11" s="20">
        <v>0</v>
      </c>
      <c r="H11" s="20">
        <v>30</v>
      </c>
      <c r="I11" s="20">
        <f t="shared" si="0"/>
        <v>-30</v>
      </c>
      <c r="J11" s="19" t="s">
        <v>37</v>
      </c>
      <c r="K11" s="19" t="s">
        <v>37</v>
      </c>
      <c r="L11" s="19" t="s">
        <v>270</v>
      </c>
      <c r="M11" s="19"/>
      <c r="N11" s="19"/>
      <c r="O11" s="19"/>
      <c r="P11" s="19"/>
      <c r="Q11" s="19">
        <v>1</v>
      </c>
      <c r="R11" s="21">
        <f>H11</f>
        <v>30</v>
      </c>
    </row>
    <row r="12" spans="1:18" customFormat="1" x14ac:dyDescent="0.25">
      <c r="A12" s="19"/>
      <c r="B12" s="19" t="s">
        <v>32</v>
      </c>
      <c r="C12" s="19" t="s">
        <v>295</v>
      </c>
      <c r="D12" s="19" t="s">
        <v>296</v>
      </c>
      <c r="E12" s="19" t="s">
        <v>297</v>
      </c>
      <c r="F12" s="19" t="s">
        <v>124</v>
      </c>
      <c r="G12" s="20">
        <v>710</v>
      </c>
      <c r="H12" s="20">
        <v>20</v>
      </c>
      <c r="I12" s="20">
        <f t="shared" si="0"/>
        <v>690</v>
      </c>
      <c r="J12" s="19" t="s">
        <v>37</v>
      </c>
      <c r="K12" s="19" t="s">
        <v>37</v>
      </c>
      <c r="L12" s="19" t="s">
        <v>270</v>
      </c>
      <c r="M12" s="19"/>
      <c r="N12" s="19"/>
      <c r="O12" s="19"/>
      <c r="P12" s="19"/>
      <c r="Q12" s="19">
        <v>1</v>
      </c>
    </row>
    <row r="13" spans="1:18" customFormat="1" x14ac:dyDescent="0.25">
      <c r="A13" s="19"/>
      <c r="B13" s="19" t="s">
        <v>32</v>
      </c>
      <c r="C13" s="19" t="s">
        <v>298</v>
      </c>
      <c r="D13" s="19" t="s">
        <v>299</v>
      </c>
      <c r="E13" s="19" t="s">
        <v>300</v>
      </c>
      <c r="F13" s="19" t="s">
        <v>124</v>
      </c>
      <c r="G13" s="20">
        <v>2630</v>
      </c>
      <c r="H13" s="20">
        <v>25</v>
      </c>
      <c r="I13" s="20">
        <f t="shared" si="0"/>
        <v>2605</v>
      </c>
      <c r="J13" s="19" t="s">
        <v>37</v>
      </c>
      <c r="K13" s="19" t="s">
        <v>37</v>
      </c>
      <c r="L13" s="19" t="s">
        <v>270</v>
      </c>
      <c r="M13" s="22" t="s">
        <v>183</v>
      </c>
      <c r="N13" s="19"/>
      <c r="O13" s="19"/>
      <c r="P13" s="19"/>
      <c r="Q13" s="19">
        <v>1</v>
      </c>
      <c r="R13" s="21">
        <f>H13</f>
        <v>25</v>
      </c>
    </row>
    <row r="14" spans="1:18" customFormat="1" x14ac:dyDescent="0.25">
      <c r="A14" s="19"/>
      <c r="B14" s="19" t="s">
        <v>32</v>
      </c>
      <c r="C14" s="19" t="s">
        <v>301</v>
      </c>
      <c r="D14" s="19" t="s">
        <v>302</v>
      </c>
      <c r="E14" s="19" t="s">
        <v>303</v>
      </c>
      <c r="F14" s="20">
        <v>12</v>
      </c>
      <c r="G14" s="20">
        <v>1490</v>
      </c>
      <c r="H14" s="20">
        <v>30</v>
      </c>
      <c r="I14" s="20">
        <f t="shared" si="0"/>
        <v>1460</v>
      </c>
      <c r="J14" s="19" t="s">
        <v>37</v>
      </c>
      <c r="K14" s="19" t="s">
        <v>37</v>
      </c>
      <c r="L14" s="19" t="s">
        <v>270</v>
      </c>
      <c r="M14" s="19"/>
      <c r="N14" s="19"/>
      <c r="O14" s="19"/>
      <c r="P14" s="19"/>
      <c r="Q14" s="19">
        <v>1</v>
      </c>
    </row>
    <row r="15" spans="1:18" customFormat="1" x14ac:dyDescent="0.25">
      <c r="A15" s="19"/>
      <c r="B15" s="19" t="s">
        <v>32</v>
      </c>
      <c r="C15" s="19" t="s">
        <v>304</v>
      </c>
      <c r="D15" s="19" t="s">
        <v>305</v>
      </c>
      <c r="E15" s="19" t="s">
        <v>306</v>
      </c>
      <c r="F15" s="20">
        <v>12</v>
      </c>
      <c r="G15" s="20">
        <v>860</v>
      </c>
      <c r="H15" s="20">
        <v>30</v>
      </c>
      <c r="I15" s="20">
        <f t="shared" si="0"/>
        <v>830</v>
      </c>
      <c r="J15" s="19" t="s">
        <v>37</v>
      </c>
      <c r="K15" s="19" t="s">
        <v>37</v>
      </c>
      <c r="L15" s="19" t="s">
        <v>270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29">
        <v>3325</v>
      </c>
      <c r="D16" s="19" t="s">
        <v>307</v>
      </c>
      <c r="E16" s="19" t="s">
        <v>308</v>
      </c>
      <c r="F16" s="20">
        <v>12</v>
      </c>
      <c r="G16" s="20">
        <v>0</v>
      </c>
      <c r="H16" s="20">
        <v>30</v>
      </c>
      <c r="I16" s="20">
        <f t="shared" si="0"/>
        <v>-30</v>
      </c>
      <c r="J16" s="19" t="s">
        <v>37</v>
      </c>
      <c r="K16" s="19" t="s">
        <v>37</v>
      </c>
      <c r="L16" s="19" t="s">
        <v>270</v>
      </c>
      <c r="M16" s="19"/>
      <c r="N16" s="19"/>
      <c r="O16" s="19"/>
      <c r="P16" s="19"/>
      <c r="Q16" s="19">
        <v>1</v>
      </c>
      <c r="R16" s="21">
        <f>H16</f>
        <v>30</v>
      </c>
    </row>
    <row r="17" spans="1:18" customFormat="1" x14ac:dyDescent="0.25">
      <c r="A17" s="19"/>
      <c r="B17" s="19" t="s">
        <v>32</v>
      </c>
      <c r="C17" s="19" t="s">
        <v>309</v>
      </c>
      <c r="D17" s="19" t="s">
        <v>310</v>
      </c>
      <c r="E17" s="19" t="s">
        <v>311</v>
      </c>
      <c r="F17" s="19" t="s">
        <v>117</v>
      </c>
      <c r="G17" s="20">
        <v>915</v>
      </c>
      <c r="H17" s="20">
        <v>25</v>
      </c>
      <c r="I17" s="20">
        <f t="shared" si="0"/>
        <v>890</v>
      </c>
      <c r="J17" s="19" t="s">
        <v>37</v>
      </c>
      <c r="K17" s="19" t="s">
        <v>37</v>
      </c>
      <c r="L17" s="19" t="s">
        <v>270</v>
      </c>
      <c r="M17" s="19"/>
      <c r="N17" s="19"/>
      <c r="O17" s="19"/>
      <c r="P17" s="19"/>
      <c r="Q17" s="19">
        <v>1</v>
      </c>
    </row>
    <row r="18" spans="1:18" customFormat="1" x14ac:dyDescent="0.25">
      <c r="A18" s="19" t="s">
        <v>107</v>
      </c>
      <c r="B18" s="19" t="s">
        <v>32</v>
      </c>
      <c r="C18" s="19" t="s">
        <v>312</v>
      </c>
      <c r="D18" s="19"/>
      <c r="E18" s="19" t="s">
        <v>313</v>
      </c>
      <c r="F18" s="20">
        <v>12</v>
      </c>
      <c r="G18" s="20">
        <v>0</v>
      </c>
      <c r="H18" s="20">
        <v>80</v>
      </c>
      <c r="I18" s="20">
        <f t="shared" si="0"/>
        <v>-80</v>
      </c>
      <c r="J18" s="19" t="s">
        <v>37</v>
      </c>
      <c r="K18" s="19" t="s">
        <v>37</v>
      </c>
      <c r="L18" s="19" t="s">
        <v>270</v>
      </c>
      <c r="M18" s="19"/>
      <c r="N18" s="19"/>
      <c r="O18" s="19"/>
      <c r="P18" s="19"/>
      <c r="Q18" s="19">
        <v>1</v>
      </c>
      <c r="R18" s="21">
        <f>H18</f>
        <v>80</v>
      </c>
    </row>
    <row r="19" spans="1:18" customFormat="1" x14ac:dyDescent="0.25">
      <c r="A19" s="19" t="s">
        <v>107</v>
      </c>
      <c r="B19" s="19" t="s">
        <v>32</v>
      </c>
      <c r="C19" s="19" t="s">
        <v>158</v>
      </c>
      <c r="D19" s="19"/>
      <c r="E19" s="19" t="s">
        <v>159</v>
      </c>
      <c r="F19" s="19" t="s">
        <v>117</v>
      </c>
      <c r="G19" s="20">
        <v>45</v>
      </c>
      <c r="H19" s="20">
        <v>45</v>
      </c>
      <c r="I19" s="20">
        <f t="shared" si="0"/>
        <v>0</v>
      </c>
      <c r="J19" s="19" t="s">
        <v>37</v>
      </c>
      <c r="K19" s="19" t="s">
        <v>37</v>
      </c>
      <c r="L19" s="19" t="s">
        <v>270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19" t="s">
        <v>314</v>
      </c>
      <c r="D20" s="19" t="s">
        <v>315</v>
      </c>
      <c r="E20" s="19" t="s">
        <v>316</v>
      </c>
      <c r="F20" s="19" t="s">
        <v>317</v>
      </c>
      <c r="G20" s="20">
        <v>850</v>
      </c>
      <c r="H20" s="20">
        <v>20</v>
      </c>
      <c r="I20" s="20">
        <f t="shared" si="0"/>
        <v>830</v>
      </c>
      <c r="J20" s="19" t="s">
        <v>169</v>
      </c>
      <c r="K20" s="19" t="s">
        <v>37</v>
      </c>
      <c r="L20" s="19" t="s">
        <v>270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318</v>
      </c>
      <c r="D21" s="19" t="s">
        <v>319</v>
      </c>
      <c r="E21" s="19" t="s">
        <v>320</v>
      </c>
      <c r="F21" s="20">
        <v>8</v>
      </c>
      <c r="G21" s="20">
        <v>2750</v>
      </c>
      <c r="H21" s="20">
        <v>35</v>
      </c>
      <c r="I21" s="20">
        <f t="shared" si="0"/>
        <v>2715</v>
      </c>
      <c r="J21" s="19" t="s">
        <v>169</v>
      </c>
      <c r="K21" s="19" t="s">
        <v>37</v>
      </c>
      <c r="L21" s="19" t="s">
        <v>270</v>
      </c>
      <c r="M21" s="22" t="s">
        <v>183</v>
      </c>
      <c r="N21" s="19"/>
      <c r="O21" s="19"/>
      <c r="P21" s="19"/>
      <c r="Q21" s="19">
        <v>1</v>
      </c>
      <c r="R21" s="21">
        <f>H21</f>
        <v>35</v>
      </c>
    </row>
    <row r="22" spans="1:18" customFormat="1" x14ac:dyDescent="0.25">
      <c r="A22" s="19"/>
      <c r="B22" s="19" t="s">
        <v>32</v>
      </c>
      <c r="C22" s="19" t="s">
        <v>321</v>
      </c>
      <c r="D22" s="19" t="s">
        <v>322</v>
      </c>
      <c r="E22" s="19" t="s">
        <v>323</v>
      </c>
      <c r="F22" s="20">
        <v>10</v>
      </c>
      <c r="G22" s="20">
        <v>0</v>
      </c>
      <c r="H22" s="20">
        <v>25</v>
      </c>
      <c r="I22" s="20">
        <f t="shared" si="0"/>
        <v>-25</v>
      </c>
      <c r="J22" s="19" t="s">
        <v>169</v>
      </c>
      <c r="K22" s="19" t="s">
        <v>37</v>
      </c>
      <c r="L22" s="19" t="s">
        <v>270</v>
      </c>
      <c r="M22" s="22" t="s">
        <v>324</v>
      </c>
      <c r="N22" s="19"/>
      <c r="O22" s="19"/>
      <c r="P22" s="19"/>
      <c r="Q22" s="19">
        <v>1</v>
      </c>
      <c r="R22" s="21">
        <f>H22</f>
        <v>25</v>
      </c>
    </row>
    <row r="23" spans="1:18" customFormat="1" x14ac:dyDescent="0.25">
      <c r="A23" s="19"/>
      <c r="B23" s="19" t="s">
        <v>32</v>
      </c>
      <c r="C23" s="19" t="s">
        <v>325</v>
      </c>
      <c r="D23" s="19" t="s">
        <v>326</v>
      </c>
      <c r="E23" s="19" t="s">
        <v>327</v>
      </c>
      <c r="F23" s="20">
        <v>4</v>
      </c>
      <c r="G23" s="20">
        <v>755</v>
      </c>
      <c r="H23" s="20">
        <v>25</v>
      </c>
      <c r="I23" s="20">
        <f t="shared" si="0"/>
        <v>730</v>
      </c>
      <c r="J23" s="19" t="s">
        <v>169</v>
      </c>
      <c r="K23" s="19" t="s">
        <v>37</v>
      </c>
      <c r="L23" s="19" t="s">
        <v>270</v>
      </c>
      <c r="M23" s="19"/>
      <c r="N23" s="19"/>
      <c r="O23" s="19"/>
      <c r="P23" s="19"/>
      <c r="Q23" s="19">
        <v>1</v>
      </c>
    </row>
    <row r="24" spans="1:18" customFormat="1" x14ac:dyDescent="0.25">
      <c r="A24" s="19"/>
      <c r="B24" s="19" t="s">
        <v>32</v>
      </c>
      <c r="C24" s="19" t="s">
        <v>328</v>
      </c>
      <c r="D24" s="19" t="s">
        <v>329</v>
      </c>
      <c r="E24" s="19" t="s">
        <v>330</v>
      </c>
      <c r="F24" s="20">
        <v>1</v>
      </c>
      <c r="G24" s="20">
        <v>935</v>
      </c>
      <c r="H24" s="20">
        <v>25</v>
      </c>
      <c r="I24" s="20">
        <f t="shared" si="0"/>
        <v>910</v>
      </c>
      <c r="J24" s="19" t="s">
        <v>169</v>
      </c>
      <c r="K24" s="19" t="s">
        <v>37</v>
      </c>
      <c r="L24" s="19" t="s">
        <v>270</v>
      </c>
      <c r="M24" s="19"/>
      <c r="N24" s="19"/>
      <c r="O24" s="19"/>
      <c r="P24" s="19"/>
      <c r="Q24" s="19">
        <v>1</v>
      </c>
    </row>
    <row r="25" spans="1:18" customFormat="1" x14ac:dyDescent="0.25">
      <c r="A25" s="19"/>
      <c r="B25" s="19" t="s">
        <v>32</v>
      </c>
      <c r="C25" s="19" t="s">
        <v>331</v>
      </c>
      <c r="D25" s="19" t="s">
        <v>332</v>
      </c>
      <c r="E25" s="19" t="s">
        <v>333</v>
      </c>
      <c r="F25" s="19" t="s">
        <v>173</v>
      </c>
      <c r="G25" s="20">
        <v>1735</v>
      </c>
      <c r="H25" s="20">
        <v>25</v>
      </c>
      <c r="I25" s="20">
        <f t="shared" si="0"/>
        <v>1710</v>
      </c>
      <c r="J25" s="19" t="s">
        <v>169</v>
      </c>
      <c r="K25" s="19" t="s">
        <v>37</v>
      </c>
      <c r="L25" s="19" t="s">
        <v>270</v>
      </c>
      <c r="M25" s="19"/>
      <c r="N25" s="19"/>
      <c r="O25" s="19"/>
      <c r="P25" s="19"/>
      <c r="Q25" s="19">
        <v>1</v>
      </c>
    </row>
    <row r="26" spans="1:18" customFormat="1" x14ac:dyDescent="0.25">
      <c r="A26" s="19"/>
      <c r="B26" s="19" t="s">
        <v>32</v>
      </c>
      <c r="C26" s="19" t="s">
        <v>334</v>
      </c>
      <c r="D26" s="19" t="s">
        <v>335</v>
      </c>
      <c r="E26" s="19" t="s">
        <v>336</v>
      </c>
      <c r="F26" s="19" t="s">
        <v>173</v>
      </c>
      <c r="G26" s="20">
        <v>915</v>
      </c>
      <c r="H26" s="20">
        <v>25</v>
      </c>
      <c r="I26" s="20">
        <f t="shared" si="0"/>
        <v>890</v>
      </c>
      <c r="J26" s="19" t="s">
        <v>169</v>
      </c>
      <c r="K26" s="19" t="s">
        <v>37</v>
      </c>
      <c r="L26" s="19" t="s">
        <v>270</v>
      </c>
      <c r="M26" s="19"/>
      <c r="N26" s="19"/>
      <c r="O26" s="19"/>
      <c r="P26" s="19"/>
      <c r="Q26" s="19">
        <v>1</v>
      </c>
    </row>
    <row r="27" spans="1:18" customFormat="1" x14ac:dyDescent="0.25">
      <c r="A27" s="19"/>
      <c r="B27" s="19" t="s">
        <v>32</v>
      </c>
      <c r="C27" s="19" t="s">
        <v>337</v>
      </c>
      <c r="D27" s="19" t="s">
        <v>338</v>
      </c>
      <c r="E27" s="19" t="s">
        <v>339</v>
      </c>
      <c r="F27" s="20">
        <v>5</v>
      </c>
      <c r="G27" s="20">
        <v>955</v>
      </c>
      <c r="H27" s="20">
        <v>25</v>
      </c>
      <c r="I27" s="20">
        <f t="shared" si="0"/>
        <v>930</v>
      </c>
      <c r="J27" s="19" t="s">
        <v>169</v>
      </c>
      <c r="K27" s="19" t="s">
        <v>37</v>
      </c>
      <c r="L27" s="19" t="s">
        <v>270</v>
      </c>
      <c r="M27" s="19"/>
      <c r="N27" s="19"/>
      <c r="O27" s="19"/>
      <c r="P27" s="19"/>
      <c r="Q27" s="19">
        <v>1</v>
      </c>
    </row>
    <row r="28" spans="1:18" customFormat="1" x14ac:dyDescent="0.25">
      <c r="A28" s="19" t="s">
        <v>107</v>
      </c>
      <c r="B28" s="19" t="s">
        <v>32</v>
      </c>
      <c r="C28" s="19" t="s">
        <v>340</v>
      </c>
      <c r="D28" s="19"/>
      <c r="E28" s="19" t="s">
        <v>341</v>
      </c>
      <c r="F28" s="19" t="s">
        <v>62</v>
      </c>
      <c r="G28" s="20">
        <v>35</v>
      </c>
      <c r="H28" s="20">
        <v>35</v>
      </c>
      <c r="I28" s="20">
        <f t="shared" si="0"/>
        <v>0</v>
      </c>
      <c r="J28" s="19" t="s">
        <v>169</v>
      </c>
      <c r="K28" s="19" t="s">
        <v>37</v>
      </c>
      <c r="L28" s="19" t="s">
        <v>270</v>
      </c>
      <c r="M28" s="19"/>
      <c r="N28" s="19"/>
      <c r="O28" s="19"/>
      <c r="P28" s="19"/>
      <c r="Q28" s="19">
        <v>1</v>
      </c>
    </row>
    <row r="29" spans="1:18" customFormat="1" x14ac:dyDescent="0.25">
      <c r="A29" s="19" t="s">
        <v>107</v>
      </c>
      <c r="B29" s="19" t="s">
        <v>32</v>
      </c>
      <c r="C29" s="19" t="s">
        <v>342</v>
      </c>
      <c r="D29" s="19"/>
      <c r="E29" s="19" t="s">
        <v>343</v>
      </c>
      <c r="F29" s="20">
        <v>1</v>
      </c>
      <c r="G29" s="20">
        <v>0</v>
      </c>
      <c r="H29" s="20">
        <v>30</v>
      </c>
      <c r="I29" s="20">
        <f t="shared" si="0"/>
        <v>-30</v>
      </c>
      <c r="J29" s="19" t="s">
        <v>169</v>
      </c>
      <c r="K29" s="19" t="s">
        <v>37</v>
      </c>
      <c r="L29" s="19" t="s">
        <v>270</v>
      </c>
      <c r="M29" s="19"/>
      <c r="N29" s="19"/>
      <c r="O29" s="19"/>
      <c r="P29" s="19"/>
      <c r="Q29" s="19">
        <v>1</v>
      </c>
      <c r="R29" s="21">
        <f>H29</f>
        <v>30</v>
      </c>
    </row>
    <row r="31" spans="1:18" x14ac:dyDescent="0.25">
      <c r="G31" s="1">
        <f t="shared" ref="G31:R31" si="1">SUBTOTAL(9,G3:G29)</f>
        <v>21120</v>
      </c>
      <c r="H31" s="1">
        <f t="shared" si="1"/>
        <v>825</v>
      </c>
      <c r="I31" s="1">
        <f t="shared" si="1"/>
        <v>20295</v>
      </c>
      <c r="J31" s="1">
        <f t="shared" si="1"/>
        <v>0</v>
      </c>
      <c r="K31" s="1">
        <f t="shared" si="1"/>
        <v>0</v>
      </c>
      <c r="L31" s="1">
        <f t="shared" si="1"/>
        <v>0</v>
      </c>
      <c r="M31" s="1">
        <f t="shared" si="1"/>
        <v>0</v>
      </c>
      <c r="N31" s="1">
        <f t="shared" si="1"/>
        <v>0</v>
      </c>
      <c r="O31" s="1">
        <f t="shared" si="1"/>
        <v>0</v>
      </c>
      <c r="P31" s="1">
        <f t="shared" si="1"/>
        <v>0</v>
      </c>
      <c r="Q31" s="1">
        <f t="shared" si="1"/>
        <v>27</v>
      </c>
      <c r="R31" s="1">
        <f t="shared" si="1"/>
        <v>285</v>
      </c>
    </row>
    <row r="35" spans="1:12" ht="20.25" customHeight="1" x14ac:dyDescent="0.3">
      <c r="H35" s="4" t="s">
        <v>200</v>
      </c>
      <c r="I35" s="5" t="s">
        <v>15</v>
      </c>
      <c r="J35" s="6" t="s">
        <v>16</v>
      </c>
    </row>
    <row r="36" spans="1:12" ht="15.75" customHeight="1" x14ac:dyDescent="0.25">
      <c r="H36" s="7" t="s">
        <v>17</v>
      </c>
      <c r="I36" s="8">
        <f>SUM(I30:I34)</f>
        <v>20295</v>
      </c>
      <c r="J36" s="8">
        <f>Q31</f>
        <v>27</v>
      </c>
    </row>
    <row r="37" spans="1:12" x14ac:dyDescent="0.25">
      <c r="H37" s="9" t="s">
        <v>18</v>
      </c>
      <c r="I37" s="10">
        <f>R31</f>
        <v>285</v>
      </c>
      <c r="J37" s="11"/>
    </row>
    <row r="38" spans="1:12" x14ac:dyDescent="0.25">
      <c r="H38" s="9" t="s">
        <v>19</v>
      </c>
      <c r="I38" s="10">
        <f>S30</f>
        <v>0</v>
      </c>
      <c r="J38" s="11"/>
    </row>
    <row r="39" spans="1:12" x14ac:dyDescent="0.25">
      <c r="H39" s="9" t="s">
        <v>20</v>
      </c>
      <c r="I39" s="10">
        <f>T30</f>
        <v>0</v>
      </c>
      <c r="J39" s="11"/>
    </row>
    <row r="40" spans="1:12" x14ac:dyDescent="0.25">
      <c r="H40" s="9" t="s">
        <v>21</v>
      </c>
      <c r="I40" s="10">
        <f>U30</f>
        <v>0</v>
      </c>
      <c r="J40" s="11"/>
    </row>
    <row r="41" spans="1:12" ht="15.75" customHeight="1" x14ac:dyDescent="0.25">
      <c r="H41" s="12" t="s">
        <v>22</v>
      </c>
      <c r="I41" s="13"/>
      <c r="J41" s="13"/>
    </row>
    <row r="42" spans="1:12" ht="15.75" customHeight="1" x14ac:dyDescent="0.25">
      <c r="H42" s="14" t="s">
        <v>23</v>
      </c>
      <c r="I42" s="13"/>
      <c r="J42" s="13"/>
    </row>
    <row r="43" spans="1:12" ht="21" customHeight="1" x14ac:dyDescent="0.35">
      <c r="H43" s="15" t="s">
        <v>24</v>
      </c>
      <c r="I43" s="16">
        <f>SUM(I36:I42)</f>
        <v>20580</v>
      </c>
      <c r="J43" s="16">
        <f>SUM(J36:J40)</f>
        <v>27</v>
      </c>
    </row>
    <row r="45" spans="1:12" x14ac:dyDescent="0.25">
      <c r="A45" s="1" t="s">
        <v>199</v>
      </c>
    </row>
    <row r="46" spans="1:12" x14ac:dyDescent="0.25">
      <c r="A46" s="27" t="s">
        <v>32</v>
      </c>
      <c r="B46" s="27" t="s">
        <v>321</v>
      </c>
      <c r="C46" s="27" t="s">
        <v>322</v>
      </c>
      <c r="D46" s="27" t="s">
        <v>323</v>
      </c>
      <c r="E46" s="28">
        <v>10</v>
      </c>
      <c r="F46" s="28">
        <v>1725</v>
      </c>
      <c r="G46" s="28">
        <v>0</v>
      </c>
      <c r="H46" s="28">
        <f t="shared" ref="H46" si="2">F46-G46</f>
        <v>1725</v>
      </c>
      <c r="I46" s="27" t="s">
        <v>169</v>
      </c>
      <c r="J46" s="27" t="s">
        <v>37</v>
      </c>
      <c r="K46" s="27" t="s">
        <v>270</v>
      </c>
      <c r="L46" s="22" t="s">
        <v>324</v>
      </c>
    </row>
  </sheetData>
  <autoFilter ref="A2:P29" xr:uid="{00000000-0009-0000-0000-000006000000}">
    <sortState xmlns:xlrd2="http://schemas.microsoft.com/office/spreadsheetml/2017/richdata2" ref="A3:P29">
      <sortCondition ref="J2:J29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E671-891D-414F-8223-4EFAD2E800FF}">
  <dimension ref="A1:R56"/>
  <sheetViews>
    <sheetView topLeftCell="A9" zoomScale="82" zoomScaleNormal="80" workbookViewId="0">
      <selection activeCell="G34" sqref="G34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264</v>
      </c>
      <c r="C1" s="1" t="s">
        <v>263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289</v>
      </c>
      <c r="D3" s="19" t="s">
        <v>347</v>
      </c>
      <c r="E3" s="19" t="s">
        <v>291</v>
      </c>
      <c r="F3" s="20">
        <v>7</v>
      </c>
      <c r="G3" s="20">
        <v>1180</v>
      </c>
      <c r="H3" s="20">
        <v>30</v>
      </c>
      <c r="I3" s="20">
        <f t="shared" ref="I3:I38" si="0">G3-H3</f>
        <v>1150</v>
      </c>
      <c r="J3" s="19" t="s">
        <v>348</v>
      </c>
      <c r="K3" s="19" t="s">
        <v>37</v>
      </c>
      <c r="L3" s="19" t="s">
        <v>349</v>
      </c>
      <c r="M3" s="19"/>
      <c r="N3" s="19"/>
      <c r="O3" s="19"/>
      <c r="P3" s="19"/>
      <c r="Q3" s="19">
        <v>1</v>
      </c>
    </row>
    <row r="4" spans="1:18" s="26" customFormat="1" x14ac:dyDescent="0.25">
      <c r="A4" s="23"/>
      <c r="B4" s="23" t="s">
        <v>32</v>
      </c>
      <c r="C4" s="23" t="s">
        <v>350</v>
      </c>
      <c r="D4" s="23" t="s">
        <v>351</v>
      </c>
      <c r="E4" s="23" t="s">
        <v>352</v>
      </c>
      <c r="F4" s="23" t="s">
        <v>45</v>
      </c>
      <c r="G4" s="24">
        <v>100</v>
      </c>
      <c r="H4" s="24">
        <v>30</v>
      </c>
      <c r="I4" s="24">
        <f t="shared" si="0"/>
        <v>70</v>
      </c>
      <c r="J4" s="23" t="s">
        <v>348</v>
      </c>
      <c r="K4" s="23" t="s">
        <v>37</v>
      </c>
      <c r="L4" s="23" t="s">
        <v>349</v>
      </c>
      <c r="M4" s="23" t="s">
        <v>148</v>
      </c>
      <c r="N4" s="23"/>
      <c r="O4" s="23"/>
      <c r="P4" s="23"/>
      <c r="Q4" s="23">
        <v>1</v>
      </c>
    </row>
    <row r="5" spans="1:18" customFormat="1" x14ac:dyDescent="0.25">
      <c r="A5" s="19"/>
      <c r="B5" s="19" t="s">
        <v>32</v>
      </c>
      <c r="C5" s="19" t="s">
        <v>353</v>
      </c>
      <c r="D5" s="19" t="s">
        <v>354</v>
      </c>
      <c r="E5" s="19" t="s">
        <v>355</v>
      </c>
      <c r="F5" s="19" t="s">
        <v>45</v>
      </c>
      <c r="G5" s="20">
        <v>1690</v>
      </c>
      <c r="H5" s="20">
        <v>30</v>
      </c>
      <c r="I5" s="20">
        <f t="shared" si="0"/>
        <v>1660</v>
      </c>
      <c r="J5" s="19" t="s">
        <v>348</v>
      </c>
      <c r="K5" s="19" t="s">
        <v>37</v>
      </c>
      <c r="L5" s="19" t="s">
        <v>349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356</v>
      </c>
      <c r="D6" s="19" t="s">
        <v>357</v>
      </c>
      <c r="E6" s="19" t="s">
        <v>358</v>
      </c>
      <c r="F6" s="20">
        <v>7</v>
      </c>
      <c r="G6" s="20">
        <v>0</v>
      </c>
      <c r="H6" s="20">
        <v>30</v>
      </c>
      <c r="I6" s="20">
        <f t="shared" si="0"/>
        <v>-30</v>
      </c>
      <c r="J6" s="19" t="s">
        <v>348</v>
      </c>
      <c r="K6" s="19" t="s">
        <v>37</v>
      </c>
      <c r="L6" s="19" t="s">
        <v>349</v>
      </c>
      <c r="M6" s="19"/>
      <c r="N6" s="19"/>
      <c r="O6" s="19"/>
      <c r="P6" s="19"/>
      <c r="Q6" s="19">
        <v>1</v>
      </c>
      <c r="R6" s="21">
        <f>H6</f>
        <v>30</v>
      </c>
    </row>
    <row r="7" spans="1:18" customFormat="1" x14ac:dyDescent="0.25">
      <c r="A7" s="19"/>
      <c r="B7" s="19" t="s">
        <v>32</v>
      </c>
      <c r="C7" s="19" t="s">
        <v>359</v>
      </c>
      <c r="D7" s="19" t="s">
        <v>360</v>
      </c>
      <c r="E7" s="19" t="s">
        <v>361</v>
      </c>
      <c r="F7" s="20">
        <v>6</v>
      </c>
      <c r="G7" s="20">
        <v>0</v>
      </c>
      <c r="H7" s="20">
        <v>25</v>
      </c>
      <c r="I7" s="20">
        <f t="shared" si="0"/>
        <v>-25</v>
      </c>
      <c r="J7" s="19" t="s">
        <v>348</v>
      </c>
      <c r="K7" s="19" t="s">
        <v>37</v>
      </c>
      <c r="L7" s="19" t="s">
        <v>349</v>
      </c>
      <c r="M7" s="19"/>
      <c r="N7" s="19"/>
      <c r="O7" s="19"/>
      <c r="P7" s="19"/>
      <c r="Q7" s="19">
        <v>1</v>
      </c>
      <c r="R7" s="21">
        <f t="shared" ref="R7:R8" si="1">H7</f>
        <v>25</v>
      </c>
    </row>
    <row r="8" spans="1:18" customFormat="1" x14ac:dyDescent="0.25">
      <c r="A8" s="19"/>
      <c r="B8" s="19" t="s">
        <v>32</v>
      </c>
      <c r="C8" s="19" t="s">
        <v>362</v>
      </c>
      <c r="D8" s="19" t="s">
        <v>363</v>
      </c>
      <c r="E8" s="19" t="s">
        <v>364</v>
      </c>
      <c r="F8" s="20">
        <v>7</v>
      </c>
      <c r="G8" s="20">
        <v>0</v>
      </c>
      <c r="H8" s="20">
        <v>30</v>
      </c>
      <c r="I8" s="20">
        <f t="shared" si="0"/>
        <v>-30</v>
      </c>
      <c r="J8" s="19" t="s">
        <v>348</v>
      </c>
      <c r="K8" s="19" t="s">
        <v>37</v>
      </c>
      <c r="L8" s="19" t="s">
        <v>349</v>
      </c>
      <c r="M8" s="19"/>
      <c r="N8" s="19"/>
      <c r="O8" s="19"/>
      <c r="P8" s="19"/>
      <c r="Q8" s="19">
        <v>1</v>
      </c>
      <c r="R8" s="21">
        <f t="shared" si="1"/>
        <v>30</v>
      </c>
    </row>
    <row r="9" spans="1:18" customFormat="1" x14ac:dyDescent="0.25">
      <c r="A9" s="19"/>
      <c r="B9" s="19" t="s">
        <v>32</v>
      </c>
      <c r="C9" s="19" t="s">
        <v>365</v>
      </c>
      <c r="D9" s="19" t="s">
        <v>366</v>
      </c>
      <c r="E9" s="19" t="s">
        <v>367</v>
      </c>
      <c r="F9" s="20">
        <v>7</v>
      </c>
      <c r="G9" s="20">
        <v>850</v>
      </c>
      <c r="H9" s="20">
        <v>30</v>
      </c>
      <c r="I9" s="20">
        <f t="shared" si="0"/>
        <v>820</v>
      </c>
      <c r="J9" s="19" t="s">
        <v>348</v>
      </c>
      <c r="K9" s="19" t="s">
        <v>37</v>
      </c>
      <c r="L9" s="19" t="s">
        <v>349</v>
      </c>
      <c r="M9" s="19"/>
      <c r="N9" s="19"/>
      <c r="O9" s="19"/>
      <c r="P9" s="19"/>
      <c r="Q9" s="19">
        <v>1</v>
      </c>
    </row>
    <row r="10" spans="1:18" customFormat="1" x14ac:dyDescent="0.25">
      <c r="A10" s="19"/>
      <c r="B10" s="19" t="s">
        <v>32</v>
      </c>
      <c r="C10" s="19" t="s">
        <v>368</v>
      </c>
      <c r="D10" s="19" t="s">
        <v>369</v>
      </c>
      <c r="E10" s="19" t="s">
        <v>370</v>
      </c>
      <c r="F10" s="20">
        <v>7</v>
      </c>
      <c r="G10" s="20">
        <v>820</v>
      </c>
      <c r="H10" s="20">
        <v>30</v>
      </c>
      <c r="I10" s="20">
        <f t="shared" si="0"/>
        <v>790</v>
      </c>
      <c r="J10" s="19" t="s">
        <v>348</v>
      </c>
      <c r="K10" s="19" t="s">
        <v>37</v>
      </c>
      <c r="L10" s="19" t="s">
        <v>349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371</v>
      </c>
      <c r="D11" s="19" t="s">
        <v>372</v>
      </c>
      <c r="E11" s="19" t="s">
        <v>373</v>
      </c>
      <c r="F11" s="19" t="s">
        <v>62</v>
      </c>
      <c r="G11" s="20">
        <v>845</v>
      </c>
      <c r="H11" s="20">
        <v>25</v>
      </c>
      <c r="I11" s="20">
        <f t="shared" si="0"/>
        <v>820</v>
      </c>
      <c r="J11" s="19" t="s">
        <v>348</v>
      </c>
      <c r="K11" s="19" t="s">
        <v>37</v>
      </c>
      <c r="L11" s="19" t="s">
        <v>349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374</v>
      </c>
      <c r="D12" s="19" t="s">
        <v>375</v>
      </c>
      <c r="E12" s="19" t="s">
        <v>376</v>
      </c>
      <c r="F12" s="19" t="s">
        <v>62</v>
      </c>
      <c r="G12" s="20">
        <v>0</v>
      </c>
      <c r="H12" s="20">
        <v>25</v>
      </c>
      <c r="I12" s="20">
        <f t="shared" si="0"/>
        <v>-25</v>
      </c>
      <c r="J12" s="19" t="s">
        <v>348</v>
      </c>
      <c r="K12" s="19" t="s">
        <v>37</v>
      </c>
      <c r="L12" s="19" t="s">
        <v>349</v>
      </c>
      <c r="M12" s="22" t="s">
        <v>377</v>
      </c>
      <c r="N12" s="19"/>
      <c r="O12" s="19"/>
      <c r="P12" s="19"/>
      <c r="Q12" s="19">
        <v>1</v>
      </c>
      <c r="R12" s="21">
        <f>H12</f>
        <v>25</v>
      </c>
    </row>
    <row r="13" spans="1:18" customFormat="1" x14ac:dyDescent="0.25">
      <c r="A13" s="19"/>
      <c r="B13" s="19" t="s">
        <v>32</v>
      </c>
      <c r="C13" s="19" t="s">
        <v>378</v>
      </c>
      <c r="D13" s="19" t="s">
        <v>379</v>
      </c>
      <c r="E13" s="19" t="s">
        <v>380</v>
      </c>
      <c r="F13" s="20">
        <v>7</v>
      </c>
      <c r="G13" s="20">
        <v>0</v>
      </c>
      <c r="H13" s="20">
        <v>30</v>
      </c>
      <c r="I13" s="20">
        <f t="shared" si="0"/>
        <v>-30</v>
      </c>
      <c r="J13" s="19" t="s">
        <v>348</v>
      </c>
      <c r="K13" s="19" t="s">
        <v>37</v>
      </c>
      <c r="L13" s="19" t="s">
        <v>349</v>
      </c>
      <c r="M13" s="19"/>
      <c r="N13" s="19"/>
      <c r="O13" s="19"/>
      <c r="P13" s="19"/>
      <c r="Q13" s="19">
        <v>1</v>
      </c>
      <c r="R13" s="21">
        <f>H13</f>
        <v>30</v>
      </c>
    </row>
    <row r="14" spans="1:18" customFormat="1" x14ac:dyDescent="0.25">
      <c r="A14" s="19"/>
      <c r="B14" s="19" t="s">
        <v>32</v>
      </c>
      <c r="C14" s="19" t="s">
        <v>381</v>
      </c>
      <c r="D14" s="19" t="s">
        <v>382</v>
      </c>
      <c r="E14" s="19" t="s">
        <v>383</v>
      </c>
      <c r="F14" s="20">
        <v>11</v>
      </c>
      <c r="G14" s="20">
        <v>895</v>
      </c>
      <c r="H14" s="20">
        <v>25</v>
      </c>
      <c r="I14" s="20">
        <f t="shared" si="0"/>
        <v>870</v>
      </c>
      <c r="J14" s="19" t="s">
        <v>348</v>
      </c>
      <c r="K14" s="19" t="s">
        <v>37</v>
      </c>
      <c r="L14" s="19" t="s">
        <v>349</v>
      </c>
      <c r="M14" s="19"/>
      <c r="N14" s="19"/>
      <c r="O14" s="19"/>
      <c r="P14" s="19"/>
      <c r="Q14" s="19">
        <v>1</v>
      </c>
    </row>
    <row r="15" spans="1:18" customFormat="1" x14ac:dyDescent="0.25">
      <c r="A15" s="19" t="s">
        <v>107</v>
      </c>
      <c r="B15" s="19" t="s">
        <v>32</v>
      </c>
      <c r="C15" s="19" t="s">
        <v>384</v>
      </c>
      <c r="D15" s="19"/>
      <c r="E15" s="19" t="s">
        <v>385</v>
      </c>
      <c r="F15" s="20">
        <v>6</v>
      </c>
      <c r="G15" s="20">
        <v>0</v>
      </c>
      <c r="H15" s="20">
        <v>30</v>
      </c>
      <c r="I15" s="20">
        <f t="shared" si="0"/>
        <v>-30</v>
      </c>
      <c r="J15" s="19" t="s">
        <v>348</v>
      </c>
      <c r="K15" s="19" t="s">
        <v>37</v>
      </c>
      <c r="L15" s="19" t="s">
        <v>349</v>
      </c>
      <c r="M15" s="19"/>
      <c r="N15" s="19"/>
      <c r="O15" s="19"/>
      <c r="P15" s="19"/>
      <c r="Q15" s="19">
        <v>1</v>
      </c>
      <c r="R15" s="21">
        <f>H15</f>
        <v>30</v>
      </c>
    </row>
    <row r="16" spans="1:18" customFormat="1" x14ac:dyDescent="0.25">
      <c r="A16" s="19"/>
      <c r="B16" s="19" t="s">
        <v>32</v>
      </c>
      <c r="C16" s="19" t="s">
        <v>386</v>
      </c>
      <c r="D16" s="19" t="s">
        <v>387</v>
      </c>
      <c r="E16" s="19" t="s">
        <v>388</v>
      </c>
      <c r="F16" s="19" t="s">
        <v>124</v>
      </c>
      <c r="G16" s="20">
        <v>1510</v>
      </c>
      <c r="H16" s="20">
        <v>20</v>
      </c>
      <c r="I16" s="20">
        <f t="shared" si="0"/>
        <v>1490</v>
      </c>
      <c r="J16" s="19" t="s">
        <v>37</v>
      </c>
      <c r="K16" s="19" t="s">
        <v>37</v>
      </c>
      <c r="L16" s="19" t="s">
        <v>349</v>
      </c>
      <c r="M16" s="19"/>
      <c r="N16" s="19"/>
      <c r="O16" s="19"/>
      <c r="P16" s="19"/>
      <c r="Q16" s="19">
        <v>1</v>
      </c>
    </row>
    <row r="17" spans="1:18" customFormat="1" x14ac:dyDescent="0.25">
      <c r="A17" s="19"/>
      <c r="B17" s="19" t="s">
        <v>32</v>
      </c>
      <c r="C17" s="29">
        <v>3352</v>
      </c>
      <c r="D17" s="19" t="s">
        <v>389</v>
      </c>
      <c r="E17" s="19" t="s">
        <v>308</v>
      </c>
      <c r="F17" s="20">
        <v>12</v>
      </c>
      <c r="G17" s="20">
        <v>0</v>
      </c>
      <c r="H17" s="20">
        <v>30</v>
      </c>
      <c r="I17" s="20">
        <f t="shared" si="0"/>
        <v>-30</v>
      </c>
      <c r="J17" s="19" t="s">
        <v>37</v>
      </c>
      <c r="K17" s="19" t="s">
        <v>37</v>
      </c>
      <c r="L17" s="19" t="s">
        <v>349</v>
      </c>
      <c r="M17" s="19"/>
      <c r="N17" s="19"/>
      <c r="O17" s="19"/>
      <c r="P17" s="19"/>
      <c r="Q17" s="19">
        <v>1</v>
      </c>
      <c r="R17" s="21">
        <f>H17</f>
        <v>30</v>
      </c>
    </row>
    <row r="18" spans="1:18" customFormat="1" x14ac:dyDescent="0.25">
      <c r="A18" s="19"/>
      <c r="B18" s="19" t="s">
        <v>32</v>
      </c>
      <c r="C18" s="19" t="s">
        <v>390</v>
      </c>
      <c r="D18" s="19" t="s">
        <v>391</v>
      </c>
      <c r="E18" s="19" t="s">
        <v>392</v>
      </c>
      <c r="F18" s="19" t="s">
        <v>124</v>
      </c>
      <c r="G18" s="20">
        <v>840</v>
      </c>
      <c r="H18" s="20">
        <v>20</v>
      </c>
      <c r="I18" s="20">
        <f t="shared" si="0"/>
        <v>820</v>
      </c>
      <c r="J18" s="19" t="s">
        <v>37</v>
      </c>
      <c r="K18" s="19" t="s">
        <v>37</v>
      </c>
      <c r="L18" s="19" t="s">
        <v>349</v>
      </c>
      <c r="M18" s="19"/>
      <c r="N18" s="19"/>
      <c r="O18" s="19"/>
      <c r="P18" s="19"/>
      <c r="Q18" s="19">
        <v>1</v>
      </c>
    </row>
    <row r="19" spans="1:18" customFormat="1" x14ac:dyDescent="0.25">
      <c r="A19" s="19"/>
      <c r="B19" s="19" t="s">
        <v>32</v>
      </c>
      <c r="C19" s="19" t="s">
        <v>393</v>
      </c>
      <c r="D19" s="19" t="s">
        <v>394</v>
      </c>
      <c r="E19" s="19" t="s">
        <v>395</v>
      </c>
      <c r="F19" s="19" t="s">
        <v>117</v>
      </c>
      <c r="G19" s="20">
        <v>0</v>
      </c>
      <c r="H19" s="20">
        <v>25</v>
      </c>
      <c r="I19" s="20">
        <f t="shared" si="0"/>
        <v>-25</v>
      </c>
      <c r="J19" s="19" t="s">
        <v>37</v>
      </c>
      <c r="K19" s="19" t="s">
        <v>37</v>
      </c>
      <c r="L19" s="19" t="s">
        <v>349</v>
      </c>
      <c r="M19" s="19"/>
      <c r="N19" s="19"/>
      <c r="O19" s="19"/>
      <c r="P19" s="19"/>
      <c r="Q19" s="19">
        <v>1</v>
      </c>
      <c r="R19" s="21">
        <f>H19</f>
        <v>25</v>
      </c>
    </row>
    <row r="20" spans="1:18" customFormat="1" x14ac:dyDescent="0.25">
      <c r="A20" s="19"/>
      <c r="B20" s="19" t="s">
        <v>32</v>
      </c>
      <c r="C20" s="19" t="s">
        <v>396</v>
      </c>
      <c r="D20" s="19" t="s">
        <v>397</v>
      </c>
      <c r="E20" s="19" t="s">
        <v>398</v>
      </c>
      <c r="F20" s="19" t="s">
        <v>117</v>
      </c>
      <c r="G20" s="20">
        <v>695</v>
      </c>
      <c r="H20" s="20">
        <v>25</v>
      </c>
      <c r="I20" s="20">
        <f t="shared" si="0"/>
        <v>670</v>
      </c>
      <c r="J20" s="19" t="s">
        <v>37</v>
      </c>
      <c r="K20" s="19" t="s">
        <v>37</v>
      </c>
      <c r="L20" s="19" t="s">
        <v>349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399</v>
      </c>
      <c r="D21" s="19" t="s">
        <v>400</v>
      </c>
      <c r="E21" s="19" t="s">
        <v>401</v>
      </c>
      <c r="F21" s="19" t="s">
        <v>138</v>
      </c>
      <c r="G21" s="20">
        <v>1020</v>
      </c>
      <c r="H21" s="20">
        <v>30</v>
      </c>
      <c r="I21" s="20">
        <f t="shared" si="0"/>
        <v>990</v>
      </c>
      <c r="J21" s="19" t="s">
        <v>37</v>
      </c>
      <c r="K21" s="19" t="s">
        <v>37</v>
      </c>
      <c r="L21" s="19" t="s">
        <v>349</v>
      </c>
      <c r="M21" s="19"/>
      <c r="N21" s="19"/>
      <c r="O21" s="19"/>
      <c r="P21" s="19"/>
      <c r="Q21" s="19">
        <v>1</v>
      </c>
    </row>
    <row r="22" spans="1:18" customFormat="1" x14ac:dyDescent="0.25">
      <c r="A22" s="19"/>
      <c r="B22" s="19" t="s">
        <v>32</v>
      </c>
      <c r="C22" s="19" t="s">
        <v>402</v>
      </c>
      <c r="D22" s="19" t="s">
        <v>403</v>
      </c>
      <c r="E22" s="19" t="s">
        <v>404</v>
      </c>
      <c r="F22" s="19" t="s">
        <v>117</v>
      </c>
      <c r="G22" s="20">
        <v>0</v>
      </c>
      <c r="H22" s="20">
        <v>25</v>
      </c>
      <c r="I22" s="20">
        <f t="shared" si="0"/>
        <v>-25</v>
      </c>
      <c r="J22" s="19" t="s">
        <v>37</v>
      </c>
      <c r="K22" s="19" t="s">
        <v>37</v>
      </c>
      <c r="L22" s="19" t="s">
        <v>349</v>
      </c>
      <c r="M22" s="22" t="s">
        <v>405</v>
      </c>
      <c r="N22" s="19"/>
      <c r="O22" s="19"/>
      <c r="P22" s="19"/>
      <c r="Q22" s="19">
        <v>1</v>
      </c>
    </row>
    <row r="23" spans="1:18" customFormat="1" x14ac:dyDescent="0.25">
      <c r="A23" s="19"/>
      <c r="B23" s="19" t="s">
        <v>32</v>
      </c>
      <c r="C23" s="19" t="s">
        <v>406</v>
      </c>
      <c r="D23" s="19" t="s">
        <v>407</v>
      </c>
      <c r="E23" s="19" t="s">
        <v>408</v>
      </c>
      <c r="F23" s="19" t="s">
        <v>124</v>
      </c>
      <c r="G23" s="20">
        <v>510</v>
      </c>
      <c r="H23" s="20">
        <v>20</v>
      </c>
      <c r="I23" s="20">
        <f t="shared" si="0"/>
        <v>490</v>
      </c>
      <c r="J23" s="19" t="s">
        <v>37</v>
      </c>
      <c r="K23" s="19" t="s">
        <v>37</v>
      </c>
      <c r="L23" s="19" t="s">
        <v>349</v>
      </c>
      <c r="M23" s="19"/>
      <c r="N23" s="19"/>
      <c r="O23" s="19"/>
      <c r="P23" s="19"/>
      <c r="Q23" s="19">
        <v>1</v>
      </c>
    </row>
    <row r="24" spans="1:18" customFormat="1" x14ac:dyDescent="0.25">
      <c r="A24" s="19"/>
      <c r="B24" s="19" t="s">
        <v>32</v>
      </c>
      <c r="C24" s="19" t="s">
        <v>409</v>
      </c>
      <c r="D24" s="19" t="s">
        <v>410</v>
      </c>
      <c r="E24" s="19" t="s">
        <v>411</v>
      </c>
      <c r="F24" s="19" t="s">
        <v>138</v>
      </c>
      <c r="G24" s="20">
        <v>0</v>
      </c>
      <c r="H24" s="20">
        <v>30</v>
      </c>
      <c r="I24" s="20">
        <f t="shared" si="0"/>
        <v>-30</v>
      </c>
      <c r="J24" s="19" t="s">
        <v>37</v>
      </c>
      <c r="K24" s="19" t="s">
        <v>37</v>
      </c>
      <c r="L24" s="19" t="s">
        <v>349</v>
      </c>
      <c r="M24" s="19"/>
      <c r="N24" s="19"/>
      <c r="O24" s="19"/>
      <c r="P24" s="19"/>
      <c r="Q24" s="19">
        <v>1</v>
      </c>
      <c r="R24" s="21">
        <f t="shared" ref="R24:R26" si="2">H24</f>
        <v>30</v>
      </c>
    </row>
    <row r="25" spans="1:18" customFormat="1" x14ac:dyDescent="0.25">
      <c r="A25" s="19"/>
      <c r="B25" s="19" t="s">
        <v>32</v>
      </c>
      <c r="C25" s="19" t="s">
        <v>412</v>
      </c>
      <c r="D25" s="19" t="s">
        <v>413</v>
      </c>
      <c r="E25" s="19" t="s">
        <v>414</v>
      </c>
      <c r="F25" s="19" t="s">
        <v>117</v>
      </c>
      <c r="G25" s="20">
        <v>0</v>
      </c>
      <c r="H25" s="20">
        <v>25</v>
      </c>
      <c r="I25" s="20">
        <f t="shared" si="0"/>
        <v>-25</v>
      </c>
      <c r="J25" s="19" t="s">
        <v>37</v>
      </c>
      <c r="K25" s="19" t="s">
        <v>37</v>
      </c>
      <c r="L25" s="19" t="s">
        <v>349</v>
      </c>
      <c r="M25" s="19"/>
      <c r="N25" s="19"/>
      <c r="O25" s="19"/>
      <c r="P25" s="19"/>
      <c r="Q25" s="19">
        <v>1</v>
      </c>
      <c r="R25" s="21">
        <f t="shared" si="2"/>
        <v>25</v>
      </c>
    </row>
    <row r="26" spans="1:18" customFormat="1" x14ac:dyDescent="0.25">
      <c r="A26" s="19"/>
      <c r="B26" s="19" t="s">
        <v>32</v>
      </c>
      <c r="C26" s="19" t="s">
        <v>415</v>
      </c>
      <c r="D26" s="19" t="s">
        <v>416</v>
      </c>
      <c r="E26" s="19" t="s">
        <v>417</v>
      </c>
      <c r="F26" s="19" t="s">
        <v>138</v>
      </c>
      <c r="G26" s="20">
        <v>0</v>
      </c>
      <c r="H26" s="20">
        <v>30</v>
      </c>
      <c r="I26" s="20">
        <f t="shared" si="0"/>
        <v>-30</v>
      </c>
      <c r="J26" s="19" t="s">
        <v>37</v>
      </c>
      <c r="K26" s="19" t="s">
        <v>37</v>
      </c>
      <c r="L26" s="19" t="s">
        <v>349</v>
      </c>
      <c r="M26" s="19"/>
      <c r="N26" s="19"/>
      <c r="O26" s="19"/>
      <c r="P26" s="19"/>
      <c r="Q26" s="19">
        <v>1</v>
      </c>
      <c r="R26" s="21">
        <f t="shared" si="2"/>
        <v>30</v>
      </c>
    </row>
    <row r="27" spans="1:18" customFormat="1" x14ac:dyDescent="0.25">
      <c r="A27" s="19" t="s">
        <v>107</v>
      </c>
      <c r="B27" s="19" t="s">
        <v>32</v>
      </c>
      <c r="C27" s="19" t="s">
        <v>418</v>
      </c>
      <c r="D27" s="19"/>
      <c r="E27" s="19" t="s">
        <v>419</v>
      </c>
      <c r="F27" s="19" t="s">
        <v>117</v>
      </c>
      <c r="G27" s="20">
        <v>2795</v>
      </c>
      <c r="H27" s="20">
        <v>35</v>
      </c>
      <c r="I27" s="20">
        <f t="shared" si="0"/>
        <v>2760</v>
      </c>
      <c r="J27" s="19" t="s">
        <v>37</v>
      </c>
      <c r="K27" s="19" t="s">
        <v>37</v>
      </c>
      <c r="L27" s="19" t="s">
        <v>349</v>
      </c>
      <c r="M27" s="19"/>
      <c r="N27" s="19"/>
      <c r="O27" s="19"/>
      <c r="P27" s="19"/>
      <c r="Q27" s="19">
        <v>1</v>
      </c>
    </row>
    <row r="28" spans="1:18" customFormat="1" x14ac:dyDescent="0.25">
      <c r="A28" s="19"/>
      <c r="B28" s="19" t="s">
        <v>32</v>
      </c>
      <c r="C28" s="19" t="s">
        <v>420</v>
      </c>
      <c r="D28" s="19" t="s">
        <v>421</v>
      </c>
      <c r="E28" s="19" t="s">
        <v>422</v>
      </c>
      <c r="F28" s="20">
        <v>10</v>
      </c>
      <c r="G28" s="20">
        <v>845</v>
      </c>
      <c r="H28" s="20">
        <v>25</v>
      </c>
      <c r="I28" s="20">
        <f t="shared" si="0"/>
        <v>820</v>
      </c>
      <c r="J28" s="19" t="s">
        <v>169</v>
      </c>
      <c r="K28" s="19" t="s">
        <v>37</v>
      </c>
      <c r="L28" s="19" t="s">
        <v>349</v>
      </c>
      <c r="M28" s="19"/>
      <c r="N28" s="19"/>
      <c r="O28" s="19"/>
      <c r="P28" s="19"/>
      <c r="Q28" s="19">
        <v>1</v>
      </c>
    </row>
    <row r="29" spans="1:18" customFormat="1" x14ac:dyDescent="0.25">
      <c r="A29" s="19"/>
      <c r="B29" s="19" t="s">
        <v>32</v>
      </c>
      <c r="C29" s="19" t="s">
        <v>423</v>
      </c>
      <c r="D29" s="19" t="s">
        <v>424</v>
      </c>
      <c r="E29" s="19" t="s">
        <v>425</v>
      </c>
      <c r="F29" s="20">
        <v>4</v>
      </c>
      <c r="G29" s="20">
        <v>775</v>
      </c>
      <c r="H29" s="20">
        <v>25</v>
      </c>
      <c r="I29" s="20">
        <f t="shared" si="0"/>
        <v>750</v>
      </c>
      <c r="J29" s="19" t="s">
        <v>169</v>
      </c>
      <c r="K29" s="19" t="s">
        <v>37</v>
      </c>
      <c r="L29" s="19" t="s">
        <v>349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426</v>
      </c>
      <c r="D30" s="19" t="s">
        <v>427</v>
      </c>
      <c r="E30" s="19" t="s">
        <v>428</v>
      </c>
      <c r="F30" s="19" t="s">
        <v>173</v>
      </c>
      <c r="G30" s="20">
        <v>1825</v>
      </c>
      <c r="H30" s="20">
        <v>25</v>
      </c>
      <c r="I30" s="20">
        <f t="shared" si="0"/>
        <v>1800</v>
      </c>
      <c r="J30" s="19" t="s">
        <v>169</v>
      </c>
      <c r="K30" s="19" t="s">
        <v>37</v>
      </c>
      <c r="L30" s="19" t="s">
        <v>349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429</v>
      </c>
      <c r="D31" s="19" t="s">
        <v>430</v>
      </c>
      <c r="E31" s="19" t="s">
        <v>431</v>
      </c>
      <c r="F31" s="20">
        <v>10</v>
      </c>
      <c r="G31" s="20">
        <v>0</v>
      </c>
      <c r="H31" s="20">
        <v>25</v>
      </c>
      <c r="I31" s="20">
        <f t="shared" si="0"/>
        <v>-25</v>
      </c>
      <c r="J31" s="19" t="s">
        <v>169</v>
      </c>
      <c r="K31" s="19" t="s">
        <v>37</v>
      </c>
      <c r="L31" s="19" t="s">
        <v>349</v>
      </c>
      <c r="M31" s="19"/>
      <c r="N31" s="19"/>
      <c r="O31" s="19"/>
      <c r="P31" s="19"/>
      <c r="Q31" s="19">
        <v>1</v>
      </c>
      <c r="R31" s="21">
        <f>H31</f>
        <v>25</v>
      </c>
    </row>
    <row r="32" spans="1:18" customFormat="1" x14ac:dyDescent="0.25">
      <c r="A32" s="19"/>
      <c r="B32" s="19" t="s">
        <v>32</v>
      </c>
      <c r="C32" s="19" t="s">
        <v>334</v>
      </c>
      <c r="D32" s="19" t="s">
        <v>432</v>
      </c>
      <c r="E32" s="19" t="s">
        <v>433</v>
      </c>
      <c r="F32" s="19" t="s">
        <v>173</v>
      </c>
      <c r="G32" s="20">
        <v>915</v>
      </c>
      <c r="H32" s="20">
        <v>25</v>
      </c>
      <c r="I32" s="20">
        <f t="shared" si="0"/>
        <v>890</v>
      </c>
      <c r="J32" s="19" t="s">
        <v>169</v>
      </c>
      <c r="K32" s="19" t="s">
        <v>37</v>
      </c>
      <c r="L32" s="19" t="s">
        <v>349</v>
      </c>
      <c r="M32" s="19"/>
      <c r="N32" s="19"/>
      <c r="O32" s="19"/>
      <c r="P32" s="19"/>
      <c r="Q32" s="19">
        <v>1</v>
      </c>
    </row>
    <row r="33" spans="1:18" customFormat="1" x14ac:dyDescent="0.25">
      <c r="A33" s="19"/>
      <c r="B33" s="19" t="s">
        <v>32</v>
      </c>
      <c r="C33" s="19" t="s">
        <v>434</v>
      </c>
      <c r="D33" s="19" t="s">
        <v>435</v>
      </c>
      <c r="E33" s="19" t="s">
        <v>320</v>
      </c>
      <c r="F33" s="20">
        <v>8</v>
      </c>
      <c r="G33" s="20">
        <v>2790</v>
      </c>
      <c r="H33" s="20">
        <v>30</v>
      </c>
      <c r="I33" s="20">
        <f t="shared" si="0"/>
        <v>2760</v>
      </c>
      <c r="J33" s="19" t="s">
        <v>169</v>
      </c>
      <c r="K33" s="19" t="s">
        <v>37</v>
      </c>
      <c r="L33" s="19" t="s">
        <v>349</v>
      </c>
      <c r="M33" s="22" t="s">
        <v>183</v>
      </c>
      <c r="N33" s="19"/>
      <c r="O33" s="19"/>
      <c r="P33" s="19"/>
      <c r="Q33" s="19">
        <v>1</v>
      </c>
      <c r="R33" s="21">
        <f>H33</f>
        <v>30</v>
      </c>
    </row>
    <row r="34" spans="1:18" customFormat="1" x14ac:dyDescent="0.25">
      <c r="A34" s="19"/>
      <c r="B34" s="19" t="s">
        <v>32</v>
      </c>
      <c r="C34" s="19" t="s">
        <v>321</v>
      </c>
      <c r="D34" s="19" t="s">
        <v>436</v>
      </c>
      <c r="E34" s="19" t="s">
        <v>437</v>
      </c>
      <c r="F34" s="20">
        <v>10</v>
      </c>
      <c r="G34" s="20">
        <v>185</v>
      </c>
      <c r="H34" s="20">
        <v>25</v>
      </c>
      <c r="I34" s="20">
        <f t="shared" si="0"/>
        <v>160</v>
      </c>
      <c r="J34" s="19" t="s">
        <v>169</v>
      </c>
      <c r="K34" s="19" t="s">
        <v>37</v>
      </c>
      <c r="L34" s="19" t="s">
        <v>349</v>
      </c>
      <c r="M34" s="22" t="s">
        <v>438</v>
      </c>
      <c r="N34" s="19"/>
      <c r="O34" s="19"/>
      <c r="P34" s="19"/>
      <c r="Q34" s="19">
        <v>1</v>
      </c>
      <c r="R34" s="21">
        <f t="shared" ref="R34:R35" si="3">H34</f>
        <v>25</v>
      </c>
    </row>
    <row r="35" spans="1:18" customFormat="1" x14ac:dyDescent="0.25">
      <c r="A35" s="19"/>
      <c r="B35" s="19" t="s">
        <v>32</v>
      </c>
      <c r="C35" s="19" t="s">
        <v>321</v>
      </c>
      <c r="D35" s="19" t="s">
        <v>439</v>
      </c>
      <c r="E35" s="19" t="s">
        <v>323</v>
      </c>
      <c r="F35" s="20">
        <v>10</v>
      </c>
      <c r="G35" s="20">
        <v>0</v>
      </c>
      <c r="H35" s="20">
        <v>0</v>
      </c>
      <c r="I35" s="20">
        <f t="shared" si="0"/>
        <v>0</v>
      </c>
      <c r="J35" s="19" t="s">
        <v>169</v>
      </c>
      <c r="K35" s="19" t="s">
        <v>37</v>
      </c>
      <c r="L35" s="19" t="s">
        <v>349</v>
      </c>
      <c r="M35" s="22" t="s">
        <v>438</v>
      </c>
      <c r="N35" s="19"/>
      <c r="O35" s="19"/>
      <c r="P35" s="19"/>
      <c r="Q35" s="19">
        <v>1</v>
      </c>
      <c r="R35" s="21">
        <f t="shared" si="3"/>
        <v>0</v>
      </c>
    </row>
    <row r="36" spans="1:18" customFormat="1" x14ac:dyDescent="0.25">
      <c r="A36" s="19"/>
      <c r="B36" s="19" t="s">
        <v>32</v>
      </c>
      <c r="C36" s="19" t="s">
        <v>331</v>
      </c>
      <c r="D36" s="19" t="s">
        <v>440</v>
      </c>
      <c r="E36" s="19" t="s">
        <v>441</v>
      </c>
      <c r="F36" s="19" t="s">
        <v>173</v>
      </c>
      <c r="G36" s="20">
        <v>845</v>
      </c>
      <c r="H36" s="20">
        <v>25</v>
      </c>
      <c r="I36" s="20">
        <f t="shared" si="0"/>
        <v>820</v>
      </c>
      <c r="J36" s="19" t="s">
        <v>169</v>
      </c>
      <c r="K36" s="19" t="s">
        <v>37</v>
      </c>
      <c r="L36" s="19" t="s">
        <v>349</v>
      </c>
      <c r="M36" s="19"/>
      <c r="N36" s="19"/>
      <c r="O36" s="19"/>
      <c r="P36" s="19"/>
      <c r="Q36" s="19">
        <v>1</v>
      </c>
    </row>
    <row r="37" spans="1:18" customFormat="1" x14ac:dyDescent="0.25">
      <c r="A37" s="19"/>
      <c r="B37" s="19" t="s">
        <v>32</v>
      </c>
      <c r="C37" s="19" t="s">
        <v>72</v>
      </c>
      <c r="D37" s="19" t="s">
        <v>442</v>
      </c>
      <c r="E37" s="19" t="s">
        <v>443</v>
      </c>
      <c r="F37" s="19" t="s">
        <v>173</v>
      </c>
      <c r="G37" s="20">
        <v>915</v>
      </c>
      <c r="H37" s="20">
        <v>25</v>
      </c>
      <c r="I37" s="20">
        <f t="shared" si="0"/>
        <v>890</v>
      </c>
      <c r="J37" s="19" t="s">
        <v>169</v>
      </c>
      <c r="K37" s="19" t="s">
        <v>37</v>
      </c>
      <c r="L37" s="19" t="s">
        <v>349</v>
      </c>
      <c r="M37" s="19"/>
      <c r="N37" s="19"/>
      <c r="O37" s="19"/>
      <c r="P37" s="19"/>
      <c r="Q37" s="19">
        <v>1</v>
      </c>
    </row>
    <row r="38" spans="1:18" customFormat="1" x14ac:dyDescent="0.25">
      <c r="A38" s="19" t="s">
        <v>107</v>
      </c>
      <c r="B38" s="19" t="s">
        <v>32</v>
      </c>
      <c r="C38" s="19" t="s">
        <v>444</v>
      </c>
      <c r="D38" s="19"/>
      <c r="E38" s="19" t="s">
        <v>445</v>
      </c>
      <c r="F38" s="19" t="s">
        <v>173</v>
      </c>
      <c r="G38" s="20">
        <v>0</v>
      </c>
      <c r="H38" s="20">
        <v>30</v>
      </c>
      <c r="I38" s="20">
        <f t="shared" si="0"/>
        <v>-30</v>
      </c>
      <c r="J38" s="19" t="s">
        <v>169</v>
      </c>
      <c r="K38" s="19" t="s">
        <v>37</v>
      </c>
      <c r="L38" s="19" t="s">
        <v>349</v>
      </c>
      <c r="M38" s="19"/>
      <c r="N38" s="19"/>
      <c r="O38" s="19"/>
      <c r="P38" s="19"/>
      <c r="Q38" s="19">
        <v>1</v>
      </c>
      <c r="R38" s="21">
        <f>H38</f>
        <v>30</v>
      </c>
    </row>
    <row r="40" spans="1:18" x14ac:dyDescent="0.25">
      <c r="G40" s="1">
        <f t="shared" ref="G40:R40" si="4">SUBTOTAL(9,G3:G38)</f>
        <v>22845</v>
      </c>
      <c r="H40" s="1">
        <f t="shared" si="4"/>
        <v>945</v>
      </c>
      <c r="I40" s="1">
        <f t="shared" si="4"/>
        <v>21900</v>
      </c>
      <c r="J40" s="1">
        <f t="shared" si="4"/>
        <v>0</v>
      </c>
      <c r="K40" s="1">
        <f t="shared" si="4"/>
        <v>0</v>
      </c>
      <c r="L40" s="1">
        <f t="shared" si="4"/>
        <v>0</v>
      </c>
      <c r="M40" s="1">
        <f t="shared" si="4"/>
        <v>0</v>
      </c>
      <c r="N40" s="1">
        <f t="shared" si="4"/>
        <v>0</v>
      </c>
      <c r="O40" s="1">
        <f t="shared" si="4"/>
        <v>0</v>
      </c>
      <c r="P40" s="1">
        <f t="shared" si="4"/>
        <v>0</v>
      </c>
      <c r="Q40" s="1">
        <f t="shared" si="4"/>
        <v>36</v>
      </c>
      <c r="R40" s="1">
        <f t="shared" si="4"/>
        <v>420</v>
      </c>
    </row>
    <row r="41" spans="1:18" x14ac:dyDescent="0.25">
      <c r="I41" s="1">
        <v>-590</v>
      </c>
      <c r="J41" s="1" t="s">
        <v>446</v>
      </c>
    </row>
    <row r="44" spans="1:18" ht="20.25" customHeight="1" x14ac:dyDescent="0.3">
      <c r="H44" s="4" t="s">
        <v>265</v>
      </c>
      <c r="I44" s="5" t="s">
        <v>15</v>
      </c>
      <c r="J44" s="6" t="s">
        <v>16</v>
      </c>
    </row>
    <row r="45" spans="1:18" ht="15.75" customHeight="1" x14ac:dyDescent="0.25">
      <c r="H45" s="7" t="s">
        <v>17</v>
      </c>
      <c r="I45" s="8">
        <f>SUM(I39:I43)</f>
        <v>21310</v>
      </c>
      <c r="J45" s="8">
        <f>Q40</f>
        <v>36</v>
      </c>
    </row>
    <row r="46" spans="1:18" x14ac:dyDescent="0.25">
      <c r="H46" s="9" t="s">
        <v>18</v>
      </c>
      <c r="I46" s="10">
        <f>R40</f>
        <v>420</v>
      </c>
      <c r="J46" s="11"/>
    </row>
    <row r="47" spans="1:18" x14ac:dyDescent="0.25">
      <c r="H47" s="9" t="s">
        <v>19</v>
      </c>
      <c r="I47" s="10">
        <f>S39</f>
        <v>0</v>
      </c>
      <c r="J47" s="11"/>
    </row>
    <row r="48" spans="1:18" x14ac:dyDescent="0.25">
      <c r="H48" s="9" t="s">
        <v>20</v>
      </c>
      <c r="I48" s="10">
        <f>T39</f>
        <v>0</v>
      </c>
      <c r="J48" s="11"/>
    </row>
    <row r="49" spans="1:12" x14ac:dyDescent="0.25">
      <c r="H49" s="9" t="s">
        <v>21</v>
      </c>
      <c r="I49" s="10">
        <f>U39</f>
        <v>0</v>
      </c>
      <c r="J49" s="11"/>
    </row>
    <row r="50" spans="1:12" ht="15.75" customHeight="1" x14ac:dyDescent="0.25">
      <c r="H50" s="12" t="s">
        <v>22</v>
      </c>
      <c r="I50" s="13"/>
      <c r="J50" s="13"/>
    </row>
    <row r="51" spans="1:12" ht="15.75" customHeight="1" x14ac:dyDescent="0.25">
      <c r="H51" s="14" t="s">
        <v>23</v>
      </c>
      <c r="I51" s="13"/>
      <c r="J51" s="13"/>
    </row>
    <row r="52" spans="1:12" ht="21" customHeight="1" x14ac:dyDescent="0.35">
      <c r="H52" s="15" t="s">
        <v>24</v>
      </c>
      <c r="I52" s="16">
        <f>SUM(I45:I51)</f>
        <v>21730</v>
      </c>
      <c r="J52" s="16">
        <f>SUM(J45:J49)</f>
        <v>36</v>
      </c>
    </row>
    <row r="54" spans="1:12" x14ac:dyDescent="0.25">
      <c r="A54" s="1" t="s">
        <v>199</v>
      </c>
    </row>
    <row r="55" spans="1:12" x14ac:dyDescent="0.25">
      <c r="A55" s="27" t="s">
        <v>32</v>
      </c>
      <c r="B55" s="27" t="s">
        <v>374</v>
      </c>
      <c r="C55" s="27" t="s">
        <v>375</v>
      </c>
      <c r="D55" s="27" t="s">
        <v>376</v>
      </c>
      <c r="E55" s="27" t="s">
        <v>62</v>
      </c>
      <c r="F55" s="28">
        <v>1105</v>
      </c>
      <c r="G55" s="28">
        <v>0</v>
      </c>
      <c r="H55" s="28">
        <f>F55-G55</f>
        <v>1105</v>
      </c>
      <c r="I55" s="27" t="s">
        <v>348</v>
      </c>
      <c r="J55" s="27" t="s">
        <v>37</v>
      </c>
      <c r="K55" s="27" t="s">
        <v>349</v>
      </c>
      <c r="L55" s="22" t="s">
        <v>377</v>
      </c>
    </row>
    <row r="56" spans="1:12" x14ac:dyDescent="0.25">
      <c r="A56" s="27" t="s">
        <v>32</v>
      </c>
      <c r="B56" s="27" t="s">
        <v>402</v>
      </c>
      <c r="C56" s="27" t="s">
        <v>403</v>
      </c>
      <c r="D56" s="27" t="s">
        <v>404</v>
      </c>
      <c r="E56" s="27" t="s">
        <v>117</v>
      </c>
      <c r="F56" s="28">
        <v>845</v>
      </c>
      <c r="G56" s="28">
        <v>0</v>
      </c>
      <c r="H56" s="28">
        <f>F56-G56</f>
        <v>845</v>
      </c>
      <c r="I56" s="27" t="s">
        <v>37</v>
      </c>
      <c r="J56" s="27" t="s">
        <v>37</v>
      </c>
      <c r="K56" s="27" t="s">
        <v>349</v>
      </c>
      <c r="L56" s="22" t="s">
        <v>405</v>
      </c>
    </row>
  </sheetData>
  <autoFilter ref="A2:P38" xr:uid="{00000000-0009-0000-0000-000006000000}">
    <sortState xmlns:xlrd2="http://schemas.microsoft.com/office/spreadsheetml/2017/richdata2" ref="A3:P38">
      <sortCondition ref="J2:J38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5295-A2E7-41BC-9641-EC88802E51E5}">
  <dimension ref="A1:R54"/>
  <sheetViews>
    <sheetView topLeftCell="A35" zoomScale="82" zoomScaleNormal="80" workbookViewId="0">
      <selection activeCell="A53" sqref="A53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345</v>
      </c>
      <c r="C1" s="1" t="s">
        <v>346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450</v>
      </c>
      <c r="D3" s="19" t="s">
        <v>451</v>
      </c>
      <c r="E3" s="19" t="s">
        <v>452</v>
      </c>
      <c r="F3" s="19" t="s">
        <v>45</v>
      </c>
      <c r="G3" s="20">
        <v>970</v>
      </c>
      <c r="H3" s="20">
        <v>30</v>
      </c>
      <c r="I3" s="20">
        <f t="shared" ref="I3:I37" si="0">G3-H3</f>
        <v>940</v>
      </c>
      <c r="J3" s="19" t="s">
        <v>453</v>
      </c>
      <c r="K3" s="19" t="s">
        <v>37</v>
      </c>
      <c r="L3" s="19" t="s">
        <v>454</v>
      </c>
      <c r="M3" s="19"/>
      <c r="N3" s="19"/>
      <c r="O3" s="19"/>
      <c r="P3" s="19"/>
      <c r="Q3" s="19">
        <v>1</v>
      </c>
    </row>
    <row r="4" spans="1:18" customFormat="1" x14ac:dyDescent="0.25">
      <c r="A4" s="19"/>
      <c r="B4" s="19" t="s">
        <v>32</v>
      </c>
      <c r="C4" s="19" t="s">
        <v>455</v>
      </c>
      <c r="D4" s="19" t="s">
        <v>456</v>
      </c>
      <c r="E4" s="19" t="s">
        <v>457</v>
      </c>
      <c r="F4" s="19" t="s">
        <v>88</v>
      </c>
      <c r="G4" s="20">
        <v>865</v>
      </c>
      <c r="H4" s="20">
        <v>35</v>
      </c>
      <c r="I4" s="20">
        <f t="shared" si="0"/>
        <v>830</v>
      </c>
      <c r="J4" s="19" t="s">
        <v>453</v>
      </c>
      <c r="K4" s="19" t="s">
        <v>37</v>
      </c>
      <c r="L4" s="19" t="s">
        <v>454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458</v>
      </c>
      <c r="D5" s="19" t="s">
        <v>459</v>
      </c>
      <c r="E5" s="19" t="s">
        <v>460</v>
      </c>
      <c r="F5" s="19" t="s">
        <v>45</v>
      </c>
      <c r="G5" s="20">
        <v>890</v>
      </c>
      <c r="H5" s="20">
        <v>30</v>
      </c>
      <c r="I5" s="20">
        <f t="shared" si="0"/>
        <v>860</v>
      </c>
      <c r="J5" s="19" t="s">
        <v>453</v>
      </c>
      <c r="K5" s="19" t="s">
        <v>37</v>
      </c>
      <c r="L5" s="19" t="s">
        <v>454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381</v>
      </c>
      <c r="D6" s="19" t="s">
        <v>461</v>
      </c>
      <c r="E6" s="19" t="s">
        <v>462</v>
      </c>
      <c r="F6" s="20">
        <v>11</v>
      </c>
      <c r="G6" s="20">
        <v>35</v>
      </c>
      <c r="H6" s="20">
        <v>25</v>
      </c>
      <c r="I6" s="20">
        <f t="shared" si="0"/>
        <v>10</v>
      </c>
      <c r="J6" s="19" t="s">
        <v>453</v>
      </c>
      <c r="K6" s="19" t="s">
        <v>37</v>
      </c>
      <c r="L6" s="19" t="s">
        <v>454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463</v>
      </c>
      <c r="D7" s="19" t="s">
        <v>464</v>
      </c>
      <c r="E7" s="19" t="s">
        <v>465</v>
      </c>
      <c r="F7" s="19" t="s">
        <v>45</v>
      </c>
      <c r="G7" s="20">
        <v>0</v>
      </c>
      <c r="H7" s="20">
        <v>30</v>
      </c>
      <c r="I7" s="20">
        <f t="shared" si="0"/>
        <v>-30</v>
      </c>
      <c r="J7" s="19" t="s">
        <v>453</v>
      </c>
      <c r="K7" s="19" t="s">
        <v>37</v>
      </c>
      <c r="L7" s="19" t="s">
        <v>454</v>
      </c>
      <c r="M7" s="19"/>
      <c r="N7" s="19"/>
      <c r="O7" s="19"/>
      <c r="P7" s="19"/>
      <c r="Q7" s="19">
        <v>1</v>
      </c>
      <c r="R7" s="21">
        <f>H7</f>
        <v>30</v>
      </c>
    </row>
    <row r="8" spans="1:18" customFormat="1" x14ac:dyDescent="0.25">
      <c r="A8" s="19"/>
      <c r="B8" s="19" t="s">
        <v>32</v>
      </c>
      <c r="C8" s="19" t="s">
        <v>466</v>
      </c>
      <c r="D8" s="19" t="s">
        <v>467</v>
      </c>
      <c r="E8" s="19" t="s">
        <v>468</v>
      </c>
      <c r="F8" s="20">
        <v>8</v>
      </c>
      <c r="G8" s="20">
        <v>0</v>
      </c>
      <c r="H8" s="20">
        <v>30</v>
      </c>
      <c r="I8" s="20">
        <f t="shared" si="0"/>
        <v>-30</v>
      </c>
      <c r="J8" s="19" t="s">
        <v>453</v>
      </c>
      <c r="K8" s="19" t="s">
        <v>37</v>
      </c>
      <c r="L8" s="19" t="s">
        <v>454</v>
      </c>
      <c r="M8" s="22" t="s">
        <v>469</v>
      </c>
      <c r="N8" s="19"/>
      <c r="O8" s="19"/>
      <c r="P8" s="19"/>
      <c r="Q8" s="19">
        <v>1</v>
      </c>
      <c r="R8" s="21">
        <f>H8</f>
        <v>30</v>
      </c>
    </row>
    <row r="9" spans="1:18" customFormat="1" x14ac:dyDescent="0.25">
      <c r="A9" s="19"/>
      <c r="B9" s="19" t="s">
        <v>32</v>
      </c>
      <c r="C9" s="19" t="s">
        <v>470</v>
      </c>
      <c r="D9" s="19" t="s">
        <v>471</v>
      </c>
      <c r="E9" s="19" t="s">
        <v>472</v>
      </c>
      <c r="F9" s="20">
        <v>7</v>
      </c>
      <c r="G9" s="20">
        <v>950</v>
      </c>
      <c r="H9" s="20">
        <v>30</v>
      </c>
      <c r="I9" s="20">
        <f t="shared" si="0"/>
        <v>920</v>
      </c>
      <c r="J9" s="19" t="s">
        <v>453</v>
      </c>
      <c r="K9" s="19" t="s">
        <v>37</v>
      </c>
      <c r="L9" s="19" t="s">
        <v>454</v>
      </c>
      <c r="M9" s="19"/>
      <c r="N9" s="19"/>
      <c r="O9" s="19"/>
      <c r="P9" s="19"/>
      <c r="Q9" s="19">
        <v>1</v>
      </c>
    </row>
    <row r="10" spans="1:18" customFormat="1" x14ac:dyDescent="0.25">
      <c r="A10" s="19"/>
      <c r="B10" s="19" t="s">
        <v>32</v>
      </c>
      <c r="C10" s="19" t="s">
        <v>473</v>
      </c>
      <c r="D10" s="19" t="s">
        <v>474</v>
      </c>
      <c r="E10" s="19" t="s">
        <v>475</v>
      </c>
      <c r="F10" s="20">
        <v>8</v>
      </c>
      <c r="G10" s="20">
        <v>970</v>
      </c>
      <c r="H10" s="20">
        <v>30</v>
      </c>
      <c r="I10" s="20">
        <f t="shared" si="0"/>
        <v>940</v>
      </c>
      <c r="J10" s="19" t="s">
        <v>453</v>
      </c>
      <c r="K10" s="19" t="s">
        <v>37</v>
      </c>
      <c r="L10" s="19" t="s">
        <v>454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476</v>
      </c>
      <c r="D11" s="19" t="s">
        <v>477</v>
      </c>
      <c r="E11" s="19" t="s">
        <v>478</v>
      </c>
      <c r="F11" s="19" t="s">
        <v>62</v>
      </c>
      <c r="G11" s="20">
        <v>0</v>
      </c>
      <c r="H11" s="20">
        <v>25</v>
      </c>
      <c r="I11" s="20">
        <f t="shared" si="0"/>
        <v>-25</v>
      </c>
      <c r="J11" s="19" t="s">
        <v>453</v>
      </c>
      <c r="K11" s="19" t="s">
        <v>37</v>
      </c>
      <c r="L11" s="19" t="s">
        <v>454</v>
      </c>
      <c r="M11" s="19"/>
      <c r="N11" s="19"/>
      <c r="O11" s="19"/>
      <c r="P11" s="19"/>
      <c r="Q11" s="19">
        <v>1</v>
      </c>
      <c r="R11" s="21">
        <f>H11</f>
        <v>25</v>
      </c>
    </row>
    <row r="12" spans="1:18" customFormat="1" x14ac:dyDescent="0.25">
      <c r="A12" s="19"/>
      <c r="B12" s="19" t="s">
        <v>32</v>
      </c>
      <c r="C12" s="19" t="s">
        <v>479</v>
      </c>
      <c r="D12" s="19" t="s">
        <v>480</v>
      </c>
      <c r="E12" s="19" t="s">
        <v>481</v>
      </c>
      <c r="F12" s="19" t="s">
        <v>62</v>
      </c>
      <c r="G12" s="20">
        <v>1805</v>
      </c>
      <c r="H12" s="20">
        <v>25</v>
      </c>
      <c r="I12" s="20">
        <f t="shared" si="0"/>
        <v>1780</v>
      </c>
      <c r="J12" s="19" t="s">
        <v>453</v>
      </c>
      <c r="K12" s="19" t="s">
        <v>37</v>
      </c>
      <c r="L12" s="19" t="s">
        <v>454</v>
      </c>
      <c r="M12" s="19"/>
      <c r="N12" s="19"/>
      <c r="O12" s="19"/>
      <c r="P12" s="19"/>
      <c r="Q12" s="19">
        <v>1</v>
      </c>
    </row>
    <row r="13" spans="1:18" customFormat="1" x14ac:dyDescent="0.25">
      <c r="A13" s="19"/>
      <c r="B13" s="19" t="s">
        <v>32</v>
      </c>
      <c r="C13" s="19" t="s">
        <v>482</v>
      </c>
      <c r="D13" s="19" t="s">
        <v>483</v>
      </c>
      <c r="E13" s="19" t="s">
        <v>484</v>
      </c>
      <c r="F13" s="19" t="s">
        <v>45</v>
      </c>
      <c r="G13" s="20">
        <v>890</v>
      </c>
      <c r="H13" s="20">
        <v>30</v>
      </c>
      <c r="I13" s="20">
        <f t="shared" si="0"/>
        <v>860</v>
      </c>
      <c r="J13" s="19" t="s">
        <v>453</v>
      </c>
      <c r="K13" s="19" t="s">
        <v>37</v>
      </c>
      <c r="L13" s="19" t="s">
        <v>454</v>
      </c>
      <c r="M13" s="19"/>
      <c r="N13" s="19"/>
      <c r="O13" s="19"/>
      <c r="P13" s="19"/>
      <c r="Q13" s="19">
        <v>1</v>
      </c>
    </row>
    <row r="14" spans="1:18" customFormat="1" x14ac:dyDescent="0.25">
      <c r="A14" s="19"/>
      <c r="B14" s="19" t="s">
        <v>32</v>
      </c>
      <c r="C14" s="19" t="s">
        <v>485</v>
      </c>
      <c r="D14" s="19" t="s">
        <v>486</v>
      </c>
      <c r="E14" s="19" t="s">
        <v>487</v>
      </c>
      <c r="F14" s="20">
        <v>8</v>
      </c>
      <c r="G14" s="20">
        <v>770</v>
      </c>
      <c r="H14" s="20">
        <v>30</v>
      </c>
      <c r="I14" s="20">
        <f t="shared" si="0"/>
        <v>740</v>
      </c>
      <c r="J14" s="19" t="s">
        <v>453</v>
      </c>
      <c r="K14" s="19" t="s">
        <v>37</v>
      </c>
      <c r="L14" s="19" t="s">
        <v>454</v>
      </c>
      <c r="M14" s="19"/>
      <c r="N14" s="19"/>
      <c r="O14" s="19"/>
      <c r="P14" s="19"/>
      <c r="Q14" s="19">
        <v>1</v>
      </c>
    </row>
    <row r="15" spans="1:18" customFormat="1" x14ac:dyDescent="0.25">
      <c r="A15" s="19"/>
      <c r="B15" s="19" t="s">
        <v>32</v>
      </c>
      <c r="C15" s="19" t="s">
        <v>488</v>
      </c>
      <c r="D15" s="19" t="s">
        <v>489</v>
      </c>
      <c r="E15" s="19" t="s">
        <v>465</v>
      </c>
      <c r="F15" s="19" t="s">
        <v>45</v>
      </c>
      <c r="G15" s="20">
        <v>0</v>
      </c>
      <c r="H15" s="20">
        <v>30</v>
      </c>
      <c r="I15" s="20">
        <f t="shared" si="0"/>
        <v>-30</v>
      </c>
      <c r="J15" s="19" t="s">
        <v>453</v>
      </c>
      <c r="K15" s="19" t="s">
        <v>37</v>
      </c>
      <c r="L15" s="19" t="s">
        <v>454</v>
      </c>
      <c r="M15" s="19"/>
      <c r="N15" s="19"/>
      <c r="O15" s="19"/>
      <c r="P15" s="19"/>
      <c r="Q15" s="19">
        <v>1</v>
      </c>
      <c r="R15" s="21">
        <f t="shared" ref="R15:R16" si="1">H15</f>
        <v>30</v>
      </c>
    </row>
    <row r="16" spans="1:18" customFormat="1" x14ac:dyDescent="0.25">
      <c r="A16" s="19" t="s">
        <v>107</v>
      </c>
      <c r="B16" s="19" t="s">
        <v>32</v>
      </c>
      <c r="C16" s="19" t="s">
        <v>490</v>
      </c>
      <c r="D16" s="19"/>
      <c r="E16" s="19" t="s">
        <v>491</v>
      </c>
      <c r="F16" s="19" t="s">
        <v>173</v>
      </c>
      <c r="G16" s="20">
        <v>0</v>
      </c>
      <c r="H16" s="20">
        <v>30</v>
      </c>
      <c r="I16" s="20">
        <f t="shared" si="0"/>
        <v>-30</v>
      </c>
      <c r="J16" s="19" t="s">
        <v>37</v>
      </c>
      <c r="K16" s="19" t="s">
        <v>37</v>
      </c>
      <c r="L16" s="19" t="s">
        <v>454</v>
      </c>
      <c r="M16" s="19"/>
      <c r="N16" s="19"/>
      <c r="O16" s="19"/>
      <c r="P16" s="19"/>
      <c r="Q16" s="19">
        <v>1</v>
      </c>
      <c r="R16" s="21">
        <f t="shared" si="1"/>
        <v>30</v>
      </c>
    </row>
    <row r="17" spans="1:18" customFormat="1" x14ac:dyDescent="0.25">
      <c r="A17" s="19"/>
      <c r="B17" s="19" t="s">
        <v>32</v>
      </c>
      <c r="C17" s="19" t="s">
        <v>492</v>
      </c>
      <c r="D17" s="19" t="s">
        <v>493</v>
      </c>
      <c r="E17" s="19" t="s">
        <v>494</v>
      </c>
      <c r="F17" s="19" t="s">
        <v>117</v>
      </c>
      <c r="G17" s="20">
        <v>1505</v>
      </c>
      <c r="H17" s="20">
        <v>25</v>
      </c>
      <c r="I17" s="20">
        <f t="shared" si="0"/>
        <v>1480</v>
      </c>
      <c r="J17" s="19" t="s">
        <v>37</v>
      </c>
      <c r="K17" s="19" t="s">
        <v>37</v>
      </c>
      <c r="L17" s="19" t="s">
        <v>454</v>
      </c>
      <c r="M17" s="19"/>
      <c r="N17" s="19"/>
      <c r="O17" s="19"/>
      <c r="P17" s="19"/>
      <c r="Q17" s="19">
        <v>1</v>
      </c>
    </row>
    <row r="18" spans="1:18" customFormat="1" x14ac:dyDescent="0.25">
      <c r="A18" s="19"/>
      <c r="B18" s="19" t="s">
        <v>32</v>
      </c>
      <c r="C18" s="19" t="s">
        <v>495</v>
      </c>
      <c r="D18" s="19" t="s">
        <v>496</v>
      </c>
      <c r="E18" s="19" t="s">
        <v>497</v>
      </c>
      <c r="F18" s="19" t="s">
        <v>117</v>
      </c>
      <c r="G18" s="20">
        <v>915</v>
      </c>
      <c r="H18" s="20">
        <v>25</v>
      </c>
      <c r="I18" s="20">
        <f t="shared" si="0"/>
        <v>890</v>
      </c>
      <c r="J18" s="19" t="s">
        <v>37</v>
      </c>
      <c r="K18" s="19" t="s">
        <v>37</v>
      </c>
      <c r="L18" s="19" t="s">
        <v>454</v>
      </c>
      <c r="M18" s="19"/>
      <c r="N18" s="19"/>
      <c r="O18" s="19"/>
      <c r="P18" s="19"/>
      <c r="Q18" s="19">
        <v>1</v>
      </c>
    </row>
    <row r="19" spans="1:18" customFormat="1" x14ac:dyDescent="0.25">
      <c r="A19" s="19"/>
      <c r="B19" s="19" t="s">
        <v>32</v>
      </c>
      <c r="C19" s="19" t="s">
        <v>498</v>
      </c>
      <c r="D19" s="19" t="s">
        <v>499</v>
      </c>
      <c r="E19" s="19" t="s">
        <v>500</v>
      </c>
      <c r="F19" s="20">
        <v>2</v>
      </c>
      <c r="G19" s="20">
        <v>1870</v>
      </c>
      <c r="H19" s="20">
        <v>30</v>
      </c>
      <c r="I19" s="20">
        <f t="shared" si="0"/>
        <v>1840</v>
      </c>
      <c r="J19" s="19" t="s">
        <v>37</v>
      </c>
      <c r="K19" s="19" t="s">
        <v>37</v>
      </c>
      <c r="L19" s="19" t="s">
        <v>454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19" t="s">
        <v>501</v>
      </c>
      <c r="D20" s="19" t="s">
        <v>502</v>
      </c>
      <c r="E20" s="19" t="s">
        <v>503</v>
      </c>
      <c r="F20" s="20">
        <v>12</v>
      </c>
      <c r="G20" s="20">
        <v>30</v>
      </c>
      <c r="H20" s="20">
        <v>30</v>
      </c>
      <c r="I20" s="20">
        <f t="shared" si="0"/>
        <v>0</v>
      </c>
      <c r="J20" s="19" t="s">
        <v>37</v>
      </c>
      <c r="K20" s="19" t="s">
        <v>37</v>
      </c>
      <c r="L20" s="19" t="s">
        <v>454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504</v>
      </c>
      <c r="D21" s="19" t="s">
        <v>505</v>
      </c>
      <c r="E21" s="19" t="s">
        <v>506</v>
      </c>
      <c r="F21" s="20">
        <v>12</v>
      </c>
      <c r="G21" s="20">
        <v>0</v>
      </c>
      <c r="H21" s="20">
        <v>30</v>
      </c>
      <c r="I21" s="20">
        <f t="shared" si="0"/>
        <v>-30</v>
      </c>
      <c r="J21" s="19" t="s">
        <v>37</v>
      </c>
      <c r="K21" s="19" t="s">
        <v>37</v>
      </c>
      <c r="L21" s="19" t="s">
        <v>454</v>
      </c>
      <c r="M21" s="19"/>
      <c r="N21" s="19"/>
      <c r="O21" s="19"/>
      <c r="P21" s="19"/>
      <c r="Q21" s="19">
        <v>1</v>
      </c>
      <c r="R21" s="21">
        <f t="shared" ref="R21:R23" si="2">H21</f>
        <v>30</v>
      </c>
    </row>
    <row r="22" spans="1:18" customFormat="1" x14ac:dyDescent="0.25">
      <c r="A22" s="19"/>
      <c r="B22" s="19" t="s">
        <v>32</v>
      </c>
      <c r="C22" s="19" t="s">
        <v>507</v>
      </c>
      <c r="D22" s="19" t="s">
        <v>508</v>
      </c>
      <c r="E22" s="19" t="s">
        <v>509</v>
      </c>
      <c r="F22" s="19" t="s">
        <v>124</v>
      </c>
      <c r="G22" s="20">
        <v>0</v>
      </c>
      <c r="H22" s="20">
        <v>20</v>
      </c>
      <c r="I22" s="20">
        <f t="shared" si="0"/>
        <v>-20</v>
      </c>
      <c r="J22" s="19" t="s">
        <v>37</v>
      </c>
      <c r="K22" s="19" t="s">
        <v>37</v>
      </c>
      <c r="L22" s="19" t="s">
        <v>454</v>
      </c>
      <c r="M22" s="19"/>
      <c r="N22" s="19"/>
      <c r="O22" s="19"/>
      <c r="P22" s="19"/>
      <c r="Q22" s="19">
        <v>1</v>
      </c>
      <c r="R22" s="21">
        <f t="shared" si="2"/>
        <v>20</v>
      </c>
    </row>
    <row r="23" spans="1:18" customFormat="1" x14ac:dyDescent="0.25">
      <c r="A23" s="19"/>
      <c r="B23" s="19" t="s">
        <v>32</v>
      </c>
      <c r="C23" s="19" t="s">
        <v>510</v>
      </c>
      <c r="D23" s="19" t="s">
        <v>511</v>
      </c>
      <c r="E23" s="19" t="s">
        <v>512</v>
      </c>
      <c r="F23" s="19" t="s">
        <v>173</v>
      </c>
      <c r="G23" s="20">
        <v>0</v>
      </c>
      <c r="H23" s="20">
        <v>25</v>
      </c>
      <c r="I23" s="20">
        <f t="shared" si="0"/>
        <v>-25</v>
      </c>
      <c r="J23" s="19" t="s">
        <v>37</v>
      </c>
      <c r="K23" s="19" t="s">
        <v>37</v>
      </c>
      <c r="L23" s="19" t="s">
        <v>454</v>
      </c>
      <c r="M23" s="19"/>
      <c r="N23" s="19"/>
      <c r="O23" s="19"/>
      <c r="P23" s="19"/>
      <c r="Q23" s="19">
        <v>1</v>
      </c>
      <c r="R23" s="21">
        <f t="shared" si="2"/>
        <v>25</v>
      </c>
    </row>
    <row r="24" spans="1:18" customFormat="1" x14ac:dyDescent="0.25">
      <c r="A24" s="19"/>
      <c r="B24" s="19" t="s">
        <v>32</v>
      </c>
      <c r="C24" s="19" t="s">
        <v>513</v>
      </c>
      <c r="D24" s="19" t="s">
        <v>514</v>
      </c>
      <c r="E24" s="19" t="s">
        <v>515</v>
      </c>
      <c r="F24" s="19" t="s">
        <v>124</v>
      </c>
      <c r="G24" s="20">
        <v>1850</v>
      </c>
      <c r="H24" s="20">
        <v>20</v>
      </c>
      <c r="I24" s="20">
        <f t="shared" si="0"/>
        <v>1830</v>
      </c>
      <c r="J24" s="19" t="s">
        <v>37</v>
      </c>
      <c r="K24" s="19" t="s">
        <v>37</v>
      </c>
      <c r="L24" s="19" t="s">
        <v>454</v>
      </c>
      <c r="M24" s="19"/>
      <c r="N24" s="19"/>
      <c r="O24" s="19"/>
      <c r="P24" s="19"/>
      <c r="Q24" s="19">
        <v>1</v>
      </c>
    </row>
    <row r="25" spans="1:18" customFormat="1" x14ac:dyDescent="0.25">
      <c r="A25" s="19"/>
      <c r="B25" s="19" t="s">
        <v>32</v>
      </c>
      <c r="C25" s="19" t="s">
        <v>516</v>
      </c>
      <c r="D25" s="19" t="s">
        <v>517</v>
      </c>
      <c r="E25" s="19" t="s">
        <v>518</v>
      </c>
      <c r="F25" s="20">
        <v>2</v>
      </c>
      <c r="G25" s="20">
        <v>0</v>
      </c>
      <c r="H25" s="20">
        <v>30</v>
      </c>
      <c r="I25" s="20">
        <f t="shared" si="0"/>
        <v>-30</v>
      </c>
      <c r="J25" s="19" t="s">
        <v>37</v>
      </c>
      <c r="K25" s="19" t="s">
        <v>37</v>
      </c>
      <c r="L25" s="19" t="s">
        <v>454</v>
      </c>
      <c r="M25" s="19"/>
      <c r="N25" s="19"/>
      <c r="O25" s="19"/>
      <c r="P25" s="19"/>
      <c r="Q25" s="19">
        <v>1</v>
      </c>
      <c r="R25" s="21">
        <f>H25</f>
        <v>30</v>
      </c>
    </row>
    <row r="26" spans="1:18" customFormat="1" x14ac:dyDescent="0.25">
      <c r="A26" s="19" t="s">
        <v>107</v>
      </c>
      <c r="B26" s="19" t="s">
        <v>32</v>
      </c>
      <c r="C26" s="19" t="s">
        <v>519</v>
      </c>
      <c r="D26" s="19"/>
      <c r="E26" s="19" t="s">
        <v>520</v>
      </c>
      <c r="F26" s="19" t="s">
        <v>317</v>
      </c>
      <c r="G26" s="20">
        <v>25</v>
      </c>
      <c r="H26" s="20">
        <v>25</v>
      </c>
      <c r="I26" s="20">
        <f t="shared" si="0"/>
        <v>0</v>
      </c>
      <c r="J26" s="19" t="s">
        <v>169</v>
      </c>
      <c r="K26" s="19" t="s">
        <v>37</v>
      </c>
      <c r="L26" s="19" t="s">
        <v>454</v>
      </c>
      <c r="M26" s="19"/>
      <c r="N26" s="19"/>
      <c r="O26" s="19"/>
      <c r="P26" s="19"/>
      <c r="Q26" s="19">
        <v>1</v>
      </c>
    </row>
    <row r="27" spans="1:18" customFormat="1" x14ac:dyDescent="0.25">
      <c r="A27" s="19"/>
      <c r="B27" s="19" t="s">
        <v>32</v>
      </c>
      <c r="C27" s="19" t="s">
        <v>521</v>
      </c>
      <c r="D27" s="19" t="s">
        <v>522</v>
      </c>
      <c r="E27" s="19" t="s">
        <v>523</v>
      </c>
      <c r="F27" s="19" t="s">
        <v>88</v>
      </c>
      <c r="G27" s="20">
        <v>925</v>
      </c>
      <c r="H27" s="20">
        <v>35</v>
      </c>
      <c r="I27" s="20">
        <f t="shared" si="0"/>
        <v>890</v>
      </c>
      <c r="J27" s="19" t="s">
        <v>169</v>
      </c>
      <c r="K27" s="19" t="s">
        <v>37</v>
      </c>
      <c r="L27" s="19" t="s">
        <v>454</v>
      </c>
      <c r="M27" s="19"/>
      <c r="N27" s="19"/>
      <c r="O27" s="19"/>
      <c r="P27" s="19"/>
      <c r="Q27" s="19">
        <v>1</v>
      </c>
    </row>
    <row r="28" spans="1:18" customFormat="1" x14ac:dyDescent="0.25">
      <c r="A28" s="19"/>
      <c r="B28" s="19" t="s">
        <v>32</v>
      </c>
      <c r="C28" s="19" t="s">
        <v>524</v>
      </c>
      <c r="D28" s="19" t="s">
        <v>525</v>
      </c>
      <c r="E28" s="19" t="s">
        <v>526</v>
      </c>
      <c r="F28" s="20">
        <v>10</v>
      </c>
      <c r="G28" s="20">
        <v>935</v>
      </c>
      <c r="H28" s="20">
        <v>25</v>
      </c>
      <c r="I28" s="20">
        <f t="shared" si="0"/>
        <v>910</v>
      </c>
      <c r="J28" s="19" t="s">
        <v>169</v>
      </c>
      <c r="K28" s="19" t="s">
        <v>37</v>
      </c>
      <c r="L28" s="19" t="s">
        <v>454</v>
      </c>
      <c r="M28" s="19"/>
      <c r="N28" s="19"/>
      <c r="O28" s="19"/>
      <c r="P28" s="19"/>
      <c r="Q28" s="19">
        <v>1</v>
      </c>
    </row>
    <row r="29" spans="1:18" customFormat="1" x14ac:dyDescent="0.25">
      <c r="A29" s="19"/>
      <c r="B29" s="19" t="s">
        <v>32</v>
      </c>
      <c r="C29" s="19" t="s">
        <v>527</v>
      </c>
      <c r="D29" s="19" t="s">
        <v>528</v>
      </c>
      <c r="E29" s="19" t="s">
        <v>529</v>
      </c>
      <c r="F29" s="19" t="s">
        <v>88</v>
      </c>
      <c r="G29" s="20">
        <v>475</v>
      </c>
      <c r="H29" s="20">
        <v>35</v>
      </c>
      <c r="I29" s="20">
        <f t="shared" si="0"/>
        <v>440</v>
      </c>
      <c r="J29" s="19" t="s">
        <v>169</v>
      </c>
      <c r="K29" s="19" t="s">
        <v>37</v>
      </c>
      <c r="L29" s="19" t="s">
        <v>454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530</v>
      </c>
      <c r="D30" s="19" t="s">
        <v>531</v>
      </c>
      <c r="E30" s="19" t="s">
        <v>532</v>
      </c>
      <c r="F30" s="20">
        <v>1</v>
      </c>
      <c r="G30" s="20">
        <v>805</v>
      </c>
      <c r="H30" s="20">
        <v>25</v>
      </c>
      <c r="I30" s="20">
        <f t="shared" si="0"/>
        <v>780</v>
      </c>
      <c r="J30" s="19" t="s">
        <v>169</v>
      </c>
      <c r="K30" s="19" t="s">
        <v>37</v>
      </c>
      <c r="L30" s="19" t="s">
        <v>454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533</v>
      </c>
      <c r="D31" s="19" t="s">
        <v>534</v>
      </c>
      <c r="E31" s="19" t="s">
        <v>535</v>
      </c>
      <c r="F31" s="20">
        <v>7</v>
      </c>
      <c r="G31" s="20">
        <v>1020</v>
      </c>
      <c r="H31" s="20">
        <v>30</v>
      </c>
      <c r="I31" s="20">
        <f t="shared" si="0"/>
        <v>990</v>
      </c>
      <c r="J31" s="19" t="s">
        <v>169</v>
      </c>
      <c r="K31" s="19" t="s">
        <v>37</v>
      </c>
      <c r="L31" s="19" t="s">
        <v>454</v>
      </c>
      <c r="M31" s="19"/>
      <c r="N31" s="19"/>
      <c r="O31" s="19"/>
      <c r="P31" s="19"/>
      <c r="Q31" s="19">
        <v>1</v>
      </c>
    </row>
    <row r="32" spans="1:18" customFormat="1" x14ac:dyDescent="0.25">
      <c r="A32" s="19"/>
      <c r="B32" s="19" t="s">
        <v>32</v>
      </c>
      <c r="C32" s="19" t="s">
        <v>536</v>
      </c>
      <c r="D32" s="19" t="s">
        <v>537</v>
      </c>
      <c r="E32" s="19" t="s">
        <v>538</v>
      </c>
      <c r="F32" s="20">
        <v>10</v>
      </c>
      <c r="G32" s="20">
        <v>845</v>
      </c>
      <c r="H32" s="20">
        <v>25</v>
      </c>
      <c r="I32" s="20">
        <f t="shared" si="0"/>
        <v>820</v>
      </c>
      <c r="J32" s="19" t="s">
        <v>169</v>
      </c>
      <c r="K32" s="19" t="s">
        <v>37</v>
      </c>
      <c r="L32" s="19" t="s">
        <v>454</v>
      </c>
      <c r="M32" s="19"/>
      <c r="N32" s="19"/>
      <c r="O32" s="19"/>
      <c r="P32" s="19"/>
      <c r="Q32" s="19">
        <v>1</v>
      </c>
    </row>
    <row r="33" spans="1:18" customFormat="1" x14ac:dyDescent="0.25">
      <c r="A33" s="19"/>
      <c r="B33" s="19" t="s">
        <v>32</v>
      </c>
      <c r="C33" s="19" t="s">
        <v>539</v>
      </c>
      <c r="D33" s="19" t="s">
        <v>540</v>
      </c>
      <c r="E33" s="19" t="s">
        <v>541</v>
      </c>
      <c r="F33" s="19" t="s">
        <v>317</v>
      </c>
      <c r="G33" s="20">
        <v>860</v>
      </c>
      <c r="H33" s="20">
        <v>20</v>
      </c>
      <c r="I33" s="20">
        <f t="shared" si="0"/>
        <v>840</v>
      </c>
      <c r="J33" s="19" t="s">
        <v>169</v>
      </c>
      <c r="K33" s="19" t="s">
        <v>37</v>
      </c>
      <c r="L33" s="19" t="s">
        <v>454</v>
      </c>
      <c r="M33" s="19"/>
      <c r="N33" s="19"/>
      <c r="O33" s="19"/>
      <c r="P33" s="19"/>
      <c r="Q33" s="19">
        <v>1</v>
      </c>
    </row>
    <row r="34" spans="1:18" customFormat="1" x14ac:dyDescent="0.25">
      <c r="A34" s="19"/>
      <c r="B34" s="19" t="s">
        <v>32</v>
      </c>
      <c r="C34" s="19" t="s">
        <v>542</v>
      </c>
      <c r="D34" s="19" t="s">
        <v>543</v>
      </c>
      <c r="E34" s="19" t="s">
        <v>544</v>
      </c>
      <c r="F34" s="19" t="s">
        <v>317</v>
      </c>
      <c r="G34" s="20">
        <v>3770</v>
      </c>
      <c r="H34" s="20">
        <v>30</v>
      </c>
      <c r="I34" s="20">
        <f t="shared" si="0"/>
        <v>3740</v>
      </c>
      <c r="J34" s="19" t="s">
        <v>169</v>
      </c>
      <c r="K34" s="19" t="s">
        <v>37</v>
      </c>
      <c r="L34" s="19" t="s">
        <v>454</v>
      </c>
      <c r="M34" s="22" t="s">
        <v>183</v>
      </c>
      <c r="N34" s="19"/>
      <c r="O34" s="19"/>
      <c r="P34" s="19"/>
      <c r="Q34" s="19">
        <v>1</v>
      </c>
      <c r="R34" s="21">
        <f>H34</f>
        <v>30</v>
      </c>
    </row>
    <row r="35" spans="1:18" customFormat="1" x14ac:dyDescent="0.25">
      <c r="A35" s="19"/>
      <c r="B35" s="19" t="s">
        <v>32</v>
      </c>
      <c r="C35" s="19" t="s">
        <v>545</v>
      </c>
      <c r="D35" s="19" t="s">
        <v>546</v>
      </c>
      <c r="E35" s="19" t="s">
        <v>547</v>
      </c>
      <c r="F35" s="19" t="s">
        <v>88</v>
      </c>
      <c r="G35" s="20">
        <v>405</v>
      </c>
      <c r="H35" s="20">
        <v>35</v>
      </c>
      <c r="I35" s="20">
        <f t="shared" si="0"/>
        <v>370</v>
      </c>
      <c r="J35" s="19" t="s">
        <v>169</v>
      </c>
      <c r="K35" s="19" t="s">
        <v>37</v>
      </c>
      <c r="L35" s="19" t="s">
        <v>454</v>
      </c>
      <c r="M35" s="19"/>
      <c r="N35" s="19"/>
      <c r="O35" s="19"/>
      <c r="P35" s="19"/>
      <c r="Q35" s="19">
        <v>1</v>
      </c>
    </row>
    <row r="36" spans="1:18" customFormat="1" x14ac:dyDescent="0.25">
      <c r="A36" s="19"/>
      <c r="B36" s="19" t="s">
        <v>32</v>
      </c>
      <c r="C36" s="19" t="s">
        <v>548</v>
      </c>
      <c r="D36" s="19" t="s">
        <v>549</v>
      </c>
      <c r="E36" s="19" t="s">
        <v>550</v>
      </c>
      <c r="F36" s="19" t="s">
        <v>317</v>
      </c>
      <c r="G36" s="20">
        <v>840</v>
      </c>
      <c r="H36" s="20">
        <v>20</v>
      </c>
      <c r="I36" s="20">
        <f t="shared" si="0"/>
        <v>820</v>
      </c>
      <c r="J36" s="19" t="s">
        <v>169</v>
      </c>
      <c r="K36" s="19" t="s">
        <v>37</v>
      </c>
      <c r="L36" s="19" t="s">
        <v>454</v>
      </c>
      <c r="M36" s="19"/>
      <c r="N36" s="19"/>
      <c r="O36" s="19"/>
      <c r="P36" s="19"/>
      <c r="Q36" s="19">
        <v>1</v>
      </c>
    </row>
    <row r="37" spans="1:18" customFormat="1" x14ac:dyDescent="0.25">
      <c r="A37" s="19"/>
      <c r="B37" s="19" t="s">
        <v>32</v>
      </c>
      <c r="C37" s="19" t="s">
        <v>551</v>
      </c>
      <c r="D37" s="19" t="s">
        <v>552</v>
      </c>
      <c r="E37" s="19" t="s">
        <v>553</v>
      </c>
      <c r="F37" s="20">
        <v>7</v>
      </c>
      <c r="G37" s="20">
        <v>0</v>
      </c>
      <c r="H37" s="20">
        <v>30</v>
      </c>
      <c r="I37" s="20">
        <f t="shared" si="0"/>
        <v>-30</v>
      </c>
      <c r="J37" s="19" t="s">
        <v>169</v>
      </c>
      <c r="K37" s="19" t="s">
        <v>37</v>
      </c>
      <c r="L37" s="19" t="s">
        <v>454</v>
      </c>
      <c r="M37" s="19"/>
      <c r="N37" s="19"/>
      <c r="O37" s="19"/>
      <c r="P37" s="19"/>
      <c r="Q37" s="19">
        <v>1</v>
      </c>
      <c r="R37" s="21">
        <f>H37</f>
        <v>30</v>
      </c>
    </row>
    <row r="39" spans="1:18" x14ac:dyDescent="0.25">
      <c r="G39" s="1">
        <f t="shared" ref="G39:R39" si="3">SUBTOTAL(9,G3:G37)</f>
        <v>25220</v>
      </c>
      <c r="H39" s="1">
        <f t="shared" si="3"/>
        <v>980</v>
      </c>
      <c r="I39" s="1">
        <f t="shared" si="3"/>
        <v>24240</v>
      </c>
      <c r="J39" s="1">
        <f t="shared" si="3"/>
        <v>0</v>
      </c>
      <c r="K39" s="1">
        <f t="shared" si="3"/>
        <v>0</v>
      </c>
      <c r="L39" s="1">
        <f t="shared" si="3"/>
        <v>0</v>
      </c>
      <c r="M39" s="1">
        <f t="shared" si="3"/>
        <v>0</v>
      </c>
      <c r="N39" s="1">
        <f t="shared" si="3"/>
        <v>0</v>
      </c>
      <c r="O39" s="1">
        <f t="shared" si="3"/>
        <v>0</v>
      </c>
      <c r="P39" s="1">
        <f t="shared" si="3"/>
        <v>0</v>
      </c>
      <c r="Q39" s="1">
        <f t="shared" si="3"/>
        <v>35</v>
      </c>
      <c r="R39" s="1">
        <f t="shared" si="3"/>
        <v>310</v>
      </c>
    </row>
    <row r="40" spans="1:18" x14ac:dyDescent="0.25">
      <c r="I40" s="1">
        <v>-890</v>
      </c>
      <c r="J40" s="1" t="s">
        <v>554</v>
      </c>
    </row>
    <row r="43" spans="1:18" ht="20.25" customHeight="1" x14ac:dyDescent="0.3">
      <c r="H43" s="4" t="s">
        <v>344</v>
      </c>
      <c r="I43" s="5" t="s">
        <v>15</v>
      </c>
      <c r="J43" s="6" t="s">
        <v>16</v>
      </c>
    </row>
    <row r="44" spans="1:18" ht="15.75" customHeight="1" x14ac:dyDescent="0.25">
      <c r="H44" s="7" t="s">
        <v>17</v>
      </c>
      <c r="I44" s="8">
        <f>SUM(I38:I42)</f>
        <v>23350</v>
      </c>
      <c r="J44" s="8">
        <f>Q39</f>
        <v>35</v>
      </c>
    </row>
    <row r="45" spans="1:18" x14ac:dyDescent="0.25">
      <c r="H45" s="9" t="s">
        <v>18</v>
      </c>
      <c r="I45" s="10">
        <f>R39</f>
        <v>310</v>
      </c>
      <c r="J45" s="11"/>
    </row>
    <row r="46" spans="1:18" x14ac:dyDescent="0.25">
      <c r="H46" s="9" t="s">
        <v>19</v>
      </c>
      <c r="I46" s="10">
        <f>S38</f>
        <v>0</v>
      </c>
      <c r="J46" s="11"/>
    </row>
    <row r="47" spans="1:18" x14ac:dyDescent="0.25">
      <c r="H47" s="9" t="s">
        <v>20</v>
      </c>
      <c r="I47" s="10">
        <f>T38</f>
        <v>0</v>
      </c>
      <c r="J47" s="11"/>
    </row>
    <row r="48" spans="1:18" x14ac:dyDescent="0.25">
      <c r="H48" s="9" t="s">
        <v>21</v>
      </c>
      <c r="I48" s="10">
        <f>U38</f>
        <v>0</v>
      </c>
      <c r="J48" s="11"/>
    </row>
    <row r="49" spans="1:12" ht="15.75" customHeight="1" x14ac:dyDescent="0.25">
      <c r="H49" s="12" t="s">
        <v>22</v>
      </c>
      <c r="I49" s="13"/>
      <c r="J49" s="13"/>
    </row>
    <row r="50" spans="1:12" ht="15.75" customHeight="1" x14ac:dyDescent="0.25">
      <c r="H50" s="14" t="s">
        <v>23</v>
      </c>
      <c r="I50" s="13"/>
      <c r="J50" s="13"/>
    </row>
    <row r="51" spans="1:12" ht="21" customHeight="1" x14ac:dyDescent="0.35">
      <c r="H51" s="15" t="s">
        <v>24</v>
      </c>
      <c r="I51" s="16">
        <f>SUM(I44:I50)</f>
        <v>23660</v>
      </c>
      <c r="J51" s="16">
        <f>SUM(J44:J48)</f>
        <v>35</v>
      </c>
    </row>
    <row r="53" spans="1:12" x14ac:dyDescent="0.25">
      <c r="A53" s="1" t="s">
        <v>199</v>
      </c>
    </row>
    <row r="54" spans="1:12" x14ac:dyDescent="0.25">
      <c r="A54" s="27" t="s">
        <v>32</v>
      </c>
      <c r="B54" s="27" t="s">
        <v>466</v>
      </c>
      <c r="C54" s="27" t="s">
        <v>467</v>
      </c>
      <c r="D54" s="27" t="s">
        <v>468</v>
      </c>
      <c r="E54" s="28">
        <v>8</v>
      </c>
      <c r="F54" s="28">
        <v>1840</v>
      </c>
      <c r="G54" s="28">
        <v>0</v>
      </c>
      <c r="H54" s="28">
        <f t="shared" ref="H54" si="4">F54-G54</f>
        <v>1840</v>
      </c>
      <c r="I54" s="27" t="s">
        <v>453</v>
      </c>
      <c r="J54" s="27" t="s">
        <v>37</v>
      </c>
      <c r="K54" s="27" t="s">
        <v>454</v>
      </c>
      <c r="L54" s="22" t="s">
        <v>469</v>
      </c>
    </row>
  </sheetData>
  <autoFilter ref="A2:P37" xr:uid="{00000000-0009-0000-0000-000006000000}">
    <sortState xmlns:xlrd2="http://schemas.microsoft.com/office/spreadsheetml/2017/richdata2" ref="A3:P37">
      <sortCondition ref="J2:J37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5B9C-DB06-401B-ACF3-5195DD7B3FDF}">
  <dimension ref="A1:R33"/>
  <sheetViews>
    <sheetView zoomScale="82" zoomScaleNormal="80" workbookViewId="0">
      <selection activeCell="E12" sqref="E12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7" x14ac:dyDescent="0.25">
      <c r="B1" s="1" t="s">
        <v>448</v>
      </c>
      <c r="C1" s="1" t="s">
        <v>447</v>
      </c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7" customFormat="1" x14ac:dyDescent="0.25">
      <c r="A3" s="19" t="s">
        <v>107</v>
      </c>
      <c r="B3" s="19" t="s">
        <v>32</v>
      </c>
      <c r="C3" s="19" t="s">
        <v>557</v>
      </c>
      <c r="D3" s="19"/>
      <c r="E3" s="19" t="s">
        <v>558</v>
      </c>
      <c r="F3" s="19" t="s">
        <v>45</v>
      </c>
      <c r="G3" s="20">
        <v>3290</v>
      </c>
      <c r="H3" s="20">
        <v>40</v>
      </c>
      <c r="I3" s="20">
        <f t="shared" ref="I3:I19" si="0">G3-H3</f>
        <v>3250</v>
      </c>
      <c r="J3" s="19" t="s">
        <v>559</v>
      </c>
      <c r="K3" s="19" t="s">
        <v>169</v>
      </c>
      <c r="L3" s="19" t="s">
        <v>560</v>
      </c>
      <c r="M3" s="19" t="s">
        <v>183</v>
      </c>
      <c r="N3" s="19"/>
      <c r="O3" s="19"/>
      <c r="P3" s="19"/>
      <c r="Q3" s="19">
        <v>1</v>
      </c>
    </row>
    <row r="4" spans="1:17" customFormat="1" x14ac:dyDescent="0.25">
      <c r="A4" s="19"/>
      <c r="B4" s="19" t="s">
        <v>32</v>
      </c>
      <c r="C4" s="19" t="s">
        <v>561</v>
      </c>
      <c r="D4" s="19" t="s">
        <v>562</v>
      </c>
      <c r="E4" s="19" t="s">
        <v>563</v>
      </c>
      <c r="F4" s="19" t="s">
        <v>45</v>
      </c>
      <c r="G4" s="20">
        <v>0</v>
      </c>
      <c r="H4" s="20">
        <v>30</v>
      </c>
      <c r="I4" s="20">
        <f t="shared" si="0"/>
        <v>-30</v>
      </c>
      <c r="J4" s="19" t="s">
        <v>559</v>
      </c>
      <c r="K4" s="19" t="s">
        <v>169</v>
      </c>
      <c r="L4" s="19" t="s">
        <v>560</v>
      </c>
      <c r="M4" s="19"/>
      <c r="N4" s="19"/>
      <c r="O4" s="19"/>
      <c r="P4" s="19"/>
      <c r="Q4" s="19">
        <v>1</v>
      </c>
    </row>
    <row r="5" spans="1:17" customFormat="1" x14ac:dyDescent="0.25">
      <c r="A5" s="19"/>
      <c r="B5" s="19" t="s">
        <v>32</v>
      </c>
      <c r="C5" s="19" t="s">
        <v>564</v>
      </c>
      <c r="D5" s="19" t="s">
        <v>565</v>
      </c>
      <c r="E5" s="19" t="s">
        <v>566</v>
      </c>
      <c r="F5" s="20">
        <v>11</v>
      </c>
      <c r="G5" s="20">
        <v>0</v>
      </c>
      <c r="H5" s="20">
        <v>25</v>
      </c>
      <c r="I5" s="20">
        <f t="shared" si="0"/>
        <v>-25</v>
      </c>
      <c r="J5" s="19" t="s">
        <v>559</v>
      </c>
      <c r="K5" s="19" t="s">
        <v>169</v>
      </c>
      <c r="L5" s="19" t="s">
        <v>560</v>
      </c>
      <c r="M5" s="19"/>
      <c r="N5" s="19"/>
      <c r="O5" s="19"/>
      <c r="P5" s="19"/>
      <c r="Q5" s="19">
        <v>1</v>
      </c>
    </row>
    <row r="6" spans="1:17" customFormat="1" x14ac:dyDescent="0.25">
      <c r="A6" s="19"/>
      <c r="B6" s="19" t="s">
        <v>32</v>
      </c>
      <c r="C6" s="19" t="s">
        <v>567</v>
      </c>
      <c r="D6" s="19" t="s">
        <v>568</v>
      </c>
      <c r="E6" s="19" t="s">
        <v>569</v>
      </c>
      <c r="F6" s="20">
        <v>7</v>
      </c>
      <c r="G6" s="20">
        <v>920</v>
      </c>
      <c r="H6" s="20">
        <v>30</v>
      </c>
      <c r="I6" s="20">
        <f t="shared" si="0"/>
        <v>890</v>
      </c>
      <c r="J6" s="19" t="s">
        <v>559</v>
      </c>
      <c r="K6" s="19" t="s">
        <v>169</v>
      </c>
      <c r="L6" s="19" t="s">
        <v>560</v>
      </c>
      <c r="M6" s="19"/>
      <c r="N6" s="19"/>
      <c r="O6" s="19"/>
      <c r="P6" s="19"/>
      <c r="Q6" s="19">
        <v>1</v>
      </c>
    </row>
    <row r="7" spans="1:17" customFormat="1" x14ac:dyDescent="0.25">
      <c r="A7" s="19"/>
      <c r="B7" s="19" t="s">
        <v>32</v>
      </c>
      <c r="C7" s="19" t="s">
        <v>570</v>
      </c>
      <c r="D7" s="19" t="s">
        <v>571</v>
      </c>
      <c r="E7" s="19" t="s">
        <v>572</v>
      </c>
      <c r="F7" s="20">
        <v>7</v>
      </c>
      <c r="G7" s="20">
        <v>560</v>
      </c>
      <c r="H7" s="20">
        <v>30</v>
      </c>
      <c r="I7" s="20">
        <f t="shared" si="0"/>
        <v>530</v>
      </c>
      <c r="J7" s="19" t="s">
        <v>559</v>
      </c>
      <c r="K7" s="19" t="s">
        <v>169</v>
      </c>
      <c r="L7" s="19" t="s">
        <v>560</v>
      </c>
      <c r="M7" s="19"/>
      <c r="N7" s="19"/>
      <c r="O7" s="19"/>
      <c r="P7" s="19"/>
      <c r="Q7" s="19">
        <v>1</v>
      </c>
    </row>
    <row r="8" spans="1:17" customFormat="1" x14ac:dyDescent="0.25">
      <c r="A8" s="19"/>
      <c r="B8" s="19" t="s">
        <v>32</v>
      </c>
      <c r="C8" s="19" t="s">
        <v>573</v>
      </c>
      <c r="D8" s="19" t="s">
        <v>574</v>
      </c>
      <c r="E8" s="19" t="s">
        <v>575</v>
      </c>
      <c r="F8" s="20">
        <v>11</v>
      </c>
      <c r="G8" s="20">
        <v>0</v>
      </c>
      <c r="H8" s="20">
        <v>25</v>
      </c>
      <c r="I8" s="20">
        <f t="shared" si="0"/>
        <v>-25</v>
      </c>
      <c r="J8" s="19" t="s">
        <v>559</v>
      </c>
      <c r="K8" s="19" t="s">
        <v>169</v>
      </c>
      <c r="L8" s="19" t="s">
        <v>560</v>
      </c>
      <c r="M8" s="19"/>
      <c r="N8" s="19"/>
      <c r="O8" s="19"/>
      <c r="P8" s="19"/>
      <c r="Q8" s="19">
        <v>1</v>
      </c>
    </row>
    <row r="9" spans="1:17" customFormat="1" x14ac:dyDescent="0.25">
      <c r="A9" s="19"/>
      <c r="B9" s="19" t="s">
        <v>32</v>
      </c>
      <c r="C9" s="19" t="s">
        <v>576</v>
      </c>
      <c r="D9" s="19" t="s">
        <v>577</v>
      </c>
      <c r="E9" s="19" t="s">
        <v>578</v>
      </c>
      <c r="F9" s="19" t="s">
        <v>138</v>
      </c>
      <c r="G9" s="20">
        <v>790</v>
      </c>
      <c r="H9" s="20">
        <v>30</v>
      </c>
      <c r="I9" s="20">
        <f t="shared" si="0"/>
        <v>760</v>
      </c>
      <c r="J9" s="19" t="s">
        <v>559</v>
      </c>
      <c r="K9" s="19" t="s">
        <v>169</v>
      </c>
      <c r="L9" s="19" t="s">
        <v>560</v>
      </c>
      <c r="M9" s="19"/>
      <c r="N9" s="19"/>
      <c r="O9" s="19"/>
      <c r="P9" s="19"/>
      <c r="Q9" s="19">
        <v>1</v>
      </c>
    </row>
    <row r="10" spans="1:17" customFormat="1" x14ac:dyDescent="0.25">
      <c r="A10" s="19"/>
      <c r="B10" s="19" t="s">
        <v>32</v>
      </c>
      <c r="C10" s="19" t="s">
        <v>579</v>
      </c>
      <c r="D10" s="19" t="s">
        <v>580</v>
      </c>
      <c r="E10" s="19" t="s">
        <v>581</v>
      </c>
      <c r="F10" s="20">
        <v>6</v>
      </c>
      <c r="G10" s="20">
        <v>0</v>
      </c>
      <c r="H10" s="20">
        <v>25</v>
      </c>
      <c r="I10" s="20">
        <f t="shared" si="0"/>
        <v>-25</v>
      </c>
      <c r="J10" s="19" t="s">
        <v>559</v>
      </c>
      <c r="K10" s="19" t="s">
        <v>169</v>
      </c>
      <c r="L10" s="19" t="s">
        <v>560</v>
      </c>
      <c r="M10" s="19"/>
      <c r="N10" s="19"/>
      <c r="O10" s="19"/>
      <c r="P10" s="19"/>
      <c r="Q10" s="19">
        <v>1</v>
      </c>
    </row>
    <row r="11" spans="1:17" customFormat="1" x14ac:dyDescent="0.25">
      <c r="A11" s="19" t="s">
        <v>107</v>
      </c>
      <c r="B11" s="19" t="s">
        <v>32</v>
      </c>
      <c r="C11" s="19" t="s">
        <v>162</v>
      </c>
      <c r="D11" s="19"/>
      <c r="E11" s="19" t="s">
        <v>163</v>
      </c>
      <c r="F11" s="19" t="s">
        <v>117</v>
      </c>
      <c r="G11" s="20">
        <v>5230</v>
      </c>
      <c r="H11" s="20">
        <v>30</v>
      </c>
      <c r="I11" s="20">
        <f t="shared" si="0"/>
        <v>5200</v>
      </c>
      <c r="J11" s="19" t="s">
        <v>169</v>
      </c>
      <c r="K11" s="19" t="s">
        <v>169</v>
      </c>
      <c r="L11" s="19" t="s">
        <v>560</v>
      </c>
      <c r="M11" s="19"/>
      <c r="N11" s="19"/>
      <c r="O11" s="19"/>
      <c r="P11" s="19"/>
      <c r="Q11" s="19">
        <v>1</v>
      </c>
    </row>
    <row r="12" spans="1:17" customFormat="1" x14ac:dyDescent="0.25">
      <c r="A12" s="19"/>
      <c r="B12" s="19" t="s">
        <v>32</v>
      </c>
      <c r="C12" s="19" t="s">
        <v>582</v>
      </c>
      <c r="D12" s="19" t="s">
        <v>583</v>
      </c>
      <c r="E12" s="19" t="s">
        <v>584</v>
      </c>
      <c r="F12" s="19" t="s">
        <v>117</v>
      </c>
      <c r="G12" s="20">
        <v>615</v>
      </c>
      <c r="H12" s="20">
        <v>25</v>
      </c>
      <c r="I12" s="20">
        <f t="shared" si="0"/>
        <v>590</v>
      </c>
      <c r="J12" s="19" t="s">
        <v>169</v>
      </c>
      <c r="K12" s="19" t="s">
        <v>169</v>
      </c>
      <c r="L12" s="19" t="s">
        <v>560</v>
      </c>
      <c r="M12" s="19"/>
      <c r="N12" s="19"/>
      <c r="O12" s="19"/>
      <c r="P12" s="19"/>
      <c r="Q12" s="19">
        <v>1</v>
      </c>
    </row>
    <row r="13" spans="1:17" customFormat="1" x14ac:dyDescent="0.25">
      <c r="A13" s="19"/>
      <c r="B13" s="19" t="s">
        <v>32</v>
      </c>
      <c r="C13" s="19" t="s">
        <v>585</v>
      </c>
      <c r="D13" s="19" t="s">
        <v>586</v>
      </c>
      <c r="E13" s="19" t="s">
        <v>587</v>
      </c>
      <c r="F13" s="19" t="s">
        <v>173</v>
      </c>
      <c r="G13" s="20">
        <v>915</v>
      </c>
      <c r="H13" s="20">
        <v>25</v>
      </c>
      <c r="I13" s="20">
        <f t="shared" si="0"/>
        <v>890</v>
      </c>
      <c r="J13" s="19" t="s">
        <v>169</v>
      </c>
      <c r="K13" s="19" t="s">
        <v>169</v>
      </c>
      <c r="L13" s="19" t="s">
        <v>560</v>
      </c>
      <c r="M13" s="19"/>
      <c r="N13" s="19"/>
      <c r="O13" s="19"/>
      <c r="P13" s="19"/>
      <c r="Q13" s="19">
        <v>1</v>
      </c>
    </row>
    <row r="14" spans="1:17" customFormat="1" x14ac:dyDescent="0.25">
      <c r="A14" s="19"/>
      <c r="B14" s="19" t="s">
        <v>32</v>
      </c>
      <c r="C14" s="19" t="s">
        <v>588</v>
      </c>
      <c r="D14" s="19" t="s">
        <v>589</v>
      </c>
      <c r="E14" s="19" t="s">
        <v>590</v>
      </c>
      <c r="F14" s="19" t="s">
        <v>317</v>
      </c>
      <c r="G14" s="20">
        <v>810</v>
      </c>
      <c r="H14" s="20">
        <v>20</v>
      </c>
      <c r="I14" s="20">
        <f t="shared" si="0"/>
        <v>790</v>
      </c>
      <c r="J14" s="19" t="s">
        <v>169</v>
      </c>
      <c r="K14" s="19" t="s">
        <v>169</v>
      </c>
      <c r="L14" s="19" t="s">
        <v>560</v>
      </c>
      <c r="M14" s="19"/>
      <c r="N14" s="19"/>
      <c r="O14" s="19"/>
      <c r="P14" s="19"/>
      <c r="Q14" s="19">
        <v>1</v>
      </c>
    </row>
    <row r="15" spans="1:17" customFormat="1" x14ac:dyDescent="0.25">
      <c r="A15" s="19"/>
      <c r="B15" s="19" t="s">
        <v>32</v>
      </c>
      <c r="C15" s="19" t="s">
        <v>591</v>
      </c>
      <c r="D15" s="19" t="s">
        <v>592</v>
      </c>
      <c r="E15" s="19" t="s">
        <v>593</v>
      </c>
      <c r="F15" s="20">
        <v>12</v>
      </c>
      <c r="G15" s="20">
        <v>0</v>
      </c>
      <c r="H15" s="20">
        <v>30</v>
      </c>
      <c r="I15" s="20">
        <f t="shared" si="0"/>
        <v>-30</v>
      </c>
      <c r="J15" s="19" t="s">
        <v>169</v>
      </c>
      <c r="K15" s="19" t="s">
        <v>169</v>
      </c>
      <c r="L15" s="19" t="s">
        <v>560</v>
      </c>
      <c r="M15" s="19"/>
      <c r="N15" s="19"/>
      <c r="O15" s="19"/>
      <c r="P15" s="19"/>
      <c r="Q15" s="19">
        <v>1</v>
      </c>
    </row>
    <row r="16" spans="1:17" s="31" customFormat="1" x14ac:dyDescent="0.25">
      <c r="A16" s="17"/>
      <c r="B16" s="17" t="s">
        <v>32</v>
      </c>
      <c r="C16" s="30">
        <v>3352</v>
      </c>
      <c r="D16" s="17" t="s">
        <v>594</v>
      </c>
      <c r="E16" s="17" t="s">
        <v>308</v>
      </c>
      <c r="F16" s="18">
        <v>12</v>
      </c>
      <c r="G16" s="18">
        <v>0</v>
      </c>
      <c r="H16" s="18">
        <v>30</v>
      </c>
      <c r="I16" s="18">
        <f t="shared" si="0"/>
        <v>-30</v>
      </c>
      <c r="J16" s="17" t="s">
        <v>169</v>
      </c>
      <c r="K16" s="17" t="s">
        <v>169</v>
      </c>
      <c r="L16" s="17" t="s">
        <v>560</v>
      </c>
      <c r="M16" s="17"/>
      <c r="N16" s="17"/>
      <c r="O16" s="17"/>
      <c r="P16" s="17"/>
      <c r="Q16" s="17">
        <v>1</v>
      </c>
    </row>
    <row r="17" spans="1:18" s="26" customFormat="1" x14ac:dyDescent="0.25">
      <c r="A17" s="23"/>
      <c r="B17" s="23" t="s">
        <v>32</v>
      </c>
      <c r="C17" s="23" t="s">
        <v>429</v>
      </c>
      <c r="D17" s="23" t="s">
        <v>595</v>
      </c>
      <c r="E17" s="23" t="s">
        <v>596</v>
      </c>
      <c r="F17" s="24">
        <v>10</v>
      </c>
      <c r="G17" s="24">
        <v>25</v>
      </c>
      <c r="H17" s="24">
        <v>25</v>
      </c>
      <c r="I17" s="24">
        <f t="shared" si="0"/>
        <v>0</v>
      </c>
      <c r="J17" s="23" t="s">
        <v>169</v>
      </c>
      <c r="K17" s="23" t="s">
        <v>169</v>
      </c>
      <c r="L17" s="23" t="s">
        <v>560</v>
      </c>
      <c r="M17" s="23" t="s">
        <v>148</v>
      </c>
      <c r="N17" s="23"/>
      <c r="O17" s="23"/>
      <c r="P17" s="23"/>
      <c r="Q17" s="23">
        <v>1</v>
      </c>
    </row>
    <row r="18" spans="1:18" customFormat="1" x14ac:dyDescent="0.25">
      <c r="A18" s="19"/>
      <c r="B18" s="19" t="s">
        <v>32</v>
      </c>
      <c r="C18" s="19" t="s">
        <v>314</v>
      </c>
      <c r="D18" s="19" t="s">
        <v>597</v>
      </c>
      <c r="E18" s="19" t="s">
        <v>316</v>
      </c>
      <c r="F18" s="19" t="s">
        <v>317</v>
      </c>
      <c r="G18" s="20">
        <v>910</v>
      </c>
      <c r="H18" s="20">
        <v>20</v>
      </c>
      <c r="I18" s="20">
        <f t="shared" si="0"/>
        <v>890</v>
      </c>
      <c r="J18" s="19" t="s">
        <v>169</v>
      </c>
      <c r="K18" s="19" t="s">
        <v>169</v>
      </c>
      <c r="L18" s="19" t="s">
        <v>560</v>
      </c>
      <c r="M18" s="19"/>
      <c r="N18" s="19"/>
      <c r="O18" s="19"/>
      <c r="P18" s="19"/>
      <c r="Q18" s="19">
        <v>1</v>
      </c>
    </row>
    <row r="19" spans="1:18" customFormat="1" x14ac:dyDescent="0.25">
      <c r="A19" s="19"/>
      <c r="B19" s="19" t="s">
        <v>32</v>
      </c>
      <c r="C19" s="19" t="s">
        <v>598</v>
      </c>
      <c r="D19" s="19" t="s">
        <v>599</v>
      </c>
      <c r="E19" s="19" t="s">
        <v>600</v>
      </c>
      <c r="F19" s="19" t="s">
        <v>124</v>
      </c>
      <c r="G19" s="20">
        <v>1010</v>
      </c>
      <c r="H19" s="20">
        <v>20</v>
      </c>
      <c r="I19" s="20">
        <f t="shared" si="0"/>
        <v>990</v>
      </c>
      <c r="J19" s="19" t="s">
        <v>169</v>
      </c>
      <c r="K19" s="19" t="s">
        <v>169</v>
      </c>
      <c r="L19" s="19" t="s">
        <v>560</v>
      </c>
      <c r="M19" s="19"/>
      <c r="N19" s="19"/>
      <c r="O19" s="19"/>
      <c r="P19" s="19"/>
      <c r="Q19" s="19">
        <v>1</v>
      </c>
    </row>
    <row r="21" spans="1:18" x14ac:dyDescent="0.25">
      <c r="G21" s="1">
        <f t="shared" ref="G21:R21" si="1">SUBTOTAL(9,G3:G19)</f>
        <v>15075</v>
      </c>
      <c r="H21" s="1">
        <f t="shared" si="1"/>
        <v>460</v>
      </c>
      <c r="I21" s="1">
        <f t="shared" si="1"/>
        <v>14615</v>
      </c>
      <c r="J21" s="1">
        <f t="shared" si="1"/>
        <v>0</v>
      </c>
      <c r="K21" s="1">
        <f t="shared" si="1"/>
        <v>0</v>
      </c>
      <c r="L21" s="1">
        <f t="shared" si="1"/>
        <v>0</v>
      </c>
      <c r="M21" s="1">
        <f t="shared" si="1"/>
        <v>0</v>
      </c>
      <c r="N21" s="1">
        <f t="shared" si="1"/>
        <v>0</v>
      </c>
      <c r="O21" s="1">
        <f t="shared" si="1"/>
        <v>0</v>
      </c>
      <c r="P21" s="1">
        <f t="shared" si="1"/>
        <v>0</v>
      </c>
      <c r="Q21" s="1">
        <f t="shared" si="1"/>
        <v>17</v>
      </c>
      <c r="R21" s="1">
        <f t="shared" si="1"/>
        <v>0</v>
      </c>
    </row>
    <row r="25" spans="1:18" ht="20.25" customHeight="1" x14ac:dyDescent="0.3">
      <c r="H25" s="4" t="s">
        <v>449</v>
      </c>
      <c r="I25" s="5" t="s">
        <v>15</v>
      </c>
      <c r="J25" s="6" t="s">
        <v>16</v>
      </c>
    </row>
    <row r="26" spans="1:18" ht="15.75" customHeight="1" x14ac:dyDescent="0.25">
      <c r="H26" s="7" t="s">
        <v>17</v>
      </c>
      <c r="I26" s="8">
        <f>SUM(I20:I24)</f>
        <v>14615</v>
      </c>
      <c r="J26" s="8">
        <f>Q21</f>
        <v>17</v>
      </c>
    </row>
    <row r="27" spans="1:18" x14ac:dyDescent="0.25">
      <c r="H27" s="9" t="s">
        <v>18</v>
      </c>
      <c r="I27" s="10">
        <f>R21</f>
        <v>0</v>
      </c>
      <c r="J27" s="11"/>
    </row>
    <row r="28" spans="1:18" x14ac:dyDescent="0.25">
      <c r="H28" s="9" t="s">
        <v>19</v>
      </c>
      <c r="I28" s="10">
        <f>S20</f>
        <v>0</v>
      </c>
      <c r="J28" s="11"/>
    </row>
    <row r="29" spans="1:18" x14ac:dyDescent="0.25">
      <c r="H29" s="9" t="s">
        <v>20</v>
      </c>
      <c r="I29" s="10">
        <f>T20</f>
        <v>0</v>
      </c>
      <c r="J29" s="11"/>
    </row>
    <row r="30" spans="1:18" x14ac:dyDescent="0.25">
      <c r="H30" s="9" t="s">
        <v>21</v>
      </c>
      <c r="I30" s="10">
        <f>U20</f>
        <v>0</v>
      </c>
      <c r="J30" s="11"/>
    </row>
    <row r="31" spans="1:18" ht="15.75" customHeight="1" x14ac:dyDescent="0.25">
      <c r="H31" s="12" t="s">
        <v>22</v>
      </c>
      <c r="I31" s="13"/>
      <c r="J31" s="13"/>
    </row>
    <row r="32" spans="1:18" ht="15.75" customHeight="1" x14ac:dyDescent="0.25">
      <c r="H32" s="14" t="s">
        <v>23</v>
      </c>
      <c r="I32" s="13"/>
      <c r="J32" s="13"/>
    </row>
    <row r="33" spans="8:10" ht="21" customHeight="1" x14ac:dyDescent="0.35">
      <c r="H33" s="15" t="s">
        <v>24</v>
      </c>
      <c r="I33" s="16">
        <f>SUM(I26:I32)</f>
        <v>14615</v>
      </c>
      <c r="J33" s="16">
        <f>SUM(J26:J30)</f>
        <v>17</v>
      </c>
    </row>
  </sheetData>
  <autoFilter ref="A2:P19" xr:uid="{00000000-0009-0000-0000-000006000000}">
    <sortState xmlns:xlrd2="http://schemas.microsoft.com/office/spreadsheetml/2017/richdata2" ref="A3:P19">
      <sortCondition ref="J2:J19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5D80-2DD4-47ED-866C-15E91766F5FD}">
  <dimension ref="A1:R54"/>
  <sheetViews>
    <sheetView topLeftCell="A40" zoomScale="82" zoomScaleNormal="80" workbookViewId="0">
      <selection activeCell="E48" sqref="E48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556</v>
      </c>
    </row>
    <row r="2" spans="1:18" ht="14.2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602</v>
      </c>
      <c r="D3" s="19" t="s">
        <v>603</v>
      </c>
      <c r="E3" s="19" t="s">
        <v>604</v>
      </c>
      <c r="F3" s="20">
        <v>9</v>
      </c>
      <c r="G3" s="20">
        <v>850</v>
      </c>
      <c r="H3" s="20">
        <v>30</v>
      </c>
      <c r="I3" s="20">
        <f t="shared" ref="I3:I40" si="0">G3-H3</f>
        <v>820</v>
      </c>
      <c r="J3" s="19" t="s">
        <v>36</v>
      </c>
      <c r="K3" s="19" t="s">
        <v>37</v>
      </c>
      <c r="L3" s="19" t="s">
        <v>605</v>
      </c>
      <c r="M3" s="19"/>
      <c r="N3" s="19"/>
      <c r="O3" s="19"/>
      <c r="P3" s="19"/>
      <c r="Q3" s="19">
        <v>1</v>
      </c>
    </row>
    <row r="4" spans="1:18" customFormat="1" x14ac:dyDescent="0.25">
      <c r="A4" s="19"/>
      <c r="B4" s="19" t="s">
        <v>32</v>
      </c>
      <c r="C4" s="19" t="s">
        <v>606</v>
      </c>
      <c r="D4" s="19" t="s">
        <v>607</v>
      </c>
      <c r="E4" s="19" t="s">
        <v>608</v>
      </c>
      <c r="F4" s="20">
        <v>9</v>
      </c>
      <c r="G4" s="20">
        <v>920</v>
      </c>
      <c r="H4" s="20">
        <v>30</v>
      </c>
      <c r="I4" s="20">
        <f t="shared" si="0"/>
        <v>890</v>
      </c>
      <c r="J4" s="19" t="s">
        <v>36</v>
      </c>
      <c r="K4" s="19" t="s">
        <v>37</v>
      </c>
      <c r="L4" s="19" t="s">
        <v>605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609</v>
      </c>
      <c r="D5" s="19" t="s">
        <v>610</v>
      </c>
      <c r="E5" s="19" t="s">
        <v>611</v>
      </c>
      <c r="F5" s="20">
        <v>9</v>
      </c>
      <c r="G5" s="20">
        <v>1740</v>
      </c>
      <c r="H5" s="20">
        <v>30</v>
      </c>
      <c r="I5" s="20">
        <f t="shared" si="0"/>
        <v>1710</v>
      </c>
      <c r="J5" s="19" t="s">
        <v>36</v>
      </c>
      <c r="K5" s="19" t="s">
        <v>37</v>
      </c>
      <c r="L5" s="19" t="s">
        <v>605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612</v>
      </c>
      <c r="D6" s="19" t="s">
        <v>613</v>
      </c>
      <c r="E6" s="19" t="s">
        <v>614</v>
      </c>
      <c r="F6" s="19" t="s">
        <v>45</v>
      </c>
      <c r="G6" s="20">
        <v>0</v>
      </c>
      <c r="H6" s="20">
        <v>30</v>
      </c>
      <c r="I6" s="20">
        <f t="shared" si="0"/>
        <v>-30</v>
      </c>
      <c r="J6" s="19" t="s">
        <v>615</v>
      </c>
      <c r="K6" s="19" t="s">
        <v>37</v>
      </c>
      <c r="L6" s="19" t="s">
        <v>605</v>
      </c>
      <c r="M6" s="19"/>
      <c r="N6" s="19"/>
      <c r="O6" s="19"/>
      <c r="P6" s="19"/>
      <c r="Q6" s="19">
        <v>1</v>
      </c>
      <c r="R6" s="21">
        <f>H6</f>
        <v>30</v>
      </c>
    </row>
    <row r="7" spans="1:18" customFormat="1" x14ac:dyDescent="0.25">
      <c r="A7" s="19"/>
      <c r="B7" s="19" t="s">
        <v>32</v>
      </c>
      <c r="C7" s="19" t="s">
        <v>616</v>
      </c>
      <c r="D7" s="19" t="s">
        <v>617</v>
      </c>
      <c r="E7" s="19" t="s">
        <v>618</v>
      </c>
      <c r="F7" s="19" t="s">
        <v>45</v>
      </c>
      <c r="G7" s="20">
        <v>0</v>
      </c>
      <c r="H7" s="20">
        <v>30</v>
      </c>
      <c r="I7" s="20">
        <f t="shared" si="0"/>
        <v>-30</v>
      </c>
      <c r="J7" s="19" t="s">
        <v>615</v>
      </c>
      <c r="K7" s="19" t="s">
        <v>37</v>
      </c>
      <c r="L7" s="19" t="s">
        <v>605</v>
      </c>
      <c r="M7" s="19"/>
      <c r="N7" s="19"/>
      <c r="O7" s="19"/>
      <c r="P7" s="19"/>
      <c r="Q7" s="19">
        <v>1</v>
      </c>
      <c r="R7" s="21">
        <f>H7</f>
        <v>30</v>
      </c>
    </row>
    <row r="8" spans="1:18" customFormat="1" x14ac:dyDescent="0.25">
      <c r="A8" s="19"/>
      <c r="B8" s="19" t="s">
        <v>32</v>
      </c>
      <c r="C8" s="19" t="s">
        <v>619</v>
      </c>
      <c r="D8" s="19" t="s">
        <v>620</v>
      </c>
      <c r="E8" s="19" t="s">
        <v>621</v>
      </c>
      <c r="F8" s="19" t="s">
        <v>45</v>
      </c>
      <c r="G8" s="20">
        <v>920</v>
      </c>
      <c r="H8" s="20">
        <v>30</v>
      </c>
      <c r="I8" s="20">
        <f t="shared" si="0"/>
        <v>890</v>
      </c>
      <c r="J8" s="19" t="s">
        <v>615</v>
      </c>
      <c r="K8" s="19" t="s">
        <v>37</v>
      </c>
      <c r="L8" s="19" t="s">
        <v>605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622</v>
      </c>
      <c r="D9" s="19" t="s">
        <v>623</v>
      </c>
      <c r="E9" s="19" t="s">
        <v>624</v>
      </c>
      <c r="F9" s="20">
        <v>8</v>
      </c>
      <c r="G9" s="20">
        <v>940</v>
      </c>
      <c r="H9" s="20">
        <v>30</v>
      </c>
      <c r="I9" s="20">
        <f t="shared" si="0"/>
        <v>910</v>
      </c>
      <c r="J9" s="19" t="s">
        <v>615</v>
      </c>
      <c r="K9" s="19" t="s">
        <v>37</v>
      </c>
      <c r="L9" s="19" t="s">
        <v>605</v>
      </c>
      <c r="M9" s="19"/>
      <c r="N9" s="19"/>
      <c r="O9" s="19"/>
      <c r="P9" s="19"/>
      <c r="Q9" s="19">
        <v>1</v>
      </c>
    </row>
    <row r="10" spans="1:18" customFormat="1" x14ac:dyDescent="0.25">
      <c r="A10" s="19"/>
      <c r="B10" s="19" t="s">
        <v>32</v>
      </c>
      <c r="C10" s="19" t="s">
        <v>625</v>
      </c>
      <c r="D10" s="19" t="s">
        <v>626</v>
      </c>
      <c r="E10" s="19" t="s">
        <v>627</v>
      </c>
      <c r="F10" s="19" t="s">
        <v>173</v>
      </c>
      <c r="G10" s="20">
        <v>975</v>
      </c>
      <c r="H10" s="20">
        <v>25</v>
      </c>
      <c r="I10" s="20">
        <f t="shared" si="0"/>
        <v>950</v>
      </c>
      <c r="J10" s="19" t="s">
        <v>615</v>
      </c>
      <c r="K10" s="19" t="s">
        <v>37</v>
      </c>
      <c r="L10" s="19" t="s">
        <v>605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628</v>
      </c>
      <c r="D11" s="19" t="s">
        <v>629</v>
      </c>
      <c r="E11" s="19" t="s">
        <v>630</v>
      </c>
      <c r="F11" s="20">
        <v>6</v>
      </c>
      <c r="G11" s="20">
        <v>935</v>
      </c>
      <c r="H11" s="20">
        <v>25</v>
      </c>
      <c r="I11" s="20">
        <f t="shared" si="0"/>
        <v>910</v>
      </c>
      <c r="J11" s="19" t="s">
        <v>615</v>
      </c>
      <c r="K11" s="19" t="s">
        <v>37</v>
      </c>
      <c r="L11" s="19" t="s">
        <v>605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631</v>
      </c>
      <c r="D12" s="19" t="s">
        <v>632</v>
      </c>
      <c r="E12" s="19" t="s">
        <v>633</v>
      </c>
      <c r="F12" s="20">
        <v>12</v>
      </c>
      <c r="G12" s="20">
        <v>1000</v>
      </c>
      <c r="H12" s="20">
        <v>30</v>
      </c>
      <c r="I12" s="20">
        <f t="shared" si="0"/>
        <v>970</v>
      </c>
      <c r="J12" s="19" t="s">
        <v>615</v>
      </c>
      <c r="K12" s="19" t="s">
        <v>37</v>
      </c>
      <c r="L12" s="19" t="s">
        <v>605</v>
      </c>
      <c r="M12" s="19"/>
      <c r="N12" s="19"/>
      <c r="O12" s="19"/>
      <c r="P12" s="19"/>
      <c r="Q12" s="19">
        <v>1</v>
      </c>
    </row>
    <row r="13" spans="1:18" customFormat="1" x14ac:dyDescent="0.25">
      <c r="A13" s="19"/>
      <c r="B13" s="19" t="s">
        <v>32</v>
      </c>
      <c r="C13" s="19" t="s">
        <v>634</v>
      </c>
      <c r="D13" s="19" t="s">
        <v>635</v>
      </c>
      <c r="E13" s="19" t="s">
        <v>636</v>
      </c>
      <c r="F13" s="20">
        <v>11</v>
      </c>
      <c r="G13" s="20">
        <v>935</v>
      </c>
      <c r="H13" s="20">
        <v>25</v>
      </c>
      <c r="I13" s="20">
        <f t="shared" si="0"/>
        <v>910</v>
      </c>
      <c r="J13" s="19" t="s">
        <v>615</v>
      </c>
      <c r="K13" s="19" t="s">
        <v>37</v>
      </c>
      <c r="L13" s="19" t="s">
        <v>605</v>
      </c>
      <c r="M13" s="19"/>
      <c r="N13" s="19"/>
      <c r="O13" s="19"/>
      <c r="P13" s="19"/>
      <c r="Q13" s="19">
        <v>1</v>
      </c>
    </row>
    <row r="14" spans="1:18" customFormat="1" x14ac:dyDescent="0.25">
      <c r="A14" s="19" t="s">
        <v>107</v>
      </c>
      <c r="B14" s="19" t="s">
        <v>32</v>
      </c>
      <c r="C14" s="19" t="s">
        <v>637</v>
      </c>
      <c r="D14" s="19"/>
      <c r="E14" s="19" t="s">
        <v>385</v>
      </c>
      <c r="F14" s="20">
        <v>6</v>
      </c>
      <c r="G14" s="20">
        <v>0</v>
      </c>
      <c r="H14" s="20">
        <v>30</v>
      </c>
      <c r="I14" s="20">
        <f t="shared" si="0"/>
        <v>-30</v>
      </c>
      <c r="J14" s="19" t="s">
        <v>615</v>
      </c>
      <c r="K14" s="19" t="s">
        <v>37</v>
      </c>
      <c r="L14" s="19" t="s">
        <v>605</v>
      </c>
      <c r="M14" s="19"/>
      <c r="N14" s="19"/>
      <c r="O14" s="19"/>
      <c r="P14" s="19"/>
      <c r="Q14" s="19">
        <v>1</v>
      </c>
      <c r="R14" s="21">
        <f>H14</f>
        <v>30</v>
      </c>
    </row>
    <row r="15" spans="1:18" customFormat="1" x14ac:dyDescent="0.25">
      <c r="A15" s="19"/>
      <c r="B15" s="19" t="s">
        <v>32</v>
      </c>
      <c r="C15" s="19" t="s">
        <v>638</v>
      </c>
      <c r="D15" s="19" t="s">
        <v>639</v>
      </c>
      <c r="E15" s="19" t="s">
        <v>640</v>
      </c>
      <c r="F15" s="19" t="s">
        <v>173</v>
      </c>
      <c r="G15" s="20">
        <v>665</v>
      </c>
      <c r="H15" s="20">
        <v>25</v>
      </c>
      <c r="I15" s="20">
        <f t="shared" si="0"/>
        <v>640</v>
      </c>
      <c r="J15" s="19" t="s">
        <v>37</v>
      </c>
      <c r="K15" s="19" t="s">
        <v>37</v>
      </c>
      <c r="L15" s="19" t="s">
        <v>605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641</v>
      </c>
      <c r="D16" s="19" t="s">
        <v>642</v>
      </c>
      <c r="E16" s="19" t="s">
        <v>643</v>
      </c>
      <c r="F16" s="19" t="s">
        <v>124</v>
      </c>
      <c r="G16" s="20">
        <v>790</v>
      </c>
      <c r="H16" s="20">
        <v>20</v>
      </c>
      <c r="I16" s="20">
        <f t="shared" si="0"/>
        <v>770</v>
      </c>
      <c r="J16" s="19" t="s">
        <v>37</v>
      </c>
      <c r="K16" s="19" t="s">
        <v>37</v>
      </c>
      <c r="L16" s="19" t="s">
        <v>605</v>
      </c>
      <c r="M16" s="19"/>
      <c r="N16" s="19"/>
      <c r="O16" s="19"/>
      <c r="P16" s="19"/>
      <c r="Q16" s="19">
        <v>1</v>
      </c>
    </row>
    <row r="17" spans="1:18" customFormat="1" x14ac:dyDescent="0.25">
      <c r="A17" s="19"/>
      <c r="B17" s="19" t="s">
        <v>32</v>
      </c>
      <c r="C17" s="19" t="s">
        <v>644</v>
      </c>
      <c r="D17" s="19" t="s">
        <v>645</v>
      </c>
      <c r="E17" s="19" t="s">
        <v>646</v>
      </c>
      <c r="F17" s="19" t="s">
        <v>173</v>
      </c>
      <c r="G17" s="20">
        <v>815</v>
      </c>
      <c r="H17" s="20">
        <v>25</v>
      </c>
      <c r="I17" s="20">
        <f t="shared" si="0"/>
        <v>790</v>
      </c>
      <c r="J17" s="19" t="s">
        <v>37</v>
      </c>
      <c r="K17" s="19" t="s">
        <v>37</v>
      </c>
      <c r="L17" s="19" t="s">
        <v>605</v>
      </c>
      <c r="M17" s="19"/>
      <c r="N17" s="19"/>
      <c r="O17" s="19"/>
      <c r="P17" s="19"/>
      <c r="Q17" s="19">
        <v>1</v>
      </c>
    </row>
    <row r="18" spans="1:18" customFormat="1" x14ac:dyDescent="0.25">
      <c r="A18" s="19"/>
      <c r="B18" s="19" t="s">
        <v>32</v>
      </c>
      <c r="C18" s="19" t="s">
        <v>504</v>
      </c>
      <c r="D18" s="19" t="s">
        <v>647</v>
      </c>
      <c r="E18" s="19" t="s">
        <v>308</v>
      </c>
      <c r="F18" s="20">
        <v>12</v>
      </c>
      <c r="G18" s="20">
        <v>0</v>
      </c>
      <c r="H18" s="20">
        <v>30</v>
      </c>
      <c r="I18" s="20">
        <f t="shared" si="0"/>
        <v>-30</v>
      </c>
      <c r="J18" s="19" t="s">
        <v>37</v>
      </c>
      <c r="K18" s="19" t="s">
        <v>37</v>
      </c>
      <c r="L18" s="19" t="s">
        <v>605</v>
      </c>
      <c r="M18" s="19"/>
      <c r="N18" s="19"/>
      <c r="O18" s="19"/>
      <c r="P18" s="19"/>
      <c r="Q18" s="19">
        <v>1</v>
      </c>
      <c r="R18" s="21">
        <f>H18</f>
        <v>30</v>
      </c>
    </row>
    <row r="19" spans="1:18" customFormat="1" x14ac:dyDescent="0.25">
      <c r="A19" s="19"/>
      <c r="B19" s="19" t="s">
        <v>32</v>
      </c>
      <c r="C19" s="19" t="s">
        <v>648</v>
      </c>
      <c r="D19" s="19" t="s">
        <v>649</v>
      </c>
      <c r="E19" s="19" t="s">
        <v>650</v>
      </c>
      <c r="F19" s="19" t="s">
        <v>138</v>
      </c>
      <c r="G19" s="20">
        <v>1410</v>
      </c>
      <c r="H19" s="20">
        <v>30</v>
      </c>
      <c r="I19" s="20">
        <f t="shared" si="0"/>
        <v>1380</v>
      </c>
      <c r="J19" s="19" t="s">
        <v>37</v>
      </c>
      <c r="K19" s="19" t="s">
        <v>37</v>
      </c>
      <c r="L19" s="19" t="s">
        <v>605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19" t="s">
        <v>651</v>
      </c>
      <c r="D20" s="19" t="s">
        <v>652</v>
      </c>
      <c r="E20" s="19" t="s">
        <v>653</v>
      </c>
      <c r="F20" s="20">
        <v>12</v>
      </c>
      <c r="G20" s="20">
        <v>1290</v>
      </c>
      <c r="H20" s="20">
        <v>30</v>
      </c>
      <c r="I20" s="20">
        <f t="shared" si="0"/>
        <v>1260</v>
      </c>
      <c r="J20" s="19" t="s">
        <v>37</v>
      </c>
      <c r="K20" s="19" t="s">
        <v>37</v>
      </c>
      <c r="L20" s="19" t="s">
        <v>605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654</v>
      </c>
      <c r="D21" s="19" t="s">
        <v>655</v>
      </c>
      <c r="E21" s="19" t="s">
        <v>656</v>
      </c>
      <c r="F21" s="19" t="s">
        <v>117</v>
      </c>
      <c r="G21" s="20">
        <v>845</v>
      </c>
      <c r="H21" s="20">
        <v>25</v>
      </c>
      <c r="I21" s="20">
        <f t="shared" si="0"/>
        <v>820</v>
      </c>
      <c r="J21" s="19" t="s">
        <v>37</v>
      </c>
      <c r="K21" s="19" t="s">
        <v>37</v>
      </c>
      <c r="L21" s="19" t="s">
        <v>605</v>
      </c>
      <c r="M21" s="19"/>
      <c r="N21" s="19"/>
      <c r="O21" s="19"/>
      <c r="P21" s="19"/>
      <c r="Q21" s="19">
        <v>1</v>
      </c>
    </row>
    <row r="22" spans="1:18" customFormat="1" x14ac:dyDescent="0.25">
      <c r="A22" s="19" t="s">
        <v>107</v>
      </c>
      <c r="B22" s="19" t="s">
        <v>32</v>
      </c>
      <c r="C22" s="19" t="s">
        <v>657</v>
      </c>
      <c r="D22" s="19"/>
      <c r="E22" s="19" t="s">
        <v>658</v>
      </c>
      <c r="F22" s="19" t="s">
        <v>124</v>
      </c>
      <c r="G22" s="20">
        <v>1195</v>
      </c>
      <c r="H22" s="20">
        <v>25</v>
      </c>
      <c r="I22" s="20">
        <f t="shared" si="0"/>
        <v>1170</v>
      </c>
      <c r="J22" s="19" t="s">
        <v>37</v>
      </c>
      <c r="K22" s="19" t="s">
        <v>37</v>
      </c>
      <c r="L22" s="19" t="s">
        <v>605</v>
      </c>
      <c r="M22" s="19"/>
      <c r="N22" s="19"/>
      <c r="O22" s="19"/>
      <c r="P22" s="19"/>
      <c r="Q22" s="19">
        <v>1</v>
      </c>
    </row>
    <row r="23" spans="1:18" customFormat="1" x14ac:dyDescent="0.25">
      <c r="A23" s="19" t="s">
        <v>107</v>
      </c>
      <c r="B23" s="19" t="s">
        <v>32</v>
      </c>
      <c r="C23" s="19" t="s">
        <v>160</v>
      </c>
      <c r="D23" s="19"/>
      <c r="E23" s="19" t="s">
        <v>161</v>
      </c>
      <c r="F23" s="19" t="s">
        <v>117</v>
      </c>
      <c r="G23" s="20">
        <v>0</v>
      </c>
      <c r="H23" s="20">
        <v>30</v>
      </c>
      <c r="I23" s="20">
        <f t="shared" si="0"/>
        <v>-30</v>
      </c>
      <c r="J23" s="19" t="s">
        <v>37</v>
      </c>
      <c r="K23" s="19" t="s">
        <v>37</v>
      </c>
      <c r="L23" s="19" t="s">
        <v>605</v>
      </c>
      <c r="M23" s="19"/>
      <c r="N23" s="19"/>
      <c r="O23" s="19"/>
      <c r="P23" s="19"/>
      <c r="Q23" s="19">
        <v>1</v>
      </c>
      <c r="R23" s="21">
        <f>H23</f>
        <v>30</v>
      </c>
    </row>
    <row r="24" spans="1:18" customFormat="1" x14ac:dyDescent="0.25">
      <c r="A24" s="19" t="s">
        <v>107</v>
      </c>
      <c r="B24" s="19" t="s">
        <v>32</v>
      </c>
      <c r="C24" s="19" t="s">
        <v>162</v>
      </c>
      <c r="D24" s="19"/>
      <c r="E24" s="19" t="s">
        <v>163</v>
      </c>
      <c r="F24" s="19" t="s">
        <v>117</v>
      </c>
      <c r="G24" s="20">
        <v>3155</v>
      </c>
      <c r="H24" s="20">
        <v>35</v>
      </c>
      <c r="I24" s="20">
        <f t="shared" si="0"/>
        <v>3120</v>
      </c>
      <c r="J24" s="19" t="s">
        <v>37</v>
      </c>
      <c r="K24" s="19" t="s">
        <v>37</v>
      </c>
      <c r="L24" s="19" t="s">
        <v>605</v>
      </c>
      <c r="M24" s="19"/>
      <c r="N24" s="19"/>
      <c r="O24" s="19"/>
      <c r="P24" s="19"/>
      <c r="Q24" s="19">
        <v>1</v>
      </c>
    </row>
    <row r="25" spans="1:18" customFormat="1" x14ac:dyDescent="0.25">
      <c r="A25" s="19"/>
      <c r="B25" s="19" t="s">
        <v>32</v>
      </c>
      <c r="C25" s="19" t="s">
        <v>659</v>
      </c>
      <c r="D25" s="19" t="s">
        <v>660</v>
      </c>
      <c r="E25" s="19" t="s">
        <v>661</v>
      </c>
      <c r="F25" s="19" t="s">
        <v>173</v>
      </c>
      <c r="G25" s="20">
        <v>1225</v>
      </c>
      <c r="H25" s="20">
        <v>25</v>
      </c>
      <c r="I25" s="20">
        <f t="shared" si="0"/>
        <v>1200</v>
      </c>
      <c r="J25" s="19" t="s">
        <v>169</v>
      </c>
      <c r="K25" s="19" t="s">
        <v>37</v>
      </c>
      <c r="L25" s="19" t="s">
        <v>605</v>
      </c>
      <c r="M25" s="19"/>
      <c r="N25" s="19"/>
      <c r="O25" s="19"/>
      <c r="P25" s="19"/>
      <c r="Q25" s="19">
        <v>1</v>
      </c>
    </row>
    <row r="26" spans="1:18" customFormat="1" x14ac:dyDescent="0.25">
      <c r="A26" s="19"/>
      <c r="B26" s="19" t="s">
        <v>32</v>
      </c>
      <c r="C26" s="19" t="s">
        <v>662</v>
      </c>
      <c r="D26" s="19" t="s">
        <v>663</v>
      </c>
      <c r="E26" s="19" t="s">
        <v>664</v>
      </c>
      <c r="F26" s="19" t="s">
        <v>173</v>
      </c>
      <c r="G26" s="20">
        <v>935</v>
      </c>
      <c r="H26" s="20">
        <v>25</v>
      </c>
      <c r="I26" s="20">
        <f t="shared" si="0"/>
        <v>910</v>
      </c>
      <c r="J26" s="19" t="s">
        <v>169</v>
      </c>
      <c r="K26" s="19" t="s">
        <v>37</v>
      </c>
      <c r="L26" s="19" t="s">
        <v>605</v>
      </c>
      <c r="M26" s="19"/>
      <c r="N26" s="19"/>
      <c r="O26" s="19"/>
      <c r="P26" s="19"/>
      <c r="Q26" s="19">
        <v>1</v>
      </c>
    </row>
    <row r="27" spans="1:18" customFormat="1" x14ac:dyDescent="0.25">
      <c r="A27" s="19"/>
      <c r="B27" s="19" t="s">
        <v>32</v>
      </c>
      <c r="C27" s="19" t="s">
        <v>665</v>
      </c>
      <c r="D27" s="19" t="s">
        <v>666</v>
      </c>
      <c r="E27" s="19" t="s">
        <v>667</v>
      </c>
      <c r="F27" s="20">
        <v>7</v>
      </c>
      <c r="G27" s="20">
        <v>940</v>
      </c>
      <c r="H27" s="20">
        <v>30</v>
      </c>
      <c r="I27" s="20">
        <f t="shared" si="0"/>
        <v>910</v>
      </c>
      <c r="J27" s="19" t="s">
        <v>169</v>
      </c>
      <c r="K27" s="19" t="s">
        <v>37</v>
      </c>
      <c r="L27" s="19" t="s">
        <v>605</v>
      </c>
      <c r="M27" s="19"/>
      <c r="N27" s="19"/>
      <c r="O27" s="19"/>
      <c r="P27" s="19"/>
      <c r="Q27" s="19">
        <v>1</v>
      </c>
    </row>
    <row r="28" spans="1:18" customFormat="1" x14ac:dyDescent="0.25">
      <c r="A28" s="19"/>
      <c r="B28" s="19" t="s">
        <v>32</v>
      </c>
      <c r="C28" s="19" t="s">
        <v>668</v>
      </c>
      <c r="D28" s="19" t="s">
        <v>669</v>
      </c>
      <c r="E28" s="19" t="s">
        <v>670</v>
      </c>
      <c r="F28" s="19" t="s">
        <v>88</v>
      </c>
      <c r="G28" s="20">
        <v>875</v>
      </c>
      <c r="H28" s="20">
        <v>35</v>
      </c>
      <c r="I28" s="20">
        <f t="shared" si="0"/>
        <v>840</v>
      </c>
      <c r="J28" s="19" t="s">
        <v>169</v>
      </c>
      <c r="K28" s="19" t="s">
        <v>37</v>
      </c>
      <c r="L28" s="19" t="s">
        <v>605</v>
      </c>
      <c r="M28" s="19"/>
      <c r="N28" s="19"/>
      <c r="O28" s="19"/>
      <c r="P28" s="19"/>
      <c r="Q28" s="19">
        <v>1</v>
      </c>
    </row>
    <row r="29" spans="1:18" customFormat="1" x14ac:dyDescent="0.25">
      <c r="A29" s="19"/>
      <c r="B29" s="19" t="s">
        <v>32</v>
      </c>
      <c r="C29" s="19" t="s">
        <v>671</v>
      </c>
      <c r="D29" s="19" t="s">
        <v>672</v>
      </c>
      <c r="E29" s="19" t="s">
        <v>673</v>
      </c>
      <c r="F29" s="20">
        <v>1</v>
      </c>
      <c r="G29" s="20">
        <v>915</v>
      </c>
      <c r="H29" s="20">
        <v>25</v>
      </c>
      <c r="I29" s="20">
        <f t="shared" si="0"/>
        <v>890</v>
      </c>
      <c r="J29" s="19" t="s">
        <v>169</v>
      </c>
      <c r="K29" s="19" t="s">
        <v>37</v>
      </c>
      <c r="L29" s="19" t="s">
        <v>605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674</v>
      </c>
      <c r="D30" s="19" t="s">
        <v>675</v>
      </c>
      <c r="E30" s="19" t="s">
        <v>676</v>
      </c>
      <c r="F30" s="20">
        <v>7</v>
      </c>
      <c r="G30" s="20">
        <v>850</v>
      </c>
      <c r="H30" s="20">
        <v>30</v>
      </c>
      <c r="I30" s="20">
        <f t="shared" si="0"/>
        <v>820</v>
      </c>
      <c r="J30" s="19" t="s">
        <v>169</v>
      </c>
      <c r="K30" s="19" t="s">
        <v>37</v>
      </c>
      <c r="L30" s="19" t="s">
        <v>605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677</v>
      </c>
      <c r="D31" s="19" t="s">
        <v>678</v>
      </c>
      <c r="E31" s="19" t="s">
        <v>679</v>
      </c>
      <c r="F31" s="20">
        <v>1</v>
      </c>
      <c r="G31" s="20">
        <v>855</v>
      </c>
      <c r="H31" s="20">
        <v>25</v>
      </c>
      <c r="I31" s="20">
        <f t="shared" si="0"/>
        <v>830</v>
      </c>
      <c r="J31" s="19" t="s">
        <v>169</v>
      </c>
      <c r="K31" s="19" t="s">
        <v>37</v>
      </c>
      <c r="L31" s="19" t="s">
        <v>605</v>
      </c>
      <c r="M31" s="19"/>
      <c r="N31" s="19"/>
      <c r="O31" s="19"/>
      <c r="P31" s="19"/>
      <c r="Q31" s="19">
        <v>1</v>
      </c>
    </row>
    <row r="32" spans="1:18" customFormat="1" x14ac:dyDescent="0.25">
      <c r="A32" s="19"/>
      <c r="B32" s="19" t="s">
        <v>32</v>
      </c>
      <c r="C32" s="19" t="s">
        <v>680</v>
      </c>
      <c r="D32" s="19" t="s">
        <v>681</v>
      </c>
      <c r="E32" s="19" t="s">
        <v>682</v>
      </c>
      <c r="F32" s="20">
        <v>3</v>
      </c>
      <c r="G32" s="20">
        <v>895</v>
      </c>
      <c r="H32" s="20">
        <v>25</v>
      </c>
      <c r="I32" s="20">
        <f t="shared" si="0"/>
        <v>870</v>
      </c>
      <c r="J32" s="19" t="s">
        <v>169</v>
      </c>
      <c r="K32" s="19" t="s">
        <v>37</v>
      </c>
      <c r="L32" s="19" t="s">
        <v>605</v>
      </c>
      <c r="M32" s="19"/>
      <c r="N32" s="19"/>
      <c r="O32" s="19"/>
      <c r="P32" s="19"/>
      <c r="Q32" s="19">
        <v>1</v>
      </c>
    </row>
    <row r="33" spans="1:18" customFormat="1" x14ac:dyDescent="0.25">
      <c r="A33" s="19"/>
      <c r="B33" s="19" t="s">
        <v>32</v>
      </c>
      <c r="C33" s="19" t="s">
        <v>683</v>
      </c>
      <c r="D33" s="19" t="s">
        <v>684</v>
      </c>
      <c r="E33" s="19" t="s">
        <v>685</v>
      </c>
      <c r="F33" s="20">
        <v>7</v>
      </c>
      <c r="G33" s="20">
        <v>850</v>
      </c>
      <c r="H33" s="20">
        <v>30</v>
      </c>
      <c r="I33" s="20">
        <f t="shared" si="0"/>
        <v>820</v>
      </c>
      <c r="J33" s="19" t="s">
        <v>169</v>
      </c>
      <c r="K33" s="19" t="s">
        <v>37</v>
      </c>
      <c r="L33" s="19" t="s">
        <v>605</v>
      </c>
      <c r="M33" s="19"/>
      <c r="N33" s="19"/>
      <c r="O33" s="19"/>
      <c r="P33" s="19"/>
      <c r="Q33" s="19">
        <v>1</v>
      </c>
    </row>
    <row r="34" spans="1:18" customFormat="1" x14ac:dyDescent="0.25">
      <c r="A34" s="19"/>
      <c r="B34" s="19" t="s">
        <v>32</v>
      </c>
      <c r="C34" s="19" t="s">
        <v>686</v>
      </c>
      <c r="D34" s="19" t="s">
        <v>687</v>
      </c>
      <c r="E34" s="19" t="s">
        <v>688</v>
      </c>
      <c r="F34" s="20">
        <v>5</v>
      </c>
      <c r="G34" s="20">
        <v>0</v>
      </c>
      <c r="H34" s="20">
        <v>25</v>
      </c>
      <c r="I34" s="20">
        <f t="shared" si="0"/>
        <v>-25</v>
      </c>
      <c r="J34" s="19" t="s">
        <v>169</v>
      </c>
      <c r="K34" s="19" t="s">
        <v>37</v>
      </c>
      <c r="L34" s="19" t="s">
        <v>605</v>
      </c>
      <c r="M34" s="19"/>
      <c r="N34" s="19"/>
      <c r="O34" s="19"/>
      <c r="P34" s="19"/>
      <c r="Q34" s="19">
        <v>1</v>
      </c>
      <c r="R34" s="21">
        <f t="shared" ref="R34:R35" si="1">H34</f>
        <v>25</v>
      </c>
    </row>
    <row r="35" spans="1:18" customFormat="1" x14ac:dyDescent="0.25">
      <c r="A35" s="19"/>
      <c r="B35" s="19" t="s">
        <v>32</v>
      </c>
      <c r="C35" s="19" t="s">
        <v>689</v>
      </c>
      <c r="D35" s="19" t="s">
        <v>690</v>
      </c>
      <c r="E35" s="19" t="s">
        <v>691</v>
      </c>
      <c r="F35" s="20">
        <v>4</v>
      </c>
      <c r="G35" s="20">
        <v>0</v>
      </c>
      <c r="H35" s="20">
        <v>25</v>
      </c>
      <c r="I35" s="20">
        <f t="shared" si="0"/>
        <v>-25</v>
      </c>
      <c r="J35" s="19" t="s">
        <v>169</v>
      </c>
      <c r="K35" s="19" t="s">
        <v>37</v>
      </c>
      <c r="L35" s="19" t="s">
        <v>605</v>
      </c>
      <c r="M35" s="19"/>
      <c r="N35" s="19"/>
      <c r="O35" s="19"/>
      <c r="P35" s="19"/>
      <c r="Q35" s="19">
        <v>1</v>
      </c>
      <c r="R35" s="21">
        <f t="shared" si="1"/>
        <v>25</v>
      </c>
    </row>
    <row r="36" spans="1:18" customFormat="1" x14ac:dyDescent="0.25">
      <c r="A36" s="19"/>
      <c r="B36" s="19" t="s">
        <v>32</v>
      </c>
      <c r="C36" s="19" t="s">
        <v>692</v>
      </c>
      <c r="D36" s="19" t="s">
        <v>693</v>
      </c>
      <c r="E36" s="19" t="s">
        <v>694</v>
      </c>
      <c r="F36" s="20">
        <v>5</v>
      </c>
      <c r="G36" s="20">
        <v>1265</v>
      </c>
      <c r="H36" s="20">
        <v>25</v>
      </c>
      <c r="I36" s="20">
        <f t="shared" si="0"/>
        <v>1240</v>
      </c>
      <c r="J36" s="19" t="s">
        <v>169</v>
      </c>
      <c r="K36" s="19" t="s">
        <v>37</v>
      </c>
      <c r="L36" s="19" t="s">
        <v>605</v>
      </c>
      <c r="M36" s="19"/>
      <c r="N36" s="19"/>
      <c r="O36" s="19"/>
      <c r="P36" s="19"/>
      <c r="Q36" s="19">
        <v>1</v>
      </c>
    </row>
    <row r="37" spans="1:18" customFormat="1" x14ac:dyDescent="0.25">
      <c r="A37" s="19"/>
      <c r="B37" s="19" t="s">
        <v>32</v>
      </c>
      <c r="C37" s="19" t="s">
        <v>695</v>
      </c>
      <c r="D37" s="19" t="s">
        <v>696</v>
      </c>
      <c r="E37" s="19" t="s">
        <v>697</v>
      </c>
      <c r="F37" s="19" t="s">
        <v>173</v>
      </c>
      <c r="G37" s="20">
        <v>2260</v>
      </c>
      <c r="H37" s="20">
        <v>30</v>
      </c>
      <c r="I37" s="20">
        <f t="shared" si="0"/>
        <v>2230</v>
      </c>
      <c r="J37" s="19" t="s">
        <v>169</v>
      </c>
      <c r="K37" s="19" t="s">
        <v>37</v>
      </c>
      <c r="L37" s="19" t="s">
        <v>605</v>
      </c>
      <c r="M37" s="22" t="s">
        <v>183</v>
      </c>
      <c r="N37" s="19"/>
      <c r="O37" s="19"/>
      <c r="P37" s="19"/>
      <c r="Q37" s="19">
        <v>1</v>
      </c>
      <c r="R37" s="21">
        <f>H37</f>
        <v>30</v>
      </c>
    </row>
    <row r="38" spans="1:18" customFormat="1" x14ac:dyDescent="0.25">
      <c r="A38" s="19"/>
      <c r="B38" s="19" t="s">
        <v>32</v>
      </c>
      <c r="C38" s="19" t="s">
        <v>698</v>
      </c>
      <c r="D38" s="19" t="s">
        <v>699</v>
      </c>
      <c r="E38" s="19" t="s">
        <v>700</v>
      </c>
      <c r="F38" s="20">
        <v>7</v>
      </c>
      <c r="G38" s="20">
        <v>860</v>
      </c>
      <c r="H38" s="20">
        <v>30</v>
      </c>
      <c r="I38" s="20">
        <f t="shared" si="0"/>
        <v>830</v>
      </c>
      <c r="J38" s="19" t="s">
        <v>169</v>
      </c>
      <c r="K38" s="19" t="s">
        <v>37</v>
      </c>
      <c r="L38" s="19" t="s">
        <v>605</v>
      </c>
      <c r="M38" s="19"/>
      <c r="N38" s="19"/>
      <c r="O38" s="19"/>
      <c r="P38" s="19"/>
      <c r="Q38" s="19">
        <v>1</v>
      </c>
    </row>
    <row r="39" spans="1:18" customFormat="1" x14ac:dyDescent="0.25">
      <c r="A39" s="19"/>
      <c r="B39" s="19" t="s">
        <v>32</v>
      </c>
      <c r="C39" s="19" t="s">
        <v>701</v>
      </c>
      <c r="D39" s="19" t="s">
        <v>702</v>
      </c>
      <c r="E39" s="19" t="s">
        <v>703</v>
      </c>
      <c r="F39" s="19" t="s">
        <v>317</v>
      </c>
      <c r="G39" s="20">
        <v>1010</v>
      </c>
      <c r="H39" s="20">
        <v>20</v>
      </c>
      <c r="I39" s="20">
        <f t="shared" si="0"/>
        <v>990</v>
      </c>
      <c r="J39" s="19" t="s">
        <v>169</v>
      </c>
      <c r="K39" s="19" t="s">
        <v>37</v>
      </c>
      <c r="L39" s="19" t="s">
        <v>605</v>
      </c>
      <c r="M39" s="19"/>
      <c r="N39" s="19"/>
      <c r="O39" s="19"/>
      <c r="P39" s="19"/>
      <c r="Q39" s="19">
        <v>1</v>
      </c>
    </row>
    <row r="40" spans="1:18" customFormat="1" x14ac:dyDescent="0.25">
      <c r="A40" s="19" t="s">
        <v>107</v>
      </c>
      <c r="B40" s="19" t="s">
        <v>32</v>
      </c>
      <c r="C40" s="19" t="s">
        <v>704</v>
      </c>
      <c r="D40" s="19"/>
      <c r="E40" s="19" t="s">
        <v>705</v>
      </c>
      <c r="F40" s="20">
        <v>1</v>
      </c>
      <c r="G40" s="20">
        <v>0</v>
      </c>
      <c r="H40" s="20">
        <v>30</v>
      </c>
      <c r="I40" s="20">
        <f t="shared" si="0"/>
        <v>-30</v>
      </c>
      <c r="J40" s="19" t="s">
        <v>169</v>
      </c>
      <c r="K40" s="19" t="s">
        <v>37</v>
      </c>
      <c r="L40" s="19" t="s">
        <v>605</v>
      </c>
      <c r="M40" s="19"/>
      <c r="N40" s="19"/>
      <c r="O40" s="19"/>
      <c r="P40" s="19"/>
      <c r="Q40" s="19">
        <v>1</v>
      </c>
      <c r="R40" s="21">
        <f>H40</f>
        <v>30</v>
      </c>
    </row>
    <row r="42" spans="1:18" x14ac:dyDescent="0.25">
      <c r="G42" s="1">
        <f t="shared" ref="G42:R42" si="2">SUBTOTAL(9,G3:G40)</f>
        <v>33115</v>
      </c>
      <c r="H42" s="1">
        <f t="shared" si="2"/>
        <v>1055</v>
      </c>
      <c r="I42" s="1">
        <f t="shared" si="2"/>
        <v>32060</v>
      </c>
      <c r="J42" s="1">
        <f t="shared" si="2"/>
        <v>0</v>
      </c>
      <c r="K42" s="1">
        <f t="shared" si="2"/>
        <v>0</v>
      </c>
      <c r="L42" s="1">
        <f t="shared" si="2"/>
        <v>0</v>
      </c>
      <c r="M42" s="1">
        <f t="shared" si="2"/>
        <v>0</v>
      </c>
      <c r="N42" s="1">
        <f t="shared" si="2"/>
        <v>0</v>
      </c>
      <c r="O42" s="1">
        <f t="shared" si="2"/>
        <v>0</v>
      </c>
      <c r="P42" s="1">
        <f t="shared" si="2"/>
        <v>0</v>
      </c>
      <c r="Q42" s="1">
        <f t="shared" si="2"/>
        <v>38</v>
      </c>
      <c r="R42" s="1">
        <f t="shared" si="2"/>
        <v>260</v>
      </c>
    </row>
    <row r="46" spans="1:18" ht="20.25" customHeight="1" x14ac:dyDescent="0.3">
      <c r="H46" s="4" t="s">
        <v>555</v>
      </c>
      <c r="I46" s="5" t="s">
        <v>15</v>
      </c>
      <c r="J46" s="6" t="s">
        <v>16</v>
      </c>
    </row>
    <row r="47" spans="1:18" ht="15.75" customHeight="1" x14ac:dyDescent="0.25">
      <c r="H47" s="7" t="s">
        <v>17</v>
      </c>
      <c r="I47" s="8">
        <f>SUM(I41:I45)</f>
        <v>32060</v>
      </c>
      <c r="J47" s="8">
        <f>Q42</f>
        <v>38</v>
      </c>
    </row>
    <row r="48" spans="1:18" x14ac:dyDescent="0.25">
      <c r="H48" s="9" t="s">
        <v>18</v>
      </c>
      <c r="I48" s="10">
        <f>R42</f>
        <v>260</v>
      </c>
      <c r="J48" s="11"/>
    </row>
    <row r="49" spans="8:10" x14ac:dyDescent="0.25">
      <c r="H49" s="9" t="s">
        <v>19</v>
      </c>
      <c r="I49" s="10">
        <f>S41</f>
        <v>0</v>
      </c>
      <c r="J49" s="11"/>
    </row>
    <row r="50" spans="8:10" x14ac:dyDescent="0.25">
      <c r="H50" s="9" t="s">
        <v>20</v>
      </c>
      <c r="I50" s="10">
        <f>T41</f>
        <v>0</v>
      </c>
      <c r="J50" s="11"/>
    </row>
    <row r="51" spans="8:10" x14ac:dyDescent="0.25">
      <c r="H51" s="9" t="s">
        <v>21</v>
      </c>
      <c r="I51" s="10">
        <f>U41</f>
        <v>0</v>
      </c>
      <c r="J51" s="11"/>
    </row>
    <row r="52" spans="8:10" ht="15.75" customHeight="1" x14ac:dyDescent="0.25">
      <c r="H52" s="12" t="s">
        <v>22</v>
      </c>
      <c r="I52" s="13"/>
      <c r="J52" s="13"/>
    </row>
    <row r="53" spans="8:10" ht="15.75" customHeight="1" x14ac:dyDescent="0.25">
      <c r="H53" s="14" t="s">
        <v>23</v>
      </c>
      <c r="I53" s="13"/>
      <c r="J53" s="13"/>
    </row>
    <row r="54" spans="8:10" ht="21" customHeight="1" x14ac:dyDescent="0.35">
      <c r="H54" s="15" t="s">
        <v>24</v>
      </c>
      <c r="I54" s="16">
        <f>SUM(I47:I53)</f>
        <v>32320</v>
      </c>
      <c r="J54" s="16">
        <f>SUM(J47:J51)</f>
        <v>38</v>
      </c>
    </row>
  </sheetData>
  <autoFilter ref="A2:P40" xr:uid="{00000000-0009-0000-0000-000006000000}">
    <sortState xmlns:xlrd2="http://schemas.microsoft.com/office/spreadsheetml/2017/richdata2" ref="A3:P40">
      <sortCondition ref="J2:J40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3671-A466-43CD-AE33-76A1FB5218E3}">
  <dimension ref="A1:R39"/>
  <sheetViews>
    <sheetView topLeftCell="A5" zoomScale="82" zoomScaleNormal="80" workbookViewId="0">
      <selection activeCell="I28" sqref="I28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25" style="1" bestFit="1" customWidth="1"/>
    <col min="14" max="16384" width="9.140625" style="1"/>
  </cols>
  <sheetData>
    <row r="1" spans="1:18" x14ac:dyDescent="0.25">
      <c r="B1" s="1" t="s">
        <v>29</v>
      </c>
      <c r="C1" s="1" t="s">
        <v>601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709</v>
      </c>
      <c r="D3" s="19" t="s">
        <v>710</v>
      </c>
      <c r="E3" s="19" t="s">
        <v>711</v>
      </c>
      <c r="F3" s="20">
        <v>9</v>
      </c>
      <c r="G3" s="20">
        <v>2610</v>
      </c>
      <c r="H3" s="20">
        <v>35</v>
      </c>
      <c r="I3" s="20">
        <f t="shared" ref="I3:I25" si="0">G3-H3</f>
        <v>2575</v>
      </c>
      <c r="J3" s="19" t="s">
        <v>712</v>
      </c>
      <c r="K3" s="19" t="s">
        <v>37</v>
      </c>
      <c r="L3" s="19" t="s">
        <v>713</v>
      </c>
      <c r="M3" s="22" t="s">
        <v>183</v>
      </c>
      <c r="N3" s="19"/>
      <c r="O3" s="19"/>
      <c r="P3" s="19"/>
      <c r="Q3" s="19">
        <v>1</v>
      </c>
      <c r="R3" s="21">
        <f>H3</f>
        <v>35</v>
      </c>
    </row>
    <row r="4" spans="1:18" customFormat="1" x14ac:dyDescent="0.25">
      <c r="A4" s="19"/>
      <c r="B4" s="19" t="s">
        <v>32</v>
      </c>
      <c r="C4" s="19" t="s">
        <v>564</v>
      </c>
      <c r="D4" s="19" t="s">
        <v>714</v>
      </c>
      <c r="E4" s="19" t="s">
        <v>566</v>
      </c>
      <c r="F4" s="20">
        <v>11</v>
      </c>
      <c r="G4" s="20">
        <v>0</v>
      </c>
      <c r="H4" s="20">
        <v>25</v>
      </c>
      <c r="I4" s="20">
        <f t="shared" si="0"/>
        <v>-25</v>
      </c>
      <c r="J4" s="19" t="s">
        <v>712</v>
      </c>
      <c r="K4" s="19" t="s">
        <v>37</v>
      </c>
      <c r="L4" s="19" t="s">
        <v>713</v>
      </c>
      <c r="M4" s="19"/>
      <c r="N4" s="19"/>
      <c r="O4" s="19"/>
      <c r="P4" s="19"/>
      <c r="Q4" s="19">
        <v>1</v>
      </c>
      <c r="R4" s="21">
        <f>H4</f>
        <v>25</v>
      </c>
    </row>
    <row r="5" spans="1:18" customFormat="1" x14ac:dyDescent="0.25">
      <c r="A5" s="19"/>
      <c r="B5" s="19" t="s">
        <v>32</v>
      </c>
      <c r="C5" s="19" t="s">
        <v>715</v>
      </c>
      <c r="D5" s="19" t="s">
        <v>716</v>
      </c>
      <c r="E5" s="19" t="s">
        <v>717</v>
      </c>
      <c r="F5" s="19" t="s">
        <v>45</v>
      </c>
      <c r="G5" s="20">
        <v>0</v>
      </c>
      <c r="H5" s="20">
        <v>30</v>
      </c>
      <c r="I5" s="20">
        <f t="shared" si="0"/>
        <v>-30</v>
      </c>
      <c r="J5" s="19" t="s">
        <v>712</v>
      </c>
      <c r="K5" s="19" t="s">
        <v>37</v>
      </c>
      <c r="L5" s="19" t="s">
        <v>713</v>
      </c>
      <c r="M5" s="19"/>
      <c r="N5" s="19"/>
      <c r="O5" s="19"/>
      <c r="P5" s="19"/>
      <c r="Q5" s="19">
        <v>1</v>
      </c>
      <c r="R5" s="21">
        <f>H5</f>
        <v>30</v>
      </c>
    </row>
    <row r="6" spans="1:18" customFormat="1" x14ac:dyDescent="0.25">
      <c r="A6" s="19"/>
      <c r="B6" s="19" t="s">
        <v>32</v>
      </c>
      <c r="C6" s="19" t="s">
        <v>466</v>
      </c>
      <c r="D6" s="19" t="s">
        <v>718</v>
      </c>
      <c r="E6" s="19" t="s">
        <v>719</v>
      </c>
      <c r="F6" s="20">
        <v>8</v>
      </c>
      <c r="G6" s="20">
        <v>950</v>
      </c>
      <c r="H6" s="20">
        <v>30</v>
      </c>
      <c r="I6" s="20">
        <f t="shared" si="0"/>
        <v>920</v>
      </c>
      <c r="J6" s="19" t="s">
        <v>712</v>
      </c>
      <c r="K6" s="19" t="s">
        <v>37</v>
      </c>
      <c r="L6" s="19" t="s">
        <v>713</v>
      </c>
      <c r="M6" s="22" t="s">
        <v>183</v>
      </c>
      <c r="N6" s="19"/>
      <c r="O6" s="19"/>
      <c r="P6" s="19"/>
      <c r="Q6" s="19">
        <v>1</v>
      </c>
      <c r="R6" s="21">
        <f>H6</f>
        <v>30</v>
      </c>
    </row>
    <row r="7" spans="1:18" customFormat="1" x14ac:dyDescent="0.25">
      <c r="A7" s="19"/>
      <c r="B7" s="19" t="s">
        <v>32</v>
      </c>
      <c r="C7" s="19" t="s">
        <v>720</v>
      </c>
      <c r="D7" s="19" t="s">
        <v>721</v>
      </c>
      <c r="E7" s="19" t="s">
        <v>722</v>
      </c>
      <c r="F7" s="19" t="s">
        <v>62</v>
      </c>
      <c r="G7" s="20">
        <v>865</v>
      </c>
      <c r="H7" s="20">
        <v>25</v>
      </c>
      <c r="I7" s="20">
        <f t="shared" si="0"/>
        <v>840</v>
      </c>
      <c r="J7" s="19" t="s">
        <v>712</v>
      </c>
      <c r="K7" s="19" t="s">
        <v>37</v>
      </c>
      <c r="L7" s="19" t="s">
        <v>713</v>
      </c>
      <c r="M7" s="19"/>
      <c r="N7" s="19"/>
      <c r="O7" s="19"/>
      <c r="P7" s="19"/>
      <c r="Q7" s="19">
        <v>1</v>
      </c>
    </row>
    <row r="8" spans="1:18" customFormat="1" x14ac:dyDescent="0.25">
      <c r="A8" s="19" t="s">
        <v>107</v>
      </c>
      <c r="B8" s="19" t="s">
        <v>32</v>
      </c>
      <c r="C8" s="19" t="s">
        <v>723</v>
      </c>
      <c r="D8" s="19"/>
      <c r="E8" s="19" t="s">
        <v>724</v>
      </c>
      <c r="F8" s="20">
        <v>5</v>
      </c>
      <c r="G8" s="20">
        <v>30</v>
      </c>
      <c r="H8" s="20">
        <v>30</v>
      </c>
      <c r="I8" s="20">
        <f t="shared" si="0"/>
        <v>0</v>
      </c>
      <c r="J8" s="19" t="s">
        <v>712</v>
      </c>
      <c r="K8" s="19" t="s">
        <v>37</v>
      </c>
      <c r="L8" s="19" t="s">
        <v>713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725</v>
      </c>
      <c r="D9" s="19" t="s">
        <v>726</v>
      </c>
      <c r="E9" s="19" t="s">
        <v>727</v>
      </c>
      <c r="F9" s="20">
        <v>12</v>
      </c>
      <c r="G9" s="20">
        <v>0</v>
      </c>
      <c r="H9" s="20">
        <v>30</v>
      </c>
      <c r="I9" s="20">
        <f t="shared" si="0"/>
        <v>-30</v>
      </c>
      <c r="J9" s="19" t="s">
        <v>37</v>
      </c>
      <c r="K9" s="19" t="s">
        <v>37</v>
      </c>
      <c r="L9" s="19" t="s">
        <v>713</v>
      </c>
      <c r="M9" s="19"/>
      <c r="N9" s="19"/>
      <c r="O9" s="19"/>
      <c r="P9" s="19"/>
      <c r="Q9" s="19">
        <v>1</v>
      </c>
      <c r="R9" s="21">
        <f>H9</f>
        <v>30</v>
      </c>
    </row>
    <row r="10" spans="1:18" customFormat="1" x14ac:dyDescent="0.25">
      <c r="A10" s="19"/>
      <c r="B10" s="19" t="s">
        <v>32</v>
      </c>
      <c r="C10" s="19" t="s">
        <v>728</v>
      </c>
      <c r="D10" s="19" t="s">
        <v>729</v>
      </c>
      <c r="E10" s="19" t="s">
        <v>730</v>
      </c>
      <c r="F10" s="19" t="s">
        <v>117</v>
      </c>
      <c r="G10" s="20">
        <v>1495</v>
      </c>
      <c r="H10" s="20">
        <v>25</v>
      </c>
      <c r="I10" s="20">
        <f t="shared" si="0"/>
        <v>1470</v>
      </c>
      <c r="J10" s="19" t="s">
        <v>37</v>
      </c>
      <c r="K10" s="19" t="s">
        <v>37</v>
      </c>
      <c r="L10" s="19" t="s">
        <v>713</v>
      </c>
      <c r="M10" s="19"/>
      <c r="N10" s="19"/>
      <c r="O10" s="19"/>
      <c r="P10" s="19"/>
      <c r="Q10" s="19">
        <v>1</v>
      </c>
    </row>
    <row r="11" spans="1:18" s="31" customFormat="1" x14ac:dyDescent="0.25">
      <c r="A11" s="17"/>
      <c r="B11" s="17" t="s">
        <v>32</v>
      </c>
      <c r="C11" s="17" t="s">
        <v>731</v>
      </c>
      <c r="D11" s="17" t="s">
        <v>732</v>
      </c>
      <c r="E11" s="17" t="s">
        <v>733</v>
      </c>
      <c r="F11" s="17" t="s">
        <v>117</v>
      </c>
      <c r="G11" s="18">
        <v>0</v>
      </c>
      <c r="H11" s="18">
        <v>25</v>
      </c>
      <c r="I11" s="18">
        <f t="shared" si="0"/>
        <v>-25</v>
      </c>
      <c r="J11" s="17" t="s">
        <v>37</v>
      </c>
      <c r="K11" s="17" t="s">
        <v>37</v>
      </c>
      <c r="L11" s="17" t="s">
        <v>713</v>
      </c>
      <c r="M11" s="17"/>
      <c r="N11" s="17"/>
      <c r="O11" s="17"/>
      <c r="P11" s="17"/>
      <c r="Q11" s="17">
        <v>1</v>
      </c>
      <c r="R11" s="21">
        <f t="shared" ref="R11:R12" si="1">H11</f>
        <v>25</v>
      </c>
    </row>
    <row r="12" spans="1:18" customFormat="1" x14ac:dyDescent="0.25">
      <c r="A12" s="19"/>
      <c r="B12" s="19" t="s">
        <v>32</v>
      </c>
      <c r="C12" s="19" t="s">
        <v>734</v>
      </c>
      <c r="D12" s="19" t="s">
        <v>735</v>
      </c>
      <c r="E12" s="19" t="s">
        <v>736</v>
      </c>
      <c r="F12" s="19" t="s">
        <v>173</v>
      </c>
      <c r="G12" s="20">
        <v>0</v>
      </c>
      <c r="H12" s="20">
        <v>25</v>
      </c>
      <c r="I12" s="20">
        <f t="shared" si="0"/>
        <v>-25</v>
      </c>
      <c r="J12" s="19" t="s">
        <v>37</v>
      </c>
      <c r="K12" s="19" t="s">
        <v>37</v>
      </c>
      <c r="L12" s="19" t="s">
        <v>713</v>
      </c>
      <c r="M12" s="19"/>
      <c r="N12" s="19"/>
      <c r="O12" s="19"/>
      <c r="P12" s="19"/>
      <c r="Q12" s="19">
        <v>1</v>
      </c>
      <c r="R12" s="21">
        <f t="shared" si="1"/>
        <v>25</v>
      </c>
    </row>
    <row r="13" spans="1:18" customFormat="1" x14ac:dyDescent="0.25">
      <c r="A13" s="19"/>
      <c r="B13" s="19" t="s">
        <v>32</v>
      </c>
      <c r="C13" s="19" t="s">
        <v>737</v>
      </c>
      <c r="D13" s="19" t="s">
        <v>738</v>
      </c>
      <c r="E13" s="19" t="s">
        <v>739</v>
      </c>
      <c r="F13" s="19" t="s">
        <v>117</v>
      </c>
      <c r="G13" s="20">
        <v>425</v>
      </c>
      <c r="H13" s="20">
        <v>25</v>
      </c>
      <c r="I13" s="20">
        <f t="shared" si="0"/>
        <v>400</v>
      </c>
      <c r="J13" s="19" t="s">
        <v>37</v>
      </c>
      <c r="K13" s="19" t="s">
        <v>37</v>
      </c>
      <c r="L13" s="19" t="s">
        <v>713</v>
      </c>
      <c r="M13" s="19"/>
      <c r="N13" s="19"/>
      <c r="O13" s="19"/>
      <c r="P13" s="19"/>
      <c r="Q13" s="19">
        <v>1</v>
      </c>
    </row>
    <row r="14" spans="1:18" customFormat="1" x14ac:dyDescent="0.25">
      <c r="A14" s="19"/>
      <c r="B14" s="19" t="s">
        <v>32</v>
      </c>
      <c r="C14" s="19" t="s">
        <v>740</v>
      </c>
      <c r="D14" s="19" t="s">
        <v>741</v>
      </c>
      <c r="E14" s="19" t="s">
        <v>308</v>
      </c>
      <c r="F14" s="20">
        <v>12</v>
      </c>
      <c r="G14" s="20">
        <v>0</v>
      </c>
      <c r="H14" s="20">
        <v>30</v>
      </c>
      <c r="I14" s="20">
        <f t="shared" si="0"/>
        <v>-30</v>
      </c>
      <c r="J14" s="19" t="s">
        <v>37</v>
      </c>
      <c r="K14" s="19" t="s">
        <v>37</v>
      </c>
      <c r="L14" s="19" t="s">
        <v>713</v>
      </c>
      <c r="M14" s="19"/>
      <c r="N14" s="19"/>
      <c r="O14" s="19"/>
      <c r="P14" s="19"/>
      <c r="Q14" s="19">
        <v>1</v>
      </c>
      <c r="R14" s="21">
        <f>H14</f>
        <v>30</v>
      </c>
    </row>
    <row r="15" spans="1:18" customFormat="1" x14ac:dyDescent="0.25">
      <c r="A15" s="19" t="s">
        <v>107</v>
      </c>
      <c r="B15" s="19" t="s">
        <v>32</v>
      </c>
      <c r="C15" s="19" t="s">
        <v>162</v>
      </c>
      <c r="D15" s="19"/>
      <c r="E15" s="19" t="s">
        <v>163</v>
      </c>
      <c r="F15" s="19" t="s">
        <v>117</v>
      </c>
      <c r="G15" s="20">
        <v>1570</v>
      </c>
      <c r="H15" s="20">
        <v>30</v>
      </c>
      <c r="I15" s="20">
        <f t="shared" si="0"/>
        <v>1540</v>
      </c>
      <c r="J15" s="19" t="s">
        <v>37</v>
      </c>
      <c r="K15" s="19" t="s">
        <v>37</v>
      </c>
      <c r="L15" s="19" t="s">
        <v>713</v>
      </c>
      <c r="M15" s="19"/>
      <c r="N15" s="19"/>
      <c r="O15" s="19"/>
      <c r="P15" s="19"/>
      <c r="Q15" s="19">
        <v>1</v>
      </c>
    </row>
    <row r="16" spans="1:18" customFormat="1" x14ac:dyDescent="0.25">
      <c r="A16" s="19" t="s">
        <v>107</v>
      </c>
      <c r="B16" s="19" t="s">
        <v>32</v>
      </c>
      <c r="C16" s="19" t="s">
        <v>160</v>
      </c>
      <c r="D16" s="19"/>
      <c r="E16" s="19" t="s">
        <v>161</v>
      </c>
      <c r="F16" s="19" t="s">
        <v>117</v>
      </c>
      <c r="G16" s="20">
        <v>0</v>
      </c>
      <c r="H16" s="20">
        <v>30</v>
      </c>
      <c r="I16" s="20">
        <f t="shared" si="0"/>
        <v>-30</v>
      </c>
      <c r="J16" s="19" t="s">
        <v>37</v>
      </c>
      <c r="K16" s="19" t="s">
        <v>37</v>
      </c>
      <c r="L16" s="19" t="s">
        <v>713</v>
      </c>
      <c r="M16" s="19"/>
      <c r="N16" s="19"/>
      <c r="O16" s="19"/>
      <c r="P16" s="19"/>
      <c r="Q16" s="19">
        <v>1</v>
      </c>
      <c r="R16" s="21">
        <f t="shared" ref="R16:R18" si="2">H16</f>
        <v>30</v>
      </c>
    </row>
    <row r="17" spans="1:18" customFormat="1" x14ac:dyDescent="0.25">
      <c r="A17" s="19" t="s">
        <v>107</v>
      </c>
      <c r="B17" s="19" t="s">
        <v>32</v>
      </c>
      <c r="C17" s="19" t="s">
        <v>742</v>
      </c>
      <c r="D17" s="19"/>
      <c r="E17" s="19" t="s">
        <v>593</v>
      </c>
      <c r="F17" s="20">
        <v>12</v>
      </c>
      <c r="G17" s="20">
        <v>0</v>
      </c>
      <c r="H17" s="20">
        <v>40</v>
      </c>
      <c r="I17" s="20">
        <f t="shared" si="0"/>
        <v>-40</v>
      </c>
      <c r="J17" s="19" t="s">
        <v>37</v>
      </c>
      <c r="K17" s="19" t="s">
        <v>37</v>
      </c>
      <c r="L17" s="19" t="s">
        <v>713</v>
      </c>
      <c r="M17" s="19"/>
      <c r="N17" s="19"/>
      <c r="O17" s="19"/>
      <c r="P17" s="19"/>
      <c r="Q17" s="19">
        <v>1</v>
      </c>
      <c r="R17" s="21">
        <f t="shared" si="2"/>
        <v>40</v>
      </c>
    </row>
    <row r="18" spans="1:18" customFormat="1" x14ac:dyDescent="0.25">
      <c r="A18" s="19"/>
      <c r="B18" s="19" t="s">
        <v>32</v>
      </c>
      <c r="C18" s="19" t="s">
        <v>743</v>
      </c>
      <c r="D18" s="19" t="s">
        <v>744</v>
      </c>
      <c r="E18" s="19" t="s">
        <v>745</v>
      </c>
      <c r="F18" s="19" t="s">
        <v>173</v>
      </c>
      <c r="G18" s="20">
        <v>0</v>
      </c>
      <c r="H18" s="20">
        <v>25</v>
      </c>
      <c r="I18" s="20">
        <f t="shared" si="0"/>
        <v>-25</v>
      </c>
      <c r="J18" s="19" t="s">
        <v>169</v>
      </c>
      <c r="K18" s="19" t="s">
        <v>37</v>
      </c>
      <c r="L18" s="19" t="s">
        <v>713</v>
      </c>
      <c r="M18" s="19"/>
      <c r="N18" s="19"/>
      <c r="O18" s="19"/>
      <c r="P18" s="19"/>
      <c r="Q18" s="19">
        <v>1</v>
      </c>
      <c r="R18" s="21">
        <f t="shared" si="2"/>
        <v>25</v>
      </c>
    </row>
    <row r="19" spans="1:18" customFormat="1" x14ac:dyDescent="0.25">
      <c r="A19" s="19"/>
      <c r="B19" s="19" t="s">
        <v>32</v>
      </c>
      <c r="C19" s="19" t="s">
        <v>746</v>
      </c>
      <c r="D19" s="19" t="s">
        <v>747</v>
      </c>
      <c r="E19" s="19" t="s">
        <v>748</v>
      </c>
      <c r="F19" s="20">
        <v>5</v>
      </c>
      <c r="G19" s="20">
        <v>865</v>
      </c>
      <c r="H19" s="20">
        <v>25</v>
      </c>
      <c r="I19" s="20">
        <f t="shared" si="0"/>
        <v>840</v>
      </c>
      <c r="J19" s="19" t="s">
        <v>169</v>
      </c>
      <c r="K19" s="19" t="s">
        <v>37</v>
      </c>
      <c r="L19" s="19" t="s">
        <v>713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20">
        <v>86378380</v>
      </c>
      <c r="D20" s="19" t="s">
        <v>749</v>
      </c>
      <c r="E20" s="19" t="s">
        <v>750</v>
      </c>
      <c r="F20" s="20">
        <v>5</v>
      </c>
      <c r="G20" s="20">
        <v>0</v>
      </c>
      <c r="H20" s="20">
        <v>25</v>
      </c>
      <c r="I20" s="20">
        <f t="shared" si="0"/>
        <v>-25</v>
      </c>
      <c r="J20" s="19" t="s">
        <v>169</v>
      </c>
      <c r="K20" s="19" t="s">
        <v>37</v>
      </c>
      <c r="L20" s="19" t="s">
        <v>713</v>
      </c>
      <c r="M20" s="19"/>
      <c r="N20" s="19"/>
      <c r="O20" s="19"/>
      <c r="P20" s="19"/>
      <c r="Q20" s="19">
        <v>1</v>
      </c>
      <c r="R20" s="21">
        <f>H20</f>
        <v>25</v>
      </c>
    </row>
    <row r="21" spans="1:18" s="26" customFormat="1" x14ac:dyDescent="0.25">
      <c r="A21" s="23"/>
      <c r="B21" s="23" t="s">
        <v>32</v>
      </c>
      <c r="C21" s="23" t="s">
        <v>751</v>
      </c>
      <c r="D21" s="23" t="s">
        <v>752</v>
      </c>
      <c r="E21" s="23" t="s">
        <v>753</v>
      </c>
      <c r="F21" s="24">
        <v>10</v>
      </c>
      <c r="G21" s="24">
        <v>200</v>
      </c>
      <c r="H21" s="24">
        <v>25</v>
      </c>
      <c r="I21" s="24">
        <f t="shared" si="0"/>
        <v>175</v>
      </c>
      <c r="J21" s="23" t="s">
        <v>169</v>
      </c>
      <c r="K21" s="23" t="s">
        <v>37</v>
      </c>
      <c r="L21" s="23" t="s">
        <v>713</v>
      </c>
      <c r="M21" s="22" t="s">
        <v>754</v>
      </c>
      <c r="N21" s="23"/>
      <c r="O21" s="23"/>
      <c r="P21" s="23"/>
      <c r="Q21" s="23">
        <v>1</v>
      </c>
      <c r="R21" s="25">
        <f>H21</f>
        <v>25</v>
      </c>
    </row>
    <row r="22" spans="1:18" customFormat="1" x14ac:dyDescent="0.25">
      <c r="A22" s="19"/>
      <c r="B22" s="19" t="s">
        <v>32</v>
      </c>
      <c r="C22" s="19" t="s">
        <v>755</v>
      </c>
      <c r="D22" s="19" t="s">
        <v>756</v>
      </c>
      <c r="E22" s="19" t="s">
        <v>757</v>
      </c>
      <c r="F22" s="19" t="s">
        <v>173</v>
      </c>
      <c r="G22" s="20">
        <v>1285</v>
      </c>
      <c r="H22" s="20">
        <v>25</v>
      </c>
      <c r="I22" s="20">
        <f t="shared" si="0"/>
        <v>1260</v>
      </c>
      <c r="J22" s="19" t="s">
        <v>169</v>
      </c>
      <c r="K22" s="19" t="s">
        <v>37</v>
      </c>
      <c r="L22" s="19" t="s">
        <v>713</v>
      </c>
      <c r="M22" s="19"/>
      <c r="N22" s="19"/>
      <c r="O22" s="19"/>
      <c r="P22" s="19"/>
      <c r="Q22" s="19">
        <v>1</v>
      </c>
    </row>
    <row r="23" spans="1:18" customFormat="1" x14ac:dyDescent="0.25">
      <c r="A23" s="19"/>
      <c r="B23" s="19" t="s">
        <v>32</v>
      </c>
      <c r="C23" s="19" t="s">
        <v>758</v>
      </c>
      <c r="D23" s="19" t="s">
        <v>759</v>
      </c>
      <c r="E23" s="19" t="s">
        <v>760</v>
      </c>
      <c r="F23" s="19" t="s">
        <v>317</v>
      </c>
      <c r="G23" s="20">
        <v>0</v>
      </c>
      <c r="H23" s="20">
        <v>20</v>
      </c>
      <c r="I23" s="20">
        <f t="shared" si="0"/>
        <v>-20</v>
      </c>
      <c r="J23" s="19" t="s">
        <v>169</v>
      </c>
      <c r="K23" s="19" t="s">
        <v>37</v>
      </c>
      <c r="L23" s="19" t="s">
        <v>713</v>
      </c>
      <c r="M23" s="19"/>
      <c r="N23" s="19"/>
      <c r="O23" s="19"/>
      <c r="P23" s="19"/>
      <c r="Q23" s="19">
        <v>1</v>
      </c>
      <c r="R23" s="21">
        <f>H23</f>
        <v>20</v>
      </c>
    </row>
    <row r="24" spans="1:18" customFormat="1" x14ac:dyDescent="0.25">
      <c r="A24" s="19" t="s">
        <v>107</v>
      </c>
      <c r="B24" s="19" t="s">
        <v>32</v>
      </c>
      <c r="C24" s="19" t="s">
        <v>761</v>
      </c>
      <c r="D24" s="19"/>
      <c r="E24" s="19" t="s">
        <v>762</v>
      </c>
      <c r="F24" s="19" t="s">
        <v>173</v>
      </c>
      <c r="G24" s="20">
        <v>40</v>
      </c>
      <c r="H24" s="20">
        <v>40</v>
      </c>
      <c r="I24" s="20">
        <f t="shared" si="0"/>
        <v>0</v>
      </c>
      <c r="J24" s="19" t="s">
        <v>169</v>
      </c>
      <c r="K24" s="19" t="s">
        <v>37</v>
      </c>
      <c r="L24" s="19" t="s">
        <v>713</v>
      </c>
      <c r="M24" s="19"/>
      <c r="N24" s="19"/>
      <c r="O24" s="19"/>
      <c r="P24" s="19"/>
      <c r="Q24" s="19">
        <v>1</v>
      </c>
    </row>
    <row r="25" spans="1:18" customFormat="1" x14ac:dyDescent="0.25">
      <c r="A25" s="19" t="s">
        <v>107</v>
      </c>
      <c r="B25" s="19" t="s">
        <v>32</v>
      </c>
      <c r="C25" s="19" t="s">
        <v>763</v>
      </c>
      <c r="D25" s="19"/>
      <c r="E25" s="19" t="s">
        <v>764</v>
      </c>
      <c r="F25" s="20">
        <v>5</v>
      </c>
      <c r="G25" s="20">
        <v>0</v>
      </c>
      <c r="H25" s="20">
        <v>30</v>
      </c>
      <c r="I25" s="20">
        <f t="shared" si="0"/>
        <v>-30</v>
      </c>
      <c r="J25" s="19" t="s">
        <v>169</v>
      </c>
      <c r="K25" s="19" t="s">
        <v>37</v>
      </c>
      <c r="L25" s="19" t="s">
        <v>713</v>
      </c>
      <c r="M25" s="19"/>
      <c r="N25" s="19"/>
      <c r="O25" s="19"/>
      <c r="P25" s="19"/>
      <c r="Q25" s="19">
        <v>1</v>
      </c>
      <c r="R25" s="21">
        <f>H25</f>
        <v>30</v>
      </c>
    </row>
    <row r="27" spans="1:18" x14ac:dyDescent="0.25">
      <c r="G27" s="1">
        <f t="shared" ref="G27:R27" si="3">SUBTOTAL(9,G3:G25)</f>
        <v>10335</v>
      </c>
      <c r="H27" s="1">
        <f t="shared" si="3"/>
        <v>650</v>
      </c>
      <c r="I27" s="1">
        <f t="shared" si="3"/>
        <v>9685</v>
      </c>
      <c r="J27" s="1">
        <f t="shared" si="3"/>
        <v>0</v>
      </c>
      <c r="K27" s="1">
        <f t="shared" si="3"/>
        <v>0</v>
      </c>
      <c r="L27" s="1">
        <f t="shared" si="3"/>
        <v>0</v>
      </c>
      <c r="M27" s="1">
        <f t="shared" si="3"/>
        <v>0</v>
      </c>
      <c r="N27" s="1">
        <f t="shared" si="3"/>
        <v>0</v>
      </c>
      <c r="O27" s="1">
        <f t="shared" si="3"/>
        <v>0</v>
      </c>
      <c r="P27" s="1">
        <f t="shared" si="3"/>
        <v>0</v>
      </c>
      <c r="Q27" s="1">
        <f t="shared" si="3"/>
        <v>23</v>
      </c>
      <c r="R27" s="1">
        <f t="shared" si="3"/>
        <v>425</v>
      </c>
    </row>
    <row r="28" spans="1:18" x14ac:dyDescent="0.25">
      <c r="I28" s="1">
        <v>-300</v>
      </c>
      <c r="J28" s="1" t="s">
        <v>765</v>
      </c>
    </row>
    <row r="31" spans="1:18" ht="20.25" customHeight="1" x14ac:dyDescent="0.3">
      <c r="H31" s="4" t="s">
        <v>708</v>
      </c>
      <c r="I31" s="5" t="s">
        <v>15</v>
      </c>
      <c r="J31" s="6" t="s">
        <v>16</v>
      </c>
    </row>
    <row r="32" spans="1:18" ht="15.75" customHeight="1" x14ac:dyDescent="0.25">
      <c r="H32" s="7" t="s">
        <v>17</v>
      </c>
      <c r="I32" s="8">
        <f>SUM(I26:I30)</f>
        <v>9385</v>
      </c>
      <c r="J32" s="8">
        <f>Q27</f>
        <v>23</v>
      </c>
    </row>
    <row r="33" spans="8:10" x14ac:dyDescent="0.25">
      <c r="H33" s="9" t="s">
        <v>18</v>
      </c>
      <c r="I33" s="10">
        <f>R27</f>
        <v>425</v>
      </c>
      <c r="J33" s="11"/>
    </row>
    <row r="34" spans="8:10" x14ac:dyDescent="0.25">
      <c r="H34" s="9" t="s">
        <v>19</v>
      </c>
      <c r="I34" s="10">
        <f>S26</f>
        <v>0</v>
      </c>
      <c r="J34" s="11"/>
    </row>
    <row r="35" spans="8:10" x14ac:dyDescent="0.25">
      <c r="H35" s="9" t="s">
        <v>20</v>
      </c>
      <c r="I35" s="10">
        <f>T26</f>
        <v>0</v>
      </c>
      <c r="J35" s="11"/>
    </row>
    <row r="36" spans="8:10" x14ac:dyDescent="0.25">
      <c r="H36" s="9" t="s">
        <v>21</v>
      </c>
      <c r="I36" s="10">
        <f>U26</f>
        <v>0</v>
      </c>
      <c r="J36" s="11"/>
    </row>
    <row r="37" spans="8:10" ht="15.75" customHeight="1" x14ac:dyDescent="0.25">
      <c r="H37" s="12" t="s">
        <v>22</v>
      </c>
      <c r="I37" s="13"/>
      <c r="J37" s="13"/>
    </row>
    <row r="38" spans="8:10" ht="15.75" customHeight="1" x14ac:dyDescent="0.25">
      <c r="H38" s="14" t="s">
        <v>23</v>
      </c>
      <c r="I38" s="13"/>
      <c r="J38" s="13"/>
    </row>
    <row r="39" spans="8:10" ht="21" customHeight="1" x14ac:dyDescent="0.35">
      <c r="H39" s="15" t="s">
        <v>24</v>
      </c>
      <c r="I39" s="16">
        <f>SUM(I32:I38)</f>
        <v>9810</v>
      </c>
      <c r="J39" s="16">
        <f>SUM(J32:J36)</f>
        <v>23</v>
      </c>
    </row>
  </sheetData>
  <autoFilter ref="A2:P25" xr:uid="{00000000-0009-0000-0000-000006000000}">
    <sortState xmlns:xlrd2="http://schemas.microsoft.com/office/spreadsheetml/2017/richdata2" ref="A3:P25">
      <sortCondition ref="J2:J25"/>
    </sortState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0685-7716-4E00-A668-B0223BB35A79}">
  <dimension ref="A1:R35"/>
  <sheetViews>
    <sheetView zoomScale="82" zoomScaleNormal="80" workbookViewId="0">
      <selection activeCell="C7" sqref="C7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201</v>
      </c>
      <c r="C1" s="1" t="s">
        <v>706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768</v>
      </c>
      <c r="D3" s="19" t="s">
        <v>769</v>
      </c>
      <c r="E3" s="19" t="s">
        <v>770</v>
      </c>
      <c r="F3" s="19" t="s">
        <v>173</v>
      </c>
      <c r="G3" s="20">
        <v>965</v>
      </c>
      <c r="H3" s="20">
        <v>25</v>
      </c>
      <c r="I3" s="20">
        <f t="shared" ref="I3:I21" si="0">G3-H3</f>
        <v>940</v>
      </c>
      <c r="J3" s="19" t="s">
        <v>771</v>
      </c>
      <c r="K3" s="19" t="s">
        <v>37</v>
      </c>
      <c r="L3" s="19" t="s">
        <v>772</v>
      </c>
      <c r="M3" s="19"/>
      <c r="N3" s="19"/>
      <c r="O3" s="19"/>
      <c r="P3" s="19"/>
      <c r="Q3" s="19">
        <v>1</v>
      </c>
    </row>
    <row r="4" spans="1:18" customFormat="1" x14ac:dyDescent="0.25">
      <c r="A4" s="19"/>
      <c r="B4" s="19" t="s">
        <v>32</v>
      </c>
      <c r="C4" s="19" t="s">
        <v>773</v>
      </c>
      <c r="D4" s="19" t="s">
        <v>774</v>
      </c>
      <c r="E4" s="19" t="s">
        <v>775</v>
      </c>
      <c r="F4" s="19" t="s">
        <v>45</v>
      </c>
      <c r="G4" s="20">
        <v>0</v>
      </c>
      <c r="H4" s="20">
        <v>30</v>
      </c>
      <c r="I4" s="20">
        <f t="shared" si="0"/>
        <v>-30</v>
      </c>
      <c r="J4" s="19" t="s">
        <v>771</v>
      </c>
      <c r="K4" s="19" t="s">
        <v>37</v>
      </c>
      <c r="L4" s="19" t="s">
        <v>772</v>
      </c>
      <c r="M4" s="19"/>
      <c r="N4" s="19"/>
      <c r="O4" s="19"/>
      <c r="P4" s="19"/>
      <c r="Q4" s="19">
        <v>1</v>
      </c>
      <c r="R4" s="21">
        <f>H4</f>
        <v>30</v>
      </c>
    </row>
    <row r="5" spans="1:18" customFormat="1" x14ac:dyDescent="0.25">
      <c r="A5" s="19"/>
      <c r="B5" s="19" t="s">
        <v>32</v>
      </c>
      <c r="C5" s="19" t="s">
        <v>776</v>
      </c>
      <c r="D5" s="19" t="s">
        <v>777</v>
      </c>
      <c r="E5" s="19" t="s">
        <v>778</v>
      </c>
      <c r="F5" s="19" t="s">
        <v>45</v>
      </c>
      <c r="G5" s="20">
        <v>0</v>
      </c>
      <c r="H5" s="20">
        <v>30</v>
      </c>
      <c r="I5" s="20">
        <f t="shared" si="0"/>
        <v>-30</v>
      </c>
      <c r="J5" s="19" t="s">
        <v>771</v>
      </c>
      <c r="K5" s="19" t="s">
        <v>37</v>
      </c>
      <c r="L5" s="19" t="s">
        <v>772</v>
      </c>
      <c r="M5" s="19"/>
      <c r="N5" s="19"/>
      <c r="O5" s="19"/>
      <c r="P5" s="19"/>
      <c r="Q5" s="19">
        <v>1</v>
      </c>
      <c r="R5" s="21">
        <f>H5</f>
        <v>30</v>
      </c>
    </row>
    <row r="6" spans="1:18" customFormat="1" x14ac:dyDescent="0.25">
      <c r="A6" s="19" t="s">
        <v>107</v>
      </c>
      <c r="B6" s="19" t="s">
        <v>32</v>
      </c>
      <c r="C6" s="19" t="s">
        <v>779</v>
      </c>
      <c r="D6" s="19"/>
      <c r="E6" s="19" t="s">
        <v>780</v>
      </c>
      <c r="F6" s="20">
        <v>9</v>
      </c>
      <c r="G6" s="20">
        <v>35</v>
      </c>
      <c r="H6" s="20">
        <v>35</v>
      </c>
      <c r="I6" s="20">
        <f t="shared" si="0"/>
        <v>0</v>
      </c>
      <c r="J6" s="19" t="s">
        <v>771</v>
      </c>
      <c r="K6" s="19" t="s">
        <v>37</v>
      </c>
      <c r="L6" s="19" t="s">
        <v>772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781</v>
      </c>
      <c r="D7" s="19" t="s">
        <v>782</v>
      </c>
      <c r="E7" s="19" t="s">
        <v>783</v>
      </c>
      <c r="F7" s="19" t="s">
        <v>173</v>
      </c>
      <c r="G7" s="20">
        <v>0</v>
      </c>
      <c r="H7" s="20">
        <v>25</v>
      </c>
      <c r="I7" s="20">
        <f t="shared" si="0"/>
        <v>-25</v>
      </c>
      <c r="J7" s="19" t="s">
        <v>37</v>
      </c>
      <c r="K7" s="19" t="s">
        <v>37</v>
      </c>
      <c r="L7" s="19" t="s">
        <v>772</v>
      </c>
      <c r="M7" s="19"/>
      <c r="N7" s="19"/>
      <c r="O7" s="19"/>
      <c r="P7" s="19"/>
      <c r="Q7" s="19">
        <v>1</v>
      </c>
      <c r="R7" s="21">
        <f t="shared" ref="R7:R8" si="1">H7</f>
        <v>25</v>
      </c>
    </row>
    <row r="8" spans="1:18" customFormat="1" x14ac:dyDescent="0.25">
      <c r="A8" s="19"/>
      <c r="B8" s="19" t="s">
        <v>32</v>
      </c>
      <c r="C8" s="19" t="s">
        <v>784</v>
      </c>
      <c r="D8" s="19" t="s">
        <v>785</v>
      </c>
      <c r="E8" s="19" t="s">
        <v>786</v>
      </c>
      <c r="F8" s="20">
        <v>2</v>
      </c>
      <c r="G8" s="20">
        <v>0</v>
      </c>
      <c r="H8" s="20">
        <v>30</v>
      </c>
      <c r="I8" s="20">
        <f t="shared" si="0"/>
        <v>-30</v>
      </c>
      <c r="J8" s="19" t="s">
        <v>37</v>
      </c>
      <c r="K8" s="19" t="s">
        <v>37</v>
      </c>
      <c r="L8" s="19" t="s">
        <v>772</v>
      </c>
      <c r="M8" s="19"/>
      <c r="N8" s="19"/>
      <c r="O8" s="19"/>
      <c r="P8" s="19"/>
      <c r="Q8" s="19">
        <v>1</v>
      </c>
      <c r="R8" s="21">
        <f t="shared" si="1"/>
        <v>30</v>
      </c>
    </row>
    <row r="9" spans="1:18" customFormat="1" x14ac:dyDescent="0.25">
      <c r="A9" s="19"/>
      <c r="B9" s="19" t="s">
        <v>32</v>
      </c>
      <c r="C9" s="19" t="s">
        <v>582</v>
      </c>
      <c r="D9" s="19" t="s">
        <v>787</v>
      </c>
      <c r="E9" s="19" t="s">
        <v>584</v>
      </c>
      <c r="F9" s="19" t="s">
        <v>117</v>
      </c>
      <c r="G9" s="20">
        <v>865</v>
      </c>
      <c r="H9" s="20">
        <v>25</v>
      </c>
      <c r="I9" s="20">
        <f t="shared" si="0"/>
        <v>840</v>
      </c>
      <c r="J9" s="19" t="s">
        <v>37</v>
      </c>
      <c r="K9" s="19" t="s">
        <v>37</v>
      </c>
      <c r="L9" s="19" t="s">
        <v>772</v>
      </c>
      <c r="M9" s="19"/>
      <c r="N9" s="19"/>
      <c r="O9" s="19"/>
      <c r="P9" s="19"/>
      <c r="Q9" s="19">
        <v>1</v>
      </c>
    </row>
    <row r="10" spans="1:18" customFormat="1" x14ac:dyDescent="0.25">
      <c r="A10" s="19"/>
      <c r="B10" s="19" t="s">
        <v>32</v>
      </c>
      <c r="C10" s="19" t="s">
        <v>788</v>
      </c>
      <c r="D10" s="19" t="s">
        <v>789</v>
      </c>
      <c r="E10" s="19" t="s">
        <v>790</v>
      </c>
      <c r="F10" s="19" t="s">
        <v>138</v>
      </c>
      <c r="G10" s="20">
        <v>850</v>
      </c>
      <c r="H10" s="20">
        <v>30</v>
      </c>
      <c r="I10" s="20">
        <f t="shared" si="0"/>
        <v>820</v>
      </c>
      <c r="J10" s="19" t="s">
        <v>37</v>
      </c>
      <c r="K10" s="19" t="s">
        <v>37</v>
      </c>
      <c r="L10" s="19" t="s">
        <v>772</v>
      </c>
      <c r="M10" s="19"/>
      <c r="N10" s="19"/>
      <c r="O10" s="19"/>
      <c r="P10" s="19"/>
      <c r="Q10" s="19">
        <v>1</v>
      </c>
    </row>
    <row r="11" spans="1:18" customFormat="1" x14ac:dyDescent="0.25">
      <c r="A11" s="19" t="s">
        <v>107</v>
      </c>
      <c r="B11" s="19" t="s">
        <v>32</v>
      </c>
      <c r="C11" s="19" t="s">
        <v>162</v>
      </c>
      <c r="D11" s="19"/>
      <c r="E11" s="19" t="s">
        <v>163</v>
      </c>
      <c r="F11" s="19" t="s">
        <v>117</v>
      </c>
      <c r="G11" s="20">
        <v>17180</v>
      </c>
      <c r="H11" s="20">
        <v>80</v>
      </c>
      <c r="I11" s="20">
        <f t="shared" si="0"/>
        <v>17100</v>
      </c>
      <c r="J11" s="19" t="s">
        <v>37</v>
      </c>
      <c r="K11" s="19" t="s">
        <v>37</v>
      </c>
      <c r="L11" s="19" t="s">
        <v>772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791</v>
      </c>
      <c r="D12" s="19" t="s">
        <v>792</v>
      </c>
      <c r="E12" s="19" t="s">
        <v>793</v>
      </c>
      <c r="F12" s="20">
        <v>5</v>
      </c>
      <c r="G12" s="20">
        <v>945</v>
      </c>
      <c r="H12" s="20">
        <v>25</v>
      </c>
      <c r="I12" s="20">
        <f t="shared" si="0"/>
        <v>920</v>
      </c>
      <c r="J12" s="19" t="s">
        <v>169</v>
      </c>
      <c r="K12" s="19" t="s">
        <v>37</v>
      </c>
      <c r="L12" s="19" t="s">
        <v>772</v>
      </c>
      <c r="M12" s="19"/>
      <c r="N12" s="19"/>
      <c r="O12" s="19"/>
      <c r="P12" s="19"/>
      <c r="Q12" s="19">
        <v>1</v>
      </c>
    </row>
    <row r="13" spans="1:18" s="26" customFormat="1" x14ac:dyDescent="0.25">
      <c r="A13" s="23"/>
      <c r="B13" s="23" t="s">
        <v>32</v>
      </c>
      <c r="C13" s="23" t="s">
        <v>671</v>
      </c>
      <c r="D13" s="23" t="s">
        <v>794</v>
      </c>
      <c r="E13" s="23" t="s">
        <v>795</v>
      </c>
      <c r="F13" s="24">
        <v>1</v>
      </c>
      <c r="G13" s="24">
        <v>25</v>
      </c>
      <c r="H13" s="24">
        <v>25</v>
      </c>
      <c r="I13" s="24">
        <f t="shared" si="0"/>
        <v>0</v>
      </c>
      <c r="J13" s="23" t="s">
        <v>169</v>
      </c>
      <c r="K13" s="23" t="s">
        <v>37</v>
      </c>
      <c r="L13" s="23" t="s">
        <v>772</v>
      </c>
      <c r="M13" s="23" t="s">
        <v>148</v>
      </c>
      <c r="N13" s="23"/>
      <c r="O13" s="23"/>
      <c r="P13" s="23"/>
      <c r="Q13" s="23">
        <v>1</v>
      </c>
    </row>
    <row r="14" spans="1:18" customFormat="1" x14ac:dyDescent="0.25">
      <c r="A14" s="19"/>
      <c r="B14" s="19" t="s">
        <v>32</v>
      </c>
      <c r="C14" s="19" t="s">
        <v>796</v>
      </c>
      <c r="D14" s="19" t="s">
        <v>797</v>
      </c>
      <c r="E14" s="19" t="s">
        <v>798</v>
      </c>
      <c r="F14" s="20">
        <v>7</v>
      </c>
      <c r="G14" s="20">
        <v>970</v>
      </c>
      <c r="H14" s="20">
        <v>30</v>
      </c>
      <c r="I14" s="20">
        <f t="shared" si="0"/>
        <v>940</v>
      </c>
      <c r="J14" s="19" t="s">
        <v>169</v>
      </c>
      <c r="K14" s="19" t="s">
        <v>37</v>
      </c>
      <c r="L14" s="19" t="s">
        <v>772</v>
      </c>
      <c r="M14" s="19"/>
      <c r="N14" s="19"/>
      <c r="O14" s="19"/>
      <c r="P14" s="19"/>
      <c r="Q14" s="19">
        <v>1</v>
      </c>
    </row>
    <row r="15" spans="1:18" customFormat="1" x14ac:dyDescent="0.25">
      <c r="A15" s="19"/>
      <c r="B15" s="19" t="s">
        <v>32</v>
      </c>
      <c r="C15" s="19" t="s">
        <v>799</v>
      </c>
      <c r="D15" s="19" t="s">
        <v>800</v>
      </c>
      <c r="E15" s="19" t="s">
        <v>801</v>
      </c>
      <c r="F15" s="20">
        <v>1</v>
      </c>
      <c r="G15" s="20">
        <v>1905</v>
      </c>
      <c r="H15" s="20">
        <v>25</v>
      </c>
      <c r="I15" s="20">
        <f t="shared" si="0"/>
        <v>1880</v>
      </c>
      <c r="J15" s="19" t="s">
        <v>169</v>
      </c>
      <c r="K15" s="19" t="s">
        <v>37</v>
      </c>
      <c r="L15" s="19" t="s">
        <v>772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802</v>
      </c>
      <c r="D16" s="19" t="s">
        <v>803</v>
      </c>
      <c r="E16" s="19" t="s">
        <v>804</v>
      </c>
      <c r="F16" s="20">
        <v>3</v>
      </c>
      <c r="G16" s="20">
        <v>681</v>
      </c>
      <c r="H16" s="20">
        <v>25</v>
      </c>
      <c r="I16" s="20">
        <f t="shared" si="0"/>
        <v>656</v>
      </c>
      <c r="J16" s="19" t="s">
        <v>169</v>
      </c>
      <c r="K16" s="19" t="s">
        <v>37</v>
      </c>
      <c r="L16" s="19" t="s">
        <v>772</v>
      </c>
      <c r="M16" s="19"/>
      <c r="N16" s="19"/>
      <c r="O16" s="19"/>
      <c r="P16" s="19"/>
      <c r="Q16" s="19">
        <v>1</v>
      </c>
    </row>
    <row r="17" spans="1:18" customFormat="1" x14ac:dyDescent="0.25">
      <c r="A17" s="19"/>
      <c r="B17" s="19" t="s">
        <v>32</v>
      </c>
      <c r="C17" s="19" t="s">
        <v>805</v>
      </c>
      <c r="D17" s="19" t="s">
        <v>806</v>
      </c>
      <c r="E17" s="19" t="s">
        <v>807</v>
      </c>
      <c r="F17" s="20">
        <v>1</v>
      </c>
      <c r="G17" s="20">
        <v>965</v>
      </c>
      <c r="H17" s="20">
        <v>25</v>
      </c>
      <c r="I17" s="20">
        <f t="shared" si="0"/>
        <v>940</v>
      </c>
      <c r="J17" s="19" t="s">
        <v>169</v>
      </c>
      <c r="K17" s="19" t="s">
        <v>37</v>
      </c>
      <c r="L17" s="19" t="s">
        <v>772</v>
      </c>
      <c r="M17" s="19"/>
      <c r="N17" s="19"/>
      <c r="O17" s="19"/>
      <c r="P17" s="19"/>
      <c r="Q17" s="19">
        <v>1</v>
      </c>
    </row>
    <row r="18" spans="1:18" customFormat="1" x14ac:dyDescent="0.25">
      <c r="A18" s="19"/>
      <c r="B18" s="19" t="s">
        <v>32</v>
      </c>
      <c r="C18" s="19" t="s">
        <v>808</v>
      </c>
      <c r="D18" s="19" t="s">
        <v>809</v>
      </c>
      <c r="E18" s="19" t="s">
        <v>810</v>
      </c>
      <c r="F18" s="20">
        <v>5</v>
      </c>
      <c r="G18" s="20">
        <v>375</v>
      </c>
      <c r="H18" s="20">
        <v>25</v>
      </c>
      <c r="I18" s="20">
        <f t="shared" si="0"/>
        <v>350</v>
      </c>
      <c r="J18" s="19" t="s">
        <v>169</v>
      </c>
      <c r="K18" s="19" t="s">
        <v>37</v>
      </c>
      <c r="L18" s="19" t="s">
        <v>772</v>
      </c>
      <c r="M18" s="19"/>
      <c r="N18" s="19"/>
      <c r="O18" s="19"/>
      <c r="P18" s="19"/>
      <c r="Q18" s="19">
        <v>1</v>
      </c>
    </row>
    <row r="19" spans="1:18" customFormat="1" x14ac:dyDescent="0.25">
      <c r="A19" s="19"/>
      <c r="B19" s="19" t="s">
        <v>32</v>
      </c>
      <c r="C19" s="19" t="s">
        <v>811</v>
      </c>
      <c r="D19" s="19" t="s">
        <v>812</v>
      </c>
      <c r="E19" s="19" t="s">
        <v>813</v>
      </c>
      <c r="F19" s="20">
        <v>5</v>
      </c>
      <c r="G19" s="20">
        <v>25</v>
      </c>
      <c r="H19" s="20">
        <v>25</v>
      </c>
      <c r="I19" s="20">
        <f t="shared" si="0"/>
        <v>0</v>
      </c>
      <c r="J19" s="19" t="s">
        <v>169</v>
      </c>
      <c r="K19" s="19" t="s">
        <v>37</v>
      </c>
      <c r="L19" s="19" t="s">
        <v>772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19" t="s">
        <v>170</v>
      </c>
      <c r="D20" s="19" t="s">
        <v>814</v>
      </c>
      <c r="E20" s="19" t="s">
        <v>172</v>
      </c>
      <c r="F20" s="19" t="s">
        <v>173</v>
      </c>
      <c r="G20" s="20">
        <v>965</v>
      </c>
      <c r="H20" s="20">
        <v>25</v>
      </c>
      <c r="I20" s="20">
        <f t="shared" si="0"/>
        <v>940</v>
      </c>
      <c r="J20" s="19" t="s">
        <v>169</v>
      </c>
      <c r="K20" s="19" t="s">
        <v>37</v>
      </c>
      <c r="L20" s="19" t="s">
        <v>772</v>
      </c>
      <c r="M20" s="19"/>
      <c r="N20" s="19"/>
      <c r="O20" s="19"/>
      <c r="P20" s="19"/>
      <c r="Q20" s="19">
        <v>1</v>
      </c>
    </row>
    <row r="21" spans="1:18" customFormat="1" x14ac:dyDescent="0.25">
      <c r="A21" s="19" t="s">
        <v>107</v>
      </c>
      <c r="B21" s="19" t="s">
        <v>32</v>
      </c>
      <c r="C21" s="19" t="s">
        <v>815</v>
      </c>
      <c r="D21" s="19"/>
      <c r="E21" s="19" t="s">
        <v>816</v>
      </c>
      <c r="F21" s="20">
        <v>5</v>
      </c>
      <c r="G21" s="20">
        <v>0</v>
      </c>
      <c r="H21" s="20">
        <v>30</v>
      </c>
      <c r="I21" s="20">
        <f t="shared" si="0"/>
        <v>-30</v>
      </c>
      <c r="J21" s="19" t="s">
        <v>169</v>
      </c>
      <c r="K21" s="19" t="s">
        <v>37</v>
      </c>
      <c r="L21" s="19" t="s">
        <v>772</v>
      </c>
      <c r="M21" s="19"/>
      <c r="N21" s="19"/>
      <c r="O21" s="19"/>
      <c r="P21" s="19"/>
      <c r="Q21" s="19">
        <v>1</v>
      </c>
      <c r="R21" s="21">
        <f>H21</f>
        <v>30</v>
      </c>
    </row>
    <row r="23" spans="1:18" x14ac:dyDescent="0.25">
      <c r="G23" s="1">
        <f t="shared" ref="G23:R23" si="2">SUBTOTAL(9,G3:G21)</f>
        <v>26751</v>
      </c>
      <c r="H23" s="1">
        <f t="shared" si="2"/>
        <v>570</v>
      </c>
      <c r="I23" s="1">
        <f t="shared" si="2"/>
        <v>26181</v>
      </c>
      <c r="J23" s="1">
        <f t="shared" si="2"/>
        <v>0</v>
      </c>
      <c r="K23" s="1">
        <f t="shared" si="2"/>
        <v>0</v>
      </c>
      <c r="L23" s="1">
        <f t="shared" si="2"/>
        <v>0</v>
      </c>
      <c r="M23" s="1">
        <f t="shared" si="2"/>
        <v>0</v>
      </c>
      <c r="N23" s="1">
        <f t="shared" si="2"/>
        <v>0</v>
      </c>
      <c r="O23" s="1">
        <f t="shared" si="2"/>
        <v>0</v>
      </c>
      <c r="P23" s="1">
        <f t="shared" si="2"/>
        <v>0</v>
      </c>
      <c r="Q23" s="1">
        <f t="shared" si="2"/>
        <v>19</v>
      </c>
      <c r="R23" s="1">
        <f t="shared" si="2"/>
        <v>145</v>
      </c>
    </row>
    <row r="24" spans="1:18" x14ac:dyDescent="0.25">
      <c r="I24" s="1">
        <v>-1650</v>
      </c>
      <c r="J24" s="1" t="s">
        <v>817</v>
      </c>
    </row>
    <row r="27" spans="1:18" ht="20.25" customHeight="1" x14ac:dyDescent="0.3">
      <c r="H27" s="4" t="s">
        <v>707</v>
      </c>
      <c r="I27" s="5" t="s">
        <v>15</v>
      </c>
      <c r="J27" s="6" t="s">
        <v>16</v>
      </c>
    </row>
    <row r="28" spans="1:18" ht="15.75" customHeight="1" x14ac:dyDescent="0.25">
      <c r="H28" s="7" t="s">
        <v>17</v>
      </c>
      <c r="I28" s="8">
        <f>SUM(I22:I26)</f>
        <v>24531</v>
      </c>
      <c r="J28" s="8">
        <f>Q23</f>
        <v>19</v>
      </c>
    </row>
    <row r="29" spans="1:18" x14ac:dyDescent="0.25">
      <c r="H29" s="9" t="s">
        <v>18</v>
      </c>
      <c r="I29" s="10">
        <f>R23</f>
        <v>145</v>
      </c>
      <c r="J29" s="11"/>
    </row>
    <row r="30" spans="1:18" x14ac:dyDescent="0.25">
      <c r="H30" s="9" t="s">
        <v>19</v>
      </c>
      <c r="I30" s="10">
        <f>S22</f>
        <v>0</v>
      </c>
      <c r="J30" s="11"/>
    </row>
    <row r="31" spans="1:18" x14ac:dyDescent="0.25">
      <c r="H31" s="9" t="s">
        <v>20</v>
      </c>
      <c r="I31" s="10">
        <f>T22</f>
        <v>0</v>
      </c>
      <c r="J31" s="11"/>
    </row>
    <row r="32" spans="1:18" x14ac:dyDescent="0.25">
      <c r="H32" s="9" t="s">
        <v>21</v>
      </c>
      <c r="I32" s="10">
        <f>U22</f>
        <v>0</v>
      </c>
      <c r="J32" s="11"/>
    </row>
    <row r="33" spans="8:10" ht="15.75" customHeight="1" x14ac:dyDescent="0.25">
      <c r="H33" s="12" t="s">
        <v>22</v>
      </c>
      <c r="I33" s="13"/>
      <c r="J33" s="13"/>
    </row>
    <row r="34" spans="8:10" ht="15.75" customHeight="1" x14ac:dyDescent="0.25">
      <c r="H34" s="14" t="s">
        <v>23</v>
      </c>
      <c r="I34" s="13"/>
      <c r="J34" s="13"/>
    </row>
    <row r="35" spans="8:10" ht="21" customHeight="1" x14ac:dyDescent="0.35">
      <c r="H35" s="15" t="s">
        <v>24</v>
      </c>
      <c r="I35" s="16">
        <f>SUM(I28:I34)</f>
        <v>24676</v>
      </c>
      <c r="J35" s="16">
        <f>SUM(J28:J32)</f>
        <v>19</v>
      </c>
    </row>
  </sheetData>
  <autoFilter ref="A2:P21" xr:uid="{00000000-0009-0000-0000-000006000000}">
    <sortState xmlns:xlrd2="http://schemas.microsoft.com/office/spreadsheetml/2017/richdata2" ref="A3:P21">
      <sortCondition ref="J2:J21"/>
    </sortState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6E55-322A-40A2-B9F5-9CE7A3D3EAD3}">
  <dimension ref="A1:R36"/>
  <sheetViews>
    <sheetView topLeftCell="A2" zoomScale="82" zoomScaleNormal="80" workbookViewId="0">
      <selection activeCell="I25" sqref="I25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264</v>
      </c>
      <c r="C1" s="1" t="s">
        <v>767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463</v>
      </c>
      <c r="D3" s="19" t="s">
        <v>820</v>
      </c>
      <c r="E3" s="19" t="s">
        <v>465</v>
      </c>
      <c r="F3" s="19" t="s">
        <v>45</v>
      </c>
      <c r="G3" s="20">
        <v>0</v>
      </c>
      <c r="H3" s="20">
        <v>30</v>
      </c>
      <c r="I3" s="20">
        <f t="shared" ref="I3:I22" si="0">G3-H3</f>
        <v>-30</v>
      </c>
      <c r="J3" s="19" t="s">
        <v>821</v>
      </c>
      <c r="K3" s="19" t="s">
        <v>37</v>
      </c>
      <c r="L3" s="19" t="s">
        <v>822</v>
      </c>
      <c r="M3" s="19"/>
      <c r="N3" s="19"/>
      <c r="O3" s="19"/>
      <c r="P3" s="19"/>
      <c r="Q3" s="19">
        <v>1</v>
      </c>
      <c r="R3" s="21">
        <f>H3</f>
        <v>30</v>
      </c>
    </row>
    <row r="4" spans="1:18" customFormat="1" x14ac:dyDescent="0.25">
      <c r="A4" s="19"/>
      <c r="B4" s="19" t="s">
        <v>32</v>
      </c>
      <c r="C4" s="19" t="s">
        <v>823</v>
      </c>
      <c r="D4" s="19" t="s">
        <v>824</v>
      </c>
      <c r="E4" s="19" t="s">
        <v>825</v>
      </c>
      <c r="F4" s="20">
        <v>9</v>
      </c>
      <c r="G4" s="20">
        <v>720</v>
      </c>
      <c r="H4" s="20">
        <v>30</v>
      </c>
      <c r="I4" s="20">
        <f t="shared" si="0"/>
        <v>690</v>
      </c>
      <c r="J4" s="19" t="s">
        <v>821</v>
      </c>
      <c r="K4" s="19" t="s">
        <v>37</v>
      </c>
      <c r="L4" s="19" t="s">
        <v>822</v>
      </c>
      <c r="M4" s="19"/>
      <c r="N4" s="19"/>
      <c r="O4" s="19"/>
      <c r="P4" s="19"/>
      <c r="Q4" s="19">
        <v>1</v>
      </c>
    </row>
    <row r="5" spans="1:18" s="26" customFormat="1" x14ac:dyDescent="0.25">
      <c r="A5" s="23"/>
      <c r="B5" s="23" t="s">
        <v>32</v>
      </c>
      <c r="C5" s="23" t="s">
        <v>826</v>
      </c>
      <c r="D5" s="23" t="s">
        <v>827</v>
      </c>
      <c r="E5" s="23" t="s">
        <v>828</v>
      </c>
      <c r="F5" s="24">
        <v>6</v>
      </c>
      <c r="G5" s="24">
        <v>0</v>
      </c>
      <c r="H5" s="24">
        <v>25</v>
      </c>
      <c r="I5" s="24">
        <f t="shared" si="0"/>
        <v>-25</v>
      </c>
      <c r="J5" s="23" t="s">
        <v>821</v>
      </c>
      <c r="K5" s="23" t="s">
        <v>37</v>
      </c>
      <c r="L5" s="23" t="s">
        <v>822</v>
      </c>
      <c r="M5" s="23" t="s">
        <v>148</v>
      </c>
      <c r="N5" s="23"/>
      <c r="O5" s="23"/>
      <c r="P5" s="23"/>
      <c r="Q5" s="23">
        <v>1</v>
      </c>
      <c r="R5" s="25">
        <f>H5</f>
        <v>25</v>
      </c>
    </row>
    <row r="6" spans="1:18" customFormat="1" x14ac:dyDescent="0.25">
      <c r="A6" s="19"/>
      <c r="B6" s="19" t="s">
        <v>32</v>
      </c>
      <c r="C6" s="19" t="s">
        <v>829</v>
      </c>
      <c r="D6" s="19" t="s">
        <v>830</v>
      </c>
      <c r="E6" s="19" t="s">
        <v>831</v>
      </c>
      <c r="F6" s="19" t="s">
        <v>45</v>
      </c>
      <c r="G6" s="20">
        <v>940</v>
      </c>
      <c r="H6" s="20">
        <v>30</v>
      </c>
      <c r="I6" s="20">
        <f t="shared" si="0"/>
        <v>910</v>
      </c>
      <c r="J6" s="19" t="s">
        <v>821</v>
      </c>
      <c r="K6" s="19" t="s">
        <v>37</v>
      </c>
      <c r="L6" s="19" t="s">
        <v>822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832</v>
      </c>
      <c r="D7" s="19" t="s">
        <v>833</v>
      </c>
      <c r="E7" s="19" t="s">
        <v>834</v>
      </c>
      <c r="F7" s="19" t="s">
        <v>117</v>
      </c>
      <c r="G7" s="20">
        <v>0</v>
      </c>
      <c r="H7" s="20">
        <v>25</v>
      </c>
      <c r="I7" s="20">
        <f t="shared" si="0"/>
        <v>-25</v>
      </c>
      <c r="J7" s="19" t="s">
        <v>37</v>
      </c>
      <c r="K7" s="19" t="s">
        <v>37</v>
      </c>
      <c r="L7" s="19" t="s">
        <v>822</v>
      </c>
      <c r="M7" s="19"/>
      <c r="N7" s="19"/>
      <c r="O7" s="19"/>
      <c r="P7" s="19"/>
      <c r="Q7" s="19">
        <v>1</v>
      </c>
      <c r="R7" s="21">
        <f>H7</f>
        <v>25</v>
      </c>
    </row>
    <row r="8" spans="1:18" customFormat="1" x14ac:dyDescent="0.25">
      <c r="A8" s="19"/>
      <c r="B8" s="19" t="s">
        <v>32</v>
      </c>
      <c r="C8" s="19" t="s">
        <v>835</v>
      </c>
      <c r="D8" s="19" t="s">
        <v>836</v>
      </c>
      <c r="E8" s="19" t="s">
        <v>837</v>
      </c>
      <c r="F8" s="20">
        <v>12</v>
      </c>
      <c r="G8" s="20">
        <v>1910</v>
      </c>
      <c r="H8" s="20">
        <v>30</v>
      </c>
      <c r="I8" s="20">
        <f t="shared" si="0"/>
        <v>1880</v>
      </c>
      <c r="J8" s="19" t="s">
        <v>37</v>
      </c>
      <c r="K8" s="19" t="s">
        <v>37</v>
      </c>
      <c r="L8" s="19" t="s">
        <v>822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838</v>
      </c>
      <c r="D9" s="19" t="s">
        <v>839</v>
      </c>
      <c r="E9" s="19" t="s">
        <v>840</v>
      </c>
      <c r="F9" s="20">
        <v>12</v>
      </c>
      <c r="G9" s="20">
        <v>620</v>
      </c>
      <c r="H9" s="20">
        <v>30</v>
      </c>
      <c r="I9" s="20">
        <f t="shared" si="0"/>
        <v>590</v>
      </c>
      <c r="J9" s="19" t="s">
        <v>37</v>
      </c>
      <c r="K9" s="19" t="s">
        <v>37</v>
      </c>
      <c r="L9" s="19" t="s">
        <v>822</v>
      </c>
      <c r="M9" s="19"/>
      <c r="N9" s="19"/>
      <c r="O9" s="19"/>
      <c r="P9" s="19"/>
      <c r="Q9" s="19">
        <v>1</v>
      </c>
    </row>
    <row r="10" spans="1:18" customFormat="1" x14ac:dyDescent="0.25">
      <c r="A10" s="19"/>
      <c r="B10" s="19" t="s">
        <v>32</v>
      </c>
      <c r="C10" s="20">
        <v>3397</v>
      </c>
      <c r="D10" s="19" t="s">
        <v>841</v>
      </c>
      <c r="E10" s="19" t="s">
        <v>842</v>
      </c>
      <c r="F10" s="20">
        <v>12</v>
      </c>
      <c r="G10" s="20">
        <v>0</v>
      </c>
      <c r="H10" s="20">
        <v>30</v>
      </c>
      <c r="I10" s="20">
        <f t="shared" si="0"/>
        <v>-30</v>
      </c>
      <c r="J10" s="19" t="s">
        <v>37</v>
      </c>
      <c r="K10" s="19" t="s">
        <v>37</v>
      </c>
      <c r="L10" s="19" t="s">
        <v>822</v>
      </c>
      <c r="M10" s="19"/>
      <c r="N10" s="19"/>
      <c r="O10" s="19"/>
      <c r="P10" s="19"/>
      <c r="Q10" s="19">
        <v>1</v>
      </c>
      <c r="R10" s="21">
        <f>H10</f>
        <v>30</v>
      </c>
    </row>
    <row r="11" spans="1:18" customFormat="1" x14ac:dyDescent="0.25">
      <c r="A11" s="19"/>
      <c r="B11" s="19" t="s">
        <v>32</v>
      </c>
      <c r="C11" s="19" t="s">
        <v>784</v>
      </c>
      <c r="D11" s="19" t="s">
        <v>843</v>
      </c>
      <c r="E11" s="19" t="s">
        <v>786</v>
      </c>
      <c r="F11" s="20">
        <v>2</v>
      </c>
      <c r="G11" s="20">
        <v>940</v>
      </c>
      <c r="H11" s="20">
        <v>30</v>
      </c>
      <c r="I11" s="20">
        <f t="shared" si="0"/>
        <v>910</v>
      </c>
      <c r="J11" s="19" t="s">
        <v>37</v>
      </c>
      <c r="K11" s="19" t="s">
        <v>37</v>
      </c>
      <c r="L11" s="19" t="s">
        <v>822</v>
      </c>
      <c r="M11" s="22" t="s">
        <v>183</v>
      </c>
      <c r="N11" s="19"/>
      <c r="O11" s="19"/>
      <c r="P11" s="19"/>
      <c r="Q11" s="19">
        <v>1</v>
      </c>
      <c r="R11" s="21">
        <f>H11</f>
        <v>30</v>
      </c>
    </row>
    <row r="12" spans="1:18" customFormat="1" x14ac:dyDescent="0.25">
      <c r="A12" s="19"/>
      <c r="B12" s="19" t="s">
        <v>32</v>
      </c>
      <c r="C12" s="19" t="s">
        <v>844</v>
      </c>
      <c r="D12" s="19" t="s">
        <v>845</v>
      </c>
      <c r="E12" s="19" t="s">
        <v>846</v>
      </c>
      <c r="F12" s="20">
        <v>2</v>
      </c>
      <c r="G12" s="20">
        <v>860</v>
      </c>
      <c r="H12" s="20">
        <v>30</v>
      </c>
      <c r="I12" s="20">
        <f t="shared" si="0"/>
        <v>830</v>
      </c>
      <c r="J12" s="19" t="s">
        <v>37</v>
      </c>
      <c r="K12" s="19" t="s">
        <v>37</v>
      </c>
      <c r="L12" s="19" t="s">
        <v>822</v>
      </c>
      <c r="M12" s="19"/>
      <c r="N12" s="19"/>
      <c r="O12" s="19"/>
      <c r="P12" s="19"/>
      <c r="Q12" s="19">
        <v>1</v>
      </c>
    </row>
    <row r="13" spans="1:18" customFormat="1" x14ac:dyDescent="0.25">
      <c r="A13" s="19" t="s">
        <v>107</v>
      </c>
      <c r="B13" s="19" t="s">
        <v>32</v>
      </c>
      <c r="C13" s="19" t="s">
        <v>847</v>
      </c>
      <c r="D13" s="19"/>
      <c r="E13" s="19" t="s">
        <v>848</v>
      </c>
      <c r="F13" s="19" t="s">
        <v>117</v>
      </c>
      <c r="G13" s="20">
        <v>810</v>
      </c>
      <c r="H13" s="20">
        <v>30</v>
      </c>
      <c r="I13" s="20">
        <f t="shared" si="0"/>
        <v>780</v>
      </c>
      <c r="J13" s="19" t="s">
        <v>37</v>
      </c>
      <c r="K13" s="19" t="s">
        <v>37</v>
      </c>
      <c r="L13" s="19" t="s">
        <v>822</v>
      </c>
      <c r="M13" s="19"/>
      <c r="N13" s="19"/>
      <c r="O13" s="19"/>
      <c r="P13" s="19"/>
      <c r="Q13" s="19">
        <v>1</v>
      </c>
    </row>
    <row r="14" spans="1:18" customFormat="1" x14ac:dyDescent="0.25">
      <c r="A14" s="19"/>
      <c r="B14" s="19" t="s">
        <v>32</v>
      </c>
      <c r="C14" s="19" t="s">
        <v>849</v>
      </c>
      <c r="D14" s="19" t="s">
        <v>850</v>
      </c>
      <c r="E14" s="19" t="s">
        <v>851</v>
      </c>
      <c r="F14" s="20">
        <v>7</v>
      </c>
      <c r="G14" s="20">
        <v>0</v>
      </c>
      <c r="H14" s="20">
        <v>30</v>
      </c>
      <c r="I14" s="20">
        <f t="shared" si="0"/>
        <v>-30</v>
      </c>
      <c r="J14" s="19" t="s">
        <v>169</v>
      </c>
      <c r="K14" s="19" t="s">
        <v>37</v>
      </c>
      <c r="L14" s="19" t="s">
        <v>822</v>
      </c>
      <c r="M14" s="19"/>
      <c r="N14" s="19"/>
      <c r="O14" s="19"/>
      <c r="P14" s="19"/>
      <c r="Q14" s="19">
        <v>1</v>
      </c>
      <c r="R14" s="21">
        <f>H14</f>
        <v>30</v>
      </c>
    </row>
    <row r="15" spans="1:18" customFormat="1" x14ac:dyDescent="0.25">
      <c r="A15" s="19"/>
      <c r="B15" s="19" t="s">
        <v>32</v>
      </c>
      <c r="C15" s="19" t="s">
        <v>170</v>
      </c>
      <c r="D15" s="19" t="s">
        <v>852</v>
      </c>
      <c r="E15" s="19" t="s">
        <v>172</v>
      </c>
      <c r="F15" s="19" t="s">
        <v>173</v>
      </c>
      <c r="G15" s="20">
        <v>965</v>
      </c>
      <c r="H15" s="20">
        <v>25</v>
      </c>
      <c r="I15" s="20">
        <f t="shared" si="0"/>
        <v>940</v>
      </c>
      <c r="J15" s="19" t="s">
        <v>169</v>
      </c>
      <c r="K15" s="19" t="s">
        <v>37</v>
      </c>
      <c r="L15" s="19" t="s">
        <v>822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853</v>
      </c>
      <c r="D16" s="19" t="s">
        <v>854</v>
      </c>
      <c r="E16" s="19" t="s">
        <v>855</v>
      </c>
      <c r="F16" s="20">
        <v>5</v>
      </c>
      <c r="G16" s="20">
        <v>0</v>
      </c>
      <c r="H16" s="20">
        <v>25</v>
      </c>
      <c r="I16" s="20">
        <f t="shared" si="0"/>
        <v>-25</v>
      </c>
      <c r="J16" s="19" t="s">
        <v>169</v>
      </c>
      <c r="K16" s="19" t="s">
        <v>37</v>
      </c>
      <c r="L16" s="19" t="s">
        <v>822</v>
      </c>
      <c r="M16" s="19"/>
      <c r="N16" s="19"/>
      <c r="O16" s="19"/>
      <c r="P16" s="19"/>
      <c r="Q16" s="19">
        <v>1</v>
      </c>
      <c r="R16" s="21">
        <f>H16</f>
        <v>25</v>
      </c>
    </row>
    <row r="17" spans="1:18" customFormat="1" x14ac:dyDescent="0.25">
      <c r="A17" s="19"/>
      <c r="B17" s="19" t="s">
        <v>32</v>
      </c>
      <c r="C17" s="19" t="s">
        <v>856</v>
      </c>
      <c r="D17" s="19" t="s">
        <v>857</v>
      </c>
      <c r="E17" s="19" t="s">
        <v>858</v>
      </c>
      <c r="F17" s="20">
        <v>1</v>
      </c>
      <c r="G17" s="20">
        <v>715</v>
      </c>
      <c r="H17" s="20">
        <v>25</v>
      </c>
      <c r="I17" s="20">
        <f t="shared" si="0"/>
        <v>690</v>
      </c>
      <c r="J17" s="19" t="s">
        <v>169</v>
      </c>
      <c r="K17" s="19" t="s">
        <v>37</v>
      </c>
      <c r="L17" s="19" t="s">
        <v>822</v>
      </c>
      <c r="M17" s="19"/>
      <c r="N17" s="19"/>
      <c r="O17" s="19"/>
      <c r="P17" s="19"/>
      <c r="Q17" s="19">
        <v>1</v>
      </c>
    </row>
    <row r="18" spans="1:18" customFormat="1" x14ac:dyDescent="0.25">
      <c r="A18" s="19"/>
      <c r="B18" s="19" t="s">
        <v>32</v>
      </c>
      <c r="C18" s="19" t="s">
        <v>859</v>
      </c>
      <c r="D18" s="19" t="s">
        <v>860</v>
      </c>
      <c r="E18" s="19" t="s">
        <v>861</v>
      </c>
      <c r="F18" s="20">
        <v>3</v>
      </c>
      <c r="G18" s="20">
        <v>965</v>
      </c>
      <c r="H18" s="20">
        <v>25</v>
      </c>
      <c r="I18" s="20">
        <f t="shared" si="0"/>
        <v>940</v>
      </c>
      <c r="J18" s="19" t="s">
        <v>169</v>
      </c>
      <c r="K18" s="19" t="s">
        <v>37</v>
      </c>
      <c r="L18" s="19" t="s">
        <v>822</v>
      </c>
      <c r="M18" s="19"/>
      <c r="N18" s="19"/>
      <c r="O18" s="19"/>
      <c r="P18" s="19"/>
      <c r="Q18" s="19">
        <v>1</v>
      </c>
    </row>
    <row r="19" spans="1:18" customFormat="1" x14ac:dyDescent="0.25">
      <c r="A19" s="19"/>
      <c r="B19" s="19" t="s">
        <v>32</v>
      </c>
      <c r="C19" s="19" t="s">
        <v>862</v>
      </c>
      <c r="D19" s="19" t="s">
        <v>863</v>
      </c>
      <c r="E19" s="19" t="s">
        <v>864</v>
      </c>
      <c r="F19" s="20">
        <v>1</v>
      </c>
      <c r="G19" s="20">
        <v>855</v>
      </c>
      <c r="H19" s="20">
        <v>25</v>
      </c>
      <c r="I19" s="20">
        <f t="shared" si="0"/>
        <v>830</v>
      </c>
      <c r="J19" s="19" t="s">
        <v>169</v>
      </c>
      <c r="K19" s="19" t="s">
        <v>37</v>
      </c>
      <c r="L19" s="19" t="s">
        <v>822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19" t="s">
        <v>865</v>
      </c>
      <c r="D20" s="19" t="s">
        <v>866</v>
      </c>
      <c r="E20" s="19" t="s">
        <v>867</v>
      </c>
      <c r="F20" s="20">
        <v>7</v>
      </c>
      <c r="G20" s="20">
        <v>920</v>
      </c>
      <c r="H20" s="20">
        <v>30</v>
      </c>
      <c r="I20" s="20">
        <f t="shared" si="0"/>
        <v>890</v>
      </c>
      <c r="J20" s="19" t="s">
        <v>169</v>
      </c>
      <c r="K20" s="19" t="s">
        <v>37</v>
      </c>
      <c r="L20" s="19" t="s">
        <v>822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808</v>
      </c>
      <c r="D21" s="19" t="s">
        <v>868</v>
      </c>
      <c r="E21" s="19" t="s">
        <v>810</v>
      </c>
      <c r="F21" s="20">
        <v>5</v>
      </c>
      <c r="G21" s="20">
        <v>1585</v>
      </c>
      <c r="H21" s="20">
        <v>25</v>
      </c>
      <c r="I21" s="20">
        <f t="shared" si="0"/>
        <v>1560</v>
      </c>
      <c r="J21" s="19" t="s">
        <v>169</v>
      </c>
      <c r="K21" s="19" t="s">
        <v>37</v>
      </c>
      <c r="L21" s="19" t="s">
        <v>822</v>
      </c>
      <c r="M21" s="19"/>
      <c r="N21" s="19"/>
      <c r="O21" s="19"/>
      <c r="P21" s="19"/>
      <c r="Q21" s="19">
        <v>1</v>
      </c>
    </row>
    <row r="22" spans="1:18" customFormat="1" x14ac:dyDescent="0.25">
      <c r="A22" s="19"/>
      <c r="B22" s="19" t="s">
        <v>32</v>
      </c>
      <c r="C22" s="19" t="s">
        <v>869</v>
      </c>
      <c r="D22" s="19" t="s">
        <v>870</v>
      </c>
      <c r="E22" s="19" t="s">
        <v>871</v>
      </c>
      <c r="F22" s="20">
        <v>8</v>
      </c>
      <c r="G22" s="20">
        <v>720</v>
      </c>
      <c r="H22" s="20">
        <v>30</v>
      </c>
      <c r="I22" s="20">
        <f t="shared" si="0"/>
        <v>690</v>
      </c>
      <c r="J22" s="19" t="s">
        <v>169</v>
      </c>
      <c r="K22" s="19" t="s">
        <v>37</v>
      </c>
      <c r="L22" s="19" t="s">
        <v>822</v>
      </c>
      <c r="M22" s="19"/>
      <c r="N22" s="19"/>
      <c r="O22" s="19"/>
      <c r="P22" s="19"/>
      <c r="Q22" s="19">
        <v>1</v>
      </c>
    </row>
    <row r="24" spans="1:18" x14ac:dyDescent="0.25">
      <c r="G24" s="1">
        <f t="shared" ref="G24:R24" si="1">SUBTOTAL(9,G3:G22)</f>
        <v>13525</v>
      </c>
      <c r="H24" s="1">
        <f t="shared" si="1"/>
        <v>560</v>
      </c>
      <c r="I24" s="1">
        <f t="shared" si="1"/>
        <v>12965</v>
      </c>
      <c r="J24" s="1">
        <f t="shared" si="1"/>
        <v>0</v>
      </c>
      <c r="K24" s="1">
        <f t="shared" si="1"/>
        <v>0</v>
      </c>
      <c r="L24" s="1">
        <f t="shared" si="1"/>
        <v>0</v>
      </c>
      <c r="M24" s="1">
        <f t="shared" si="1"/>
        <v>0</v>
      </c>
      <c r="N24" s="1">
        <f t="shared" si="1"/>
        <v>0</v>
      </c>
      <c r="O24" s="1">
        <f t="shared" si="1"/>
        <v>0</v>
      </c>
      <c r="P24" s="1">
        <f t="shared" si="1"/>
        <v>0</v>
      </c>
      <c r="Q24" s="1">
        <f t="shared" si="1"/>
        <v>20</v>
      </c>
      <c r="R24" s="1">
        <f t="shared" si="1"/>
        <v>195</v>
      </c>
    </row>
    <row r="25" spans="1:18" x14ac:dyDescent="0.25">
      <c r="I25" s="1">
        <v>-940</v>
      </c>
      <c r="J25" s="1" t="s">
        <v>872</v>
      </c>
    </row>
    <row r="28" spans="1:18" ht="20.25" customHeight="1" x14ac:dyDescent="0.3">
      <c r="H28" s="4" t="s">
        <v>766</v>
      </c>
      <c r="I28" s="5" t="s">
        <v>15</v>
      </c>
      <c r="J28" s="6" t="s">
        <v>16</v>
      </c>
    </row>
    <row r="29" spans="1:18" ht="15.75" customHeight="1" x14ac:dyDescent="0.25">
      <c r="H29" s="7" t="s">
        <v>17</v>
      </c>
      <c r="I29" s="8">
        <f>SUM(I23:I27)</f>
        <v>12025</v>
      </c>
      <c r="J29" s="8">
        <f>Q24</f>
        <v>20</v>
      </c>
    </row>
    <row r="30" spans="1:18" x14ac:dyDescent="0.25">
      <c r="H30" s="9" t="s">
        <v>18</v>
      </c>
      <c r="I30" s="10">
        <f>R24</f>
        <v>195</v>
      </c>
      <c r="J30" s="11"/>
    </row>
    <row r="31" spans="1:18" x14ac:dyDescent="0.25">
      <c r="H31" s="9" t="s">
        <v>19</v>
      </c>
      <c r="I31" s="10">
        <f>S23</f>
        <v>0</v>
      </c>
      <c r="J31" s="11"/>
    </row>
    <row r="32" spans="1:18" x14ac:dyDescent="0.25">
      <c r="H32" s="9" t="s">
        <v>20</v>
      </c>
      <c r="I32" s="10">
        <f>T23</f>
        <v>0</v>
      </c>
      <c r="J32" s="11"/>
    </row>
    <row r="33" spans="8:10" x14ac:dyDescent="0.25">
      <c r="H33" s="9" t="s">
        <v>21</v>
      </c>
      <c r="I33" s="10">
        <f>U23</f>
        <v>0</v>
      </c>
      <c r="J33" s="11"/>
    </row>
    <row r="34" spans="8:10" ht="15.75" customHeight="1" x14ac:dyDescent="0.25">
      <c r="H34" s="12" t="s">
        <v>22</v>
      </c>
      <c r="I34" s="13"/>
      <c r="J34" s="13"/>
    </row>
    <row r="35" spans="8:10" ht="15.75" customHeight="1" x14ac:dyDescent="0.25">
      <c r="H35" s="14" t="s">
        <v>23</v>
      </c>
      <c r="I35" s="13"/>
      <c r="J35" s="13"/>
    </row>
    <row r="36" spans="8:10" ht="21" customHeight="1" x14ac:dyDescent="0.35">
      <c r="H36" s="15" t="s">
        <v>24</v>
      </c>
      <c r="I36" s="16">
        <f>SUM(I29:I35)</f>
        <v>12220</v>
      </c>
      <c r="J36" s="16">
        <f>SUM(J29:J33)</f>
        <v>20</v>
      </c>
    </row>
  </sheetData>
  <autoFilter ref="A2:P22" xr:uid="{00000000-0009-0000-0000-000006000000}">
    <sortState xmlns:xlrd2="http://schemas.microsoft.com/office/spreadsheetml/2017/richdata2" ref="A3:P22">
      <sortCondition ref="J2:J22"/>
    </sortState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E488-B5FF-46F6-A13E-343D1FC43AA7}">
  <dimension ref="A1:R33"/>
  <sheetViews>
    <sheetView zoomScale="82" zoomScaleNormal="80" workbookViewId="0">
      <selection activeCell="E9" sqref="E9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345</v>
      </c>
      <c r="C1" s="1" t="s">
        <v>818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875</v>
      </c>
      <c r="D3" s="19" t="s">
        <v>876</v>
      </c>
      <c r="E3" s="19" t="s">
        <v>877</v>
      </c>
      <c r="F3" s="20">
        <v>7</v>
      </c>
      <c r="G3" s="20">
        <v>850</v>
      </c>
      <c r="H3" s="20">
        <v>30</v>
      </c>
      <c r="I3" s="20">
        <f t="shared" ref="I3:I19" si="0">G3-H3</f>
        <v>820</v>
      </c>
      <c r="J3" s="19" t="s">
        <v>878</v>
      </c>
      <c r="K3" s="19" t="s">
        <v>37</v>
      </c>
      <c r="L3" s="19" t="s">
        <v>879</v>
      </c>
      <c r="M3" s="19"/>
      <c r="N3" s="19"/>
      <c r="O3" s="19"/>
      <c r="P3" s="19"/>
      <c r="Q3" s="19">
        <v>1</v>
      </c>
    </row>
    <row r="4" spans="1:18" s="26" customFormat="1" x14ac:dyDescent="0.25">
      <c r="A4" s="23"/>
      <c r="B4" s="23" t="s">
        <v>32</v>
      </c>
      <c r="C4" s="23" t="s">
        <v>823</v>
      </c>
      <c r="D4" s="23" t="s">
        <v>880</v>
      </c>
      <c r="E4" s="23" t="s">
        <v>825</v>
      </c>
      <c r="F4" s="24">
        <v>9</v>
      </c>
      <c r="G4" s="24">
        <v>0</v>
      </c>
      <c r="H4" s="24">
        <v>30</v>
      </c>
      <c r="I4" s="24">
        <f t="shared" si="0"/>
        <v>-30</v>
      </c>
      <c r="J4" s="23" t="s">
        <v>878</v>
      </c>
      <c r="K4" s="23" t="s">
        <v>37</v>
      </c>
      <c r="L4" s="23" t="s">
        <v>879</v>
      </c>
      <c r="M4" s="23" t="s">
        <v>148</v>
      </c>
      <c r="N4" s="23"/>
      <c r="O4" s="23"/>
      <c r="P4" s="23"/>
      <c r="Q4" s="23">
        <v>1</v>
      </c>
      <c r="R4" s="25">
        <f>H4</f>
        <v>30</v>
      </c>
    </row>
    <row r="5" spans="1:18" customFormat="1" x14ac:dyDescent="0.25">
      <c r="A5" s="19"/>
      <c r="B5" s="19" t="s">
        <v>32</v>
      </c>
      <c r="C5" s="19" t="s">
        <v>881</v>
      </c>
      <c r="D5" s="19" t="s">
        <v>882</v>
      </c>
      <c r="E5" s="19" t="s">
        <v>883</v>
      </c>
      <c r="F5" s="19" t="s">
        <v>884</v>
      </c>
      <c r="G5" s="20">
        <v>0</v>
      </c>
      <c r="H5" s="20">
        <v>35</v>
      </c>
      <c r="I5" s="20">
        <f t="shared" si="0"/>
        <v>-35</v>
      </c>
      <c r="J5" s="19" t="s">
        <v>878</v>
      </c>
      <c r="K5" s="19" t="s">
        <v>37</v>
      </c>
      <c r="L5" s="19" t="s">
        <v>879</v>
      </c>
      <c r="M5" s="19"/>
      <c r="N5" s="19"/>
      <c r="O5" s="19"/>
      <c r="P5" s="19"/>
      <c r="Q5" s="19">
        <v>1</v>
      </c>
      <c r="R5" s="32">
        <f>H5</f>
        <v>35</v>
      </c>
    </row>
    <row r="6" spans="1:18" customFormat="1" x14ac:dyDescent="0.25">
      <c r="A6" s="19"/>
      <c r="B6" s="19" t="s">
        <v>32</v>
      </c>
      <c r="C6" s="19" t="s">
        <v>885</v>
      </c>
      <c r="D6" s="19" t="s">
        <v>886</v>
      </c>
      <c r="E6" s="19" t="s">
        <v>887</v>
      </c>
      <c r="F6" s="19" t="s">
        <v>45</v>
      </c>
      <c r="G6" s="20">
        <v>950</v>
      </c>
      <c r="H6" s="20">
        <v>30</v>
      </c>
      <c r="I6" s="20">
        <f t="shared" si="0"/>
        <v>920</v>
      </c>
      <c r="J6" s="19" t="s">
        <v>878</v>
      </c>
      <c r="K6" s="19" t="s">
        <v>37</v>
      </c>
      <c r="L6" s="19" t="s">
        <v>879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888</v>
      </c>
      <c r="D7" s="19" t="s">
        <v>889</v>
      </c>
      <c r="E7" s="19" t="s">
        <v>890</v>
      </c>
      <c r="F7" s="20">
        <v>7</v>
      </c>
      <c r="G7" s="20">
        <v>670</v>
      </c>
      <c r="H7" s="20">
        <v>30</v>
      </c>
      <c r="I7" s="20">
        <f t="shared" si="0"/>
        <v>640</v>
      </c>
      <c r="J7" s="19" t="s">
        <v>878</v>
      </c>
      <c r="K7" s="19" t="s">
        <v>37</v>
      </c>
      <c r="L7" s="19" t="s">
        <v>879</v>
      </c>
      <c r="M7" s="19"/>
      <c r="N7" s="19"/>
      <c r="O7" s="19"/>
      <c r="P7" s="19"/>
      <c r="Q7" s="19">
        <v>1</v>
      </c>
    </row>
    <row r="8" spans="1:18" customFormat="1" x14ac:dyDescent="0.25">
      <c r="A8" s="19"/>
      <c r="B8" s="19" t="s">
        <v>32</v>
      </c>
      <c r="C8" s="19" t="s">
        <v>891</v>
      </c>
      <c r="D8" s="19" t="s">
        <v>892</v>
      </c>
      <c r="E8" s="19" t="s">
        <v>893</v>
      </c>
      <c r="F8" s="20">
        <v>8</v>
      </c>
      <c r="G8" s="20">
        <v>850</v>
      </c>
      <c r="H8" s="20">
        <v>30</v>
      </c>
      <c r="I8" s="20">
        <f t="shared" si="0"/>
        <v>820</v>
      </c>
      <c r="J8" s="19" t="s">
        <v>878</v>
      </c>
      <c r="K8" s="19" t="s">
        <v>37</v>
      </c>
      <c r="L8" s="19" t="s">
        <v>879</v>
      </c>
      <c r="M8" s="19"/>
      <c r="N8" s="19"/>
      <c r="O8" s="19"/>
      <c r="P8" s="19"/>
      <c r="Q8" s="19">
        <v>1</v>
      </c>
    </row>
    <row r="9" spans="1:18" customFormat="1" x14ac:dyDescent="0.25">
      <c r="A9" s="19" t="s">
        <v>107</v>
      </c>
      <c r="B9" s="19" t="s">
        <v>32</v>
      </c>
      <c r="C9" s="19" t="s">
        <v>894</v>
      </c>
      <c r="D9" s="19"/>
      <c r="E9" s="19" t="s">
        <v>895</v>
      </c>
      <c r="F9" s="19" t="s">
        <v>62</v>
      </c>
      <c r="G9" s="20">
        <v>0</v>
      </c>
      <c r="H9" s="20">
        <v>30</v>
      </c>
      <c r="I9" s="20">
        <f t="shared" si="0"/>
        <v>-30</v>
      </c>
      <c r="J9" s="19" t="s">
        <v>878</v>
      </c>
      <c r="K9" s="19" t="s">
        <v>37</v>
      </c>
      <c r="L9" s="19" t="s">
        <v>879</v>
      </c>
      <c r="M9" s="19"/>
      <c r="N9" s="19"/>
      <c r="O9" s="19"/>
      <c r="P9" s="19"/>
      <c r="Q9" s="19">
        <v>1</v>
      </c>
      <c r="R9" s="32">
        <f>H9</f>
        <v>30</v>
      </c>
    </row>
    <row r="10" spans="1:18" customFormat="1" x14ac:dyDescent="0.25">
      <c r="A10" s="19"/>
      <c r="B10" s="19" t="s">
        <v>32</v>
      </c>
      <c r="C10" s="19" t="s">
        <v>896</v>
      </c>
      <c r="D10" s="19" t="s">
        <v>897</v>
      </c>
      <c r="E10" s="19" t="s">
        <v>898</v>
      </c>
      <c r="F10" s="19" t="s">
        <v>124</v>
      </c>
      <c r="G10" s="20">
        <v>910</v>
      </c>
      <c r="H10" s="20">
        <v>20</v>
      </c>
      <c r="I10" s="20">
        <f t="shared" si="0"/>
        <v>890</v>
      </c>
      <c r="J10" s="19" t="s">
        <v>37</v>
      </c>
      <c r="K10" s="19" t="s">
        <v>37</v>
      </c>
      <c r="L10" s="19" t="s">
        <v>879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899</v>
      </c>
      <c r="D11" s="19" t="s">
        <v>900</v>
      </c>
      <c r="E11" s="19" t="s">
        <v>901</v>
      </c>
      <c r="F11" s="20">
        <v>12</v>
      </c>
      <c r="G11" s="20">
        <v>0</v>
      </c>
      <c r="H11" s="20">
        <v>30</v>
      </c>
      <c r="I11" s="20">
        <f t="shared" si="0"/>
        <v>-30</v>
      </c>
      <c r="J11" s="19" t="s">
        <v>37</v>
      </c>
      <c r="K11" s="19" t="s">
        <v>37</v>
      </c>
      <c r="L11" s="19" t="s">
        <v>879</v>
      </c>
      <c r="M11" s="19"/>
      <c r="N11" s="19"/>
      <c r="O11" s="19"/>
      <c r="P11" s="19"/>
      <c r="Q11" s="19">
        <v>1</v>
      </c>
      <c r="R11" s="32">
        <f t="shared" ref="R11:R18" si="1">H11</f>
        <v>30</v>
      </c>
    </row>
    <row r="12" spans="1:18" customFormat="1" x14ac:dyDescent="0.25">
      <c r="A12" s="19"/>
      <c r="B12" s="19" t="s">
        <v>32</v>
      </c>
      <c r="C12" s="19" t="s">
        <v>902</v>
      </c>
      <c r="D12" s="19" t="s">
        <v>903</v>
      </c>
      <c r="E12" s="19" t="s">
        <v>904</v>
      </c>
      <c r="F12" s="20">
        <v>12</v>
      </c>
      <c r="G12" s="20">
        <v>0</v>
      </c>
      <c r="H12" s="20">
        <v>30</v>
      </c>
      <c r="I12" s="20">
        <f t="shared" si="0"/>
        <v>-30</v>
      </c>
      <c r="J12" s="19" t="s">
        <v>37</v>
      </c>
      <c r="K12" s="19" t="s">
        <v>37</v>
      </c>
      <c r="L12" s="19" t="s">
        <v>879</v>
      </c>
      <c r="M12" s="19"/>
      <c r="N12" s="19"/>
      <c r="O12" s="19"/>
      <c r="P12" s="19"/>
      <c r="Q12" s="19">
        <v>1</v>
      </c>
      <c r="R12" s="32">
        <f t="shared" si="1"/>
        <v>30</v>
      </c>
    </row>
    <row r="13" spans="1:18" customFormat="1" x14ac:dyDescent="0.25">
      <c r="A13" s="19"/>
      <c r="B13" s="19" t="s">
        <v>32</v>
      </c>
      <c r="C13" s="19" t="s">
        <v>905</v>
      </c>
      <c r="D13" s="19" t="s">
        <v>906</v>
      </c>
      <c r="E13" s="19" t="s">
        <v>503</v>
      </c>
      <c r="F13" s="20">
        <v>12</v>
      </c>
      <c r="G13" s="20">
        <v>0</v>
      </c>
      <c r="H13" s="20">
        <v>30</v>
      </c>
      <c r="I13" s="20">
        <f t="shared" si="0"/>
        <v>-30</v>
      </c>
      <c r="J13" s="19" t="s">
        <v>37</v>
      </c>
      <c r="K13" s="19" t="s">
        <v>37</v>
      </c>
      <c r="L13" s="19" t="s">
        <v>879</v>
      </c>
      <c r="M13" s="19"/>
      <c r="N13" s="19"/>
      <c r="O13" s="19"/>
      <c r="P13" s="19"/>
      <c r="Q13" s="19">
        <v>1</v>
      </c>
      <c r="R13" s="32">
        <f t="shared" si="1"/>
        <v>30</v>
      </c>
    </row>
    <row r="14" spans="1:18" customFormat="1" x14ac:dyDescent="0.25">
      <c r="A14" s="19"/>
      <c r="B14" s="19" t="s">
        <v>32</v>
      </c>
      <c r="C14" s="19" t="s">
        <v>907</v>
      </c>
      <c r="D14" s="19" t="s">
        <v>908</v>
      </c>
      <c r="E14" s="19" t="s">
        <v>909</v>
      </c>
      <c r="F14" s="19" t="s">
        <v>124</v>
      </c>
      <c r="G14" s="20">
        <v>0</v>
      </c>
      <c r="H14" s="20">
        <v>20</v>
      </c>
      <c r="I14" s="20">
        <f t="shared" si="0"/>
        <v>-20</v>
      </c>
      <c r="J14" s="19" t="s">
        <v>37</v>
      </c>
      <c r="K14" s="19" t="s">
        <v>37</v>
      </c>
      <c r="L14" s="19" t="s">
        <v>879</v>
      </c>
      <c r="M14" s="19"/>
      <c r="N14" s="19"/>
      <c r="O14" s="19"/>
      <c r="P14" s="19"/>
      <c r="Q14" s="19">
        <v>1</v>
      </c>
      <c r="R14" s="32">
        <f t="shared" si="1"/>
        <v>20</v>
      </c>
    </row>
    <row r="15" spans="1:18" s="26" customFormat="1" x14ac:dyDescent="0.25">
      <c r="A15" s="23"/>
      <c r="B15" s="23" t="s">
        <v>32</v>
      </c>
      <c r="C15" s="23" t="s">
        <v>910</v>
      </c>
      <c r="D15" s="23" t="s">
        <v>911</v>
      </c>
      <c r="E15" s="23" t="s">
        <v>912</v>
      </c>
      <c r="F15" s="23" t="s">
        <v>117</v>
      </c>
      <c r="G15" s="24">
        <v>0</v>
      </c>
      <c r="H15" s="24">
        <v>25</v>
      </c>
      <c r="I15" s="24">
        <f t="shared" si="0"/>
        <v>-25</v>
      </c>
      <c r="J15" s="23" t="s">
        <v>37</v>
      </c>
      <c r="K15" s="23" t="s">
        <v>37</v>
      </c>
      <c r="L15" s="23" t="s">
        <v>879</v>
      </c>
      <c r="M15" s="23" t="s">
        <v>148</v>
      </c>
      <c r="N15" s="23"/>
      <c r="O15" s="23"/>
      <c r="P15" s="23"/>
      <c r="Q15" s="23">
        <v>1</v>
      </c>
      <c r="R15" s="25">
        <f t="shared" si="1"/>
        <v>25</v>
      </c>
    </row>
    <row r="16" spans="1:18" s="26" customFormat="1" x14ac:dyDescent="0.25">
      <c r="A16" s="23"/>
      <c r="B16" s="23" t="s">
        <v>32</v>
      </c>
      <c r="C16" s="23" t="s">
        <v>788</v>
      </c>
      <c r="D16" s="23" t="s">
        <v>913</v>
      </c>
      <c r="E16" s="23" t="s">
        <v>914</v>
      </c>
      <c r="F16" s="23" t="s">
        <v>138</v>
      </c>
      <c r="G16" s="24">
        <v>0</v>
      </c>
      <c r="H16" s="24">
        <v>30</v>
      </c>
      <c r="I16" s="24">
        <f t="shared" si="0"/>
        <v>-30</v>
      </c>
      <c r="J16" s="23" t="s">
        <v>37</v>
      </c>
      <c r="K16" s="23" t="s">
        <v>37</v>
      </c>
      <c r="L16" s="23" t="s">
        <v>879</v>
      </c>
      <c r="M16" s="23" t="s">
        <v>148</v>
      </c>
      <c r="N16" s="23"/>
      <c r="O16" s="23"/>
      <c r="P16" s="23"/>
      <c r="Q16" s="23">
        <v>1</v>
      </c>
      <c r="R16" s="25">
        <f t="shared" si="1"/>
        <v>30</v>
      </c>
    </row>
    <row r="17" spans="1:18" customFormat="1" x14ac:dyDescent="0.25">
      <c r="A17" s="19" t="s">
        <v>107</v>
      </c>
      <c r="B17" s="19" t="s">
        <v>32</v>
      </c>
      <c r="C17" s="19" t="s">
        <v>444</v>
      </c>
      <c r="D17" s="19"/>
      <c r="E17" s="19" t="s">
        <v>915</v>
      </c>
      <c r="F17" s="19" t="s">
        <v>173</v>
      </c>
      <c r="G17" s="20">
        <v>0</v>
      </c>
      <c r="H17" s="20">
        <v>30</v>
      </c>
      <c r="I17" s="20">
        <f t="shared" si="0"/>
        <v>-30</v>
      </c>
      <c r="J17" s="19" t="s">
        <v>37</v>
      </c>
      <c r="K17" s="19" t="s">
        <v>37</v>
      </c>
      <c r="L17" s="19" t="s">
        <v>879</v>
      </c>
      <c r="M17" s="19"/>
      <c r="N17" s="19"/>
      <c r="O17" s="19"/>
      <c r="P17" s="19"/>
      <c r="Q17" s="19">
        <v>1</v>
      </c>
      <c r="R17" s="32">
        <f t="shared" si="1"/>
        <v>30</v>
      </c>
    </row>
    <row r="18" spans="1:18" customFormat="1" x14ac:dyDescent="0.25">
      <c r="A18" s="19"/>
      <c r="B18" s="19" t="s">
        <v>32</v>
      </c>
      <c r="C18" s="19" t="s">
        <v>916</v>
      </c>
      <c r="D18" s="19" t="s">
        <v>917</v>
      </c>
      <c r="E18" s="19" t="s">
        <v>918</v>
      </c>
      <c r="F18" s="19" t="s">
        <v>317</v>
      </c>
      <c r="G18" s="20">
        <v>0</v>
      </c>
      <c r="H18" s="20">
        <v>20</v>
      </c>
      <c r="I18" s="20">
        <f t="shared" si="0"/>
        <v>-20</v>
      </c>
      <c r="J18" s="19" t="s">
        <v>169</v>
      </c>
      <c r="K18" s="19" t="s">
        <v>37</v>
      </c>
      <c r="L18" s="19" t="s">
        <v>879</v>
      </c>
      <c r="M18" s="19"/>
      <c r="N18" s="19"/>
      <c r="O18" s="19"/>
      <c r="P18" s="19"/>
      <c r="Q18" s="19">
        <v>1</v>
      </c>
      <c r="R18" s="32">
        <f t="shared" si="1"/>
        <v>20</v>
      </c>
    </row>
    <row r="19" spans="1:18" customFormat="1" x14ac:dyDescent="0.25">
      <c r="A19" s="19"/>
      <c r="B19" s="19" t="s">
        <v>32</v>
      </c>
      <c r="C19" s="19" t="s">
        <v>919</v>
      </c>
      <c r="D19" s="19" t="s">
        <v>920</v>
      </c>
      <c r="E19" s="19" t="s">
        <v>921</v>
      </c>
      <c r="F19" s="20">
        <v>3</v>
      </c>
      <c r="G19" s="20">
        <v>845</v>
      </c>
      <c r="H19" s="20">
        <v>25</v>
      </c>
      <c r="I19" s="20">
        <f t="shared" si="0"/>
        <v>820</v>
      </c>
      <c r="J19" s="19" t="s">
        <v>169</v>
      </c>
      <c r="K19" s="19" t="s">
        <v>37</v>
      </c>
      <c r="L19" s="19" t="s">
        <v>879</v>
      </c>
      <c r="M19" s="19"/>
      <c r="N19" s="19"/>
      <c r="O19" s="19"/>
      <c r="P19" s="19"/>
      <c r="Q19" s="19">
        <v>1</v>
      </c>
    </row>
    <row r="21" spans="1:18" x14ac:dyDescent="0.25">
      <c r="G21" s="1">
        <f t="shared" ref="G21:R21" si="2">SUBTOTAL(9,G3:G19)</f>
        <v>5075</v>
      </c>
      <c r="H21" s="1">
        <f t="shared" si="2"/>
        <v>475</v>
      </c>
      <c r="I21" s="1">
        <f t="shared" si="2"/>
        <v>4600</v>
      </c>
      <c r="J21" s="1">
        <f t="shared" si="2"/>
        <v>0</v>
      </c>
      <c r="K21" s="1">
        <f t="shared" si="2"/>
        <v>0</v>
      </c>
      <c r="L21" s="1">
        <f t="shared" si="2"/>
        <v>0</v>
      </c>
      <c r="M21" s="1">
        <f t="shared" si="2"/>
        <v>0</v>
      </c>
      <c r="N21" s="1">
        <f t="shared" si="2"/>
        <v>0</v>
      </c>
      <c r="O21" s="1">
        <f t="shared" si="2"/>
        <v>0</v>
      </c>
      <c r="P21" s="1">
        <f t="shared" si="2"/>
        <v>0</v>
      </c>
      <c r="Q21" s="1">
        <f t="shared" si="2"/>
        <v>17</v>
      </c>
      <c r="R21" s="1">
        <f t="shared" si="2"/>
        <v>310</v>
      </c>
    </row>
    <row r="25" spans="1:18" ht="20.25" customHeight="1" x14ac:dyDescent="0.3">
      <c r="H25" s="4" t="s">
        <v>819</v>
      </c>
      <c r="I25" s="5" t="s">
        <v>15</v>
      </c>
      <c r="J25" s="6" t="s">
        <v>16</v>
      </c>
    </row>
    <row r="26" spans="1:18" ht="15.75" customHeight="1" x14ac:dyDescent="0.25">
      <c r="H26" s="7" t="s">
        <v>17</v>
      </c>
      <c r="I26" s="8">
        <f>SUM(I20:I24)</f>
        <v>4600</v>
      </c>
      <c r="J26" s="8">
        <f>Q21</f>
        <v>17</v>
      </c>
    </row>
    <row r="27" spans="1:18" x14ac:dyDescent="0.25">
      <c r="H27" s="9" t="s">
        <v>18</v>
      </c>
      <c r="I27" s="10">
        <f>R21</f>
        <v>310</v>
      </c>
      <c r="J27" s="11"/>
    </row>
    <row r="28" spans="1:18" x14ac:dyDescent="0.25">
      <c r="H28" s="9" t="s">
        <v>19</v>
      </c>
      <c r="I28" s="10">
        <f>S20</f>
        <v>0</v>
      </c>
      <c r="J28" s="11"/>
    </row>
    <row r="29" spans="1:18" x14ac:dyDescent="0.25">
      <c r="H29" s="9" t="s">
        <v>20</v>
      </c>
      <c r="I29" s="10">
        <f>T20</f>
        <v>0</v>
      </c>
      <c r="J29" s="11"/>
    </row>
    <row r="30" spans="1:18" x14ac:dyDescent="0.25">
      <c r="H30" s="9" t="s">
        <v>21</v>
      </c>
      <c r="I30" s="10">
        <f>U20</f>
        <v>0</v>
      </c>
      <c r="J30" s="11"/>
    </row>
    <row r="31" spans="1:18" ht="15.75" customHeight="1" x14ac:dyDescent="0.25">
      <c r="H31" s="12" t="s">
        <v>22</v>
      </c>
      <c r="I31" s="13"/>
      <c r="J31" s="13"/>
    </row>
    <row r="32" spans="1:18" ht="15.75" customHeight="1" x14ac:dyDescent="0.25">
      <c r="H32" s="14" t="s">
        <v>23</v>
      </c>
      <c r="I32" s="13"/>
      <c r="J32" s="13"/>
    </row>
    <row r="33" spans="8:10" ht="21" customHeight="1" x14ac:dyDescent="0.35">
      <c r="H33" s="15" t="s">
        <v>24</v>
      </c>
      <c r="I33" s="16">
        <f>SUM(I26:I32)</f>
        <v>4910</v>
      </c>
      <c r="J33" s="16">
        <f>SUM(J26:J30)</f>
        <v>17</v>
      </c>
    </row>
  </sheetData>
  <autoFilter ref="A2:P19" xr:uid="{00000000-0009-0000-0000-000006000000}">
    <sortState xmlns:xlrd2="http://schemas.microsoft.com/office/spreadsheetml/2017/richdata2" ref="A3:P19">
      <sortCondition ref="J2:J19"/>
    </sortState>
  </autoFilter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21E0-1F67-4223-A7D0-A365BC9A8021}">
  <dimension ref="A1:R33"/>
  <sheetViews>
    <sheetView zoomScale="82" zoomScaleNormal="80" workbookViewId="0">
      <selection activeCell="A20" sqref="A20:XFD68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448</v>
      </c>
      <c r="C1" s="1" t="s">
        <v>874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924</v>
      </c>
      <c r="D3" s="19" t="s">
        <v>925</v>
      </c>
      <c r="E3" s="19" t="s">
        <v>926</v>
      </c>
      <c r="F3" s="20">
        <v>11</v>
      </c>
      <c r="G3" s="20">
        <v>865</v>
      </c>
      <c r="H3" s="20">
        <v>25</v>
      </c>
      <c r="I3" s="20">
        <f t="shared" ref="I3:I19" si="0">G3-H3</f>
        <v>840</v>
      </c>
      <c r="J3" s="19" t="s">
        <v>927</v>
      </c>
      <c r="K3" s="19" t="s">
        <v>37</v>
      </c>
      <c r="L3" s="19" t="s">
        <v>928</v>
      </c>
      <c r="M3" s="19"/>
      <c r="N3" s="19"/>
      <c r="O3" s="19"/>
      <c r="P3" s="19"/>
      <c r="Q3" s="19">
        <v>1</v>
      </c>
    </row>
    <row r="4" spans="1:18" customFormat="1" x14ac:dyDescent="0.25">
      <c r="A4" s="19"/>
      <c r="B4" s="19" t="s">
        <v>32</v>
      </c>
      <c r="C4" s="19" t="s">
        <v>929</v>
      </c>
      <c r="D4" s="19" t="s">
        <v>930</v>
      </c>
      <c r="E4" s="19" t="s">
        <v>931</v>
      </c>
      <c r="F4" s="19" t="s">
        <v>45</v>
      </c>
      <c r="G4" s="20">
        <v>0</v>
      </c>
      <c r="H4" s="20">
        <v>30</v>
      </c>
      <c r="I4" s="20">
        <f t="shared" si="0"/>
        <v>-30</v>
      </c>
      <c r="J4" s="19" t="s">
        <v>927</v>
      </c>
      <c r="K4" s="19" t="s">
        <v>37</v>
      </c>
      <c r="L4" s="19" t="s">
        <v>928</v>
      </c>
      <c r="M4" s="19"/>
      <c r="N4" s="19"/>
      <c r="O4" s="19"/>
      <c r="P4" s="19"/>
      <c r="Q4" s="19">
        <v>1</v>
      </c>
      <c r="R4" s="21">
        <f>H4</f>
        <v>30</v>
      </c>
    </row>
    <row r="5" spans="1:18" customFormat="1" x14ac:dyDescent="0.25">
      <c r="A5" s="19"/>
      <c r="B5" s="19" t="s">
        <v>32</v>
      </c>
      <c r="C5" s="19" t="s">
        <v>932</v>
      </c>
      <c r="D5" s="19" t="s">
        <v>933</v>
      </c>
      <c r="E5" s="19" t="s">
        <v>934</v>
      </c>
      <c r="F5" s="20">
        <v>6</v>
      </c>
      <c r="G5" s="20">
        <v>865</v>
      </c>
      <c r="H5" s="20">
        <v>25</v>
      </c>
      <c r="I5" s="20">
        <f t="shared" si="0"/>
        <v>840</v>
      </c>
      <c r="J5" s="19" t="s">
        <v>927</v>
      </c>
      <c r="K5" s="19" t="s">
        <v>37</v>
      </c>
      <c r="L5" s="19" t="s">
        <v>928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935</v>
      </c>
      <c r="D6" s="19" t="s">
        <v>936</v>
      </c>
      <c r="E6" s="19" t="s">
        <v>937</v>
      </c>
      <c r="F6" s="20">
        <v>2</v>
      </c>
      <c r="G6" s="20">
        <v>970</v>
      </c>
      <c r="H6" s="20">
        <v>30</v>
      </c>
      <c r="I6" s="20">
        <f t="shared" si="0"/>
        <v>940</v>
      </c>
      <c r="J6" s="19" t="s">
        <v>37</v>
      </c>
      <c r="K6" s="19" t="s">
        <v>37</v>
      </c>
      <c r="L6" s="19" t="s">
        <v>928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938</v>
      </c>
      <c r="D7" s="19" t="s">
        <v>939</v>
      </c>
      <c r="E7" s="19" t="s">
        <v>940</v>
      </c>
      <c r="F7" s="19" t="s">
        <v>117</v>
      </c>
      <c r="G7" s="20">
        <v>1695</v>
      </c>
      <c r="H7" s="20">
        <v>25</v>
      </c>
      <c r="I7" s="20">
        <f t="shared" si="0"/>
        <v>1670</v>
      </c>
      <c r="J7" s="19" t="s">
        <v>37</v>
      </c>
      <c r="K7" s="19" t="s">
        <v>37</v>
      </c>
      <c r="L7" s="19" t="s">
        <v>928</v>
      </c>
      <c r="M7" s="19"/>
      <c r="N7" s="19"/>
      <c r="O7" s="19"/>
      <c r="P7" s="19"/>
      <c r="Q7" s="19">
        <v>1</v>
      </c>
    </row>
    <row r="8" spans="1:18" customFormat="1" x14ac:dyDescent="0.25">
      <c r="A8" s="19"/>
      <c r="B8" s="19" t="s">
        <v>32</v>
      </c>
      <c r="C8" s="19" t="s">
        <v>941</v>
      </c>
      <c r="D8" s="19" t="s">
        <v>942</v>
      </c>
      <c r="E8" s="19" t="s">
        <v>943</v>
      </c>
      <c r="F8" s="19" t="s">
        <v>117</v>
      </c>
      <c r="G8" s="20">
        <v>1005</v>
      </c>
      <c r="H8" s="20">
        <v>25</v>
      </c>
      <c r="I8" s="20">
        <f t="shared" si="0"/>
        <v>980</v>
      </c>
      <c r="J8" s="19" t="s">
        <v>37</v>
      </c>
      <c r="K8" s="19" t="s">
        <v>37</v>
      </c>
      <c r="L8" s="19" t="s">
        <v>928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944</v>
      </c>
      <c r="D9" s="19" t="s">
        <v>945</v>
      </c>
      <c r="E9" s="19" t="s">
        <v>946</v>
      </c>
      <c r="F9" s="19" t="s">
        <v>117</v>
      </c>
      <c r="G9" s="20">
        <v>375</v>
      </c>
      <c r="H9" s="20">
        <v>25</v>
      </c>
      <c r="I9" s="20">
        <f t="shared" si="0"/>
        <v>350</v>
      </c>
      <c r="J9" s="19" t="s">
        <v>37</v>
      </c>
      <c r="K9" s="19" t="s">
        <v>37</v>
      </c>
      <c r="L9" s="19" t="s">
        <v>928</v>
      </c>
      <c r="M9" s="19"/>
      <c r="N9" s="19"/>
      <c r="O9" s="19"/>
      <c r="P9" s="19"/>
      <c r="Q9" s="19">
        <v>1</v>
      </c>
    </row>
    <row r="10" spans="1:18" customFormat="1" x14ac:dyDescent="0.25">
      <c r="A10" s="19" t="s">
        <v>107</v>
      </c>
      <c r="B10" s="19" t="s">
        <v>32</v>
      </c>
      <c r="C10" s="19" t="s">
        <v>947</v>
      </c>
      <c r="D10" s="19"/>
      <c r="E10" s="19" t="s">
        <v>948</v>
      </c>
      <c r="F10" s="19" t="s">
        <v>62</v>
      </c>
      <c r="G10" s="20">
        <v>11290</v>
      </c>
      <c r="H10" s="20">
        <v>70</v>
      </c>
      <c r="I10" s="20">
        <f t="shared" si="0"/>
        <v>11220</v>
      </c>
      <c r="J10" s="19" t="s">
        <v>37</v>
      </c>
      <c r="K10" s="19" t="s">
        <v>37</v>
      </c>
      <c r="L10" s="19" t="s">
        <v>928</v>
      </c>
      <c r="M10" s="19"/>
      <c r="N10" s="19"/>
      <c r="O10" s="19"/>
      <c r="P10" s="19"/>
      <c r="Q10" s="19">
        <v>1</v>
      </c>
    </row>
    <row r="11" spans="1:18" customFormat="1" x14ac:dyDescent="0.25">
      <c r="A11" s="19" t="s">
        <v>107</v>
      </c>
      <c r="B11" s="19" t="s">
        <v>32</v>
      </c>
      <c r="C11" s="19" t="s">
        <v>949</v>
      </c>
      <c r="D11" s="19"/>
      <c r="E11" s="19" t="s">
        <v>163</v>
      </c>
      <c r="F11" s="19" t="s">
        <v>117</v>
      </c>
      <c r="G11" s="20">
        <v>4410</v>
      </c>
      <c r="H11" s="20">
        <v>40</v>
      </c>
      <c r="I11" s="20">
        <f t="shared" si="0"/>
        <v>4370</v>
      </c>
      <c r="J11" s="19" t="s">
        <v>37</v>
      </c>
      <c r="K11" s="19" t="s">
        <v>37</v>
      </c>
      <c r="L11" s="19" t="s">
        <v>928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527</v>
      </c>
      <c r="D12" s="19" t="s">
        <v>950</v>
      </c>
      <c r="E12" s="19" t="s">
        <v>951</v>
      </c>
      <c r="F12" s="20">
        <v>7</v>
      </c>
      <c r="G12" s="20">
        <v>1860</v>
      </c>
      <c r="H12" s="20">
        <v>30</v>
      </c>
      <c r="I12" s="20">
        <f t="shared" si="0"/>
        <v>1830</v>
      </c>
      <c r="J12" s="19" t="s">
        <v>169</v>
      </c>
      <c r="K12" s="19" t="s">
        <v>37</v>
      </c>
      <c r="L12" s="19" t="s">
        <v>928</v>
      </c>
      <c r="M12" s="19"/>
      <c r="N12" s="19"/>
      <c r="O12" s="19"/>
      <c r="P12" s="19"/>
      <c r="Q12" s="19">
        <v>1</v>
      </c>
    </row>
    <row r="13" spans="1:18" customFormat="1" x14ac:dyDescent="0.25">
      <c r="A13" s="19"/>
      <c r="B13" s="19" t="s">
        <v>32</v>
      </c>
      <c r="C13" s="19" t="s">
        <v>277</v>
      </c>
      <c r="D13" s="19" t="s">
        <v>952</v>
      </c>
      <c r="E13" s="19" t="s">
        <v>953</v>
      </c>
      <c r="F13" s="20">
        <v>7</v>
      </c>
      <c r="G13" s="20">
        <v>1430</v>
      </c>
      <c r="H13" s="20">
        <v>30</v>
      </c>
      <c r="I13" s="20">
        <f t="shared" si="0"/>
        <v>1400</v>
      </c>
      <c r="J13" s="19" t="s">
        <v>169</v>
      </c>
      <c r="K13" s="19" t="s">
        <v>37</v>
      </c>
      <c r="L13" s="19" t="s">
        <v>928</v>
      </c>
      <c r="M13" s="19"/>
      <c r="N13" s="19"/>
      <c r="O13" s="19"/>
      <c r="P13" s="19"/>
      <c r="Q13" s="19">
        <v>1</v>
      </c>
    </row>
    <row r="14" spans="1:18" customFormat="1" x14ac:dyDescent="0.25">
      <c r="A14" s="19"/>
      <c r="B14" s="19" t="s">
        <v>32</v>
      </c>
      <c r="C14" s="19" t="s">
        <v>954</v>
      </c>
      <c r="D14" s="19" t="s">
        <v>955</v>
      </c>
      <c r="E14" s="19" t="s">
        <v>956</v>
      </c>
      <c r="F14" s="20">
        <v>7</v>
      </c>
      <c r="G14" s="20">
        <v>0</v>
      </c>
      <c r="H14" s="20">
        <v>30</v>
      </c>
      <c r="I14" s="20">
        <f t="shared" si="0"/>
        <v>-30</v>
      </c>
      <c r="J14" s="19" t="s">
        <v>169</v>
      </c>
      <c r="K14" s="19" t="s">
        <v>37</v>
      </c>
      <c r="L14" s="19" t="s">
        <v>928</v>
      </c>
      <c r="M14" s="19"/>
      <c r="N14" s="19"/>
      <c r="O14" s="19"/>
      <c r="P14" s="19"/>
      <c r="Q14" s="19">
        <v>1</v>
      </c>
      <c r="R14" s="21">
        <f>H14</f>
        <v>30</v>
      </c>
    </row>
    <row r="15" spans="1:18" customFormat="1" x14ac:dyDescent="0.25">
      <c r="A15" s="19"/>
      <c r="B15" s="19" t="s">
        <v>32</v>
      </c>
      <c r="C15" s="19" t="s">
        <v>368</v>
      </c>
      <c r="D15" s="19" t="s">
        <v>957</v>
      </c>
      <c r="E15" s="19" t="s">
        <v>958</v>
      </c>
      <c r="F15" s="20">
        <v>7</v>
      </c>
      <c r="G15" s="20">
        <v>810</v>
      </c>
      <c r="H15" s="20">
        <v>30</v>
      </c>
      <c r="I15" s="20">
        <f t="shared" si="0"/>
        <v>780</v>
      </c>
      <c r="J15" s="19" t="s">
        <v>169</v>
      </c>
      <c r="K15" s="19" t="s">
        <v>37</v>
      </c>
      <c r="L15" s="19" t="s">
        <v>928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959</v>
      </c>
      <c r="D16" s="19" t="s">
        <v>960</v>
      </c>
      <c r="E16" s="19" t="s">
        <v>961</v>
      </c>
      <c r="F16" s="20">
        <v>7</v>
      </c>
      <c r="G16" s="20">
        <v>2030</v>
      </c>
      <c r="H16" s="20">
        <v>35</v>
      </c>
      <c r="I16" s="20">
        <f t="shared" si="0"/>
        <v>1995</v>
      </c>
      <c r="J16" s="19" t="s">
        <v>169</v>
      </c>
      <c r="K16" s="19" t="s">
        <v>37</v>
      </c>
      <c r="L16" s="19" t="s">
        <v>928</v>
      </c>
      <c r="M16" s="22" t="s">
        <v>183</v>
      </c>
      <c r="N16" s="19"/>
      <c r="O16" s="19"/>
      <c r="P16" s="19"/>
      <c r="Q16" s="19">
        <v>1</v>
      </c>
      <c r="R16" s="21">
        <f>H16</f>
        <v>35</v>
      </c>
    </row>
    <row r="17" spans="1:18" customFormat="1" x14ac:dyDescent="0.25">
      <c r="A17" s="19"/>
      <c r="B17" s="19" t="s">
        <v>32</v>
      </c>
      <c r="C17" s="19" t="s">
        <v>962</v>
      </c>
      <c r="D17" s="19" t="s">
        <v>963</v>
      </c>
      <c r="E17" s="19" t="s">
        <v>964</v>
      </c>
      <c r="F17" s="20">
        <v>1</v>
      </c>
      <c r="G17" s="20">
        <v>805</v>
      </c>
      <c r="H17" s="20">
        <v>25</v>
      </c>
      <c r="I17" s="20">
        <f t="shared" si="0"/>
        <v>780</v>
      </c>
      <c r="J17" s="19" t="s">
        <v>169</v>
      </c>
      <c r="K17" s="19" t="s">
        <v>37</v>
      </c>
      <c r="L17" s="19" t="s">
        <v>928</v>
      </c>
      <c r="M17" s="19"/>
      <c r="N17" s="19"/>
      <c r="O17" s="19"/>
      <c r="P17" s="19"/>
      <c r="Q17" s="19">
        <v>1</v>
      </c>
    </row>
    <row r="18" spans="1:18" customFormat="1" x14ac:dyDescent="0.25">
      <c r="A18" s="19"/>
      <c r="B18" s="19" t="s">
        <v>32</v>
      </c>
      <c r="C18" s="19" t="s">
        <v>965</v>
      </c>
      <c r="D18" s="19" t="s">
        <v>966</v>
      </c>
      <c r="E18" s="19" t="s">
        <v>967</v>
      </c>
      <c r="F18" s="20">
        <v>1</v>
      </c>
      <c r="G18" s="20">
        <v>705</v>
      </c>
      <c r="H18" s="20">
        <v>25</v>
      </c>
      <c r="I18" s="20">
        <f t="shared" si="0"/>
        <v>680</v>
      </c>
      <c r="J18" s="19" t="s">
        <v>169</v>
      </c>
      <c r="K18" s="19" t="s">
        <v>37</v>
      </c>
      <c r="L18" s="19" t="s">
        <v>928</v>
      </c>
      <c r="M18" s="19"/>
      <c r="N18" s="19"/>
      <c r="O18" s="19"/>
      <c r="P18" s="19"/>
      <c r="Q18" s="19">
        <v>1</v>
      </c>
    </row>
    <row r="19" spans="1:18" customFormat="1" x14ac:dyDescent="0.25">
      <c r="A19" s="19" t="s">
        <v>107</v>
      </c>
      <c r="B19" s="19" t="s">
        <v>32</v>
      </c>
      <c r="C19" s="19" t="s">
        <v>968</v>
      </c>
      <c r="D19" s="19"/>
      <c r="E19" s="19" t="s">
        <v>969</v>
      </c>
      <c r="F19" s="19" t="s">
        <v>173</v>
      </c>
      <c r="G19" s="20">
        <v>30</v>
      </c>
      <c r="H19" s="20">
        <v>30</v>
      </c>
      <c r="I19" s="20">
        <f t="shared" si="0"/>
        <v>0</v>
      </c>
      <c r="J19" s="19" t="s">
        <v>169</v>
      </c>
      <c r="K19" s="19" t="s">
        <v>37</v>
      </c>
      <c r="L19" s="19" t="s">
        <v>928</v>
      </c>
      <c r="M19" s="19"/>
      <c r="N19" s="19"/>
      <c r="O19" s="19"/>
      <c r="P19" s="19"/>
      <c r="Q19" s="19">
        <v>1</v>
      </c>
    </row>
    <row r="21" spans="1:18" x14ac:dyDescent="0.25">
      <c r="G21" s="1">
        <f t="shared" ref="G21:R21" si="1">SUBTOTAL(9,G3:G19)</f>
        <v>29145</v>
      </c>
      <c r="H21" s="1">
        <f t="shared" si="1"/>
        <v>530</v>
      </c>
      <c r="I21" s="1">
        <f t="shared" si="1"/>
        <v>28615</v>
      </c>
      <c r="J21" s="1">
        <f t="shared" si="1"/>
        <v>0</v>
      </c>
      <c r="K21" s="1">
        <f t="shared" si="1"/>
        <v>0</v>
      </c>
      <c r="L21" s="1">
        <f t="shared" si="1"/>
        <v>0</v>
      </c>
      <c r="M21" s="1">
        <f t="shared" si="1"/>
        <v>0</v>
      </c>
      <c r="N21" s="1">
        <f t="shared" si="1"/>
        <v>0</v>
      </c>
      <c r="O21" s="1">
        <f t="shared" si="1"/>
        <v>0</v>
      </c>
      <c r="P21" s="1">
        <f t="shared" si="1"/>
        <v>0</v>
      </c>
      <c r="Q21" s="1">
        <f t="shared" si="1"/>
        <v>17</v>
      </c>
      <c r="R21" s="1">
        <f t="shared" si="1"/>
        <v>95</v>
      </c>
    </row>
    <row r="25" spans="1:18" ht="20.25" customHeight="1" x14ac:dyDescent="0.3">
      <c r="H25" s="4" t="s">
        <v>873</v>
      </c>
      <c r="I25" s="5" t="s">
        <v>15</v>
      </c>
      <c r="J25" s="6" t="s">
        <v>16</v>
      </c>
    </row>
    <row r="26" spans="1:18" ht="15.75" customHeight="1" x14ac:dyDescent="0.25">
      <c r="H26" s="7" t="s">
        <v>17</v>
      </c>
      <c r="I26" s="8">
        <f>SUM(I20:I24)</f>
        <v>28615</v>
      </c>
      <c r="J26" s="8">
        <f>Q21</f>
        <v>17</v>
      </c>
    </row>
    <row r="27" spans="1:18" x14ac:dyDescent="0.25">
      <c r="H27" s="9" t="s">
        <v>18</v>
      </c>
      <c r="I27" s="10">
        <f>R21</f>
        <v>95</v>
      </c>
      <c r="J27" s="11"/>
    </row>
    <row r="28" spans="1:18" x14ac:dyDescent="0.25">
      <c r="H28" s="9" t="s">
        <v>19</v>
      </c>
      <c r="I28" s="10">
        <f>S20</f>
        <v>0</v>
      </c>
      <c r="J28" s="11"/>
    </row>
    <row r="29" spans="1:18" x14ac:dyDescent="0.25">
      <c r="H29" s="9" t="s">
        <v>20</v>
      </c>
      <c r="I29" s="10">
        <f>T20</f>
        <v>0</v>
      </c>
      <c r="J29" s="11"/>
    </row>
    <row r="30" spans="1:18" x14ac:dyDescent="0.25">
      <c r="H30" s="9" t="s">
        <v>21</v>
      </c>
      <c r="I30" s="10">
        <f>U20</f>
        <v>0</v>
      </c>
      <c r="J30" s="11"/>
    </row>
    <row r="31" spans="1:18" ht="15.75" customHeight="1" x14ac:dyDescent="0.25">
      <c r="H31" s="12" t="s">
        <v>22</v>
      </c>
      <c r="I31" s="13"/>
      <c r="J31" s="13"/>
    </row>
    <row r="32" spans="1:18" ht="15.75" customHeight="1" x14ac:dyDescent="0.25">
      <c r="H32" s="14" t="s">
        <v>23</v>
      </c>
      <c r="I32" s="13"/>
      <c r="J32" s="13"/>
    </row>
    <row r="33" spans="8:10" ht="21" customHeight="1" x14ac:dyDescent="0.35">
      <c r="H33" s="15" t="s">
        <v>24</v>
      </c>
      <c r="I33" s="16">
        <f>SUM(I26:I32)</f>
        <v>28710</v>
      </c>
      <c r="J33" s="16">
        <f>SUM(J26:J30)</f>
        <v>17</v>
      </c>
    </row>
  </sheetData>
  <autoFilter ref="A2:P19" xr:uid="{00000000-0009-0000-0000-000006000000}">
    <sortState xmlns:xlrd2="http://schemas.microsoft.com/office/spreadsheetml/2017/richdata2" ref="A3:P19">
      <sortCondition ref="J2:J19"/>
    </sortState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7C3A-6C50-4C60-A1A7-79373D26CD1A}">
  <dimension ref="A1:R80"/>
  <sheetViews>
    <sheetView zoomScale="82" zoomScaleNormal="80" workbookViewId="0">
      <selection activeCell="R26" sqref="R26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922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972</v>
      </c>
      <c r="D3" s="19" t="s">
        <v>973</v>
      </c>
      <c r="E3" s="19" t="s">
        <v>974</v>
      </c>
      <c r="F3" s="20">
        <v>9</v>
      </c>
      <c r="G3" s="20">
        <v>810</v>
      </c>
      <c r="H3" s="20">
        <v>30</v>
      </c>
      <c r="I3" s="20">
        <f t="shared" ref="I3:I34" si="0">G3-H3</f>
        <v>780</v>
      </c>
      <c r="J3" s="19" t="s">
        <v>36</v>
      </c>
      <c r="K3" s="19" t="s">
        <v>37</v>
      </c>
      <c r="L3" s="19" t="s">
        <v>975</v>
      </c>
      <c r="M3" s="19"/>
      <c r="N3" s="19"/>
      <c r="O3" s="19"/>
      <c r="P3" s="19"/>
      <c r="Q3" s="19">
        <v>1</v>
      </c>
    </row>
    <row r="4" spans="1:18" customFormat="1" x14ac:dyDescent="0.25">
      <c r="A4" s="19"/>
      <c r="B4" s="19" t="s">
        <v>32</v>
      </c>
      <c r="C4" s="19" t="s">
        <v>976</v>
      </c>
      <c r="D4" s="19" t="s">
        <v>977</v>
      </c>
      <c r="E4" s="19" t="s">
        <v>978</v>
      </c>
      <c r="F4" s="20">
        <v>9</v>
      </c>
      <c r="G4" s="20">
        <v>920</v>
      </c>
      <c r="H4" s="20">
        <v>30</v>
      </c>
      <c r="I4" s="20">
        <f t="shared" si="0"/>
        <v>890</v>
      </c>
      <c r="J4" s="19" t="s">
        <v>36</v>
      </c>
      <c r="K4" s="19" t="s">
        <v>37</v>
      </c>
      <c r="L4" s="19" t="s">
        <v>975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979</v>
      </c>
      <c r="D5" s="19" t="s">
        <v>980</v>
      </c>
      <c r="E5" s="19" t="s">
        <v>981</v>
      </c>
      <c r="F5" s="20">
        <v>12</v>
      </c>
      <c r="G5" s="20">
        <v>810</v>
      </c>
      <c r="H5" s="20">
        <v>30</v>
      </c>
      <c r="I5" s="20">
        <f t="shared" si="0"/>
        <v>780</v>
      </c>
      <c r="J5" s="19" t="s">
        <v>982</v>
      </c>
      <c r="K5" s="19" t="s">
        <v>37</v>
      </c>
      <c r="L5" s="19" t="s">
        <v>975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983</v>
      </c>
      <c r="D6" s="19" t="s">
        <v>984</v>
      </c>
      <c r="E6" s="19" t="s">
        <v>985</v>
      </c>
      <c r="F6" s="19" t="s">
        <v>45</v>
      </c>
      <c r="G6" s="20">
        <v>920</v>
      </c>
      <c r="H6" s="20">
        <v>30</v>
      </c>
      <c r="I6" s="20">
        <f t="shared" si="0"/>
        <v>890</v>
      </c>
      <c r="J6" s="19" t="s">
        <v>982</v>
      </c>
      <c r="K6" s="19" t="s">
        <v>37</v>
      </c>
      <c r="L6" s="19" t="s">
        <v>975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986</v>
      </c>
      <c r="D7" s="19" t="s">
        <v>987</v>
      </c>
      <c r="E7" s="19" t="s">
        <v>988</v>
      </c>
      <c r="F7" s="20">
        <v>8</v>
      </c>
      <c r="G7" s="20">
        <v>850</v>
      </c>
      <c r="H7" s="20">
        <v>30</v>
      </c>
      <c r="I7" s="20">
        <f t="shared" si="0"/>
        <v>820</v>
      </c>
      <c r="J7" s="19" t="s">
        <v>982</v>
      </c>
      <c r="K7" s="19" t="s">
        <v>37</v>
      </c>
      <c r="L7" s="19" t="s">
        <v>975</v>
      </c>
      <c r="M7" s="19"/>
      <c r="N7" s="19"/>
      <c r="O7" s="19"/>
      <c r="P7" s="19"/>
      <c r="Q7" s="19">
        <v>1</v>
      </c>
    </row>
    <row r="8" spans="1:18" customFormat="1" x14ac:dyDescent="0.25">
      <c r="A8" s="19"/>
      <c r="B8" s="19" t="s">
        <v>32</v>
      </c>
      <c r="C8" s="19" t="s">
        <v>989</v>
      </c>
      <c r="D8" s="19" t="s">
        <v>990</v>
      </c>
      <c r="E8" s="19" t="s">
        <v>991</v>
      </c>
      <c r="F8" s="19" t="s">
        <v>173</v>
      </c>
      <c r="G8" s="20">
        <v>855</v>
      </c>
      <c r="H8" s="20">
        <v>25</v>
      </c>
      <c r="I8" s="20">
        <f t="shared" si="0"/>
        <v>830</v>
      </c>
      <c r="J8" s="19" t="s">
        <v>982</v>
      </c>
      <c r="K8" s="19" t="s">
        <v>37</v>
      </c>
      <c r="L8" s="19" t="s">
        <v>975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527</v>
      </c>
      <c r="D9" s="19" t="s">
        <v>992</v>
      </c>
      <c r="E9" s="19" t="s">
        <v>993</v>
      </c>
      <c r="F9" s="19" t="s">
        <v>45</v>
      </c>
      <c r="G9" s="20">
        <v>880</v>
      </c>
      <c r="H9" s="20">
        <v>30</v>
      </c>
      <c r="I9" s="20">
        <f t="shared" si="0"/>
        <v>850</v>
      </c>
      <c r="J9" s="19" t="s">
        <v>982</v>
      </c>
      <c r="K9" s="19" t="s">
        <v>37</v>
      </c>
      <c r="L9" s="19" t="s">
        <v>975</v>
      </c>
      <c r="M9" s="19"/>
      <c r="N9" s="19"/>
      <c r="O9" s="19"/>
      <c r="P9" s="19"/>
      <c r="Q9" s="19">
        <v>1</v>
      </c>
    </row>
    <row r="10" spans="1:18" customFormat="1" x14ac:dyDescent="0.25">
      <c r="A10" s="19"/>
      <c r="B10" s="19" t="s">
        <v>32</v>
      </c>
      <c r="C10" s="19" t="s">
        <v>59</v>
      </c>
      <c r="D10" s="19" t="s">
        <v>994</v>
      </c>
      <c r="E10" s="19" t="s">
        <v>61</v>
      </c>
      <c r="F10" s="19" t="s">
        <v>62</v>
      </c>
      <c r="G10" s="20">
        <v>605</v>
      </c>
      <c r="H10" s="20">
        <v>25</v>
      </c>
      <c r="I10" s="20">
        <f t="shared" si="0"/>
        <v>580</v>
      </c>
      <c r="J10" s="19" t="s">
        <v>982</v>
      </c>
      <c r="K10" s="19" t="s">
        <v>37</v>
      </c>
      <c r="L10" s="19" t="s">
        <v>975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995</v>
      </c>
      <c r="D11" s="19" t="s">
        <v>996</v>
      </c>
      <c r="E11" s="19" t="s">
        <v>997</v>
      </c>
      <c r="F11" s="19" t="s">
        <v>45</v>
      </c>
      <c r="G11" s="20">
        <v>860</v>
      </c>
      <c r="H11" s="20">
        <v>30</v>
      </c>
      <c r="I11" s="20">
        <f t="shared" si="0"/>
        <v>830</v>
      </c>
      <c r="J11" s="19" t="s">
        <v>982</v>
      </c>
      <c r="K11" s="19" t="s">
        <v>37</v>
      </c>
      <c r="L11" s="19" t="s">
        <v>975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929</v>
      </c>
      <c r="D12" s="19" t="s">
        <v>998</v>
      </c>
      <c r="E12" s="19" t="s">
        <v>931</v>
      </c>
      <c r="F12" s="19" t="s">
        <v>45</v>
      </c>
      <c r="G12" s="20">
        <v>0</v>
      </c>
      <c r="H12" s="20">
        <v>30</v>
      </c>
      <c r="I12" s="20">
        <f t="shared" si="0"/>
        <v>-30</v>
      </c>
      <c r="J12" s="19" t="s">
        <v>982</v>
      </c>
      <c r="K12" s="19" t="s">
        <v>37</v>
      </c>
      <c r="L12" s="19" t="s">
        <v>975</v>
      </c>
      <c r="M12" s="19"/>
      <c r="N12" s="19"/>
      <c r="O12" s="19"/>
      <c r="P12" s="19"/>
      <c r="Q12" s="19">
        <v>1</v>
      </c>
      <c r="R12" s="21">
        <f>H12</f>
        <v>30</v>
      </c>
    </row>
    <row r="13" spans="1:18" customFormat="1" x14ac:dyDescent="0.25">
      <c r="A13" s="19"/>
      <c r="B13" s="19" t="s">
        <v>32</v>
      </c>
      <c r="C13" s="19" t="s">
        <v>999</v>
      </c>
      <c r="D13" s="19" t="s">
        <v>1000</v>
      </c>
      <c r="E13" s="19" t="s">
        <v>1001</v>
      </c>
      <c r="F13" s="19" t="s">
        <v>45</v>
      </c>
      <c r="G13" s="20">
        <v>860</v>
      </c>
      <c r="H13" s="20">
        <v>30</v>
      </c>
      <c r="I13" s="20">
        <f t="shared" si="0"/>
        <v>830</v>
      </c>
      <c r="J13" s="19" t="s">
        <v>982</v>
      </c>
      <c r="K13" s="19" t="s">
        <v>37</v>
      </c>
      <c r="L13" s="19" t="s">
        <v>975</v>
      </c>
      <c r="M13" s="19"/>
      <c r="N13" s="19"/>
      <c r="O13" s="19"/>
      <c r="P13" s="19"/>
      <c r="Q13" s="19">
        <v>1</v>
      </c>
    </row>
    <row r="14" spans="1:18" customFormat="1" x14ac:dyDescent="0.25">
      <c r="A14" s="19"/>
      <c r="B14" s="19" t="s">
        <v>32</v>
      </c>
      <c r="C14" s="19" t="s">
        <v>1002</v>
      </c>
      <c r="D14" s="19" t="s">
        <v>1003</v>
      </c>
      <c r="E14" s="19" t="s">
        <v>1004</v>
      </c>
      <c r="F14" s="20">
        <v>6</v>
      </c>
      <c r="G14" s="20">
        <v>875</v>
      </c>
      <c r="H14" s="20">
        <v>25</v>
      </c>
      <c r="I14" s="20">
        <f t="shared" si="0"/>
        <v>850</v>
      </c>
      <c r="J14" s="19" t="s">
        <v>982</v>
      </c>
      <c r="K14" s="19" t="s">
        <v>37</v>
      </c>
      <c r="L14" s="19" t="s">
        <v>975</v>
      </c>
      <c r="M14" s="19"/>
      <c r="N14" s="19"/>
      <c r="O14" s="19"/>
      <c r="P14" s="19"/>
      <c r="Q14" s="19">
        <v>1</v>
      </c>
    </row>
    <row r="15" spans="1:18" s="37" customFormat="1" x14ac:dyDescent="0.25">
      <c r="A15" s="19"/>
      <c r="B15" s="19" t="s">
        <v>32</v>
      </c>
      <c r="C15" s="19" t="s">
        <v>473</v>
      </c>
      <c r="D15" s="19" t="s">
        <v>1006</v>
      </c>
      <c r="E15" s="19" t="s">
        <v>1007</v>
      </c>
      <c r="F15" s="20">
        <v>8</v>
      </c>
      <c r="G15" s="20">
        <v>810</v>
      </c>
      <c r="H15" s="20">
        <v>30</v>
      </c>
      <c r="I15" s="20">
        <f t="shared" si="0"/>
        <v>780</v>
      </c>
      <c r="J15" s="19" t="s">
        <v>982</v>
      </c>
      <c r="K15" s="19" t="s">
        <v>37</v>
      </c>
      <c r="L15" s="19" t="s">
        <v>975</v>
      </c>
      <c r="M15" s="19"/>
      <c r="N15" s="19"/>
      <c r="O15" s="19"/>
      <c r="P15" s="19"/>
      <c r="Q15" s="27">
        <v>1</v>
      </c>
      <c r="R15" s="36">
        <f>H15</f>
        <v>30</v>
      </c>
    </row>
    <row r="16" spans="1:18" customFormat="1" x14ac:dyDescent="0.25">
      <c r="A16" s="19"/>
      <c r="B16" s="19" t="s">
        <v>32</v>
      </c>
      <c r="C16" s="19" t="s">
        <v>1008</v>
      </c>
      <c r="D16" s="19" t="s">
        <v>1009</v>
      </c>
      <c r="E16" s="19" t="s">
        <v>1010</v>
      </c>
      <c r="F16" s="19" t="s">
        <v>62</v>
      </c>
      <c r="G16" s="20">
        <v>1545</v>
      </c>
      <c r="H16" s="20">
        <v>25</v>
      </c>
      <c r="I16" s="20">
        <f t="shared" si="0"/>
        <v>1520</v>
      </c>
      <c r="J16" s="19" t="s">
        <v>982</v>
      </c>
      <c r="K16" s="19" t="s">
        <v>37</v>
      </c>
      <c r="L16" s="19" t="s">
        <v>975</v>
      </c>
      <c r="M16" s="19"/>
      <c r="N16" s="19"/>
      <c r="O16" s="19"/>
      <c r="P16" s="19"/>
      <c r="Q16" s="19">
        <v>1</v>
      </c>
    </row>
    <row r="17" spans="1:18" customFormat="1" x14ac:dyDescent="0.25">
      <c r="A17" s="19"/>
      <c r="B17" s="19" t="s">
        <v>32</v>
      </c>
      <c r="C17" s="19" t="s">
        <v>1011</v>
      </c>
      <c r="D17" s="19" t="s">
        <v>1012</v>
      </c>
      <c r="E17" s="19" t="s">
        <v>1013</v>
      </c>
      <c r="F17" s="19" t="s">
        <v>45</v>
      </c>
      <c r="G17" s="20">
        <v>3400</v>
      </c>
      <c r="H17" s="20">
        <v>40</v>
      </c>
      <c r="I17" s="20">
        <f t="shared" si="0"/>
        <v>3360</v>
      </c>
      <c r="J17" s="19" t="s">
        <v>982</v>
      </c>
      <c r="K17" s="19" t="s">
        <v>37</v>
      </c>
      <c r="L17" s="19" t="s">
        <v>975</v>
      </c>
      <c r="M17" s="22" t="s">
        <v>183</v>
      </c>
      <c r="N17" s="19"/>
      <c r="O17" s="19"/>
      <c r="P17" s="19"/>
      <c r="Q17" s="19">
        <v>1</v>
      </c>
    </row>
    <row r="18" spans="1:18" customFormat="1" x14ac:dyDescent="0.25">
      <c r="A18" s="19" t="s">
        <v>107</v>
      </c>
      <c r="B18" s="19" t="s">
        <v>32</v>
      </c>
      <c r="C18" s="19" t="s">
        <v>1014</v>
      </c>
      <c r="D18" s="19"/>
      <c r="E18" s="19" t="s">
        <v>1015</v>
      </c>
      <c r="F18" s="20">
        <v>6</v>
      </c>
      <c r="G18" s="20">
        <v>2210</v>
      </c>
      <c r="H18" s="20">
        <v>30</v>
      </c>
      <c r="I18" s="20">
        <f t="shared" si="0"/>
        <v>2180</v>
      </c>
      <c r="J18" s="19" t="s">
        <v>982</v>
      </c>
      <c r="K18" s="19" t="s">
        <v>37</v>
      </c>
      <c r="L18" s="19" t="s">
        <v>975</v>
      </c>
      <c r="M18" s="19"/>
      <c r="N18" s="19"/>
      <c r="O18" s="19"/>
      <c r="P18" s="19"/>
      <c r="Q18" s="19">
        <v>1</v>
      </c>
      <c r="R18" s="21">
        <f>H18</f>
        <v>30</v>
      </c>
    </row>
    <row r="19" spans="1:18" customFormat="1" x14ac:dyDescent="0.25">
      <c r="A19" s="19"/>
      <c r="B19" s="19" t="s">
        <v>32</v>
      </c>
      <c r="C19" s="19" t="s">
        <v>1016</v>
      </c>
      <c r="D19" s="19" t="s">
        <v>1017</v>
      </c>
      <c r="E19" s="19" t="s">
        <v>1018</v>
      </c>
      <c r="F19" s="19" t="s">
        <v>117</v>
      </c>
      <c r="G19" s="20">
        <v>865</v>
      </c>
      <c r="H19" s="20">
        <v>25</v>
      </c>
      <c r="I19" s="20">
        <f t="shared" si="0"/>
        <v>840</v>
      </c>
      <c r="J19" s="19" t="s">
        <v>37</v>
      </c>
      <c r="K19" s="19" t="s">
        <v>37</v>
      </c>
      <c r="L19" s="19" t="s">
        <v>975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19" t="s">
        <v>1019</v>
      </c>
      <c r="D20" s="19" t="s">
        <v>1020</v>
      </c>
      <c r="E20" s="19" t="s">
        <v>1021</v>
      </c>
      <c r="F20" s="19" t="s">
        <v>124</v>
      </c>
      <c r="G20" s="20">
        <v>0</v>
      </c>
      <c r="H20" s="20">
        <v>20</v>
      </c>
      <c r="I20" s="20">
        <f t="shared" si="0"/>
        <v>-20</v>
      </c>
      <c r="J20" s="19" t="s">
        <v>37</v>
      </c>
      <c r="K20" s="19" t="s">
        <v>37</v>
      </c>
      <c r="L20" s="19" t="s">
        <v>975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1022</v>
      </c>
      <c r="D21" s="19" t="s">
        <v>1023</v>
      </c>
      <c r="E21" s="19" t="s">
        <v>1024</v>
      </c>
      <c r="F21" s="19" t="s">
        <v>124</v>
      </c>
      <c r="G21" s="20">
        <v>840</v>
      </c>
      <c r="H21" s="20">
        <v>20</v>
      </c>
      <c r="I21" s="20">
        <f t="shared" si="0"/>
        <v>820</v>
      </c>
      <c r="J21" s="19" t="s">
        <v>37</v>
      </c>
      <c r="K21" s="19" t="s">
        <v>37</v>
      </c>
      <c r="L21" s="19" t="s">
        <v>975</v>
      </c>
      <c r="M21" s="19"/>
      <c r="N21" s="19"/>
      <c r="O21" s="19"/>
      <c r="P21" s="19"/>
      <c r="Q21" s="19">
        <v>1</v>
      </c>
      <c r="R21" s="21">
        <f>H21</f>
        <v>20</v>
      </c>
    </row>
    <row r="22" spans="1:18" customFormat="1" x14ac:dyDescent="0.25">
      <c r="A22" s="19"/>
      <c r="B22" s="19" t="s">
        <v>32</v>
      </c>
      <c r="C22" s="19" t="s">
        <v>1025</v>
      </c>
      <c r="D22" s="19" t="s">
        <v>1026</v>
      </c>
      <c r="E22" s="19" t="s">
        <v>1027</v>
      </c>
      <c r="F22" s="20">
        <v>2</v>
      </c>
      <c r="G22" s="20">
        <v>1210</v>
      </c>
      <c r="H22" s="20">
        <v>30</v>
      </c>
      <c r="I22" s="20">
        <f t="shared" si="0"/>
        <v>1180</v>
      </c>
      <c r="J22" s="19" t="s">
        <v>37</v>
      </c>
      <c r="K22" s="19" t="s">
        <v>37</v>
      </c>
      <c r="L22" s="19" t="s">
        <v>975</v>
      </c>
      <c r="M22" s="19"/>
      <c r="N22" s="19"/>
      <c r="O22" s="19"/>
      <c r="P22" s="19"/>
      <c r="Q22" s="19">
        <v>1</v>
      </c>
    </row>
    <row r="23" spans="1:18" customFormat="1" x14ac:dyDescent="0.25">
      <c r="A23" s="19"/>
      <c r="B23" s="19" t="s">
        <v>32</v>
      </c>
      <c r="C23" s="19" t="s">
        <v>1028</v>
      </c>
      <c r="D23" s="19" t="s">
        <v>1029</v>
      </c>
      <c r="E23" s="19" t="s">
        <v>1030</v>
      </c>
      <c r="F23" s="19" t="s">
        <v>124</v>
      </c>
      <c r="G23" s="20">
        <v>0</v>
      </c>
      <c r="H23" s="20">
        <v>20</v>
      </c>
      <c r="I23" s="20">
        <f t="shared" si="0"/>
        <v>-20</v>
      </c>
      <c r="J23" s="19" t="s">
        <v>37</v>
      </c>
      <c r="K23" s="19" t="s">
        <v>37</v>
      </c>
      <c r="L23" s="19" t="s">
        <v>975</v>
      </c>
      <c r="M23" s="19"/>
      <c r="N23" s="19"/>
      <c r="O23" s="19"/>
      <c r="P23" s="19"/>
      <c r="Q23" s="19">
        <v>1</v>
      </c>
    </row>
    <row r="24" spans="1:18" customFormat="1" x14ac:dyDescent="0.25">
      <c r="A24" s="19"/>
      <c r="B24" s="19" t="s">
        <v>32</v>
      </c>
      <c r="C24" s="19" t="s">
        <v>1031</v>
      </c>
      <c r="D24" s="19" t="s">
        <v>1032</v>
      </c>
      <c r="E24" s="19" t="s">
        <v>1033</v>
      </c>
      <c r="F24" s="19" t="s">
        <v>124</v>
      </c>
      <c r="G24" s="20">
        <v>850</v>
      </c>
      <c r="H24" s="20">
        <v>20</v>
      </c>
      <c r="I24" s="20">
        <f t="shared" si="0"/>
        <v>830</v>
      </c>
      <c r="J24" s="19" t="s">
        <v>37</v>
      </c>
      <c r="K24" s="19" t="s">
        <v>37</v>
      </c>
      <c r="L24" s="19" t="s">
        <v>975</v>
      </c>
      <c r="M24" s="19"/>
      <c r="N24" s="19"/>
      <c r="O24" s="19"/>
      <c r="P24" s="19"/>
      <c r="Q24" s="19">
        <v>1</v>
      </c>
      <c r="R24" s="21">
        <f>H24</f>
        <v>20</v>
      </c>
    </row>
    <row r="25" spans="1:18" customFormat="1" x14ac:dyDescent="0.25">
      <c r="A25" s="19"/>
      <c r="B25" s="19" t="s">
        <v>32</v>
      </c>
      <c r="C25" s="19" t="s">
        <v>1034</v>
      </c>
      <c r="D25" s="19" t="s">
        <v>1035</v>
      </c>
      <c r="E25" s="19" t="s">
        <v>1036</v>
      </c>
      <c r="F25" s="19" t="s">
        <v>124</v>
      </c>
      <c r="G25" s="20">
        <v>2930</v>
      </c>
      <c r="H25" s="20">
        <v>25</v>
      </c>
      <c r="I25" s="20">
        <f t="shared" si="0"/>
        <v>2905</v>
      </c>
      <c r="J25" s="19" t="s">
        <v>37</v>
      </c>
      <c r="K25" s="19" t="s">
        <v>37</v>
      </c>
      <c r="L25" s="19" t="s">
        <v>975</v>
      </c>
      <c r="M25" s="19"/>
      <c r="N25" s="19"/>
      <c r="O25" s="19"/>
      <c r="P25" s="19"/>
      <c r="Q25" s="19">
        <v>1</v>
      </c>
    </row>
    <row r="26" spans="1:18" customFormat="1" x14ac:dyDescent="0.25">
      <c r="A26" s="19"/>
      <c r="B26" s="19" t="s">
        <v>32</v>
      </c>
      <c r="C26" s="19" t="s">
        <v>149</v>
      </c>
      <c r="D26" s="19" t="s">
        <v>1037</v>
      </c>
      <c r="E26" s="19" t="s">
        <v>1038</v>
      </c>
      <c r="F26" s="19" t="s">
        <v>117</v>
      </c>
      <c r="G26" s="20">
        <v>855</v>
      </c>
      <c r="H26" s="20">
        <v>25</v>
      </c>
      <c r="I26" s="20">
        <f t="shared" si="0"/>
        <v>830</v>
      </c>
      <c r="J26" s="19" t="s">
        <v>37</v>
      </c>
      <c r="K26" s="19" t="s">
        <v>37</v>
      </c>
      <c r="L26" s="19" t="s">
        <v>975</v>
      </c>
      <c r="M26" s="22" t="s">
        <v>438</v>
      </c>
      <c r="N26" s="19"/>
      <c r="O26" s="19"/>
      <c r="P26" s="19"/>
      <c r="Q26" s="19">
        <v>1</v>
      </c>
    </row>
    <row r="27" spans="1:18" customFormat="1" x14ac:dyDescent="0.25">
      <c r="A27" s="19"/>
      <c r="B27" s="19" t="s">
        <v>32</v>
      </c>
      <c r="C27" s="19" t="s">
        <v>149</v>
      </c>
      <c r="D27" s="19" t="s">
        <v>1039</v>
      </c>
      <c r="E27" s="19" t="s">
        <v>1038</v>
      </c>
      <c r="F27" s="19" t="s">
        <v>117</v>
      </c>
      <c r="G27" s="20">
        <v>790</v>
      </c>
      <c r="H27" s="20">
        <v>0</v>
      </c>
      <c r="I27" s="20">
        <f t="shared" si="0"/>
        <v>790</v>
      </c>
      <c r="J27" s="19" t="s">
        <v>37</v>
      </c>
      <c r="K27" s="19" t="s">
        <v>37</v>
      </c>
      <c r="L27" s="19" t="s">
        <v>975</v>
      </c>
      <c r="M27" s="22" t="s">
        <v>438</v>
      </c>
      <c r="N27" s="19"/>
      <c r="O27" s="19"/>
      <c r="P27" s="19"/>
      <c r="Q27" s="19">
        <v>1</v>
      </c>
    </row>
    <row r="28" spans="1:18" customFormat="1" x14ac:dyDescent="0.25">
      <c r="A28" s="19"/>
      <c r="B28" s="19" t="s">
        <v>32</v>
      </c>
      <c r="C28" s="19" t="s">
        <v>1040</v>
      </c>
      <c r="D28" s="19" t="s">
        <v>1041</v>
      </c>
      <c r="E28" s="19" t="s">
        <v>1042</v>
      </c>
      <c r="F28" s="20">
        <v>2</v>
      </c>
      <c r="G28" s="20">
        <v>380</v>
      </c>
      <c r="H28" s="20">
        <v>30</v>
      </c>
      <c r="I28" s="20">
        <f t="shared" si="0"/>
        <v>350</v>
      </c>
      <c r="J28" s="19" t="s">
        <v>37</v>
      </c>
      <c r="K28" s="19" t="s">
        <v>37</v>
      </c>
      <c r="L28" s="19" t="s">
        <v>975</v>
      </c>
      <c r="M28" s="19"/>
      <c r="N28" s="19"/>
      <c r="O28" s="19"/>
      <c r="P28" s="19"/>
      <c r="Q28" s="19">
        <v>1</v>
      </c>
    </row>
    <row r="29" spans="1:18" customFormat="1" x14ac:dyDescent="0.25">
      <c r="A29" s="19"/>
      <c r="B29" s="19" t="s">
        <v>32</v>
      </c>
      <c r="C29" s="19" t="s">
        <v>1043</v>
      </c>
      <c r="D29" s="19" t="s">
        <v>1044</v>
      </c>
      <c r="E29" s="19" t="s">
        <v>1045</v>
      </c>
      <c r="F29" s="20">
        <v>2</v>
      </c>
      <c r="G29" s="20">
        <v>880</v>
      </c>
      <c r="H29" s="20">
        <v>30</v>
      </c>
      <c r="I29" s="20">
        <f t="shared" si="0"/>
        <v>850</v>
      </c>
      <c r="J29" s="19" t="s">
        <v>37</v>
      </c>
      <c r="K29" s="19" t="s">
        <v>37</v>
      </c>
      <c r="L29" s="19" t="s">
        <v>975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1046</v>
      </c>
      <c r="D30" s="19" t="s">
        <v>1047</v>
      </c>
      <c r="E30" s="19" t="s">
        <v>1048</v>
      </c>
      <c r="F30" s="19" t="s">
        <v>138</v>
      </c>
      <c r="G30" s="20">
        <v>770</v>
      </c>
      <c r="H30" s="20">
        <v>30</v>
      </c>
      <c r="I30" s="20">
        <f t="shared" si="0"/>
        <v>740</v>
      </c>
      <c r="J30" s="19" t="s">
        <v>37</v>
      </c>
      <c r="K30" s="19" t="s">
        <v>37</v>
      </c>
      <c r="L30" s="19" t="s">
        <v>975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1049</v>
      </c>
      <c r="D31" s="19" t="s">
        <v>1050</v>
      </c>
      <c r="E31" s="19" t="s">
        <v>1051</v>
      </c>
      <c r="F31" s="19" t="s">
        <v>117</v>
      </c>
      <c r="G31" s="20">
        <v>875</v>
      </c>
      <c r="H31" s="20">
        <v>25</v>
      </c>
      <c r="I31" s="20">
        <f t="shared" si="0"/>
        <v>850</v>
      </c>
      <c r="J31" s="19" t="s">
        <v>37</v>
      </c>
      <c r="K31" s="19" t="s">
        <v>37</v>
      </c>
      <c r="L31" s="19" t="s">
        <v>975</v>
      </c>
      <c r="M31" s="19"/>
      <c r="N31" s="19"/>
      <c r="O31" s="19"/>
      <c r="P31" s="19"/>
      <c r="Q31" s="19">
        <v>1</v>
      </c>
    </row>
    <row r="32" spans="1:18" customFormat="1" x14ac:dyDescent="0.25">
      <c r="A32" s="19"/>
      <c r="B32" s="19" t="s">
        <v>32</v>
      </c>
      <c r="C32" s="19" t="s">
        <v>1052</v>
      </c>
      <c r="D32" s="19" t="s">
        <v>1053</v>
      </c>
      <c r="E32" s="19" t="s">
        <v>1054</v>
      </c>
      <c r="F32" s="19" t="s">
        <v>173</v>
      </c>
      <c r="G32" s="20">
        <v>0</v>
      </c>
      <c r="H32" s="20">
        <v>25</v>
      </c>
      <c r="I32" s="20">
        <f t="shared" si="0"/>
        <v>-25</v>
      </c>
      <c r="J32" s="19" t="s">
        <v>37</v>
      </c>
      <c r="K32" s="19" t="s">
        <v>37</v>
      </c>
      <c r="L32" s="19" t="s">
        <v>975</v>
      </c>
      <c r="M32" s="19"/>
      <c r="N32" s="19"/>
      <c r="O32" s="19"/>
      <c r="P32" s="19"/>
      <c r="Q32" s="19">
        <v>1</v>
      </c>
    </row>
    <row r="33" spans="1:18" customFormat="1" x14ac:dyDescent="0.25">
      <c r="A33" s="19"/>
      <c r="B33" s="19" t="s">
        <v>32</v>
      </c>
      <c r="C33" s="19" t="s">
        <v>1055</v>
      </c>
      <c r="D33" s="19" t="s">
        <v>1056</v>
      </c>
      <c r="E33" s="19" t="s">
        <v>1057</v>
      </c>
      <c r="F33" s="19" t="s">
        <v>117</v>
      </c>
      <c r="G33" s="20">
        <v>0</v>
      </c>
      <c r="H33" s="20">
        <v>25</v>
      </c>
      <c r="I33" s="20">
        <f t="shared" si="0"/>
        <v>-25</v>
      </c>
      <c r="J33" s="19" t="s">
        <v>37</v>
      </c>
      <c r="K33" s="19" t="s">
        <v>37</v>
      </c>
      <c r="L33" s="19" t="s">
        <v>975</v>
      </c>
      <c r="M33" s="19"/>
      <c r="N33" s="19"/>
      <c r="O33" s="19"/>
      <c r="P33" s="19"/>
      <c r="Q33" s="19">
        <v>1</v>
      </c>
      <c r="R33" s="21">
        <f t="shared" ref="R33:R34" si="1">H33</f>
        <v>25</v>
      </c>
    </row>
    <row r="34" spans="1:18" customFormat="1" x14ac:dyDescent="0.25">
      <c r="A34" s="19"/>
      <c r="B34" s="19" t="s">
        <v>32</v>
      </c>
      <c r="C34" s="19" t="s">
        <v>1058</v>
      </c>
      <c r="D34" s="19" t="s">
        <v>1059</v>
      </c>
      <c r="E34" s="19" t="s">
        <v>1060</v>
      </c>
      <c r="F34" s="19" t="s">
        <v>124</v>
      </c>
      <c r="G34" s="20">
        <v>870</v>
      </c>
      <c r="H34" s="20">
        <v>20</v>
      </c>
      <c r="I34" s="20">
        <f t="shared" si="0"/>
        <v>850</v>
      </c>
      <c r="J34" s="19" t="s">
        <v>37</v>
      </c>
      <c r="K34" s="19" t="s">
        <v>37</v>
      </c>
      <c r="L34" s="19" t="s">
        <v>975</v>
      </c>
      <c r="M34" s="19"/>
      <c r="N34" s="19"/>
      <c r="O34" s="19"/>
      <c r="P34" s="19"/>
      <c r="Q34" s="19">
        <v>1</v>
      </c>
      <c r="R34" s="21">
        <f t="shared" si="1"/>
        <v>20</v>
      </c>
    </row>
    <row r="35" spans="1:18" customFormat="1" x14ac:dyDescent="0.25">
      <c r="A35" s="19"/>
      <c r="B35" s="19" t="s">
        <v>32</v>
      </c>
      <c r="C35" s="19" t="s">
        <v>1061</v>
      </c>
      <c r="D35" s="19" t="s">
        <v>1062</v>
      </c>
      <c r="E35" s="19" t="s">
        <v>1063</v>
      </c>
      <c r="F35" s="19" t="s">
        <v>173</v>
      </c>
      <c r="G35" s="20">
        <v>0</v>
      </c>
      <c r="H35" s="20">
        <v>25</v>
      </c>
      <c r="I35" s="20">
        <f t="shared" ref="I35:I66" si="2">G35-H35</f>
        <v>-25</v>
      </c>
      <c r="J35" s="19" t="s">
        <v>37</v>
      </c>
      <c r="K35" s="19" t="s">
        <v>37</v>
      </c>
      <c r="L35" s="19" t="s">
        <v>975</v>
      </c>
      <c r="M35" s="19"/>
      <c r="N35" s="19"/>
      <c r="O35" s="19"/>
      <c r="P35" s="19"/>
      <c r="Q35" s="19">
        <v>1</v>
      </c>
    </row>
    <row r="36" spans="1:18" customFormat="1" x14ac:dyDescent="0.25">
      <c r="A36" s="19"/>
      <c r="B36" s="19" t="s">
        <v>32</v>
      </c>
      <c r="C36" s="19" t="s">
        <v>1064</v>
      </c>
      <c r="D36" s="19" t="s">
        <v>1065</v>
      </c>
      <c r="E36" s="19" t="s">
        <v>1066</v>
      </c>
      <c r="F36" s="19" t="s">
        <v>173</v>
      </c>
      <c r="G36" s="20">
        <v>1765</v>
      </c>
      <c r="H36" s="20">
        <v>25</v>
      </c>
      <c r="I36" s="20">
        <f t="shared" si="2"/>
        <v>1740</v>
      </c>
      <c r="J36" s="19" t="s">
        <v>37</v>
      </c>
      <c r="K36" s="19" t="s">
        <v>37</v>
      </c>
      <c r="L36" s="19" t="s">
        <v>975</v>
      </c>
      <c r="M36" s="19"/>
      <c r="N36" s="19"/>
      <c r="O36" s="19"/>
      <c r="P36" s="19"/>
      <c r="Q36" s="19">
        <v>1</v>
      </c>
      <c r="R36" s="21">
        <f>H36</f>
        <v>25</v>
      </c>
    </row>
    <row r="37" spans="1:18" customFormat="1" x14ac:dyDescent="0.25">
      <c r="A37" s="19" t="s">
        <v>107</v>
      </c>
      <c r="B37" s="19" t="s">
        <v>32</v>
      </c>
      <c r="C37" s="19" t="s">
        <v>162</v>
      </c>
      <c r="D37" s="19"/>
      <c r="E37" s="19" t="s">
        <v>163</v>
      </c>
      <c r="F37" s="19" t="s">
        <v>117</v>
      </c>
      <c r="G37" s="20">
        <v>3035</v>
      </c>
      <c r="H37" s="20">
        <v>35</v>
      </c>
      <c r="I37" s="20">
        <f t="shared" si="2"/>
        <v>3000</v>
      </c>
      <c r="J37" s="19" t="s">
        <v>37</v>
      </c>
      <c r="K37" s="19" t="s">
        <v>37</v>
      </c>
      <c r="L37" s="19" t="s">
        <v>975</v>
      </c>
      <c r="M37" s="19"/>
      <c r="N37" s="19"/>
      <c r="O37" s="19"/>
      <c r="P37" s="19"/>
      <c r="Q37" s="19">
        <v>1</v>
      </c>
    </row>
    <row r="38" spans="1:18" customFormat="1" x14ac:dyDescent="0.25">
      <c r="A38" s="19"/>
      <c r="B38" s="19" t="s">
        <v>32</v>
      </c>
      <c r="C38" s="19" t="s">
        <v>1067</v>
      </c>
      <c r="D38" s="19" t="s">
        <v>1068</v>
      </c>
      <c r="E38" s="19" t="s">
        <v>1069</v>
      </c>
      <c r="F38" s="20">
        <v>10</v>
      </c>
      <c r="G38" s="20">
        <v>855</v>
      </c>
      <c r="H38" s="20">
        <v>25</v>
      </c>
      <c r="I38" s="20">
        <f t="shared" si="2"/>
        <v>830</v>
      </c>
      <c r="J38" s="19" t="s">
        <v>169</v>
      </c>
      <c r="K38" s="19" t="s">
        <v>37</v>
      </c>
      <c r="L38" s="19" t="s">
        <v>975</v>
      </c>
      <c r="M38" s="19"/>
      <c r="N38" s="19"/>
      <c r="O38" s="19"/>
      <c r="P38" s="19"/>
      <c r="Q38" s="19">
        <v>1</v>
      </c>
    </row>
    <row r="39" spans="1:18" customFormat="1" x14ac:dyDescent="0.25">
      <c r="A39" s="19"/>
      <c r="B39" s="19" t="s">
        <v>32</v>
      </c>
      <c r="C39" s="19" t="s">
        <v>1070</v>
      </c>
      <c r="D39" s="19" t="s">
        <v>1071</v>
      </c>
      <c r="E39" s="19" t="s">
        <v>1072</v>
      </c>
      <c r="F39" s="20">
        <v>5</v>
      </c>
      <c r="G39" s="20">
        <v>875</v>
      </c>
      <c r="H39" s="20">
        <v>25</v>
      </c>
      <c r="I39" s="20">
        <f t="shared" si="2"/>
        <v>850</v>
      </c>
      <c r="J39" s="19" t="s">
        <v>169</v>
      </c>
      <c r="K39" s="19" t="s">
        <v>37</v>
      </c>
      <c r="L39" s="19" t="s">
        <v>975</v>
      </c>
      <c r="M39" s="19"/>
      <c r="N39" s="19"/>
      <c r="O39" s="19"/>
      <c r="P39" s="19"/>
      <c r="Q39" s="19">
        <v>1</v>
      </c>
    </row>
    <row r="40" spans="1:18" customFormat="1" x14ac:dyDescent="0.25">
      <c r="A40" s="19"/>
      <c r="B40" s="19" t="s">
        <v>32</v>
      </c>
      <c r="C40" s="19" t="s">
        <v>965</v>
      </c>
      <c r="D40" s="19" t="s">
        <v>1073</v>
      </c>
      <c r="E40" s="19" t="s">
        <v>967</v>
      </c>
      <c r="F40" s="20">
        <v>1</v>
      </c>
      <c r="G40" s="20">
        <v>905</v>
      </c>
      <c r="H40" s="20">
        <v>25</v>
      </c>
      <c r="I40" s="20">
        <f t="shared" si="2"/>
        <v>880</v>
      </c>
      <c r="J40" s="19" t="s">
        <v>169</v>
      </c>
      <c r="K40" s="19" t="s">
        <v>37</v>
      </c>
      <c r="L40" s="19" t="s">
        <v>975</v>
      </c>
      <c r="M40" s="19"/>
      <c r="N40" s="19"/>
      <c r="O40" s="19"/>
      <c r="P40" s="19"/>
      <c r="Q40" s="19">
        <v>1</v>
      </c>
    </row>
    <row r="41" spans="1:18" customFormat="1" x14ac:dyDescent="0.25">
      <c r="A41" s="19"/>
      <c r="B41" s="19" t="s">
        <v>32</v>
      </c>
      <c r="C41" s="19" t="s">
        <v>1074</v>
      </c>
      <c r="D41" s="19" t="s">
        <v>1075</v>
      </c>
      <c r="E41" s="19" t="s">
        <v>1076</v>
      </c>
      <c r="F41" s="20">
        <v>4</v>
      </c>
      <c r="G41" s="20">
        <v>915</v>
      </c>
      <c r="H41" s="20">
        <v>25</v>
      </c>
      <c r="I41" s="20">
        <f t="shared" si="2"/>
        <v>890</v>
      </c>
      <c r="J41" s="19" t="s">
        <v>169</v>
      </c>
      <c r="K41" s="19" t="s">
        <v>37</v>
      </c>
      <c r="L41" s="19" t="s">
        <v>975</v>
      </c>
      <c r="M41" s="19"/>
      <c r="N41" s="19"/>
      <c r="O41" s="19"/>
      <c r="P41" s="19"/>
      <c r="Q41" s="19">
        <v>1</v>
      </c>
    </row>
    <row r="42" spans="1:18" customFormat="1" x14ac:dyDescent="0.25">
      <c r="A42" s="19"/>
      <c r="B42" s="19" t="s">
        <v>32</v>
      </c>
      <c r="C42" s="19" t="s">
        <v>1077</v>
      </c>
      <c r="D42" s="19" t="s">
        <v>1078</v>
      </c>
      <c r="E42" s="19" t="s">
        <v>1079</v>
      </c>
      <c r="F42" s="19" t="s">
        <v>88</v>
      </c>
      <c r="G42" s="20">
        <v>1065</v>
      </c>
      <c r="H42" s="20">
        <v>35</v>
      </c>
      <c r="I42" s="20">
        <f t="shared" si="2"/>
        <v>1030</v>
      </c>
      <c r="J42" s="19" t="s">
        <v>169</v>
      </c>
      <c r="K42" s="19" t="s">
        <v>37</v>
      </c>
      <c r="L42" s="19" t="s">
        <v>975</v>
      </c>
      <c r="M42" s="19"/>
      <c r="N42" s="19"/>
      <c r="O42" s="19"/>
      <c r="P42" s="19"/>
      <c r="Q42" s="19">
        <v>1</v>
      </c>
    </row>
    <row r="43" spans="1:18" customFormat="1" x14ac:dyDescent="0.25">
      <c r="A43" s="19"/>
      <c r="B43" s="19" t="s">
        <v>32</v>
      </c>
      <c r="C43" s="19" t="s">
        <v>1080</v>
      </c>
      <c r="D43" s="19" t="s">
        <v>1081</v>
      </c>
      <c r="E43" s="19" t="s">
        <v>1082</v>
      </c>
      <c r="F43" s="19" t="s">
        <v>124</v>
      </c>
      <c r="G43" s="20">
        <v>850</v>
      </c>
      <c r="H43" s="20">
        <v>20</v>
      </c>
      <c r="I43" s="20">
        <f t="shared" si="2"/>
        <v>830</v>
      </c>
      <c r="J43" s="19" t="s">
        <v>169</v>
      </c>
      <c r="K43" s="19" t="s">
        <v>37</v>
      </c>
      <c r="L43" s="19" t="s">
        <v>975</v>
      </c>
      <c r="M43" s="19"/>
      <c r="N43" s="19"/>
      <c r="O43" s="19"/>
      <c r="P43" s="19"/>
      <c r="Q43" s="19">
        <v>1</v>
      </c>
    </row>
    <row r="44" spans="1:18" customFormat="1" x14ac:dyDescent="0.25">
      <c r="A44" s="19"/>
      <c r="B44" s="19" t="s">
        <v>32</v>
      </c>
      <c r="C44" s="19" t="s">
        <v>1083</v>
      </c>
      <c r="D44" s="19" t="s">
        <v>1084</v>
      </c>
      <c r="E44" s="19" t="s">
        <v>1085</v>
      </c>
      <c r="F44" s="20">
        <v>7</v>
      </c>
      <c r="G44" s="20">
        <v>860</v>
      </c>
      <c r="H44" s="20">
        <v>30</v>
      </c>
      <c r="I44" s="20">
        <f t="shared" si="2"/>
        <v>830</v>
      </c>
      <c r="J44" s="19" t="s">
        <v>169</v>
      </c>
      <c r="K44" s="19" t="s">
        <v>37</v>
      </c>
      <c r="L44" s="19" t="s">
        <v>975</v>
      </c>
      <c r="M44" s="19"/>
      <c r="N44" s="19"/>
      <c r="O44" s="19"/>
      <c r="P44" s="19"/>
      <c r="Q44" s="19">
        <v>1</v>
      </c>
    </row>
    <row r="45" spans="1:18" customFormat="1" x14ac:dyDescent="0.25">
      <c r="A45" s="19"/>
      <c r="B45" s="19" t="s">
        <v>32</v>
      </c>
      <c r="C45" s="19" t="s">
        <v>1086</v>
      </c>
      <c r="D45" s="19" t="s">
        <v>1087</v>
      </c>
      <c r="E45" s="19" t="s">
        <v>1088</v>
      </c>
      <c r="F45" s="19" t="s">
        <v>88</v>
      </c>
      <c r="G45" s="20">
        <v>815</v>
      </c>
      <c r="H45" s="20">
        <v>35</v>
      </c>
      <c r="I45" s="20">
        <f t="shared" si="2"/>
        <v>780</v>
      </c>
      <c r="J45" s="19" t="s">
        <v>169</v>
      </c>
      <c r="K45" s="19" t="s">
        <v>37</v>
      </c>
      <c r="L45" s="19" t="s">
        <v>975</v>
      </c>
      <c r="M45" s="19"/>
      <c r="N45" s="19"/>
      <c r="O45" s="19"/>
      <c r="P45" s="19"/>
      <c r="Q45" s="19">
        <v>1</v>
      </c>
    </row>
    <row r="46" spans="1:18" customFormat="1" x14ac:dyDescent="0.25">
      <c r="A46" s="19"/>
      <c r="B46" s="19" t="s">
        <v>32</v>
      </c>
      <c r="C46" s="19" t="s">
        <v>1089</v>
      </c>
      <c r="D46" s="19" t="s">
        <v>1090</v>
      </c>
      <c r="E46" s="19" t="s">
        <v>1091</v>
      </c>
      <c r="F46" s="19" t="s">
        <v>173</v>
      </c>
      <c r="G46" s="20">
        <v>855</v>
      </c>
      <c r="H46" s="20">
        <v>25</v>
      </c>
      <c r="I46" s="20">
        <f t="shared" si="2"/>
        <v>830</v>
      </c>
      <c r="J46" s="19" t="s">
        <v>169</v>
      </c>
      <c r="K46" s="19" t="s">
        <v>37</v>
      </c>
      <c r="L46" s="19" t="s">
        <v>975</v>
      </c>
      <c r="M46" s="19"/>
      <c r="N46" s="19"/>
      <c r="O46" s="19"/>
      <c r="P46" s="19"/>
      <c r="Q46" s="19">
        <v>1</v>
      </c>
    </row>
    <row r="47" spans="1:18" customFormat="1" x14ac:dyDescent="0.25">
      <c r="A47" s="19"/>
      <c r="B47" s="19" t="s">
        <v>32</v>
      </c>
      <c r="C47" s="19" t="s">
        <v>1092</v>
      </c>
      <c r="D47" s="19" t="s">
        <v>1093</v>
      </c>
      <c r="E47" s="19" t="s">
        <v>1094</v>
      </c>
      <c r="F47" s="20">
        <v>3</v>
      </c>
      <c r="G47" s="20">
        <v>855</v>
      </c>
      <c r="H47" s="20">
        <v>25</v>
      </c>
      <c r="I47" s="20">
        <f t="shared" si="2"/>
        <v>830</v>
      </c>
      <c r="J47" s="19" t="s">
        <v>169</v>
      </c>
      <c r="K47" s="19" t="s">
        <v>37</v>
      </c>
      <c r="L47" s="19" t="s">
        <v>975</v>
      </c>
      <c r="M47" s="19"/>
      <c r="N47" s="19"/>
      <c r="O47" s="19"/>
      <c r="P47" s="19"/>
      <c r="Q47" s="19">
        <v>1</v>
      </c>
    </row>
    <row r="48" spans="1:18" customFormat="1" x14ac:dyDescent="0.25">
      <c r="A48" s="19"/>
      <c r="B48" s="19" t="s">
        <v>32</v>
      </c>
      <c r="C48" s="19" t="s">
        <v>1095</v>
      </c>
      <c r="D48" s="19" t="s">
        <v>1096</v>
      </c>
      <c r="E48" s="19" t="s">
        <v>1097</v>
      </c>
      <c r="F48" s="20">
        <v>7</v>
      </c>
      <c r="G48" s="20">
        <v>1820</v>
      </c>
      <c r="H48" s="20">
        <v>30</v>
      </c>
      <c r="I48" s="20">
        <f t="shared" si="2"/>
        <v>1790</v>
      </c>
      <c r="J48" s="19" t="s">
        <v>169</v>
      </c>
      <c r="K48" s="19" t="s">
        <v>37</v>
      </c>
      <c r="L48" s="19" t="s">
        <v>975</v>
      </c>
      <c r="M48" s="19"/>
      <c r="N48" s="19"/>
      <c r="O48" s="19"/>
      <c r="P48" s="19"/>
      <c r="Q48" s="19">
        <v>1</v>
      </c>
    </row>
    <row r="49" spans="1:18" customFormat="1" x14ac:dyDescent="0.25">
      <c r="A49" s="19"/>
      <c r="B49" s="19" t="s">
        <v>32</v>
      </c>
      <c r="C49" s="19" t="s">
        <v>598</v>
      </c>
      <c r="D49" s="19" t="s">
        <v>1098</v>
      </c>
      <c r="E49" s="19" t="s">
        <v>600</v>
      </c>
      <c r="F49" s="19" t="s">
        <v>124</v>
      </c>
      <c r="G49" s="20">
        <v>880</v>
      </c>
      <c r="H49" s="20">
        <v>20</v>
      </c>
      <c r="I49" s="20">
        <f t="shared" si="2"/>
        <v>860</v>
      </c>
      <c r="J49" s="19" t="s">
        <v>169</v>
      </c>
      <c r="K49" s="19" t="s">
        <v>37</v>
      </c>
      <c r="L49" s="19" t="s">
        <v>975</v>
      </c>
      <c r="M49" s="19"/>
      <c r="N49" s="19"/>
      <c r="O49" s="19"/>
      <c r="P49" s="19"/>
      <c r="Q49" s="19">
        <v>1</v>
      </c>
    </row>
    <row r="50" spans="1:18" customFormat="1" x14ac:dyDescent="0.25">
      <c r="A50" s="19"/>
      <c r="B50" s="19" t="s">
        <v>32</v>
      </c>
      <c r="C50" s="19" t="s">
        <v>1099</v>
      </c>
      <c r="D50" s="19" t="s">
        <v>1100</v>
      </c>
      <c r="E50" s="19" t="s">
        <v>1101</v>
      </c>
      <c r="F50" s="20">
        <v>7</v>
      </c>
      <c r="G50" s="20">
        <v>610</v>
      </c>
      <c r="H50" s="20">
        <v>30</v>
      </c>
      <c r="I50" s="20">
        <f t="shared" si="2"/>
        <v>580</v>
      </c>
      <c r="J50" s="19" t="s">
        <v>169</v>
      </c>
      <c r="K50" s="19" t="s">
        <v>37</v>
      </c>
      <c r="L50" s="19" t="s">
        <v>975</v>
      </c>
      <c r="M50" s="19"/>
      <c r="N50" s="19"/>
      <c r="O50" s="19"/>
      <c r="P50" s="19"/>
      <c r="Q50" s="19">
        <v>1</v>
      </c>
    </row>
    <row r="51" spans="1:18" customFormat="1" x14ac:dyDescent="0.25">
      <c r="A51" s="19"/>
      <c r="B51" s="19" t="s">
        <v>32</v>
      </c>
      <c r="C51" s="19" t="s">
        <v>1102</v>
      </c>
      <c r="D51" s="19" t="s">
        <v>1103</v>
      </c>
      <c r="E51" s="19" t="s">
        <v>1104</v>
      </c>
      <c r="F51" s="19" t="s">
        <v>317</v>
      </c>
      <c r="G51" s="20">
        <v>510</v>
      </c>
      <c r="H51" s="20">
        <v>20</v>
      </c>
      <c r="I51" s="20">
        <f t="shared" si="2"/>
        <v>490</v>
      </c>
      <c r="J51" s="19" t="s">
        <v>169</v>
      </c>
      <c r="K51" s="19" t="s">
        <v>37</v>
      </c>
      <c r="L51" s="19" t="s">
        <v>975</v>
      </c>
      <c r="M51" s="19"/>
      <c r="N51" s="19"/>
      <c r="O51" s="19"/>
      <c r="P51" s="19"/>
      <c r="Q51" s="19">
        <v>1</v>
      </c>
    </row>
    <row r="52" spans="1:18" customFormat="1" x14ac:dyDescent="0.25">
      <c r="A52" s="19"/>
      <c r="B52" s="19" t="s">
        <v>32</v>
      </c>
      <c r="C52" s="19" t="s">
        <v>1105</v>
      </c>
      <c r="D52" s="19" t="s">
        <v>1106</v>
      </c>
      <c r="E52" s="19" t="s">
        <v>1107</v>
      </c>
      <c r="F52" s="20">
        <v>7</v>
      </c>
      <c r="G52" s="20">
        <v>890</v>
      </c>
      <c r="H52" s="20">
        <v>30</v>
      </c>
      <c r="I52" s="20">
        <f t="shared" si="2"/>
        <v>860</v>
      </c>
      <c r="J52" s="19" t="s">
        <v>169</v>
      </c>
      <c r="K52" s="19" t="s">
        <v>37</v>
      </c>
      <c r="L52" s="19" t="s">
        <v>975</v>
      </c>
      <c r="M52" s="19"/>
      <c r="N52" s="19"/>
      <c r="O52" s="19"/>
      <c r="P52" s="19"/>
      <c r="Q52" s="19">
        <v>1</v>
      </c>
    </row>
    <row r="53" spans="1:18" customFormat="1" x14ac:dyDescent="0.25">
      <c r="A53" s="19"/>
      <c r="B53" s="19" t="s">
        <v>32</v>
      </c>
      <c r="C53" s="19" t="s">
        <v>1108</v>
      </c>
      <c r="D53" s="19" t="s">
        <v>1109</v>
      </c>
      <c r="E53" s="19" t="s">
        <v>1110</v>
      </c>
      <c r="F53" s="20">
        <v>4</v>
      </c>
      <c r="G53" s="20">
        <v>815</v>
      </c>
      <c r="H53" s="20">
        <v>25</v>
      </c>
      <c r="I53" s="20">
        <f t="shared" si="2"/>
        <v>790</v>
      </c>
      <c r="J53" s="19" t="s">
        <v>169</v>
      </c>
      <c r="K53" s="19" t="s">
        <v>37</v>
      </c>
      <c r="L53" s="19" t="s">
        <v>975</v>
      </c>
      <c r="M53" s="19"/>
      <c r="N53" s="19"/>
      <c r="O53" s="19"/>
      <c r="P53" s="19"/>
      <c r="Q53" s="19">
        <v>1</v>
      </c>
    </row>
    <row r="54" spans="1:18" customFormat="1" x14ac:dyDescent="0.25">
      <c r="A54" s="19"/>
      <c r="B54" s="19" t="s">
        <v>32</v>
      </c>
      <c r="C54" s="19" t="s">
        <v>1111</v>
      </c>
      <c r="D54" s="19" t="s">
        <v>1112</v>
      </c>
      <c r="E54" s="19" t="s">
        <v>1113</v>
      </c>
      <c r="F54" s="20">
        <v>7</v>
      </c>
      <c r="G54" s="20">
        <v>820</v>
      </c>
      <c r="H54" s="20">
        <v>30</v>
      </c>
      <c r="I54" s="20">
        <f t="shared" si="2"/>
        <v>790</v>
      </c>
      <c r="J54" s="19" t="s">
        <v>169</v>
      </c>
      <c r="K54" s="19" t="s">
        <v>37</v>
      </c>
      <c r="L54" s="19" t="s">
        <v>975</v>
      </c>
      <c r="M54" s="19"/>
      <c r="N54" s="19"/>
      <c r="O54" s="19"/>
      <c r="P54" s="19"/>
      <c r="Q54" s="19">
        <v>1</v>
      </c>
    </row>
    <row r="55" spans="1:18" customFormat="1" x14ac:dyDescent="0.25">
      <c r="A55" s="19"/>
      <c r="B55" s="19" t="s">
        <v>32</v>
      </c>
      <c r="C55" s="19" t="s">
        <v>1114</v>
      </c>
      <c r="D55" s="19" t="s">
        <v>1115</v>
      </c>
      <c r="E55" s="19" t="s">
        <v>1116</v>
      </c>
      <c r="F55" s="20">
        <v>1</v>
      </c>
      <c r="G55" s="20">
        <v>755</v>
      </c>
      <c r="H55" s="20">
        <v>25</v>
      </c>
      <c r="I55" s="20">
        <f t="shared" si="2"/>
        <v>730</v>
      </c>
      <c r="J55" s="19" t="s">
        <v>169</v>
      </c>
      <c r="K55" s="19" t="s">
        <v>37</v>
      </c>
      <c r="L55" s="19" t="s">
        <v>975</v>
      </c>
      <c r="M55" s="19"/>
      <c r="N55" s="19"/>
      <c r="O55" s="19"/>
      <c r="P55" s="19"/>
      <c r="Q55" s="19">
        <v>1</v>
      </c>
    </row>
    <row r="56" spans="1:18" customFormat="1" x14ac:dyDescent="0.25">
      <c r="A56" s="19"/>
      <c r="B56" s="19" t="s">
        <v>32</v>
      </c>
      <c r="C56" s="19" t="s">
        <v>1117</v>
      </c>
      <c r="D56" s="19" t="s">
        <v>1118</v>
      </c>
      <c r="E56" s="19" t="s">
        <v>1119</v>
      </c>
      <c r="F56" s="20">
        <v>1</v>
      </c>
      <c r="G56" s="20">
        <v>855</v>
      </c>
      <c r="H56" s="20">
        <v>25</v>
      </c>
      <c r="I56" s="20">
        <f t="shared" si="2"/>
        <v>830</v>
      </c>
      <c r="J56" s="19" t="s">
        <v>169</v>
      </c>
      <c r="K56" s="19" t="s">
        <v>37</v>
      </c>
      <c r="L56" s="19" t="s">
        <v>975</v>
      </c>
      <c r="M56" s="19"/>
      <c r="N56" s="19"/>
      <c r="O56" s="19"/>
      <c r="P56" s="19"/>
      <c r="Q56" s="19">
        <v>1</v>
      </c>
    </row>
    <row r="57" spans="1:18" customFormat="1" x14ac:dyDescent="0.25">
      <c r="A57" s="19"/>
      <c r="B57" s="19" t="s">
        <v>32</v>
      </c>
      <c r="C57" s="19" t="s">
        <v>1120</v>
      </c>
      <c r="D57" s="19" t="s">
        <v>1121</v>
      </c>
      <c r="E57" s="19" t="s">
        <v>1122</v>
      </c>
      <c r="F57" s="20">
        <v>1</v>
      </c>
      <c r="G57" s="20">
        <v>605</v>
      </c>
      <c r="H57" s="20">
        <v>25</v>
      </c>
      <c r="I57" s="20">
        <f t="shared" si="2"/>
        <v>580</v>
      </c>
      <c r="J57" s="19" t="s">
        <v>169</v>
      </c>
      <c r="K57" s="19" t="s">
        <v>37</v>
      </c>
      <c r="L57" s="19" t="s">
        <v>975</v>
      </c>
      <c r="M57" s="19"/>
      <c r="N57" s="19"/>
      <c r="O57" s="19"/>
      <c r="P57" s="19"/>
      <c r="Q57" s="19">
        <v>1</v>
      </c>
    </row>
    <row r="58" spans="1:18" customFormat="1" x14ac:dyDescent="0.25">
      <c r="A58" s="19"/>
      <c r="B58" s="19" t="s">
        <v>32</v>
      </c>
      <c r="C58" s="19" t="s">
        <v>1123</v>
      </c>
      <c r="D58" s="19" t="s">
        <v>1124</v>
      </c>
      <c r="E58" s="19" t="s">
        <v>1125</v>
      </c>
      <c r="F58" s="20">
        <v>3</v>
      </c>
      <c r="G58" s="20">
        <v>805</v>
      </c>
      <c r="H58" s="20">
        <v>25</v>
      </c>
      <c r="I58" s="20">
        <f t="shared" si="2"/>
        <v>780</v>
      </c>
      <c r="J58" s="19" t="s">
        <v>169</v>
      </c>
      <c r="K58" s="19" t="s">
        <v>37</v>
      </c>
      <c r="L58" s="19" t="s">
        <v>975</v>
      </c>
      <c r="M58" s="19"/>
      <c r="N58" s="19"/>
      <c r="O58" s="19"/>
      <c r="P58" s="19"/>
      <c r="Q58" s="19">
        <v>1</v>
      </c>
    </row>
    <row r="59" spans="1:18" customFormat="1" x14ac:dyDescent="0.25">
      <c r="A59" s="19"/>
      <c r="B59" s="19" t="s">
        <v>32</v>
      </c>
      <c r="C59" s="19" t="s">
        <v>1126</v>
      </c>
      <c r="D59" s="19" t="s">
        <v>1127</v>
      </c>
      <c r="E59" s="19" t="s">
        <v>1128</v>
      </c>
      <c r="F59" s="20">
        <v>7</v>
      </c>
      <c r="G59" s="20">
        <v>860</v>
      </c>
      <c r="H59" s="20">
        <v>30</v>
      </c>
      <c r="I59" s="20">
        <f t="shared" si="2"/>
        <v>830</v>
      </c>
      <c r="J59" s="19" t="s">
        <v>169</v>
      </c>
      <c r="K59" s="19" t="s">
        <v>37</v>
      </c>
      <c r="L59" s="19" t="s">
        <v>975</v>
      </c>
      <c r="M59" s="19"/>
      <c r="N59" s="19"/>
      <c r="O59" s="19"/>
      <c r="P59" s="19"/>
      <c r="Q59" s="19">
        <v>1</v>
      </c>
    </row>
    <row r="60" spans="1:18" customFormat="1" x14ac:dyDescent="0.25">
      <c r="A60" s="19"/>
      <c r="B60" s="19" t="s">
        <v>32</v>
      </c>
      <c r="C60" s="19" t="s">
        <v>1129</v>
      </c>
      <c r="D60" s="19" t="s">
        <v>1130</v>
      </c>
      <c r="E60" s="19" t="s">
        <v>1131</v>
      </c>
      <c r="F60" s="20">
        <v>7</v>
      </c>
      <c r="G60" s="20">
        <v>860</v>
      </c>
      <c r="H60" s="20">
        <v>30</v>
      </c>
      <c r="I60" s="20">
        <f t="shared" si="2"/>
        <v>830</v>
      </c>
      <c r="J60" s="19" t="s">
        <v>169</v>
      </c>
      <c r="K60" s="19" t="s">
        <v>37</v>
      </c>
      <c r="L60" s="19" t="s">
        <v>975</v>
      </c>
      <c r="M60" s="19"/>
      <c r="N60" s="19"/>
      <c r="O60" s="19"/>
      <c r="P60" s="19"/>
      <c r="Q60" s="19">
        <v>1</v>
      </c>
    </row>
    <row r="61" spans="1:18" customFormat="1" x14ac:dyDescent="0.25">
      <c r="A61" s="19"/>
      <c r="B61" s="19" t="s">
        <v>32</v>
      </c>
      <c r="C61" s="19" t="s">
        <v>1132</v>
      </c>
      <c r="D61" s="19" t="s">
        <v>1133</v>
      </c>
      <c r="E61" s="19" t="s">
        <v>1134</v>
      </c>
      <c r="F61" s="19" t="s">
        <v>173</v>
      </c>
      <c r="G61" s="20">
        <v>815</v>
      </c>
      <c r="H61" s="20">
        <v>25</v>
      </c>
      <c r="I61" s="20">
        <f t="shared" si="2"/>
        <v>790</v>
      </c>
      <c r="J61" s="19" t="s">
        <v>169</v>
      </c>
      <c r="K61" s="19" t="s">
        <v>37</v>
      </c>
      <c r="L61" s="19" t="s">
        <v>975</v>
      </c>
      <c r="M61" s="19"/>
      <c r="N61" s="19"/>
      <c r="O61" s="19"/>
      <c r="P61" s="19"/>
      <c r="Q61" s="19">
        <v>1</v>
      </c>
    </row>
    <row r="62" spans="1:18" customFormat="1" x14ac:dyDescent="0.25">
      <c r="A62" s="19"/>
      <c r="B62" s="19" t="s">
        <v>32</v>
      </c>
      <c r="C62" s="19" t="s">
        <v>1135</v>
      </c>
      <c r="D62" s="19" t="s">
        <v>1136</v>
      </c>
      <c r="E62" s="19" t="s">
        <v>1137</v>
      </c>
      <c r="F62" s="20">
        <v>7</v>
      </c>
      <c r="G62" s="20">
        <v>920</v>
      </c>
      <c r="H62" s="20">
        <v>30</v>
      </c>
      <c r="I62" s="20">
        <f t="shared" si="2"/>
        <v>890</v>
      </c>
      <c r="J62" s="19" t="s">
        <v>169</v>
      </c>
      <c r="K62" s="19" t="s">
        <v>37</v>
      </c>
      <c r="L62" s="19" t="s">
        <v>975</v>
      </c>
      <c r="M62" s="19"/>
      <c r="N62" s="19"/>
      <c r="O62" s="19"/>
      <c r="P62" s="19"/>
      <c r="Q62" s="19">
        <v>1</v>
      </c>
    </row>
    <row r="63" spans="1:18" customFormat="1" x14ac:dyDescent="0.25">
      <c r="A63" s="19"/>
      <c r="B63" s="19" t="s">
        <v>32</v>
      </c>
      <c r="C63" s="19" t="s">
        <v>1138</v>
      </c>
      <c r="D63" s="19" t="s">
        <v>1139</v>
      </c>
      <c r="E63" s="19" t="s">
        <v>745</v>
      </c>
      <c r="F63" s="19" t="s">
        <v>173</v>
      </c>
      <c r="G63" s="20">
        <v>0</v>
      </c>
      <c r="H63" s="20">
        <v>25</v>
      </c>
      <c r="I63" s="20">
        <f t="shared" si="2"/>
        <v>-25</v>
      </c>
      <c r="J63" s="19" t="s">
        <v>169</v>
      </c>
      <c r="K63" s="19" t="s">
        <v>37</v>
      </c>
      <c r="L63" s="19" t="s">
        <v>975</v>
      </c>
      <c r="M63" s="19"/>
      <c r="N63" s="19"/>
      <c r="O63" s="19"/>
      <c r="P63" s="19"/>
      <c r="Q63" s="19">
        <v>1</v>
      </c>
    </row>
    <row r="64" spans="1:18" customFormat="1" x14ac:dyDescent="0.25">
      <c r="A64" s="19"/>
      <c r="B64" s="19" t="s">
        <v>32</v>
      </c>
      <c r="C64" s="19" t="s">
        <v>1140</v>
      </c>
      <c r="D64" s="19" t="s">
        <v>1141</v>
      </c>
      <c r="E64" s="19" t="s">
        <v>1142</v>
      </c>
      <c r="F64" s="20">
        <v>5</v>
      </c>
      <c r="G64" s="20">
        <v>935</v>
      </c>
      <c r="H64" s="20">
        <v>25</v>
      </c>
      <c r="I64" s="20">
        <f t="shared" si="2"/>
        <v>910</v>
      </c>
      <c r="J64" s="19" t="s">
        <v>169</v>
      </c>
      <c r="K64" s="19" t="s">
        <v>37</v>
      </c>
      <c r="L64" s="19" t="s">
        <v>975</v>
      </c>
      <c r="M64" s="19"/>
      <c r="N64" s="19"/>
      <c r="O64" s="19"/>
      <c r="P64" s="19"/>
      <c r="Q64" s="19">
        <v>1</v>
      </c>
      <c r="R64" s="21">
        <f>H64</f>
        <v>25</v>
      </c>
    </row>
    <row r="65" spans="1:18" customFormat="1" x14ac:dyDescent="0.25">
      <c r="A65" s="27"/>
      <c r="B65" s="27" t="s">
        <v>32</v>
      </c>
      <c r="C65" s="27" t="s">
        <v>504</v>
      </c>
      <c r="D65" s="27" t="s">
        <v>1005</v>
      </c>
      <c r="E65" s="27" t="s">
        <v>308</v>
      </c>
      <c r="F65" s="28">
        <v>12</v>
      </c>
      <c r="G65" s="28">
        <v>0</v>
      </c>
      <c r="H65" s="28">
        <v>0</v>
      </c>
      <c r="I65" s="28">
        <f t="shared" si="2"/>
        <v>0</v>
      </c>
      <c r="J65" s="27" t="s">
        <v>1147</v>
      </c>
      <c r="K65" s="27" t="s">
        <v>37</v>
      </c>
      <c r="L65" s="27" t="s">
        <v>975</v>
      </c>
      <c r="M65" s="27" t="s">
        <v>1152</v>
      </c>
      <c r="N65" s="27"/>
      <c r="O65" s="27"/>
      <c r="P65" s="27" t="s">
        <v>1150</v>
      </c>
      <c r="Q65" s="27">
        <v>1</v>
      </c>
    </row>
    <row r="66" spans="1:18" s="35" customFormat="1" x14ac:dyDescent="0.25">
      <c r="A66" s="33"/>
      <c r="B66" s="33" t="s">
        <v>32</v>
      </c>
      <c r="C66" s="33" t="s">
        <v>1143</v>
      </c>
      <c r="D66" s="33" t="s">
        <v>1144</v>
      </c>
      <c r="E66" s="33" t="s">
        <v>1145</v>
      </c>
      <c r="F66" s="33" t="s">
        <v>1146</v>
      </c>
      <c r="G66" s="34">
        <v>1230</v>
      </c>
      <c r="H66" s="34">
        <v>0</v>
      </c>
      <c r="I66" s="34">
        <f t="shared" si="2"/>
        <v>1230</v>
      </c>
      <c r="J66" s="33" t="s">
        <v>1147</v>
      </c>
      <c r="K66" s="33" t="s">
        <v>37</v>
      </c>
      <c r="L66" s="33" t="s">
        <v>975</v>
      </c>
      <c r="M66" s="33" t="s">
        <v>1148</v>
      </c>
      <c r="N66" s="33" t="s">
        <v>1149</v>
      </c>
      <c r="O66" s="33"/>
      <c r="P66" s="33" t="s">
        <v>1150</v>
      </c>
      <c r="Q66" s="33">
        <v>1</v>
      </c>
    </row>
    <row r="68" spans="1:18" x14ac:dyDescent="0.25">
      <c r="G68" s="1">
        <f t="shared" ref="G68:R68" si="3">SUBTOTAL(9,G3:G66)</f>
        <v>57960</v>
      </c>
      <c r="H68" s="1">
        <f t="shared" si="3"/>
        <v>1645</v>
      </c>
      <c r="I68" s="1">
        <f t="shared" si="3"/>
        <v>56315</v>
      </c>
      <c r="J68" s="1">
        <f t="shared" si="3"/>
        <v>0</v>
      </c>
      <c r="K68" s="1">
        <f t="shared" si="3"/>
        <v>0</v>
      </c>
      <c r="L68" s="1">
        <f t="shared" si="3"/>
        <v>0</v>
      </c>
      <c r="M68" s="1">
        <f t="shared" si="3"/>
        <v>0</v>
      </c>
      <c r="N68" s="1">
        <f t="shared" si="3"/>
        <v>0</v>
      </c>
      <c r="O68" s="1">
        <f t="shared" si="3"/>
        <v>0</v>
      </c>
      <c r="P68" s="1">
        <f t="shared" si="3"/>
        <v>0</v>
      </c>
      <c r="Q68" s="1">
        <f t="shared" si="3"/>
        <v>64</v>
      </c>
      <c r="R68" s="1">
        <f t="shared" si="3"/>
        <v>225</v>
      </c>
    </row>
    <row r="69" spans="1:18" x14ac:dyDescent="0.25">
      <c r="I69" s="1">
        <v>-1430</v>
      </c>
      <c r="J69" s="1" t="s">
        <v>1151</v>
      </c>
    </row>
    <row r="72" spans="1:18" ht="20.25" customHeight="1" x14ac:dyDescent="0.3">
      <c r="H72" s="4" t="s">
        <v>923</v>
      </c>
      <c r="I72" s="5" t="s">
        <v>15</v>
      </c>
      <c r="J72" s="6" t="s">
        <v>16</v>
      </c>
    </row>
    <row r="73" spans="1:18" ht="15.75" customHeight="1" x14ac:dyDescent="0.25">
      <c r="H73" s="7" t="s">
        <v>17</v>
      </c>
      <c r="I73" s="8">
        <f>SUM(I67:I71)</f>
        <v>54885</v>
      </c>
      <c r="J73" s="8">
        <f>Q68</f>
        <v>64</v>
      </c>
    </row>
    <row r="74" spans="1:18" x14ac:dyDescent="0.25">
      <c r="H74" s="9" t="s">
        <v>18</v>
      </c>
      <c r="I74" s="10">
        <f>R68</f>
        <v>225</v>
      </c>
      <c r="J74" s="11"/>
    </row>
    <row r="75" spans="1:18" x14ac:dyDescent="0.25">
      <c r="H75" s="9" t="s">
        <v>19</v>
      </c>
      <c r="I75" s="10">
        <f>S67</f>
        <v>0</v>
      </c>
      <c r="J75" s="11"/>
    </row>
    <row r="76" spans="1:18" x14ac:dyDescent="0.25">
      <c r="H76" s="9" t="s">
        <v>20</v>
      </c>
      <c r="I76" s="10">
        <f>T67</f>
        <v>0</v>
      </c>
      <c r="J76" s="11"/>
    </row>
    <row r="77" spans="1:18" x14ac:dyDescent="0.25">
      <c r="H77" s="9" t="s">
        <v>21</v>
      </c>
      <c r="I77" s="10">
        <f>U67</f>
        <v>0</v>
      </c>
      <c r="J77" s="11"/>
    </row>
    <row r="78" spans="1:18" ht="15.75" customHeight="1" x14ac:dyDescent="0.25">
      <c r="H78" s="12" t="s">
        <v>22</v>
      </c>
      <c r="I78" s="13"/>
      <c r="J78" s="13"/>
    </row>
    <row r="79" spans="1:18" ht="15.75" customHeight="1" x14ac:dyDescent="0.25">
      <c r="H79" s="14" t="s">
        <v>23</v>
      </c>
      <c r="I79" s="13"/>
      <c r="J79" s="13"/>
    </row>
    <row r="80" spans="1:18" ht="21" customHeight="1" x14ac:dyDescent="0.35">
      <c r="H80" s="15" t="s">
        <v>24</v>
      </c>
      <c r="I80" s="16">
        <f>SUM(I73:I79)</f>
        <v>55110</v>
      </c>
      <c r="J80" s="16">
        <f>SUM(J73:J77)</f>
        <v>64</v>
      </c>
    </row>
  </sheetData>
  <autoFilter ref="A2:P66" xr:uid="{00000000-0009-0000-0000-000006000000}">
    <sortState xmlns:xlrd2="http://schemas.microsoft.com/office/spreadsheetml/2017/richdata2" ref="A3:P66">
      <sortCondition ref="J2:J66"/>
    </sortState>
  </autoFilter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2BFC-0900-49C2-9090-9959B4B4EF8B}">
  <dimension ref="A1:R57"/>
  <sheetViews>
    <sheetView topLeftCell="A21" zoomScale="82" zoomScaleNormal="80" workbookViewId="0">
      <selection activeCell="L57" sqref="L57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29</v>
      </c>
      <c r="C1" s="1" t="s">
        <v>971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1155</v>
      </c>
      <c r="D3" s="19" t="s">
        <v>1156</v>
      </c>
      <c r="E3" s="19" t="s">
        <v>1157</v>
      </c>
      <c r="F3" s="19" t="s">
        <v>45</v>
      </c>
      <c r="G3" s="20">
        <v>0</v>
      </c>
      <c r="H3" s="20">
        <v>30</v>
      </c>
      <c r="I3" s="20">
        <f t="shared" ref="I3:I40" si="0">G3-H3</f>
        <v>-30</v>
      </c>
      <c r="J3" s="19" t="s">
        <v>1158</v>
      </c>
      <c r="K3" s="19" t="s">
        <v>37</v>
      </c>
      <c r="L3" s="19" t="s">
        <v>1159</v>
      </c>
      <c r="M3" s="19"/>
      <c r="N3" s="19"/>
      <c r="O3" s="19"/>
      <c r="P3" s="19"/>
      <c r="Q3" s="19">
        <v>1</v>
      </c>
      <c r="R3" s="21">
        <f>H3</f>
        <v>30</v>
      </c>
    </row>
    <row r="4" spans="1:18" customFormat="1" x14ac:dyDescent="0.25">
      <c r="A4" s="19"/>
      <c r="B4" s="19" t="s">
        <v>32</v>
      </c>
      <c r="C4" s="19" t="s">
        <v>1160</v>
      </c>
      <c r="D4" s="19" t="s">
        <v>1161</v>
      </c>
      <c r="E4" s="19" t="s">
        <v>1162</v>
      </c>
      <c r="F4" s="20">
        <v>9</v>
      </c>
      <c r="G4" s="20">
        <v>970</v>
      </c>
      <c r="H4" s="20">
        <v>30</v>
      </c>
      <c r="I4" s="20">
        <f t="shared" si="0"/>
        <v>940</v>
      </c>
      <c r="J4" s="19" t="s">
        <v>1158</v>
      </c>
      <c r="K4" s="19" t="s">
        <v>37</v>
      </c>
      <c r="L4" s="19" t="s">
        <v>1159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259</v>
      </c>
      <c r="D5" s="19" t="s">
        <v>1163</v>
      </c>
      <c r="E5" s="19" t="s">
        <v>1164</v>
      </c>
      <c r="F5" s="20">
        <v>8</v>
      </c>
      <c r="G5" s="20">
        <v>820</v>
      </c>
      <c r="H5" s="20">
        <v>30</v>
      </c>
      <c r="I5" s="20">
        <f t="shared" si="0"/>
        <v>790</v>
      </c>
      <c r="J5" s="19" t="s">
        <v>1158</v>
      </c>
      <c r="K5" s="19" t="s">
        <v>37</v>
      </c>
      <c r="L5" s="19" t="s">
        <v>1159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885</v>
      </c>
      <c r="D6" s="19" t="s">
        <v>1165</v>
      </c>
      <c r="E6" s="19" t="s">
        <v>887</v>
      </c>
      <c r="F6" s="19" t="s">
        <v>45</v>
      </c>
      <c r="G6" s="20">
        <v>1830</v>
      </c>
      <c r="H6" s="20">
        <v>30</v>
      </c>
      <c r="I6" s="20">
        <f t="shared" si="0"/>
        <v>1800</v>
      </c>
      <c r="J6" s="19" t="s">
        <v>1158</v>
      </c>
      <c r="K6" s="19" t="s">
        <v>37</v>
      </c>
      <c r="L6" s="19" t="s">
        <v>1159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1166</v>
      </c>
      <c r="D7" s="19" t="s">
        <v>1167</v>
      </c>
      <c r="E7" s="19" t="s">
        <v>1168</v>
      </c>
      <c r="F7" s="19" t="s">
        <v>45</v>
      </c>
      <c r="G7" s="20">
        <v>0</v>
      </c>
      <c r="H7" s="20">
        <v>30</v>
      </c>
      <c r="I7" s="20">
        <f t="shared" si="0"/>
        <v>-30</v>
      </c>
      <c r="J7" s="19" t="s">
        <v>1158</v>
      </c>
      <c r="K7" s="19" t="s">
        <v>37</v>
      </c>
      <c r="L7" s="19" t="s">
        <v>1159</v>
      </c>
      <c r="M7" s="19"/>
      <c r="N7" s="19"/>
      <c r="O7" s="19"/>
      <c r="P7" s="19"/>
      <c r="Q7" s="19">
        <v>1</v>
      </c>
      <c r="R7" s="21">
        <f t="shared" ref="R7:R8" si="1">H7</f>
        <v>30</v>
      </c>
    </row>
    <row r="8" spans="1:18" customFormat="1" x14ac:dyDescent="0.25">
      <c r="A8" s="19"/>
      <c r="B8" s="19" t="s">
        <v>32</v>
      </c>
      <c r="C8" s="19" t="s">
        <v>1169</v>
      </c>
      <c r="D8" s="19" t="s">
        <v>1170</v>
      </c>
      <c r="E8" s="19" t="s">
        <v>1171</v>
      </c>
      <c r="F8" s="20">
        <v>6</v>
      </c>
      <c r="G8" s="20">
        <v>0</v>
      </c>
      <c r="H8" s="20">
        <v>25</v>
      </c>
      <c r="I8" s="20">
        <f t="shared" si="0"/>
        <v>-25</v>
      </c>
      <c r="J8" s="19" t="s">
        <v>1158</v>
      </c>
      <c r="K8" s="19" t="s">
        <v>37</v>
      </c>
      <c r="L8" s="19" t="s">
        <v>1159</v>
      </c>
      <c r="M8" s="19"/>
      <c r="N8" s="19"/>
      <c r="O8" s="19"/>
      <c r="P8" s="19"/>
      <c r="Q8" s="19">
        <v>1</v>
      </c>
      <c r="R8" s="21">
        <f t="shared" si="1"/>
        <v>25</v>
      </c>
    </row>
    <row r="9" spans="1:18" customFormat="1" x14ac:dyDescent="0.25">
      <c r="A9" s="19"/>
      <c r="B9" s="19" t="s">
        <v>32</v>
      </c>
      <c r="C9" s="19" t="s">
        <v>1172</v>
      </c>
      <c r="D9" s="19" t="s">
        <v>1173</v>
      </c>
      <c r="E9" s="19" t="s">
        <v>1174</v>
      </c>
      <c r="F9" s="20">
        <v>6</v>
      </c>
      <c r="G9" s="20">
        <v>465</v>
      </c>
      <c r="H9" s="20">
        <v>25</v>
      </c>
      <c r="I9" s="20">
        <f t="shared" si="0"/>
        <v>440</v>
      </c>
      <c r="J9" s="19" t="s">
        <v>1158</v>
      </c>
      <c r="K9" s="19" t="s">
        <v>37</v>
      </c>
      <c r="L9" s="19" t="s">
        <v>1159</v>
      </c>
      <c r="M9" s="19"/>
      <c r="N9" s="19"/>
      <c r="O9" s="19"/>
      <c r="P9" s="19"/>
      <c r="Q9" s="19">
        <v>1</v>
      </c>
    </row>
    <row r="10" spans="1:18" customFormat="1" x14ac:dyDescent="0.25">
      <c r="A10" s="19"/>
      <c r="B10" s="19" t="s">
        <v>32</v>
      </c>
      <c r="C10" s="19" t="s">
        <v>1175</v>
      </c>
      <c r="D10" s="19" t="s">
        <v>1176</v>
      </c>
      <c r="E10" s="19" t="s">
        <v>1177</v>
      </c>
      <c r="F10" s="20">
        <v>12</v>
      </c>
      <c r="G10" s="20">
        <v>0</v>
      </c>
      <c r="H10" s="20">
        <v>30</v>
      </c>
      <c r="I10" s="20">
        <f t="shared" si="0"/>
        <v>-30</v>
      </c>
      <c r="J10" s="19" t="s">
        <v>1158</v>
      </c>
      <c r="K10" s="19" t="s">
        <v>37</v>
      </c>
      <c r="L10" s="19" t="s">
        <v>1159</v>
      </c>
      <c r="M10" s="19"/>
      <c r="N10" s="19"/>
      <c r="O10" s="19"/>
      <c r="P10" s="19"/>
      <c r="Q10" s="19">
        <v>1</v>
      </c>
      <c r="R10" s="21">
        <f>H10</f>
        <v>30</v>
      </c>
    </row>
    <row r="11" spans="1:18" customFormat="1" x14ac:dyDescent="0.25">
      <c r="A11" s="19"/>
      <c r="B11" s="19" t="s">
        <v>32</v>
      </c>
      <c r="C11" s="19" t="s">
        <v>1178</v>
      </c>
      <c r="D11" s="19" t="s">
        <v>1179</v>
      </c>
      <c r="E11" s="19" t="s">
        <v>1180</v>
      </c>
      <c r="F11" s="20">
        <v>8</v>
      </c>
      <c r="G11" s="20">
        <v>970</v>
      </c>
      <c r="H11" s="20">
        <v>30</v>
      </c>
      <c r="I11" s="20">
        <f t="shared" si="0"/>
        <v>940</v>
      </c>
      <c r="J11" s="19" t="s">
        <v>1158</v>
      </c>
      <c r="K11" s="19" t="s">
        <v>37</v>
      </c>
      <c r="L11" s="19" t="s">
        <v>1159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1181</v>
      </c>
      <c r="D12" s="19" t="s">
        <v>1182</v>
      </c>
      <c r="E12" s="19" t="s">
        <v>1183</v>
      </c>
      <c r="F12" s="20">
        <v>12</v>
      </c>
      <c r="G12" s="20">
        <v>880</v>
      </c>
      <c r="H12" s="20">
        <v>30</v>
      </c>
      <c r="I12" s="20">
        <f t="shared" si="0"/>
        <v>850</v>
      </c>
      <c r="J12" s="19" t="s">
        <v>1158</v>
      </c>
      <c r="K12" s="19" t="s">
        <v>37</v>
      </c>
      <c r="L12" s="19" t="s">
        <v>1159</v>
      </c>
      <c r="M12" s="19"/>
      <c r="N12" s="19"/>
      <c r="O12" s="19"/>
      <c r="P12" s="19"/>
      <c r="Q12" s="19">
        <v>1</v>
      </c>
    </row>
    <row r="13" spans="1:18" customFormat="1" x14ac:dyDescent="0.25">
      <c r="A13" s="19"/>
      <c r="B13" s="19" t="s">
        <v>32</v>
      </c>
      <c r="C13" s="19" t="s">
        <v>1184</v>
      </c>
      <c r="D13" s="19" t="s">
        <v>1185</v>
      </c>
      <c r="E13" s="19" t="s">
        <v>1186</v>
      </c>
      <c r="F13" s="20">
        <v>6</v>
      </c>
      <c r="G13" s="20">
        <v>5090</v>
      </c>
      <c r="H13" s="20">
        <v>45</v>
      </c>
      <c r="I13" s="20">
        <f t="shared" si="0"/>
        <v>5045</v>
      </c>
      <c r="J13" s="19" t="s">
        <v>1158</v>
      </c>
      <c r="K13" s="19" t="s">
        <v>37</v>
      </c>
      <c r="L13" s="19" t="s">
        <v>1159</v>
      </c>
      <c r="M13" s="22" t="s">
        <v>183</v>
      </c>
      <c r="N13" s="19"/>
      <c r="O13" s="19"/>
      <c r="P13" s="19"/>
      <c r="Q13" s="19">
        <v>1</v>
      </c>
      <c r="R13" s="21">
        <f>H13</f>
        <v>45</v>
      </c>
    </row>
    <row r="14" spans="1:18" customFormat="1" x14ac:dyDescent="0.25">
      <c r="A14" s="19"/>
      <c r="B14" s="19" t="s">
        <v>32</v>
      </c>
      <c r="C14" s="19" t="s">
        <v>1187</v>
      </c>
      <c r="D14" s="19" t="s">
        <v>1188</v>
      </c>
      <c r="E14" s="19" t="s">
        <v>1189</v>
      </c>
      <c r="F14" s="20">
        <v>2</v>
      </c>
      <c r="G14" s="20">
        <v>820</v>
      </c>
      <c r="H14" s="20">
        <v>30</v>
      </c>
      <c r="I14" s="20">
        <f t="shared" si="0"/>
        <v>790</v>
      </c>
      <c r="J14" s="19" t="s">
        <v>37</v>
      </c>
      <c r="K14" s="19" t="s">
        <v>37</v>
      </c>
      <c r="L14" s="19" t="s">
        <v>1159</v>
      </c>
      <c r="M14" s="19"/>
      <c r="N14" s="19"/>
      <c r="O14" s="19"/>
      <c r="P14" s="19"/>
      <c r="Q14" s="19">
        <v>1</v>
      </c>
    </row>
    <row r="15" spans="1:18" customFormat="1" x14ac:dyDescent="0.25">
      <c r="A15" s="19"/>
      <c r="B15" s="19" t="s">
        <v>32</v>
      </c>
      <c r="C15" s="19" t="s">
        <v>1190</v>
      </c>
      <c r="D15" s="19" t="s">
        <v>1191</v>
      </c>
      <c r="E15" s="19" t="s">
        <v>1192</v>
      </c>
      <c r="F15" s="19" t="s">
        <v>138</v>
      </c>
      <c r="G15" s="20">
        <v>760</v>
      </c>
      <c r="H15" s="20">
        <v>30</v>
      </c>
      <c r="I15" s="20">
        <f t="shared" si="0"/>
        <v>730</v>
      </c>
      <c r="J15" s="19" t="s">
        <v>37</v>
      </c>
      <c r="K15" s="19" t="s">
        <v>37</v>
      </c>
      <c r="L15" s="19" t="s">
        <v>1159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1193</v>
      </c>
      <c r="D16" s="19" t="s">
        <v>1194</v>
      </c>
      <c r="E16" s="19" t="s">
        <v>1195</v>
      </c>
      <c r="F16" s="19" t="s">
        <v>117</v>
      </c>
      <c r="G16" s="20">
        <v>1745</v>
      </c>
      <c r="H16" s="20">
        <v>25</v>
      </c>
      <c r="I16" s="20">
        <f t="shared" si="0"/>
        <v>1720</v>
      </c>
      <c r="J16" s="19" t="s">
        <v>37</v>
      </c>
      <c r="K16" s="19" t="s">
        <v>37</v>
      </c>
      <c r="L16" s="19" t="s">
        <v>1159</v>
      </c>
      <c r="M16" s="19"/>
      <c r="N16" s="19"/>
      <c r="O16" s="19"/>
      <c r="P16" s="19"/>
      <c r="Q16" s="19">
        <v>1</v>
      </c>
    </row>
    <row r="17" spans="1:18" s="26" customFormat="1" x14ac:dyDescent="0.25">
      <c r="A17" s="23"/>
      <c r="B17" s="23" t="s">
        <v>32</v>
      </c>
      <c r="C17" s="23" t="s">
        <v>1022</v>
      </c>
      <c r="D17" s="23" t="s">
        <v>1196</v>
      </c>
      <c r="E17" s="23" t="s">
        <v>1024</v>
      </c>
      <c r="F17" s="23" t="s">
        <v>124</v>
      </c>
      <c r="G17" s="24">
        <v>110</v>
      </c>
      <c r="H17" s="24">
        <v>20</v>
      </c>
      <c r="I17" s="24">
        <f t="shared" si="0"/>
        <v>90</v>
      </c>
      <c r="J17" s="23" t="s">
        <v>37</v>
      </c>
      <c r="K17" s="23" t="s">
        <v>37</v>
      </c>
      <c r="L17" s="23" t="s">
        <v>1159</v>
      </c>
      <c r="M17" s="23" t="s">
        <v>148</v>
      </c>
      <c r="N17" s="23"/>
      <c r="O17" s="23"/>
      <c r="P17" s="23"/>
      <c r="Q17" s="23">
        <v>1</v>
      </c>
    </row>
    <row r="18" spans="1:18" customFormat="1" x14ac:dyDescent="0.25">
      <c r="A18" s="19"/>
      <c r="B18" s="19" t="s">
        <v>32</v>
      </c>
      <c r="C18" s="19" t="s">
        <v>406</v>
      </c>
      <c r="D18" s="19" t="s">
        <v>1197</v>
      </c>
      <c r="E18" s="19" t="s">
        <v>1198</v>
      </c>
      <c r="F18" s="19" t="s">
        <v>124</v>
      </c>
      <c r="G18" s="20">
        <v>840</v>
      </c>
      <c r="H18" s="20">
        <v>20</v>
      </c>
      <c r="I18" s="20">
        <f t="shared" si="0"/>
        <v>820</v>
      </c>
      <c r="J18" s="19" t="s">
        <v>37</v>
      </c>
      <c r="K18" s="19" t="s">
        <v>37</v>
      </c>
      <c r="L18" s="19" t="s">
        <v>1159</v>
      </c>
      <c r="M18" s="19"/>
      <c r="N18" s="19"/>
      <c r="O18" s="19"/>
      <c r="P18" s="19"/>
      <c r="Q18" s="19">
        <v>1</v>
      </c>
    </row>
    <row r="19" spans="1:18" customFormat="1" x14ac:dyDescent="0.25">
      <c r="A19" s="19"/>
      <c r="B19" s="19" t="s">
        <v>32</v>
      </c>
      <c r="C19" s="19" t="s">
        <v>513</v>
      </c>
      <c r="D19" s="19" t="s">
        <v>1199</v>
      </c>
      <c r="E19" s="19" t="s">
        <v>515</v>
      </c>
      <c r="F19" s="19" t="s">
        <v>124</v>
      </c>
      <c r="G19" s="20">
        <v>870</v>
      </c>
      <c r="H19" s="20">
        <v>20</v>
      </c>
      <c r="I19" s="20">
        <f t="shared" si="0"/>
        <v>850</v>
      </c>
      <c r="J19" s="19" t="s">
        <v>37</v>
      </c>
      <c r="K19" s="19" t="s">
        <v>37</v>
      </c>
      <c r="L19" s="19" t="s">
        <v>1159</v>
      </c>
      <c r="M19" s="19"/>
      <c r="N19" s="19"/>
      <c r="O19" s="19"/>
      <c r="P19" s="19"/>
      <c r="Q19" s="19">
        <v>1</v>
      </c>
    </row>
    <row r="20" spans="1:18" customFormat="1" x14ac:dyDescent="0.25">
      <c r="A20" s="19" t="s">
        <v>107</v>
      </c>
      <c r="B20" s="19" t="s">
        <v>32</v>
      </c>
      <c r="C20" s="19" t="s">
        <v>947</v>
      </c>
      <c r="D20" s="19"/>
      <c r="E20" s="19" t="s">
        <v>948</v>
      </c>
      <c r="F20" s="19" t="s">
        <v>62</v>
      </c>
      <c r="G20" s="20">
        <v>18510</v>
      </c>
      <c r="H20" s="20">
        <v>90</v>
      </c>
      <c r="I20" s="20">
        <f t="shared" si="0"/>
        <v>18420</v>
      </c>
      <c r="J20" s="19" t="s">
        <v>37</v>
      </c>
      <c r="K20" s="19" t="s">
        <v>37</v>
      </c>
      <c r="L20" s="19" t="s">
        <v>1159</v>
      </c>
      <c r="M20" s="19"/>
      <c r="N20" s="19"/>
      <c r="O20" s="19"/>
      <c r="P20" s="19"/>
      <c r="Q20" s="19">
        <v>1</v>
      </c>
    </row>
    <row r="21" spans="1:18" customFormat="1" x14ac:dyDescent="0.25">
      <c r="A21" s="19" t="s">
        <v>107</v>
      </c>
      <c r="B21" s="19" t="s">
        <v>32</v>
      </c>
      <c r="C21" s="19" t="s">
        <v>162</v>
      </c>
      <c r="D21" s="19"/>
      <c r="E21" s="19" t="s">
        <v>163</v>
      </c>
      <c r="F21" s="19" t="s">
        <v>117</v>
      </c>
      <c r="G21" s="20">
        <v>8150</v>
      </c>
      <c r="H21" s="20">
        <v>50</v>
      </c>
      <c r="I21" s="20">
        <f t="shared" si="0"/>
        <v>8100</v>
      </c>
      <c r="J21" s="19" t="s">
        <v>37</v>
      </c>
      <c r="K21" s="19" t="s">
        <v>37</v>
      </c>
      <c r="L21" s="19" t="s">
        <v>1159</v>
      </c>
      <c r="M21" s="19"/>
      <c r="N21" s="19"/>
      <c r="O21" s="19"/>
      <c r="P21" s="19"/>
      <c r="Q21" s="19">
        <v>1</v>
      </c>
    </row>
    <row r="22" spans="1:18" customFormat="1" x14ac:dyDescent="0.25">
      <c r="A22" s="19" t="s">
        <v>107</v>
      </c>
      <c r="B22" s="19" t="s">
        <v>32</v>
      </c>
      <c r="C22" s="19" t="s">
        <v>160</v>
      </c>
      <c r="D22" s="19"/>
      <c r="E22" s="19" t="s">
        <v>161</v>
      </c>
      <c r="F22" s="19" t="s">
        <v>117</v>
      </c>
      <c r="G22" s="20">
        <v>0</v>
      </c>
      <c r="H22" s="20">
        <v>30</v>
      </c>
      <c r="I22" s="20">
        <f t="shared" si="0"/>
        <v>-30</v>
      </c>
      <c r="J22" s="19" t="s">
        <v>37</v>
      </c>
      <c r="K22" s="19" t="s">
        <v>37</v>
      </c>
      <c r="L22" s="19" t="s">
        <v>1159</v>
      </c>
      <c r="M22" s="19"/>
      <c r="N22" s="19"/>
      <c r="O22" s="19"/>
      <c r="P22" s="19"/>
      <c r="Q22" s="19">
        <v>1</v>
      </c>
      <c r="R22" s="21">
        <f>H22</f>
        <v>30</v>
      </c>
    </row>
    <row r="23" spans="1:18" customFormat="1" x14ac:dyDescent="0.25">
      <c r="A23" s="19" t="s">
        <v>107</v>
      </c>
      <c r="B23" s="19" t="s">
        <v>32</v>
      </c>
      <c r="C23" s="19" t="s">
        <v>847</v>
      </c>
      <c r="D23" s="19"/>
      <c r="E23" s="19" t="s">
        <v>1200</v>
      </c>
      <c r="F23" s="19" t="s">
        <v>117</v>
      </c>
      <c r="G23" s="20">
        <v>760</v>
      </c>
      <c r="H23" s="20">
        <v>30</v>
      </c>
      <c r="I23" s="20">
        <f t="shared" si="0"/>
        <v>730</v>
      </c>
      <c r="J23" s="19" t="s">
        <v>37</v>
      </c>
      <c r="K23" s="19" t="s">
        <v>37</v>
      </c>
      <c r="L23" s="19" t="s">
        <v>1159</v>
      </c>
      <c r="M23" s="19"/>
      <c r="N23" s="19"/>
      <c r="O23" s="19"/>
      <c r="P23" s="19"/>
      <c r="Q23" s="19">
        <v>1</v>
      </c>
    </row>
    <row r="24" spans="1:18" customFormat="1" x14ac:dyDescent="0.25">
      <c r="A24" s="19"/>
      <c r="B24" s="19" t="s">
        <v>32</v>
      </c>
      <c r="C24" s="19" t="s">
        <v>1201</v>
      </c>
      <c r="D24" s="19" t="s">
        <v>1202</v>
      </c>
      <c r="E24" s="19" t="s">
        <v>1203</v>
      </c>
      <c r="F24" s="20">
        <v>7</v>
      </c>
      <c r="G24" s="20">
        <v>820</v>
      </c>
      <c r="H24" s="20">
        <v>30</v>
      </c>
      <c r="I24" s="20">
        <f t="shared" si="0"/>
        <v>790</v>
      </c>
      <c r="J24" s="19" t="s">
        <v>169</v>
      </c>
      <c r="K24" s="19" t="s">
        <v>37</v>
      </c>
      <c r="L24" s="19" t="s">
        <v>1159</v>
      </c>
      <c r="M24" s="19"/>
      <c r="N24" s="19"/>
      <c r="O24" s="19"/>
      <c r="P24" s="19"/>
      <c r="Q24" s="19">
        <v>1</v>
      </c>
    </row>
    <row r="25" spans="1:18" customFormat="1" x14ac:dyDescent="0.25">
      <c r="A25" s="19"/>
      <c r="B25" s="19" t="s">
        <v>32</v>
      </c>
      <c r="C25" s="19" t="s">
        <v>1204</v>
      </c>
      <c r="D25" s="19" t="s">
        <v>1205</v>
      </c>
      <c r="E25" s="19" t="s">
        <v>1206</v>
      </c>
      <c r="F25" s="20">
        <v>10</v>
      </c>
      <c r="G25" s="20">
        <v>0</v>
      </c>
      <c r="H25" s="20">
        <v>25</v>
      </c>
      <c r="I25" s="20">
        <f t="shared" si="0"/>
        <v>-25</v>
      </c>
      <c r="J25" s="19" t="s">
        <v>169</v>
      </c>
      <c r="K25" s="19" t="s">
        <v>37</v>
      </c>
      <c r="L25" s="19" t="s">
        <v>1159</v>
      </c>
      <c r="M25" s="19"/>
      <c r="N25" s="19"/>
      <c r="O25" s="19"/>
      <c r="P25" s="19"/>
      <c r="Q25" s="19">
        <v>1</v>
      </c>
      <c r="R25" s="21">
        <f t="shared" ref="R25:R26" si="2">H25</f>
        <v>25</v>
      </c>
    </row>
    <row r="26" spans="1:18" customFormat="1" x14ac:dyDescent="0.25">
      <c r="A26" s="19"/>
      <c r="B26" s="19" t="s">
        <v>32</v>
      </c>
      <c r="C26" s="19" t="s">
        <v>1207</v>
      </c>
      <c r="D26" s="19" t="s">
        <v>1208</v>
      </c>
      <c r="E26" s="19" t="s">
        <v>1209</v>
      </c>
      <c r="F26" s="20">
        <v>1</v>
      </c>
      <c r="G26" s="20">
        <v>0</v>
      </c>
      <c r="H26" s="20">
        <v>25</v>
      </c>
      <c r="I26" s="20">
        <f t="shared" si="0"/>
        <v>-25</v>
      </c>
      <c r="J26" s="19" t="s">
        <v>169</v>
      </c>
      <c r="K26" s="19" t="s">
        <v>37</v>
      </c>
      <c r="L26" s="19" t="s">
        <v>1159</v>
      </c>
      <c r="M26" s="19"/>
      <c r="N26" s="19"/>
      <c r="O26" s="19"/>
      <c r="P26" s="19"/>
      <c r="Q26" s="19">
        <v>1</v>
      </c>
      <c r="R26" s="21">
        <f t="shared" si="2"/>
        <v>25</v>
      </c>
    </row>
    <row r="27" spans="1:18" customFormat="1" x14ac:dyDescent="0.25">
      <c r="A27" s="19"/>
      <c r="B27" s="19" t="s">
        <v>32</v>
      </c>
      <c r="C27" s="19" t="s">
        <v>1210</v>
      </c>
      <c r="D27" s="19" t="s">
        <v>1211</v>
      </c>
      <c r="E27" s="19" t="s">
        <v>1212</v>
      </c>
      <c r="F27" s="20">
        <v>7</v>
      </c>
      <c r="G27" s="20">
        <v>900</v>
      </c>
      <c r="H27" s="20">
        <v>30</v>
      </c>
      <c r="I27" s="20">
        <f t="shared" si="0"/>
        <v>870</v>
      </c>
      <c r="J27" s="19" t="s">
        <v>169</v>
      </c>
      <c r="K27" s="19" t="s">
        <v>37</v>
      </c>
      <c r="L27" s="19" t="s">
        <v>1159</v>
      </c>
      <c r="M27" s="22" t="s">
        <v>438</v>
      </c>
      <c r="N27" s="19"/>
      <c r="O27" s="19"/>
      <c r="P27" s="19"/>
      <c r="Q27" s="19">
        <v>1</v>
      </c>
    </row>
    <row r="28" spans="1:18" customFormat="1" x14ac:dyDescent="0.25">
      <c r="A28" s="19"/>
      <c r="B28" s="19" t="s">
        <v>32</v>
      </c>
      <c r="C28" s="19" t="s">
        <v>1210</v>
      </c>
      <c r="D28" s="19" t="s">
        <v>1213</v>
      </c>
      <c r="E28" s="19" t="s">
        <v>1212</v>
      </c>
      <c r="F28" s="20">
        <v>7</v>
      </c>
      <c r="G28" s="20">
        <v>850</v>
      </c>
      <c r="H28" s="20">
        <v>0</v>
      </c>
      <c r="I28" s="20">
        <f t="shared" si="0"/>
        <v>850</v>
      </c>
      <c r="J28" s="19" t="s">
        <v>169</v>
      </c>
      <c r="K28" s="19" t="s">
        <v>37</v>
      </c>
      <c r="L28" s="19" t="s">
        <v>1159</v>
      </c>
      <c r="M28" s="22" t="s">
        <v>438</v>
      </c>
      <c r="N28" s="19"/>
      <c r="O28" s="19"/>
      <c r="P28" s="19"/>
      <c r="Q28" s="19">
        <v>1</v>
      </c>
    </row>
    <row r="29" spans="1:18" customFormat="1" x14ac:dyDescent="0.25">
      <c r="A29" s="19"/>
      <c r="B29" s="19" t="s">
        <v>32</v>
      </c>
      <c r="C29" s="19" t="s">
        <v>1214</v>
      </c>
      <c r="D29" s="19" t="s">
        <v>1215</v>
      </c>
      <c r="E29" s="19" t="s">
        <v>1216</v>
      </c>
      <c r="F29" s="20">
        <v>1</v>
      </c>
      <c r="G29" s="20">
        <v>805</v>
      </c>
      <c r="H29" s="20">
        <v>25</v>
      </c>
      <c r="I29" s="20">
        <f t="shared" si="0"/>
        <v>780</v>
      </c>
      <c r="J29" s="19" t="s">
        <v>169</v>
      </c>
      <c r="K29" s="19" t="s">
        <v>37</v>
      </c>
      <c r="L29" s="19" t="s">
        <v>1159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1217</v>
      </c>
      <c r="D30" s="19" t="s">
        <v>1218</v>
      </c>
      <c r="E30" s="19" t="s">
        <v>1219</v>
      </c>
      <c r="F30" s="20">
        <v>5</v>
      </c>
      <c r="G30" s="20">
        <v>0</v>
      </c>
      <c r="H30" s="20">
        <v>25</v>
      </c>
      <c r="I30" s="20">
        <f t="shared" si="0"/>
        <v>-25</v>
      </c>
      <c r="J30" s="19" t="s">
        <v>169</v>
      </c>
      <c r="K30" s="19" t="s">
        <v>37</v>
      </c>
      <c r="L30" s="19" t="s">
        <v>1159</v>
      </c>
      <c r="M30" s="19"/>
      <c r="N30" s="19"/>
      <c r="O30" s="19"/>
      <c r="P30" s="19"/>
      <c r="Q30" s="19">
        <v>1</v>
      </c>
      <c r="R30" s="21">
        <f>H30</f>
        <v>25</v>
      </c>
    </row>
    <row r="31" spans="1:18" customFormat="1" x14ac:dyDescent="0.25">
      <c r="A31" s="19"/>
      <c r="B31" s="19" t="s">
        <v>32</v>
      </c>
      <c r="C31" s="19" t="s">
        <v>1220</v>
      </c>
      <c r="D31" s="19" t="s">
        <v>1221</v>
      </c>
      <c r="E31" s="19" t="s">
        <v>1222</v>
      </c>
      <c r="F31" s="20">
        <v>7</v>
      </c>
      <c r="G31" s="20">
        <v>2520</v>
      </c>
      <c r="H31" s="20">
        <v>35</v>
      </c>
      <c r="I31" s="20">
        <f t="shared" si="0"/>
        <v>2485</v>
      </c>
      <c r="J31" s="19" t="s">
        <v>169</v>
      </c>
      <c r="K31" s="19" t="s">
        <v>37</v>
      </c>
      <c r="L31" s="19" t="s">
        <v>1159</v>
      </c>
      <c r="M31" s="22" t="s">
        <v>183</v>
      </c>
      <c r="N31" s="19"/>
      <c r="O31" s="19"/>
      <c r="P31" s="19"/>
      <c r="Q31" s="19">
        <v>1</v>
      </c>
      <c r="R31" s="21">
        <f>H31</f>
        <v>35</v>
      </c>
    </row>
    <row r="32" spans="1:18" customFormat="1" x14ac:dyDescent="0.25">
      <c r="A32" s="19"/>
      <c r="B32" s="19" t="s">
        <v>32</v>
      </c>
      <c r="C32" s="19" t="s">
        <v>536</v>
      </c>
      <c r="D32" s="19" t="s">
        <v>1223</v>
      </c>
      <c r="E32" s="19" t="s">
        <v>538</v>
      </c>
      <c r="F32" s="20">
        <v>10</v>
      </c>
      <c r="G32" s="20">
        <v>895</v>
      </c>
      <c r="H32" s="20">
        <v>25</v>
      </c>
      <c r="I32" s="20">
        <f t="shared" si="0"/>
        <v>870</v>
      </c>
      <c r="J32" s="19" t="s">
        <v>169</v>
      </c>
      <c r="K32" s="19" t="s">
        <v>37</v>
      </c>
      <c r="L32" s="19" t="s">
        <v>1159</v>
      </c>
      <c r="M32" s="19"/>
      <c r="N32" s="19"/>
      <c r="O32" s="19"/>
      <c r="P32" s="19"/>
      <c r="Q32" s="19">
        <v>1</v>
      </c>
    </row>
    <row r="33" spans="1:18" customFormat="1" x14ac:dyDescent="0.25">
      <c r="A33" s="19"/>
      <c r="B33" s="19" t="s">
        <v>32</v>
      </c>
      <c r="C33" s="19" t="s">
        <v>1224</v>
      </c>
      <c r="D33" s="19" t="s">
        <v>1225</v>
      </c>
      <c r="E33" s="19" t="s">
        <v>1226</v>
      </c>
      <c r="F33" s="20">
        <v>7</v>
      </c>
      <c r="G33" s="20">
        <v>860</v>
      </c>
      <c r="H33" s="20">
        <v>30</v>
      </c>
      <c r="I33" s="20">
        <f t="shared" si="0"/>
        <v>830</v>
      </c>
      <c r="J33" s="19" t="s">
        <v>169</v>
      </c>
      <c r="K33" s="19" t="s">
        <v>37</v>
      </c>
      <c r="L33" s="19" t="s">
        <v>1159</v>
      </c>
      <c r="M33" s="19"/>
      <c r="N33" s="19"/>
      <c r="O33" s="19"/>
      <c r="P33" s="19"/>
      <c r="Q33" s="19">
        <v>1</v>
      </c>
    </row>
    <row r="34" spans="1:18" customFormat="1" x14ac:dyDescent="0.25">
      <c r="A34" s="19"/>
      <c r="B34" s="19" t="s">
        <v>32</v>
      </c>
      <c r="C34" s="19" t="s">
        <v>598</v>
      </c>
      <c r="D34" s="19" t="s">
        <v>1227</v>
      </c>
      <c r="E34" s="19" t="s">
        <v>600</v>
      </c>
      <c r="F34" s="19" t="s">
        <v>124</v>
      </c>
      <c r="G34" s="20">
        <v>890</v>
      </c>
      <c r="H34" s="20">
        <v>20</v>
      </c>
      <c r="I34" s="20">
        <f t="shared" si="0"/>
        <v>870</v>
      </c>
      <c r="J34" s="19" t="s">
        <v>169</v>
      </c>
      <c r="K34" s="19" t="s">
        <v>37</v>
      </c>
      <c r="L34" s="19" t="s">
        <v>1159</v>
      </c>
      <c r="M34" s="19"/>
      <c r="N34" s="19"/>
      <c r="O34" s="19"/>
      <c r="P34" s="19"/>
      <c r="Q34" s="19">
        <v>1</v>
      </c>
    </row>
    <row r="35" spans="1:18" customFormat="1" x14ac:dyDescent="0.25">
      <c r="A35" s="19"/>
      <c r="B35" s="19" t="s">
        <v>32</v>
      </c>
      <c r="C35" s="19" t="s">
        <v>1228</v>
      </c>
      <c r="D35" s="19" t="s">
        <v>1229</v>
      </c>
      <c r="E35" s="19" t="s">
        <v>1230</v>
      </c>
      <c r="F35" s="20">
        <v>7</v>
      </c>
      <c r="G35" s="20">
        <v>610</v>
      </c>
      <c r="H35" s="20">
        <v>30</v>
      </c>
      <c r="I35" s="20">
        <f t="shared" si="0"/>
        <v>580</v>
      </c>
      <c r="J35" s="19" t="s">
        <v>169</v>
      </c>
      <c r="K35" s="19" t="s">
        <v>37</v>
      </c>
      <c r="L35" s="19" t="s">
        <v>1159</v>
      </c>
      <c r="M35" s="19"/>
      <c r="N35" s="19"/>
      <c r="O35" s="19"/>
      <c r="P35" s="19"/>
      <c r="Q35" s="19">
        <v>1</v>
      </c>
    </row>
    <row r="36" spans="1:18" customFormat="1" x14ac:dyDescent="0.25">
      <c r="A36" s="19"/>
      <c r="B36" s="19" t="s">
        <v>32</v>
      </c>
      <c r="C36" s="19" t="s">
        <v>1231</v>
      </c>
      <c r="D36" s="19" t="s">
        <v>1232</v>
      </c>
      <c r="E36" s="19" t="s">
        <v>1233</v>
      </c>
      <c r="F36" s="19" t="s">
        <v>884</v>
      </c>
      <c r="G36" s="20">
        <v>0</v>
      </c>
      <c r="H36" s="20">
        <v>35</v>
      </c>
      <c r="I36" s="20">
        <f t="shared" si="0"/>
        <v>-35</v>
      </c>
      <c r="J36" s="19" t="s">
        <v>169</v>
      </c>
      <c r="K36" s="19" t="s">
        <v>37</v>
      </c>
      <c r="L36" s="19" t="s">
        <v>1159</v>
      </c>
      <c r="M36" s="19"/>
      <c r="N36" s="19"/>
      <c r="O36" s="19"/>
      <c r="P36" s="19"/>
      <c r="Q36" s="19">
        <v>1</v>
      </c>
      <c r="R36" s="21">
        <f t="shared" ref="R36:R37" si="3">H36</f>
        <v>35</v>
      </c>
    </row>
    <row r="37" spans="1:18" customFormat="1" x14ac:dyDescent="0.25">
      <c r="A37" s="19"/>
      <c r="B37" s="19" t="s">
        <v>32</v>
      </c>
      <c r="C37" s="19" t="s">
        <v>1234</v>
      </c>
      <c r="D37" s="19" t="s">
        <v>1235</v>
      </c>
      <c r="E37" s="19" t="s">
        <v>1236</v>
      </c>
      <c r="F37" s="19" t="s">
        <v>173</v>
      </c>
      <c r="G37" s="20">
        <v>0</v>
      </c>
      <c r="H37" s="20">
        <v>25</v>
      </c>
      <c r="I37" s="20">
        <f t="shared" si="0"/>
        <v>-25</v>
      </c>
      <c r="J37" s="19" t="s">
        <v>169</v>
      </c>
      <c r="K37" s="19" t="s">
        <v>37</v>
      </c>
      <c r="L37" s="19" t="s">
        <v>1159</v>
      </c>
      <c r="M37" s="19"/>
      <c r="N37" s="19"/>
      <c r="O37" s="19"/>
      <c r="P37" s="19"/>
      <c r="Q37" s="19">
        <v>1</v>
      </c>
      <c r="R37" s="21">
        <f t="shared" si="3"/>
        <v>25</v>
      </c>
    </row>
    <row r="38" spans="1:18" customFormat="1" x14ac:dyDescent="0.25">
      <c r="A38" s="19" t="s">
        <v>107</v>
      </c>
      <c r="B38" s="19" t="s">
        <v>32</v>
      </c>
      <c r="C38" s="19" t="s">
        <v>1237</v>
      </c>
      <c r="D38" s="19"/>
      <c r="E38" s="19" t="s">
        <v>1238</v>
      </c>
      <c r="F38" s="20">
        <v>5</v>
      </c>
      <c r="G38" s="20">
        <v>680</v>
      </c>
      <c r="H38" s="20">
        <v>30</v>
      </c>
      <c r="I38" s="20">
        <f t="shared" si="0"/>
        <v>650</v>
      </c>
      <c r="J38" s="19" t="s">
        <v>169</v>
      </c>
      <c r="K38" s="19" t="s">
        <v>37</v>
      </c>
      <c r="L38" s="19" t="s">
        <v>1159</v>
      </c>
      <c r="M38" s="19"/>
      <c r="N38" s="19"/>
      <c r="O38" s="19"/>
      <c r="P38" s="19"/>
      <c r="Q38" s="19">
        <v>1</v>
      </c>
    </row>
    <row r="39" spans="1:18" customFormat="1" x14ac:dyDescent="0.25">
      <c r="A39" s="19" t="s">
        <v>107</v>
      </c>
      <c r="B39" s="19" t="s">
        <v>32</v>
      </c>
      <c r="C39" s="19" t="s">
        <v>1239</v>
      </c>
      <c r="D39" s="19"/>
      <c r="E39" s="19" t="s">
        <v>1240</v>
      </c>
      <c r="F39" s="20">
        <v>5</v>
      </c>
      <c r="G39" s="20">
        <v>30</v>
      </c>
      <c r="H39" s="20">
        <v>30</v>
      </c>
      <c r="I39" s="20">
        <f t="shared" si="0"/>
        <v>0</v>
      </c>
      <c r="J39" s="19" t="s">
        <v>169</v>
      </c>
      <c r="K39" s="19" t="s">
        <v>37</v>
      </c>
      <c r="L39" s="19" t="s">
        <v>1159</v>
      </c>
      <c r="M39" s="19"/>
      <c r="N39" s="19"/>
      <c r="O39" s="19"/>
      <c r="P39" s="19"/>
      <c r="Q39" s="19">
        <v>1</v>
      </c>
    </row>
    <row r="40" spans="1:18" s="35" customFormat="1" x14ac:dyDescent="0.25">
      <c r="A40" s="33"/>
      <c r="B40" s="33" t="s">
        <v>32</v>
      </c>
      <c r="C40" s="33" t="s">
        <v>1241</v>
      </c>
      <c r="D40" s="33" t="s">
        <v>1242</v>
      </c>
      <c r="E40" s="33" t="s">
        <v>1243</v>
      </c>
      <c r="F40" s="33" t="s">
        <v>1146</v>
      </c>
      <c r="G40" s="34">
        <v>1530</v>
      </c>
      <c r="H40" s="34">
        <v>0</v>
      </c>
      <c r="I40" s="34">
        <f t="shared" si="0"/>
        <v>1530</v>
      </c>
      <c r="J40" s="33" t="s">
        <v>1147</v>
      </c>
      <c r="K40" s="33" t="s">
        <v>37</v>
      </c>
      <c r="L40" s="33" t="s">
        <v>1159</v>
      </c>
      <c r="M40" s="33" t="s">
        <v>1148</v>
      </c>
      <c r="N40" s="33" t="s">
        <v>1149</v>
      </c>
      <c r="O40" s="33"/>
      <c r="P40" s="33" t="s">
        <v>1150</v>
      </c>
      <c r="Q40" s="33">
        <v>1</v>
      </c>
    </row>
    <row r="42" spans="1:18" x14ac:dyDescent="0.25">
      <c r="G42" s="1">
        <f t="shared" ref="G42:R42" si="4">SUBTOTAL(9,G3:G40)</f>
        <v>54980</v>
      </c>
      <c r="H42" s="1">
        <f t="shared" si="4"/>
        <v>1100</v>
      </c>
      <c r="I42" s="1">
        <f t="shared" si="4"/>
        <v>53880</v>
      </c>
      <c r="J42" s="1">
        <f t="shared" si="4"/>
        <v>0</v>
      </c>
      <c r="K42" s="1">
        <f t="shared" si="4"/>
        <v>0</v>
      </c>
      <c r="L42" s="1">
        <f t="shared" si="4"/>
        <v>0</v>
      </c>
      <c r="M42" s="1">
        <f t="shared" si="4"/>
        <v>0</v>
      </c>
      <c r="N42" s="1">
        <f t="shared" si="4"/>
        <v>0</v>
      </c>
      <c r="O42" s="1">
        <f t="shared" si="4"/>
        <v>0</v>
      </c>
      <c r="P42" s="1">
        <f t="shared" si="4"/>
        <v>0</v>
      </c>
      <c r="Q42" s="1">
        <f t="shared" si="4"/>
        <v>38</v>
      </c>
      <c r="R42" s="1">
        <f t="shared" si="4"/>
        <v>360</v>
      </c>
    </row>
    <row r="43" spans="1:18" x14ac:dyDescent="0.25">
      <c r="I43" s="1">
        <v>-1530</v>
      </c>
      <c r="J43" s="1" t="s">
        <v>1244</v>
      </c>
    </row>
    <row r="44" spans="1:18" x14ac:dyDescent="0.25">
      <c r="I44" s="1">
        <v>-920</v>
      </c>
      <c r="J44" s="1" t="s">
        <v>1245</v>
      </c>
    </row>
    <row r="46" spans="1:18" ht="20.25" customHeight="1" x14ac:dyDescent="0.3">
      <c r="H46" s="4" t="s">
        <v>970</v>
      </c>
      <c r="I46" s="5" t="s">
        <v>15</v>
      </c>
      <c r="J46" s="6" t="s">
        <v>16</v>
      </c>
    </row>
    <row r="47" spans="1:18" ht="15.75" customHeight="1" x14ac:dyDescent="0.25">
      <c r="H47" s="7" t="s">
        <v>17</v>
      </c>
      <c r="I47" s="8">
        <f>SUM(I41:I45)</f>
        <v>51430</v>
      </c>
      <c r="J47" s="8">
        <f>Q42</f>
        <v>38</v>
      </c>
    </row>
    <row r="48" spans="1:18" x14ac:dyDescent="0.25">
      <c r="H48" s="9" t="s">
        <v>18</v>
      </c>
      <c r="I48" s="10">
        <f>R42</f>
        <v>360</v>
      </c>
      <c r="J48" s="11"/>
    </row>
    <row r="49" spans="1:12" x14ac:dyDescent="0.25">
      <c r="H49" s="9" t="s">
        <v>19</v>
      </c>
      <c r="I49" s="10">
        <f>S41</f>
        <v>0</v>
      </c>
      <c r="J49" s="11"/>
    </row>
    <row r="50" spans="1:12" x14ac:dyDescent="0.25">
      <c r="H50" s="9" t="s">
        <v>20</v>
      </c>
      <c r="I50" s="10">
        <f>T41</f>
        <v>0</v>
      </c>
      <c r="J50" s="11"/>
    </row>
    <row r="51" spans="1:12" x14ac:dyDescent="0.25">
      <c r="H51" s="9" t="s">
        <v>21</v>
      </c>
      <c r="I51" s="10">
        <f>U41</f>
        <v>0</v>
      </c>
      <c r="J51" s="11"/>
    </row>
    <row r="52" spans="1:12" ht="15.75" customHeight="1" x14ac:dyDescent="0.25">
      <c r="H52" s="12" t="s">
        <v>22</v>
      </c>
      <c r="I52" s="13"/>
      <c r="J52" s="13"/>
    </row>
    <row r="53" spans="1:12" ht="15.75" customHeight="1" x14ac:dyDescent="0.25">
      <c r="H53" s="14" t="s">
        <v>23</v>
      </c>
      <c r="I53" s="13"/>
      <c r="J53" s="13"/>
    </row>
    <row r="54" spans="1:12" ht="21" customHeight="1" x14ac:dyDescent="0.35">
      <c r="H54" s="15" t="s">
        <v>24</v>
      </c>
      <c r="I54" s="16">
        <f>SUM(I47:I53)</f>
        <v>51790</v>
      </c>
      <c r="J54" s="16">
        <f>SUM(J47:J51)</f>
        <v>38</v>
      </c>
    </row>
    <row r="56" spans="1:12" x14ac:dyDescent="0.25">
      <c r="A56" s="1" t="s">
        <v>1245</v>
      </c>
    </row>
    <row r="57" spans="1:12" x14ac:dyDescent="0.25">
      <c r="A57" s="33" t="s">
        <v>32</v>
      </c>
      <c r="B57" s="33" t="s">
        <v>976</v>
      </c>
      <c r="C57" s="33" t="s">
        <v>977</v>
      </c>
      <c r="D57" s="33" t="s">
        <v>978</v>
      </c>
      <c r="E57" s="34">
        <v>9</v>
      </c>
      <c r="F57" s="34">
        <v>920</v>
      </c>
      <c r="G57" s="34">
        <v>0</v>
      </c>
      <c r="H57" s="34">
        <f t="shared" ref="H57" si="5">F57-G57</f>
        <v>920</v>
      </c>
      <c r="I57" s="33" t="s">
        <v>1147</v>
      </c>
      <c r="J57" s="33" t="s">
        <v>37</v>
      </c>
      <c r="K57" s="33" t="s">
        <v>975</v>
      </c>
      <c r="L57" s="38" t="s">
        <v>1246</v>
      </c>
    </row>
  </sheetData>
  <autoFilter ref="A2:P40" xr:uid="{00000000-0009-0000-0000-000006000000}">
    <sortState xmlns:xlrd2="http://schemas.microsoft.com/office/spreadsheetml/2017/richdata2" ref="A3:P40">
      <sortCondition ref="J2:J40"/>
    </sortState>
  </autoFilter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2A60-D0CD-414C-9964-5049B76B2CEF}">
  <dimension ref="A1:R51"/>
  <sheetViews>
    <sheetView topLeftCell="A37" zoomScale="82" zoomScaleNormal="80" workbookViewId="0">
      <selection activeCell="A38" sqref="A38:XFD68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201</v>
      </c>
      <c r="C1" s="1" t="s">
        <v>1153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1249</v>
      </c>
      <c r="D3" s="19" t="s">
        <v>1250</v>
      </c>
      <c r="E3" s="19" t="s">
        <v>1251</v>
      </c>
      <c r="F3" s="20">
        <v>9</v>
      </c>
      <c r="G3" s="20">
        <v>920</v>
      </c>
      <c r="H3" s="20">
        <v>30</v>
      </c>
      <c r="I3" s="20">
        <f t="shared" ref="I3:I37" si="0">G3-H3</f>
        <v>890</v>
      </c>
      <c r="J3" s="19" t="s">
        <v>36</v>
      </c>
      <c r="K3" s="19" t="s">
        <v>37</v>
      </c>
      <c r="L3" s="19" t="s">
        <v>1252</v>
      </c>
      <c r="M3" s="19"/>
      <c r="N3" s="19"/>
      <c r="O3" s="19"/>
      <c r="P3" s="19"/>
      <c r="Q3" s="19">
        <v>1</v>
      </c>
    </row>
    <row r="4" spans="1:18" customFormat="1" x14ac:dyDescent="0.25">
      <c r="A4" s="19"/>
      <c r="B4" s="19" t="s">
        <v>32</v>
      </c>
      <c r="C4" s="19" t="s">
        <v>1253</v>
      </c>
      <c r="D4" s="19" t="s">
        <v>1254</v>
      </c>
      <c r="E4" s="19" t="s">
        <v>1255</v>
      </c>
      <c r="F4" s="20">
        <v>9</v>
      </c>
      <c r="G4" s="20">
        <v>860</v>
      </c>
      <c r="H4" s="20">
        <v>30</v>
      </c>
      <c r="I4" s="20">
        <f t="shared" si="0"/>
        <v>830</v>
      </c>
      <c r="J4" s="19" t="s">
        <v>36</v>
      </c>
      <c r="K4" s="19" t="s">
        <v>37</v>
      </c>
      <c r="L4" s="19" t="s">
        <v>1252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1256</v>
      </c>
      <c r="D5" s="19" t="s">
        <v>1257</v>
      </c>
      <c r="E5" s="19" t="s">
        <v>1258</v>
      </c>
      <c r="F5" s="20">
        <v>9</v>
      </c>
      <c r="G5" s="20">
        <v>860</v>
      </c>
      <c r="H5" s="20">
        <v>30</v>
      </c>
      <c r="I5" s="20">
        <f t="shared" si="0"/>
        <v>830</v>
      </c>
      <c r="J5" s="19" t="s">
        <v>36</v>
      </c>
      <c r="K5" s="19" t="s">
        <v>37</v>
      </c>
      <c r="L5" s="19" t="s">
        <v>1252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1259</v>
      </c>
      <c r="D6" s="19" t="s">
        <v>1260</v>
      </c>
      <c r="E6" s="19" t="s">
        <v>1261</v>
      </c>
      <c r="F6" s="19" t="s">
        <v>45</v>
      </c>
      <c r="G6" s="20">
        <v>2000</v>
      </c>
      <c r="H6" s="20">
        <v>30</v>
      </c>
      <c r="I6" s="20">
        <f t="shared" si="0"/>
        <v>1970</v>
      </c>
      <c r="J6" s="19" t="s">
        <v>1262</v>
      </c>
      <c r="K6" s="19" t="s">
        <v>37</v>
      </c>
      <c r="L6" s="19" t="s">
        <v>1252</v>
      </c>
      <c r="M6" s="22" t="s">
        <v>183</v>
      </c>
      <c r="N6" s="19"/>
      <c r="O6" s="19"/>
      <c r="P6" s="19"/>
      <c r="Q6" s="19">
        <v>1</v>
      </c>
      <c r="R6" s="21">
        <f>H6</f>
        <v>30</v>
      </c>
    </row>
    <row r="7" spans="1:18" customFormat="1" x14ac:dyDescent="0.25">
      <c r="A7" s="19"/>
      <c r="B7" s="19" t="s">
        <v>32</v>
      </c>
      <c r="C7" s="19" t="s">
        <v>1263</v>
      </c>
      <c r="D7" s="19" t="s">
        <v>1264</v>
      </c>
      <c r="E7" s="19" t="s">
        <v>1265</v>
      </c>
      <c r="F7" s="19" t="s">
        <v>45</v>
      </c>
      <c r="G7" s="20">
        <v>1390</v>
      </c>
      <c r="H7" s="20">
        <v>30</v>
      </c>
      <c r="I7" s="20">
        <f t="shared" si="0"/>
        <v>1360</v>
      </c>
      <c r="J7" s="19" t="s">
        <v>1262</v>
      </c>
      <c r="K7" s="19" t="s">
        <v>37</v>
      </c>
      <c r="L7" s="19" t="s">
        <v>1252</v>
      </c>
      <c r="M7" s="19"/>
      <c r="N7" s="19"/>
      <c r="O7" s="19"/>
      <c r="P7" s="19"/>
      <c r="Q7" s="19">
        <v>1</v>
      </c>
    </row>
    <row r="8" spans="1:18" customFormat="1" x14ac:dyDescent="0.25">
      <c r="A8" s="19"/>
      <c r="B8" s="19" t="s">
        <v>32</v>
      </c>
      <c r="C8" s="19" t="s">
        <v>1266</v>
      </c>
      <c r="D8" s="19" t="s">
        <v>1267</v>
      </c>
      <c r="E8" s="19" t="s">
        <v>1268</v>
      </c>
      <c r="F8" s="20">
        <v>8</v>
      </c>
      <c r="G8" s="20">
        <v>760</v>
      </c>
      <c r="H8" s="20">
        <v>30</v>
      </c>
      <c r="I8" s="20">
        <f t="shared" si="0"/>
        <v>730</v>
      </c>
      <c r="J8" s="19" t="s">
        <v>1262</v>
      </c>
      <c r="K8" s="19" t="s">
        <v>37</v>
      </c>
      <c r="L8" s="19" t="s">
        <v>1252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1269</v>
      </c>
      <c r="D9" s="19" t="s">
        <v>1270</v>
      </c>
      <c r="E9" s="19" t="s">
        <v>1271</v>
      </c>
      <c r="F9" s="19" t="s">
        <v>88</v>
      </c>
      <c r="G9" s="20">
        <v>0</v>
      </c>
      <c r="H9" s="20">
        <v>35</v>
      </c>
      <c r="I9" s="20">
        <f t="shared" si="0"/>
        <v>-35</v>
      </c>
      <c r="J9" s="19" t="s">
        <v>1262</v>
      </c>
      <c r="K9" s="19" t="s">
        <v>37</v>
      </c>
      <c r="L9" s="19" t="s">
        <v>1252</v>
      </c>
      <c r="M9" s="19"/>
      <c r="N9" s="19"/>
      <c r="O9" s="19"/>
      <c r="P9" s="19"/>
      <c r="Q9" s="19">
        <v>1</v>
      </c>
      <c r="R9" s="21">
        <f>H9</f>
        <v>35</v>
      </c>
    </row>
    <row r="10" spans="1:18" customFormat="1" x14ac:dyDescent="0.25">
      <c r="A10" s="19"/>
      <c r="B10" s="19" t="s">
        <v>32</v>
      </c>
      <c r="C10" s="19" t="s">
        <v>1272</v>
      </c>
      <c r="D10" s="19" t="s">
        <v>1273</v>
      </c>
      <c r="E10" s="19" t="s">
        <v>1274</v>
      </c>
      <c r="F10" s="19" t="s">
        <v>45</v>
      </c>
      <c r="G10" s="20">
        <v>860</v>
      </c>
      <c r="H10" s="20">
        <v>30</v>
      </c>
      <c r="I10" s="20">
        <f t="shared" si="0"/>
        <v>830</v>
      </c>
      <c r="J10" s="19" t="s">
        <v>1262</v>
      </c>
      <c r="K10" s="19" t="s">
        <v>37</v>
      </c>
      <c r="L10" s="19" t="s">
        <v>1252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1275</v>
      </c>
      <c r="D11" s="19" t="s">
        <v>1276</v>
      </c>
      <c r="E11" s="19" t="s">
        <v>1277</v>
      </c>
      <c r="F11" s="20">
        <v>12</v>
      </c>
      <c r="G11" s="20">
        <v>920</v>
      </c>
      <c r="H11" s="20">
        <v>30</v>
      </c>
      <c r="I11" s="20">
        <f t="shared" si="0"/>
        <v>890</v>
      </c>
      <c r="J11" s="19" t="s">
        <v>1262</v>
      </c>
      <c r="K11" s="19" t="s">
        <v>37</v>
      </c>
      <c r="L11" s="19" t="s">
        <v>1252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1278</v>
      </c>
      <c r="D12" s="19" t="s">
        <v>1279</v>
      </c>
      <c r="E12" s="19" t="s">
        <v>1280</v>
      </c>
      <c r="F12" s="20">
        <v>8</v>
      </c>
      <c r="G12" s="20">
        <v>0</v>
      </c>
      <c r="H12" s="20">
        <v>30</v>
      </c>
      <c r="I12" s="20">
        <f t="shared" si="0"/>
        <v>-30</v>
      </c>
      <c r="J12" s="19" t="s">
        <v>1262</v>
      </c>
      <c r="K12" s="19" t="s">
        <v>37</v>
      </c>
      <c r="L12" s="19" t="s">
        <v>1252</v>
      </c>
      <c r="M12" s="19"/>
      <c r="N12" s="19"/>
      <c r="O12" s="19"/>
      <c r="P12" s="19"/>
      <c r="Q12" s="19">
        <v>1</v>
      </c>
      <c r="R12" s="21">
        <f t="shared" ref="R12:R13" si="1">H12</f>
        <v>30</v>
      </c>
    </row>
    <row r="13" spans="1:18" customFormat="1" x14ac:dyDescent="0.25">
      <c r="A13" s="19"/>
      <c r="B13" s="19" t="s">
        <v>32</v>
      </c>
      <c r="C13" s="19" t="s">
        <v>1281</v>
      </c>
      <c r="D13" s="19" t="s">
        <v>1282</v>
      </c>
      <c r="E13" s="19" t="s">
        <v>1283</v>
      </c>
      <c r="F13" s="19" t="s">
        <v>62</v>
      </c>
      <c r="G13" s="20">
        <v>0</v>
      </c>
      <c r="H13" s="20">
        <v>25</v>
      </c>
      <c r="I13" s="20">
        <f t="shared" si="0"/>
        <v>-25</v>
      </c>
      <c r="J13" s="19" t="s">
        <v>1262</v>
      </c>
      <c r="K13" s="19" t="s">
        <v>37</v>
      </c>
      <c r="L13" s="19" t="s">
        <v>1252</v>
      </c>
      <c r="M13" s="19"/>
      <c r="N13" s="19"/>
      <c r="O13" s="19"/>
      <c r="P13" s="19"/>
      <c r="Q13" s="19">
        <v>1</v>
      </c>
      <c r="R13" s="21">
        <f t="shared" si="1"/>
        <v>25</v>
      </c>
    </row>
    <row r="14" spans="1:18" customFormat="1" x14ac:dyDescent="0.25">
      <c r="A14" s="19"/>
      <c r="B14" s="19" t="s">
        <v>32</v>
      </c>
      <c r="C14" s="19" t="s">
        <v>1284</v>
      </c>
      <c r="D14" s="19" t="s">
        <v>1285</v>
      </c>
      <c r="E14" s="19" t="s">
        <v>1286</v>
      </c>
      <c r="F14" s="19" t="s">
        <v>62</v>
      </c>
      <c r="G14" s="20">
        <v>805</v>
      </c>
      <c r="H14" s="20">
        <v>25</v>
      </c>
      <c r="I14" s="20">
        <f t="shared" si="0"/>
        <v>780</v>
      </c>
      <c r="J14" s="19" t="s">
        <v>1262</v>
      </c>
      <c r="K14" s="19" t="s">
        <v>37</v>
      </c>
      <c r="L14" s="19" t="s">
        <v>1252</v>
      </c>
      <c r="M14" s="19"/>
      <c r="N14" s="19"/>
      <c r="O14" s="19"/>
      <c r="P14" s="19"/>
      <c r="Q14" s="19">
        <v>1</v>
      </c>
    </row>
    <row r="15" spans="1:18" customFormat="1" x14ac:dyDescent="0.25">
      <c r="A15" s="19"/>
      <c r="B15" s="19" t="s">
        <v>32</v>
      </c>
      <c r="C15" s="19" t="s">
        <v>513</v>
      </c>
      <c r="D15" s="19" t="s">
        <v>1287</v>
      </c>
      <c r="E15" s="19" t="s">
        <v>515</v>
      </c>
      <c r="F15" s="19" t="s">
        <v>124</v>
      </c>
      <c r="G15" s="20">
        <v>500</v>
      </c>
      <c r="H15" s="20">
        <v>20</v>
      </c>
      <c r="I15" s="20">
        <f t="shared" si="0"/>
        <v>480</v>
      </c>
      <c r="J15" s="19" t="s">
        <v>37</v>
      </c>
      <c r="K15" s="19" t="s">
        <v>37</v>
      </c>
      <c r="L15" s="19" t="s">
        <v>1252</v>
      </c>
      <c r="M15" s="22" t="s">
        <v>438</v>
      </c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513</v>
      </c>
      <c r="D16" s="19" t="s">
        <v>1288</v>
      </c>
      <c r="E16" s="19" t="s">
        <v>515</v>
      </c>
      <c r="F16" s="19" t="s">
        <v>124</v>
      </c>
      <c r="G16" s="20">
        <v>850</v>
      </c>
      <c r="H16" s="20">
        <v>0</v>
      </c>
      <c r="I16" s="20">
        <f t="shared" si="0"/>
        <v>850</v>
      </c>
      <c r="J16" s="19" t="s">
        <v>37</v>
      </c>
      <c r="K16" s="19" t="s">
        <v>37</v>
      </c>
      <c r="L16" s="19" t="s">
        <v>1252</v>
      </c>
      <c r="M16" s="22" t="s">
        <v>438</v>
      </c>
      <c r="N16" s="19"/>
      <c r="O16" s="19"/>
      <c r="P16" s="19"/>
      <c r="Q16" s="19">
        <v>1</v>
      </c>
    </row>
    <row r="17" spans="1:18" customFormat="1" x14ac:dyDescent="0.25">
      <c r="A17" s="19"/>
      <c r="B17" s="19" t="s">
        <v>32</v>
      </c>
      <c r="C17" s="19" t="s">
        <v>1289</v>
      </c>
      <c r="D17" s="19" t="s">
        <v>1290</v>
      </c>
      <c r="E17" s="19" t="s">
        <v>1291</v>
      </c>
      <c r="F17" s="19" t="s">
        <v>124</v>
      </c>
      <c r="G17" s="20">
        <v>930</v>
      </c>
      <c r="H17" s="20">
        <v>20</v>
      </c>
      <c r="I17" s="20">
        <f t="shared" si="0"/>
        <v>910</v>
      </c>
      <c r="J17" s="19" t="s">
        <v>37</v>
      </c>
      <c r="K17" s="19" t="s">
        <v>37</v>
      </c>
      <c r="L17" s="19" t="s">
        <v>1252</v>
      </c>
      <c r="M17" s="22" t="s">
        <v>438</v>
      </c>
      <c r="N17" s="19"/>
      <c r="O17" s="19"/>
      <c r="P17" s="19"/>
      <c r="Q17" s="19">
        <v>1</v>
      </c>
    </row>
    <row r="18" spans="1:18" s="26" customFormat="1" x14ac:dyDescent="0.25">
      <c r="A18" s="23"/>
      <c r="B18" s="23" t="s">
        <v>32</v>
      </c>
      <c r="C18" s="23" t="s">
        <v>1289</v>
      </c>
      <c r="D18" s="23" t="s">
        <v>1292</v>
      </c>
      <c r="E18" s="23" t="s">
        <v>1291</v>
      </c>
      <c r="F18" s="23" t="s">
        <v>124</v>
      </c>
      <c r="G18" s="24">
        <v>0</v>
      </c>
      <c r="H18" s="24">
        <v>0</v>
      </c>
      <c r="I18" s="24">
        <f t="shared" si="0"/>
        <v>0</v>
      </c>
      <c r="J18" s="23" t="s">
        <v>37</v>
      </c>
      <c r="K18" s="23" t="s">
        <v>37</v>
      </c>
      <c r="L18" s="23" t="s">
        <v>1252</v>
      </c>
      <c r="M18" s="22" t="s">
        <v>1293</v>
      </c>
      <c r="N18" s="23"/>
      <c r="O18" s="23"/>
      <c r="P18" s="23"/>
      <c r="Q18" s="23">
        <v>1</v>
      </c>
      <c r="R18" s="25">
        <f>H18</f>
        <v>0</v>
      </c>
    </row>
    <row r="19" spans="1:18" customFormat="1" x14ac:dyDescent="0.25">
      <c r="A19" s="19"/>
      <c r="B19" s="19" t="s">
        <v>32</v>
      </c>
      <c r="C19" s="19" t="s">
        <v>1294</v>
      </c>
      <c r="D19" s="19" t="s">
        <v>1295</v>
      </c>
      <c r="E19" s="19" t="s">
        <v>1296</v>
      </c>
      <c r="F19" s="19" t="s">
        <v>117</v>
      </c>
      <c r="G19" s="20">
        <v>915</v>
      </c>
      <c r="H19" s="20">
        <v>25</v>
      </c>
      <c r="I19" s="20">
        <f t="shared" si="0"/>
        <v>890</v>
      </c>
      <c r="J19" s="19" t="s">
        <v>37</v>
      </c>
      <c r="K19" s="19" t="s">
        <v>37</v>
      </c>
      <c r="L19" s="19" t="s">
        <v>1252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19" t="s">
        <v>1297</v>
      </c>
      <c r="D20" s="19" t="s">
        <v>1298</v>
      </c>
      <c r="E20" s="19" t="s">
        <v>1299</v>
      </c>
      <c r="F20" s="19" t="s">
        <v>124</v>
      </c>
      <c r="G20" s="20">
        <v>960</v>
      </c>
      <c r="H20" s="20">
        <v>20</v>
      </c>
      <c r="I20" s="20">
        <f t="shared" si="0"/>
        <v>940</v>
      </c>
      <c r="J20" s="19" t="s">
        <v>37</v>
      </c>
      <c r="K20" s="19" t="s">
        <v>37</v>
      </c>
      <c r="L20" s="19" t="s">
        <v>1252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1300</v>
      </c>
      <c r="D21" s="19" t="s">
        <v>1301</v>
      </c>
      <c r="E21" s="19" t="s">
        <v>1302</v>
      </c>
      <c r="F21" s="20">
        <v>2</v>
      </c>
      <c r="G21" s="20">
        <v>810</v>
      </c>
      <c r="H21" s="20">
        <v>30</v>
      </c>
      <c r="I21" s="20">
        <f t="shared" si="0"/>
        <v>780</v>
      </c>
      <c r="J21" s="19" t="s">
        <v>37</v>
      </c>
      <c r="K21" s="19" t="s">
        <v>37</v>
      </c>
      <c r="L21" s="19" t="s">
        <v>1252</v>
      </c>
      <c r="M21" s="19"/>
      <c r="N21" s="19"/>
      <c r="O21" s="19"/>
      <c r="P21" s="19"/>
      <c r="Q21" s="19">
        <v>1</v>
      </c>
    </row>
    <row r="22" spans="1:18" customFormat="1" x14ac:dyDescent="0.25">
      <c r="A22" s="19"/>
      <c r="B22" s="19" t="s">
        <v>32</v>
      </c>
      <c r="C22" s="19" t="s">
        <v>1303</v>
      </c>
      <c r="D22" s="19" t="s">
        <v>1304</v>
      </c>
      <c r="E22" s="19" t="s">
        <v>1305</v>
      </c>
      <c r="F22" s="20">
        <v>2</v>
      </c>
      <c r="G22" s="20">
        <v>860</v>
      </c>
      <c r="H22" s="20">
        <v>30</v>
      </c>
      <c r="I22" s="20">
        <f t="shared" si="0"/>
        <v>830</v>
      </c>
      <c r="J22" s="19" t="s">
        <v>37</v>
      </c>
      <c r="K22" s="19" t="s">
        <v>37</v>
      </c>
      <c r="L22" s="19" t="s">
        <v>1252</v>
      </c>
      <c r="M22" s="19"/>
      <c r="N22" s="19"/>
      <c r="O22" s="19"/>
      <c r="P22" s="19"/>
      <c r="Q22" s="19">
        <v>1</v>
      </c>
    </row>
    <row r="23" spans="1:18" customFormat="1" x14ac:dyDescent="0.25">
      <c r="A23" s="19"/>
      <c r="B23" s="19" t="s">
        <v>32</v>
      </c>
      <c r="C23" s="19" t="s">
        <v>1080</v>
      </c>
      <c r="D23" s="19" t="s">
        <v>1306</v>
      </c>
      <c r="E23" s="19" t="s">
        <v>1307</v>
      </c>
      <c r="F23" s="19" t="s">
        <v>124</v>
      </c>
      <c r="G23" s="20">
        <v>890</v>
      </c>
      <c r="H23" s="20">
        <v>20</v>
      </c>
      <c r="I23" s="20">
        <f t="shared" si="0"/>
        <v>870</v>
      </c>
      <c r="J23" s="19" t="s">
        <v>37</v>
      </c>
      <c r="K23" s="19" t="s">
        <v>37</v>
      </c>
      <c r="L23" s="19" t="s">
        <v>1252</v>
      </c>
      <c r="M23" s="19"/>
      <c r="N23" s="19"/>
      <c r="O23" s="19"/>
      <c r="P23" s="19"/>
      <c r="Q23" s="19">
        <v>1</v>
      </c>
    </row>
    <row r="24" spans="1:18" customFormat="1" x14ac:dyDescent="0.25">
      <c r="A24" s="19"/>
      <c r="B24" s="19" t="s">
        <v>32</v>
      </c>
      <c r="C24" s="19" t="s">
        <v>784</v>
      </c>
      <c r="D24" s="19" t="s">
        <v>1308</v>
      </c>
      <c r="E24" s="19" t="s">
        <v>786</v>
      </c>
      <c r="F24" s="20">
        <v>2</v>
      </c>
      <c r="G24" s="20">
        <v>880</v>
      </c>
      <c r="H24" s="20">
        <v>30</v>
      </c>
      <c r="I24" s="20">
        <f t="shared" si="0"/>
        <v>850</v>
      </c>
      <c r="J24" s="19" t="s">
        <v>37</v>
      </c>
      <c r="K24" s="19" t="s">
        <v>37</v>
      </c>
      <c r="L24" s="19" t="s">
        <v>1252</v>
      </c>
      <c r="M24" s="19"/>
      <c r="N24" s="19"/>
      <c r="O24" s="19"/>
      <c r="P24" s="19"/>
      <c r="Q24" s="19">
        <v>1</v>
      </c>
    </row>
    <row r="25" spans="1:18" customFormat="1" x14ac:dyDescent="0.25">
      <c r="A25" s="19"/>
      <c r="B25" s="19" t="s">
        <v>32</v>
      </c>
      <c r="C25" s="19" t="s">
        <v>1309</v>
      </c>
      <c r="D25" s="19" t="s">
        <v>1310</v>
      </c>
      <c r="E25" s="19" t="s">
        <v>656</v>
      </c>
      <c r="F25" s="19" t="s">
        <v>117</v>
      </c>
      <c r="G25" s="20">
        <v>855</v>
      </c>
      <c r="H25" s="20">
        <v>25</v>
      </c>
      <c r="I25" s="20">
        <f t="shared" si="0"/>
        <v>830</v>
      </c>
      <c r="J25" s="19" t="s">
        <v>37</v>
      </c>
      <c r="K25" s="19" t="s">
        <v>37</v>
      </c>
      <c r="L25" s="19" t="s">
        <v>1252</v>
      </c>
      <c r="M25" s="19"/>
      <c r="N25" s="19"/>
      <c r="O25" s="19"/>
      <c r="P25" s="19"/>
      <c r="Q25" s="19">
        <v>1</v>
      </c>
    </row>
    <row r="26" spans="1:18" customFormat="1" x14ac:dyDescent="0.25">
      <c r="A26" s="19"/>
      <c r="B26" s="19" t="s">
        <v>32</v>
      </c>
      <c r="C26" s="19" t="s">
        <v>1311</v>
      </c>
      <c r="D26" s="19" t="s">
        <v>1312</v>
      </c>
      <c r="E26" s="19" t="s">
        <v>1313</v>
      </c>
      <c r="F26" s="20">
        <v>2</v>
      </c>
      <c r="G26" s="20">
        <v>3280</v>
      </c>
      <c r="H26" s="20">
        <v>40</v>
      </c>
      <c r="I26" s="20">
        <f t="shared" si="0"/>
        <v>3240</v>
      </c>
      <c r="J26" s="19" t="s">
        <v>37</v>
      </c>
      <c r="K26" s="19" t="s">
        <v>37</v>
      </c>
      <c r="L26" s="19" t="s">
        <v>1252</v>
      </c>
      <c r="M26" s="22" t="s">
        <v>183</v>
      </c>
      <c r="N26" s="19"/>
      <c r="O26" s="19"/>
      <c r="P26" s="19"/>
      <c r="Q26" s="19">
        <v>1</v>
      </c>
      <c r="R26" s="21">
        <f>H26</f>
        <v>40</v>
      </c>
    </row>
    <row r="27" spans="1:18" customFormat="1" x14ac:dyDescent="0.25">
      <c r="A27" s="19"/>
      <c r="B27" s="19" t="s">
        <v>32</v>
      </c>
      <c r="C27" s="19" t="s">
        <v>1061</v>
      </c>
      <c r="D27" s="19" t="s">
        <v>1314</v>
      </c>
      <c r="E27" s="19" t="s">
        <v>1063</v>
      </c>
      <c r="F27" s="19" t="s">
        <v>173</v>
      </c>
      <c r="G27" s="20">
        <v>0</v>
      </c>
      <c r="H27" s="20">
        <v>25</v>
      </c>
      <c r="I27" s="20">
        <f t="shared" si="0"/>
        <v>-25</v>
      </c>
      <c r="J27" s="19" t="s">
        <v>37</v>
      </c>
      <c r="K27" s="19" t="s">
        <v>37</v>
      </c>
      <c r="L27" s="19" t="s">
        <v>1252</v>
      </c>
      <c r="M27" s="19"/>
      <c r="N27" s="19"/>
      <c r="O27" s="19"/>
      <c r="P27" s="19"/>
      <c r="Q27" s="19">
        <v>1</v>
      </c>
      <c r="R27" s="21">
        <f>H27</f>
        <v>25</v>
      </c>
    </row>
    <row r="28" spans="1:18" customFormat="1" x14ac:dyDescent="0.25">
      <c r="A28" s="19"/>
      <c r="B28" s="19" t="s">
        <v>32</v>
      </c>
      <c r="C28" s="19" t="s">
        <v>1315</v>
      </c>
      <c r="D28" s="19" t="s">
        <v>1316</v>
      </c>
      <c r="E28" s="19" t="s">
        <v>1317</v>
      </c>
      <c r="F28" s="19" t="s">
        <v>117</v>
      </c>
      <c r="G28" s="20">
        <v>815</v>
      </c>
      <c r="H28" s="20">
        <v>25</v>
      </c>
      <c r="I28" s="20">
        <f t="shared" si="0"/>
        <v>790</v>
      </c>
      <c r="J28" s="19" t="s">
        <v>37</v>
      </c>
      <c r="K28" s="19" t="s">
        <v>37</v>
      </c>
      <c r="L28" s="19" t="s">
        <v>1252</v>
      </c>
      <c r="M28" s="19"/>
      <c r="N28" s="19"/>
      <c r="O28" s="19"/>
      <c r="P28" s="19"/>
      <c r="Q28" s="19">
        <v>1</v>
      </c>
    </row>
    <row r="29" spans="1:18" customFormat="1" x14ac:dyDescent="0.25">
      <c r="A29" s="19" t="s">
        <v>107</v>
      </c>
      <c r="B29" s="19" t="s">
        <v>32</v>
      </c>
      <c r="C29" s="19" t="s">
        <v>1318</v>
      </c>
      <c r="D29" s="19"/>
      <c r="E29" s="19" t="s">
        <v>1319</v>
      </c>
      <c r="F29" s="19" t="s">
        <v>117</v>
      </c>
      <c r="G29" s="20">
        <v>0</v>
      </c>
      <c r="H29" s="20">
        <v>30</v>
      </c>
      <c r="I29" s="20">
        <f t="shared" si="0"/>
        <v>-30</v>
      </c>
      <c r="J29" s="19" t="s">
        <v>37</v>
      </c>
      <c r="K29" s="19" t="s">
        <v>37</v>
      </c>
      <c r="L29" s="19" t="s">
        <v>1252</v>
      </c>
      <c r="M29" s="19"/>
      <c r="N29" s="19"/>
      <c r="O29" s="19"/>
      <c r="P29" s="19"/>
      <c r="Q29" s="19">
        <v>1</v>
      </c>
      <c r="R29" s="21">
        <f t="shared" ref="R29:R30" si="2">H29</f>
        <v>30</v>
      </c>
    </row>
    <row r="30" spans="1:18" customFormat="1" x14ac:dyDescent="0.25">
      <c r="A30" s="19" t="s">
        <v>107</v>
      </c>
      <c r="B30" s="19" t="s">
        <v>32</v>
      </c>
      <c r="C30" s="19" t="s">
        <v>160</v>
      </c>
      <c r="D30" s="19"/>
      <c r="E30" s="19" t="s">
        <v>161</v>
      </c>
      <c r="F30" s="19" t="s">
        <v>117</v>
      </c>
      <c r="G30" s="20">
        <v>0</v>
      </c>
      <c r="H30" s="20">
        <v>30</v>
      </c>
      <c r="I30" s="20">
        <f t="shared" si="0"/>
        <v>-30</v>
      </c>
      <c r="J30" s="19" t="s">
        <v>37</v>
      </c>
      <c r="K30" s="19" t="s">
        <v>37</v>
      </c>
      <c r="L30" s="19" t="s">
        <v>1252</v>
      </c>
      <c r="M30" s="19"/>
      <c r="N30" s="19"/>
      <c r="O30" s="19"/>
      <c r="P30" s="19"/>
      <c r="Q30" s="19">
        <v>1</v>
      </c>
      <c r="R30" s="21">
        <f t="shared" si="2"/>
        <v>30</v>
      </c>
    </row>
    <row r="31" spans="1:18" customFormat="1" x14ac:dyDescent="0.25">
      <c r="A31" s="19"/>
      <c r="B31" s="19" t="s">
        <v>32</v>
      </c>
      <c r="C31" s="19" t="s">
        <v>1320</v>
      </c>
      <c r="D31" s="19" t="s">
        <v>1321</v>
      </c>
      <c r="E31" s="19" t="s">
        <v>1322</v>
      </c>
      <c r="F31" s="20">
        <v>7</v>
      </c>
      <c r="G31" s="20">
        <v>760</v>
      </c>
      <c r="H31" s="20">
        <v>30</v>
      </c>
      <c r="I31" s="20">
        <f t="shared" si="0"/>
        <v>730</v>
      </c>
      <c r="J31" s="19" t="s">
        <v>169</v>
      </c>
      <c r="K31" s="19" t="s">
        <v>37</v>
      </c>
      <c r="L31" s="19" t="s">
        <v>1252</v>
      </c>
      <c r="M31" s="19"/>
      <c r="N31" s="19"/>
      <c r="O31" s="19"/>
      <c r="P31" s="19"/>
      <c r="Q31" s="19">
        <v>1</v>
      </c>
    </row>
    <row r="32" spans="1:18" customFormat="1" x14ac:dyDescent="0.25">
      <c r="A32" s="19"/>
      <c r="B32" s="19" t="s">
        <v>32</v>
      </c>
      <c r="C32" s="19" t="s">
        <v>1323</v>
      </c>
      <c r="D32" s="19" t="s">
        <v>1324</v>
      </c>
      <c r="E32" s="19" t="s">
        <v>1325</v>
      </c>
      <c r="F32" s="20">
        <v>1</v>
      </c>
      <c r="G32" s="20">
        <v>995</v>
      </c>
      <c r="H32" s="20">
        <v>25</v>
      </c>
      <c r="I32" s="20">
        <f t="shared" si="0"/>
        <v>970</v>
      </c>
      <c r="J32" s="19" t="s">
        <v>169</v>
      </c>
      <c r="K32" s="19" t="s">
        <v>37</v>
      </c>
      <c r="L32" s="19" t="s">
        <v>1252</v>
      </c>
      <c r="M32" s="19"/>
      <c r="N32" s="19"/>
      <c r="O32" s="19"/>
      <c r="P32" s="19"/>
      <c r="Q32" s="19">
        <v>1</v>
      </c>
    </row>
    <row r="33" spans="1:18" customFormat="1" x14ac:dyDescent="0.25">
      <c r="A33" s="19"/>
      <c r="B33" s="19" t="s">
        <v>32</v>
      </c>
      <c r="C33" s="19" t="s">
        <v>1326</v>
      </c>
      <c r="D33" s="19" t="s">
        <v>1327</v>
      </c>
      <c r="E33" s="19" t="s">
        <v>1328</v>
      </c>
      <c r="F33" s="19" t="s">
        <v>173</v>
      </c>
      <c r="G33" s="20">
        <v>1605</v>
      </c>
      <c r="H33" s="20">
        <v>25</v>
      </c>
      <c r="I33" s="20">
        <f t="shared" si="0"/>
        <v>1580</v>
      </c>
      <c r="J33" s="19" t="s">
        <v>169</v>
      </c>
      <c r="K33" s="19" t="s">
        <v>37</v>
      </c>
      <c r="L33" s="19" t="s">
        <v>1252</v>
      </c>
      <c r="M33" s="19"/>
      <c r="N33" s="19"/>
      <c r="O33" s="19"/>
      <c r="P33" s="19"/>
      <c r="Q33" s="19">
        <v>1</v>
      </c>
    </row>
    <row r="34" spans="1:18" customFormat="1" x14ac:dyDescent="0.25">
      <c r="A34" s="19"/>
      <c r="B34" s="19" t="s">
        <v>32</v>
      </c>
      <c r="C34" s="19" t="s">
        <v>1329</v>
      </c>
      <c r="D34" s="19" t="s">
        <v>1330</v>
      </c>
      <c r="E34" s="19" t="s">
        <v>1331</v>
      </c>
      <c r="F34" s="20">
        <v>1</v>
      </c>
      <c r="G34" s="20">
        <v>0</v>
      </c>
      <c r="H34" s="20">
        <v>25</v>
      </c>
      <c r="I34" s="20">
        <f t="shared" si="0"/>
        <v>-25</v>
      </c>
      <c r="J34" s="19" t="s">
        <v>169</v>
      </c>
      <c r="K34" s="19" t="s">
        <v>37</v>
      </c>
      <c r="L34" s="19" t="s">
        <v>1252</v>
      </c>
      <c r="M34" s="19"/>
      <c r="N34" s="19"/>
      <c r="O34" s="19"/>
      <c r="P34" s="19"/>
      <c r="Q34" s="19">
        <v>1</v>
      </c>
      <c r="R34" s="21">
        <f>H34</f>
        <v>25</v>
      </c>
    </row>
    <row r="35" spans="1:18" customFormat="1" x14ac:dyDescent="0.25">
      <c r="A35" s="19"/>
      <c r="B35" s="19" t="s">
        <v>32</v>
      </c>
      <c r="C35" s="19" t="s">
        <v>1332</v>
      </c>
      <c r="D35" s="19" t="s">
        <v>1333</v>
      </c>
      <c r="E35" s="19" t="s">
        <v>1334</v>
      </c>
      <c r="F35" s="20">
        <v>7</v>
      </c>
      <c r="G35" s="20">
        <v>30</v>
      </c>
      <c r="H35" s="20">
        <v>30</v>
      </c>
      <c r="I35" s="20">
        <f t="shared" si="0"/>
        <v>0</v>
      </c>
      <c r="J35" s="19" t="s">
        <v>169</v>
      </c>
      <c r="K35" s="19" t="s">
        <v>37</v>
      </c>
      <c r="L35" s="19" t="s">
        <v>1252</v>
      </c>
      <c r="M35" s="19"/>
      <c r="N35" s="19"/>
      <c r="O35" s="19"/>
      <c r="P35" s="19"/>
      <c r="Q35" s="19">
        <v>1</v>
      </c>
    </row>
    <row r="36" spans="1:18" customFormat="1" x14ac:dyDescent="0.25">
      <c r="A36" s="19"/>
      <c r="B36" s="19" t="s">
        <v>32</v>
      </c>
      <c r="C36" s="19" t="s">
        <v>1335</v>
      </c>
      <c r="D36" s="19" t="s">
        <v>1336</v>
      </c>
      <c r="E36" s="19" t="s">
        <v>1337</v>
      </c>
      <c r="F36" s="19" t="s">
        <v>317</v>
      </c>
      <c r="G36" s="20">
        <v>2000</v>
      </c>
      <c r="H36" s="20">
        <v>25</v>
      </c>
      <c r="I36" s="20">
        <f t="shared" si="0"/>
        <v>1975</v>
      </c>
      <c r="J36" s="19" t="s">
        <v>169</v>
      </c>
      <c r="K36" s="19" t="s">
        <v>37</v>
      </c>
      <c r="L36" s="19" t="s">
        <v>1252</v>
      </c>
      <c r="M36" s="22" t="s">
        <v>183</v>
      </c>
      <c r="N36" s="19"/>
      <c r="O36" s="19"/>
      <c r="P36" s="19"/>
      <c r="Q36" s="19">
        <v>1</v>
      </c>
      <c r="R36" s="21">
        <f>H36</f>
        <v>25</v>
      </c>
    </row>
    <row r="37" spans="1:18" customFormat="1" x14ac:dyDescent="0.25">
      <c r="A37" s="19"/>
      <c r="B37" s="19" t="s">
        <v>32</v>
      </c>
      <c r="C37" s="19" t="s">
        <v>1338</v>
      </c>
      <c r="D37" s="19" t="s">
        <v>1339</v>
      </c>
      <c r="E37" s="19" t="s">
        <v>1340</v>
      </c>
      <c r="F37" s="20">
        <v>3</v>
      </c>
      <c r="G37" s="20">
        <v>0</v>
      </c>
      <c r="H37" s="20">
        <v>25</v>
      </c>
      <c r="I37" s="20">
        <f t="shared" si="0"/>
        <v>-25</v>
      </c>
      <c r="J37" s="19" t="s">
        <v>169</v>
      </c>
      <c r="K37" s="19" t="s">
        <v>37</v>
      </c>
      <c r="L37" s="19" t="s">
        <v>1252</v>
      </c>
      <c r="M37" s="19"/>
      <c r="N37" s="19"/>
      <c r="O37" s="19"/>
      <c r="P37" s="19"/>
      <c r="Q37" s="19">
        <v>1</v>
      </c>
      <c r="R37" s="21">
        <f>H37</f>
        <v>25</v>
      </c>
    </row>
    <row r="39" spans="1:18" x14ac:dyDescent="0.25">
      <c r="G39" s="1">
        <f t="shared" ref="G39:R39" si="3">SUBTOTAL(9,G3:G37)</f>
        <v>27310</v>
      </c>
      <c r="H39" s="1">
        <f t="shared" si="3"/>
        <v>910</v>
      </c>
      <c r="I39" s="1">
        <f t="shared" si="3"/>
        <v>26400</v>
      </c>
      <c r="J39" s="1">
        <f t="shared" si="3"/>
        <v>0</v>
      </c>
      <c r="K39" s="1">
        <f t="shared" si="3"/>
        <v>0</v>
      </c>
      <c r="L39" s="1">
        <f t="shared" si="3"/>
        <v>0</v>
      </c>
      <c r="M39" s="1">
        <f t="shared" si="3"/>
        <v>0</v>
      </c>
      <c r="N39" s="1">
        <f t="shared" si="3"/>
        <v>0</v>
      </c>
      <c r="O39" s="1">
        <f t="shared" si="3"/>
        <v>0</v>
      </c>
      <c r="P39" s="1">
        <f t="shared" si="3"/>
        <v>0</v>
      </c>
      <c r="Q39" s="1">
        <f t="shared" si="3"/>
        <v>35</v>
      </c>
      <c r="R39" s="1">
        <f t="shared" si="3"/>
        <v>320</v>
      </c>
    </row>
    <row r="43" spans="1:18" ht="20.25" customHeight="1" x14ac:dyDescent="0.3">
      <c r="H43" s="4" t="s">
        <v>1154</v>
      </c>
      <c r="I43" s="5" t="s">
        <v>15</v>
      </c>
      <c r="J43" s="6" t="s">
        <v>16</v>
      </c>
    </row>
    <row r="44" spans="1:18" ht="15.75" customHeight="1" x14ac:dyDescent="0.25">
      <c r="H44" s="7" t="s">
        <v>17</v>
      </c>
      <c r="I44" s="8">
        <f>SUM(I38:I42)</f>
        <v>26400</v>
      </c>
      <c r="J44" s="8">
        <f>Q39</f>
        <v>35</v>
      </c>
    </row>
    <row r="45" spans="1:18" x14ac:dyDescent="0.25">
      <c r="H45" s="9" t="s">
        <v>18</v>
      </c>
      <c r="I45" s="10">
        <f>R39</f>
        <v>320</v>
      </c>
      <c r="J45" s="11"/>
    </row>
    <row r="46" spans="1:18" x14ac:dyDescent="0.25">
      <c r="H46" s="9" t="s">
        <v>19</v>
      </c>
      <c r="I46" s="10">
        <f>S38</f>
        <v>0</v>
      </c>
      <c r="J46" s="11"/>
    </row>
    <row r="47" spans="1:18" x14ac:dyDescent="0.25">
      <c r="H47" s="9" t="s">
        <v>20</v>
      </c>
      <c r="I47" s="10">
        <f>T38</f>
        <v>0</v>
      </c>
      <c r="J47" s="11"/>
    </row>
    <row r="48" spans="1:18" x14ac:dyDescent="0.25">
      <c r="H48" s="9" t="s">
        <v>21</v>
      </c>
      <c r="I48" s="10">
        <f>U38</f>
        <v>0</v>
      </c>
      <c r="J48" s="11"/>
    </row>
    <row r="49" spans="8:10" ht="15.75" customHeight="1" x14ac:dyDescent="0.25">
      <c r="H49" s="12" t="s">
        <v>22</v>
      </c>
      <c r="I49" s="13"/>
      <c r="J49" s="13"/>
    </row>
    <row r="50" spans="8:10" ht="15.75" customHeight="1" x14ac:dyDescent="0.25">
      <c r="H50" s="14" t="s">
        <v>23</v>
      </c>
      <c r="I50" s="13"/>
      <c r="J50" s="13"/>
    </row>
    <row r="51" spans="8:10" ht="21" customHeight="1" x14ac:dyDescent="0.35">
      <c r="H51" s="15" t="s">
        <v>24</v>
      </c>
      <c r="I51" s="16">
        <f>SUM(I44:I50)</f>
        <v>26720</v>
      </c>
      <c r="J51" s="16">
        <f>SUM(J44:J48)</f>
        <v>35</v>
      </c>
    </row>
  </sheetData>
  <autoFilter ref="A2:P37" xr:uid="{00000000-0009-0000-0000-000006000000}">
    <sortState xmlns:xlrd2="http://schemas.microsoft.com/office/spreadsheetml/2017/richdata2" ref="A3:P37">
      <sortCondition ref="J2:J37"/>
    </sortState>
  </autoFilter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8C0B-EB88-411E-AFE0-0A8DE1F91160}">
  <dimension ref="A1:R64"/>
  <sheetViews>
    <sheetView topLeftCell="A41" zoomScale="82" zoomScaleNormal="80" workbookViewId="0">
      <selection activeCell="I53" sqref="I53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264</v>
      </c>
      <c r="C1" s="1" t="s">
        <v>1248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1343</v>
      </c>
      <c r="D3" s="19" t="s">
        <v>1344</v>
      </c>
      <c r="E3" s="19" t="s">
        <v>1345</v>
      </c>
      <c r="F3" s="20">
        <v>9</v>
      </c>
      <c r="G3" s="20">
        <v>920</v>
      </c>
      <c r="H3" s="20">
        <v>30</v>
      </c>
      <c r="I3" s="20">
        <f t="shared" ref="I3:I50" si="0">G3-H3</f>
        <v>890</v>
      </c>
      <c r="J3" s="19" t="s">
        <v>1346</v>
      </c>
      <c r="K3" s="19" t="s">
        <v>37</v>
      </c>
      <c r="L3" s="19" t="s">
        <v>1347</v>
      </c>
      <c r="M3" s="19"/>
      <c r="N3" s="19"/>
      <c r="O3" s="19"/>
      <c r="P3" s="19"/>
      <c r="Q3" s="19">
        <v>1</v>
      </c>
    </row>
    <row r="4" spans="1:18" s="26" customFormat="1" x14ac:dyDescent="0.25">
      <c r="A4" s="23"/>
      <c r="B4" s="23" t="s">
        <v>32</v>
      </c>
      <c r="C4" s="23" t="s">
        <v>1348</v>
      </c>
      <c r="D4" s="23" t="s">
        <v>1349</v>
      </c>
      <c r="E4" s="23" t="s">
        <v>1350</v>
      </c>
      <c r="F4" s="23" t="s">
        <v>88</v>
      </c>
      <c r="G4" s="24">
        <v>0</v>
      </c>
      <c r="H4" s="24">
        <v>35</v>
      </c>
      <c r="I4" s="24">
        <f t="shared" si="0"/>
        <v>-35</v>
      </c>
      <c r="J4" s="23" t="s">
        <v>1346</v>
      </c>
      <c r="K4" s="23" t="s">
        <v>37</v>
      </c>
      <c r="L4" s="23" t="s">
        <v>1347</v>
      </c>
      <c r="M4" s="23" t="s">
        <v>148</v>
      </c>
      <c r="N4" s="23"/>
      <c r="O4" s="23"/>
      <c r="P4" s="23"/>
      <c r="Q4" s="23">
        <v>1</v>
      </c>
      <c r="R4" s="25">
        <f>H4</f>
        <v>35</v>
      </c>
    </row>
    <row r="5" spans="1:18" customFormat="1" x14ac:dyDescent="0.25">
      <c r="A5" s="19"/>
      <c r="B5" s="19" t="s">
        <v>32</v>
      </c>
      <c r="C5" s="19" t="s">
        <v>1351</v>
      </c>
      <c r="D5" s="19" t="s">
        <v>1352</v>
      </c>
      <c r="E5" s="19" t="s">
        <v>1353</v>
      </c>
      <c r="F5" s="19" t="s">
        <v>45</v>
      </c>
      <c r="G5" s="20">
        <v>970</v>
      </c>
      <c r="H5" s="20">
        <v>30</v>
      </c>
      <c r="I5" s="20">
        <f t="shared" si="0"/>
        <v>940</v>
      </c>
      <c r="J5" s="19" t="s">
        <v>1346</v>
      </c>
      <c r="K5" s="19" t="s">
        <v>37</v>
      </c>
      <c r="L5" s="19" t="s">
        <v>1347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1354</v>
      </c>
      <c r="D6" s="19" t="s">
        <v>1355</v>
      </c>
      <c r="E6" s="19" t="s">
        <v>1356</v>
      </c>
      <c r="F6" s="19" t="s">
        <v>81</v>
      </c>
      <c r="G6" s="20">
        <v>0</v>
      </c>
      <c r="H6" s="20">
        <v>35</v>
      </c>
      <c r="I6" s="20">
        <f t="shared" si="0"/>
        <v>-35</v>
      </c>
      <c r="J6" s="19" t="s">
        <v>1346</v>
      </c>
      <c r="K6" s="19" t="s">
        <v>37</v>
      </c>
      <c r="L6" s="19" t="s">
        <v>1347</v>
      </c>
      <c r="M6" s="19"/>
      <c r="N6" s="19"/>
      <c r="O6" s="19"/>
      <c r="P6" s="19"/>
      <c r="Q6" s="19">
        <v>1</v>
      </c>
      <c r="R6" s="21">
        <f>H6</f>
        <v>35</v>
      </c>
    </row>
    <row r="7" spans="1:18" customFormat="1" x14ac:dyDescent="0.25">
      <c r="A7" s="19"/>
      <c r="B7" s="19" t="s">
        <v>32</v>
      </c>
      <c r="C7" s="19" t="s">
        <v>1357</v>
      </c>
      <c r="D7" s="19" t="s">
        <v>1358</v>
      </c>
      <c r="E7" s="19" t="s">
        <v>1359</v>
      </c>
      <c r="F7" s="19" t="s">
        <v>45</v>
      </c>
      <c r="G7" s="20">
        <v>880</v>
      </c>
      <c r="H7" s="20">
        <v>30</v>
      </c>
      <c r="I7" s="20">
        <f t="shared" si="0"/>
        <v>850</v>
      </c>
      <c r="J7" s="19" t="s">
        <v>1346</v>
      </c>
      <c r="K7" s="19" t="s">
        <v>37</v>
      </c>
      <c r="L7" s="19" t="s">
        <v>1347</v>
      </c>
      <c r="M7" s="19"/>
      <c r="N7" s="19"/>
      <c r="O7" s="19"/>
      <c r="P7" s="19"/>
      <c r="Q7" s="19">
        <v>1</v>
      </c>
    </row>
    <row r="8" spans="1:18" customFormat="1" x14ac:dyDescent="0.25">
      <c r="A8" s="19"/>
      <c r="B8" s="19" t="s">
        <v>32</v>
      </c>
      <c r="C8" s="19" t="s">
        <v>1360</v>
      </c>
      <c r="D8" s="19" t="s">
        <v>1361</v>
      </c>
      <c r="E8" s="19" t="s">
        <v>1362</v>
      </c>
      <c r="F8" s="20">
        <v>12</v>
      </c>
      <c r="G8" s="20">
        <v>900</v>
      </c>
      <c r="H8" s="20">
        <v>30</v>
      </c>
      <c r="I8" s="20">
        <f t="shared" si="0"/>
        <v>870</v>
      </c>
      <c r="J8" s="19" t="s">
        <v>1346</v>
      </c>
      <c r="K8" s="19" t="s">
        <v>37</v>
      </c>
      <c r="L8" s="19" t="s">
        <v>1347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1363</v>
      </c>
      <c r="D9" s="19" t="s">
        <v>1364</v>
      </c>
      <c r="E9" s="19" t="s">
        <v>1365</v>
      </c>
      <c r="F9" s="19" t="s">
        <v>45</v>
      </c>
      <c r="G9" s="20">
        <v>970</v>
      </c>
      <c r="H9" s="20">
        <v>30</v>
      </c>
      <c r="I9" s="20">
        <f t="shared" si="0"/>
        <v>940</v>
      </c>
      <c r="J9" s="19" t="s">
        <v>1346</v>
      </c>
      <c r="K9" s="19" t="s">
        <v>37</v>
      </c>
      <c r="L9" s="19" t="s">
        <v>1347</v>
      </c>
      <c r="M9" s="19"/>
      <c r="N9" s="19"/>
      <c r="O9" s="19"/>
      <c r="P9" s="19"/>
      <c r="Q9" s="19">
        <v>1</v>
      </c>
    </row>
    <row r="10" spans="1:18" customFormat="1" x14ac:dyDescent="0.25">
      <c r="A10" s="19"/>
      <c r="B10" s="19" t="s">
        <v>32</v>
      </c>
      <c r="C10" s="19" t="s">
        <v>1366</v>
      </c>
      <c r="D10" s="19" t="s">
        <v>1367</v>
      </c>
      <c r="E10" s="19" t="s">
        <v>1368</v>
      </c>
      <c r="F10" s="19" t="s">
        <v>45</v>
      </c>
      <c r="G10" s="20">
        <v>1020</v>
      </c>
      <c r="H10" s="20">
        <v>30</v>
      </c>
      <c r="I10" s="20">
        <f t="shared" si="0"/>
        <v>990</v>
      </c>
      <c r="J10" s="19" t="s">
        <v>1346</v>
      </c>
      <c r="K10" s="19" t="s">
        <v>37</v>
      </c>
      <c r="L10" s="19" t="s">
        <v>1347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1369</v>
      </c>
      <c r="D11" s="19" t="s">
        <v>1370</v>
      </c>
      <c r="E11" s="19" t="s">
        <v>1371</v>
      </c>
      <c r="F11" s="19" t="s">
        <v>88</v>
      </c>
      <c r="G11" s="20">
        <v>0</v>
      </c>
      <c r="H11" s="20">
        <v>35</v>
      </c>
      <c r="I11" s="20">
        <f t="shared" si="0"/>
        <v>-35</v>
      </c>
      <c r="J11" s="19" t="s">
        <v>1346</v>
      </c>
      <c r="K11" s="19" t="s">
        <v>37</v>
      </c>
      <c r="L11" s="19" t="s">
        <v>1347</v>
      </c>
      <c r="M11" s="19"/>
      <c r="N11" s="19"/>
      <c r="O11" s="19"/>
      <c r="P11" s="19"/>
      <c r="Q11" s="19">
        <v>1</v>
      </c>
      <c r="R11" s="21">
        <f>H11</f>
        <v>35</v>
      </c>
    </row>
    <row r="12" spans="1:18" customFormat="1" x14ac:dyDescent="0.25">
      <c r="A12" s="19"/>
      <c r="B12" s="19" t="s">
        <v>32</v>
      </c>
      <c r="C12" s="19" t="s">
        <v>1372</v>
      </c>
      <c r="D12" s="19" t="s">
        <v>1373</v>
      </c>
      <c r="E12" s="19" t="s">
        <v>1374</v>
      </c>
      <c r="F12" s="19" t="s">
        <v>45</v>
      </c>
      <c r="G12" s="20">
        <v>1750</v>
      </c>
      <c r="H12" s="20">
        <v>30</v>
      </c>
      <c r="I12" s="20">
        <f t="shared" si="0"/>
        <v>1720</v>
      </c>
      <c r="J12" s="19" t="s">
        <v>1346</v>
      </c>
      <c r="K12" s="19" t="s">
        <v>37</v>
      </c>
      <c r="L12" s="19" t="s">
        <v>1347</v>
      </c>
      <c r="M12" s="19"/>
      <c r="N12" s="19"/>
      <c r="O12" s="19"/>
      <c r="P12" s="19"/>
      <c r="Q12" s="19">
        <v>1</v>
      </c>
    </row>
    <row r="13" spans="1:18" customFormat="1" x14ac:dyDescent="0.25">
      <c r="A13" s="19" t="s">
        <v>107</v>
      </c>
      <c r="B13" s="19" t="s">
        <v>32</v>
      </c>
      <c r="C13" s="19" t="s">
        <v>1375</v>
      </c>
      <c r="D13" s="19"/>
      <c r="E13" s="19" t="s">
        <v>1376</v>
      </c>
      <c r="F13" s="19" t="s">
        <v>81</v>
      </c>
      <c r="G13" s="20">
        <v>5790</v>
      </c>
      <c r="H13" s="20">
        <v>50</v>
      </c>
      <c r="I13" s="20">
        <f t="shared" si="0"/>
        <v>5740</v>
      </c>
      <c r="J13" s="19" t="s">
        <v>1346</v>
      </c>
      <c r="K13" s="19" t="s">
        <v>37</v>
      </c>
      <c r="L13" s="19" t="s">
        <v>1347</v>
      </c>
      <c r="M13" s="19"/>
      <c r="N13" s="19"/>
      <c r="O13" s="19"/>
      <c r="P13" s="19"/>
      <c r="Q13" s="19">
        <v>1</v>
      </c>
    </row>
    <row r="14" spans="1:18" customFormat="1" x14ac:dyDescent="0.25">
      <c r="A14" s="19" t="s">
        <v>107</v>
      </c>
      <c r="B14" s="19" t="s">
        <v>32</v>
      </c>
      <c r="C14" s="19" t="s">
        <v>1377</v>
      </c>
      <c r="D14" s="19"/>
      <c r="E14" s="19" t="s">
        <v>1378</v>
      </c>
      <c r="F14" s="20">
        <v>6</v>
      </c>
      <c r="G14" s="20">
        <v>1810</v>
      </c>
      <c r="H14" s="20">
        <v>30</v>
      </c>
      <c r="I14" s="20">
        <f t="shared" si="0"/>
        <v>1780</v>
      </c>
      <c r="J14" s="19" t="s">
        <v>1346</v>
      </c>
      <c r="K14" s="19" t="s">
        <v>37</v>
      </c>
      <c r="L14" s="19" t="s">
        <v>1347</v>
      </c>
      <c r="M14" s="19"/>
      <c r="N14" s="19"/>
      <c r="O14" s="19"/>
      <c r="P14" s="19"/>
      <c r="Q14" s="19">
        <v>1</v>
      </c>
    </row>
    <row r="15" spans="1:18" customFormat="1" x14ac:dyDescent="0.25">
      <c r="A15" s="19" t="s">
        <v>107</v>
      </c>
      <c r="B15" s="19" t="s">
        <v>32</v>
      </c>
      <c r="C15" s="19" t="s">
        <v>1379</v>
      </c>
      <c r="D15" s="19"/>
      <c r="E15" s="19" t="s">
        <v>1015</v>
      </c>
      <c r="F15" s="20">
        <v>6</v>
      </c>
      <c r="G15" s="20">
        <v>630</v>
      </c>
      <c r="H15" s="20">
        <v>30</v>
      </c>
      <c r="I15" s="20">
        <f t="shared" si="0"/>
        <v>600</v>
      </c>
      <c r="J15" s="19" t="s">
        <v>1346</v>
      </c>
      <c r="K15" s="19" t="s">
        <v>37</v>
      </c>
      <c r="L15" s="19" t="s">
        <v>1347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1380</v>
      </c>
      <c r="D16" s="19" t="s">
        <v>1381</v>
      </c>
      <c r="E16" s="19" t="s">
        <v>1382</v>
      </c>
      <c r="F16" s="19" t="s">
        <v>124</v>
      </c>
      <c r="G16" s="20">
        <v>0</v>
      </c>
      <c r="H16" s="20">
        <v>20</v>
      </c>
      <c r="I16" s="20">
        <f t="shared" si="0"/>
        <v>-20</v>
      </c>
      <c r="J16" s="19" t="s">
        <v>37</v>
      </c>
      <c r="K16" s="19" t="s">
        <v>37</v>
      </c>
      <c r="L16" s="19" t="s">
        <v>1347</v>
      </c>
      <c r="M16" s="19"/>
      <c r="N16" s="19"/>
      <c r="O16" s="19"/>
      <c r="P16" s="19"/>
      <c r="Q16" s="19">
        <v>1</v>
      </c>
      <c r="R16" s="21">
        <f t="shared" ref="R16:R17" si="1">H16</f>
        <v>20</v>
      </c>
    </row>
    <row r="17" spans="1:18" customFormat="1" x14ac:dyDescent="0.25">
      <c r="A17" s="19"/>
      <c r="B17" s="19" t="s">
        <v>32</v>
      </c>
      <c r="C17" s="19" t="s">
        <v>1383</v>
      </c>
      <c r="D17" s="19" t="s">
        <v>1384</v>
      </c>
      <c r="E17" s="19" t="s">
        <v>1385</v>
      </c>
      <c r="F17" s="19" t="s">
        <v>117</v>
      </c>
      <c r="G17" s="20">
        <v>0</v>
      </c>
      <c r="H17" s="20">
        <v>25</v>
      </c>
      <c r="I17" s="20">
        <f t="shared" si="0"/>
        <v>-25</v>
      </c>
      <c r="J17" s="19" t="s">
        <v>37</v>
      </c>
      <c r="K17" s="19" t="s">
        <v>37</v>
      </c>
      <c r="L17" s="19" t="s">
        <v>1347</v>
      </c>
      <c r="M17" s="19"/>
      <c r="N17" s="19"/>
      <c r="O17" s="19"/>
      <c r="P17" s="19"/>
      <c r="Q17" s="19">
        <v>1</v>
      </c>
      <c r="R17" s="21">
        <f t="shared" si="1"/>
        <v>25</v>
      </c>
    </row>
    <row r="18" spans="1:18" s="26" customFormat="1" x14ac:dyDescent="0.25">
      <c r="A18" s="23"/>
      <c r="B18" s="23" t="s">
        <v>32</v>
      </c>
      <c r="C18" s="23" t="s">
        <v>1187</v>
      </c>
      <c r="D18" s="23" t="s">
        <v>1386</v>
      </c>
      <c r="E18" s="23" t="s">
        <v>1387</v>
      </c>
      <c r="F18" s="23" t="s">
        <v>124</v>
      </c>
      <c r="G18" s="24">
        <v>20</v>
      </c>
      <c r="H18" s="24">
        <v>20</v>
      </c>
      <c r="I18" s="24">
        <f t="shared" si="0"/>
        <v>0</v>
      </c>
      <c r="J18" s="23" t="s">
        <v>37</v>
      </c>
      <c r="K18" s="23" t="s">
        <v>37</v>
      </c>
      <c r="L18" s="23" t="s">
        <v>1347</v>
      </c>
      <c r="M18" s="23" t="s">
        <v>148</v>
      </c>
      <c r="N18" s="23"/>
      <c r="O18" s="23"/>
      <c r="P18" s="23"/>
      <c r="Q18" s="23">
        <v>1</v>
      </c>
    </row>
    <row r="19" spans="1:18" customFormat="1" x14ac:dyDescent="0.25">
      <c r="A19" s="19"/>
      <c r="B19" s="19" t="s">
        <v>32</v>
      </c>
      <c r="C19" s="19" t="s">
        <v>386</v>
      </c>
      <c r="D19" s="19" t="s">
        <v>1388</v>
      </c>
      <c r="E19" s="19" t="s">
        <v>1389</v>
      </c>
      <c r="F19" s="19" t="s">
        <v>124</v>
      </c>
      <c r="G19" s="20">
        <v>960</v>
      </c>
      <c r="H19" s="20">
        <v>20</v>
      </c>
      <c r="I19" s="20">
        <f t="shared" si="0"/>
        <v>940</v>
      </c>
      <c r="J19" s="19" t="s">
        <v>37</v>
      </c>
      <c r="K19" s="19" t="s">
        <v>37</v>
      </c>
      <c r="L19" s="19" t="s">
        <v>1347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19" t="s">
        <v>1390</v>
      </c>
      <c r="D20" s="19" t="s">
        <v>1391</v>
      </c>
      <c r="E20" s="19" t="s">
        <v>1392</v>
      </c>
      <c r="F20" s="19" t="s">
        <v>124</v>
      </c>
      <c r="G20" s="20">
        <v>0</v>
      </c>
      <c r="H20" s="20">
        <v>20</v>
      </c>
      <c r="I20" s="20">
        <f t="shared" si="0"/>
        <v>-20</v>
      </c>
      <c r="J20" s="19" t="s">
        <v>37</v>
      </c>
      <c r="K20" s="19" t="s">
        <v>37</v>
      </c>
      <c r="L20" s="19" t="s">
        <v>1347</v>
      </c>
      <c r="M20" s="19"/>
      <c r="N20" s="19"/>
      <c r="O20" s="19"/>
      <c r="P20" s="19"/>
      <c r="Q20" s="19">
        <v>1</v>
      </c>
      <c r="R20" s="21">
        <f t="shared" ref="R20:R23" si="2">H20</f>
        <v>20</v>
      </c>
    </row>
    <row r="21" spans="1:18" customFormat="1" x14ac:dyDescent="0.25">
      <c r="A21" s="19"/>
      <c r="B21" s="19" t="s">
        <v>32</v>
      </c>
      <c r="C21" s="19" t="s">
        <v>1393</v>
      </c>
      <c r="D21" s="19" t="s">
        <v>1394</v>
      </c>
      <c r="E21" s="19" t="s">
        <v>1395</v>
      </c>
      <c r="F21" s="19" t="s">
        <v>117</v>
      </c>
      <c r="G21" s="20">
        <v>0</v>
      </c>
      <c r="H21" s="20">
        <v>25</v>
      </c>
      <c r="I21" s="20">
        <f t="shared" si="0"/>
        <v>-25</v>
      </c>
      <c r="J21" s="19" t="s">
        <v>37</v>
      </c>
      <c r="K21" s="19" t="s">
        <v>37</v>
      </c>
      <c r="L21" s="19" t="s">
        <v>1347</v>
      </c>
      <c r="M21" s="19"/>
      <c r="N21" s="19"/>
      <c r="O21" s="19"/>
      <c r="P21" s="19"/>
      <c r="Q21" s="19">
        <v>1</v>
      </c>
      <c r="R21" s="21">
        <f t="shared" si="2"/>
        <v>25</v>
      </c>
    </row>
    <row r="22" spans="1:18" customFormat="1" x14ac:dyDescent="0.25">
      <c r="A22" s="19"/>
      <c r="B22" s="19" t="s">
        <v>32</v>
      </c>
      <c r="C22" s="19" t="s">
        <v>1396</v>
      </c>
      <c r="D22" s="19" t="s">
        <v>1397</v>
      </c>
      <c r="E22" s="19" t="s">
        <v>1398</v>
      </c>
      <c r="F22" s="20">
        <v>12</v>
      </c>
      <c r="G22" s="20">
        <v>0</v>
      </c>
      <c r="H22" s="20">
        <v>30</v>
      </c>
      <c r="I22" s="20">
        <f t="shared" si="0"/>
        <v>-30</v>
      </c>
      <c r="J22" s="19" t="s">
        <v>37</v>
      </c>
      <c r="K22" s="19" t="s">
        <v>37</v>
      </c>
      <c r="L22" s="19" t="s">
        <v>1347</v>
      </c>
      <c r="M22" s="19"/>
      <c r="N22" s="19"/>
      <c r="O22" s="19"/>
      <c r="P22" s="19"/>
      <c r="Q22" s="19">
        <v>1</v>
      </c>
      <c r="R22" s="21">
        <f t="shared" si="2"/>
        <v>30</v>
      </c>
    </row>
    <row r="23" spans="1:18" customFormat="1" x14ac:dyDescent="0.25">
      <c r="A23" s="19"/>
      <c r="B23" s="19" t="s">
        <v>32</v>
      </c>
      <c r="C23" s="19" t="s">
        <v>1399</v>
      </c>
      <c r="D23" s="19" t="s">
        <v>1400</v>
      </c>
      <c r="E23" s="19" t="s">
        <v>1401</v>
      </c>
      <c r="F23" s="19" t="s">
        <v>124</v>
      </c>
      <c r="G23" s="20">
        <v>0</v>
      </c>
      <c r="H23" s="20">
        <v>20</v>
      </c>
      <c r="I23" s="20">
        <f t="shared" si="0"/>
        <v>-20</v>
      </c>
      <c r="J23" s="19" t="s">
        <v>37</v>
      </c>
      <c r="K23" s="19" t="s">
        <v>37</v>
      </c>
      <c r="L23" s="19" t="s">
        <v>1347</v>
      </c>
      <c r="M23" s="19"/>
      <c r="N23" s="19"/>
      <c r="O23" s="19"/>
      <c r="P23" s="19"/>
      <c r="Q23" s="19">
        <v>1</v>
      </c>
      <c r="R23" s="21">
        <f t="shared" si="2"/>
        <v>20</v>
      </c>
    </row>
    <row r="24" spans="1:18" customFormat="1" x14ac:dyDescent="0.25">
      <c r="A24" s="19"/>
      <c r="B24" s="19" t="s">
        <v>32</v>
      </c>
      <c r="C24" s="19" t="s">
        <v>1402</v>
      </c>
      <c r="D24" s="19" t="s">
        <v>1403</v>
      </c>
      <c r="E24" s="19" t="s">
        <v>1404</v>
      </c>
      <c r="F24" s="19" t="s">
        <v>117</v>
      </c>
      <c r="G24" s="20">
        <v>870</v>
      </c>
      <c r="H24" s="20">
        <v>25</v>
      </c>
      <c r="I24" s="20">
        <f t="shared" si="0"/>
        <v>845</v>
      </c>
      <c r="J24" s="19" t="s">
        <v>37</v>
      </c>
      <c r="K24" s="19" t="s">
        <v>37</v>
      </c>
      <c r="L24" s="19" t="s">
        <v>1347</v>
      </c>
      <c r="M24" s="22" t="s">
        <v>183</v>
      </c>
      <c r="N24" s="19"/>
      <c r="O24" s="19"/>
      <c r="P24" s="19"/>
      <c r="Q24" s="19">
        <v>1</v>
      </c>
      <c r="R24" s="21">
        <f>H24</f>
        <v>25</v>
      </c>
    </row>
    <row r="25" spans="1:18" customFormat="1" x14ac:dyDescent="0.25">
      <c r="A25" s="19"/>
      <c r="B25" s="19" t="s">
        <v>32</v>
      </c>
      <c r="C25" s="19" t="s">
        <v>1405</v>
      </c>
      <c r="D25" s="19" t="s">
        <v>1406</v>
      </c>
      <c r="E25" s="19" t="s">
        <v>1407</v>
      </c>
      <c r="F25" s="20">
        <v>2</v>
      </c>
      <c r="G25" s="20">
        <v>970</v>
      </c>
      <c r="H25" s="20">
        <v>30</v>
      </c>
      <c r="I25" s="20">
        <f t="shared" si="0"/>
        <v>940</v>
      </c>
      <c r="J25" s="19" t="s">
        <v>37</v>
      </c>
      <c r="K25" s="19" t="s">
        <v>37</v>
      </c>
      <c r="L25" s="19" t="s">
        <v>1347</v>
      </c>
      <c r="M25" s="19"/>
      <c r="N25" s="19"/>
      <c r="O25" s="19"/>
      <c r="P25" s="19"/>
      <c r="Q25" s="19">
        <v>1</v>
      </c>
    </row>
    <row r="26" spans="1:18" customFormat="1" x14ac:dyDescent="0.25">
      <c r="A26" s="19"/>
      <c r="B26" s="19" t="s">
        <v>32</v>
      </c>
      <c r="C26" s="19" t="s">
        <v>1408</v>
      </c>
      <c r="D26" s="19" t="s">
        <v>1409</v>
      </c>
      <c r="E26" s="19" t="s">
        <v>1410</v>
      </c>
      <c r="F26" s="19" t="s">
        <v>124</v>
      </c>
      <c r="G26" s="20">
        <v>960</v>
      </c>
      <c r="H26" s="20">
        <v>20</v>
      </c>
      <c r="I26" s="20">
        <f t="shared" si="0"/>
        <v>940</v>
      </c>
      <c r="J26" s="19" t="s">
        <v>37</v>
      </c>
      <c r="K26" s="19" t="s">
        <v>37</v>
      </c>
      <c r="L26" s="19" t="s">
        <v>1347</v>
      </c>
      <c r="M26" s="19"/>
      <c r="N26" s="19"/>
      <c r="O26" s="19"/>
      <c r="P26" s="19"/>
      <c r="Q26" s="19">
        <v>1</v>
      </c>
    </row>
    <row r="27" spans="1:18" customFormat="1" x14ac:dyDescent="0.25">
      <c r="A27" s="19"/>
      <c r="B27" s="19" t="s">
        <v>32</v>
      </c>
      <c r="C27" s="19" t="s">
        <v>1411</v>
      </c>
      <c r="D27" s="19" t="s">
        <v>1412</v>
      </c>
      <c r="E27" s="19" t="s">
        <v>1413</v>
      </c>
      <c r="F27" s="19" t="s">
        <v>124</v>
      </c>
      <c r="G27" s="20">
        <v>810</v>
      </c>
      <c r="H27" s="20">
        <v>20</v>
      </c>
      <c r="I27" s="20">
        <f t="shared" si="0"/>
        <v>790</v>
      </c>
      <c r="J27" s="19" t="s">
        <v>37</v>
      </c>
      <c r="K27" s="19" t="s">
        <v>37</v>
      </c>
      <c r="L27" s="19" t="s">
        <v>1347</v>
      </c>
      <c r="M27" s="19"/>
      <c r="N27" s="19"/>
      <c r="O27" s="19"/>
      <c r="P27" s="19"/>
      <c r="Q27" s="19">
        <v>1</v>
      </c>
    </row>
    <row r="28" spans="1:18" s="26" customFormat="1" x14ac:dyDescent="0.25">
      <c r="A28" s="23"/>
      <c r="B28" s="23" t="s">
        <v>32</v>
      </c>
      <c r="C28" s="23" t="s">
        <v>938</v>
      </c>
      <c r="D28" s="23" t="s">
        <v>1414</v>
      </c>
      <c r="E28" s="23" t="s">
        <v>940</v>
      </c>
      <c r="F28" s="23" t="s">
        <v>117</v>
      </c>
      <c r="G28" s="24">
        <v>715</v>
      </c>
      <c r="H28" s="24">
        <v>25</v>
      </c>
      <c r="I28" s="24">
        <f t="shared" si="0"/>
        <v>690</v>
      </c>
      <c r="J28" s="23" t="s">
        <v>37</v>
      </c>
      <c r="K28" s="23" t="s">
        <v>37</v>
      </c>
      <c r="L28" s="23" t="s">
        <v>1347</v>
      </c>
      <c r="M28" s="23" t="s">
        <v>148</v>
      </c>
      <c r="N28" s="23"/>
      <c r="O28" s="23"/>
      <c r="P28" s="23"/>
      <c r="Q28" s="23">
        <v>1</v>
      </c>
    </row>
    <row r="29" spans="1:18" customFormat="1" x14ac:dyDescent="0.25">
      <c r="A29" s="19"/>
      <c r="B29" s="19" t="s">
        <v>32</v>
      </c>
      <c r="C29" s="19" t="s">
        <v>1415</v>
      </c>
      <c r="D29" s="19" t="s">
        <v>1416</v>
      </c>
      <c r="E29" s="19" t="s">
        <v>1417</v>
      </c>
      <c r="F29" s="19" t="s">
        <v>124</v>
      </c>
      <c r="G29" s="20">
        <v>380</v>
      </c>
      <c r="H29" s="20">
        <v>20</v>
      </c>
      <c r="I29" s="20">
        <f t="shared" si="0"/>
        <v>360</v>
      </c>
      <c r="J29" s="19" t="s">
        <v>37</v>
      </c>
      <c r="K29" s="19" t="s">
        <v>37</v>
      </c>
      <c r="L29" s="19" t="s">
        <v>1347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1418</v>
      </c>
      <c r="D30" s="19" t="s">
        <v>1419</v>
      </c>
      <c r="E30" s="19" t="s">
        <v>656</v>
      </c>
      <c r="F30" s="19" t="s">
        <v>117</v>
      </c>
      <c r="G30" s="20">
        <v>965</v>
      </c>
      <c r="H30" s="20">
        <v>25</v>
      </c>
      <c r="I30" s="20">
        <f t="shared" si="0"/>
        <v>940</v>
      </c>
      <c r="J30" s="19" t="s">
        <v>37</v>
      </c>
      <c r="K30" s="19" t="s">
        <v>37</v>
      </c>
      <c r="L30" s="19" t="s">
        <v>1347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625</v>
      </c>
      <c r="D31" s="19" t="s">
        <v>1420</v>
      </c>
      <c r="E31" s="19" t="s">
        <v>1421</v>
      </c>
      <c r="F31" s="19" t="s">
        <v>124</v>
      </c>
      <c r="G31" s="20">
        <v>0</v>
      </c>
      <c r="H31" s="20">
        <v>20</v>
      </c>
      <c r="I31" s="20">
        <f t="shared" si="0"/>
        <v>-20</v>
      </c>
      <c r="J31" s="19" t="s">
        <v>37</v>
      </c>
      <c r="K31" s="19" t="s">
        <v>37</v>
      </c>
      <c r="L31" s="19" t="s">
        <v>1347</v>
      </c>
      <c r="M31" s="19"/>
      <c r="N31" s="19"/>
      <c r="O31" s="19"/>
      <c r="P31" s="19"/>
      <c r="Q31" s="19">
        <v>1</v>
      </c>
      <c r="R31" s="21">
        <f>H31</f>
        <v>20</v>
      </c>
    </row>
    <row r="32" spans="1:18" customFormat="1" x14ac:dyDescent="0.25">
      <c r="A32" s="19"/>
      <c r="B32" s="19" t="s">
        <v>32</v>
      </c>
      <c r="C32" s="19" t="s">
        <v>1422</v>
      </c>
      <c r="D32" s="19" t="s">
        <v>1423</v>
      </c>
      <c r="E32" s="19" t="s">
        <v>1424</v>
      </c>
      <c r="F32" s="19" t="s">
        <v>117</v>
      </c>
      <c r="G32" s="20">
        <v>965</v>
      </c>
      <c r="H32" s="20">
        <v>25</v>
      </c>
      <c r="I32" s="20">
        <f t="shared" si="0"/>
        <v>940</v>
      </c>
      <c r="J32" s="19" t="s">
        <v>37</v>
      </c>
      <c r="K32" s="19" t="s">
        <v>37</v>
      </c>
      <c r="L32" s="19" t="s">
        <v>1347</v>
      </c>
      <c r="M32" s="19"/>
      <c r="N32" s="19"/>
      <c r="O32" s="19"/>
      <c r="P32" s="19"/>
      <c r="Q32" s="19">
        <v>1</v>
      </c>
    </row>
    <row r="33" spans="1:18" customFormat="1" x14ac:dyDescent="0.25">
      <c r="A33" s="19"/>
      <c r="B33" s="19" t="s">
        <v>32</v>
      </c>
      <c r="C33" s="19" t="s">
        <v>1425</v>
      </c>
      <c r="D33" s="19" t="s">
        <v>1426</v>
      </c>
      <c r="E33" s="19" t="s">
        <v>1427</v>
      </c>
      <c r="F33" s="19" t="s">
        <v>124</v>
      </c>
      <c r="G33" s="20">
        <v>2150</v>
      </c>
      <c r="H33" s="20">
        <v>25</v>
      </c>
      <c r="I33" s="20">
        <f t="shared" si="0"/>
        <v>2125</v>
      </c>
      <c r="J33" s="19" t="s">
        <v>37</v>
      </c>
      <c r="K33" s="19" t="s">
        <v>37</v>
      </c>
      <c r="L33" s="19" t="s">
        <v>1347</v>
      </c>
      <c r="M33" s="22" t="s">
        <v>183</v>
      </c>
      <c r="N33" s="19"/>
      <c r="O33" s="19"/>
      <c r="P33" s="19"/>
      <c r="Q33" s="19">
        <v>1</v>
      </c>
      <c r="R33" s="21">
        <f>H33</f>
        <v>25</v>
      </c>
    </row>
    <row r="34" spans="1:18" customFormat="1" x14ac:dyDescent="0.25">
      <c r="A34" s="19"/>
      <c r="B34" s="19" t="s">
        <v>32</v>
      </c>
      <c r="C34" s="19" t="s">
        <v>1428</v>
      </c>
      <c r="D34" s="19" t="s">
        <v>1429</v>
      </c>
      <c r="E34" s="19" t="s">
        <v>1430</v>
      </c>
      <c r="F34" s="20">
        <v>7</v>
      </c>
      <c r="G34" s="20">
        <v>1750</v>
      </c>
      <c r="H34" s="20">
        <v>30</v>
      </c>
      <c r="I34" s="20">
        <f t="shared" si="0"/>
        <v>1720</v>
      </c>
      <c r="J34" s="19" t="s">
        <v>169</v>
      </c>
      <c r="K34" s="19" t="s">
        <v>37</v>
      </c>
      <c r="L34" s="19" t="s">
        <v>1347</v>
      </c>
      <c r="M34" s="19"/>
      <c r="N34" s="19"/>
      <c r="O34" s="19"/>
      <c r="P34" s="19"/>
      <c r="Q34" s="19">
        <v>1</v>
      </c>
    </row>
    <row r="35" spans="1:18" customFormat="1" x14ac:dyDescent="0.25">
      <c r="A35" s="19"/>
      <c r="B35" s="19" t="s">
        <v>32</v>
      </c>
      <c r="C35" s="19" t="s">
        <v>1431</v>
      </c>
      <c r="D35" s="19" t="s">
        <v>1432</v>
      </c>
      <c r="E35" s="19" t="s">
        <v>1433</v>
      </c>
      <c r="F35" s="19" t="s">
        <v>173</v>
      </c>
      <c r="G35" s="20">
        <v>965</v>
      </c>
      <c r="H35" s="20">
        <v>25</v>
      </c>
      <c r="I35" s="20">
        <f t="shared" si="0"/>
        <v>940</v>
      </c>
      <c r="J35" s="19" t="s">
        <v>169</v>
      </c>
      <c r="K35" s="19" t="s">
        <v>37</v>
      </c>
      <c r="L35" s="19" t="s">
        <v>1347</v>
      </c>
      <c r="M35" s="19"/>
      <c r="N35" s="19"/>
      <c r="O35" s="19"/>
      <c r="P35" s="19"/>
      <c r="Q35" s="19">
        <v>1</v>
      </c>
    </row>
    <row r="36" spans="1:18" customFormat="1" x14ac:dyDescent="0.25">
      <c r="A36" s="19"/>
      <c r="B36" s="19" t="s">
        <v>32</v>
      </c>
      <c r="C36" s="19" t="s">
        <v>1434</v>
      </c>
      <c r="D36" s="19" t="s">
        <v>1435</v>
      </c>
      <c r="E36" s="19" t="s">
        <v>1436</v>
      </c>
      <c r="F36" s="20">
        <v>10</v>
      </c>
      <c r="G36" s="20">
        <v>885</v>
      </c>
      <c r="H36" s="20">
        <v>25</v>
      </c>
      <c r="I36" s="20">
        <f t="shared" si="0"/>
        <v>860</v>
      </c>
      <c r="J36" s="19" t="s">
        <v>169</v>
      </c>
      <c r="K36" s="19" t="s">
        <v>37</v>
      </c>
      <c r="L36" s="19" t="s">
        <v>1347</v>
      </c>
      <c r="M36" s="19"/>
      <c r="N36" s="19"/>
      <c r="O36" s="19"/>
      <c r="P36" s="19"/>
      <c r="Q36" s="19">
        <v>1</v>
      </c>
    </row>
    <row r="37" spans="1:18" customFormat="1" x14ac:dyDescent="0.25">
      <c r="A37" s="19"/>
      <c r="B37" s="19" t="s">
        <v>32</v>
      </c>
      <c r="C37" s="19" t="s">
        <v>1437</v>
      </c>
      <c r="D37" s="19" t="s">
        <v>1438</v>
      </c>
      <c r="E37" s="19" t="s">
        <v>1439</v>
      </c>
      <c r="F37" s="20">
        <v>1</v>
      </c>
      <c r="G37" s="20">
        <v>895</v>
      </c>
      <c r="H37" s="20">
        <v>25</v>
      </c>
      <c r="I37" s="20">
        <f t="shared" si="0"/>
        <v>870</v>
      </c>
      <c r="J37" s="19" t="s">
        <v>169</v>
      </c>
      <c r="K37" s="19" t="s">
        <v>37</v>
      </c>
      <c r="L37" s="19" t="s">
        <v>1347</v>
      </c>
      <c r="M37" s="19"/>
      <c r="N37" s="19"/>
      <c r="O37" s="19"/>
      <c r="P37" s="19"/>
      <c r="Q37" s="19">
        <v>1</v>
      </c>
    </row>
    <row r="38" spans="1:18" s="26" customFormat="1" x14ac:dyDescent="0.25">
      <c r="A38" s="23"/>
      <c r="B38" s="23" t="s">
        <v>32</v>
      </c>
      <c r="C38" s="23" t="s">
        <v>919</v>
      </c>
      <c r="D38" s="23" t="s">
        <v>1440</v>
      </c>
      <c r="E38" s="23" t="s">
        <v>921</v>
      </c>
      <c r="F38" s="24">
        <v>3</v>
      </c>
      <c r="G38" s="24">
        <v>35</v>
      </c>
      <c r="H38" s="24">
        <v>25</v>
      </c>
      <c r="I38" s="24">
        <f t="shared" si="0"/>
        <v>10</v>
      </c>
      <c r="J38" s="23" t="s">
        <v>169</v>
      </c>
      <c r="K38" s="23" t="s">
        <v>37</v>
      </c>
      <c r="L38" s="23" t="s">
        <v>1347</v>
      </c>
      <c r="M38" s="23" t="s">
        <v>148</v>
      </c>
      <c r="N38" s="23"/>
      <c r="O38" s="23"/>
      <c r="P38" s="23"/>
      <c r="Q38" s="23">
        <v>1</v>
      </c>
    </row>
    <row r="39" spans="1:18" customFormat="1" x14ac:dyDescent="0.25">
      <c r="A39" s="19"/>
      <c r="B39" s="19" t="s">
        <v>32</v>
      </c>
      <c r="C39" s="19" t="s">
        <v>1441</v>
      </c>
      <c r="D39" s="19" t="s">
        <v>1442</v>
      </c>
      <c r="E39" s="19" t="s">
        <v>1443</v>
      </c>
      <c r="F39" s="20">
        <v>7</v>
      </c>
      <c r="G39" s="20">
        <v>970</v>
      </c>
      <c r="H39" s="20">
        <v>30</v>
      </c>
      <c r="I39" s="20">
        <f t="shared" si="0"/>
        <v>940</v>
      </c>
      <c r="J39" s="19" t="s">
        <v>169</v>
      </c>
      <c r="K39" s="19" t="s">
        <v>37</v>
      </c>
      <c r="L39" s="19" t="s">
        <v>1347</v>
      </c>
      <c r="M39" s="19"/>
      <c r="N39" s="19"/>
      <c r="O39" s="19"/>
      <c r="P39" s="19"/>
      <c r="Q39" s="19">
        <v>1</v>
      </c>
    </row>
    <row r="40" spans="1:18" customFormat="1" x14ac:dyDescent="0.25">
      <c r="A40" s="19"/>
      <c r="B40" s="19" t="s">
        <v>32</v>
      </c>
      <c r="C40" s="19" t="s">
        <v>888</v>
      </c>
      <c r="D40" s="19" t="s">
        <v>1444</v>
      </c>
      <c r="E40" s="19" t="s">
        <v>890</v>
      </c>
      <c r="F40" s="20">
        <v>7</v>
      </c>
      <c r="G40" s="20">
        <v>2270</v>
      </c>
      <c r="H40" s="20">
        <v>35</v>
      </c>
      <c r="I40" s="20">
        <f t="shared" si="0"/>
        <v>2235</v>
      </c>
      <c r="J40" s="19" t="s">
        <v>169</v>
      </c>
      <c r="K40" s="19" t="s">
        <v>37</v>
      </c>
      <c r="L40" s="19" t="s">
        <v>1347</v>
      </c>
      <c r="M40" s="22" t="s">
        <v>183</v>
      </c>
      <c r="N40" s="19"/>
      <c r="O40" s="19"/>
      <c r="P40" s="19"/>
      <c r="Q40" s="19">
        <v>1</v>
      </c>
      <c r="R40" s="21">
        <f>H40</f>
        <v>35</v>
      </c>
    </row>
    <row r="41" spans="1:18" customFormat="1" x14ac:dyDescent="0.25">
      <c r="A41" s="19"/>
      <c r="B41" s="19" t="s">
        <v>32</v>
      </c>
      <c r="C41" s="19" t="s">
        <v>1445</v>
      </c>
      <c r="D41" s="19" t="s">
        <v>1446</v>
      </c>
      <c r="E41" s="19" t="s">
        <v>1447</v>
      </c>
      <c r="F41" s="19" t="s">
        <v>884</v>
      </c>
      <c r="G41" s="20">
        <v>925</v>
      </c>
      <c r="H41" s="20">
        <v>35</v>
      </c>
      <c r="I41" s="20">
        <f t="shared" si="0"/>
        <v>890</v>
      </c>
      <c r="J41" s="19" t="s">
        <v>169</v>
      </c>
      <c r="K41" s="19" t="s">
        <v>37</v>
      </c>
      <c r="L41" s="19" t="s">
        <v>1347</v>
      </c>
      <c r="M41" s="19"/>
      <c r="N41" s="19"/>
      <c r="O41" s="19"/>
      <c r="P41" s="19"/>
      <c r="Q41" s="19">
        <v>1</v>
      </c>
    </row>
    <row r="42" spans="1:18" customFormat="1" x14ac:dyDescent="0.25">
      <c r="A42" s="19"/>
      <c r="B42" s="19" t="s">
        <v>32</v>
      </c>
      <c r="C42" s="19" t="s">
        <v>1070</v>
      </c>
      <c r="D42" s="19" t="s">
        <v>1448</v>
      </c>
      <c r="E42" s="19" t="s">
        <v>1449</v>
      </c>
      <c r="F42" s="20">
        <v>5</v>
      </c>
      <c r="G42" s="20">
        <v>965</v>
      </c>
      <c r="H42" s="20">
        <v>25</v>
      </c>
      <c r="I42" s="20">
        <f t="shared" si="0"/>
        <v>940</v>
      </c>
      <c r="J42" s="19" t="s">
        <v>169</v>
      </c>
      <c r="K42" s="19" t="s">
        <v>37</v>
      </c>
      <c r="L42" s="19" t="s">
        <v>1347</v>
      </c>
      <c r="M42" s="19"/>
      <c r="N42" s="19"/>
      <c r="O42" s="19"/>
      <c r="P42" s="19"/>
      <c r="Q42" s="19">
        <v>1</v>
      </c>
    </row>
    <row r="43" spans="1:18" customFormat="1" x14ac:dyDescent="0.25">
      <c r="A43" s="19"/>
      <c r="B43" s="19" t="s">
        <v>32</v>
      </c>
      <c r="C43" s="19" t="s">
        <v>1083</v>
      </c>
      <c r="D43" s="19" t="s">
        <v>1450</v>
      </c>
      <c r="E43" s="19" t="s">
        <v>1085</v>
      </c>
      <c r="F43" s="20">
        <v>7</v>
      </c>
      <c r="G43" s="20">
        <v>1000</v>
      </c>
      <c r="H43" s="20">
        <v>30</v>
      </c>
      <c r="I43" s="20">
        <f t="shared" si="0"/>
        <v>970</v>
      </c>
      <c r="J43" s="19" t="s">
        <v>169</v>
      </c>
      <c r="K43" s="19" t="s">
        <v>37</v>
      </c>
      <c r="L43" s="19" t="s">
        <v>1347</v>
      </c>
      <c r="M43" s="19"/>
      <c r="N43" s="19"/>
      <c r="O43" s="19"/>
      <c r="P43" s="19"/>
      <c r="Q43" s="19">
        <v>1</v>
      </c>
    </row>
    <row r="44" spans="1:18" customFormat="1" x14ac:dyDescent="0.25">
      <c r="A44" s="19"/>
      <c r="B44" s="19" t="s">
        <v>32</v>
      </c>
      <c r="C44" s="19" t="s">
        <v>1451</v>
      </c>
      <c r="D44" s="19" t="s">
        <v>1452</v>
      </c>
      <c r="E44" s="19" t="s">
        <v>1453</v>
      </c>
      <c r="F44" s="20">
        <v>5</v>
      </c>
      <c r="G44" s="20">
        <v>0</v>
      </c>
      <c r="H44" s="20">
        <v>25</v>
      </c>
      <c r="I44" s="20">
        <f t="shared" si="0"/>
        <v>-25</v>
      </c>
      <c r="J44" s="19" t="s">
        <v>169</v>
      </c>
      <c r="K44" s="19" t="s">
        <v>37</v>
      </c>
      <c r="L44" s="19" t="s">
        <v>1347</v>
      </c>
      <c r="M44" s="19"/>
      <c r="N44" s="19"/>
      <c r="O44" s="19"/>
      <c r="P44" s="19"/>
      <c r="Q44" s="19">
        <v>1</v>
      </c>
      <c r="R44" s="21">
        <f>H44</f>
        <v>25</v>
      </c>
    </row>
    <row r="45" spans="1:18" customFormat="1" x14ac:dyDescent="0.25">
      <c r="A45" s="19"/>
      <c r="B45" s="19" t="s">
        <v>32</v>
      </c>
      <c r="C45" s="19" t="s">
        <v>170</v>
      </c>
      <c r="D45" s="19" t="s">
        <v>1454</v>
      </c>
      <c r="E45" s="19" t="s">
        <v>172</v>
      </c>
      <c r="F45" s="19" t="s">
        <v>173</v>
      </c>
      <c r="G45" s="20">
        <v>965</v>
      </c>
      <c r="H45" s="20">
        <v>25</v>
      </c>
      <c r="I45" s="20">
        <f t="shared" si="0"/>
        <v>940</v>
      </c>
      <c r="J45" s="19" t="s">
        <v>169</v>
      </c>
      <c r="K45" s="19" t="s">
        <v>37</v>
      </c>
      <c r="L45" s="19" t="s">
        <v>1347</v>
      </c>
      <c r="M45" s="19"/>
      <c r="N45" s="19"/>
      <c r="O45" s="19"/>
      <c r="P45" s="19"/>
      <c r="Q45" s="19">
        <v>1</v>
      </c>
    </row>
    <row r="46" spans="1:18" customFormat="1" x14ac:dyDescent="0.25">
      <c r="A46" s="19"/>
      <c r="B46" s="19" t="s">
        <v>32</v>
      </c>
      <c r="C46" s="19" t="s">
        <v>1455</v>
      </c>
      <c r="D46" s="19" t="s">
        <v>1456</v>
      </c>
      <c r="E46" s="19" t="s">
        <v>1457</v>
      </c>
      <c r="F46" s="20">
        <v>5</v>
      </c>
      <c r="G46" s="20">
        <v>805</v>
      </c>
      <c r="H46" s="20">
        <v>25</v>
      </c>
      <c r="I46" s="20">
        <f t="shared" si="0"/>
        <v>780</v>
      </c>
      <c r="J46" s="19" t="s">
        <v>169</v>
      </c>
      <c r="K46" s="19" t="s">
        <v>37</v>
      </c>
      <c r="L46" s="19" t="s">
        <v>1347</v>
      </c>
      <c r="M46" s="19"/>
      <c r="N46" s="19"/>
      <c r="O46" s="19"/>
      <c r="P46" s="19"/>
      <c r="Q46" s="19">
        <v>1</v>
      </c>
    </row>
    <row r="47" spans="1:18" customFormat="1" x14ac:dyDescent="0.25">
      <c r="A47" s="19"/>
      <c r="B47" s="19" t="s">
        <v>32</v>
      </c>
      <c r="C47" s="19" t="s">
        <v>1458</v>
      </c>
      <c r="D47" s="19" t="s">
        <v>1459</v>
      </c>
      <c r="E47" s="19" t="s">
        <v>1460</v>
      </c>
      <c r="F47" s="20">
        <v>1</v>
      </c>
      <c r="G47" s="20">
        <v>0</v>
      </c>
      <c r="H47" s="20">
        <v>25</v>
      </c>
      <c r="I47" s="20">
        <f t="shared" si="0"/>
        <v>-25</v>
      </c>
      <c r="J47" s="19" t="s">
        <v>169</v>
      </c>
      <c r="K47" s="19" t="s">
        <v>37</v>
      </c>
      <c r="L47" s="19" t="s">
        <v>1347</v>
      </c>
      <c r="M47" s="19"/>
      <c r="N47" s="19"/>
      <c r="O47" s="19"/>
      <c r="P47" s="19"/>
      <c r="Q47" s="19">
        <v>1</v>
      </c>
      <c r="R47" s="21">
        <f>H47</f>
        <v>25</v>
      </c>
    </row>
    <row r="48" spans="1:18" customFormat="1" x14ac:dyDescent="0.25">
      <c r="A48" s="19"/>
      <c r="B48" s="19" t="s">
        <v>32</v>
      </c>
      <c r="C48" s="19" t="s">
        <v>1461</v>
      </c>
      <c r="D48" s="19" t="s">
        <v>1462</v>
      </c>
      <c r="E48" s="19" t="s">
        <v>1463</v>
      </c>
      <c r="F48" s="20">
        <v>4</v>
      </c>
      <c r="G48" s="20">
        <v>815</v>
      </c>
      <c r="H48" s="20">
        <v>25</v>
      </c>
      <c r="I48" s="20">
        <f t="shared" si="0"/>
        <v>790</v>
      </c>
      <c r="J48" s="19" t="s">
        <v>169</v>
      </c>
      <c r="K48" s="19" t="s">
        <v>37</v>
      </c>
      <c r="L48" s="19" t="s">
        <v>1347</v>
      </c>
      <c r="M48" s="19"/>
      <c r="N48" s="19"/>
      <c r="O48" s="19"/>
      <c r="P48" s="19"/>
      <c r="Q48" s="19">
        <v>1</v>
      </c>
    </row>
    <row r="49" spans="1:18" customFormat="1" x14ac:dyDescent="0.25">
      <c r="A49" s="19" t="s">
        <v>107</v>
      </c>
      <c r="B49" s="19" t="s">
        <v>32</v>
      </c>
      <c r="C49" s="19" t="s">
        <v>1464</v>
      </c>
      <c r="D49" s="19"/>
      <c r="E49" s="19" t="s">
        <v>1465</v>
      </c>
      <c r="F49" s="20">
        <v>5</v>
      </c>
      <c r="G49" s="20">
        <v>0</v>
      </c>
      <c r="H49" s="20">
        <v>40</v>
      </c>
      <c r="I49" s="20">
        <f t="shared" si="0"/>
        <v>-40</v>
      </c>
      <c r="J49" s="19" t="s">
        <v>169</v>
      </c>
      <c r="K49" s="19" t="s">
        <v>37</v>
      </c>
      <c r="L49" s="19" t="s">
        <v>1347</v>
      </c>
      <c r="M49" s="19"/>
      <c r="N49" s="19"/>
      <c r="O49" s="19"/>
      <c r="P49" s="19"/>
      <c r="Q49" s="19">
        <v>1</v>
      </c>
      <c r="R49" s="21">
        <f>H49</f>
        <v>40</v>
      </c>
    </row>
    <row r="50" spans="1:18" customFormat="1" x14ac:dyDescent="0.25">
      <c r="A50" s="19" t="s">
        <v>107</v>
      </c>
      <c r="B50" s="19" t="s">
        <v>32</v>
      </c>
      <c r="C50" s="19" t="s">
        <v>1466</v>
      </c>
      <c r="D50" s="19"/>
      <c r="E50" s="19" t="s">
        <v>1467</v>
      </c>
      <c r="F50" s="19" t="s">
        <v>173</v>
      </c>
      <c r="G50" s="20">
        <v>30</v>
      </c>
      <c r="H50" s="20">
        <v>30</v>
      </c>
      <c r="I50" s="20">
        <f t="shared" si="0"/>
        <v>0</v>
      </c>
      <c r="J50" s="19" t="s">
        <v>169</v>
      </c>
      <c r="K50" s="19" t="s">
        <v>37</v>
      </c>
      <c r="L50" s="19" t="s">
        <v>1347</v>
      </c>
      <c r="M50" s="19"/>
      <c r="N50" s="19"/>
      <c r="O50" s="19"/>
      <c r="P50" s="19"/>
      <c r="Q50" s="19">
        <v>1</v>
      </c>
    </row>
    <row r="52" spans="1:18" x14ac:dyDescent="0.25">
      <c r="G52" s="1">
        <f t="shared" ref="G52:R52" si="3">SUBTOTAL(9,G3:G50)</f>
        <v>38680</v>
      </c>
      <c r="H52" s="1">
        <f t="shared" si="3"/>
        <v>1320</v>
      </c>
      <c r="I52" s="1">
        <f t="shared" si="3"/>
        <v>37360</v>
      </c>
      <c r="J52" s="1">
        <f t="shared" si="3"/>
        <v>0</v>
      </c>
      <c r="K52" s="1">
        <f t="shared" si="3"/>
        <v>0</v>
      </c>
      <c r="L52" s="1">
        <f t="shared" si="3"/>
        <v>0</v>
      </c>
      <c r="M52" s="1">
        <f t="shared" si="3"/>
        <v>0</v>
      </c>
      <c r="N52" s="1">
        <f t="shared" si="3"/>
        <v>0</v>
      </c>
      <c r="O52" s="1">
        <f t="shared" si="3"/>
        <v>0</v>
      </c>
      <c r="P52" s="1">
        <f t="shared" si="3"/>
        <v>0</v>
      </c>
      <c r="Q52" s="1">
        <f t="shared" si="3"/>
        <v>48</v>
      </c>
      <c r="R52" s="1">
        <f t="shared" si="3"/>
        <v>440</v>
      </c>
    </row>
    <row r="53" spans="1:18" x14ac:dyDescent="0.25">
      <c r="I53" s="1">
        <v>-1460</v>
      </c>
      <c r="J53" s="1" t="s">
        <v>1468</v>
      </c>
    </row>
    <row r="56" spans="1:18" ht="20.25" customHeight="1" x14ac:dyDescent="0.3">
      <c r="H56" s="4" t="s">
        <v>1247</v>
      </c>
      <c r="I56" s="5" t="s">
        <v>15</v>
      </c>
      <c r="J56" s="6" t="s">
        <v>16</v>
      </c>
    </row>
    <row r="57" spans="1:18" ht="15.75" customHeight="1" x14ac:dyDescent="0.25">
      <c r="H57" s="7" t="s">
        <v>17</v>
      </c>
      <c r="I57" s="8">
        <f>SUM(I51:I55)</f>
        <v>35900</v>
      </c>
      <c r="J57" s="8">
        <f>Q52</f>
        <v>48</v>
      </c>
    </row>
    <row r="58" spans="1:18" x14ac:dyDescent="0.25">
      <c r="H58" s="9" t="s">
        <v>18</v>
      </c>
      <c r="I58" s="10">
        <f>R52</f>
        <v>440</v>
      </c>
      <c r="J58" s="11"/>
    </row>
    <row r="59" spans="1:18" x14ac:dyDescent="0.25">
      <c r="H59" s="9" t="s">
        <v>19</v>
      </c>
      <c r="I59" s="10">
        <f>S51</f>
        <v>0</v>
      </c>
      <c r="J59" s="11"/>
    </row>
    <row r="60" spans="1:18" x14ac:dyDescent="0.25">
      <c r="H60" s="9" t="s">
        <v>20</v>
      </c>
      <c r="I60" s="10">
        <f>T51</f>
        <v>0</v>
      </c>
      <c r="J60" s="11"/>
    </row>
    <row r="61" spans="1:18" x14ac:dyDescent="0.25">
      <c r="H61" s="9" t="s">
        <v>21</v>
      </c>
      <c r="I61" s="10">
        <f>U51</f>
        <v>0</v>
      </c>
      <c r="J61" s="11"/>
    </row>
    <row r="62" spans="1:18" ht="15.75" customHeight="1" x14ac:dyDescent="0.25">
      <c r="H62" s="12" t="s">
        <v>22</v>
      </c>
      <c r="I62" s="13"/>
      <c r="J62" s="13"/>
    </row>
    <row r="63" spans="1:18" ht="15.75" customHeight="1" x14ac:dyDescent="0.25">
      <c r="H63" s="14" t="s">
        <v>23</v>
      </c>
      <c r="I63" s="13"/>
      <c r="J63" s="13"/>
    </row>
    <row r="64" spans="1:18" ht="21" customHeight="1" x14ac:dyDescent="0.35">
      <c r="H64" s="15" t="s">
        <v>24</v>
      </c>
      <c r="I64" s="16">
        <f>SUM(I57:I63)</f>
        <v>36340</v>
      </c>
      <c r="J64" s="16">
        <f>SUM(J57:J61)</f>
        <v>48</v>
      </c>
    </row>
  </sheetData>
  <autoFilter ref="A2:P50" xr:uid="{00000000-0009-0000-0000-000006000000}">
    <sortState xmlns:xlrd2="http://schemas.microsoft.com/office/spreadsheetml/2017/richdata2" ref="A3:P50">
      <sortCondition ref="J2:J50"/>
    </sortState>
  </autoFilter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AAAD-EB64-4887-89C0-C62B848C9DFF}">
  <dimension ref="A1:R49"/>
  <sheetViews>
    <sheetView zoomScale="82" zoomScaleNormal="80" workbookViewId="0">
      <selection activeCell="J30" sqref="J30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345</v>
      </c>
      <c r="C1" s="1" t="s">
        <v>1341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1471</v>
      </c>
      <c r="D3" s="19" t="s">
        <v>1472</v>
      </c>
      <c r="E3" s="19" t="s">
        <v>1473</v>
      </c>
      <c r="F3" s="20">
        <v>11</v>
      </c>
      <c r="G3" s="20">
        <v>0</v>
      </c>
      <c r="H3" s="20">
        <v>25</v>
      </c>
      <c r="I3" s="20">
        <f t="shared" ref="I3:I35" si="0">G3-H3</f>
        <v>-25</v>
      </c>
      <c r="J3" s="19" t="s">
        <v>1474</v>
      </c>
      <c r="K3" s="19" t="s">
        <v>37</v>
      </c>
      <c r="L3" s="19" t="s">
        <v>1475</v>
      </c>
      <c r="M3" s="19"/>
      <c r="N3" s="19"/>
      <c r="O3" s="19"/>
      <c r="P3" s="19"/>
      <c r="Q3" s="19">
        <v>1</v>
      </c>
      <c r="R3" s="21">
        <f>H3</f>
        <v>25</v>
      </c>
    </row>
    <row r="4" spans="1:18" s="26" customFormat="1" x14ac:dyDescent="0.25">
      <c r="A4" s="23"/>
      <c r="B4" s="23" t="s">
        <v>32</v>
      </c>
      <c r="C4" s="23" t="s">
        <v>139</v>
      </c>
      <c r="D4" s="23" t="s">
        <v>1476</v>
      </c>
      <c r="E4" s="23" t="s">
        <v>1477</v>
      </c>
      <c r="F4" s="24">
        <v>9</v>
      </c>
      <c r="G4" s="24">
        <v>0</v>
      </c>
      <c r="H4" s="24">
        <v>30</v>
      </c>
      <c r="I4" s="24">
        <f t="shared" si="0"/>
        <v>-30</v>
      </c>
      <c r="J4" s="23" t="s">
        <v>1474</v>
      </c>
      <c r="K4" s="23" t="s">
        <v>37</v>
      </c>
      <c r="L4" s="23" t="s">
        <v>1475</v>
      </c>
      <c r="M4" s="23" t="s">
        <v>148</v>
      </c>
      <c r="N4" s="23"/>
      <c r="O4" s="23"/>
      <c r="P4" s="23"/>
      <c r="Q4" s="23">
        <v>1</v>
      </c>
      <c r="R4" s="25">
        <f>H4</f>
        <v>30</v>
      </c>
    </row>
    <row r="5" spans="1:18" customFormat="1" x14ac:dyDescent="0.25">
      <c r="A5" s="19"/>
      <c r="B5" s="19" t="s">
        <v>32</v>
      </c>
      <c r="C5" s="19" t="s">
        <v>579</v>
      </c>
      <c r="D5" s="19" t="s">
        <v>1478</v>
      </c>
      <c r="E5" s="19" t="s">
        <v>581</v>
      </c>
      <c r="F5" s="20">
        <v>6</v>
      </c>
      <c r="G5" s="20">
        <v>715</v>
      </c>
      <c r="H5" s="20">
        <v>25</v>
      </c>
      <c r="I5" s="20">
        <f t="shared" si="0"/>
        <v>690</v>
      </c>
      <c r="J5" s="19" t="s">
        <v>1474</v>
      </c>
      <c r="K5" s="19" t="s">
        <v>37</v>
      </c>
      <c r="L5" s="19" t="s">
        <v>1475</v>
      </c>
      <c r="M5" s="19"/>
      <c r="N5" s="19"/>
      <c r="O5" s="19"/>
      <c r="P5" s="19"/>
      <c r="Q5" s="19">
        <v>1</v>
      </c>
    </row>
    <row r="6" spans="1:18" s="26" customFormat="1" x14ac:dyDescent="0.25">
      <c r="A6" s="23"/>
      <c r="B6" s="23" t="s">
        <v>32</v>
      </c>
      <c r="C6" s="23" t="s">
        <v>1357</v>
      </c>
      <c r="D6" s="23" t="s">
        <v>1479</v>
      </c>
      <c r="E6" s="23" t="s">
        <v>1359</v>
      </c>
      <c r="F6" s="23" t="s">
        <v>45</v>
      </c>
      <c r="G6" s="24">
        <v>0</v>
      </c>
      <c r="H6" s="24">
        <v>30</v>
      </c>
      <c r="I6" s="24">
        <f t="shared" si="0"/>
        <v>-30</v>
      </c>
      <c r="J6" s="23" t="s">
        <v>1474</v>
      </c>
      <c r="K6" s="23" t="s">
        <v>37</v>
      </c>
      <c r="L6" s="23" t="s">
        <v>1475</v>
      </c>
      <c r="M6" s="23" t="s">
        <v>148</v>
      </c>
      <c r="N6" s="23"/>
      <c r="O6" s="23"/>
      <c r="P6" s="23"/>
      <c r="Q6" s="23">
        <v>1</v>
      </c>
      <c r="R6" s="25">
        <f>H6</f>
        <v>30</v>
      </c>
    </row>
    <row r="7" spans="1:18" customFormat="1" x14ac:dyDescent="0.25">
      <c r="A7" s="19"/>
      <c r="B7" s="19" t="s">
        <v>32</v>
      </c>
      <c r="C7" s="19" t="s">
        <v>1480</v>
      </c>
      <c r="D7" s="19" t="s">
        <v>1481</v>
      </c>
      <c r="E7" s="19" t="s">
        <v>1482</v>
      </c>
      <c r="F7" s="19" t="s">
        <v>45</v>
      </c>
      <c r="G7" s="20">
        <v>0</v>
      </c>
      <c r="H7" s="20">
        <v>30</v>
      </c>
      <c r="I7" s="20">
        <f t="shared" si="0"/>
        <v>-30</v>
      </c>
      <c r="J7" s="19" t="s">
        <v>1474</v>
      </c>
      <c r="K7" s="19" t="s">
        <v>37</v>
      </c>
      <c r="L7" s="19" t="s">
        <v>1475</v>
      </c>
      <c r="M7" s="19"/>
      <c r="N7" s="19"/>
      <c r="O7" s="19"/>
      <c r="P7" s="19"/>
      <c r="Q7" s="19">
        <v>1</v>
      </c>
      <c r="R7" s="21">
        <f>H7</f>
        <v>30</v>
      </c>
    </row>
    <row r="8" spans="1:18" customFormat="1" x14ac:dyDescent="0.25">
      <c r="A8" s="19"/>
      <c r="B8" s="19" t="s">
        <v>32</v>
      </c>
      <c r="C8" s="19" t="s">
        <v>1483</v>
      </c>
      <c r="D8" s="19" t="s">
        <v>1484</v>
      </c>
      <c r="E8" s="19" t="s">
        <v>1485</v>
      </c>
      <c r="F8" s="19" t="s">
        <v>45</v>
      </c>
      <c r="G8" s="20">
        <v>0</v>
      </c>
      <c r="H8" s="20">
        <v>30</v>
      </c>
      <c r="I8" s="20">
        <f t="shared" si="0"/>
        <v>-30</v>
      </c>
      <c r="J8" s="19" t="s">
        <v>1474</v>
      </c>
      <c r="K8" s="19" t="s">
        <v>37</v>
      </c>
      <c r="L8" s="19" t="s">
        <v>1475</v>
      </c>
      <c r="M8" s="19"/>
      <c r="N8" s="19"/>
      <c r="O8" s="19"/>
      <c r="P8" s="19"/>
      <c r="Q8" s="19">
        <v>1</v>
      </c>
      <c r="R8" s="21">
        <f>H8</f>
        <v>30</v>
      </c>
    </row>
    <row r="9" spans="1:18" customFormat="1" x14ac:dyDescent="0.25">
      <c r="A9" s="19"/>
      <c r="B9" s="19" t="s">
        <v>32</v>
      </c>
      <c r="C9" s="19" t="s">
        <v>1486</v>
      </c>
      <c r="D9" s="19" t="s">
        <v>1487</v>
      </c>
      <c r="E9" s="19" t="s">
        <v>1488</v>
      </c>
      <c r="F9" s="20">
        <v>9</v>
      </c>
      <c r="G9" s="20">
        <v>3210</v>
      </c>
      <c r="H9" s="20">
        <v>40</v>
      </c>
      <c r="I9" s="20">
        <f t="shared" si="0"/>
        <v>3170</v>
      </c>
      <c r="J9" s="19" t="s">
        <v>1474</v>
      </c>
      <c r="K9" s="19" t="s">
        <v>37</v>
      </c>
      <c r="L9" s="19" t="s">
        <v>1475</v>
      </c>
      <c r="M9" s="22" t="s">
        <v>183</v>
      </c>
      <c r="N9" s="19"/>
      <c r="O9" s="19"/>
      <c r="P9" s="19"/>
      <c r="Q9" s="19">
        <v>1</v>
      </c>
      <c r="R9" s="21">
        <f>H9</f>
        <v>40</v>
      </c>
    </row>
    <row r="10" spans="1:18" customFormat="1" x14ac:dyDescent="0.25">
      <c r="A10" s="19"/>
      <c r="B10" s="19" t="s">
        <v>32</v>
      </c>
      <c r="C10" s="19" t="s">
        <v>1489</v>
      </c>
      <c r="D10" s="19" t="s">
        <v>1490</v>
      </c>
      <c r="E10" s="19" t="s">
        <v>1491</v>
      </c>
      <c r="F10" s="19" t="s">
        <v>45</v>
      </c>
      <c r="G10" s="20">
        <v>970</v>
      </c>
      <c r="H10" s="20">
        <v>30</v>
      </c>
      <c r="I10" s="20">
        <f t="shared" si="0"/>
        <v>940</v>
      </c>
      <c r="J10" s="19" t="s">
        <v>1474</v>
      </c>
      <c r="K10" s="19" t="s">
        <v>37</v>
      </c>
      <c r="L10" s="19" t="s">
        <v>1475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1492</v>
      </c>
      <c r="D11" s="19" t="s">
        <v>1493</v>
      </c>
      <c r="E11" s="19" t="s">
        <v>1494</v>
      </c>
      <c r="F11" s="20">
        <v>8</v>
      </c>
      <c r="G11" s="20">
        <v>900</v>
      </c>
      <c r="H11" s="20">
        <v>30</v>
      </c>
      <c r="I11" s="20">
        <f t="shared" si="0"/>
        <v>870</v>
      </c>
      <c r="J11" s="19" t="s">
        <v>1474</v>
      </c>
      <c r="K11" s="19" t="s">
        <v>37</v>
      </c>
      <c r="L11" s="19" t="s">
        <v>1475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1495</v>
      </c>
      <c r="D12" s="19" t="s">
        <v>1496</v>
      </c>
      <c r="E12" s="19" t="s">
        <v>1497</v>
      </c>
      <c r="F12" s="19" t="s">
        <v>81</v>
      </c>
      <c r="G12" s="20">
        <v>0</v>
      </c>
      <c r="H12" s="20">
        <v>35</v>
      </c>
      <c r="I12" s="20">
        <f t="shared" si="0"/>
        <v>-35</v>
      </c>
      <c r="J12" s="19" t="s">
        <v>1474</v>
      </c>
      <c r="K12" s="19" t="s">
        <v>37</v>
      </c>
      <c r="L12" s="19" t="s">
        <v>1475</v>
      </c>
      <c r="M12" s="19"/>
      <c r="N12" s="19"/>
      <c r="O12" s="19"/>
      <c r="P12" s="19"/>
      <c r="Q12" s="19">
        <v>1</v>
      </c>
      <c r="R12" s="21">
        <f t="shared" ref="R12:R13" si="1">H12</f>
        <v>35</v>
      </c>
    </row>
    <row r="13" spans="1:18" customFormat="1" x14ac:dyDescent="0.25">
      <c r="A13" s="19" t="s">
        <v>107</v>
      </c>
      <c r="B13" s="19" t="s">
        <v>32</v>
      </c>
      <c r="C13" s="19" t="s">
        <v>1498</v>
      </c>
      <c r="D13" s="19"/>
      <c r="E13" s="19" t="s">
        <v>491</v>
      </c>
      <c r="F13" s="19" t="s">
        <v>173</v>
      </c>
      <c r="G13" s="20">
        <v>0</v>
      </c>
      <c r="H13" s="20">
        <v>30</v>
      </c>
      <c r="I13" s="20">
        <f t="shared" si="0"/>
        <v>-30</v>
      </c>
      <c r="J13" s="19" t="s">
        <v>37</v>
      </c>
      <c r="K13" s="19" t="s">
        <v>37</v>
      </c>
      <c r="L13" s="19" t="s">
        <v>1475</v>
      </c>
      <c r="M13" s="19"/>
      <c r="N13" s="19"/>
      <c r="O13" s="19"/>
      <c r="P13" s="19"/>
      <c r="Q13" s="19">
        <v>1</v>
      </c>
      <c r="R13" s="21">
        <f t="shared" si="1"/>
        <v>30</v>
      </c>
    </row>
    <row r="14" spans="1:18" customFormat="1" x14ac:dyDescent="0.25">
      <c r="A14" s="19"/>
      <c r="B14" s="19" t="s">
        <v>32</v>
      </c>
      <c r="C14" s="19" t="s">
        <v>1499</v>
      </c>
      <c r="D14" s="19" t="s">
        <v>1500</v>
      </c>
      <c r="E14" s="19" t="s">
        <v>1501</v>
      </c>
      <c r="F14" s="19" t="s">
        <v>138</v>
      </c>
      <c r="G14" s="20">
        <v>980</v>
      </c>
      <c r="H14" s="20">
        <v>30</v>
      </c>
      <c r="I14" s="20">
        <f t="shared" si="0"/>
        <v>950</v>
      </c>
      <c r="J14" s="19" t="s">
        <v>37</v>
      </c>
      <c r="K14" s="19" t="s">
        <v>37</v>
      </c>
      <c r="L14" s="19" t="s">
        <v>1475</v>
      </c>
      <c r="M14" s="19"/>
      <c r="N14" s="19"/>
      <c r="O14" s="19"/>
      <c r="P14" s="19"/>
      <c r="Q14" s="19">
        <v>1</v>
      </c>
    </row>
    <row r="15" spans="1:18" customFormat="1" x14ac:dyDescent="0.25">
      <c r="A15" s="19"/>
      <c r="B15" s="19" t="s">
        <v>32</v>
      </c>
      <c r="C15" s="19" t="s">
        <v>784</v>
      </c>
      <c r="D15" s="19" t="s">
        <v>1502</v>
      </c>
      <c r="E15" s="19" t="s">
        <v>786</v>
      </c>
      <c r="F15" s="20">
        <v>2</v>
      </c>
      <c r="G15" s="20">
        <v>520</v>
      </c>
      <c r="H15" s="20">
        <v>30</v>
      </c>
      <c r="I15" s="20">
        <f t="shared" si="0"/>
        <v>490</v>
      </c>
      <c r="J15" s="19" t="s">
        <v>37</v>
      </c>
      <c r="K15" s="19" t="s">
        <v>37</v>
      </c>
      <c r="L15" s="19" t="s">
        <v>1475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1503</v>
      </c>
      <c r="D16" s="19" t="s">
        <v>1504</v>
      </c>
      <c r="E16" s="19" t="s">
        <v>1505</v>
      </c>
      <c r="F16" s="20">
        <v>2</v>
      </c>
      <c r="G16" s="20">
        <v>2530</v>
      </c>
      <c r="H16" s="20">
        <v>35</v>
      </c>
      <c r="I16" s="20">
        <f t="shared" si="0"/>
        <v>2495</v>
      </c>
      <c r="J16" s="19" t="s">
        <v>37</v>
      </c>
      <c r="K16" s="19" t="s">
        <v>37</v>
      </c>
      <c r="L16" s="19" t="s">
        <v>1475</v>
      </c>
      <c r="M16" s="22" t="s">
        <v>183</v>
      </c>
      <c r="N16" s="19"/>
      <c r="O16" s="19"/>
      <c r="P16" s="19"/>
      <c r="Q16" s="19">
        <v>1</v>
      </c>
      <c r="R16" s="21">
        <f>H16</f>
        <v>35</v>
      </c>
    </row>
    <row r="17" spans="1:18" customFormat="1" x14ac:dyDescent="0.25">
      <c r="A17" s="19"/>
      <c r="B17" s="19" t="s">
        <v>32</v>
      </c>
      <c r="C17" s="19" t="s">
        <v>1506</v>
      </c>
      <c r="D17" s="19" t="s">
        <v>1507</v>
      </c>
      <c r="E17" s="19" t="s">
        <v>1508</v>
      </c>
      <c r="F17" s="20">
        <v>2</v>
      </c>
      <c r="G17" s="20">
        <v>850</v>
      </c>
      <c r="H17" s="20">
        <v>30</v>
      </c>
      <c r="I17" s="20">
        <f t="shared" si="0"/>
        <v>820</v>
      </c>
      <c r="J17" s="19" t="s">
        <v>37</v>
      </c>
      <c r="K17" s="19" t="s">
        <v>37</v>
      </c>
      <c r="L17" s="19" t="s">
        <v>1475</v>
      </c>
      <c r="M17" s="19"/>
      <c r="N17" s="19"/>
      <c r="O17" s="19"/>
      <c r="P17" s="19"/>
      <c r="Q17" s="19">
        <v>1</v>
      </c>
    </row>
    <row r="18" spans="1:18" customFormat="1" x14ac:dyDescent="0.25">
      <c r="A18" s="19"/>
      <c r="B18" s="19" t="s">
        <v>32</v>
      </c>
      <c r="C18" s="19" t="s">
        <v>1509</v>
      </c>
      <c r="D18" s="19" t="s">
        <v>1510</v>
      </c>
      <c r="E18" s="19" t="s">
        <v>1511</v>
      </c>
      <c r="F18" s="20">
        <v>12</v>
      </c>
      <c r="G18" s="20">
        <v>0</v>
      </c>
      <c r="H18" s="20">
        <v>30</v>
      </c>
      <c r="I18" s="20">
        <f t="shared" si="0"/>
        <v>-30</v>
      </c>
      <c r="J18" s="19" t="s">
        <v>37</v>
      </c>
      <c r="K18" s="19" t="s">
        <v>37</v>
      </c>
      <c r="L18" s="19" t="s">
        <v>1475</v>
      </c>
      <c r="M18" s="19"/>
      <c r="N18" s="19"/>
      <c r="O18" s="19"/>
      <c r="P18" s="19"/>
      <c r="Q18" s="19">
        <v>1</v>
      </c>
      <c r="R18" s="21">
        <f>H18</f>
        <v>30</v>
      </c>
    </row>
    <row r="19" spans="1:18" customFormat="1" x14ac:dyDescent="0.25">
      <c r="A19" s="19"/>
      <c r="B19" s="19" t="s">
        <v>32</v>
      </c>
      <c r="C19" s="19" t="s">
        <v>1512</v>
      </c>
      <c r="D19" s="19" t="s">
        <v>1513</v>
      </c>
      <c r="E19" s="19" t="s">
        <v>1514</v>
      </c>
      <c r="F19" s="19" t="s">
        <v>117</v>
      </c>
      <c r="G19" s="20">
        <v>965</v>
      </c>
      <c r="H19" s="20">
        <v>25</v>
      </c>
      <c r="I19" s="20">
        <f t="shared" si="0"/>
        <v>940</v>
      </c>
      <c r="J19" s="19" t="s">
        <v>37</v>
      </c>
      <c r="K19" s="19" t="s">
        <v>37</v>
      </c>
      <c r="L19" s="19" t="s">
        <v>1475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19" t="s">
        <v>1515</v>
      </c>
      <c r="D20" s="19" t="s">
        <v>1516</v>
      </c>
      <c r="E20" s="19" t="s">
        <v>1517</v>
      </c>
      <c r="F20" s="20">
        <v>12</v>
      </c>
      <c r="G20" s="20">
        <v>30</v>
      </c>
      <c r="H20" s="20">
        <v>30</v>
      </c>
      <c r="I20" s="20">
        <f t="shared" si="0"/>
        <v>0</v>
      </c>
      <c r="J20" s="19" t="s">
        <v>37</v>
      </c>
      <c r="K20" s="19" t="s">
        <v>37</v>
      </c>
      <c r="L20" s="19" t="s">
        <v>1475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1518</v>
      </c>
      <c r="D21" s="19" t="s">
        <v>1519</v>
      </c>
      <c r="E21" s="19" t="s">
        <v>727</v>
      </c>
      <c r="F21" s="20">
        <v>12</v>
      </c>
      <c r="G21" s="20">
        <v>0</v>
      </c>
      <c r="H21" s="20">
        <v>30</v>
      </c>
      <c r="I21" s="20">
        <f t="shared" si="0"/>
        <v>-30</v>
      </c>
      <c r="J21" s="19" t="s">
        <v>37</v>
      </c>
      <c r="K21" s="19" t="s">
        <v>37</v>
      </c>
      <c r="L21" s="19" t="s">
        <v>1475</v>
      </c>
      <c r="M21" s="19"/>
      <c r="N21" s="19"/>
      <c r="O21" s="19"/>
      <c r="P21" s="19"/>
      <c r="Q21" s="19">
        <v>1</v>
      </c>
      <c r="R21" s="21">
        <f>H21</f>
        <v>30</v>
      </c>
    </row>
    <row r="22" spans="1:18" customFormat="1" x14ac:dyDescent="0.25">
      <c r="A22" s="19"/>
      <c r="B22" s="19" t="s">
        <v>32</v>
      </c>
      <c r="C22" s="19" t="s">
        <v>1520</v>
      </c>
      <c r="D22" s="19" t="s">
        <v>1521</v>
      </c>
      <c r="E22" s="19" t="s">
        <v>1522</v>
      </c>
      <c r="F22" s="19" t="s">
        <v>173</v>
      </c>
      <c r="G22" s="20">
        <v>1105</v>
      </c>
      <c r="H22" s="20">
        <v>25</v>
      </c>
      <c r="I22" s="20">
        <f t="shared" si="0"/>
        <v>1080</v>
      </c>
      <c r="J22" s="19" t="s">
        <v>37</v>
      </c>
      <c r="K22" s="19" t="s">
        <v>37</v>
      </c>
      <c r="L22" s="19" t="s">
        <v>1475</v>
      </c>
      <c r="M22" s="19"/>
      <c r="N22" s="19"/>
      <c r="O22" s="19"/>
      <c r="P22" s="19"/>
      <c r="Q22" s="19">
        <v>1</v>
      </c>
    </row>
    <row r="23" spans="1:18" customFormat="1" x14ac:dyDescent="0.25">
      <c r="A23" s="19"/>
      <c r="B23" s="19" t="s">
        <v>32</v>
      </c>
      <c r="C23" s="19" t="s">
        <v>1523</v>
      </c>
      <c r="D23" s="19" t="s">
        <v>1524</v>
      </c>
      <c r="E23" s="19" t="s">
        <v>1525</v>
      </c>
      <c r="F23" s="19" t="s">
        <v>124</v>
      </c>
      <c r="G23" s="20">
        <v>0</v>
      </c>
      <c r="H23" s="20">
        <v>20</v>
      </c>
      <c r="I23" s="20">
        <f t="shared" si="0"/>
        <v>-20</v>
      </c>
      <c r="J23" s="19" t="s">
        <v>37</v>
      </c>
      <c r="K23" s="19" t="s">
        <v>37</v>
      </c>
      <c r="L23" s="19" t="s">
        <v>1475</v>
      </c>
      <c r="M23" s="19"/>
      <c r="N23" s="19"/>
      <c r="O23" s="19"/>
      <c r="P23" s="19"/>
      <c r="Q23" s="19">
        <v>1</v>
      </c>
      <c r="R23" s="21">
        <f>H23</f>
        <v>20</v>
      </c>
    </row>
    <row r="24" spans="1:18" customFormat="1" x14ac:dyDescent="0.25">
      <c r="A24" s="19"/>
      <c r="B24" s="19" t="s">
        <v>32</v>
      </c>
      <c r="C24" s="19" t="s">
        <v>1526</v>
      </c>
      <c r="D24" s="19" t="s">
        <v>1527</v>
      </c>
      <c r="E24" s="19" t="s">
        <v>1528</v>
      </c>
      <c r="F24" s="19" t="s">
        <v>138</v>
      </c>
      <c r="G24" s="20">
        <v>970</v>
      </c>
      <c r="H24" s="20">
        <v>30</v>
      </c>
      <c r="I24" s="20">
        <f t="shared" si="0"/>
        <v>940</v>
      </c>
      <c r="J24" s="19" t="s">
        <v>37</v>
      </c>
      <c r="K24" s="19" t="s">
        <v>37</v>
      </c>
      <c r="L24" s="19" t="s">
        <v>1475</v>
      </c>
      <c r="M24" s="19"/>
      <c r="N24" s="19"/>
      <c r="O24" s="19"/>
      <c r="P24" s="19"/>
      <c r="Q24" s="19">
        <v>1</v>
      </c>
    </row>
    <row r="25" spans="1:18" customFormat="1" x14ac:dyDescent="0.25">
      <c r="A25" s="19"/>
      <c r="B25" s="19" t="s">
        <v>32</v>
      </c>
      <c r="C25" s="19" t="s">
        <v>1529</v>
      </c>
      <c r="D25" s="19" t="s">
        <v>1530</v>
      </c>
      <c r="E25" s="19" t="s">
        <v>1531</v>
      </c>
      <c r="F25" s="19" t="s">
        <v>117</v>
      </c>
      <c r="G25" s="20">
        <v>965</v>
      </c>
      <c r="H25" s="20">
        <v>25</v>
      </c>
      <c r="I25" s="20">
        <f t="shared" si="0"/>
        <v>940</v>
      </c>
      <c r="J25" s="19" t="s">
        <v>37</v>
      </c>
      <c r="K25" s="19" t="s">
        <v>37</v>
      </c>
      <c r="L25" s="19" t="s">
        <v>1475</v>
      </c>
      <c r="M25" s="19"/>
      <c r="N25" s="19"/>
      <c r="O25" s="19"/>
      <c r="P25" s="19"/>
      <c r="Q25" s="19">
        <v>1</v>
      </c>
    </row>
    <row r="26" spans="1:18" customFormat="1" x14ac:dyDescent="0.25">
      <c r="A26" s="19" t="s">
        <v>107</v>
      </c>
      <c r="B26" s="19" t="s">
        <v>32</v>
      </c>
      <c r="C26" s="19" t="s">
        <v>1532</v>
      </c>
      <c r="D26" s="19"/>
      <c r="E26" s="19" t="s">
        <v>1467</v>
      </c>
      <c r="F26" s="19" t="s">
        <v>173</v>
      </c>
      <c r="G26" s="20">
        <v>30</v>
      </c>
      <c r="H26" s="20">
        <v>30</v>
      </c>
      <c r="I26" s="20">
        <f t="shared" si="0"/>
        <v>0</v>
      </c>
      <c r="J26" s="19" t="s">
        <v>169</v>
      </c>
      <c r="K26" s="19" t="s">
        <v>37</v>
      </c>
      <c r="L26" s="19" t="s">
        <v>1475</v>
      </c>
      <c r="M26" s="19"/>
      <c r="N26" s="19"/>
      <c r="O26" s="19"/>
      <c r="P26" s="19"/>
      <c r="Q26" s="19">
        <v>1</v>
      </c>
    </row>
    <row r="27" spans="1:18" customFormat="1" x14ac:dyDescent="0.25">
      <c r="A27" s="19"/>
      <c r="B27" s="19" t="s">
        <v>32</v>
      </c>
      <c r="C27" s="19" t="s">
        <v>1533</v>
      </c>
      <c r="D27" s="19" t="s">
        <v>1534</v>
      </c>
      <c r="E27" s="19" t="s">
        <v>1535</v>
      </c>
      <c r="F27" s="20">
        <v>1</v>
      </c>
      <c r="G27" s="20">
        <v>755</v>
      </c>
      <c r="H27" s="20">
        <v>25</v>
      </c>
      <c r="I27" s="20">
        <f t="shared" si="0"/>
        <v>730</v>
      </c>
      <c r="J27" s="19" t="s">
        <v>169</v>
      </c>
      <c r="K27" s="19" t="s">
        <v>37</v>
      </c>
      <c r="L27" s="19" t="s">
        <v>1475</v>
      </c>
      <c r="M27" s="19"/>
      <c r="N27" s="19"/>
      <c r="O27" s="19"/>
      <c r="P27" s="19"/>
      <c r="Q27" s="19">
        <v>1</v>
      </c>
    </row>
    <row r="28" spans="1:18" customFormat="1" x14ac:dyDescent="0.25">
      <c r="A28" s="19"/>
      <c r="B28" s="19" t="s">
        <v>32</v>
      </c>
      <c r="C28" s="19" t="s">
        <v>289</v>
      </c>
      <c r="D28" s="19" t="s">
        <v>1536</v>
      </c>
      <c r="E28" s="19" t="s">
        <v>1537</v>
      </c>
      <c r="F28" s="20">
        <v>3</v>
      </c>
      <c r="G28" s="20">
        <v>875</v>
      </c>
      <c r="H28" s="20">
        <v>25</v>
      </c>
      <c r="I28" s="20">
        <f t="shared" si="0"/>
        <v>850</v>
      </c>
      <c r="J28" s="19" t="s">
        <v>169</v>
      </c>
      <c r="K28" s="19" t="s">
        <v>37</v>
      </c>
      <c r="L28" s="19" t="s">
        <v>1475</v>
      </c>
      <c r="M28" s="19"/>
      <c r="N28" s="19"/>
      <c r="O28" s="19"/>
      <c r="P28" s="19"/>
      <c r="Q28" s="19">
        <v>1</v>
      </c>
    </row>
    <row r="29" spans="1:18" customFormat="1" x14ac:dyDescent="0.25">
      <c r="A29" s="19"/>
      <c r="B29" s="19" t="s">
        <v>32</v>
      </c>
      <c r="C29" s="19" t="s">
        <v>1538</v>
      </c>
      <c r="D29" s="19" t="s">
        <v>1539</v>
      </c>
      <c r="E29" s="19" t="s">
        <v>1540</v>
      </c>
      <c r="F29" s="20">
        <v>7</v>
      </c>
      <c r="G29" s="20">
        <v>0</v>
      </c>
      <c r="H29" s="20">
        <v>30</v>
      </c>
      <c r="I29" s="20">
        <f t="shared" si="0"/>
        <v>-30</v>
      </c>
      <c r="J29" s="19" t="s">
        <v>169</v>
      </c>
      <c r="K29" s="19" t="s">
        <v>37</v>
      </c>
      <c r="L29" s="19" t="s">
        <v>1475</v>
      </c>
      <c r="M29" s="19"/>
      <c r="N29" s="19"/>
      <c r="O29" s="19"/>
      <c r="P29" s="19"/>
      <c r="Q29" s="19">
        <v>1</v>
      </c>
      <c r="R29" s="21">
        <f>H29</f>
        <v>30</v>
      </c>
    </row>
    <row r="30" spans="1:18" customFormat="1" x14ac:dyDescent="0.25">
      <c r="A30" s="19"/>
      <c r="B30" s="19" t="s">
        <v>32</v>
      </c>
      <c r="C30" s="19" t="s">
        <v>1541</v>
      </c>
      <c r="D30" s="19" t="s">
        <v>1542</v>
      </c>
      <c r="E30" s="19" t="s">
        <v>1543</v>
      </c>
      <c r="F30" s="20">
        <v>1</v>
      </c>
      <c r="G30" s="20">
        <v>805</v>
      </c>
      <c r="H30" s="20">
        <v>25</v>
      </c>
      <c r="I30" s="20">
        <f t="shared" si="0"/>
        <v>780</v>
      </c>
      <c r="J30" s="19" t="s">
        <v>169</v>
      </c>
      <c r="K30" s="19" t="s">
        <v>37</v>
      </c>
      <c r="L30" s="19" t="s">
        <v>1475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1544</v>
      </c>
      <c r="D31" s="19" t="s">
        <v>1545</v>
      </c>
      <c r="E31" s="19" t="s">
        <v>1116</v>
      </c>
      <c r="F31" s="20">
        <v>1</v>
      </c>
      <c r="G31" s="20">
        <v>515</v>
      </c>
      <c r="H31" s="20">
        <v>25</v>
      </c>
      <c r="I31" s="20">
        <f t="shared" si="0"/>
        <v>490</v>
      </c>
      <c r="J31" s="19" t="s">
        <v>169</v>
      </c>
      <c r="K31" s="19" t="s">
        <v>37</v>
      </c>
      <c r="L31" s="19" t="s">
        <v>1475</v>
      </c>
      <c r="M31" s="19"/>
      <c r="N31" s="19"/>
      <c r="O31" s="19"/>
      <c r="P31" s="19"/>
      <c r="Q31" s="19">
        <v>1</v>
      </c>
    </row>
    <row r="32" spans="1:18" customFormat="1" x14ac:dyDescent="0.25">
      <c r="A32" s="19"/>
      <c r="B32" s="19" t="s">
        <v>32</v>
      </c>
      <c r="C32" s="19" t="s">
        <v>1546</v>
      </c>
      <c r="D32" s="19" t="s">
        <v>1547</v>
      </c>
      <c r="E32" s="19" t="s">
        <v>1548</v>
      </c>
      <c r="F32" s="20">
        <v>5</v>
      </c>
      <c r="G32" s="20">
        <v>0</v>
      </c>
      <c r="H32" s="20">
        <v>25</v>
      </c>
      <c r="I32" s="20">
        <f t="shared" si="0"/>
        <v>-25</v>
      </c>
      <c r="J32" s="19" t="s">
        <v>169</v>
      </c>
      <c r="K32" s="19" t="s">
        <v>37</v>
      </c>
      <c r="L32" s="19" t="s">
        <v>1475</v>
      </c>
      <c r="M32" s="19"/>
      <c r="N32" s="19"/>
      <c r="O32" s="19"/>
      <c r="P32" s="19"/>
      <c r="Q32" s="19">
        <v>1</v>
      </c>
      <c r="R32" s="21">
        <f>H32</f>
        <v>25</v>
      </c>
    </row>
    <row r="33" spans="1:18" customFormat="1" x14ac:dyDescent="0.25">
      <c r="A33" s="19"/>
      <c r="B33" s="19" t="s">
        <v>32</v>
      </c>
      <c r="C33" s="19" t="s">
        <v>896</v>
      </c>
      <c r="D33" s="19" t="s">
        <v>1549</v>
      </c>
      <c r="E33" s="19" t="s">
        <v>1550</v>
      </c>
      <c r="F33" s="20">
        <v>7</v>
      </c>
      <c r="G33" s="20">
        <v>970</v>
      </c>
      <c r="H33" s="20">
        <v>30</v>
      </c>
      <c r="I33" s="20">
        <f t="shared" si="0"/>
        <v>940</v>
      </c>
      <c r="J33" s="19" t="s">
        <v>169</v>
      </c>
      <c r="K33" s="19" t="s">
        <v>37</v>
      </c>
      <c r="L33" s="19" t="s">
        <v>1475</v>
      </c>
      <c r="M33" s="19"/>
      <c r="N33" s="19"/>
      <c r="O33" s="19"/>
      <c r="P33" s="19"/>
      <c r="Q33" s="19">
        <v>1</v>
      </c>
    </row>
    <row r="34" spans="1:18" customFormat="1" x14ac:dyDescent="0.25">
      <c r="A34" s="19"/>
      <c r="B34" s="19" t="s">
        <v>32</v>
      </c>
      <c r="C34" s="19" t="s">
        <v>1551</v>
      </c>
      <c r="D34" s="19" t="s">
        <v>1552</v>
      </c>
      <c r="E34" s="19" t="s">
        <v>1553</v>
      </c>
      <c r="F34" s="20">
        <v>4</v>
      </c>
      <c r="G34" s="20">
        <v>965</v>
      </c>
      <c r="H34" s="20">
        <v>25</v>
      </c>
      <c r="I34" s="20">
        <f t="shared" si="0"/>
        <v>940</v>
      </c>
      <c r="J34" s="19" t="s">
        <v>169</v>
      </c>
      <c r="K34" s="19" t="s">
        <v>37</v>
      </c>
      <c r="L34" s="19" t="s">
        <v>1475</v>
      </c>
      <c r="M34" s="19"/>
      <c r="N34" s="19"/>
      <c r="O34" s="19"/>
      <c r="P34" s="19"/>
      <c r="Q34" s="19">
        <v>1</v>
      </c>
    </row>
    <row r="35" spans="1:18" customFormat="1" x14ac:dyDescent="0.25">
      <c r="A35" s="19"/>
      <c r="B35" s="19" t="s">
        <v>32</v>
      </c>
      <c r="C35" s="19" t="s">
        <v>1554</v>
      </c>
      <c r="D35" s="19" t="s">
        <v>1555</v>
      </c>
      <c r="E35" s="19" t="s">
        <v>1556</v>
      </c>
      <c r="F35" s="20">
        <v>1</v>
      </c>
      <c r="G35" s="20">
        <v>0</v>
      </c>
      <c r="H35" s="20">
        <v>25</v>
      </c>
      <c r="I35" s="20">
        <f t="shared" si="0"/>
        <v>-25</v>
      </c>
      <c r="J35" s="19" t="s">
        <v>169</v>
      </c>
      <c r="K35" s="19" t="s">
        <v>37</v>
      </c>
      <c r="L35" s="19" t="s">
        <v>1475</v>
      </c>
      <c r="M35" s="19"/>
      <c r="N35" s="19"/>
      <c r="O35" s="19"/>
      <c r="P35" s="19"/>
      <c r="Q35" s="19">
        <v>1</v>
      </c>
      <c r="R35" s="21">
        <f>H35</f>
        <v>25</v>
      </c>
    </row>
    <row r="37" spans="1:18" x14ac:dyDescent="0.25">
      <c r="G37" s="1">
        <f t="shared" ref="G37:R37" si="2">SUBTOTAL(9,G3:G35)</f>
        <v>19625</v>
      </c>
      <c r="H37" s="1">
        <f t="shared" si="2"/>
        <v>940</v>
      </c>
      <c r="I37" s="1">
        <f t="shared" si="2"/>
        <v>18685</v>
      </c>
      <c r="J37" s="1">
        <f t="shared" si="2"/>
        <v>0</v>
      </c>
      <c r="K37" s="1">
        <f t="shared" si="2"/>
        <v>0</v>
      </c>
      <c r="L37" s="1">
        <f t="shared" si="2"/>
        <v>0</v>
      </c>
      <c r="M37" s="1">
        <f t="shared" si="2"/>
        <v>0</v>
      </c>
      <c r="N37" s="1">
        <f t="shared" si="2"/>
        <v>0</v>
      </c>
      <c r="O37" s="1">
        <f t="shared" si="2"/>
        <v>0</v>
      </c>
      <c r="P37" s="1">
        <f t="shared" si="2"/>
        <v>0</v>
      </c>
      <c r="Q37" s="1">
        <f t="shared" si="2"/>
        <v>33</v>
      </c>
      <c r="R37" s="1">
        <f t="shared" si="2"/>
        <v>445</v>
      </c>
    </row>
    <row r="41" spans="1:18" ht="20.25" customHeight="1" x14ac:dyDescent="0.3">
      <c r="H41" s="4" t="s">
        <v>1342</v>
      </c>
      <c r="I41" s="5" t="s">
        <v>15</v>
      </c>
      <c r="J41" s="6" t="s">
        <v>16</v>
      </c>
    </row>
    <row r="42" spans="1:18" ht="15.75" customHeight="1" x14ac:dyDescent="0.25">
      <c r="H42" s="7" t="s">
        <v>17</v>
      </c>
      <c r="I42" s="8">
        <f>SUM(I36:I40)</f>
        <v>18685</v>
      </c>
      <c r="J42" s="8">
        <f>Q37</f>
        <v>33</v>
      </c>
    </row>
    <row r="43" spans="1:18" x14ac:dyDescent="0.25">
      <c r="H43" s="9" t="s">
        <v>18</v>
      </c>
      <c r="I43" s="10">
        <f>R37</f>
        <v>445</v>
      </c>
      <c r="J43" s="11"/>
    </row>
    <row r="44" spans="1:18" x14ac:dyDescent="0.25">
      <c r="H44" s="9" t="s">
        <v>19</v>
      </c>
      <c r="I44" s="10">
        <f>S36</f>
        <v>0</v>
      </c>
      <c r="J44" s="11"/>
    </row>
    <row r="45" spans="1:18" x14ac:dyDescent="0.25">
      <c r="H45" s="9" t="s">
        <v>20</v>
      </c>
      <c r="I45" s="10">
        <f>T36</f>
        <v>0</v>
      </c>
      <c r="J45" s="11"/>
    </row>
    <row r="46" spans="1:18" x14ac:dyDescent="0.25">
      <c r="H46" s="9" t="s">
        <v>21</v>
      </c>
      <c r="I46" s="10">
        <f>U36</f>
        <v>0</v>
      </c>
      <c r="J46" s="11"/>
    </row>
    <row r="47" spans="1:18" ht="15.75" customHeight="1" x14ac:dyDescent="0.25">
      <c r="H47" s="12" t="s">
        <v>22</v>
      </c>
      <c r="I47" s="13"/>
      <c r="J47" s="13"/>
    </row>
    <row r="48" spans="1:18" ht="15.75" customHeight="1" x14ac:dyDescent="0.25">
      <c r="H48" s="14" t="s">
        <v>23</v>
      </c>
      <c r="I48" s="13"/>
      <c r="J48" s="13"/>
    </row>
    <row r="49" spans="8:10" ht="21" customHeight="1" x14ac:dyDescent="0.35">
      <c r="H49" s="15" t="s">
        <v>24</v>
      </c>
      <c r="I49" s="16">
        <f>SUM(I42:I48)</f>
        <v>19130</v>
      </c>
      <c r="J49" s="16">
        <f>SUM(J42:J46)</f>
        <v>33</v>
      </c>
    </row>
  </sheetData>
  <autoFilter ref="A2:P35" xr:uid="{00000000-0009-0000-0000-000006000000}">
    <sortState xmlns:xlrd2="http://schemas.microsoft.com/office/spreadsheetml/2017/richdata2" ref="A3:P35">
      <sortCondition ref="J2:J35"/>
    </sortState>
  </autoFilter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34BA-913B-4F40-BC8F-2576B16B8318}">
  <dimension ref="A1:R62"/>
  <sheetViews>
    <sheetView topLeftCell="A25" zoomScale="82" zoomScaleNormal="80" workbookViewId="0">
      <selection activeCell="L62" sqref="A62:L62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448</v>
      </c>
      <c r="C1" s="1" t="s">
        <v>1470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26" customFormat="1" x14ac:dyDescent="0.25">
      <c r="A3" s="23"/>
      <c r="B3" s="23" t="s">
        <v>32</v>
      </c>
      <c r="C3" s="23" t="s">
        <v>1348</v>
      </c>
      <c r="D3" s="23" t="s">
        <v>1559</v>
      </c>
      <c r="E3" s="23" t="s">
        <v>1350</v>
      </c>
      <c r="F3" s="23" t="s">
        <v>88</v>
      </c>
      <c r="G3" s="24">
        <v>35</v>
      </c>
      <c r="H3" s="24">
        <v>35</v>
      </c>
      <c r="I3" s="24">
        <f t="shared" ref="I3:I45" si="0">G3-H3</f>
        <v>0</v>
      </c>
      <c r="J3" s="23" t="s">
        <v>1560</v>
      </c>
      <c r="K3" s="23" t="s">
        <v>37</v>
      </c>
      <c r="L3" s="23" t="s">
        <v>1561</v>
      </c>
      <c r="M3" s="23" t="s">
        <v>148</v>
      </c>
      <c r="N3" s="23"/>
      <c r="O3" s="23"/>
      <c r="P3" s="23"/>
      <c r="Q3" s="23">
        <v>1</v>
      </c>
    </row>
    <row r="4" spans="1:18" customFormat="1" x14ac:dyDescent="0.25">
      <c r="A4" s="19"/>
      <c r="B4" s="19" t="s">
        <v>32</v>
      </c>
      <c r="C4" s="19" t="s">
        <v>1562</v>
      </c>
      <c r="D4" s="19" t="s">
        <v>1563</v>
      </c>
      <c r="E4" s="19" t="s">
        <v>1564</v>
      </c>
      <c r="F4" s="19" t="s">
        <v>45</v>
      </c>
      <c r="G4" s="20">
        <v>0</v>
      </c>
      <c r="H4" s="20">
        <v>30</v>
      </c>
      <c r="I4" s="20">
        <f t="shared" si="0"/>
        <v>-30</v>
      </c>
      <c r="J4" s="19" t="s">
        <v>1560</v>
      </c>
      <c r="K4" s="19" t="s">
        <v>37</v>
      </c>
      <c r="L4" s="19" t="s">
        <v>1561</v>
      </c>
      <c r="M4" s="19"/>
      <c r="N4" s="19"/>
      <c r="O4" s="19"/>
      <c r="P4" s="19"/>
      <c r="Q4" s="19">
        <v>1</v>
      </c>
      <c r="R4" s="21">
        <f>H4</f>
        <v>30</v>
      </c>
    </row>
    <row r="5" spans="1:18" s="26" customFormat="1" x14ac:dyDescent="0.25">
      <c r="A5" s="23"/>
      <c r="B5" s="23" t="s">
        <v>32</v>
      </c>
      <c r="C5" s="23" t="s">
        <v>1343</v>
      </c>
      <c r="D5" s="23" t="s">
        <v>1565</v>
      </c>
      <c r="E5" s="23" t="s">
        <v>1566</v>
      </c>
      <c r="F5" s="24">
        <v>9</v>
      </c>
      <c r="G5" s="24">
        <v>30</v>
      </c>
      <c r="H5" s="24">
        <v>30</v>
      </c>
      <c r="I5" s="24">
        <f t="shared" si="0"/>
        <v>0</v>
      </c>
      <c r="J5" s="23" t="s">
        <v>1560</v>
      </c>
      <c r="K5" s="23" t="s">
        <v>37</v>
      </c>
      <c r="L5" s="23" t="s">
        <v>1561</v>
      </c>
      <c r="M5" s="23" t="s">
        <v>148</v>
      </c>
      <c r="N5" s="23"/>
      <c r="O5" s="23"/>
      <c r="P5" s="23"/>
      <c r="Q5" s="23">
        <v>1</v>
      </c>
    </row>
    <row r="6" spans="1:18" customFormat="1" x14ac:dyDescent="0.25">
      <c r="A6" s="19"/>
      <c r="B6" s="19" t="s">
        <v>32</v>
      </c>
      <c r="C6" s="19" t="s">
        <v>1567</v>
      </c>
      <c r="D6" s="19" t="s">
        <v>1568</v>
      </c>
      <c r="E6" s="19" t="s">
        <v>1569</v>
      </c>
      <c r="F6" s="19" t="s">
        <v>88</v>
      </c>
      <c r="G6" s="20">
        <v>0</v>
      </c>
      <c r="H6" s="20">
        <v>35</v>
      </c>
      <c r="I6" s="20">
        <f t="shared" si="0"/>
        <v>-35</v>
      </c>
      <c r="J6" s="19" t="s">
        <v>1560</v>
      </c>
      <c r="K6" s="19" t="s">
        <v>37</v>
      </c>
      <c r="L6" s="19" t="s">
        <v>1561</v>
      </c>
      <c r="M6" s="19"/>
      <c r="N6" s="19"/>
      <c r="O6" s="19"/>
      <c r="P6" s="19"/>
      <c r="Q6" s="19">
        <v>1</v>
      </c>
      <c r="R6" s="21">
        <f t="shared" ref="R6:R9" si="1">H6</f>
        <v>35</v>
      </c>
    </row>
    <row r="7" spans="1:18" customFormat="1" x14ac:dyDescent="0.25">
      <c r="A7" s="19"/>
      <c r="B7" s="19" t="s">
        <v>32</v>
      </c>
      <c r="C7" s="19" t="s">
        <v>1570</v>
      </c>
      <c r="D7" s="19" t="s">
        <v>1571</v>
      </c>
      <c r="E7" s="19" t="s">
        <v>1572</v>
      </c>
      <c r="F7" s="19" t="s">
        <v>45</v>
      </c>
      <c r="G7" s="20">
        <v>0</v>
      </c>
      <c r="H7" s="20">
        <v>30</v>
      </c>
      <c r="I7" s="20">
        <f t="shared" si="0"/>
        <v>-30</v>
      </c>
      <c r="J7" s="19" t="s">
        <v>1560</v>
      </c>
      <c r="K7" s="19" t="s">
        <v>37</v>
      </c>
      <c r="L7" s="19" t="s">
        <v>1561</v>
      </c>
      <c r="M7" s="22" t="s">
        <v>438</v>
      </c>
      <c r="N7" s="19"/>
      <c r="O7" s="19"/>
      <c r="P7" s="19"/>
      <c r="Q7" s="19">
        <v>1</v>
      </c>
      <c r="R7" s="21">
        <f t="shared" si="1"/>
        <v>30</v>
      </c>
    </row>
    <row r="8" spans="1:18" customFormat="1" x14ac:dyDescent="0.25">
      <c r="A8" s="19"/>
      <c r="B8" s="19" t="s">
        <v>32</v>
      </c>
      <c r="C8" s="19" t="s">
        <v>1570</v>
      </c>
      <c r="D8" s="19" t="s">
        <v>1573</v>
      </c>
      <c r="E8" s="19" t="s">
        <v>1572</v>
      </c>
      <c r="F8" s="19" t="s">
        <v>45</v>
      </c>
      <c r="G8" s="20">
        <v>0</v>
      </c>
      <c r="H8" s="20">
        <v>0</v>
      </c>
      <c r="I8" s="20">
        <f t="shared" si="0"/>
        <v>0</v>
      </c>
      <c r="J8" s="19" t="s">
        <v>1560</v>
      </c>
      <c r="K8" s="19" t="s">
        <v>37</v>
      </c>
      <c r="L8" s="19" t="s">
        <v>1561</v>
      </c>
      <c r="M8" s="22" t="s">
        <v>438</v>
      </c>
      <c r="N8" s="19"/>
      <c r="O8" s="19"/>
      <c r="P8" s="19"/>
      <c r="Q8" s="19">
        <v>1</v>
      </c>
      <c r="R8" s="21">
        <f t="shared" si="1"/>
        <v>0</v>
      </c>
    </row>
    <row r="9" spans="1:18" customFormat="1" x14ac:dyDescent="0.25">
      <c r="A9" s="19"/>
      <c r="B9" s="19" t="s">
        <v>32</v>
      </c>
      <c r="C9" s="19" t="s">
        <v>1574</v>
      </c>
      <c r="D9" s="19" t="s">
        <v>1575</v>
      </c>
      <c r="E9" s="19" t="s">
        <v>1576</v>
      </c>
      <c r="F9" s="20">
        <v>9</v>
      </c>
      <c r="G9" s="20">
        <v>0</v>
      </c>
      <c r="H9" s="20">
        <v>30</v>
      </c>
      <c r="I9" s="20">
        <f t="shared" si="0"/>
        <v>-30</v>
      </c>
      <c r="J9" s="19" t="s">
        <v>1560</v>
      </c>
      <c r="K9" s="19" t="s">
        <v>37</v>
      </c>
      <c r="L9" s="19" t="s">
        <v>1561</v>
      </c>
      <c r="M9" s="19"/>
      <c r="N9" s="19"/>
      <c r="O9" s="19"/>
      <c r="P9" s="19"/>
      <c r="Q9" s="19">
        <v>1</v>
      </c>
      <c r="R9" s="21">
        <f t="shared" si="1"/>
        <v>30</v>
      </c>
    </row>
    <row r="10" spans="1:18" customFormat="1" x14ac:dyDescent="0.25">
      <c r="A10" s="19"/>
      <c r="B10" s="19" t="s">
        <v>32</v>
      </c>
      <c r="C10" s="19" t="s">
        <v>1577</v>
      </c>
      <c r="D10" s="19" t="s">
        <v>1578</v>
      </c>
      <c r="E10" s="19" t="s">
        <v>1579</v>
      </c>
      <c r="F10" s="19" t="s">
        <v>45</v>
      </c>
      <c r="G10" s="20">
        <v>560</v>
      </c>
      <c r="H10" s="20">
        <v>30</v>
      </c>
      <c r="I10" s="20">
        <f t="shared" si="0"/>
        <v>530</v>
      </c>
      <c r="J10" s="19" t="s">
        <v>1560</v>
      </c>
      <c r="K10" s="19" t="s">
        <v>37</v>
      </c>
      <c r="L10" s="19" t="s">
        <v>1561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488</v>
      </c>
      <c r="D11" s="19" t="s">
        <v>1580</v>
      </c>
      <c r="E11" s="19" t="s">
        <v>1581</v>
      </c>
      <c r="F11" s="19" t="s">
        <v>45</v>
      </c>
      <c r="G11" s="20">
        <v>0</v>
      </c>
      <c r="H11" s="20">
        <v>30</v>
      </c>
      <c r="I11" s="20">
        <f t="shared" si="0"/>
        <v>-30</v>
      </c>
      <c r="J11" s="19" t="s">
        <v>1560</v>
      </c>
      <c r="K11" s="19" t="s">
        <v>37</v>
      </c>
      <c r="L11" s="19" t="s">
        <v>1561</v>
      </c>
      <c r="M11" s="19"/>
      <c r="N11" s="19"/>
      <c r="O11" s="19"/>
      <c r="P11" s="19"/>
      <c r="Q11" s="19">
        <v>1</v>
      </c>
      <c r="R11" s="21">
        <f>H11</f>
        <v>30</v>
      </c>
    </row>
    <row r="12" spans="1:18" customFormat="1" x14ac:dyDescent="0.25">
      <c r="A12" s="19"/>
      <c r="B12" s="19" t="s">
        <v>32</v>
      </c>
      <c r="C12" s="19" t="s">
        <v>1582</v>
      </c>
      <c r="D12" s="19" t="s">
        <v>1583</v>
      </c>
      <c r="E12" s="19" t="s">
        <v>1584</v>
      </c>
      <c r="F12" s="19" t="s">
        <v>62</v>
      </c>
      <c r="G12" s="20">
        <v>1115</v>
      </c>
      <c r="H12" s="20">
        <v>25</v>
      </c>
      <c r="I12" s="20">
        <f t="shared" si="0"/>
        <v>1090</v>
      </c>
      <c r="J12" s="19" t="s">
        <v>1560</v>
      </c>
      <c r="K12" s="19" t="s">
        <v>37</v>
      </c>
      <c r="L12" s="19" t="s">
        <v>1561</v>
      </c>
      <c r="M12" s="19"/>
      <c r="N12" s="19"/>
      <c r="O12" s="19"/>
      <c r="P12" s="19"/>
      <c r="Q12" s="19">
        <v>1</v>
      </c>
    </row>
    <row r="13" spans="1:18" customFormat="1" x14ac:dyDescent="0.25">
      <c r="A13" s="19"/>
      <c r="B13" s="19" t="s">
        <v>32</v>
      </c>
      <c r="C13" s="19" t="s">
        <v>1585</v>
      </c>
      <c r="D13" s="19" t="s">
        <v>1586</v>
      </c>
      <c r="E13" s="19" t="s">
        <v>1587</v>
      </c>
      <c r="F13" s="20">
        <v>9</v>
      </c>
      <c r="G13" s="20">
        <v>760</v>
      </c>
      <c r="H13" s="20">
        <v>30</v>
      </c>
      <c r="I13" s="20">
        <f t="shared" si="0"/>
        <v>730</v>
      </c>
      <c r="J13" s="19" t="s">
        <v>1560</v>
      </c>
      <c r="K13" s="19" t="s">
        <v>37</v>
      </c>
      <c r="L13" s="19" t="s">
        <v>1561</v>
      </c>
      <c r="M13" s="19"/>
      <c r="N13" s="19"/>
      <c r="O13" s="19"/>
      <c r="P13" s="19"/>
      <c r="Q13" s="19">
        <v>1</v>
      </c>
    </row>
    <row r="14" spans="1:18" customFormat="1" x14ac:dyDescent="0.25">
      <c r="A14" s="19"/>
      <c r="B14" s="19" t="s">
        <v>32</v>
      </c>
      <c r="C14" s="19" t="s">
        <v>1588</v>
      </c>
      <c r="D14" s="19" t="s">
        <v>1589</v>
      </c>
      <c r="E14" s="19" t="s">
        <v>1590</v>
      </c>
      <c r="F14" s="20">
        <v>9</v>
      </c>
      <c r="G14" s="20">
        <v>1020</v>
      </c>
      <c r="H14" s="20">
        <v>30</v>
      </c>
      <c r="I14" s="20">
        <f t="shared" si="0"/>
        <v>990</v>
      </c>
      <c r="J14" s="19" t="s">
        <v>1560</v>
      </c>
      <c r="K14" s="19" t="s">
        <v>37</v>
      </c>
      <c r="L14" s="19" t="s">
        <v>1561</v>
      </c>
      <c r="M14" s="19"/>
      <c r="N14" s="19"/>
      <c r="O14" s="19"/>
      <c r="P14" s="19"/>
      <c r="Q14" s="19">
        <v>1</v>
      </c>
    </row>
    <row r="15" spans="1:18" customFormat="1" x14ac:dyDescent="0.25">
      <c r="A15" s="19"/>
      <c r="B15" s="19" t="s">
        <v>32</v>
      </c>
      <c r="C15" s="19" t="s">
        <v>1591</v>
      </c>
      <c r="D15" s="19" t="s">
        <v>1592</v>
      </c>
      <c r="E15" s="19" t="s">
        <v>1593</v>
      </c>
      <c r="F15" s="19" t="s">
        <v>124</v>
      </c>
      <c r="G15" s="20">
        <v>800</v>
      </c>
      <c r="H15" s="20">
        <v>20</v>
      </c>
      <c r="I15" s="20">
        <f t="shared" si="0"/>
        <v>780</v>
      </c>
      <c r="J15" s="19" t="s">
        <v>37</v>
      </c>
      <c r="K15" s="19" t="s">
        <v>37</v>
      </c>
      <c r="L15" s="19" t="s">
        <v>1561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1594</v>
      </c>
      <c r="D16" s="19" t="s">
        <v>1595</v>
      </c>
      <c r="E16" s="19" t="s">
        <v>1596</v>
      </c>
      <c r="F16" s="19" t="s">
        <v>173</v>
      </c>
      <c r="G16" s="20">
        <v>1585</v>
      </c>
      <c r="H16" s="20">
        <v>25</v>
      </c>
      <c r="I16" s="20">
        <f t="shared" si="0"/>
        <v>1560</v>
      </c>
      <c r="J16" s="19" t="s">
        <v>37</v>
      </c>
      <c r="K16" s="19" t="s">
        <v>37</v>
      </c>
      <c r="L16" s="19" t="s">
        <v>1561</v>
      </c>
      <c r="M16" s="19"/>
      <c r="N16" s="19"/>
      <c r="O16" s="19"/>
      <c r="P16" s="19"/>
      <c r="Q16" s="19">
        <v>1</v>
      </c>
    </row>
    <row r="17" spans="1:18" customFormat="1" x14ac:dyDescent="0.25">
      <c r="A17" s="19"/>
      <c r="B17" s="19" t="s">
        <v>32</v>
      </c>
      <c r="C17" s="19" t="s">
        <v>905</v>
      </c>
      <c r="D17" s="19" t="s">
        <v>1597</v>
      </c>
      <c r="E17" s="19" t="s">
        <v>503</v>
      </c>
      <c r="F17" s="20">
        <v>12</v>
      </c>
      <c r="G17" s="20">
        <v>30</v>
      </c>
      <c r="H17" s="20">
        <v>30</v>
      </c>
      <c r="I17" s="20">
        <f t="shared" si="0"/>
        <v>0</v>
      </c>
      <c r="J17" s="19" t="s">
        <v>37</v>
      </c>
      <c r="K17" s="19" t="s">
        <v>37</v>
      </c>
      <c r="L17" s="19" t="s">
        <v>1561</v>
      </c>
      <c r="M17" s="19"/>
      <c r="N17" s="19"/>
      <c r="O17" s="19"/>
      <c r="P17" s="19"/>
      <c r="Q17" s="19">
        <v>1</v>
      </c>
    </row>
    <row r="18" spans="1:18" customFormat="1" x14ac:dyDescent="0.25">
      <c r="A18" s="19"/>
      <c r="B18" s="19" t="s">
        <v>32</v>
      </c>
      <c r="C18" s="19" t="s">
        <v>1598</v>
      </c>
      <c r="D18" s="19" t="s">
        <v>1599</v>
      </c>
      <c r="E18" s="19" t="s">
        <v>1600</v>
      </c>
      <c r="F18" s="19" t="s">
        <v>173</v>
      </c>
      <c r="G18" s="20">
        <v>965</v>
      </c>
      <c r="H18" s="20">
        <v>25</v>
      </c>
      <c r="I18" s="20">
        <f t="shared" si="0"/>
        <v>940</v>
      </c>
      <c r="J18" s="19" t="s">
        <v>37</v>
      </c>
      <c r="K18" s="19" t="s">
        <v>37</v>
      </c>
      <c r="L18" s="19" t="s">
        <v>1561</v>
      </c>
      <c r="M18" s="19"/>
      <c r="N18" s="19"/>
      <c r="O18" s="19"/>
      <c r="P18" s="19"/>
      <c r="Q18" s="19">
        <v>1</v>
      </c>
    </row>
    <row r="19" spans="1:18" customFormat="1" x14ac:dyDescent="0.25">
      <c r="A19" s="19"/>
      <c r="B19" s="19" t="s">
        <v>32</v>
      </c>
      <c r="C19" s="19" t="s">
        <v>1601</v>
      </c>
      <c r="D19" s="19" t="s">
        <v>1602</v>
      </c>
      <c r="E19" s="19" t="s">
        <v>1603</v>
      </c>
      <c r="F19" s="19" t="s">
        <v>138</v>
      </c>
      <c r="G19" s="20">
        <v>970</v>
      </c>
      <c r="H19" s="20">
        <v>30</v>
      </c>
      <c r="I19" s="20">
        <f t="shared" si="0"/>
        <v>940</v>
      </c>
      <c r="J19" s="19" t="s">
        <v>37</v>
      </c>
      <c r="K19" s="19" t="s">
        <v>37</v>
      </c>
      <c r="L19" s="19" t="s">
        <v>1561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19" t="s">
        <v>1390</v>
      </c>
      <c r="D20" s="19" t="s">
        <v>1604</v>
      </c>
      <c r="E20" s="19" t="s">
        <v>1392</v>
      </c>
      <c r="F20" s="19" t="s">
        <v>124</v>
      </c>
      <c r="G20" s="20">
        <v>0</v>
      </c>
      <c r="H20" s="20">
        <v>20</v>
      </c>
      <c r="I20" s="20">
        <f t="shared" si="0"/>
        <v>-20</v>
      </c>
      <c r="J20" s="19" t="s">
        <v>37</v>
      </c>
      <c r="K20" s="19" t="s">
        <v>37</v>
      </c>
      <c r="L20" s="19" t="s">
        <v>1561</v>
      </c>
      <c r="M20" s="19"/>
      <c r="N20" s="19"/>
      <c r="O20" s="19"/>
      <c r="P20" s="19"/>
      <c r="Q20" s="19">
        <v>1</v>
      </c>
      <c r="R20" s="21">
        <f>H20</f>
        <v>20</v>
      </c>
    </row>
    <row r="21" spans="1:18" customFormat="1" x14ac:dyDescent="0.25">
      <c r="A21" s="19"/>
      <c r="B21" s="19" t="s">
        <v>32</v>
      </c>
      <c r="C21" s="19" t="s">
        <v>1605</v>
      </c>
      <c r="D21" s="19" t="s">
        <v>1606</v>
      </c>
      <c r="E21" s="19" t="s">
        <v>1607</v>
      </c>
      <c r="F21" s="19" t="s">
        <v>124</v>
      </c>
      <c r="G21" s="20">
        <v>0</v>
      </c>
      <c r="H21" s="20">
        <v>20</v>
      </c>
      <c r="I21" s="20">
        <f t="shared" si="0"/>
        <v>-20</v>
      </c>
      <c r="J21" s="19" t="s">
        <v>37</v>
      </c>
      <c r="K21" s="19" t="s">
        <v>37</v>
      </c>
      <c r="L21" s="19" t="s">
        <v>1561</v>
      </c>
      <c r="M21" s="22" t="s">
        <v>1658</v>
      </c>
      <c r="N21" s="19"/>
      <c r="O21" s="19"/>
      <c r="P21" s="19"/>
      <c r="Q21" s="19">
        <v>1</v>
      </c>
    </row>
    <row r="22" spans="1:18" customFormat="1" x14ac:dyDescent="0.25">
      <c r="A22" s="19"/>
      <c r="B22" s="19" t="s">
        <v>32</v>
      </c>
      <c r="C22" s="19" t="s">
        <v>244</v>
      </c>
      <c r="D22" s="19" t="s">
        <v>1608</v>
      </c>
      <c r="E22" s="19" t="s">
        <v>246</v>
      </c>
      <c r="F22" s="19" t="s">
        <v>117</v>
      </c>
      <c r="G22" s="20">
        <v>885</v>
      </c>
      <c r="H22" s="20">
        <v>25</v>
      </c>
      <c r="I22" s="20">
        <f t="shared" si="0"/>
        <v>860</v>
      </c>
      <c r="J22" s="19" t="s">
        <v>37</v>
      </c>
      <c r="K22" s="19" t="s">
        <v>37</v>
      </c>
      <c r="L22" s="19" t="s">
        <v>1561</v>
      </c>
      <c r="M22" s="19"/>
      <c r="N22" s="19"/>
      <c r="O22" s="19"/>
      <c r="P22" s="19"/>
      <c r="Q22" s="19">
        <v>1</v>
      </c>
    </row>
    <row r="23" spans="1:18" customFormat="1" x14ac:dyDescent="0.25">
      <c r="A23" s="19"/>
      <c r="B23" s="19" t="s">
        <v>32</v>
      </c>
      <c r="C23" s="19" t="s">
        <v>1408</v>
      </c>
      <c r="D23" s="19" t="s">
        <v>1609</v>
      </c>
      <c r="E23" s="19" t="s">
        <v>1410</v>
      </c>
      <c r="F23" s="19" t="s">
        <v>124</v>
      </c>
      <c r="G23" s="20">
        <v>890</v>
      </c>
      <c r="H23" s="20">
        <v>20</v>
      </c>
      <c r="I23" s="20">
        <f t="shared" si="0"/>
        <v>870</v>
      </c>
      <c r="J23" s="19" t="s">
        <v>37</v>
      </c>
      <c r="K23" s="19" t="s">
        <v>37</v>
      </c>
      <c r="L23" s="19" t="s">
        <v>1561</v>
      </c>
      <c r="M23" s="19"/>
      <c r="N23" s="19"/>
      <c r="O23" s="19"/>
      <c r="P23" s="19"/>
      <c r="Q23" s="19">
        <v>1</v>
      </c>
    </row>
    <row r="24" spans="1:18" customFormat="1" x14ac:dyDescent="0.25">
      <c r="A24" s="19"/>
      <c r="B24" s="19" t="s">
        <v>32</v>
      </c>
      <c r="C24" s="19" t="s">
        <v>1610</v>
      </c>
      <c r="D24" s="19" t="s">
        <v>1611</v>
      </c>
      <c r="E24" s="19" t="s">
        <v>1612</v>
      </c>
      <c r="F24" s="19" t="s">
        <v>138</v>
      </c>
      <c r="G24" s="20">
        <v>0</v>
      </c>
      <c r="H24" s="20">
        <v>30</v>
      </c>
      <c r="I24" s="20">
        <f t="shared" si="0"/>
        <v>-30</v>
      </c>
      <c r="J24" s="19" t="s">
        <v>37</v>
      </c>
      <c r="K24" s="19" t="s">
        <v>37</v>
      </c>
      <c r="L24" s="19" t="s">
        <v>1561</v>
      </c>
      <c r="M24" s="19"/>
      <c r="N24" s="19"/>
      <c r="O24" s="19"/>
      <c r="P24" s="19"/>
      <c r="Q24" s="19">
        <v>1</v>
      </c>
      <c r="R24" s="21">
        <f>H24</f>
        <v>30</v>
      </c>
    </row>
    <row r="25" spans="1:18" customFormat="1" x14ac:dyDescent="0.25">
      <c r="A25" s="19" t="s">
        <v>107</v>
      </c>
      <c r="B25" s="19" t="s">
        <v>32</v>
      </c>
      <c r="C25" s="19" t="s">
        <v>162</v>
      </c>
      <c r="D25" s="19"/>
      <c r="E25" s="19" t="s">
        <v>163</v>
      </c>
      <c r="F25" s="19" t="s">
        <v>117</v>
      </c>
      <c r="G25" s="20">
        <v>8470</v>
      </c>
      <c r="H25" s="20">
        <v>60</v>
      </c>
      <c r="I25" s="20">
        <f t="shared" si="0"/>
        <v>8410</v>
      </c>
      <c r="J25" s="19" t="s">
        <v>37</v>
      </c>
      <c r="K25" s="19" t="s">
        <v>37</v>
      </c>
      <c r="L25" s="19" t="s">
        <v>1561</v>
      </c>
      <c r="M25" s="19"/>
      <c r="N25" s="19"/>
      <c r="O25" s="19"/>
      <c r="P25" s="19"/>
      <c r="Q25" s="19">
        <v>1</v>
      </c>
    </row>
    <row r="26" spans="1:18" s="26" customFormat="1" x14ac:dyDescent="0.25">
      <c r="A26" s="23"/>
      <c r="B26" s="23" t="s">
        <v>32</v>
      </c>
      <c r="C26" s="23" t="s">
        <v>331</v>
      </c>
      <c r="D26" s="23"/>
      <c r="E26" s="23" t="s">
        <v>1613</v>
      </c>
      <c r="F26" s="24">
        <v>10</v>
      </c>
      <c r="G26" s="24">
        <v>0</v>
      </c>
      <c r="H26" s="24">
        <v>25</v>
      </c>
      <c r="I26" s="24">
        <f t="shared" si="0"/>
        <v>-25</v>
      </c>
      <c r="J26" s="23" t="s">
        <v>169</v>
      </c>
      <c r="K26" s="23" t="s">
        <v>37</v>
      </c>
      <c r="L26" s="23" t="s">
        <v>1561</v>
      </c>
      <c r="M26" s="23" t="s">
        <v>148</v>
      </c>
      <c r="N26" s="23"/>
      <c r="O26" s="23"/>
      <c r="P26" s="23"/>
      <c r="Q26" s="23">
        <v>1</v>
      </c>
      <c r="R26" s="25">
        <f>H26</f>
        <v>25</v>
      </c>
    </row>
    <row r="27" spans="1:18" customFormat="1" x14ac:dyDescent="0.25">
      <c r="A27" s="19"/>
      <c r="B27" s="19" t="s">
        <v>32</v>
      </c>
      <c r="C27" s="19" t="s">
        <v>1095</v>
      </c>
      <c r="D27" s="19" t="s">
        <v>1614</v>
      </c>
      <c r="E27" s="19" t="s">
        <v>1615</v>
      </c>
      <c r="F27" s="20">
        <v>3</v>
      </c>
      <c r="G27" s="20">
        <v>855</v>
      </c>
      <c r="H27" s="20">
        <v>25</v>
      </c>
      <c r="I27" s="20">
        <f t="shared" si="0"/>
        <v>830</v>
      </c>
      <c r="J27" s="19" t="s">
        <v>169</v>
      </c>
      <c r="K27" s="19" t="s">
        <v>37</v>
      </c>
      <c r="L27" s="19" t="s">
        <v>1561</v>
      </c>
      <c r="M27" s="19"/>
      <c r="N27" s="19"/>
      <c r="O27" s="19"/>
      <c r="P27" s="19"/>
      <c r="Q27" s="19">
        <v>1</v>
      </c>
    </row>
    <row r="28" spans="1:18" customFormat="1" x14ac:dyDescent="0.25">
      <c r="A28" s="19"/>
      <c r="B28" s="19" t="s">
        <v>32</v>
      </c>
      <c r="C28" s="19" t="s">
        <v>1616</v>
      </c>
      <c r="D28" s="19" t="s">
        <v>1617</v>
      </c>
      <c r="E28" s="19" t="s">
        <v>1618</v>
      </c>
      <c r="F28" s="20">
        <v>7</v>
      </c>
      <c r="G28" s="20">
        <v>810</v>
      </c>
      <c r="H28" s="20">
        <v>30</v>
      </c>
      <c r="I28" s="20">
        <f t="shared" si="0"/>
        <v>780</v>
      </c>
      <c r="J28" s="19" t="s">
        <v>169</v>
      </c>
      <c r="K28" s="19" t="s">
        <v>37</v>
      </c>
      <c r="L28" s="19" t="s">
        <v>1561</v>
      </c>
      <c r="M28" s="19"/>
      <c r="N28" s="19"/>
      <c r="O28" s="19"/>
      <c r="P28" s="19"/>
      <c r="Q28" s="19">
        <v>1</v>
      </c>
    </row>
    <row r="29" spans="1:18" customFormat="1" x14ac:dyDescent="0.25">
      <c r="A29" s="19"/>
      <c r="B29" s="19" t="s">
        <v>32</v>
      </c>
      <c r="C29" s="19" t="s">
        <v>1619</v>
      </c>
      <c r="D29" s="19" t="s">
        <v>1620</v>
      </c>
      <c r="E29" s="19" t="s">
        <v>1621</v>
      </c>
      <c r="F29" s="20">
        <v>10</v>
      </c>
      <c r="G29" s="20">
        <v>965</v>
      </c>
      <c r="H29" s="20">
        <v>25</v>
      </c>
      <c r="I29" s="20">
        <f t="shared" si="0"/>
        <v>940</v>
      </c>
      <c r="J29" s="19" t="s">
        <v>169</v>
      </c>
      <c r="K29" s="19" t="s">
        <v>37</v>
      </c>
      <c r="L29" s="19" t="s">
        <v>1561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301</v>
      </c>
      <c r="D30" s="19" t="s">
        <v>1622</v>
      </c>
      <c r="E30" s="19" t="s">
        <v>1623</v>
      </c>
      <c r="F30" s="20">
        <v>5</v>
      </c>
      <c r="G30" s="20">
        <v>815</v>
      </c>
      <c r="H30" s="20">
        <v>25</v>
      </c>
      <c r="I30" s="20">
        <f t="shared" si="0"/>
        <v>790</v>
      </c>
      <c r="J30" s="19" t="s">
        <v>169</v>
      </c>
      <c r="K30" s="19" t="s">
        <v>37</v>
      </c>
      <c r="L30" s="19" t="s">
        <v>1561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1624</v>
      </c>
      <c r="D31" s="19" t="s">
        <v>1625</v>
      </c>
      <c r="E31" s="19" t="s">
        <v>1626</v>
      </c>
      <c r="F31" s="20">
        <v>10</v>
      </c>
      <c r="G31" s="20">
        <v>805</v>
      </c>
      <c r="H31" s="20">
        <v>25</v>
      </c>
      <c r="I31" s="20">
        <f t="shared" si="0"/>
        <v>780</v>
      </c>
      <c r="J31" s="19" t="s">
        <v>169</v>
      </c>
      <c r="K31" s="19" t="s">
        <v>37</v>
      </c>
      <c r="L31" s="19" t="s">
        <v>1561</v>
      </c>
      <c r="M31" s="19"/>
      <c r="N31" s="19"/>
      <c r="O31" s="19"/>
      <c r="P31" s="19"/>
      <c r="Q31" s="19">
        <v>1</v>
      </c>
    </row>
    <row r="32" spans="1:18" customFormat="1" x14ac:dyDescent="0.25">
      <c r="A32" s="19"/>
      <c r="B32" s="19" t="s">
        <v>32</v>
      </c>
      <c r="C32" s="19" t="s">
        <v>542</v>
      </c>
      <c r="D32" s="19" t="s">
        <v>1627</v>
      </c>
      <c r="E32" s="19" t="s">
        <v>544</v>
      </c>
      <c r="F32" s="19" t="s">
        <v>317</v>
      </c>
      <c r="G32" s="20">
        <v>2550</v>
      </c>
      <c r="H32" s="20">
        <v>25</v>
      </c>
      <c r="I32" s="20">
        <f t="shared" si="0"/>
        <v>2525</v>
      </c>
      <c r="J32" s="19" t="s">
        <v>169</v>
      </c>
      <c r="K32" s="19" t="s">
        <v>37</v>
      </c>
      <c r="L32" s="19" t="s">
        <v>1561</v>
      </c>
      <c r="M32" s="22" t="s">
        <v>183</v>
      </c>
      <c r="N32" s="19"/>
      <c r="O32" s="19"/>
      <c r="P32" s="19"/>
      <c r="Q32" s="19">
        <v>1</v>
      </c>
      <c r="R32" s="21">
        <f>H32</f>
        <v>25</v>
      </c>
    </row>
    <row r="33" spans="1:18" customFormat="1" x14ac:dyDescent="0.25">
      <c r="A33" s="19"/>
      <c r="B33" s="19" t="s">
        <v>32</v>
      </c>
      <c r="C33" s="19" t="s">
        <v>1628</v>
      </c>
      <c r="D33" s="19" t="s">
        <v>1629</v>
      </c>
      <c r="E33" s="19" t="s">
        <v>1630</v>
      </c>
      <c r="F33" s="20">
        <v>3</v>
      </c>
      <c r="G33" s="20">
        <v>895</v>
      </c>
      <c r="H33" s="20">
        <v>25</v>
      </c>
      <c r="I33" s="20">
        <f t="shared" si="0"/>
        <v>870</v>
      </c>
      <c r="J33" s="19" t="s">
        <v>169</v>
      </c>
      <c r="K33" s="19" t="s">
        <v>37</v>
      </c>
      <c r="L33" s="19" t="s">
        <v>1561</v>
      </c>
      <c r="M33" s="19"/>
      <c r="N33" s="19"/>
      <c r="O33" s="19"/>
      <c r="P33" s="19"/>
      <c r="Q33" s="19">
        <v>1</v>
      </c>
    </row>
    <row r="34" spans="1:18" customFormat="1" x14ac:dyDescent="0.25">
      <c r="A34" s="19"/>
      <c r="B34" s="19" t="s">
        <v>32</v>
      </c>
      <c r="C34" s="19" t="s">
        <v>184</v>
      </c>
      <c r="D34" s="19" t="s">
        <v>1631</v>
      </c>
      <c r="E34" s="19" t="s">
        <v>186</v>
      </c>
      <c r="F34" s="20">
        <v>1</v>
      </c>
      <c r="G34" s="20">
        <v>895</v>
      </c>
      <c r="H34" s="20">
        <v>25</v>
      </c>
      <c r="I34" s="20">
        <f t="shared" si="0"/>
        <v>870</v>
      </c>
      <c r="J34" s="19" t="s">
        <v>169</v>
      </c>
      <c r="K34" s="19" t="s">
        <v>37</v>
      </c>
      <c r="L34" s="19" t="s">
        <v>1561</v>
      </c>
      <c r="M34" s="19"/>
      <c r="N34" s="19"/>
      <c r="O34" s="19"/>
      <c r="P34" s="19"/>
      <c r="Q34" s="19">
        <v>1</v>
      </c>
    </row>
    <row r="35" spans="1:18" customFormat="1" x14ac:dyDescent="0.25">
      <c r="A35" s="19"/>
      <c r="B35" s="19" t="s">
        <v>32</v>
      </c>
      <c r="C35" s="19" t="s">
        <v>869</v>
      </c>
      <c r="D35" s="19" t="s">
        <v>1632</v>
      </c>
      <c r="E35" s="19" t="s">
        <v>871</v>
      </c>
      <c r="F35" s="20">
        <v>8</v>
      </c>
      <c r="G35" s="20">
        <v>970</v>
      </c>
      <c r="H35" s="20">
        <v>30</v>
      </c>
      <c r="I35" s="20">
        <f t="shared" si="0"/>
        <v>940</v>
      </c>
      <c r="J35" s="19" t="s">
        <v>169</v>
      </c>
      <c r="K35" s="19" t="s">
        <v>37</v>
      </c>
      <c r="L35" s="19" t="s">
        <v>1561</v>
      </c>
      <c r="M35" s="19"/>
      <c r="N35" s="19"/>
      <c r="O35" s="19"/>
      <c r="P35" s="19"/>
      <c r="Q35" s="19">
        <v>1</v>
      </c>
    </row>
    <row r="36" spans="1:18" customFormat="1" x14ac:dyDescent="0.25">
      <c r="A36" s="19"/>
      <c r="B36" s="19" t="s">
        <v>32</v>
      </c>
      <c r="C36" s="19" t="s">
        <v>1633</v>
      </c>
      <c r="D36" s="19" t="s">
        <v>1634</v>
      </c>
      <c r="E36" s="19" t="s">
        <v>1635</v>
      </c>
      <c r="F36" s="20">
        <v>4</v>
      </c>
      <c r="G36" s="20">
        <v>615</v>
      </c>
      <c r="H36" s="20">
        <v>25</v>
      </c>
      <c r="I36" s="20">
        <f t="shared" si="0"/>
        <v>590</v>
      </c>
      <c r="J36" s="19" t="s">
        <v>169</v>
      </c>
      <c r="K36" s="19" t="s">
        <v>37</v>
      </c>
      <c r="L36" s="19" t="s">
        <v>1561</v>
      </c>
      <c r="M36" s="19"/>
      <c r="N36" s="19"/>
      <c r="O36" s="19"/>
      <c r="P36" s="19"/>
      <c r="Q36" s="19">
        <v>1</v>
      </c>
    </row>
    <row r="37" spans="1:18" customFormat="1" x14ac:dyDescent="0.25">
      <c r="A37" s="19"/>
      <c r="B37" s="19" t="s">
        <v>32</v>
      </c>
      <c r="C37" s="19" t="s">
        <v>1636</v>
      </c>
      <c r="D37" s="19" t="s">
        <v>1637</v>
      </c>
      <c r="E37" s="19" t="s">
        <v>1638</v>
      </c>
      <c r="F37" s="20">
        <v>8</v>
      </c>
      <c r="G37" s="20">
        <v>6710</v>
      </c>
      <c r="H37" s="20">
        <v>25</v>
      </c>
      <c r="I37" s="20">
        <f t="shared" si="0"/>
        <v>6685</v>
      </c>
      <c r="J37" s="19" t="s">
        <v>169</v>
      </c>
      <c r="K37" s="19" t="s">
        <v>37</v>
      </c>
      <c r="L37" s="19" t="s">
        <v>1561</v>
      </c>
      <c r="M37" s="19"/>
      <c r="N37" s="19"/>
      <c r="O37" s="19"/>
      <c r="P37" s="19"/>
      <c r="Q37" s="19">
        <v>1</v>
      </c>
    </row>
    <row r="38" spans="1:18" customFormat="1" x14ac:dyDescent="0.25">
      <c r="A38" s="19"/>
      <c r="B38" s="19" t="s">
        <v>32</v>
      </c>
      <c r="C38" s="19" t="s">
        <v>1639</v>
      </c>
      <c r="D38" s="19" t="s">
        <v>1640</v>
      </c>
      <c r="E38" s="19" t="s">
        <v>1641</v>
      </c>
      <c r="F38" s="19" t="s">
        <v>173</v>
      </c>
      <c r="G38" s="20">
        <v>1705</v>
      </c>
      <c r="H38" s="20">
        <v>25</v>
      </c>
      <c r="I38" s="20">
        <f t="shared" si="0"/>
        <v>1680</v>
      </c>
      <c r="J38" s="19" t="s">
        <v>169</v>
      </c>
      <c r="K38" s="19" t="s">
        <v>37</v>
      </c>
      <c r="L38" s="19" t="s">
        <v>1561</v>
      </c>
      <c r="M38" s="19"/>
      <c r="N38" s="19"/>
      <c r="O38" s="19"/>
      <c r="P38" s="19"/>
      <c r="Q38" s="19">
        <v>1</v>
      </c>
    </row>
    <row r="39" spans="1:18" customFormat="1" x14ac:dyDescent="0.25">
      <c r="A39" s="19"/>
      <c r="B39" s="19" t="s">
        <v>32</v>
      </c>
      <c r="C39" s="19" t="s">
        <v>1642</v>
      </c>
      <c r="D39" s="19" t="s">
        <v>1643</v>
      </c>
      <c r="E39" s="19" t="s">
        <v>1644</v>
      </c>
      <c r="F39" s="19" t="s">
        <v>317</v>
      </c>
      <c r="G39" s="20">
        <v>1610</v>
      </c>
      <c r="H39" s="20">
        <v>20</v>
      </c>
      <c r="I39" s="20">
        <f t="shared" si="0"/>
        <v>1590</v>
      </c>
      <c r="J39" s="19" t="s">
        <v>169</v>
      </c>
      <c r="K39" s="19" t="s">
        <v>37</v>
      </c>
      <c r="L39" s="19" t="s">
        <v>1561</v>
      </c>
      <c r="M39" s="19"/>
      <c r="N39" s="19"/>
      <c r="O39" s="19"/>
      <c r="P39" s="19"/>
      <c r="Q39" s="19">
        <v>1</v>
      </c>
    </row>
    <row r="40" spans="1:18" customFormat="1" x14ac:dyDescent="0.25">
      <c r="A40" s="19"/>
      <c r="B40" s="19" t="s">
        <v>32</v>
      </c>
      <c r="C40" s="19" t="s">
        <v>1645</v>
      </c>
      <c r="D40" s="19" t="s">
        <v>1646</v>
      </c>
      <c r="E40" s="19" t="s">
        <v>1647</v>
      </c>
      <c r="F40" s="19" t="s">
        <v>173</v>
      </c>
      <c r="G40" s="20">
        <v>0</v>
      </c>
      <c r="H40" s="20">
        <v>25</v>
      </c>
      <c r="I40" s="20">
        <f t="shared" si="0"/>
        <v>-25</v>
      </c>
      <c r="J40" s="19" t="s">
        <v>169</v>
      </c>
      <c r="K40" s="19" t="s">
        <v>37</v>
      </c>
      <c r="L40" s="19" t="s">
        <v>1561</v>
      </c>
      <c r="M40" s="19"/>
      <c r="N40" s="19"/>
      <c r="O40" s="19"/>
      <c r="P40" s="19"/>
      <c r="Q40" s="19">
        <v>1</v>
      </c>
      <c r="R40" s="21">
        <f>H40</f>
        <v>25</v>
      </c>
    </row>
    <row r="41" spans="1:18" customFormat="1" x14ac:dyDescent="0.25">
      <c r="A41" s="19"/>
      <c r="B41" s="19" t="s">
        <v>32</v>
      </c>
      <c r="C41" s="19" t="s">
        <v>1648</v>
      </c>
      <c r="D41" s="19" t="s">
        <v>1649</v>
      </c>
      <c r="E41" s="19" t="s">
        <v>1650</v>
      </c>
      <c r="F41" s="20">
        <v>3</v>
      </c>
      <c r="G41" s="20">
        <v>765</v>
      </c>
      <c r="H41" s="20">
        <v>25</v>
      </c>
      <c r="I41" s="20">
        <f t="shared" si="0"/>
        <v>740</v>
      </c>
      <c r="J41" s="19" t="s">
        <v>169</v>
      </c>
      <c r="K41" s="19" t="s">
        <v>37</v>
      </c>
      <c r="L41" s="19" t="s">
        <v>1561</v>
      </c>
      <c r="M41" s="19"/>
      <c r="N41" s="19"/>
      <c r="O41" s="19"/>
      <c r="P41" s="19"/>
      <c r="Q41" s="19">
        <v>1</v>
      </c>
    </row>
    <row r="42" spans="1:18" customFormat="1" x14ac:dyDescent="0.25">
      <c r="A42" s="19"/>
      <c r="B42" s="19" t="s">
        <v>32</v>
      </c>
      <c r="C42" s="19" t="s">
        <v>1441</v>
      </c>
      <c r="D42" s="19" t="s">
        <v>1651</v>
      </c>
      <c r="E42" s="19" t="s">
        <v>1652</v>
      </c>
      <c r="F42" s="19" t="s">
        <v>317</v>
      </c>
      <c r="G42" s="20">
        <v>0</v>
      </c>
      <c r="H42" s="20">
        <v>20</v>
      </c>
      <c r="I42" s="20">
        <f t="shared" si="0"/>
        <v>-20</v>
      </c>
      <c r="J42" s="19" t="s">
        <v>169</v>
      </c>
      <c r="K42" s="19" t="s">
        <v>37</v>
      </c>
      <c r="L42" s="19" t="s">
        <v>1561</v>
      </c>
      <c r="M42" s="19"/>
      <c r="N42" s="19"/>
      <c r="O42" s="19"/>
      <c r="P42" s="19"/>
      <c r="Q42" s="19">
        <v>1</v>
      </c>
      <c r="R42" s="21">
        <f>H42</f>
        <v>20</v>
      </c>
    </row>
    <row r="43" spans="1:18" customFormat="1" x14ac:dyDescent="0.25">
      <c r="A43" s="19"/>
      <c r="B43" s="19" t="s">
        <v>32</v>
      </c>
      <c r="C43" s="19" t="s">
        <v>1601</v>
      </c>
      <c r="D43" s="19" t="s">
        <v>1653</v>
      </c>
      <c r="E43" s="19" t="s">
        <v>1654</v>
      </c>
      <c r="F43" s="20">
        <v>3</v>
      </c>
      <c r="G43" s="20">
        <v>805</v>
      </c>
      <c r="H43" s="20">
        <v>25</v>
      </c>
      <c r="I43" s="20">
        <f t="shared" si="0"/>
        <v>780</v>
      </c>
      <c r="J43" s="19" t="s">
        <v>169</v>
      </c>
      <c r="K43" s="19" t="s">
        <v>37</v>
      </c>
      <c r="L43" s="19" t="s">
        <v>1561</v>
      </c>
      <c r="M43" s="19"/>
      <c r="N43" s="19"/>
      <c r="O43" s="19"/>
      <c r="P43" s="19"/>
      <c r="Q43" s="19">
        <v>1</v>
      </c>
    </row>
    <row r="44" spans="1:18" customFormat="1" x14ac:dyDescent="0.25">
      <c r="A44" s="19"/>
      <c r="B44" s="19" t="s">
        <v>32</v>
      </c>
      <c r="C44" s="19" t="s">
        <v>1108</v>
      </c>
      <c r="D44" s="19" t="s">
        <v>1655</v>
      </c>
      <c r="E44" s="19" t="s">
        <v>1110</v>
      </c>
      <c r="F44" s="20">
        <v>4</v>
      </c>
      <c r="G44" s="20">
        <v>965</v>
      </c>
      <c r="H44" s="20">
        <v>25</v>
      </c>
      <c r="I44" s="20">
        <f t="shared" si="0"/>
        <v>940</v>
      </c>
      <c r="J44" s="19" t="s">
        <v>169</v>
      </c>
      <c r="K44" s="19" t="s">
        <v>37</v>
      </c>
      <c r="L44" s="19" t="s">
        <v>1561</v>
      </c>
      <c r="M44" s="19"/>
      <c r="N44" s="19"/>
      <c r="O44" s="19"/>
      <c r="P44" s="19"/>
      <c r="Q44" s="19">
        <v>1</v>
      </c>
    </row>
    <row r="45" spans="1:18" customFormat="1" x14ac:dyDescent="0.25">
      <c r="A45" s="19"/>
      <c r="B45" s="19" t="s">
        <v>32</v>
      </c>
      <c r="C45" s="19" t="s">
        <v>1656</v>
      </c>
      <c r="D45" s="19" t="s">
        <v>1657</v>
      </c>
      <c r="E45" s="19" t="s">
        <v>745</v>
      </c>
      <c r="F45" s="19" t="s">
        <v>173</v>
      </c>
      <c r="G45" s="20">
        <v>0</v>
      </c>
      <c r="H45" s="20">
        <v>25</v>
      </c>
      <c r="I45" s="20">
        <f t="shared" si="0"/>
        <v>-25</v>
      </c>
      <c r="J45" s="19" t="s">
        <v>169</v>
      </c>
      <c r="K45" s="19" t="s">
        <v>37</v>
      </c>
      <c r="L45" s="19" t="s">
        <v>1561</v>
      </c>
      <c r="M45" s="19"/>
      <c r="N45" s="19"/>
      <c r="O45" s="19"/>
      <c r="P45" s="19"/>
      <c r="Q45" s="19">
        <v>1</v>
      </c>
      <c r="R45" s="21">
        <f>H45</f>
        <v>25</v>
      </c>
    </row>
    <row r="47" spans="1:18" x14ac:dyDescent="0.25">
      <c r="G47" s="1">
        <f t="shared" ref="G47:R47" si="2">SUBTOTAL(9,G3:G45)</f>
        <v>40850</v>
      </c>
      <c r="H47" s="1">
        <f t="shared" si="2"/>
        <v>1140</v>
      </c>
      <c r="I47" s="1">
        <f t="shared" si="2"/>
        <v>39710</v>
      </c>
      <c r="J47" s="1">
        <f t="shared" si="2"/>
        <v>0</v>
      </c>
      <c r="K47" s="1">
        <f t="shared" si="2"/>
        <v>0</v>
      </c>
      <c r="L47" s="1">
        <f t="shared" si="2"/>
        <v>0</v>
      </c>
      <c r="M47" s="1">
        <f t="shared" si="2"/>
        <v>0</v>
      </c>
      <c r="N47" s="1">
        <f t="shared" si="2"/>
        <v>0</v>
      </c>
      <c r="O47" s="1">
        <f t="shared" si="2"/>
        <v>0</v>
      </c>
      <c r="P47" s="1">
        <f t="shared" si="2"/>
        <v>0</v>
      </c>
      <c r="Q47" s="1">
        <f t="shared" si="2"/>
        <v>43</v>
      </c>
      <c r="R47" s="1">
        <f t="shared" si="2"/>
        <v>325</v>
      </c>
    </row>
    <row r="51" spans="1:12" ht="20.25" customHeight="1" x14ac:dyDescent="0.3">
      <c r="H51" s="4" t="s">
        <v>1469</v>
      </c>
      <c r="I51" s="5" t="s">
        <v>15</v>
      </c>
      <c r="J51" s="6" t="s">
        <v>16</v>
      </c>
    </row>
    <row r="52" spans="1:12" ht="15.75" customHeight="1" x14ac:dyDescent="0.25">
      <c r="H52" s="7" t="s">
        <v>17</v>
      </c>
      <c r="I52" s="8">
        <f>SUM(I46:I50)</f>
        <v>39710</v>
      </c>
      <c r="J52" s="8">
        <f>Q47</f>
        <v>43</v>
      </c>
    </row>
    <row r="53" spans="1:12" x14ac:dyDescent="0.25">
      <c r="H53" s="9" t="s">
        <v>18</v>
      </c>
      <c r="I53" s="10">
        <f>R47</f>
        <v>325</v>
      </c>
      <c r="J53" s="11"/>
    </row>
    <row r="54" spans="1:12" x14ac:dyDescent="0.25">
      <c r="H54" s="9" t="s">
        <v>19</v>
      </c>
      <c r="I54" s="10">
        <f>S46</f>
        <v>0</v>
      </c>
      <c r="J54" s="11"/>
    </row>
    <row r="55" spans="1:12" x14ac:dyDescent="0.25">
      <c r="H55" s="9" t="s">
        <v>20</v>
      </c>
      <c r="I55" s="10">
        <f>T46</f>
        <v>0</v>
      </c>
      <c r="J55" s="11"/>
    </row>
    <row r="56" spans="1:12" x14ac:dyDescent="0.25">
      <c r="H56" s="9" t="s">
        <v>21</v>
      </c>
      <c r="I56" s="10">
        <f>U46</f>
        <v>0</v>
      </c>
      <c r="J56" s="11"/>
    </row>
    <row r="57" spans="1:12" ht="15.75" customHeight="1" x14ac:dyDescent="0.25">
      <c r="H57" s="12" t="s">
        <v>22</v>
      </c>
      <c r="I57" s="13"/>
      <c r="J57" s="13"/>
    </row>
    <row r="58" spans="1:12" ht="15.75" customHeight="1" x14ac:dyDescent="0.25">
      <c r="H58" s="14" t="s">
        <v>23</v>
      </c>
      <c r="I58" s="13"/>
      <c r="J58" s="13"/>
    </row>
    <row r="59" spans="1:12" ht="21" customHeight="1" x14ac:dyDescent="0.35">
      <c r="H59" s="15" t="s">
        <v>24</v>
      </c>
      <c r="I59" s="16">
        <f>SUM(I52:I58)</f>
        <v>40035</v>
      </c>
      <c r="J59" s="16">
        <f>SUM(J52:J56)</f>
        <v>43</v>
      </c>
    </row>
    <row r="61" spans="1:12" x14ac:dyDescent="0.25">
      <c r="A61" s="1" t="s">
        <v>199</v>
      </c>
    </row>
    <row r="62" spans="1:12" x14ac:dyDescent="0.25">
      <c r="A62" s="39" t="s">
        <v>32</v>
      </c>
      <c r="B62" s="39" t="s">
        <v>1605</v>
      </c>
      <c r="C62" s="39" t="s">
        <v>1606</v>
      </c>
      <c r="D62" s="39" t="s">
        <v>1607</v>
      </c>
      <c r="E62" s="39" t="s">
        <v>124</v>
      </c>
      <c r="F62" s="39">
        <v>0</v>
      </c>
      <c r="G62" s="39">
        <v>20</v>
      </c>
      <c r="H62" s="39">
        <v>-20</v>
      </c>
      <c r="I62" s="39" t="s">
        <v>37</v>
      </c>
      <c r="J62" s="39" t="s">
        <v>37</v>
      </c>
      <c r="K62" s="39" t="s">
        <v>1561</v>
      </c>
      <c r="L62" s="38" t="s">
        <v>1658</v>
      </c>
    </row>
  </sheetData>
  <autoFilter ref="A2:P45" xr:uid="{00000000-0009-0000-0000-000006000000}">
    <sortState xmlns:xlrd2="http://schemas.microsoft.com/office/spreadsheetml/2017/richdata2" ref="A3:P45">
      <sortCondition ref="J2:J45"/>
    </sortState>
  </autoFilter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BF83-1A43-4BF0-8272-AB76E3323BE7}">
  <dimension ref="A1:R67"/>
  <sheetViews>
    <sheetView topLeftCell="A45" zoomScale="82" zoomScaleNormal="80" workbookViewId="0">
      <selection activeCell="A54" sqref="A54:XFD68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1558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139</v>
      </c>
      <c r="D3" s="19" t="s">
        <v>1659</v>
      </c>
      <c r="E3" s="19" t="s">
        <v>1477</v>
      </c>
      <c r="F3" s="20">
        <v>9</v>
      </c>
      <c r="G3" s="20">
        <v>910</v>
      </c>
      <c r="H3" s="20">
        <v>30</v>
      </c>
      <c r="I3" s="20">
        <f t="shared" ref="I3:I53" si="0">G3-H3</f>
        <v>880</v>
      </c>
      <c r="J3" s="19" t="s">
        <v>36</v>
      </c>
      <c r="K3" s="19" t="s">
        <v>37</v>
      </c>
      <c r="L3" s="19" t="s">
        <v>1660</v>
      </c>
      <c r="M3" s="19"/>
      <c r="N3" s="19"/>
      <c r="O3" s="19"/>
      <c r="P3" s="19"/>
      <c r="Q3" s="19">
        <v>1</v>
      </c>
    </row>
    <row r="4" spans="1:18" customFormat="1" x14ac:dyDescent="0.25">
      <c r="A4" s="19"/>
      <c r="B4" s="19" t="s">
        <v>32</v>
      </c>
      <c r="C4" s="19" t="s">
        <v>1661</v>
      </c>
      <c r="D4" s="19" t="s">
        <v>1662</v>
      </c>
      <c r="E4" s="19" t="s">
        <v>1663</v>
      </c>
      <c r="F4" s="20">
        <v>9</v>
      </c>
      <c r="G4" s="20">
        <v>760</v>
      </c>
      <c r="H4" s="20">
        <v>30</v>
      </c>
      <c r="I4" s="20">
        <f t="shared" si="0"/>
        <v>730</v>
      </c>
      <c r="J4" s="19" t="s">
        <v>36</v>
      </c>
      <c r="K4" s="19" t="s">
        <v>37</v>
      </c>
      <c r="L4" s="19" t="s">
        <v>1660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1256</v>
      </c>
      <c r="D5" s="19" t="s">
        <v>1664</v>
      </c>
      <c r="E5" s="19" t="s">
        <v>1258</v>
      </c>
      <c r="F5" s="20">
        <v>9</v>
      </c>
      <c r="G5" s="20">
        <v>860</v>
      </c>
      <c r="H5" s="20">
        <v>30</v>
      </c>
      <c r="I5" s="20">
        <f t="shared" si="0"/>
        <v>830</v>
      </c>
      <c r="J5" s="19" t="s">
        <v>36</v>
      </c>
      <c r="K5" s="19" t="s">
        <v>37</v>
      </c>
      <c r="L5" s="19" t="s">
        <v>1660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1665</v>
      </c>
      <c r="D6" s="19" t="s">
        <v>1666</v>
      </c>
      <c r="E6" s="19" t="s">
        <v>1667</v>
      </c>
      <c r="F6" s="19" t="s">
        <v>45</v>
      </c>
      <c r="G6" s="20">
        <v>770</v>
      </c>
      <c r="H6" s="20">
        <v>30</v>
      </c>
      <c r="I6" s="20">
        <f t="shared" si="0"/>
        <v>740</v>
      </c>
      <c r="J6" s="19" t="s">
        <v>1668</v>
      </c>
      <c r="K6" s="19" t="s">
        <v>37</v>
      </c>
      <c r="L6" s="19" t="s">
        <v>1660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223</v>
      </c>
      <c r="D7" s="19" t="s">
        <v>1669</v>
      </c>
      <c r="E7" s="19" t="s">
        <v>225</v>
      </c>
      <c r="F7" s="19" t="s">
        <v>45</v>
      </c>
      <c r="G7" s="20">
        <v>810</v>
      </c>
      <c r="H7" s="20">
        <v>30</v>
      </c>
      <c r="I7" s="20">
        <f t="shared" si="0"/>
        <v>780</v>
      </c>
      <c r="J7" s="19" t="s">
        <v>1668</v>
      </c>
      <c r="K7" s="19" t="s">
        <v>37</v>
      </c>
      <c r="L7" s="19" t="s">
        <v>1660</v>
      </c>
      <c r="M7" s="19"/>
      <c r="N7" s="19"/>
      <c r="O7" s="19"/>
      <c r="P7" s="19"/>
      <c r="Q7" s="19">
        <v>1</v>
      </c>
    </row>
    <row r="8" spans="1:18" customFormat="1" x14ac:dyDescent="0.25">
      <c r="A8" s="19"/>
      <c r="B8" s="19" t="s">
        <v>32</v>
      </c>
      <c r="C8" s="19" t="s">
        <v>1670</v>
      </c>
      <c r="D8" s="19" t="s">
        <v>1671</v>
      </c>
      <c r="E8" s="19" t="s">
        <v>1672</v>
      </c>
      <c r="F8" s="20">
        <v>6</v>
      </c>
      <c r="G8" s="20">
        <v>965</v>
      </c>
      <c r="H8" s="20">
        <v>25</v>
      </c>
      <c r="I8" s="20">
        <f t="shared" si="0"/>
        <v>940</v>
      </c>
      <c r="J8" s="19" t="s">
        <v>1668</v>
      </c>
      <c r="K8" s="19" t="s">
        <v>37</v>
      </c>
      <c r="L8" s="19" t="s">
        <v>1660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1673</v>
      </c>
      <c r="D9" s="19" t="s">
        <v>1674</v>
      </c>
      <c r="E9" s="19" t="s">
        <v>1675</v>
      </c>
      <c r="F9" s="19" t="s">
        <v>62</v>
      </c>
      <c r="G9" s="20">
        <v>595</v>
      </c>
      <c r="H9" s="20">
        <v>25</v>
      </c>
      <c r="I9" s="20">
        <f t="shared" si="0"/>
        <v>570</v>
      </c>
      <c r="J9" s="19" t="s">
        <v>1668</v>
      </c>
      <c r="K9" s="19" t="s">
        <v>37</v>
      </c>
      <c r="L9" s="19" t="s">
        <v>1660</v>
      </c>
      <c r="M9" s="19"/>
      <c r="N9" s="19"/>
      <c r="O9" s="19"/>
      <c r="P9" s="19"/>
      <c r="Q9" s="19">
        <v>1</v>
      </c>
    </row>
    <row r="10" spans="1:18" customFormat="1" x14ac:dyDescent="0.25">
      <c r="A10" s="19"/>
      <c r="B10" s="19" t="s">
        <v>32</v>
      </c>
      <c r="C10" s="19" t="s">
        <v>1676</v>
      </c>
      <c r="D10" s="19" t="s">
        <v>1677</v>
      </c>
      <c r="E10" s="19" t="s">
        <v>1678</v>
      </c>
      <c r="F10" s="19" t="s">
        <v>45</v>
      </c>
      <c r="G10" s="20">
        <v>910</v>
      </c>
      <c r="H10" s="20">
        <v>30</v>
      </c>
      <c r="I10" s="20">
        <f t="shared" si="0"/>
        <v>880</v>
      </c>
      <c r="J10" s="19" t="s">
        <v>1668</v>
      </c>
      <c r="K10" s="19" t="s">
        <v>37</v>
      </c>
      <c r="L10" s="19" t="s">
        <v>1660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1679</v>
      </c>
      <c r="D11" s="19" t="s">
        <v>1680</v>
      </c>
      <c r="E11" s="19" t="s">
        <v>1681</v>
      </c>
      <c r="F11" s="19" t="s">
        <v>62</v>
      </c>
      <c r="G11" s="20">
        <v>0</v>
      </c>
      <c r="H11" s="20">
        <v>25</v>
      </c>
      <c r="I11" s="20">
        <f t="shared" si="0"/>
        <v>-25</v>
      </c>
      <c r="J11" s="19" t="s">
        <v>1668</v>
      </c>
      <c r="K11" s="19" t="s">
        <v>37</v>
      </c>
      <c r="L11" s="19" t="s">
        <v>1660</v>
      </c>
      <c r="M11" s="19"/>
      <c r="N11" s="19"/>
      <c r="O11" s="19"/>
      <c r="P11" s="19"/>
      <c r="Q11" s="19">
        <v>1</v>
      </c>
      <c r="R11" s="21">
        <f>H11</f>
        <v>25</v>
      </c>
    </row>
    <row r="12" spans="1:18" customFormat="1" x14ac:dyDescent="0.25">
      <c r="A12" s="19"/>
      <c r="B12" s="19" t="s">
        <v>32</v>
      </c>
      <c r="C12" s="19" t="s">
        <v>1682</v>
      </c>
      <c r="D12" s="19" t="s">
        <v>1683</v>
      </c>
      <c r="E12" s="19" t="s">
        <v>1684</v>
      </c>
      <c r="F12" s="19" t="s">
        <v>62</v>
      </c>
      <c r="G12" s="20">
        <v>0</v>
      </c>
      <c r="H12" s="20">
        <v>25</v>
      </c>
      <c r="I12" s="20">
        <f t="shared" si="0"/>
        <v>-25</v>
      </c>
      <c r="J12" s="19" t="s">
        <v>1668</v>
      </c>
      <c r="K12" s="19" t="s">
        <v>37</v>
      </c>
      <c r="L12" s="19" t="s">
        <v>1660</v>
      </c>
      <c r="M12" s="19"/>
      <c r="N12" s="19"/>
      <c r="O12" s="19"/>
      <c r="P12" s="19"/>
      <c r="Q12" s="19">
        <v>1</v>
      </c>
      <c r="R12" s="21">
        <f>H12</f>
        <v>25</v>
      </c>
    </row>
    <row r="13" spans="1:18" s="26" customFormat="1" x14ac:dyDescent="0.25">
      <c r="A13" s="23"/>
      <c r="B13" s="23" t="s">
        <v>32</v>
      </c>
      <c r="C13" s="23" t="s">
        <v>1685</v>
      </c>
      <c r="D13" s="23"/>
      <c r="E13" s="23" t="s">
        <v>1686</v>
      </c>
      <c r="F13" s="23" t="s">
        <v>62</v>
      </c>
      <c r="G13" s="24">
        <v>0</v>
      </c>
      <c r="H13" s="24">
        <v>25</v>
      </c>
      <c r="I13" s="24">
        <f t="shared" si="0"/>
        <v>-25</v>
      </c>
      <c r="J13" s="23" t="s">
        <v>1668</v>
      </c>
      <c r="K13" s="23" t="s">
        <v>37</v>
      </c>
      <c r="L13" s="23" t="s">
        <v>1660</v>
      </c>
      <c r="M13" s="23" t="s">
        <v>148</v>
      </c>
      <c r="N13" s="23"/>
      <c r="O13" s="23"/>
      <c r="P13" s="23"/>
      <c r="Q13" s="23">
        <v>1</v>
      </c>
      <c r="R13" s="25">
        <f>H13</f>
        <v>25</v>
      </c>
    </row>
    <row r="14" spans="1:18" customFormat="1" x14ac:dyDescent="0.25">
      <c r="A14" s="19"/>
      <c r="B14" s="19" t="s">
        <v>32</v>
      </c>
      <c r="C14" s="19" t="s">
        <v>1687</v>
      </c>
      <c r="D14" s="19" t="s">
        <v>1688</v>
      </c>
      <c r="E14" s="19" t="s">
        <v>1689</v>
      </c>
      <c r="F14" s="19" t="s">
        <v>88</v>
      </c>
      <c r="G14" s="20">
        <v>1685</v>
      </c>
      <c r="H14" s="20">
        <v>35</v>
      </c>
      <c r="I14" s="20">
        <f t="shared" si="0"/>
        <v>1650</v>
      </c>
      <c r="J14" s="19" t="s">
        <v>1668</v>
      </c>
      <c r="K14" s="19" t="s">
        <v>37</v>
      </c>
      <c r="L14" s="19" t="s">
        <v>1660</v>
      </c>
      <c r="M14" s="19"/>
      <c r="N14" s="19"/>
      <c r="O14" s="19"/>
      <c r="P14" s="19"/>
      <c r="Q14" s="19">
        <v>1</v>
      </c>
    </row>
    <row r="15" spans="1:18" customFormat="1" x14ac:dyDescent="0.25">
      <c r="A15" s="19"/>
      <c r="B15" s="19" t="s">
        <v>32</v>
      </c>
      <c r="C15" s="19" t="s">
        <v>1690</v>
      </c>
      <c r="D15" s="19" t="s">
        <v>1691</v>
      </c>
      <c r="E15" s="19" t="s">
        <v>1692</v>
      </c>
      <c r="F15" s="19" t="s">
        <v>45</v>
      </c>
      <c r="G15" s="20">
        <v>910</v>
      </c>
      <c r="H15" s="20">
        <v>30</v>
      </c>
      <c r="I15" s="20">
        <f t="shared" si="0"/>
        <v>880</v>
      </c>
      <c r="J15" s="19" t="s">
        <v>1668</v>
      </c>
      <c r="K15" s="19" t="s">
        <v>37</v>
      </c>
      <c r="L15" s="19" t="s">
        <v>1660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1693</v>
      </c>
      <c r="D16" s="19" t="s">
        <v>1694</v>
      </c>
      <c r="E16" s="19" t="s">
        <v>1695</v>
      </c>
      <c r="F16" s="19" t="s">
        <v>173</v>
      </c>
      <c r="G16" s="20">
        <v>0</v>
      </c>
      <c r="H16" s="20">
        <v>25</v>
      </c>
      <c r="I16" s="20">
        <f t="shared" si="0"/>
        <v>-25</v>
      </c>
      <c r="J16" s="19" t="s">
        <v>1668</v>
      </c>
      <c r="K16" s="19" t="s">
        <v>37</v>
      </c>
      <c r="L16" s="19" t="s">
        <v>1660</v>
      </c>
      <c r="M16" s="19"/>
      <c r="N16" s="19"/>
      <c r="O16" s="19"/>
      <c r="P16" s="19"/>
      <c r="Q16" s="19">
        <v>1</v>
      </c>
      <c r="R16" s="21">
        <f>H16</f>
        <v>25</v>
      </c>
    </row>
    <row r="17" spans="1:18" customFormat="1" x14ac:dyDescent="0.25">
      <c r="A17" s="19"/>
      <c r="B17" s="19" t="s">
        <v>32</v>
      </c>
      <c r="C17" s="19" t="s">
        <v>1696</v>
      </c>
      <c r="D17" s="19" t="s">
        <v>1697</v>
      </c>
      <c r="E17" s="19" t="s">
        <v>1698</v>
      </c>
      <c r="F17" s="19" t="s">
        <v>173</v>
      </c>
      <c r="G17" s="20">
        <v>380</v>
      </c>
      <c r="H17" s="20">
        <v>30</v>
      </c>
      <c r="I17" s="20">
        <f t="shared" si="0"/>
        <v>350</v>
      </c>
      <c r="J17" s="19" t="s">
        <v>1668</v>
      </c>
      <c r="K17" s="19" t="s">
        <v>37</v>
      </c>
      <c r="L17" s="19" t="s">
        <v>1660</v>
      </c>
      <c r="M17" s="19"/>
      <c r="N17" s="19"/>
      <c r="O17" s="19"/>
      <c r="P17" s="19"/>
      <c r="Q17" s="19">
        <v>1</v>
      </c>
    </row>
    <row r="18" spans="1:18" customFormat="1" x14ac:dyDescent="0.25">
      <c r="A18" s="19" t="s">
        <v>107</v>
      </c>
      <c r="B18" s="19" t="s">
        <v>32</v>
      </c>
      <c r="C18" s="19" t="s">
        <v>1699</v>
      </c>
      <c r="D18" s="19"/>
      <c r="E18" s="19" t="s">
        <v>1700</v>
      </c>
      <c r="F18" s="19" t="s">
        <v>45</v>
      </c>
      <c r="G18" s="20">
        <v>0</v>
      </c>
      <c r="H18" s="20">
        <v>35</v>
      </c>
      <c r="I18" s="20">
        <f t="shared" si="0"/>
        <v>-35</v>
      </c>
      <c r="J18" s="19" t="s">
        <v>1668</v>
      </c>
      <c r="K18" s="19" t="s">
        <v>37</v>
      </c>
      <c r="L18" s="19" t="s">
        <v>1660</v>
      </c>
      <c r="M18" s="19"/>
      <c r="N18" s="19"/>
      <c r="O18" s="19"/>
      <c r="P18" s="19"/>
      <c r="Q18" s="19">
        <v>1</v>
      </c>
      <c r="R18" s="21">
        <f t="shared" ref="R18:R19" si="1">H18</f>
        <v>35</v>
      </c>
    </row>
    <row r="19" spans="1:18" customFormat="1" x14ac:dyDescent="0.25">
      <c r="A19" s="19" t="s">
        <v>107</v>
      </c>
      <c r="B19" s="19" t="s">
        <v>32</v>
      </c>
      <c r="C19" s="19" t="s">
        <v>1297</v>
      </c>
      <c r="D19" s="19"/>
      <c r="E19" s="19" t="s">
        <v>1701</v>
      </c>
      <c r="F19" s="20">
        <v>6</v>
      </c>
      <c r="G19" s="20">
        <v>0</v>
      </c>
      <c r="H19" s="20">
        <v>30</v>
      </c>
      <c r="I19" s="20">
        <f t="shared" si="0"/>
        <v>-30</v>
      </c>
      <c r="J19" s="19" t="s">
        <v>1668</v>
      </c>
      <c r="K19" s="19" t="s">
        <v>37</v>
      </c>
      <c r="L19" s="19" t="s">
        <v>1660</v>
      </c>
      <c r="M19" s="19"/>
      <c r="N19" s="19"/>
      <c r="O19" s="19"/>
      <c r="P19" s="19"/>
      <c r="Q19" s="19">
        <v>1</v>
      </c>
      <c r="R19" s="21">
        <f t="shared" si="1"/>
        <v>30</v>
      </c>
    </row>
    <row r="20" spans="1:18" customFormat="1" x14ac:dyDescent="0.25">
      <c r="A20" s="19" t="s">
        <v>107</v>
      </c>
      <c r="B20" s="19" t="s">
        <v>32</v>
      </c>
      <c r="C20" s="19" t="s">
        <v>112</v>
      </c>
      <c r="D20" s="19"/>
      <c r="E20" s="19" t="s">
        <v>113</v>
      </c>
      <c r="F20" s="20">
        <v>6</v>
      </c>
      <c r="G20" s="20">
        <v>40</v>
      </c>
      <c r="H20" s="20">
        <v>40</v>
      </c>
      <c r="I20" s="20">
        <f t="shared" si="0"/>
        <v>0</v>
      </c>
      <c r="J20" s="19" t="s">
        <v>1668</v>
      </c>
      <c r="K20" s="19" t="s">
        <v>37</v>
      </c>
      <c r="L20" s="19" t="s">
        <v>1660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1605</v>
      </c>
      <c r="D21" s="19" t="s">
        <v>1702</v>
      </c>
      <c r="E21" s="19" t="s">
        <v>1607</v>
      </c>
      <c r="F21" s="19" t="s">
        <v>124</v>
      </c>
      <c r="G21" s="20">
        <v>0</v>
      </c>
      <c r="H21" s="20">
        <v>20</v>
      </c>
      <c r="I21" s="20">
        <f t="shared" si="0"/>
        <v>-20</v>
      </c>
      <c r="J21" s="19" t="s">
        <v>37</v>
      </c>
      <c r="K21" s="19" t="s">
        <v>37</v>
      </c>
      <c r="L21" s="19" t="s">
        <v>1660</v>
      </c>
      <c r="M21" s="22" t="s">
        <v>1658</v>
      </c>
      <c r="N21" s="19"/>
      <c r="O21" s="19"/>
      <c r="P21" s="19"/>
      <c r="Q21" s="19">
        <v>1</v>
      </c>
      <c r="R21" s="21">
        <f>H21</f>
        <v>20</v>
      </c>
    </row>
    <row r="22" spans="1:18" customFormat="1" x14ac:dyDescent="0.25">
      <c r="A22" s="19"/>
      <c r="B22" s="19" t="s">
        <v>32</v>
      </c>
      <c r="C22" s="19" t="s">
        <v>1703</v>
      </c>
      <c r="D22" s="19" t="s">
        <v>1704</v>
      </c>
      <c r="E22" s="19" t="s">
        <v>1705</v>
      </c>
      <c r="F22" s="20">
        <v>2</v>
      </c>
      <c r="G22" s="20">
        <v>1600</v>
      </c>
      <c r="H22" s="20">
        <v>30</v>
      </c>
      <c r="I22" s="20">
        <f t="shared" si="0"/>
        <v>1570</v>
      </c>
      <c r="J22" s="19" t="s">
        <v>37</v>
      </c>
      <c r="K22" s="19" t="s">
        <v>37</v>
      </c>
      <c r="L22" s="19" t="s">
        <v>1660</v>
      </c>
      <c r="M22" s="19"/>
      <c r="N22" s="19"/>
      <c r="O22" s="19"/>
      <c r="P22" s="19"/>
      <c r="Q22" s="19">
        <v>1</v>
      </c>
    </row>
    <row r="23" spans="1:18" s="26" customFormat="1" x14ac:dyDescent="0.25">
      <c r="A23" s="23"/>
      <c r="B23" s="23" t="s">
        <v>32</v>
      </c>
      <c r="C23" s="23" t="s">
        <v>1080</v>
      </c>
      <c r="D23" s="23" t="s">
        <v>1706</v>
      </c>
      <c r="E23" s="23" t="s">
        <v>1707</v>
      </c>
      <c r="F23" s="24">
        <v>2</v>
      </c>
      <c r="G23" s="24">
        <v>30</v>
      </c>
      <c r="H23" s="24">
        <v>30</v>
      </c>
      <c r="I23" s="24">
        <f t="shared" si="0"/>
        <v>0</v>
      </c>
      <c r="J23" s="23" t="s">
        <v>37</v>
      </c>
      <c r="K23" s="23" t="s">
        <v>37</v>
      </c>
      <c r="L23" s="23" t="s">
        <v>1660</v>
      </c>
      <c r="M23" s="23" t="s">
        <v>148</v>
      </c>
      <c r="N23" s="23"/>
      <c r="O23" s="23"/>
      <c r="P23" s="23"/>
      <c r="Q23" s="23">
        <v>1</v>
      </c>
    </row>
    <row r="24" spans="1:18" customFormat="1" x14ac:dyDescent="0.25">
      <c r="A24" s="19"/>
      <c r="B24" s="19" t="s">
        <v>32</v>
      </c>
      <c r="C24" s="19" t="s">
        <v>1708</v>
      </c>
      <c r="D24" s="19" t="s">
        <v>1709</v>
      </c>
      <c r="E24" s="19" t="s">
        <v>1710</v>
      </c>
      <c r="F24" s="19" t="s">
        <v>138</v>
      </c>
      <c r="G24" s="20">
        <v>940</v>
      </c>
      <c r="H24" s="20">
        <v>30</v>
      </c>
      <c r="I24" s="20">
        <f t="shared" si="0"/>
        <v>910</v>
      </c>
      <c r="J24" s="19" t="s">
        <v>37</v>
      </c>
      <c r="K24" s="19" t="s">
        <v>37</v>
      </c>
      <c r="L24" s="19" t="s">
        <v>1660</v>
      </c>
      <c r="M24" s="19"/>
      <c r="N24" s="19"/>
      <c r="O24" s="19"/>
      <c r="P24" s="19"/>
      <c r="Q24" s="19">
        <v>1</v>
      </c>
    </row>
    <row r="25" spans="1:18" customFormat="1" x14ac:dyDescent="0.25">
      <c r="A25" s="19"/>
      <c r="B25" s="19" t="s">
        <v>32</v>
      </c>
      <c r="C25" s="19" t="s">
        <v>1711</v>
      </c>
      <c r="D25" s="19" t="s">
        <v>1712</v>
      </c>
      <c r="E25" s="19" t="s">
        <v>1713</v>
      </c>
      <c r="F25" s="20">
        <v>2</v>
      </c>
      <c r="G25" s="20">
        <v>900</v>
      </c>
      <c r="H25" s="20">
        <v>30</v>
      </c>
      <c r="I25" s="20">
        <f t="shared" si="0"/>
        <v>870</v>
      </c>
      <c r="J25" s="19" t="s">
        <v>37</v>
      </c>
      <c r="K25" s="19" t="s">
        <v>37</v>
      </c>
      <c r="L25" s="19" t="s">
        <v>1660</v>
      </c>
      <c r="M25" s="19"/>
      <c r="N25" s="19"/>
      <c r="O25" s="19"/>
      <c r="P25" s="19"/>
      <c r="Q25" s="19">
        <v>1</v>
      </c>
    </row>
    <row r="26" spans="1:18" customFormat="1" x14ac:dyDescent="0.25">
      <c r="A26" s="19"/>
      <c r="B26" s="19" t="s">
        <v>32</v>
      </c>
      <c r="C26" s="19" t="s">
        <v>1390</v>
      </c>
      <c r="D26" s="19" t="s">
        <v>1714</v>
      </c>
      <c r="E26" s="19" t="s">
        <v>1392</v>
      </c>
      <c r="F26" s="19" t="s">
        <v>124</v>
      </c>
      <c r="G26" s="20">
        <v>0</v>
      </c>
      <c r="H26" s="20">
        <v>20</v>
      </c>
      <c r="I26" s="20">
        <f t="shared" si="0"/>
        <v>-20</v>
      </c>
      <c r="J26" s="19" t="s">
        <v>37</v>
      </c>
      <c r="K26" s="19" t="s">
        <v>37</v>
      </c>
      <c r="L26" s="19" t="s">
        <v>1660</v>
      </c>
      <c r="M26" s="22" t="s">
        <v>1658</v>
      </c>
      <c r="N26" s="19"/>
      <c r="O26" s="19"/>
      <c r="P26" s="19"/>
      <c r="Q26" s="19">
        <v>1</v>
      </c>
    </row>
    <row r="27" spans="1:18" customFormat="1" x14ac:dyDescent="0.25">
      <c r="A27" s="19"/>
      <c r="B27" s="19" t="s">
        <v>32</v>
      </c>
      <c r="C27" s="19" t="s">
        <v>1715</v>
      </c>
      <c r="D27" s="19" t="s">
        <v>1716</v>
      </c>
      <c r="E27" s="19" t="s">
        <v>593</v>
      </c>
      <c r="F27" s="20">
        <v>12</v>
      </c>
      <c r="G27" s="20">
        <v>0</v>
      </c>
      <c r="H27" s="20">
        <v>30</v>
      </c>
      <c r="I27" s="20">
        <f t="shared" si="0"/>
        <v>-30</v>
      </c>
      <c r="J27" s="19" t="s">
        <v>37</v>
      </c>
      <c r="K27" s="19" t="s">
        <v>37</v>
      </c>
      <c r="L27" s="19" t="s">
        <v>1660</v>
      </c>
      <c r="M27" s="19"/>
      <c r="N27" s="19"/>
      <c r="O27" s="19"/>
      <c r="P27" s="19"/>
      <c r="Q27" s="19">
        <v>1</v>
      </c>
      <c r="R27" s="21">
        <f t="shared" ref="R27:R28" si="2">H27</f>
        <v>30</v>
      </c>
    </row>
    <row r="28" spans="1:18" customFormat="1" x14ac:dyDescent="0.25">
      <c r="A28" s="19"/>
      <c r="B28" s="19" t="s">
        <v>32</v>
      </c>
      <c r="C28" s="19" t="s">
        <v>1396</v>
      </c>
      <c r="D28" s="19" t="s">
        <v>1717</v>
      </c>
      <c r="E28" s="19" t="s">
        <v>727</v>
      </c>
      <c r="F28" s="20">
        <v>12</v>
      </c>
      <c r="G28" s="20">
        <v>0</v>
      </c>
      <c r="H28" s="20">
        <v>30</v>
      </c>
      <c r="I28" s="20">
        <f t="shared" si="0"/>
        <v>-30</v>
      </c>
      <c r="J28" s="19" t="s">
        <v>37</v>
      </c>
      <c r="K28" s="19" t="s">
        <v>37</v>
      </c>
      <c r="L28" s="19" t="s">
        <v>1660</v>
      </c>
      <c r="M28" s="19"/>
      <c r="N28" s="19"/>
      <c r="O28" s="19"/>
      <c r="P28" s="19"/>
      <c r="Q28" s="19">
        <v>1</v>
      </c>
      <c r="R28" s="21">
        <f t="shared" si="2"/>
        <v>30</v>
      </c>
    </row>
    <row r="29" spans="1:18" customFormat="1" x14ac:dyDescent="0.25">
      <c r="A29" s="19"/>
      <c r="B29" s="19" t="s">
        <v>32</v>
      </c>
      <c r="C29" s="19" t="s">
        <v>1718</v>
      </c>
      <c r="D29" s="19" t="s">
        <v>1719</v>
      </c>
      <c r="E29" s="19" t="s">
        <v>1720</v>
      </c>
      <c r="F29" s="19" t="s">
        <v>138</v>
      </c>
      <c r="G29" s="20">
        <v>770</v>
      </c>
      <c r="H29" s="20">
        <v>30</v>
      </c>
      <c r="I29" s="20">
        <f t="shared" si="0"/>
        <v>740</v>
      </c>
      <c r="J29" s="19" t="s">
        <v>37</v>
      </c>
      <c r="K29" s="19" t="s">
        <v>37</v>
      </c>
      <c r="L29" s="19" t="s">
        <v>1660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1721</v>
      </c>
      <c r="D30" s="19" t="s">
        <v>1722</v>
      </c>
      <c r="E30" s="19" t="s">
        <v>1723</v>
      </c>
      <c r="F30" s="20">
        <v>2</v>
      </c>
      <c r="G30" s="20">
        <v>810</v>
      </c>
      <c r="H30" s="20">
        <v>30</v>
      </c>
      <c r="I30" s="20">
        <f t="shared" si="0"/>
        <v>780</v>
      </c>
      <c r="J30" s="19" t="s">
        <v>37</v>
      </c>
      <c r="K30" s="19" t="s">
        <v>37</v>
      </c>
      <c r="L30" s="19" t="s">
        <v>1660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1724</v>
      </c>
      <c r="D31" s="19" t="s">
        <v>1725</v>
      </c>
      <c r="E31" s="19" t="s">
        <v>1726</v>
      </c>
      <c r="F31" s="19" t="s">
        <v>124</v>
      </c>
      <c r="G31" s="20">
        <v>1110</v>
      </c>
      <c r="H31" s="20">
        <v>20</v>
      </c>
      <c r="I31" s="20">
        <f t="shared" si="0"/>
        <v>1090</v>
      </c>
      <c r="J31" s="19" t="s">
        <v>37</v>
      </c>
      <c r="K31" s="19" t="s">
        <v>37</v>
      </c>
      <c r="L31" s="19" t="s">
        <v>1660</v>
      </c>
      <c r="M31" s="19"/>
      <c r="N31" s="19"/>
      <c r="O31" s="19"/>
      <c r="P31" s="19"/>
      <c r="Q31" s="19">
        <v>1</v>
      </c>
    </row>
    <row r="32" spans="1:18" customFormat="1" x14ac:dyDescent="0.25">
      <c r="A32" s="19"/>
      <c r="B32" s="19" t="s">
        <v>32</v>
      </c>
      <c r="C32" s="19" t="s">
        <v>1727</v>
      </c>
      <c r="D32" s="19" t="s">
        <v>1728</v>
      </c>
      <c r="E32" s="19" t="s">
        <v>1729</v>
      </c>
      <c r="F32" s="20">
        <v>2</v>
      </c>
      <c r="G32" s="20">
        <v>970</v>
      </c>
      <c r="H32" s="20">
        <v>30</v>
      </c>
      <c r="I32" s="20">
        <f t="shared" si="0"/>
        <v>940</v>
      </c>
      <c r="J32" s="19" t="s">
        <v>37</v>
      </c>
      <c r="K32" s="19" t="s">
        <v>37</v>
      </c>
      <c r="L32" s="19" t="s">
        <v>1660</v>
      </c>
      <c r="M32" s="19"/>
      <c r="N32" s="19"/>
      <c r="O32" s="19"/>
      <c r="P32" s="19"/>
      <c r="Q32" s="19">
        <v>1</v>
      </c>
    </row>
    <row r="33" spans="1:18" customFormat="1" x14ac:dyDescent="0.25">
      <c r="A33" s="19"/>
      <c r="B33" s="19" t="s">
        <v>32</v>
      </c>
      <c r="C33" s="19" t="s">
        <v>1730</v>
      </c>
      <c r="D33" s="19" t="s">
        <v>1731</v>
      </c>
      <c r="E33" s="19" t="s">
        <v>1732</v>
      </c>
      <c r="F33" s="20">
        <v>2</v>
      </c>
      <c r="G33" s="20">
        <v>1000</v>
      </c>
      <c r="H33" s="20">
        <v>30</v>
      </c>
      <c r="I33" s="20">
        <f t="shared" si="0"/>
        <v>970</v>
      </c>
      <c r="J33" s="19" t="s">
        <v>37</v>
      </c>
      <c r="K33" s="19" t="s">
        <v>37</v>
      </c>
      <c r="L33" s="19" t="s">
        <v>1660</v>
      </c>
      <c r="M33" s="19"/>
      <c r="N33" s="19"/>
      <c r="O33" s="19"/>
      <c r="P33" s="19"/>
      <c r="Q33" s="19">
        <v>1</v>
      </c>
    </row>
    <row r="34" spans="1:18" customFormat="1" x14ac:dyDescent="0.25">
      <c r="A34" s="19"/>
      <c r="B34" s="19" t="s">
        <v>32</v>
      </c>
      <c r="C34" s="19" t="s">
        <v>1733</v>
      </c>
      <c r="D34" s="19" t="s">
        <v>1734</v>
      </c>
      <c r="E34" s="19" t="s">
        <v>1735</v>
      </c>
      <c r="F34" s="19" t="s">
        <v>124</v>
      </c>
      <c r="G34" s="20">
        <v>0</v>
      </c>
      <c r="H34" s="20">
        <v>20</v>
      </c>
      <c r="I34" s="20">
        <f t="shared" si="0"/>
        <v>-20</v>
      </c>
      <c r="J34" s="19" t="s">
        <v>37</v>
      </c>
      <c r="K34" s="19" t="s">
        <v>37</v>
      </c>
      <c r="L34" s="19" t="s">
        <v>1660</v>
      </c>
      <c r="M34" s="19"/>
      <c r="N34" s="19"/>
      <c r="O34" s="19"/>
      <c r="P34" s="19"/>
      <c r="Q34" s="19">
        <v>1</v>
      </c>
      <c r="R34" s="21">
        <f t="shared" ref="R34:R35" si="3">H34</f>
        <v>20</v>
      </c>
    </row>
    <row r="35" spans="1:18" customFormat="1" x14ac:dyDescent="0.25">
      <c r="A35" s="19"/>
      <c r="B35" s="19" t="s">
        <v>32</v>
      </c>
      <c r="C35" s="19" t="s">
        <v>557</v>
      </c>
      <c r="D35" s="19" t="s">
        <v>1736</v>
      </c>
      <c r="E35" s="19" t="s">
        <v>1737</v>
      </c>
      <c r="F35" s="20">
        <v>12</v>
      </c>
      <c r="G35" s="20">
        <v>0</v>
      </c>
      <c r="H35" s="20">
        <v>30</v>
      </c>
      <c r="I35" s="20">
        <f t="shared" si="0"/>
        <v>-30</v>
      </c>
      <c r="J35" s="19" t="s">
        <v>37</v>
      </c>
      <c r="K35" s="19" t="s">
        <v>37</v>
      </c>
      <c r="L35" s="19" t="s">
        <v>1660</v>
      </c>
      <c r="M35" s="19"/>
      <c r="N35" s="19"/>
      <c r="O35" s="19"/>
      <c r="P35" s="19"/>
      <c r="Q35" s="19">
        <v>1</v>
      </c>
      <c r="R35" s="21">
        <f t="shared" si="3"/>
        <v>30</v>
      </c>
    </row>
    <row r="36" spans="1:18" customFormat="1" x14ac:dyDescent="0.25">
      <c r="A36" s="19" t="s">
        <v>107</v>
      </c>
      <c r="B36" s="19" t="s">
        <v>32</v>
      </c>
      <c r="C36" s="19" t="s">
        <v>162</v>
      </c>
      <c r="D36" s="19"/>
      <c r="E36" s="19" t="s">
        <v>163</v>
      </c>
      <c r="F36" s="19" t="s">
        <v>117</v>
      </c>
      <c r="G36" s="20">
        <v>3790</v>
      </c>
      <c r="H36" s="20">
        <v>40</v>
      </c>
      <c r="I36" s="20">
        <f t="shared" si="0"/>
        <v>3750</v>
      </c>
      <c r="J36" s="19" t="s">
        <v>37</v>
      </c>
      <c r="K36" s="19" t="s">
        <v>37</v>
      </c>
      <c r="L36" s="19" t="s">
        <v>1660</v>
      </c>
      <c r="M36" s="19"/>
      <c r="N36" s="19"/>
      <c r="O36" s="19"/>
      <c r="P36" s="19"/>
      <c r="Q36" s="19">
        <v>1</v>
      </c>
    </row>
    <row r="37" spans="1:18" customFormat="1" x14ac:dyDescent="0.25">
      <c r="A37" s="19" t="s">
        <v>107</v>
      </c>
      <c r="B37" s="19" t="s">
        <v>32</v>
      </c>
      <c r="C37" s="19" t="s">
        <v>847</v>
      </c>
      <c r="D37" s="19"/>
      <c r="E37" s="19" t="s">
        <v>848</v>
      </c>
      <c r="F37" s="19" t="s">
        <v>117</v>
      </c>
      <c r="G37" s="20">
        <v>640</v>
      </c>
      <c r="H37" s="20">
        <v>30</v>
      </c>
      <c r="I37" s="20">
        <f t="shared" si="0"/>
        <v>610</v>
      </c>
      <c r="J37" s="19" t="s">
        <v>37</v>
      </c>
      <c r="K37" s="19" t="s">
        <v>37</v>
      </c>
      <c r="L37" s="19" t="s">
        <v>1660</v>
      </c>
      <c r="M37" s="19"/>
      <c r="N37" s="19"/>
      <c r="O37" s="19"/>
      <c r="P37" s="19"/>
      <c r="Q37" s="19">
        <v>1</v>
      </c>
    </row>
    <row r="38" spans="1:18" customFormat="1" x14ac:dyDescent="0.25">
      <c r="A38" s="19" t="s">
        <v>107</v>
      </c>
      <c r="B38" s="19" t="s">
        <v>32</v>
      </c>
      <c r="C38" s="19" t="s">
        <v>1738</v>
      </c>
      <c r="D38" s="19"/>
      <c r="E38" s="19" t="s">
        <v>1739</v>
      </c>
      <c r="F38" s="19" t="s">
        <v>138</v>
      </c>
      <c r="G38" s="20">
        <v>815</v>
      </c>
      <c r="H38" s="20">
        <v>35</v>
      </c>
      <c r="I38" s="20">
        <f t="shared" si="0"/>
        <v>780</v>
      </c>
      <c r="J38" s="19" t="s">
        <v>37</v>
      </c>
      <c r="K38" s="19" t="s">
        <v>37</v>
      </c>
      <c r="L38" s="19" t="s">
        <v>1660</v>
      </c>
      <c r="M38" s="19"/>
      <c r="N38" s="19"/>
      <c r="O38" s="19"/>
      <c r="P38" s="19"/>
      <c r="Q38" s="19">
        <v>1</v>
      </c>
    </row>
    <row r="39" spans="1:18" customFormat="1" x14ac:dyDescent="0.25">
      <c r="A39" s="19" t="s">
        <v>107</v>
      </c>
      <c r="B39" s="19" t="s">
        <v>32</v>
      </c>
      <c r="C39" s="19" t="s">
        <v>160</v>
      </c>
      <c r="D39" s="19"/>
      <c r="E39" s="19" t="s">
        <v>161</v>
      </c>
      <c r="F39" s="19" t="s">
        <v>117</v>
      </c>
      <c r="G39" s="20">
        <v>0</v>
      </c>
      <c r="H39" s="20">
        <v>30</v>
      </c>
      <c r="I39" s="20">
        <f t="shared" si="0"/>
        <v>-30</v>
      </c>
      <c r="J39" s="19" t="s">
        <v>37</v>
      </c>
      <c r="K39" s="19" t="s">
        <v>37</v>
      </c>
      <c r="L39" s="19" t="s">
        <v>1660</v>
      </c>
      <c r="M39" s="19"/>
      <c r="N39" s="19"/>
      <c r="O39" s="19"/>
      <c r="P39" s="19"/>
      <c r="Q39" s="19">
        <v>1</v>
      </c>
      <c r="R39" s="21">
        <f>H39</f>
        <v>30</v>
      </c>
    </row>
    <row r="40" spans="1:18" s="31" customFormat="1" x14ac:dyDescent="0.25">
      <c r="A40" s="17"/>
      <c r="B40" s="17" t="s">
        <v>32</v>
      </c>
      <c r="C40" s="17" t="s">
        <v>1740</v>
      </c>
      <c r="D40" s="17" t="s">
        <v>1741</v>
      </c>
      <c r="E40" s="17" t="s">
        <v>1742</v>
      </c>
      <c r="F40" s="17" t="s">
        <v>173</v>
      </c>
      <c r="G40" s="18">
        <v>0</v>
      </c>
      <c r="H40" s="18">
        <v>25</v>
      </c>
      <c r="I40" s="18">
        <f t="shared" si="0"/>
        <v>-25</v>
      </c>
      <c r="J40" s="17" t="s">
        <v>37</v>
      </c>
      <c r="K40" s="17" t="s">
        <v>37</v>
      </c>
      <c r="L40" s="17" t="s">
        <v>1660</v>
      </c>
      <c r="M40" s="17"/>
      <c r="N40" s="17"/>
      <c r="O40" s="17"/>
      <c r="P40" s="17"/>
      <c r="Q40" s="17">
        <v>1</v>
      </c>
    </row>
    <row r="41" spans="1:18" s="26" customFormat="1" x14ac:dyDescent="0.25">
      <c r="A41" s="23"/>
      <c r="B41" s="23" t="s">
        <v>32</v>
      </c>
      <c r="C41" s="23" t="s">
        <v>1335</v>
      </c>
      <c r="D41" s="23" t="s">
        <v>1743</v>
      </c>
      <c r="E41" s="23" t="s">
        <v>1337</v>
      </c>
      <c r="F41" s="23" t="s">
        <v>317</v>
      </c>
      <c r="G41" s="24">
        <v>20</v>
      </c>
      <c r="H41" s="24">
        <v>20</v>
      </c>
      <c r="I41" s="24">
        <f t="shared" si="0"/>
        <v>0</v>
      </c>
      <c r="J41" s="23" t="s">
        <v>169</v>
      </c>
      <c r="K41" s="23" t="s">
        <v>37</v>
      </c>
      <c r="L41" s="23" t="s">
        <v>1660</v>
      </c>
      <c r="M41" s="23" t="s">
        <v>148</v>
      </c>
      <c r="N41" s="23"/>
      <c r="O41" s="23"/>
      <c r="P41" s="23"/>
      <c r="Q41" s="23">
        <v>1</v>
      </c>
      <c r="R41" s="25">
        <f>H41</f>
        <v>20</v>
      </c>
    </row>
    <row r="42" spans="1:18" customFormat="1" x14ac:dyDescent="0.25">
      <c r="A42" s="19"/>
      <c r="B42" s="19" t="s">
        <v>32</v>
      </c>
      <c r="C42" s="19" t="s">
        <v>1744</v>
      </c>
      <c r="D42" s="19" t="s">
        <v>1745</v>
      </c>
      <c r="E42" s="19" t="s">
        <v>1746</v>
      </c>
      <c r="F42" s="20">
        <v>8</v>
      </c>
      <c r="G42" s="20">
        <v>0</v>
      </c>
      <c r="H42" s="20">
        <v>30</v>
      </c>
      <c r="I42" s="20">
        <f t="shared" si="0"/>
        <v>-30</v>
      </c>
      <c r="J42" s="19" t="s">
        <v>169</v>
      </c>
      <c r="K42" s="19" t="s">
        <v>37</v>
      </c>
      <c r="L42" s="19" t="s">
        <v>1660</v>
      </c>
      <c r="M42" s="19"/>
      <c r="N42" s="19"/>
      <c r="O42" s="19"/>
      <c r="P42" s="19"/>
      <c r="Q42" s="19">
        <v>1</v>
      </c>
    </row>
    <row r="43" spans="1:18" customFormat="1" x14ac:dyDescent="0.25">
      <c r="A43" s="19"/>
      <c r="B43" s="19" t="s">
        <v>32</v>
      </c>
      <c r="C43" s="19" t="s">
        <v>1747</v>
      </c>
      <c r="D43" s="19" t="s">
        <v>1748</v>
      </c>
      <c r="E43" s="19" t="s">
        <v>1749</v>
      </c>
      <c r="F43" s="20">
        <v>1</v>
      </c>
      <c r="G43" s="20">
        <v>895</v>
      </c>
      <c r="H43" s="20">
        <v>25</v>
      </c>
      <c r="I43" s="20">
        <f t="shared" si="0"/>
        <v>870</v>
      </c>
      <c r="J43" s="19" t="s">
        <v>169</v>
      </c>
      <c r="K43" s="19" t="s">
        <v>37</v>
      </c>
      <c r="L43" s="19" t="s">
        <v>1660</v>
      </c>
      <c r="M43" s="19"/>
      <c r="N43" s="19"/>
      <c r="O43" s="19"/>
      <c r="P43" s="19"/>
      <c r="Q43" s="19">
        <v>1</v>
      </c>
    </row>
    <row r="44" spans="1:18" s="26" customFormat="1" x14ac:dyDescent="0.25">
      <c r="A44" s="23"/>
      <c r="B44" s="23" t="s">
        <v>32</v>
      </c>
      <c r="C44" s="23" t="s">
        <v>1619</v>
      </c>
      <c r="D44" s="23" t="s">
        <v>1750</v>
      </c>
      <c r="E44" s="23" t="s">
        <v>1621</v>
      </c>
      <c r="F44" s="24">
        <v>10</v>
      </c>
      <c r="G44" s="24">
        <v>0</v>
      </c>
      <c r="H44" s="24">
        <v>25</v>
      </c>
      <c r="I44" s="24">
        <f t="shared" si="0"/>
        <v>-25</v>
      </c>
      <c r="J44" s="23" t="s">
        <v>169</v>
      </c>
      <c r="K44" s="23" t="s">
        <v>37</v>
      </c>
      <c r="L44" s="23" t="s">
        <v>1660</v>
      </c>
      <c r="M44" s="23" t="s">
        <v>148</v>
      </c>
      <c r="N44" s="23"/>
      <c r="O44" s="23"/>
      <c r="P44" s="23"/>
      <c r="Q44" s="23">
        <v>1</v>
      </c>
      <c r="R44" s="25">
        <f>H44</f>
        <v>25</v>
      </c>
    </row>
    <row r="45" spans="1:18" customFormat="1" x14ac:dyDescent="0.25">
      <c r="A45" s="19"/>
      <c r="B45" s="19" t="s">
        <v>32</v>
      </c>
      <c r="C45" s="19" t="s">
        <v>1751</v>
      </c>
      <c r="D45" s="19" t="s">
        <v>1752</v>
      </c>
      <c r="E45" s="19" t="s">
        <v>1753</v>
      </c>
      <c r="F45" s="20">
        <v>3</v>
      </c>
      <c r="G45" s="20">
        <v>895</v>
      </c>
      <c r="H45" s="20">
        <v>25</v>
      </c>
      <c r="I45" s="20">
        <f t="shared" si="0"/>
        <v>870</v>
      </c>
      <c r="J45" s="19" t="s">
        <v>169</v>
      </c>
      <c r="K45" s="19" t="s">
        <v>37</v>
      </c>
      <c r="L45" s="19" t="s">
        <v>1660</v>
      </c>
      <c r="M45" s="19"/>
      <c r="N45" s="19"/>
      <c r="O45" s="19"/>
      <c r="P45" s="19"/>
      <c r="Q45" s="19">
        <v>1</v>
      </c>
    </row>
    <row r="46" spans="1:18" customFormat="1" x14ac:dyDescent="0.25">
      <c r="A46" s="19"/>
      <c r="B46" s="19" t="s">
        <v>32</v>
      </c>
      <c r="C46" s="19" t="s">
        <v>1754</v>
      </c>
      <c r="D46" s="19" t="s">
        <v>1755</v>
      </c>
      <c r="E46" s="19" t="s">
        <v>1756</v>
      </c>
      <c r="F46" s="20">
        <v>3</v>
      </c>
      <c r="G46" s="20">
        <v>905</v>
      </c>
      <c r="H46" s="20">
        <v>25</v>
      </c>
      <c r="I46" s="20">
        <f t="shared" si="0"/>
        <v>880</v>
      </c>
      <c r="J46" s="19" t="s">
        <v>169</v>
      </c>
      <c r="K46" s="19" t="s">
        <v>37</v>
      </c>
      <c r="L46" s="19" t="s">
        <v>1660</v>
      </c>
      <c r="M46" s="19"/>
      <c r="N46" s="19"/>
      <c r="O46" s="19"/>
      <c r="P46" s="19"/>
      <c r="Q46" s="19">
        <v>1</v>
      </c>
    </row>
    <row r="47" spans="1:18" customFormat="1" x14ac:dyDescent="0.25">
      <c r="A47" s="19"/>
      <c r="B47" s="19" t="s">
        <v>32</v>
      </c>
      <c r="C47" s="19" t="s">
        <v>1757</v>
      </c>
      <c r="D47" s="19" t="s">
        <v>1758</v>
      </c>
      <c r="E47" s="19" t="s">
        <v>1759</v>
      </c>
      <c r="F47" s="20">
        <v>7</v>
      </c>
      <c r="G47" s="20">
        <v>910</v>
      </c>
      <c r="H47" s="20">
        <v>30</v>
      </c>
      <c r="I47" s="20">
        <f t="shared" si="0"/>
        <v>880</v>
      </c>
      <c r="J47" s="19" t="s">
        <v>169</v>
      </c>
      <c r="K47" s="19" t="s">
        <v>37</v>
      </c>
      <c r="L47" s="19" t="s">
        <v>1660</v>
      </c>
      <c r="M47" s="19"/>
      <c r="N47" s="19"/>
      <c r="O47" s="19"/>
      <c r="P47" s="19"/>
      <c r="Q47" s="19">
        <v>1</v>
      </c>
    </row>
    <row r="48" spans="1:18" customFormat="1" x14ac:dyDescent="0.25">
      <c r="A48" s="19"/>
      <c r="B48" s="19" t="s">
        <v>32</v>
      </c>
      <c r="C48" s="19" t="s">
        <v>1760</v>
      </c>
      <c r="D48" s="19" t="s">
        <v>1761</v>
      </c>
      <c r="E48" s="19" t="s">
        <v>1762</v>
      </c>
      <c r="F48" s="20">
        <v>8</v>
      </c>
      <c r="G48" s="20">
        <v>1780</v>
      </c>
      <c r="H48" s="20">
        <v>30</v>
      </c>
      <c r="I48" s="20">
        <f t="shared" si="0"/>
        <v>1750</v>
      </c>
      <c r="J48" s="19" t="s">
        <v>169</v>
      </c>
      <c r="K48" s="19" t="s">
        <v>37</v>
      </c>
      <c r="L48" s="19" t="s">
        <v>1660</v>
      </c>
      <c r="M48" s="19"/>
      <c r="N48" s="19"/>
      <c r="O48" s="19"/>
      <c r="P48" s="19"/>
      <c r="Q48" s="19">
        <v>1</v>
      </c>
      <c r="R48" s="21">
        <f>H48</f>
        <v>30</v>
      </c>
    </row>
    <row r="49" spans="1:18" customFormat="1" x14ac:dyDescent="0.25">
      <c r="A49" s="19"/>
      <c r="B49" s="19" t="s">
        <v>32</v>
      </c>
      <c r="C49" s="19" t="s">
        <v>1763</v>
      </c>
      <c r="D49" s="19" t="s">
        <v>1764</v>
      </c>
      <c r="E49" s="19" t="s">
        <v>1765</v>
      </c>
      <c r="F49" s="20">
        <v>10</v>
      </c>
      <c r="G49" s="20">
        <v>845</v>
      </c>
      <c r="H49" s="20">
        <v>25</v>
      </c>
      <c r="I49" s="20">
        <f t="shared" si="0"/>
        <v>820</v>
      </c>
      <c r="J49" s="19" t="s">
        <v>169</v>
      </c>
      <c r="K49" s="19" t="s">
        <v>37</v>
      </c>
      <c r="L49" s="19" t="s">
        <v>1660</v>
      </c>
      <c r="M49" s="19"/>
      <c r="N49" s="19"/>
      <c r="O49" s="19"/>
      <c r="P49" s="19"/>
      <c r="Q49" s="19">
        <v>1</v>
      </c>
    </row>
    <row r="50" spans="1:18" customFormat="1" x14ac:dyDescent="0.25">
      <c r="A50" s="19"/>
      <c r="B50" s="19" t="s">
        <v>32</v>
      </c>
      <c r="C50" s="19" t="s">
        <v>1766</v>
      </c>
      <c r="D50" s="19" t="s">
        <v>1767</v>
      </c>
      <c r="E50" s="19" t="s">
        <v>1768</v>
      </c>
      <c r="F50" s="20">
        <v>8</v>
      </c>
      <c r="G50" s="20">
        <v>860</v>
      </c>
      <c r="H50" s="20">
        <v>30</v>
      </c>
      <c r="I50" s="20">
        <f t="shared" si="0"/>
        <v>830</v>
      </c>
      <c r="J50" s="19" t="s">
        <v>169</v>
      </c>
      <c r="K50" s="19" t="s">
        <v>37</v>
      </c>
      <c r="L50" s="19" t="s">
        <v>1660</v>
      </c>
      <c r="M50" s="19"/>
      <c r="N50" s="19"/>
      <c r="O50" s="19"/>
      <c r="P50" s="19"/>
      <c r="Q50" s="19">
        <v>1</v>
      </c>
    </row>
    <row r="51" spans="1:18" customFormat="1" x14ac:dyDescent="0.25">
      <c r="A51" s="19"/>
      <c r="B51" s="19" t="s">
        <v>32</v>
      </c>
      <c r="C51" s="19" t="s">
        <v>1769</v>
      </c>
      <c r="D51" s="19" t="s">
        <v>1770</v>
      </c>
      <c r="E51" s="19" t="s">
        <v>1771</v>
      </c>
      <c r="F51" s="20">
        <v>10</v>
      </c>
      <c r="G51" s="20">
        <v>895</v>
      </c>
      <c r="H51" s="20">
        <v>25</v>
      </c>
      <c r="I51" s="20">
        <f t="shared" si="0"/>
        <v>870</v>
      </c>
      <c r="J51" s="19" t="s">
        <v>169</v>
      </c>
      <c r="K51" s="19" t="s">
        <v>37</v>
      </c>
      <c r="L51" s="19" t="s">
        <v>1660</v>
      </c>
      <c r="M51" s="19"/>
      <c r="N51" s="19"/>
      <c r="O51" s="19"/>
      <c r="P51" s="19"/>
      <c r="Q51" s="19">
        <v>1</v>
      </c>
    </row>
    <row r="52" spans="1:18" customFormat="1" x14ac:dyDescent="0.25">
      <c r="A52" s="19"/>
      <c r="B52" s="19" t="s">
        <v>32</v>
      </c>
      <c r="C52" s="19" t="s">
        <v>1772</v>
      </c>
      <c r="D52" s="19" t="s">
        <v>1773</v>
      </c>
      <c r="E52" s="19" t="s">
        <v>1774</v>
      </c>
      <c r="F52" s="20">
        <v>7</v>
      </c>
      <c r="G52" s="20">
        <v>1750</v>
      </c>
      <c r="H52" s="20">
        <v>30</v>
      </c>
      <c r="I52" s="20">
        <f t="shared" si="0"/>
        <v>1720</v>
      </c>
      <c r="J52" s="19" t="s">
        <v>169</v>
      </c>
      <c r="K52" s="19" t="s">
        <v>37</v>
      </c>
      <c r="L52" s="19" t="s">
        <v>1660</v>
      </c>
      <c r="M52" s="19"/>
      <c r="N52" s="19"/>
      <c r="O52" s="19"/>
      <c r="P52" s="19"/>
      <c r="Q52" s="19">
        <v>1</v>
      </c>
    </row>
    <row r="53" spans="1:18" customFormat="1" x14ac:dyDescent="0.25">
      <c r="A53" s="19"/>
      <c r="B53" s="19" t="s">
        <v>32</v>
      </c>
      <c r="C53" s="19" t="s">
        <v>1775</v>
      </c>
      <c r="D53" s="19" t="s">
        <v>1776</v>
      </c>
      <c r="E53" s="19" t="s">
        <v>1777</v>
      </c>
      <c r="F53" s="20">
        <v>7</v>
      </c>
      <c r="G53" s="20">
        <v>1790</v>
      </c>
      <c r="H53" s="20">
        <v>30</v>
      </c>
      <c r="I53" s="20">
        <f t="shared" si="0"/>
        <v>1760</v>
      </c>
      <c r="J53" s="19" t="s">
        <v>169</v>
      </c>
      <c r="K53" s="19" t="s">
        <v>37</v>
      </c>
      <c r="L53" s="19" t="s">
        <v>1660</v>
      </c>
      <c r="M53" s="19"/>
      <c r="N53" s="19"/>
      <c r="O53" s="19"/>
      <c r="P53" s="19"/>
      <c r="Q53" s="19">
        <v>1</v>
      </c>
    </row>
    <row r="55" spans="1:18" x14ac:dyDescent="0.25">
      <c r="G55" s="1">
        <f t="shared" ref="G55:R55" si="4">SUBTOTAL(9,G3:G53)</f>
        <v>34515</v>
      </c>
      <c r="H55" s="1">
        <f t="shared" si="4"/>
        <v>1450</v>
      </c>
      <c r="I55" s="1">
        <f t="shared" si="4"/>
        <v>33065</v>
      </c>
      <c r="J55" s="1">
        <f t="shared" si="4"/>
        <v>0</v>
      </c>
      <c r="K55" s="1">
        <f t="shared" si="4"/>
        <v>0</v>
      </c>
      <c r="L55" s="1">
        <f t="shared" si="4"/>
        <v>0</v>
      </c>
      <c r="M55" s="1">
        <f t="shared" si="4"/>
        <v>0</v>
      </c>
      <c r="N55" s="1">
        <f t="shared" si="4"/>
        <v>0</v>
      </c>
      <c r="O55" s="1">
        <f t="shared" si="4"/>
        <v>0</v>
      </c>
      <c r="P55" s="1">
        <f t="shared" si="4"/>
        <v>0</v>
      </c>
      <c r="Q55" s="1">
        <f t="shared" si="4"/>
        <v>51</v>
      </c>
      <c r="R55" s="1">
        <f t="shared" si="4"/>
        <v>400</v>
      </c>
    </row>
    <row r="59" spans="1:18" ht="20.25" customHeight="1" x14ac:dyDescent="0.3">
      <c r="H59" s="4" t="s">
        <v>1557</v>
      </c>
      <c r="I59" s="5" t="s">
        <v>15</v>
      </c>
      <c r="J59" s="6" t="s">
        <v>16</v>
      </c>
    </row>
    <row r="60" spans="1:18" ht="15.75" customHeight="1" x14ac:dyDescent="0.25">
      <c r="H60" s="7" t="s">
        <v>17</v>
      </c>
      <c r="I60" s="8">
        <f>SUM(I54:I58)</f>
        <v>33065</v>
      </c>
      <c r="J60" s="8">
        <f>Q55</f>
        <v>51</v>
      </c>
    </row>
    <row r="61" spans="1:18" x14ac:dyDescent="0.25">
      <c r="H61" s="9" t="s">
        <v>18</v>
      </c>
      <c r="I61" s="10">
        <f>R55</f>
        <v>400</v>
      </c>
      <c r="J61" s="11"/>
    </row>
    <row r="62" spans="1:18" x14ac:dyDescent="0.25">
      <c r="H62" s="9" t="s">
        <v>19</v>
      </c>
      <c r="I62" s="10">
        <f>S54</f>
        <v>0</v>
      </c>
      <c r="J62" s="11"/>
    </row>
    <row r="63" spans="1:18" x14ac:dyDescent="0.25">
      <c r="H63" s="9" t="s">
        <v>20</v>
      </c>
      <c r="I63" s="10">
        <f>T54</f>
        <v>0</v>
      </c>
      <c r="J63" s="11"/>
    </row>
    <row r="64" spans="1:18" x14ac:dyDescent="0.25">
      <c r="H64" s="9" t="s">
        <v>21</v>
      </c>
      <c r="I64" s="10">
        <f>U54</f>
        <v>0</v>
      </c>
      <c r="J64" s="11"/>
    </row>
    <row r="65" spans="8:10" ht="15.75" customHeight="1" x14ac:dyDescent="0.25">
      <c r="H65" s="12" t="s">
        <v>22</v>
      </c>
      <c r="I65" s="13"/>
      <c r="J65" s="13"/>
    </row>
    <row r="66" spans="8:10" ht="15.75" customHeight="1" x14ac:dyDescent="0.25">
      <c r="H66" s="14" t="s">
        <v>23</v>
      </c>
      <c r="I66" s="13"/>
      <c r="J66" s="13"/>
    </row>
    <row r="67" spans="8:10" ht="21" customHeight="1" x14ac:dyDescent="0.35">
      <c r="H67" s="15" t="s">
        <v>24</v>
      </c>
      <c r="I67" s="16">
        <f>SUM(I60:I66)</f>
        <v>33465</v>
      </c>
      <c r="J67" s="16">
        <f>SUM(J60:J64)</f>
        <v>51</v>
      </c>
    </row>
  </sheetData>
  <autoFilter ref="A2:P53" xr:uid="{00000000-0009-0000-0000-000006000000}">
    <sortState xmlns:xlrd2="http://schemas.microsoft.com/office/spreadsheetml/2017/richdata2" ref="A3:P53">
      <sortCondition ref="J2:J53"/>
    </sortState>
  </autoFilter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F530-69DB-4B3B-8E5A-3724CDE3DDD1}">
  <dimension ref="A1:R50"/>
  <sheetViews>
    <sheetView topLeftCell="A13" zoomScale="82" zoomScaleNormal="82" workbookViewId="0">
      <selection activeCell="I39" sqref="I39:J39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29</v>
      </c>
      <c r="C1" s="1" t="s">
        <v>1778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1871</v>
      </c>
      <c r="D3" s="19" t="s">
        <v>1870</v>
      </c>
      <c r="E3" s="19" t="s">
        <v>1869</v>
      </c>
      <c r="F3" s="20">
        <v>9</v>
      </c>
      <c r="G3" s="20">
        <v>770</v>
      </c>
      <c r="H3" s="20">
        <v>30</v>
      </c>
      <c r="I3" s="20">
        <f t="shared" ref="I3:I36" si="0">G3-H3</f>
        <v>740</v>
      </c>
      <c r="J3" s="19" t="s">
        <v>36</v>
      </c>
      <c r="K3" s="19" t="s">
        <v>37</v>
      </c>
      <c r="L3" s="19" t="s">
        <v>1782</v>
      </c>
      <c r="M3" s="19"/>
      <c r="N3" s="19"/>
      <c r="O3" s="19"/>
      <c r="P3" s="19"/>
      <c r="Q3" s="19">
        <v>1</v>
      </c>
    </row>
    <row r="4" spans="1:18" customFormat="1" x14ac:dyDescent="0.25">
      <c r="A4" s="19"/>
      <c r="B4" s="19" t="s">
        <v>32</v>
      </c>
      <c r="C4" s="19" t="s">
        <v>1868</v>
      </c>
      <c r="D4" s="19" t="s">
        <v>1867</v>
      </c>
      <c r="E4" s="19" t="s">
        <v>1866</v>
      </c>
      <c r="F4" s="20">
        <v>9</v>
      </c>
      <c r="G4" s="20">
        <v>1740</v>
      </c>
      <c r="H4" s="20">
        <v>30</v>
      </c>
      <c r="I4" s="20">
        <f t="shared" si="0"/>
        <v>1710</v>
      </c>
      <c r="J4" s="19" t="s">
        <v>36</v>
      </c>
      <c r="K4" s="19" t="s">
        <v>37</v>
      </c>
      <c r="L4" s="19" t="s">
        <v>1782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1865</v>
      </c>
      <c r="D5" s="19" t="s">
        <v>1864</v>
      </c>
      <c r="E5" s="19" t="s">
        <v>1863</v>
      </c>
      <c r="F5" s="19" t="s">
        <v>45</v>
      </c>
      <c r="G5" s="20">
        <v>760</v>
      </c>
      <c r="H5" s="20">
        <v>30</v>
      </c>
      <c r="I5" s="20">
        <f t="shared" si="0"/>
        <v>730</v>
      </c>
      <c r="J5" s="19" t="s">
        <v>1845</v>
      </c>
      <c r="K5" s="19" t="s">
        <v>37</v>
      </c>
      <c r="L5" s="19" t="s">
        <v>1782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1862</v>
      </c>
      <c r="D6" s="19" t="s">
        <v>1861</v>
      </c>
      <c r="E6" s="19" t="s">
        <v>1860</v>
      </c>
      <c r="F6" s="19" t="s">
        <v>62</v>
      </c>
      <c r="G6" s="20">
        <v>915</v>
      </c>
      <c r="H6" s="20">
        <v>25</v>
      </c>
      <c r="I6" s="20">
        <f t="shared" si="0"/>
        <v>890</v>
      </c>
      <c r="J6" s="19" t="s">
        <v>1845</v>
      </c>
      <c r="K6" s="19" t="s">
        <v>37</v>
      </c>
      <c r="L6" s="19" t="s">
        <v>1782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1859</v>
      </c>
      <c r="D7" s="19" t="s">
        <v>1858</v>
      </c>
      <c r="E7" s="19" t="s">
        <v>1857</v>
      </c>
      <c r="F7" s="19" t="s">
        <v>173</v>
      </c>
      <c r="G7" s="20">
        <v>995</v>
      </c>
      <c r="H7" s="20">
        <v>25</v>
      </c>
      <c r="I7" s="20">
        <f t="shared" si="0"/>
        <v>970</v>
      </c>
      <c r="J7" s="19" t="s">
        <v>1845</v>
      </c>
      <c r="K7" s="19" t="s">
        <v>37</v>
      </c>
      <c r="L7" s="19" t="s">
        <v>1782</v>
      </c>
      <c r="M7" s="19"/>
      <c r="N7" s="19"/>
      <c r="O7" s="19"/>
      <c r="P7" s="19"/>
      <c r="Q7" s="19">
        <v>1</v>
      </c>
    </row>
    <row r="8" spans="1:18" customFormat="1" x14ac:dyDescent="0.25">
      <c r="A8" s="19"/>
      <c r="B8" s="19" t="s">
        <v>32</v>
      </c>
      <c r="C8" s="19" t="s">
        <v>1856</v>
      </c>
      <c r="D8" s="19" t="s">
        <v>1855</v>
      </c>
      <c r="E8" s="19" t="s">
        <v>1854</v>
      </c>
      <c r="F8" s="19" t="s">
        <v>173</v>
      </c>
      <c r="G8" s="20">
        <v>915</v>
      </c>
      <c r="H8" s="20">
        <v>25</v>
      </c>
      <c r="I8" s="20">
        <f t="shared" si="0"/>
        <v>890</v>
      </c>
      <c r="J8" s="19" t="s">
        <v>1845</v>
      </c>
      <c r="K8" s="19" t="s">
        <v>37</v>
      </c>
      <c r="L8" s="19" t="s">
        <v>1782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983</v>
      </c>
      <c r="D9" s="19" t="s">
        <v>1853</v>
      </c>
      <c r="E9" s="19" t="s">
        <v>1852</v>
      </c>
      <c r="F9" s="19" t="s">
        <v>45</v>
      </c>
      <c r="G9" s="20">
        <v>910</v>
      </c>
      <c r="H9" s="20">
        <v>30</v>
      </c>
      <c r="I9" s="20">
        <f t="shared" si="0"/>
        <v>880</v>
      </c>
      <c r="J9" s="19" t="s">
        <v>1845</v>
      </c>
      <c r="K9" s="19" t="s">
        <v>37</v>
      </c>
      <c r="L9" s="19" t="s">
        <v>1782</v>
      </c>
      <c r="M9" s="19"/>
      <c r="N9" s="19"/>
      <c r="O9" s="19"/>
      <c r="P9" s="19"/>
      <c r="Q9" s="19">
        <v>1</v>
      </c>
    </row>
    <row r="10" spans="1:18" customFormat="1" x14ac:dyDescent="0.25">
      <c r="A10" s="19"/>
      <c r="B10" s="19" t="s">
        <v>32</v>
      </c>
      <c r="C10" s="19" t="s">
        <v>1851</v>
      </c>
      <c r="D10" s="19" t="s">
        <v>1850</v>
      </c>
      <c r="E10" s="19" t="s">
        <v>1849</v>
      </c>
      <c r="F10" s="20">
        <v>6</v>
      </c>
      <c r="G10" s="20">
        <v>1535</v>
      </c>
      <c r="H10" s="20">
        <v>25</v>
      </c>
      <c r="I10" s="20">
        <f t="shared" si="0"/>
        <v>1510</v>
      </c>
      <c r="J10" s="19" t="s">
        <v>1845</v>
      </c>
      <c r="K10" s="19" t="s">
        <v>37</v>
      </c>
      <c r="L10" s="19" t="s">
        <v>1782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1848</v>
      </c>
      <c r="D11" s="19" t="s">
        <v>1847</v>
      </c>
      <c r="E11" s="19" t="s">
        <v>1846</v>
      </c>
      <c r="F11" s="19" t="s">
        <v>62</v>
      </c>
      <c r="G11" s="20">
        <v>905</v>
      </c>
      <c r="H11" s="20">
        <v>25</v>
      </c>
      <c r="I11" s="20">
        <f t="shared" si="0"/>
        <v>880</v>
      </c>
      <c r="J11" s="19" t="s">
        <v>1845</v>
      </c>
      <c r="K11" s="19" t="s">
        <v>37</v>
      </c>
      <c r="L11" s="19" t="s">
        <v>1782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1844</v>
      </c>
      <c r="D12" s="19" t="s">
        <v>1843</v>
      </c>
      <c r="E12" s="19" t="s">
        <v>1842</v>
      </c>
      <c r="F12" s="20">
        <v>2</v>
      </c>
      <c r="G12" s="20">
        <v>2880</v>
      </c>
      <c r="H12" s="20">
        <v>35</v>
      </c>
      <c r="I12" s="20">
        <f t="shared" si="0"/>
        <v>2845</v>
      </c>
      <c r="J12" s="19" t="s">
        <v>37</v>
      </c>
      <c r="K12" s="19" t="s">
        <v>37</v>
      </c>
      <c r="L12" s="19" t="s">
        <v>1782</v>
      </c>
      <c r="M12" s="22" t="s">
        <v>183</v>
      </c>
      <c r="N12" s="19"/>
      <c r="O12" s="19"/>
      <c r="P12" s="19"/>
      <c r="Q12" s="19">
        <v>1</v>
      </c>
      <c r="R12" s="21">
        <f>H12</f>
        <v>35</v>
      </c>
    </row>
    <row r="13" spans="1:18" customFormat="1" x14ac:dyDescent="0.25">
      <c r="A13" s="19"/>
      <c r="B13" s="19" t="s">
        <v>32</v>
      </c>
      <c r="C13" s="19" t="s">
        <v>1841</v>
      </c>
      <c r="D13" s="19" t="s">
        <v>1840</v>
      </c>
      <c r="E13" s="19" t="s">
        <v>1806</v>
      </c>
      <c r="F13" s="20">
        <v>12</v>
      </c>
      <c r="G13" s="20">
        <v>0</v>
      </c>
      <c r="H13" s="20">
        <v>60</v>
      </c>
      <c r="I13" s="20">
        <f t="shared" si="0"/>
        <v>-60</v>
      </c>
      <c r="J13" s="19" t="s">
        <v>37</v>
      </c>
      <c r="K13" s="19" t="s">
        <v>37</v>
      </c>
      <c r="L13" s="19" t="s">
        <v>1782</v>
      </c>
      <c r="M13" s="19"/>
      <c r="N13" s="19"/>
      <c r="O13" s="19"/>
      <c r="P13" s="19"/>
      <c r="Q13" s="19">
        <v>1</v>
      </c>
      <c r="R13" s="21">
        <f>H13</f>
        <v>60</v>
      </c>
    </row>
    <row r="14" spans="1:18" customFormat="1" x14ac:dyDescent="0.25">
      <c r="A14" s="19"/>
      <c r="B14" s="19" t="s">
        <v>32</v>
      </c>
      <c r="C14" s="19" t="s">
        <v>1839</v>
      </c>
      <c r="D14" s="19" t="s">
        <v>1838</v>
      </c>
      <c r="E14" s="19" t="s">
        <v>1837</v>
      </c>
      <c r="F14" s="19" t="s">
        <v>173</v>
      </c>
      <c r="G14" s="20">
        <v>2570</v>
      </c>
      <c r="H14" s="20">
        <v>30</v>
      </c>
      <c r="I14" s="20">
        <f t="shared" si="0"/>
        <v>2540</v>
      </c>
      <c r="J14" s="19" t="s">
        <v>37</v>
      </c>
      <c r="K14" s="19" t="s">
        <v>37</v>
      </c>
      <c r="L14" s="19" t="s">
        <v>1782</v>
      </c>
      <c r="M14" s="22" t="s">
        <v>183</v>
      </c>
      <c r="N14" s="19"/>
      <c r="O14" s="19"/>
      <c r="P14" s="19"/>
      <c r="Q14" s="19">
        <v>1</v>
      </c>
      <c r="R14" s="21">
        <f>H14</f>
        <v>30</v>
      </c>
    </row>
    <row r="15" spans="1:18" s="26" customFormat="1" x14ac:dyDescent="0.25">
      <c r="A15" s="23"/>
      <c r="B15" s="23" t="s">
        <v>32</v>
      </c>
      <c r="C15" s="23" t="s">
        <v>1594</v>
      </c>
      <c r="D15" s="23" t="s">
        <v>1836</v>
      </c>
      <c r="E15" s="23" t="s">
        <v>1596</v>
      </c>
      <c r="F15" s="23" t="s">
        <v>173</v>
      </c>
      <c r="G15" s="24">
        <v>65</v>
      </c>
      <c r="H15" s="24">
        <v>25</v>
      </c>
      <c r="I15" s="24">
        <f t="shared" si="0"/>
        <v>40</v>
      </c>
      <c r="J15" s="23" t="s">
        <v>37</v>
      </c>
      <c r="K15" s="23" t="s">
        <v>37</v>
      </c>
      <c r="L15" s="23" t="s">
        <v>1782</v>
      </c>
      <c r="M15" s="23" t="s">
        <v>148</v>
      </c>
      <c r="N15" s="23"/>
      <c r="O15" s="23"/>
      <c r="P15" s="23"/>
      <c r="Q15" s="23">
        <v>1</v>
      </c>
    </row>
    <row r="16" spans="1:18" customFormat="1" x14ac:dyDescent="0.25">
      <c r="A16" s="19"/>
      <c r="B16" s="19" t="s">
        <v>32</v>
      </c>
      <c r="C16" s="19" t="s">
        <v>1835</v>
      </c>
      <c r="D16" s="19" t="s">
        <v>1834</v>
      </c>
      <c r="E16" s="19" t="s">
        <v>1833</v>
      </c>
      <c r="F16" s="19" t="s">
        <v>117</v>
      </c>
      <c r="G16" s="20">
        <v>935</v>
      </c>
      <c r="H16" s="20">
        <v>25</v>
      </c>
      <c r="I16" s="20">
        <f t="shared" si="0"/>
        <v>910</v>
      </c>
      <c r="J16" s="19" t="s">
        <v>37</v>
      </c>
      <c r="K16" s="19" t="s">
        <v>37</v>
      </c>
      <c r="L16" s="19" t="s">
        <v>1782</v>
      </c>
      <c r="M16" s="19"/>
      <c r="N16" s="19"/>
      <c r="O16" s="19"/>
      <c r="P16" s="19"/>
      <c r="Q16" s="19">
        <v>1</v>
      </c>
    </row>
    <row r="17" spans="1:18" customFormat="1" x14ac:dyDescent="0.25">
      <c r="A17" s="19"/>
      <c r="B17" s="19" t="s">
        <v>32</v>
      </c>
      <c r="C17" s="19" t="s">
        <v>1832</v>
      </c>
      <c r="D17" s="19" t="s">
        <v>1831</v>
      </c>
      <c r="E17" s="19" t="s">
        <v>1830</v>
      </c>
      <c r="F17" s="20">
        <v>2</v>
      </c>
      <c r="G17" s="20">
        <v>900</v>
      </c>
      <c r="H17" s="20">
        <v>30</v>
      </c>
      <c r="I17" s="20">
        <f t="shared" si="0"/>
        <v>870</v>
      </c>
      <c r="J17" s="19" t="s">
        <v>37</v>
      </c>
      <c r="K17" s="19" t="s">
        <v>37</v>
      </c>
      <c r="L17" s="19" t="s">
        <v>1782</v>
      </c>
      <c r="M17" s="19"/>
      <c r="N17" s="19"/>
      <c r="O17" s="19"/>
      <c r="P17" s="19"/>
      <c r="Q17" s="19">
        <v>1</v>
      </c>
    </row>
    <row r="18" spans="1:18" customFormat="1" x14ac:dyDescent="0.25">
      <c r="A18" s="19"/>
      <c r="B18" s="19" t="s">
        <v>32</v>
      </c>
      <c r="C18" s="19" t="s">
        <v>1829</v>
      </c>
      <c r="D18" s="19" t="s">
        <v>1828</v>
      </c>
      <c r="E18" s="19" t="s">
        <v>1827</v>
      </c>
      <c r="F18" s="19" t="s">
        <v>138</v>
      </c>
      <c r="G18" s="20">
        <v>940</v>
      </c>
      <c r="H18" s="20">
        <v>30</v>
      </c>
      <c r="I18" s="20">
        <f t="shared" si="0"/>
        <v>910</v>
      </c>
      <c r="J18" s="19" t="s">
        <v>37</v>
      </c>
      <c r="K18" s="19" t="s">
        <v>37</v>
      </c>
      <c r="L18" s="19" t="s">
        <v>1782</v>
      </c>
      <c r="M18" s="19"/>
      <c r="N18" s="19"/>
      <c r="O18" s="19"/>
      <c r="P18" s="19"/>
      <c r="Q18" s="19">
        <v>1</v>
      </c>
    </row>
    <row r="19" spans="1:18" customFormat="1" x14ac:dyDescent="0.25">
      <c r="A19" s="19"/>
      <c r="B19" s="19" t="s">
        <v>32</v>
      </c>
      <c r="C19" s="19" t="s">
        <v>1826</v>
      </c>
      <c r="D19" s="19" t="s">
        <v>1825</v>
      </c>
      <c r="E19" s="19" t="s">
        <v>1824</v>
      </c>
      <c r="F19" s="19" t="s">
        <v>124</v>
      </c>
      <c r="G19" s="20">
        <v>0</v>
      </c>
      <c r="H19" s="20">
        <v>20</v>
      </c>
      <c r="I19" s="20">
        <f t="shared" si="0"/>
        <v>-20</v>
      </c>
      <c r="J19" s="19" t="s">
        <v>37</v>
      </c>
      <c r="K19" s="19" t="s">
        <v>37</v>
      </c>
      <c r="L19" s="19" t="s">
        <v>1782</v>
      </c>
      <c r="M19" s="19"/>
      <c r="N19" s="19"/>
      <c r="O19" s="19"/>
      <c r="P19" s="19"/>
      <c r="Q19" s="19">
        <v>1</v>
      </c>
      <c r="R19" s="21">
        <f>H19</f>
        <v>20</v>
      </c>
    </row>
    <row r="20" spans="1:18" customFormat="1" x14ac:dyDescent="0.25">
      <c r="A20" s="19"/>
      <c r="B20" s="19" t="s">
        <v>32</v>
      </c>
      <c r="C20" s="19" t="s">
        <v>1823</v>
      </c>
      <c r="D20" s="19" t="s">
        <v>1822</v>
      </c>
      <c r="E20" s="19" t="s">
        <v>1821</v>
      </c>
      <c r="F20" s="20">
        <v>2</v>
      </c>
      <c r="G20" s="20">
        <v>980</v>
      </c>
      <c r="H20" s="20">
        <v>30</v>
      </c>
      <c r="I20" s="20">
        <f t="shared" si="0"/>
        <v>950</v>
      </c>
      <c r="J20" s="19" t="s">
        <v>37</v>
      </c>
      <c r="K20" s="19" t="s">
        <v>37</v>
      </c>
      <c r="L20" s="19" t="s">
        <v>1782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1820</v>
      </c>
      <c r="D21" s="19" t="s">
        <v>1819</v>
      </c>
      <c r="E21" s="19" t="s">
        <v>1818</v>
      </c>
      <c r="F21" s="19" t="s">
        <v>117</v>
      </c>
      <c r="G21" s="20">
        <v>0</v>
      </c>
      <c r="H21" s="20">
        <v>25</v>
      </c>
      <c r="I21" s="20">
        <f t="shared" si="0"/>
        <v>-25</v>
      </c>
      <c r="J21" s="19" t="s">
        <v>37</v>
      </c>
      <c r="K21" s="19" t="s">
        <v>37</v>
      </c>
      <c r="L21" s="19" t="s">
        <v>1782</v>
      </c>
      <c r="M21" s="19"/>
      <c r="N21" s="19"/>
      <c r="O21" s="19"/>
      <c r="P21" s="19"/>
      <c r="Q21" s="19">
        <v>1</v>
      </c>
      <c r="R21" s="21">
        <f>H21</f>
        <v>25</v>
      </c>
    </row>
    <row r="22" spans="1:18" customFormat="1" x14ac:dyDescent="0.25">
      <c r="A22" s="19"/>
      <c r="B22" s="19" t="s">
        <v>32</v>
      </c>
      <c r="C22" s="19" t="s">
        <v>1817</v>
      </c>
      <c r="D22" s="19" t="s">
        <v>1816</v>
      </c>
      <c r="E22" s="19" t="s">
        <v>1815</v>
      </c>
      <c r="F22" s="19" t="s">
        <v>124</v>
      </c>
      <c r="G22" s="20">
        <v>960</v>
      </c>
      <c r="H22" s="20">
        <v>20</v>
      </c>
      <c r="I22" s="20">
        <f t="shared" si="0"/>
        <v>940</v>
      </c>
      <c r="J22" s="19" t="s">
        <v>37</v>
      </c>
      <c r="K22" s="19" t="s">
        <v>37</v>
      </c>
      <c r="L22" s="19" t="s">
        <v>1782</v>
      </c>
      <c r="M22" s="19"/>
      <c r="N22" s="19"/>
      <c r="O22" s="19"/>
      <c r="P22" s="19"/>
      <c r="Q22" s="19">
        <v>1</v>
      </c>
    </row>
    <row r="23" spans="1:18" customFormat="1" x14ac:dyDescent="0.25">
      <c r="A23" s="19"/>
      <c r="B23" s="19" t="s">
        <v>32</v>
      </c>
      <c r="C23" s="19" t="s">
        <v>513</v>
      </c>
      <c r="D23" s="19" t="s">
        <v>1814</v>
      </c>
      <c r="E23" s="19" t="s">
        <v>515</v>
      </c>
      <c r="F23" s="19" t="s">
        <v>124</v>
      </c>
      <c r="G23" s="20">
        <v>910</v>
      </c>
      <c r="H23" s="20">
        <v>20</v>
      </c>
      <c r="I23" s="20">
        <f t="shared" si="0"/>
        <v>890</v>
      </c>
      <c r="J23" s="19" t="s">
        <v>37</v>
      </c>
      <c r="K23" s="19" t="s">
        <v>37</v>
      </c>
      <c r="L23" s="19" t="s">
        <v>1782</v>
      </c>
      <c r="M23" s="19"/>
      <c r="N23" s="19"/>
      <c r="O23" s="19"/>
      <c r="P23" s="19"/>
      <c r="Q23" s="19">
        <v>1</v>
      </c>
    </row>
    <row r="24" spans="1:18" customFormat="1" x14ac:dyDescent="0.25">
      <c r="A24" s="19"/>
      <c r="B24" s="19" t="s">
        <v>32</v>
      </c>
      <c r="C24" s="19" t="s">
        <v>1813</v>
      </c>
      <c r="D24" s="19" t="s">
        <v>1812</v>
      </c>
      <c r="E24" s="19" t="s">
        <v>1811</v>
      </c>
      <c r="F24" s="20">
        <v>12</v>
      </c>
      <c r="G24" s="20">
        <v>0</v>
      </c>
      <c r="H24" s="20">
        <v>30</v>
      </c>
      <c r="I24" s="20">
        <f t="shared" si="0"/>
        <v>-30</v>
      </c>
      <c r="J24" s="19" t="s">
        <v>37</v>
      </c>
      <c r="K24" s="19" t="s">
        <v>37</v>
      </c>
      <c r="L24" s="19" t="s">
        <v>1782</v>
      </c>
      <c r="M24" s="19"/>
      <c r="N24" s="19"/>
      <c r="O24" s="19"/>
      <c r="P24" s="19"/>
      <c r="Q24" s="19">
        <v>1</v>
      </c>
      <c r="R24" s="21">
        <f>H24</f>
        <v>30</v>
      </c>
    </row>
    <row r="25" spans="1:18" customFormat="1" x14ac:dyDescent="0.25">
      <c r="A25" s="19"/>
      <c r="B25" s="19" t="s">
        <v>32</v>
      </c>
      <c r="C25" s="19" t="s">
        <v>1810</v>
      </c>
      <c r="D25" s="19" t="s">
        <v>1809</v>
      </c>
      <c r="E25" s="19" t="s">
        <v>1808</v>
      </c>
      <c r="F25" s="19" t="s">
        <v>173</v>
      </c>
      <c r="G25" s="20">
        <v>765</v>
      </c>
      <c r="H25" s="20">
        <v>25</v>
      </c>
      <c r="I25" s="20">
        <f t="shared" si="0"/>
        <v>740</v>
      </c>
      <c r="J25" s="19" t="s">
        <v>37</v>
      </c>
      <c r="K25" s="19" t="s">
        <v>37</v>
      </c>
      <c r="L25" s="19" t="s">
        <v>1782</v>
      </c>
      <c r="M25" s="19"/>
      <c r="N25" s="19"/>
      <c r="O25" s="19"/>
      <c r="P25" s="19"/>
      <c r="Q25" s="19">
        <v>1</v>
      </c>
    </row>
    <row r="26" spans="1:18" customFormat="1" x14ac:dyDescent="0.25">
      <c r="A26" s="19" t="s">
        <v>107</v>
      </c>
      <c r="B26" s="19" t="s">
        <v>32</v>
      </c>
      <c r="C26" s="19" t="s">
        <v>162</v>
      </c>
      <c r="D26" s="19"/>
      <c r="E26" s="19" t="s">
        <v>419</v>
      </c>
      <c r="F26" s="19" t="s">
        <v>117</v>
      </c>
      <c r="G26" s="20">
        <v>11720</v>
      </c>
      <c r="H26" s="20">
        <v>60</v>
      </c>
      <c r="I26" s="20">
        <f t="shared" si="0"/>
        <v>11660</v>
      </c>
      <c r="J26" s="19" t="s">
        <v>37</v>
      </c>
      <c r="K26" s="19" t="s">
        <v>37</v>
      </c>
      <c r="L26" s="19" t="s">
        <v>1782</v>
      </c>
      <c r="M26" s="19"/>
      <c r="N26" s="19"/>
      <c r="O26" s="19"/>
      <c r="P26" s="19"/>
      <c r="Q26" s="19">
        <v>1</v>
      </c>
    </row>
    <row r="27" spans="1:18" customFormat="1" x14ac:dyDescent="0.25">
      <c r="A27" s="19" t="s">
        <v>107</v>
      </c>
      <c r="B27" s="19" t="s">
        <v>32</v>
      </c>
      <c r="C27" s="19" t="s">
        <v>1807</v>
      </c>
      <c r="D27" s="19"/>
      <c r="E27" s="19" t="s">
        <v>1806</v>
      </c>
      <c r="F27" s="20">
        <v>12</v>
      </c>
      <c r="G27" s="20">
        <v>0</v>
      </c>
      <c r="H27" s="20">
        <v>35</v>
      </c>
      <c r="I27" s="20">
        <f t="shared" si="0"/>
        <v>-35</v>
      </c>
      <c r="J27" s="19" t="s">
        <v>37</v>
      </c>
      <c r="K27" s="19" t="s">
        <v>37</v>
      </c>
      <c r="L27" s="19" t="s">
        <v>1782</v>
      </c>
      <c r="M27" s="19"/>
      <c r="N27" s="19"/>
      <c r="O27" s="19"/>
      <c r="P27" s="19"/>
      <c r="Q27" s="19">
        <v>1</v>
      </c>
      <c r="R27" s="21">
        <f>H27</f>
        <v>35</v>
      </c>
    </row>
    <row r="28" spans="1:18" customFormat="1" x14ac:dyDescent="0.25">
      <c r="A28" s="19"/>
      <c r="B28" s="19" t="s">
        <v>32</v>
      </c>
      <c r="C28" s="19" t="s">
        <v>1083</v>
      </c>
      <c r="D28" s="19" t="s">
        <v>1805</v>
      </c>
      <c r="E28" s="19" t="s">
        <v>1804</v>
      </c>
      <c r="F28" s="20">
        <v>7</v>
      </c>
      <c r="G28" s="20">
        <v>940</v>
      </c>
      <c r="H28" s="20">
        <v>30</v>
      </c>
      <c r="I28" s="20">
        <f t="shared" si="0"/>
        <v>910</v>
      </c>
      <c r="J28" s="19" t="s">
        <v>169</v>
      </c>
      <c r="K28" s="19" t="s">
        <v>37</v>
      </c>
      <c r="L28" s="19" t="s">
        <v>1782</v>
      </c>
      <c r="M28" s="19"/>
      <c r="N28" s="19"/>
      <c r="O28" s="19"/>
      <c r="P28" s="19"/>
      <c r="Q28" s="19">
        <v>1</v>
      </c>
    </row>
    <row r="29" spans="1:18" customFormat="1" x14ac:dyDescent="0.25">
      <c r="A29" s="19"/>
      <c r="B29" s="19" t="s">
        <v>32</v>
      </c>
      <c r="C29" s="19" t="s">
        <v>1803</v>
      </c>
      <c r="D29" s="19" t="s">
        <v>1802</v>
      </c>
      <c r="E29" s="19" t="s">
        <v>1801</v>
      </c>
      <c r="F29" s="20">
        <v>8</v>
      </c>
      <c r="G29" s="20">
        <v>880</v>
      </c>
      <c r="H29" s="20">
        <v>30</v>
      </c>
      <c r="I29" s="20">
        <f t="shared" si="0"/>
        <v>850</v>
      </c>
      <c r="J29" s="19" t="s">
        <v>169</v>
      </c>
      <c r="K29" s="19" t="s">
        <v>37</v>
      </c>
      <c r="L29" s="19" t="s">
        <v>1782</v>
      </c>
      <c r="M29" s="19"/>
      <c r="N29" s="19"/>
      <c r="O29" s="19"/>
      <c r="P29" s="19"/>
      <c r="Q29" s="19">
        <v>1</v>
      </c>
    </row>
    <row r="30" spans="1:18" s="26" customFormat="1" x14ac:dyDescent="0.25">
      <c r="A30" s="23"/>
      <c r="B30" s="23" t="s">
        <v>32</v>
      </c>
      <c r="C30" s="23" t="s">
        <v>1800</v>
      </c>
      <c r="D30" s="23" t="s">
        <v>1799</v>
      </c>
      <c r="E30" s="23" t="s">
        <v>1798</v>
      </c>
      <c r="F30" s="24">
        <v>8</v>
      </c>
      <c r="G30" s="24">
        <v>30</v>
      </c>
      <c r="H30" s="24">
        <v>30</v>
      </c>
      <c r="I30" s="24">
        <f t="shared" si="0"/>
        <v>0</v>
      </c>
      <c r="J30" s="23" t="s">
        <v>169</v>
      </c>
      <c r="K30" s="23" t="s">
        <v>37</v>
      </c>
      <c r="L30" s="23" t="s">
        <v>1782</v>
      </c>
      <c r="M30" s="23" t="s">
        <v>148</v>
      </c>
      <c r="N30" s="23"/>
      <c r="O30" s="23"/>
      <c r="P30" s="23"/>
      <c r="Q30" s="23">
        <v>1</v>
      </c>
    </row>
    <row r="31" spans="1:18" customFormat="1" x14ac:dyDescent="0.25">
      <c r="A31" s="19"/>
      <c r="B31" s="19" t="s">
        <v>32</v>
      </c>
      <c r="C31" s="19" t="s">
        <v>1266</v>
      </c>
      <c r="D31" s="19" t="s">
        <v>1797</v>
      </c>
      <c r="E31" s="19" t="s">
        <v>1796</v>
      </c>
      <c r="F31" s="20">
        <v>8</v>
      </c>
      <c r="G31" s="20">
        <v>1700</v>
      </c>
      <c r="H31" s="20">
        <v>30</v>
      </c>
      <c r="I31" s="20">
        <f t="shared" si="0"/>
        <v>1670</v>
      </c>
      <c r="J31" s="19" t="s">
        <v>169</v>
      </c>
      <c r="K31" s="19" t="s">
        <v>37</v>
      </c>
      <c r="L31" s="19" t="s">
        <v>1782</v>
      </c>
      <c r="M31" s="19"/>
      <c r="N31" s="19"/>
      <c r="O31" s="19"/>
      <c r="P31" s="19"/>
      <c r="Q31" s="19">
        <v>1</v>
      </c>
    </row>
    <row r="32" spans="1:18" customFormat="1" x14ac:dyDescent="0.25">
      <c r="A32" s="19"/>
      <c r="B32" s="19" t="s">
        <v>32</v>
      </c>
      <c r="C32" s="19" t="s">
        <v>1687</v>
      </c>
      <c r="D32" s="19" t="s">
        <v>1795</v>
      </c>
      <c r="E32" s="19" t="s">
        <v>1689</v>
      </c>
      <c r="F32" s="19" t="s">
        <v>88</v>
      </c>
      <c r="G32" s="20">
        <v>765</v>
      </c>
      <c r="H32" s="20">
        <v>35</v>
      </c>
      <c r="I32" s="20">
        <f t="shared" si="0"/>
        <v>730</v>
      </c>
      <c r="J32" s="19" t="s">
        <v>169</v>
      </c>
      <c r="K32" s="19" t="s">
        <v>37</v>
      </c>
      <c r="L32" s="19" t="s">
        <v>1782</v>
      </c>
      <c r="M32" s="19"/>
      <c r="N32" s="19"/>
      <c r="O32" s="19"/>
      <c r="P32" s="19"/>
      <c r="Q32" s="19">
        <v>1</v>
      </c>
    </row>
    <row r="33" spans="1:18" customFormat="1" x14ac:dyDescent="0.25">
      <c r="A33" s="19"/>
      <c r="B33" s="19" t="s">
        <v>32</v>
      </c>
      <c r="C33" s="19" t="s">
        <v>1794</v>
      </c>
      <c r="D33" s="19" t="s">
        <v>1793</v>
      </c>
      <c r="E33" s="19" t="s">
        <v>1792</v>
      </c>
      <c r="F33" s="20">
        <v>7</v>
      </c>
      <c r="G33" s="20">
        <v>910</v>
      </c>
      <c r="H33" s="20">
        <v>30</v>
      </c>
      <c r="I33" s="20">
        <f t="shared" si="0"/>
        <v>880</v>
      </c>
      <c r="J33" s="19" t="s">
        <v>169</v>
      </c>
      <c r="K33" s="19" t="s">
        <v>37</v>
      </c>
      <c r="L33" s="19" t="s">
        <v>1782</v>
      </c>
      <c r="M33" s="19"/>
      <c r="N33" s="19"/>
      <c r="O33" s="19"/>
      <c r="P33" s="19"/>
      <c r="Q33" s="19">
        <v>1</v>
      </c>
    </row>
    <row r="34" spans="1:18" customFormat="1" x14ac:dyDescent="0.25">
      <c r="A34" s="19"/>
      <c r="B34" s="19" t="s">
        <v>32</v>
      </c>
      <c r="C34" s="19" t="s">
        <v>1791</v>
      </c>
      <c r="D34" s="19" t="s">
        <v>1790</v>
      </c>
      <c r="E34" s="19" t="s">
        <v>1789</v>
      </c>
      <c r="F34" s="20">
        <v>8</v>
      </c>
      <c r="G34" s="20">
        <v>850</v>
      </c>
      <c r="H34" s="20">
        <v>30</v>
      </c>
      <c r="I34" s="20">
        <f t="shared" si="0"/>
        <v>820</v>
      </c>
      <c r="J34" s="19" t="s">
        <v>169</v>
      </c>
      <c r="K34" s="19" t="s">
        <v>37</v>
      </c>
      <c r="L34" s="19" t="s">
        <v>1782</v>
      </c>
      <c r="M34" s="19"/>
      <c r="N34" s="19"/>
      <c r="O34" s="19"/>
      <c r="P34" s="19"/>
      <c r="Q34" s="19">
        <v>1</v>
      </c>
    </row>
    <row r="35" spans="1:18" customFormat="1" x14ac:dyDescent="0.25">
      <c r="A35" s="19"/>
      <c r="B35" s="19" t="s">
        <v>32</v>
      </c>
      <c r="C35" s="19" t="s">
        <v>1788</v>
      </c>
      <c r="D35" s="19" t="s">
        <v>1787</v>
      </c>
      <c r="E35" s="19" t="s">
        <v>1786</v>
      </c>
      <c r="F35" s="20">
        <v>1</v>
      </c>
      <c r="G35" s="20">
        <v>805</v>
      </c>
      <c r="H35" s="20">
        <v>25</v>
      </c>
      <c r="I35" s="20">
        <f t="shared" si="0"/>
        <v>780</v>
      </c>
      <c r="J35" s="19" t="s">
        <v>169</v>
      </c>
      <c r="K35" s="19" t="s">
        <v>37</v>
      </c>
      <c r="L35" s="19" t="s">
        <v>1782</v>
      </c>
      <c r="M35" s="19"/>
      <c r="N35" s="19"/>
      <c r="O35" s="19"/>
      <c r="P35" s="19"/>
      <c r="Q35" s="19">
        <v>1</v>
      </c>
    </row>
    <row r="36" spans="1:18" s="35" customFormat="1" x14ac:dyDescent="0.25">
      <c r="A36" s="33"/>
      <c r="B36" s="33" t="s">
        <v>32</v>
      </c>
      <c r="C36" s="33" t="s">
        <v>1785</v>
      </c>
      <c r="D36" s="33" t="s">
        <v>1784</v>
      </c>
      <c r="E36" s="33" t="s">
        <v>1783</v>
      </c>
      <c r="F36" s="33" t="s">
        <v>1146</v>
      </c>
      <c r="G36" s="34">
        <v>870</v>
      </c>
      <c r="H36" s="34">
        <v>0</v>
      </c>
      <c r="I36" s="34">
        <f t="shared" si="0"/>
        <v>870</v>
      </c>
      <c r="J36" s="33" t="s">
        <v>1147</v>
      </c>
      <c r="K36" s="33" t="s">
        <v>37</v>
      </c>
      <c r="L36" s="33" t="s">
        <v>1782</v>
      </c>
      <c r="M36" s="33" t="s">
        <v>1148</v>
      </c>
      <c r="N36" s="33" t="s">
        <v>1149</v>
      </c>
      <c r="O36" s="33"/>
      <c r="P36" s="33" t="s">
        <v>1150</v>
      </c>
      <c r="Q36" s="33">
        <v>1</v>
      </c>
    </row>
    <row r="38" spans="1:18" x14ac:dyDescent="0.25">
      <c r="G38" s="1">
        <f t="shared" ref="G38:R38" si="1">SUBTOTAL(9,G3:G36)</f>
        <v>40820</v>
      </c>
      <c r="H38" s="1">
        <f t="shared" si="1"/>
        <v>985</v>
      </c>
      <c r="I38" s="1">
        <f t="shared" si="1"/>
        <v>39835</v>
      </c>
      <c r="J38" s="1">
        <f t="shared" si="1"/>
        <v>0</v>
      </c>
      <c r="K38" s="1">
        <f t="shared" si="1"/>
        <v>0</v>
      </c>
      <c r="L38" s="1">
        <f t="shared" si="1"/>
        <v>0</v>
      </c>
      <c r="M38" s="1">
        <f t="shared" si="1"/>
        <v>0</v>
      </c>
      <c r="N38" s="1">
        <f t="shared" si="1"/>
        <v>0</v>
      </c>
      <c r="O38" s="1">
        <f t="shared" si="1"/>
        <v>0</v>
      </c>
      <c r="P38" s="1">
        <f t="shared" si="1"/>
        <v>0</v>
      </c>
      <c r="Q38" s="1">
        <f t="shared" si="1"/>
        <v>34</v>
      </c>
      <c r="R38" s="1">
        <f t="shared" si="1"/>
        <v>235</v>
      </c>
    </row>
    <row r="39" spans="1:18" x14ac:dyDescent="0.25">
      <c r="I39" s="1">
        <v>-3585</v>
      </c>
      <c r="J39" s="1" t="s">
        <v>1872</v>
      </c>
    </row>
    <row r="42" spans="1:18" ht="20.25" customHeight="1" x14ac:dyDescent="0.3">
      <c r="H42" s="4" t="s">
        <v>1779</v>
      </c>
      <c r="I42" s="5" t="s">
        <v>15</v>
      </c>
      <c r="J42" s="6" t="s">
        <v>16</v>
      </c>
    </row>
    <row r="43" spans="1:18" ht="15.75" customHeight="1" x14ac:dyDescent="0.25">
      <c r="H43" s="7" t="s">
        <v>17</v>
      </c>
      <c r="I43" s="8">
        <f>SUM(I37:I41)</f>
        <v>36250</v>
      </c>
      <c r="J43" s="8">
        <f>Q38</f>
        <v>34</v>
      </c>
    </row>
    <row r="44" spans="1:18" x14ac:dyDescent="0.25">
      <c r="H44" s="9" t="s">
        <v>18</v>
      </c>
      <c r="I44" s="10">
        <f>R38</f>
        <v>235</v>
      </c>
      <c r="J44" s="11"/>
    </row>
    <row r="45" spans="1:18" x14ac:dyDescent="0.25">
      <c r="H45" s="9" t="s">
        <v>19</v>
      </c>
      <c r="I45" s="10">
        <f>S37</f>
        <v>0</v>
      </c>
      <c r="J45" s="11"/>
    </row>
    <row r="46" spans="1:18" x14ac:dyDescent="0.25">
      <c r="H46" s="9" t="s">
        <v>20</v>
      </c>
      <c r="I46" s="10">
        <f>T37</f>
        <v>0</v>
      </c>
      <c r="J46" s="11"/>
    </row>
    <row r="47" spans="1:18" x14ac:dyDescent="0.25">
      <c r="H47" s="9" t="s">
        <v>21</v>
      </c>
      <c r="I47" s="10">
        <f>U37</f>
        <v>0</v>
      </c>
      <c r="J47" s="11"/>
    </row>
    <row r="48" spans="1:18" ht="15.75" customHeight="1" x14ac:dyDescent="0.25">
      <c r="H48" s="12" t="s">
        <v>22</v>
      </c>
      <c r="I48" s="13"/>
      <c r="J48" s="13"/>
    </row>
    <row r="49" spans="8:10" ht="15.75" customHeight="1" x14ac:dyDescent="0.25">
      <c r="H49" s="14" t="s">
        <v>23</v>
      </c>
      <c r="I49" s="13"/>
      <c r="J49" s="13"/>
    </row>
    <row r="50" spans="8:10" ht="21" customHeight="1" x14ac:dyDescent="0.35">
      <c r="H50" s="15" t="s">
        <v>24</v>
      </c>
      <c r="I50" s="16">
        <f>SUM(I43:I49)</f>
        <v>36485</v>
      </c>
      <c r="J50" s="16">
        <f>SUM(J43:J47)</f>
        <v>34</v>
      </c>
    </row>
  </sheetData>
  <autoFilter ref="A2:P36" xr:uid="{00000000-0009-0000-0000-000006000000}">
    <sortState xmlns:xlrd2="http://schemas.microsoft.com/office/spreadsheetml/2017/richdata2" ref="A3:P36">
      <sortCondition ref="J2:J36"/>
    </sortState>
  </autoFilter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9B6E0-FD81-4CB1-AFAF-F8E296F21BA7}">
  <dimension ref="A1:R57"/>
  <sheetViews>
    <sheetView zoomScale="82" zoomScaleNormal="80" workbookViewId="0">
      <selection activeCell="E41" sqref="E41"/>
    </sheetView>
  </sheetViews>
  <sheetFormatPr defaultColWidth="9.140625" defaultRowHeight="15" x14ac:dyDescent="0.25"/>
  <cols>
    <col min="1" max="2" width="9.140625" style="1"/>
    <col min="3" max="3" width="29.2851562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201</v>
      </c>
      <c r="C1" s="1" t="s">
        <v>1781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1875</v>
      </c>
      <c r="D3" s="19" t="s">
        <v>1876</v>
      </c>
      <c r="E3" s="19" t="s">
        <v>1877</v>
      </c>
      <c r="F3" s="20">
        <v>9</v>
      </c>
      <c r="G3" s="20">
        <v>920</v>
      </c>
      <c r="H3" s="20">
        <v>30</v>
      </c>
      <c r="I3" s="20">
        <f t="shared" ref="I3:I38" si="0">G3-H3</f>
        <v>890</v>
      </c>
      <c r="J3" s="19" t="s">
        <v>36</v>
      </c>
      <c r="K3" s="19" t="s">
        <v>37</v>
      </c>
      <c r="L3" s="19" t="s">
        <v>1878</v>
      </c>
      <c r="M3" s="19"/>
      <c r="N3" s="19"/>
      <c r="O3" s="19"/>
      <c r="P3" s="19"/>
      <c r="Q3" s="19">
        <v>1</v>
      </c>
    </row>
    <row r="4" spans="1:18" customFormat="1" x14ac:dyDescent="0.25">
      <c r="A4" s="19"/>
      <c r="B4" s="19" t="s">
        <v>32</v>
      </c>
      <c r="C4" s="19" t="s">
        <v>1879</v>
      </c>
      <c r="D4" s="19" t="s">
        <v>1880</v>
      </c>
      <c r="E4" s="19" t="s">
        <v>1881</v>
      </c>
      <c r="F4" s="20">
        <v>9</v>
      </c>
      <c r="G4" s="20">
        <v>920</v>
      </c>
      <c r="H4" s="20">
        <v>30</v>
      </c>
      <c r="I4" s="20">
        <f t="shared" si="0"/>
        <v>890</v>
      </c>
      <c r="J4" s="19" t="s">
        <v>36</v>
      </c>
      <c r="K4" s="19" t="s">
        <v>37</v>
      </c>
      <c r="L4" s="19" t="s">
        <v>1878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1882</v>
      </c>
      <c r="D5" s="19" t="s">
        <v>1883</v>
      </c>
      <c r="E5" s="19" t="s">
        <v>1884</v>
      </c>
      <c r="F5" s="20">
        <v>9</v>
      </c>
      <c r="G5" s="20">
        <v>510</v>
      </c>
      <c r="H5" s="20">
        <v>30</v>
      </c>
      <c r="I5" s="20">
        <f t="shared" si="0"/>
        <v>480</v>
      </c>
      <c r="J5" s="19" t="s">
        <v>36</v>
      </c>
      <c r="K5" s="19" t="s">
        <v>37</v>
      </c>
      <c r="L5" s="19" t="s">
        <v>1878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602</v>
      </c>
      <c r="D6" s="19" t="s">
        <v>1885</v>
      </c>
      <c r="E6" s="19" t="s">
        <v>604</v>
      </c>
      <c r="F6" s="20">
        <v>9</v>
      </c>
      <c r="G6" s="20">
        <v>940</v>
      </c>
      <c r="H6" s="20">
        <v>30</v>
      </c>
      <c r="I6" s="20">
        <f t="shared" si="0"/>
        <v>910</v>
      </c>
      <c r="J6" s="19" t="s">
        <v>36</v>
      </c>
      <c r="K6" s="19" t="s">
        <v>37</v>
      </c>
      <c r="L6" s="19" t="s">
        <v>1878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1588</v>
      </c>
      <c r="D7" s="19" t="s">
        <v>1886</v>
      </c>
      <c r="E7" s="19" t="s">
        <v>1887</v>
      </c>
      <c r="F7" s="20">
        <v>9</v>
      </c>
      <c r="G7" s="20">
        <v>800</v>
      </c>
      <c r="H7" s="20">
        <v>30</v>
      </c>
      <c r="I7" s="20">
        <f t="shared" si="0"/>
        <v>770</v>
      </c>
      <c r="J7" s="19" t="s">
        <v>36</v>
      </c>
      <c r="K7" s="19" t="s">
        <v>37</v>
      </c>
      <c r="L7" s="19" t="s">
        <v>1878</v>
      </c>
      <c r="M7" s="19"/>
      <c r="N7" s="19"/>
      <c r="O7" s="19"/>
      <c r="P7" s="19"/>
      <c r="Q7" s="19">
        <v>1</v>
      </c>
    </row>
    <row r="8" spans="1:18" customFormat="1" x14ac:dyDescent="0.25">
      <c r="A8" s="19"/>
      <c r="B8" s="19" t="s">
        <v>32</v>
      </c>
      <c r="C8" s="19" t="s">
        <v>1888</v>
      </c>
      <c r="D8" s="19" t="s">
        <v>1889</v>
      </c>
      <c r="E8" s="19" t="s">
        <v>1890</v>
      </c>
      <c r="F8" s="19" t="s">
        <v>88</v>
      </c>
      <c r="G8" s="20">
        <v>1005</v>
      </c>
      <c r="H8" s="20">
        <v>35</v>
      </c>
      <c r="I8" s="20">
        <f t="shared" si="0"/>
        <v>970</v>
      </c>
      <c r="J8" s="19" t="s">
        <v>1891</v>
      </c>
      <c r="K8" s="19" t="s">
        <v>37</v>
      </c>
      <c r="L8" s="19" t="s">
        <v>1878</v>
      </c>
      <c r="M8" s="22" t="s">
        <v>438</v>
      </c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1888</v>
      </c>
      <c r="D9" s="19" t="s">
        <v>1892</v>
      </c>
      <c r="E9" s="19" t="s">
        <v>1890</v>
      </c>
      <c r="F9" s="19" t="s">
        <v>88</v>
      </c>
      <c r="G9" s="20">
        <v>880</v>
      </c>
      <c r="H9" s="20">
        <v>0</v>
      </c>
      <c r="I9" s="20">
        <f t="shared" si="0"/>
        <v>880</v>
      </c>
      <c r="J9" s="19" t="s">
        <v>1891</v>
      </c>
      <c r="K9" s="19" t="s">
        <v>37</v>
      </c>
      <c r="L9" s="19" t="s">
        <v>1878</v>
      </c>
      <c r="M9" s="22" t="s">
        <v>438</v>
      </c>
      <c r="N9" s="19"/>
      <c r="O9" s="19"/>
      <c r="P9" s="19"/>
      <c r="Q9" s="19">
        <v>1</v>
      </c>
    </row>
    <row r="10" spans="1:18" customFormat="1" x14ac:dyDescent="0.25">
      <c r="A10" s="19"/>
      <c r="B10" s="19" t="s">
        <v>32</v>
      </c>
      <c r="C10" s="19" t="s">
        <v>1893</v>
      </c>
      <c r="D10" s="19" t="s">
        <v>1894</v>
      </c>
      <c r="E10" s="19" t="s">
        <v>1895</v>
      </c>
      <c r="F10" s="20">
        <v>12</v>
      </c>
      <c r="G10" s="20">
        <v>0</v>
      </c>
      <c r="H10" s="20">
        <v>30</v>
      </c>
      <c r="I10" s="20">
        <f t="shared" si="0"/>
        <v>-30</v>
      </c>
      <c r="J10" s="19" t="s">
        <v>1891</v>
      </c>
      <c r="K10" s="19" t="s">
        <v>37</v>
      </c>
      <c r="L10" s="19" t="s">
        <v>1878</v>
      </c>
      <c r="M10" s="19"/>
      <c r="N10" s="19"/>
      <c r="O10" s="19"/>
      <c r="P10" s="19"/>
      <c r="Q10" s="19">
        <v>1</v>
      </c>
      <c r="R10" s="21">
        <f>H10</f>
        <v>30</v>
      </c>
    </row>
    <row r="11" spans="1:18" customFormat="1" x14ac:dyDescent="0.25">
      <c r="A11" s="19"/>
      <c r="B11" s="19" t="s">
        <v>32</v>
      </c>
      <c r="C11" s="19" t="s">
        <v>1896</v>
      </c>
      <c r="D11" s="19" t="s">
        <v>1897</v>
      </c>
      <c r="E11" s="19" t="s">
        <v>1898</v>
      </c>
      <c r="F11" s="19" t="s">
        <v>317</v>
      </c>
      <c r="G11" s="20">
        <v>880</v>
      </c>
      <c r="H11" s="20">
        <v>20</v>
      </c>
      <c r="I11" s="20">
        <f t="shared" si="0"/>
        <v>860</v>
      </c>
      <c r="J11" s="19" t="s">
        <v>1891</v>
      </c>
      <c r="K11" s="19" t="s">
        <v>37</v>
      </c>
      <c r="L11" s="19" t="s">
        <v>1878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1899</v>
      </c>
      <c r="D12" s="19" t="s">
        <v>1900</v>
      </c>
      <c r="E12" s="19" t="s">
        <v>1901</v>
      </c>
      <c r="F12" s="19" t="s">
        <v>45</v>
      </c>
      <c r="G12" s="20">
        <v>1640</v>
      </c>
      <c r="H12" s="20">
        <v>30</v>
      </c>
      <c r="I12" s="20">
        <f t="shared" si="0"/>
        <v>1610</v>
      </c>
      <c r="J12" s="19" t="s">
        <v>1891</v>
      </c>
      <c r="K12" s="19" t="s">
        <v>37</v>
      </c>
      <c r="L12" s="19" t="s">
        <v>1878</v>
      </c>
      <c r="M12" s="19"/>
      <c r="N12" s="19"/>
      <c r="O12" s="19"/>
      <c r="P12" s="19"/>
      <c r="Q12" s="19">
        <v>1</v>
      </c>
    </row>
    <row r="13" spans="1:18" customFormat="1" x14ac:dyDescent="0.25">
      <c r="A13" s="19"/>
      <c r="B13" s="19" t="s">
        <v>32</v>
      </c>
      <c r="C13" s="19" t="s">
        <v>485</v>
      </c>
      <c r="D13" s="19" t="s">
        <v>1902</v>
      </c>
      <c r="E13" s="19" t="s">
        <v>1903</v>
      </c>
      <c r="F13" s="20">
        <v>8</v>
      </c>
      <c r="G13" s="20">
        <v>920</v>
      </c>
      <c r="H13" s="20">
        <v>30</v>
      </c>
      <c r="I13" s="20">
        <f t="shared" si="0"/>
        <v>890</v>
      </c>
      <c r="J13" s="19" t="s">
        <v>1891</v>
      </c>
      <c r="K13" s="19" t="s">
        <v>37</v>
      </c>
      <c r="L13" s="19" t="s">
        <v>1878</v>
      </c>
      <c r="M13" s="19"/>
      <c r="N13" s="19"/>
      <c r="O13" s="19"/>
      <c r="P13" s="19"/>
      <c r="Q13" s="19">
        <v>1</v>
      </c>
    </row>
    <row r="14" spans="1:18" customFormat="1" x14ac:dyDescent="0.25">
      <c r="A14" s="19"/>
      <c r="B14" s="19" t="s">
        <v>32</v>
      </c>
      <c r="C14" s="19" t="s">
        <v>331</v>
      </c>
      <c r="D14" s="19" t="s">
        <v>1904</v>
      </c>
      <c r="E14" s="19" t="s">
        <v>1905</v>
      </c>
      <c r="F14" s="20">
        <v>8</v>
      </c>
      <c r="G14" s="20">
        <v>2570</v>
      </c>
      <c r="H14" s="20">
        <v>35</v>
      </c>
      <c r="I14" s="20">
        <f t="shared" si="0"/>
        <v>2535</v>
      </c>
      <c r="J14" s="19" t="s">
        <v>1891</v>
      </c>
      <c r="K14" s="19" t="s">
        <v>37</v>
      </c>
      <c r="L14" s="19" t="s">
        <v>1878</v>
      </c>
      <c r="M14" s="19"/>
      <c r="N14" s="19"/>
      <c r="O14" s="19"/>
      <c r="P14" s="19"/>
      <c r="Q14" s="19">
        <v>1</v>
      </c>
    </row>
    <row r="15" spans="1:18" customFormat="1" x14ac:dyDescent="0.25">
      <c r="A15" s="19" t="s">
        <v>107</v>
      </c>
      <c r="B15" s="19" t="s">
        <v>32</v>
      </c>
      <c r="C15" s="19" t="s">
        <v>384</v>
      </c>
      <c r="D15" s="19"/>
      <c r="E15" s="19" t="s">
        <v>385</v>
      </c>
      <c r="F15" s="20">
        <v>6</v>
      </c>
      <c r="G15" s="20">
        <v>0</v>
      </c>
      <c r="H15" s="20">
        <v>30</v>
      </c>
      <c r="I15" s="20">
        <f t="shared" si="0"/>
        <v>-30</v>
      </c>
      <c r="J15" s="19" t="s">
        <v>1891</v>
      </c>
      <c r="K15" s="19" t="s">
        <v>37</v>
      </c>
      <c r="L15" s="19" t="s">
        <v>1878</v>
      </c>
      <c r="M15" s="19"/>
      <c r="N15" s="19"/>
      <c r="O15" s="19"/>
      <c r="P15" s="19"/>
      <c r="Q15" s="19">
        <v>1</v>
      </c>
      <c r="R15" s="21">
        <f>H15</f>
        <v>30</v>
      </c>
    </row>
    <row r="16" spans="1:18" customFormat="1" x14ac:dyDescent="0.25">
      <c r="A16" s="19"/>
      <c r="B16" s="19" t="s">
        <v>32</v>
      </c>
      <c r="C16" s="19" t="s">
        <v>1906</v>
      </c>
      <c r="D16" s="19" t="s">
        <v>1907</v>
      </c>
      <c r="E16" s="19" t="s">
        <v>1908</v>
      </c>
      <c r="F16" s="19" t="s">
        <v>117</v>
      </c>
      <c r="G16" s="20">
        <v>875</v>
      </c>
      <c r="H16" s="20">
        <v>25</v>
      </c>
      <c r="I16" s="20">
        <f t="shared" si="0"/>
        <v>850</v>
      </c>
      <c r="J16" s="19" t="s">
        <v>37</v>
      </c>
      <c r="K16" s="19" t="s">
        <v>37</v>
      </c>
      <c r="L16" s="19" t="s">
        <v>1878</v>
      </c>
      <c r="M16" s="19"/>
      <c r="N16" s="19"/>
      <c r="O16" s="19"/>
      <c r="P16" s="19"/>
      <c r="Q16" s="19">
        <v>1</v>
      </c>
    </row>
    <row r="17" spans="1:18" customFormat="1" x14ac:dyDescent="0.25">
      <c r="A17" s="19"/>
      <c r="B17" s="19" t="s">
        <v>32</v>
      </c>
      <c r="C17" s="19" t="s">
        <v>1909</v>
      </c>
      <c r="D17" s="19" t="s">
        <v>1910</v>
      </c>
      <c r="E17" s="19" t="s">
        <v>1911</v>
      </c>
      <c r="F17" s="19" t="s">
        <v>173</v>
      </c>
      <c r="G17" s="20">
        <v>0</v>
      </c>
      <c r="H17" s="20">
        <v>25</v>
      </c>
      <c r="I17" s="20">
        <f t="shared" si="0"/>
        <v>-25</v>
      </c>
      <c r="J17" s="19" t="s">
        <v>37</v>
      </c>
      <c r="K17" s="19" t="s">
        <v>37</v>
      </c>
      <c r="L17" s="19" t="s">
        <v>1878</v>
      </c>
      <c r="M17" s="22" t="s">
        <v>1966</v>
      </c>
      <c r="N17" s="19"/>
      <c r="O17" s="19"/>
      <c r="P17" s="19"/>
      <c r="Q17" s="19">
        <v>1</v>
      </c>
      <c r="R17" s="21">
        <f>H17</f>
        <v>25</v>
      </c>
    </row>
    <row r="18" spans="1:18" customFormat="1" x14ac:dyDescent="0.25">
      <c r="A18" s="19"/>
      <c r="B18" s="19" t="s">
        <v>32</v>
      </c>
      <c r="C18" s="19" t="s">
        <v>1028</v>
      </c>
      <c r="D18" s="19" t="s">
        <v>1912</v>
      </c>
      <c r="E18" s="19" t="s">
        <v>1913</v>
      </c>
      <c r="F18" s="19" t="s">
        <v>124</v>
      </c>
      <c r="G18" s="20">
        <v>0</v>
      </c>
      <c r="H18" s="20">
        <v>20</v>
      </c>
      <c r="I18" s="20">
        <f t="shared" si="0"/>
        <v>-20</v>
      </c>
      <c r="J18" s="19" t="s">
        <v>37</v>
      </c>
      <c r="K18" s="19" t="s">
        <v>37</v>
      </c>
      <c r="L18" s="19" t="s">
        <v>1878</v>
      </c>
      <c r="M18" s="22" t="s">
        <v>1914</v>
      </c>
      <c r="N18" s="19"/>
      <c r="O18" s="19"/>
      <c r="P18" s="19"/>
      <c r="Q18" s="19">
        <v>1</v>
      </c>
      <c r="R18" s="21">
        <f>H18</f>
        <v>20</v>
      </c>
    </row>
    <row r="19" spans="1:18" customFormat="1" x14ac:dyDescent="0.25">
      <c r="A19" s="19"/>
      <c r="B19" s="19" t="s">
        <v>32</v>
      </c>
      <c r="C19" s="19" t="s">
        <v>504</v>
      </c>
      <c r="D19" s="19" t="s">
        <v>1915</v>
      </c>
      <c r="E19" s="19" t="s">
        <v>308</v>
      </c>
      <c r="F19" s="20">
        <v>12</v>
      </c>
      <c r="G19" s="20">
        <v>0</v>
      </c>
      <c r="H19" s="20">
        <v>30</v>
      </c>
      <c r="I19" s="20">
        <f t="shared" si="0"/>
        <v>-30</v>
      </c>
      <c r="J19" s="19" t="s">
        <v>37</v>
      </c>
      <c r="K19" s="19" t="s">
        <v>37</v>
      </c>
      <c r="L19" s="19" t="s">
        <v>1878</v>
      </c>
      <c r="M19" s="19"/>
      <c r="N19" s="19"/>
      <c r="O19" s="19"/>
      <c r="P19" s="19"/>
      <c r="Q19" s="19">
        <v>1</v>
      </c>
      <c r="R19" s="21">
        <f t="shared" ref="R19:R20" si="1">H19</f>
        <v>30</v>
      </c>
    </row>
    <row r="20" spans="1:18" customFormat="1" x14ac:dyDescent="0.25">
      <c r="A20" s="19"/>
      <c r="B20" s="19" t="s">
        <v>32</v>
      </c>
      <c r="C20" s="19" t="s">
        <v>1916</v>
      </c>
      <c r="D20" s="19" t="s">
        <v>1917</v>
      </c>
      <c r="E20" s="19" t="s">
        <v>1918</v>
      </c>
      <c r="F20" s="20">
        <v>2</v>
      </c>
      <c r="G20" s="20">
        <v>0</v>
      </c>
      <c r="H20" s="20">
        <v>30</v>
      </c>
      <c r="I20" s="20">
        <f t="shared" si="0"/>
        <v>-30</v>
      </c>
      <c r="J20" s="19" t="s">
        <v>37</v>
      </c>
      <c r="K20" s="19" t="s">
        <v>37</v>
      </c>
      <c r="L20" s="19" t="s">
        <v>1878</v>
      </c>
      <c r="M20" s="19"/>
      <c r="N20" s="19"/>
      <c r="O20" s="19"/>
      <c r="P20" s="19"/>
      <c r="Q20" s="19">
        <v>1</v>
      </c>
      <c r="R20" s="21">
        <f t="shared" si="1"/>
        <v>30</v>
      </c>
    </row>
    <row r="21" spans="1:18" customFormat="1" x14ac:dyDescent="0.25">
      <c r="A21" s="19"/>
      <c r="B21" s="19" t="s">
        <v>32</v>
      </c>
      <c r="C21" s="19" t="s">
        <v>1294</v>
      </c>
      <c r="D21" s="19" t="s">
        <v>1919</v>
      </c>
      <c r="E21" s="19" t="s">
        <v>1920</v>
      </c>
      <c r="F21" s="19" t="s">
        <v>117</v>
      </c>
      <c r="G21" s="20">
        <v>915</v>
      </c>
      <c r="H21" s="20">
        <v>25</v>
      </c>
      <c r="I21" s="20">
        <f t="shared" si="0"/>
        <v>890</v>
      </c>
      <c r="J21" s="19" t="s">
        <v>37</v>
      </c>
      <c r="K21" s="19" t="s">
        <v>37</v>
      </c>
      <c r="L21" s="19" t="s">
        <v>1878</v>
      </c>
      <c r="M21" s="19"/>
      <c r="N21" s="19"/>
      <c r="O21" s="19"/>
      <c r="P21" s="19"/>
      <c r="Q21" s="19">
        <v>1</v>
      </c>
    </row>
    <row r="22" spans="1:18" s="26" customFormat="1" x14ac:dyDescent="0.25">
      <c r="A22" s="23"/>
      <c r="B22" s="23" t="s">
        <v>32</v>
      </c>
      <c r="C22" s="23" t="s">
        <v>1921</v>
      </c>
      <c r="D22" s="23" t="s">
        <v>1922</v>
      </c>
      <c r="E22" s="23" t="s">
        <v>1923</v>
      </c>
      <c r="F22" s="24">
        <v>2</v>
      </c>
      <c r="G22" s="24">
        <v>30</v>
      </c>
      <c r="H22" s="24">
        <v>30</v>
      </c>
      <c r="I22" s="24">
        <f t="shared" si="0"/>
        <v>0</v>
      </c>
      <c r="J22" s="23" t="s">
        <v>37</v>
      </c>
      <c r="K22" s="23" t="s">
        <v>37</v>
      </c>
      <c r="L22" s="23" t="s">
        <v>1878</v>
      </c>
      <c r="M22" s="23" t="s">
        <v>148</v>
      </c>
      <c r="N22" s="23"/>
      <c r="O22" s="23"/>
      <c r="P22" s="23"/>
      <c r="Q22" s="23">
        <v>1</v>
      </c>
    </row>
    <row r="23" spans="1:18" customFormat="1" x14ac:dyDescent="0.25">
      <c r="A23" s="19"/>
      <c r="B23" s="19" t="s">
        <v>32</v>
      </c>
      <c r="C23" s="19" t="s">
        <v>1924</v>
      </c>
      <c r="D23" s="19" t="s">
        <v>1925</v>
      </c>
      <c r="E23" s="19" t="s">
        <v>308</v>
      </c>
      <c r="F23" s="20">
        <v>12</v>
      </c>
      <c r="G23" s="20">
        <v>0</v>
      </c>
      <c r="H23" s="20">
        <v>30</v>
      </c>
      <c r="I23" s="20">
        <f t="shared" si="0"/>
        <v>-30</v>
      </c>
      <c r="J23" s="19" t="s">
        <v>37</v>
      </c>
      <c r="K23" s="19" t="s">
        <v>37</v>
      </c>
      <c r="L23" s="19" t="s">
        <v>1878</v>
      </c>
      <c r="M23" s="19"/>
      <c r="N23" s="19"/>
      <c r="O23" s="19"/>
      <c r="P23" s="19"/>
      <c r="Q23" s="19">
        <v>1</v>
      </c>
      <c r="R23" s="21">
        <f>H23</f>
        <v>30</v>
      </c>
    </row>
    <row r="24" spans="1:18" customFormat="1" x14ac:dyDescent="0.25">
      <c r="A24" s="19"/>
      <c r="B24" s="19" t="s">
        <v>32</v>
      </c>
      <c r="C24" s="19" t="s">
        <v>1926</v>
      </c>
      <c r="D24" s="19" t="s">
        <v>1927</v>
      </c>
      <c r="E24" s="19" t="s">
        <v>1928</v>
      </c>
      <c r="F24" s="20">
        <v>2</v>
      </c>
      <c r="G24" s="20">
        <v>1520</v>
      </c>
      <c r="H24" s="20">
        <v>30</v>
      </c>
      <c r="I24" s="20">
        <f t="shared" si="0"/>
        <v>1490</v>
      </c>
      <c r="J24" s="19" t="s">
        <v>37</v>
      </c>
      <c r="K24" s="19" t="s">
        <v>37</v>
      </c>
      <c r="L24" s="19" t="s">
        <v>1878</v>
      </c>
      <c r="M24" s="19"/>
      <c r="N24" s="19"/>
      <c r="O24" s="19"/>
      <c r="P24" s="19"/>
      <c r="Q24" s="19">
        <v>1</v>
      </c>
    </row>
    <row r="25" spans="1:18" customFormat="1" x14ac:dyDescent="0.25">
      <c r="A25" s="19" t="s">
        <v>107</v>
      </c>
      <c r="B25" s="19" t="s">
        <v>32</v>
      </c>
      <c r="C25" s="19" t="s">
        <v>1929</v>
      </c>
      <c r="D25" s="19"/>
      <c r="E25" s="19" t="s">
        <v>1930</v>
      </c>
      <c r="F25" s="19" t="s">
        <v>173</v>
      </c>
      <c r="G25" s="20">
        <v>0</v>
      </c>
      <c r="H25" s="20">
        <v>40</v>
      </c>
      <c r="I25" s="20">
        <f t="shared" si="0"/>
        <v>-40</v>
      </c>
      <c r="J25" s="19" t="s">
        <v>37</v>
      </c>
      <c r="K25" s="19" t="s">
        <v>37</v>
      </c>
      <c r="L25" s="19" t="s">
        <v>1878</v>
      </c>
      <c r="M25" s="19"/>
      <c r="N25" s="19"/>
      <c r="O25" s="19"/>
      <c r="P25" s="19"/>
      <c r="Q25" s="19">
        <v>1</v>
      </c>
      <c r="R25" s="21">
        <f>H25</f>
        <v>40</v>
      </c>
    </row>
    <row r="26" spans="1:18" customFormat="1" x14ac:dyDescent="0.25">
      <c r="A26" s="19"/>
      <c r="B26" s="19" t="s">
        <v>32</v>
      </c>
      <c r="C26" s="19" t="s">
        <v>1931</v>
      </c>
      <c r="D26" s="19" t="s">
        <v>1932</v>
      </c>
      <c r="E26" s="19" t="s">
        <v>1933</v>
      </c>
      <c r="F26" s="19" t="s">
        <v>884</v>
      </c>
      <c r="G26" s="20">
        <v>975</v>
      </c>
      <c r="H26" s="20">
        <v>35</v>
      </c>
      <c r="I26" s="20">
        <f t="shared" si="0"/>
        <v>940</v>
      </c>
      <c r="J26" s="19" t="s">
        <v>169</v>
      </c>
      <c r="K26" s="19" t="s">
        <v>37</v>
      </c>
      <c r="L26" s="19" t="s">
        <v>1878</v>
      </c>
      <c r="M26" s="19"/>
      <c r="N26" s="19"/>
      <c r="O26" s="19"/>
      <c r="P26" s="19"/>
      <c r="Q26" s="19">
        <v>1</v>
      </c>
    </row>
    <row r="27" spans="1:18" customFormat="1" x14ac:dyDescent="0.25">
      <c r="A27" s="19"/>
      <c r="B27" s="19" t="s">
        <v>32</v>
      </c>
      <c r="C27" s="19" t="s">
        <v>1934</v>
      </c>
      <c r="D27" s="19" t="s">
        <v>1935</v>
      </c>
      <c r="E27" s="19" t="s">
        <v>1936</v>
      </c>
      <c r="F27" s="19" t="s">
        <v>317</v>
      </c>
      <c r="G27" s="20">
        <v>750</v>
      </c>
      <c r="H27" s="20">
        <v>20</v>
      </c>
      <c r="I27" s="20">
        <f t="shared" si="0"/>
        <v>730</v>
      </c>
      <c r="J27" s="19" t="s">
        <v>169</v>
      </c>
      <c r="K27" s="19" t="s">
        <v>37</v>
      </c>
      <c r="L27" s="19" t="s">
        <v>1878</v>
      </c>
      <c r="M27" s="19"/>
      <c r="N27" s="19"/>
      <c r="O27" s="19"/>
      <c r="P27" s="19"/>
      <c r="Q27" s="19">
        <v>1</v>
      </c>
    </row>
    <row r="28" spans="1:18" customFormat="1" x14ac:dyDescent="0.25">
      <c r="A28" s="19"/>
      <c r="B28" s="19" t="s">
        <v>32</v>
      </c>
      <c r="C28" s="19" t="s">
        <v>1937</v>
      </c>
      <c r="D28" s="19" t="s">
        <v>1938</v>
      </c>
      <c r="E28" s="19" t="s">
        <v>1939</v>
      </c>
      <c r="F28" s="20">
        <v>7</v>
      </c>
      <c r="G28" s="20">
        <v>0</v>
      </c>
      <c r="H28" s="20">
        <v>30</v>
      </c>
      <c r="I28" s="20">
        <f t="shared" si="0"/>
        <v>-30</v>
      </c>
      <c r="J28" s="19" t="s">
        <v>169</v>
      </c>
      <c r="K28" s="19" t="s">
        <v>37</v>
      </c>
      <c r="L28" s="19" t="s">
        <v>1878</v>
      </c>
      <c r="M28" s="22" t="s">
        <v>1940</v>
      </c>
      <c r="N28" s="19"/>
      <c r="O28" s="19"/>
      <c r="P28" s="19"/>
      <c r="Q28" s="19">
        <v>1</v>
      </c>
      <c r="R28" s="21">
        <f>H28</f>
        <v>30</v>
      </c>
    </row>
    <row r="29" spans="1:18" customFormat="1" x14ac:dyDescent="0.25">
      <c r="A29" s="19"/>
      <c r="B29" s="19" t="s">
        <v>32</v>
      </c>
      <c r="C29" s="19" t="s">
        <v>1941</v>
      </c>
      <c r="D29" s="19" t="s">
        <v>1942</v>
      </c>
      <c r="E29" s="19" t="s">
        <v>1943</v>
      </c>
      <c r="F29" s="20">
        <v>8</v>
      </c>
      <c r="G29" s="20">
        <v>1690</v>
      </c>
      <c r="H29" s="20">
        <v>30</v>
      </c>
      <c r="I29" s="20">
        <f t="shared" si="0"/>
        <v>1660</v>
      </c>
      <c r="J29" s="19" t="s">
        <v>169</v>
      </c>
      <c r="K29" s="19" t="s">
        <v>37</v>
      </c>
      <c r="L29" s="19" t="s">
        <v>1878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1769</v>
      </c>
      <c r="D30" s="19" t="s">
        <v>1944</v>
      </c>
      <c r="E30" s="19" t="s">
        <v>1771</v>
      </c>
      <c r="F30" s="20">
        <v>10</v>
      </c>
      <c r="G30" s="20">
        <v>975</v>
      </c>
      <c r="H30" s="20">
        <v>25</v>
      </c>
      <c r="I30" s="20">
        <f t="shared" si="0"/>
        <v>950</v>
      </c>
      <c r="J30" s="19" t="s">
        <v>169</v>
      </c>
      <c r="K30" s="19" t="s">
        <v>37</v>
      </c>
      <c r="L30" s="19" t="s">
        <v>1878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1135</v>
      </c>
      <c r="D31" s="19" t="s">
        <v>1945</v>
      </c>
      <c r="E31" s="19" t="s">
        <v>1946</v>
      </c>
      <c r="F31" s="20">
        <v>7</v>
      </c>
      <c r="G31" s="20">
        <v>910</v>
      </c>
      <c r="H31" s="20">
        <v>30</v>
      </c>
      <c r="I31" s="20">
        <f t="shared" si="0"/>
        <v>880</v>
      </c>
      <c r="J31" s="19" t="s">
        <v>169</v>
      </c>
      <c r="K31" s="19" t="s">
        <v>37</v>
      </c>
      <c r="L31" s="19" t="s">
        <v>1878</v>
      </c>
      <c r="M31" s="19"/>
      <c r="N31" s="19"/>
      <c r="O31" s="19"/>
      <c r="P31" s="19"/>
      <c r="Q31" s="19">
        <v>1</v>
      </c>
    </row>
    <row r="32" spans="1:18" customFormat="1" x14ac:dyDescent="0.25">
      <c r="A32" s="19"/>
      <c r="B32" s="19" t="s">
        <v>32</v>
      </c>
      <c r="C32" s="19" t="s">
        <v>1947</v>
      </c>
      <c r="D32" s="19" t="s">
        <v>1948</v>
      </c>
      <c r="E32" s="19" t="s">
        <v>1949</v>
      </c>
      <c r="F32" s="20">
        <v>7</v>
      </c>
      <c r="G32" s="20">
        <v>760</v>
      </c>
      <c r="H32" s="20">
        <v>30</v>
      </c>
      <c r="I32" s="20">
        <f t="shared" si="0"/>
        <v>730</v>
      </c>
      <c r="J32" s="19" t="s">
        <v>169</v>
      </c>
      <c r="K32" s="19" t="s">
        <v>37</v>
      </c>
      <c r="L32" s="19" t="s">
        <v>1878</v>
      </c>
      <c r="M32" s="19"/>
      <c r="N32" s="19"/>
      <c r="O32" s="19"/>
      <c r="P32" s="19"/>
      <c r="Q32" s="19">
        <v>1</v>
      </c>
    </row>
    <row r="33" spans="1:18" customFormat="1" x14ac:dyDescent="0.25">
      <c r="A33" s="19"/>
      <c r="B33" s="19" t="s">
        <v>32</v>
      </c>
      <c r="C33" s="19" t="s">
        <v>888</v>
      </c>
      <c r="D33" s="19" t="s">
        <v>1950</v>
      </c>
      <c r="E33" s="19" t="s">
        <v>890</v>
      </c>
      <c r="F33" s="20">
        <v>7</v>
      </c>
      <c r="G33" s="20">
        <v>920</v>
      </c>
      <c r="H33" s="20">
        <v>30</v>
      </c>
      <c r="I33" s="20">
        <f t="shared" si="0"/>
        <v>890</v>
      </c>
      <c r="J33" s="19" t="s">
        <v>169</v>
      </c>
      <c r="K33" s="19" t="s">
        <v>37</v>
      </c>
      <c r="L33" s="19" t="s">
        <v>1878</v>
      </c>
      <c r="M33" s="19"/>
      <c r="N33" s="19"/>
      <c r="O33" s="19"/>
      <c r="P33" s="19"/>
      <c r="Q33" s="19">
        <v>1</v>
      </c>
    </row>
    <row r="34" spans="1:18" customFormat="1" x14ac:dyDescent="0.25">
      <c r="A34" s="19"/>
      <c r="B34" s="19" t="s">
        <v>32</v>
      </c>
      <c r="C34" s="19" t="s">
        <v>1951</v>
      </c>
      <c r="D34" s="19" t="s">
        <v>1952</v>
      </c>
      <c r="E34" s="19" t="s">
        <v>1953</v>
      </c>
      <c r="F34" s="20">
        <v>7</v>
      </c>
      <c r="G34" s="20">
        <v>900</v>
      </c>
      <c r="H34" s="20">
        <v>30</v>
      </c>
      <c r="I34" s="20">
        <f t="shared" si="0"/>
        <v>870</v>
      </c>
      <c r="J34" s="19" t="s">
        <v>169</v>
      </c>
      <c r="K34" s="19" t="s">
        <v>37</v>
      </c>
      <c r="L34" s="19" t="s">
        <v>1878</v>
      </c>
      <c r="M34" s="19"/>
      <c r="N34" s="19"/>
      <c r="O34" s="19"/>
      <c r="P34" s="19"/>
      <c r="Q34" s="19">
        <v>1</v>
      </c>
    </row>
    <row r="35" spans="1:18" customFormat="1" x14ac:dyDescent="0.25">
      <c r="A35" s="19"/>
      <c r="B35" s="19" t="s">
        <v>32</v>
      </c>
      <c r="C35" s="19" t="s">
        <v>1954</v>
      </c>
      <c r="D35" s="19" t="s">
        <v>1955</v>
      </c>
      <c r="E35" s="19" t="s">
        <v>1956</v>
      </c>
      <c r="F35" s="19" t="s">
        <v>884</v>
      </c>
      <c r="G35" s="20">
        <v>915</v>
      </c>
      <c r="H35" s="20">
        <v>35</v>
      </c>
      <c r="I35" s="20">
        <f t="shared" si="0"/>
        <v>880</v>
      </c>
      <c r="J35" s="19" t="s">
        <v>169</v>
      </c>
      <c r="K35" s="19" t="s">
        <v>37</v>
      </c>
      <c r="L35" s="19" t="s">
        <v>1878</v>
      </c>
      <c r="M35" s="19"/>
      <c r="N35" s="19"/>
      <c r="O35" s="19"/>
      <c r="P35" s="19"/>
      <c r="Q35" s="19">
        <v>1</v>
      </c>
    </row>
    <row r="36" spans="1:18" customFormat="1" x14ac:dyDescent="0.25">
      <c r="A36" s="19"/>
      <c r="B36" s="19" t="s">
        <v>32</v>
      </c>
      <c r="C36" s="19" t="s">
        <v>570</v>
      </c>
      <c r="D36" s="19" t="s">
        <v>1957</v>
      </c>
      <c r="E36" s="19" t="s">
        <v>1958</v>
      </c>
      <c r="F36" s="20">
        <v>7</v>
      </c>
      <c r="G36" s="20">
        <v>560</v>
      </c>
      <c r="H36" s="20">
        <v>30</v>
      </c>
      <c r="I36" s="20">
        <f t="shared" si="0"/>
        <v>530</v>
      </c>
      <c r="J36" s="19" t="s">
        <v>169</v>
      </c>
      <c r="K36" s="19" t="s">
        <v>37</v>
      </c>
      <c r="L36" s="19" t="s">
        <v>1878</v>
      </c>
      <c r="M36" s="19"/>
      <c r="N36" s="19"/>
      <c r="O36" s="19"/>
      <c r="P36" s="19"/>
      <c r="Q36" s="19">
        <v>1</v>
      </c>
    </row>
    <row r="37" spans="1:18" customFormat="1" x14ac:dyDescent="0.25">
      <c r="A37" s="19"/>
      <c r="B37" s="19" t="s">
        <v>32</v>
      </c>
      <c r="C37" s="19" t="s">
        <v>1959</v>
      </c>
      <c r="D37" s="19" t="s">
        <v>1960</v>
      </c>
      <c r="E37" s="19" t="s">
        <v>1961</v>
      </c>
      <c r="F37" s="20">
        <v>4</v>
      </c>
      <c r="G37" s="20">
        <v>1725</v>
      </c>
      <c r="H37" s="20">
        <v>25</v>
      </c>
      <c r="I37" s="20">
        <f t="shared" si="0"/>
        <v>1700</v>
      </c>
      <c r="J37" s="19" t="s">
        <v>169</v>
      </c>
      <c r="K37" s="19" t="s">
        <v>37</v>
      </c>
      <c r="L37" s="19" t="s">
        <v>1878</v>
      </c>
      <c r="M37" s="19"/>
      <c r="N37" s="19"/>
      <c r="O37" s="19"/>
      <c r="P37" s="19"/>
      <c r="Q37" s="19">
        <v>1</v>
      </c>
    </row>
    <row r="38" spans="1:18" customFormat="1" x14ac:dyDescent="0.25">
      <c r="A38" s="19"/>
      <c r="B38" s="19" t="s">
        <v>32</v>
      </c>
      <c r="C38" s="19" t="s">
        <v>1962</v>
      </c>
      <c r="D38" s="19" t="s">
        <v>1963</v>
      </c>
      <c r="E38" s="19" t="s">
        <v>1964</v>
      </c>
      <c r="F38" s="20">
        <v>10</v>
      </c>
      <c r="G38" s="20">
        <v>605</v>
      </c>
      <c r="H38" s="20">
        <v>25</v>
      </c>
      <c r="I38" s="20">
        <f t="shared" si="0"/>
        <v>580</v>
      </c>
      <c r="J38" s="19" t="s">
        <v>169</v>
      </c>
      <c r="K38" s="19" t="s">
        <v>37</v>
      </c>
      <c r="L38" s="19" t="s">
        <v>1878</v>
      </c>
      <c r="M38" s="19"/>
      <c r="N38" s="19"/>
      <c r="O38" s="19"/>
      <c r="P38" s="19"/>
      <c r="Q38" s="19">
        <v>1</v>
      </c>
    </row>
    <row r="40" spans="1:18" x14ac:dyDescent="0.25">
      <c r="G40" s="1">
        <f t="shared" ref="G40:R40" si="2">SUBTOTAL(9,G3:G38)</f>
        <v>27010</v>
      </c>
      <c r="H40" s="1">
        <f t="shared" si="2"/>
        <v>1020</v>
      </c>
      <c r="I40" s="1">
        <f t="shared" si="2"/>
        <v>25990</v>
      </c>
      <c r="J40" s="1">
        <f t="shared" si="2"/>
        <v>0</v>
      </c>
      <c r="K40" s="1">
        <f t="shared" si="2"/>
        <v>0</v>
      </c>
      <c r="L40" s="1">
        <f t="shared" si="2"/>
        <v>0</v>
      </c>
      <c r="M40" s="1">
        <f t="shared" si="2"/>
        <v>0</v>
      </c>
      <c r="N40" s="1">
        <f t="shared" si="2"/>
        <v>0</v>
      </c>
      <c r="O40" s="1">
        <f t="shared" si="2"/>
        <v>0</v>
      </c>
      <c r="P40" s="1">
        <f t="shared" si="2"/>
        <v>0</v>
      </c>
      <c r="Q40" s="1">
        <f t="shared" si="2"/>
        <v>36</v>
      </c>
      <c r="R40" s="1">
        <f t="shared" si="2"/>
        <v>265</v>
      </c>
    </row>
    <row r="41" spans="1:18" x14ac:dyDescent="0.25">
      <c r="I41" s="1">
        <v>-850</v>
      </c>
      <c r="J41" s="1" t="s">
        <v>1965</v>
      </c>
    </row>
    <row r="44" spans="1:18" ht="20.25" customHeight="1" x14ac:dyDescent="0.3">
      <c r="H44" s="4" t="s">
        <v>1780</v>
      </c>
      <c r="I44" s="5" t="s">
        <v>15</v>
      </c>
      <c r="J44" s="6" t="s">
        <v>16</v>
      </c>
    </row>
    <row r="45" spans="1:18" ht="15.75" customHeight="1" x14ac:dyDescent="0.25">
      <c r="H45" s="7" t="s">
        <v>17</v>
      </c>
      <c r="I45" s="8">
        <f>SUM(I39:I43)</f>
        <v>25140</v>
      </c>
      <c r="J45" s="8">
        <f>Q40</f>
        <v>36</v>
      </c>
    </row>
    <row r="46" spans="1:18" x14ac:dyDescent="0.25">
      <c r="H46" s="9" t="s">
        <v>18</v>
      </c>
      <c r="I46" s="10">
        <f>R40</f>
        <v>265</v>
      </c>
      <c r="J46" s="11"/>
    </row>
    <row r="47" spans="1:18" x14ac:dyDescent="0.25">
      <c r="H47" s="9" t="s">
        <v>19</v>
      </c>
      <c r="I47" s="10">
        <f>S39</f>
        <v>0</v>
      </c>
      <c r="J47" s="11"/>
    </row>
    <row r="48" spans="1:18" x14ac:dyDescent="0.25">
      <c r="H48" s="9" t="s">
        <v>20</v>
      </c>
      <c r="I48" s="10">
        <f>T39</f>
        <v>0</v>
      </c>
      <c r="J48" s="11"/>
    </row>
    <row r="49" spans="1:12" x14ac:dyDescent="0.25">
      <c r="H49" s="9" t="s">
        <v>21</v>
      </c>
      <c r="I49" s="10">
        <f>U39</f>
        <v>0</v>
      </c>
      <c r="J49" s="11"/>
    </row>
    <row r="50" spans="1:12" ht="15.75" customHeight="1" x14ac:dyDescent="0.25">
      <c r="H50" s="12" t="s">
        <v>22</v>
      </c>
      <c r="I50" s="13"/>
      <c r="J50" s="13"/>
    </row>
    <row r="51" spans="1:12" ht="15.75" customHeight="1" x14ac:dyDescent="0.25">
      <c r="H51" s="14" t="s">
        <v>23</v>
      </c>
      <c r="I51" s="13"/>
      <c r="J51" s="13"/>
    </row>
    <row r="52" spans="1:12" ht="21" customHeight="1" x14ac:dyDescent="0.35">
      <c r="H52" s="15" t="s">
        <v>24</v>
      </c>
      <c r="I52" s="16">
        <f>SUM(I45:I51)</f>
        <v>25405</v>
      </c>
      <c r="J52" s="16">
        <f>SUM(J45:J49)</f>
        <v>36</v>
      </c>
    </row>
    <row r="54" spans="1:12" x14ac:dyDescent="0.25">
      <c r="A54" s="1" t="s">
        <v>199</v>
      </c>
    </row>
    <row r="55" spans="1:12" x14ac:dyDescent="0.25">
      <c r="A55" s="39" t="s">
        <v>32</v>
      </c>
      <c r="B55" s="39" t="s">
        <v>1028</v>
      </c>
      <c r="C55" s="39" t="s">
        <v>1912</v>
      </c>
      <c r="D55" s="39" t="s">
        <v>1913</v>
      </c>
      <c r="E55" s="39" t="s">
        <v>124</v>
      </c>
      <c r="F55" s="39">
        <v>1730</v>
      </c>
      <c r="G55" s="39">
        <v>0</v>
      </c>
      <c r="H55" s="39">
        <f>F55-G55</f>
        <v>1730</v>
      </c>
      <c r="I55" s="39" t="s">
        <v>37</v>
      </c>
      <c r="J55" s="39" t="s">
        <v>37</v>
      </c>
      <c r="K55" s="39" t="s">
        <v>1878</v>
      </c>
      <c r="L55" s="38" t="s">
        <v>1914</v>
      </c>
    </row>
    <row r="56" spans="1:12" x14ac:dyDescent="0.25">
      <c r="A56" s="39" t="s">
        <v>32</v>
      </c>
      <c r="B56" s="39" t="s">
        <v>1937</v>
      </c>
      <c r="C56" s="39" t="s">
        <v>1938</v>
      </c>
      <c r="D56" s="39" t="s">
        <v>1939</v>
      </c>
      <c r="E56" s="39">
        <v>7</v>
      </c>
      <c r="F56" s="39">
        <v>2630</v>
      </c>
      <c r="G56" s="39">
        <v>0</v>
      </c>
      <c r="H56" s="39">
        <f t="shared" ref="H56:H57" si="3">F56-G56</f>
        <v>2630</v>
      </c>
      <c r="I56" s="39" t="s">
        <v>169</v>
      </c>
      <c r="J56" s="39" t="s">
        <v>37</v>
      </c>
      <c r="K56" s="39" t="s">
        <v>1878</v>
      </c>
      <c r="L56" s="38" t="s">
        <v>1940</v>
      </c>
    </row>
    <row r="57" spans="1:12" x14ac:dyDescent="0.25">
      <c r="A57" s="27" t="s">
        <v>32</v>
      </c>
      <c r="B57" s="27" t="s">
        <v>1909</v>
      </c>
      <c r="C57" s="27" t="s">
        <v>1910</v>
      </c>
      <c r="D57" s="27" t="s">
        <v>1911</v>
      </c>
      <c r="E57" s="27" t="s">
        <v>173</v>
      </c>
      <c r="F57" s="28">
        <v>1875</v>
      </c>
      <c r="G57" s="28">
        <v>0</v>
      </c>
      <c r="H57" s="39">
        <f t="shared" si="3"/>
        <v>1875</v>
      </c>
      <c r="I57" s="27" t="s">
        <v>37</v>
      </c>
      <c r="J57" s="27" t="s">
        <v>37</v>
      </c>
      <c r="K57" s="27" t="s">
        <v>1878</v>
      </c>
      <c r="L57" s="22" t="s">
        <v>1966</v>
      </c>
    </row>
  </sheetData>
  <autoFilter ref="A2:P38" xr:uid="{00000000-0009-0000-0000-000006000000}">
    <sortState xmlns:xlrd2="http://schemas.microsoft.com/office/spreadsheetml/2017/richdata2" ref="A3:P38">
      <sortCondition ref="J2:J38"/>
    </sortState>
  </autoFilter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B1D2-2B7E-40DC-A3B0-8B9A346D9142}">
  <dimension ref="A1:R46"/>
  <sheetViews>
    <sheetView zoomScale="82" zoomScaleNormal="80" workbookViewId="0"/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264</v>
      </c>
      <c r="C1" s="1" t="s">
        <v>1874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 t="s">
        <v>107</v>
      </c>
      <c r="B3" s="19" t="s">
        <v>32</v>
      </c>
      <c r="C3" s="19" t="s">
        <v>1969</v>
      </c>
      <c r="D3" s="19"/>
      <c r="E3" s="19" t="s">
        <v>1970</v>
      </c>
      <c r="F3" s="20">
        <v>5</v>
      </c>
      <c r="G3" s="20">
        <v>30</v>
      </c>
      <c r="H3" s="20">
        <v>30</v>
      </c>
      <c r="I3" s="20">
        <f t="shared" ref="I3:I32" si="0">G3-H3</f>
        <v>0</v>
      </c>
      <c r="J3" s="19" t="s">
        <v>1971</v>
      </c>
      <c r="K3" s="19" t="s">
        <v>37</v>
      </c>
      <c r="L3" s="19" t="s">
        <v>1972</v>
      </c>
      <c r="M3" s="19"/>
      <c r="N3" s="19"/>
      <c r="O3" s="19"/>
      <c r="P3" s="19"/>
      <c r="Q3" s="19">
        <v>1</v>
      </c>
    </row>
    <row r="4" spans="1:18" customFormat="1" x14ac:dyDescent="0.25">
      <c r="A4" s="19"/>
      <c r="B4" s="19" t="s">
        <v>32</v>
      </c>
      <c r="C4" s="19" t="s">
        <v>1973</v>
      </c>
      <c r="D4" s="19" t="s">
        <v>1974</v>
      </c>
      <c r="E4" s="19" t="s">
        <v>1975</v>
      </c>
      <c r="F4" s="20">
        <v>9</v>
      </c>
      <c r="G4" s="20">
        <v>970</v>
      </c>
      <c r="H4" s="20">
        <v>30</v>
      </c>
      <c r="I4" s="20">
        <f t="shared" si="0"/>
        <v>940</v>
      </c>
      <c r="J4" s="19" t="s">
        <v>1971</v>
      </c>
      <c r="K4" s="19" t="s">
        <v>37</v>
      </c>
      <c r="L4" s="19" t="s">
        <v>1972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1976</v>
      </c>
      <c r="D5" s="19" t="s">
        <v>1977</v>
      </c>
      <c r="E5" s="19" t="s">
        <v>1978</v>
      </c>
      <c r="F5" s="19" t="s">
        <v>45</v>
      </c>
      <c r="G5" s="20">
        <v>1780</v>
      </c>
      <c r="H5" s="20">
        <v>30</v>
      </c>
      <c r="I5" s="20">
        <f t="shared" si="0"/>
        <v>1750</v>
      </c>
      <c r="J5" s="19" t="s">
        <v>1971</v>
      </c>
      <c r="K5" s="19" t="s">
        <v>37</v>
      </c>
      <c r="L5" s="19" t="s">
        <v>1972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1979</v>
      </c>
      <c r="D6" s="19" t="s">
        <v>1980</v>
      </c>
      <c r="E6" s="19" t="s">
        <v>1981</v>
      </c>
      <c r="F6" s="20">
        <v>6</v>
      </c>
      <c r="G6" s="20">
        <v>0</v>
      </c>
      <c r="H6" s="20">
        <v>25</v>
      </c>
      <c r="I6" s="20">
        <f t="shared" si="0"/>
        <v>-25</v>
      </c>
      <c r="J6" s="19" t="s">
        <v>1971</v>
      </c>
      <c r="K6" s="19" t="s">
        <v>37</v>
      </c>
      <c r="L6" s="19" t="s">
        <v>1972</v>
      </c>
      <c r="M6" s="19"/>
      <c r="N6" s="19"/>
      <c r="O6" s="19"/>
      <c r="P6" s="19"/>
      <c r="Q6" s="19">
        <v>1</v>
      </c>
      <c r="R6" s="21">
        <f>H6</f>
        <v>25</v>
      </c>
    </row>
    <row r="7" spans="1:18" customFormat="1" x14ac:dyDescent="0.25">
      <c r="A7" s="19"/>
      <c r="B7" s="19" t="s">
        <v>32</v>
      </c>
      <c r="C7" s="19" t="s">
        <v>1982</v>
      </c>
      <c r="D7" s="19" t="s">
        <v>1983</v>
      </c>
      <c r="E7" s="19" t="s">
        <v>1984</v>
      </c>
      <c r="F7" s="19" t="s">
        <v>81</v>
      </c>
      <c r="G7" s="20">
        <v>0</v>
      </c>
      <c r="H7" s="20">
        <v>35</v>
      </c>
      <c r="I7" s="20">
        <f t="shared" si="0"/>
        <v>-35</v>
      </c>
      <c r="J7" s="19" t="s">
        <v>1971</v>
      </c>
      <c r="K7" s="19" t="s">
        <v>37</v>
      </c>
      <c r="L7" s="19" t="s">
        <v>1972</v>
      </c>
      <c r="M7" s="19"/>
      <c r="N7" s="19"/>
      <c r="O7" s="19"/>
      <c r="P7" s="19"/>
      <c r="Q7" s="19">
        <v>1</v>
      </c>
      <c r="R7" s="21">
        <f>H7</f>
        <v>35</v>
      </c>
    </row>
    <row r="8" spans="1:18" customFormat="1" x14ac:dyDescent="0.25">
      <c r="A8" s="19"/>
      <c r="B8" s="19" t="s">
        <v>32</v>
      </c>
      <c r="C8" s="19" t="s">
        <v>602</v>
      </c>
      <c r="D8" s="19" t="s">
        <v>1985</v>
      </c>
      <c r="E8" s="19" t="s">
        <v>604</v>
      </c>
      <c r="F8" s="20">
        <v>9</v>
      </c>
      <c r="G8" s="20">
        <v>880</v>
      </c>
      <c r="H8" s="20">
        <v>30</v>
      </c>
      <c r="I8" s="20">
        <f t="shared" si="0"/>
        <v>850</v>
      </c>
      <c r="J8" s="19" t="s">
        <v>1971</v>
      </c>
      <c r="K8" s="19" t="s">
        <v>37</v>
      </c>
      <c r="L8" s="19" t="s">
        <v>1972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1986</v>
      </c>
      <c r="D9" s="19" t="s">
        <v>1987</v>
      </c>
      <c r="E9" s="19" t="s">
        <v>1988</v>
      </c>
      <c r="F9" s="19" t="s">
        <v>88</v>
      </c>
      <c r="G9" s="20">
        <v>1655</v>
      </c>
      <c r="H9" s="20">
        <v>35</v>
      </c>
      <c r="I9" s="20">
        <f t="shared" si="0"/>
        <v>1620</v>
      </c>
      <c r="J9" s="19" t="s">
        <v>1971</v>
      </c>
      <c r="K9" s="19" t="s">
        <v>37</v>
      </c>
      <c r="L9" s="19" t="s">
        <v>1972</v>
      </c>
      <c r="M9" s="19"/>
      <c r="N9" s="19"/>
      <c r="O9" s="19"/>
      <c r="P9" s="19"/>
      <c r="Q9" s="19">
        <v>1</v>
      </c>
    </row>
    <row r="10" spans="1:18" s="26" customFormat="1" x14ac:dyDescent="0.25">
      <c r="A10" s="23"/>
      <c r="B10" s="23" t="s">
        <v>32</v>
      </c>
      <c r="C10" s="23" t="s">
        <v>1899</v>
      </c>
      <c r="D10" s="23" t="s">
        <v>1989</v>
      </c>
      <c r="E10" s="23" t="s">
        <v>1901</v>
      </c>
      <c r="F10" s="23" t="s">
        <v>45</v>
      </c>
      <c r="G10" s="24">
        <v>30</v>
      </c>
      <c r="H10" s="24">
        <v>30</v>
      </c>
      <c r="I10" s="24">
        <f t="shared" si="0"/>
        <v>0</v>
      </c>
      <c r="J10" s="23" t="s">
        <v>1971</v>
      </c>
      <c r="K10" s="23" t="s">
        <v>37</v>
      </c>
      <c r="L10" s="23" t="s">
        <v>1972</v>
      </c>
      <c r="M10" s="23" t="s">
        <v>148</v>
      </c>
      <c r="N10" s="23"/>
      <c r="O10" s="23"/>
      <c r="P10" s="23"/>
      <c r="Q10" s="23">
        <v>1</v>
      </c>
    </row>
    <row r="11" spans="1:18" customFormat="1" x14ac:dyDescent="0.25">
      <c r="A11" s="19"/>
      <c r="B11" s="19" t="s">
        <v>32</v>
      </c>
      <c r="C11" s="19" t="s">
        <v>1990</v>
      </c>
      <c r="D11" s="19" t="s">
        <v>1991</v>
      </c>
      <c r="E11" s="19" t="s">
        <v>1992</v>
      </c>
      <c r="F11" s="19" t="s">
        <v>88</v>
      </c>
      <c r="G11" s="20">
        <v>815</v>
      </c>
      <c r="H11" s="20">
        <v>35</v>
      </c>
      <c r="I11" s="20">
        <f t="shared" si="0"/>
        <v>780</v>
      </c>
      <c r="J11" s="19" t="s">
        <v>1971</v>
      </c>
      <c r="K11" s="19" t="s">
        <v>37</v>
      </c>
      <c r="L11" s="19" t="s">
        <v>1972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1993</v>
      </c>
      <c r="D12" s="19" t="s">
        <v>1994</v>
      </c>
      <c r="E12" s="19" t="s">
        <v>1995</v>
      </c>
      <c r="F12" s="19" t="s">
        <v>45</v>
      </c>
      <c r="G12" s="20">
        <v>0</v>
      </c>
      <c r="H12" s="20">
        <v>30</v>
      </c>
      <c r="I12" s="20">
        <f t="shared" si="0"/>
        <v>-30</v>
      </c>
      <c r="J12" s="19" t="s">
        <v>1971</v>
      </c>
      <c r="K12" s="19" t="s">
        <v>37</v>
      </c>
      <c r="L12" s="19" t="s">
        <v>1972</v>
      </c>
      <c r="M12" s="19"/>
      <c r="N12" s="19"/>
      <c r="O12" s="19"/>
      <c r="P12" s="19"/>
      <c r="Q12" s="19">
        <v>1</v>
      </c>
      <c r="R12" s="21">
        <f t="shared" ref="R12:R14" si="1">H12</f>
        <v>30</v>
      </c>
    </row>
    <row r="13" spans="1:18" customFormat="1" x14ac:dyDescent="0.25">
      <c r="A13" s="19" t="s">
        <v>107</v>
      </c>
      <c r="B13" s="19" t="s">
        <v>32</v>
      </c>
      <c r="C13" s="19" t="s">
        <v>1996</v>
      </c>
      <c r="D13" s="19"/>
      <c r="E13" s="19" t="s">
        <v>1997</v>
      </c>
      <c r="F13" s="19" t="s">
        <v>124</v>
      </c>
      <c r="G13" s="20">
        <v>0</v>
      </c>
      <c r="H13" s="20">
        <v>35</v>
      </c>
      <c r="I13" s="20">
        <f t="shared" si="0"/>
        <v>-35</v>
      </c>
      <c r="J13" s="19" t="s">
        <v>37</v>
      </c>
      <c r="K13" s="19" t="s">
        <v>37</v>
      </c>
      <c r="L13" s="19" t="s">
        <v>1972</v>
      </c>
      <c r="M13" s="19"/>
      <c r="N13" s="19"/>
      <c r="O13" s="19"/>
      <c r="P13" s="19"/>
      <c r="Q13" s="19">
        <v>1</v>
      </c>
      <c r="R13" s="21">
        <f t="shared" si="1"/>
        <v>35</v>
      </c>
    </row>
    <row r="14" spans="1:18" customFormat="1" x14ac:dyDescent="0.25">
      <c r="A14" s="19" t="s">
        <v>107</v>
      </c>
      <c r="B14" s="19" t="s">
        <v>32</v>
      </c>
      <c r="C14" s="19" t="s">
        <v>160</v>
      </c>
      <c r="D14" s="19"/>
      <c r="E14" s="19" t="s">
        <v>1998</v>
      </c>
      <c r="F14" s="19" t="s">
        <v>117</v>
      </c>
      <c r="G14" s="20">
        <v>0</v>
      </c>
      <c r="H14" s="20">
        <v>30</v>
      </c>
      <c r="I14" s="20">
        <f t="shared" si="0"/>
        <v>-30</v>
      </c>
      <c r="J14" s="19" t="s">
        <v>37</v>
      </c>
      <c r="K14" s="19" t="s">
        <v>37</v>
      </c>
      <c r="L14" s="19" t="s">
        <v>1972</v>
      </c>
      <c r="M14" s="19"/>
      <c r="N14" s="19"/>
      <c r="O14" s="19"/>
      <c r="P14" s="19"/>
      <c r="Q14" s="19">
        <v>1</v>
      </c>
      <c r="R14" s="21">
        <f t="shared" si="1"/>
        <v>30</v>
      </c>
    </row>
    <row r="15" spans="1:18" customFormat="1" x14ac:dyDescent="0.25">
      <c r="A15" s="19"/>
      <c r="B15" s="19" t="s">
        <v>32</v>
      </c>
      <c r="C15" s="19" t="s">
        <v>406</v>
      </c>
      <c r="D15" s="19" t="s">
        <v>1999</v>
      </c>
      <c r="E15" s="19" t="s">
        <v>1198</v>
      </c>
      <c r="F15" s="19" t="s">
        <v>124</v>
      </c>
      <c r="G15" s="20">
        <v>910</v>
      </c>
      <c r="H15" s="20">
        <v>20</v>
      </c>
      <c r="I15" s="20">
        <f t="shared" si="0"/>
        <v>890</v>
      </c>
      <c r="J15" s="19" t="s">
        <v>37</v>
      </c>
      <c r="K15" s="19" t="s">
        <v>37</v>
      </c>
      <c r="L15" s="19" t="s">
        <v>1972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1715</v>
      </c>
      <c r="D16" s="19" t="s">
        <v>2000</v>
      </c>
      <c r="E16" s="19" t="s">
        <v>593</v>
      </c>
      <c r="F16" s="20">
        <v>12</v>
      </c>
      <c r="G16" s="20">
        <v>0</v>
      </c>
      <c r="H16" s="20">
        <v>30</v>
      </c>
      <c r="I16" s="20">
        <f t="shared" si="0"/>
        <v>-30</v>
      </c>
      <c r="J16" s="19" t="s">
        <v>37</v>
      </c>
      <c r="K16" s="19" t="s">
        <v>37</v>
      </c>
      <c r="L16" s="19" t="s">
        <v>1972</v>
      </c>
      <c r="M16" s="19"/>
      <c r="N16" s="19"/>
      <c r="O16" s="19"/>
      <c r="P16" s="19"/>
      <c r="Q16" s="19">
        <v>1</v>
      </c>
      <c r="R16" s="21">
        <f>H16</f>
        <v>30</v>
      </c>
    </row>
    <row r="17" spans="1:18" s="26" customFormat="1" x14ac:dyDescent="0.25">
      <c r="A17" s="23"/>
      <c r="B17" s="23" t="s">
        <v>32</v>
      </c>
      <c r="C17" s="23" t="s">
        <v>2001</v>
      </c>
      <c r="D17" s="23" t="s">
        <v>2002</v>
      </c>
      <c r="E17" s="23" t="s">
        <v>2003</v>
      </c>
      <c r="F17" s="23" t="s">
        <v>124</v>
      </c>
      <c r="G17" s="24">
        <v>170</v>
      </c>
      <c r="H17" s="24">
        <v>20</v>
      </c>
      <c r="I17" s="24">
        <f t="shared" si="0"/>
        <v>150</v>
      </c>
      <c r="J17" s="23" t="s">
        <v>37</v>
      </c>
      <c r="K17" s="23" t="s">
        <v>37</v>
      </c>
      <c r="L17" s="23" t="s">
        <v>1972</v>
      </c>
      <c r="M17" s="23" t="s">
        <v>148</v>
      </c>
      <c r="N17" s="23"/>
      <c r="O17" s="23"/>
      <c r="P17" s="23"/>
      <c r="Q17" s="23">
        <v>1</v>
      </c>
    </row>
    <row r="18" spans="1:18" customFormat="1" x14ac:dyDescent="0.25">
      <c r="A18" s="19"/>
      <c r="B18" s="19" t="s">
        <v>32</v>
      </c>
      <c r="C18" s="19" t="s">
        <v>1523</v>
      </c>
      <c r="D18" s="19" t="s">
        <v>2004</v>
      </c>
      <c r="E18" s="19" t="s">
        <v>2005</v>
      </c>
      <c r="F18" s="19" t="s">
        <v>124</v>
      </c>
      <c r="G18" s="20">
        <v>0</v>
      </c>
      <c r="H18" s="20">
        <v>20</v>
      </c>
      <c r="I18" s="20">
        <f t="shared" si="0"/>
        <v>-20</v>
      </c>
      <c r="J18" s="19" t="s">
        <v>37</v>
      </c>
      <c r="K18" s="19" t="s">
        <v>37</v>
      </c>
      <c r="L18" s="19" t="s">
        <v>1972</v>
      </c>
      <c r="M18" s="19"/>
      <c r="N18" s="19"/>
      <c r="O18" s="19"/>
      <c r="P18" s="19"/>
      <c r="Q18" s="19">
        <v>1</v>
      </c>
      <c r="R18" s="21">
        <f t="shared" ref="R18:R19" si="2">H18</f>
        <v>20</v>
      </c>
    </row>
    <row r="19" spans="1:18" customFormat="1" x14ac:dyDescent="0.25">
      <c r="A19" s="19"/>
      <c r="B19" s="19" t="s">
        <v>32</v>
      </c>
      <c r="C19" s="19" t="s">
        <v>2006</v>
      </c>
      <c r="D19" s="19" t="s">
        <v>2007</v>
      </c>
      <c r="E19" s="19" t="s">
        <v>2008</v>
      </c>
      <c r="F19" s="20">
        <v>2</v>
      </c>
      <c r="G19" s="20">
        <v>0</v>
      </c>
      <c r="H19" s="20">
        <v>30</v>
      </c>
      <c r="I19" s="20">
        <f t="shared" si="0"/>
        <v>-30</v>
      </c>
      <c r="J19" s="19" t="s">
        <v>37</v>
      </c>
      <c r="K19" s="19" t="s">
        <v>37</v>
      </c>
      <c r="L19" s="19" t="s">
        <v>1972</v>
      </c>
      <c r="M19" s="19"/>
      <c r="N19" s="19"/>
      <c r="O19" s="19"/>
      <c r="P19" s="19"/>
      <c r="Q19" s="19">
        <v>1</v>
      </c>
      <c r="R19" s="21">
        <f t="shared" si="2"/>
        <v>30</v>
      </c>
    </row>
    <row r="20" spans="1:18" customFormat="1" x14ac:dyDescent="0.25">
      <c r="A20" s="19"/>
      <c r="B20" s="19" t="s">
        <v>32</v>
      </c>
      <c r="C20" s="19" t="s">
        <v>2009</v>
      </c>
      <c r="D20" s="19" t="s">
        <v>2010</v>
      </c>
      <c r="E20" s="19" t="s">
        <v>2011</v>
      </c>
      <c r="F20" s="19" t="s">
        <v>124</v>
      </c>
      <c r="G20" s="20">
        <v>860</v>
      </c>
      <c r="H20" s="20">
        <v>20</v>
      </c>
      <c r="I20" s="20">
        <f t="shared" si="0"/>
        <v>840</v>
      </c>
      <c r="J20" s="19" t="s">
        <v>37</v>
      </c>
      <c r="K20" s="19" t="s">
        <v>37</v>
      </c>
      <c r="L20" s="19" t="s">
        <v>1972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2012</v>
      </c>
      <c r="D21" s="19" t="s">
        <v>2013</v>
      </c>
      <c r="E21" s="19" t="s">
        <v>2014</v>
      </c>
      <c r="F21" s="20">
        <v>12</v>
      </c>
      <c r="G21" s="20">
        <v>910</v>
      </c>
      <c r="H21" s="20">
        <v>30</v>
      </c>
      <c r="I21" s="20">
        <f t="shared" si="0"/>
        <v>880</v>
      </c>
      <c r="J21" s="19" t="s">
        <v>37</v>
      </c>
      <c r="K21" s="19" t="s">
        <v>37</v>
      </c>
      <c r="L21" s="19" t="s">
        <v>1972</v>
      </c>
      <c r="M21" s="19"/>
      <c r="N21" s="19"/>
      <c r="O21" s="19"/>
      <c r="P21" s="19"/>
      <c r="Q21" s="19">
        <v>1</v>
      </c>
    </row>
    <row r="22" spans="1:18" customFormat="1" x14ac:dyDescent="0.25">
      <c r="A22" s="19"/>
      <c r="B22" s="19" t="s">
        <v>32</v>
      </c>
      <c r="C22" s="19" t="s">
        <v>2015</v>
      </c>
      <c r="D22" s="19" t="s">
        <v>2016</v>
      </c>
      <c r="E22" s="19" t="s">
        <v>2017</v>
      </c>
      <c r="F22" s="20">
        <v>12</v>
      </c>
      <c r="G22" s="20">
        <v>2040</v>
      </c>
      <c r="H22" s="20">
        <v>35</v>
      </c>
      <c r="I22" s="20">
        <f t="shared" si="0"/>
        <v>2005</v>
      </c>
      <c r="J22" s="19" t="s">
        <v>37</v>
      </c>
      <c r="K22" s="19" t="s">
        <v>37</v>
      </c>
      <c r="L22" s="19" t="s">
        <v>1972</v>
      </c>
      <c r="M22" s="22" t="s">
        <v>183</v>
      </c>
      <c r="N22" s="19"/>
      <c r="O22" s="19"/>
      <c r="P22" s="19"/>
      <c r="Q22" s="19">
        <v>1</v>
      </c>
      <c r="R22" s="21">
        <f>H22</f>
        <v>35</v>
      </c>
    </row>
    <row r="23" spans="1:18" customFormat="1" x14ac:dyDescent="0.25">
      <c r="A23" s="19"/>
      <c r="B23" s="19" t="s">
        <v>32</v>
      </c>
      <c r="C23" s="19" t="s">
        <v>2018</v>
      </c>
      <c r="D23" s="19" t="s">
        <v>2019</v>
      </c>
      <c r="E23" s="19" t="s">
        <v>2020</v>
      </c>
      <c r="F23" s="20">
        <v>1</v>
      </c>
      <c r="G23" s="20">
        <v>5</v>
      </c>
      <c r="H23" s="20">
        <v>25</v>
      </c>
      <c r="I23" s="20">
        <f t="shared" si="0"/>
        <v>-20</v>
      </c>
      <c r="J23" s="19" t="s">
        <v>169</v>
      </c>
      <c r="K23" s="19" t="s">
        <v>37</v>
      </c>
      <c r="L23" s="19" t="s">
        <v>1972</v>
      </c>
      <c r="M23" s="22" t="s">
        <v>183</v>
      </c>
      <c r="N23" s="19"/>
      <c r="O23" s="19"/>
      <c r="P23" s="19"/>
      <c r="Q23" s="19">
        <v>1</v>
      </c>
      <c r="R23" s="21">
        <f>H23</f>
        <v>25</v>
      </c>
    </row>
    <row r="24" spans="1:18" customFormat="1" x14ac:dyDescent="0.25">
      <c r="A24" s="19"/>
      <c r="B24" s="19" t="s">
        <v>32</v>
      </c>
      <c r="C24" s="19" t="s">
        <v>2021</v>
      </c>
      <c r="D24" s="19" t="s">
        <v>2022</v>
      </c>
      <c r="E24" s="19" t="s">
        <v>2023</v>
      </c>
      <c r="F24" s="20">
        <v>1</v>
      </c>
      <c r="G24" s="20">
        <v>865</v>
      </c>
      <c r="H24" s="20">
        <v>25</v>
      </c>
      <c r="I24" s="20">
        <f t="shared" si="0"/>
        <v>840</v>
      </c>
      <c r="J24" s="19" t="s">
        <v>169</v>
      </c>
      <c r="K24" s="19" t="s">
        <v>37</v>
      </c>
      <c r="L24" s="19" t="s">
        <v>1972</v>
      </c>
      <c r="M24" s="19"/>
      <c r="N24" s="19"/>
      <c r="O24" s="19"/>
      <c r="P24" s="19"/>
      <c r="Q24" s="19">
        <v>1</v>
      </c>
    </row>
    <row r="25" spans="1:18" s="26" customFormat="1" x14ac:dyDescent="0.25">
      <c r="A25" s="23"/>
      <c r="B25" s="23" t="s">
        <v>32</v>
      </c>
      <c r="C25" s="23" t="s">
        <v>1800</v>
      </c>
      <c r="D25" s="23" t="s">
        <v>2024</v>
      </c>
      <c r="E25" s="23" t="s">
        <v>1798</v>
      </c>
      <c r="F25" s="24">
        <v>8</v>
      </c>
      <c r="G25" s="24">
        <v>0</v>
      </c>
      <c r="H25" s="24">
        <v>30</v>
      </c>
      <c r="I25" s="24">
        <f t="shared" si="0"/>
        <v>-30</v>
      </c>
      <c r="J25" s="23" t="s">
        <v>169</v>
      </c>
      <c r="K25" s="23" t="s">
        <v>37</v>
      </c>
      <c r="L25" s="23" t="s">
        <v>1972</v>
      </c>
      <c r="M25" s="23" t="s">
        <v>148</v>
      </c>
      <c r="N25" s="23"/>
      <c r="O25" s="23"/>
      <c r="P25" s="23"/>
      <c r="Q25" s="23">
        <v>1</v>
      </c>
      <c r="R25" s="25">
        <f>H25</f>
        <v>30</v>
      </c>
    </row>
    <row r="26" spans="1:18" customFormat="1" x14ac:dyDescent="0.25">
      <c r="A26" s="19"/>
      <c r="B26" s="19" t="s">
        <v>32</v>
      </c>
      <c r="C26" s="19" t="s">
        <v>2025</v>
      </c>
      <c r="D26" s="19" t="s">
        <v>2026</v>
      </c>
      <c r="E26" s="19" t="s">
        <v>2027</v>
      </c>
      <c r="F26" s="20">
        <v>4</v>
      </c>
      <c r="G26" s="20">
        <v>995</v>
      </c>
      <c r="H26" s="20">
        <v>25</v>
      </c>
      <c r="I26" s="20">
        <f t="shared" si="0"/>
        <v>970</v>
      </c>
      <c r="J26" s="19" t="s">
        <v>169</v>
      </c>
      <c r="K26" s="19" t="s">
        <v>37</v>
      </c>
      <c r="L26" s="19" t="s">
        <v>1972</v>
      </c>
      <c r="M26" s="19"/>
      <c r="N26" s="19"/>
      <c r="O26" s="19"/>
      <c r="P26" s="19"/>
      <c r="Q26" s="19">
        <v>1</v>
      </c>
    </row>
    <row r="27" spans="1:18" s="26" customFormat="1" x14ac:dyDescent="0.25">
      <c r="A27" s="23"/>
      <c r="B27" s="23" t="s">
        <v>32</v>
      </c>
      <c r="C27" s="23" t="s">
        <v>2028</v>
      </c>
      <c r="D27" s="23"/>
      <c r="E27" s="23" t="s">
        <v>2029</v>
      </c>
      <c r="F27" s="24">
        <v>5</v>
      </c>
      <c r="G27" s="24">
        <v>0</v>
      </c>
      <c r="H27" s="24">
        <v>25</v>
      </c>
      <c r="I27" s="24">
        <f t="shared" si="0"/>
        <v>-25</v>
      </c>
      <c r="J27" s="23" t="s">
        <v>169</v>
      </c>
      <c r="K27" s="23" t="s">
        <v>37</v>
      </c>
      <c r="L27" s="23" t="s">
        <v>1972</v>
      </c>
      <c r="M27" s="23" t="s">
        <v>148</v>
      </c>
      <c r="N27" s="23"/>
      <c r="O27" s="23"/>
      <c r="P27" s="23"/>
      <c r="Q27" s="23">
        <v>1</v>
      </c>
      <c r="R27" s="25">
        <f>H27</f>
        <v>25</v>
      </c>
    </row>
    <row r="28" spans="1:18" customFormat="1" x14ac:dyDescent="0.25">
      <c r="A28" s="19"/>
      <c r="B28" s="19" t="s">
        <v>32</v>
      </c>
      <c r="C28" s="19" t="s">
        <v>2030</v>
      </c>
      <c r="D28" s="19" t="s">
        <v>2031</v>
      </c>
      <c r="E28" s="19" t="s">
        <v>2032</v>
      </c>
      <c r="F28" s="20">
        <v>7</v>
      </c>
      <c r="G28" s="20">
        <v>1790</v>
      </c>
      <c r="H28" s="20">
        <v>30</v>
      </c>
      <c r="I28" s="20">
        <f t="shared" si="0"/>
        <v>1760</v>
      </c>
      <c r="J28" s="19" t="s">
        <v>169</v>
      </c>
      <c r="K28" s="19" t="s">
        <v>37</v>
      </c>
      <c r="L28" s="19" t="s">
        <v>1972</v>
      </c>
      <c r="M28" s="19"/>
      <c r="N28" s="19"/>
      <c r="O28" s="19"/>
      <c r="P28" s="19"/>
      <c r="Q28" s="19">
        <v>1</v>
      </c>
    </row>
    <row r="29" spans="1:18" customFormat="1" x14ac:dyDescent="0.25">
      <c r="A29" s="19"/>
      <c r="B29" s="19" t="s">
        <v>32</v>
      </c>
      <c r="C29" s="19" t="s">
        <v>2033</v>
      </c>
      <c r="D29" s="19" t="s">
        <v>2034</v>
      </c>
      <c r="E29" s="19" t="s">
        <v>2035</v>
      </c>
      <c r="F29" s="20">
        <v>7</v>
      </c>
      <c r="G29" s="20">
        <v>900</v>
      </c>
      <c r="H29" s="20">
        <v>30</v>
      </c>
      <c r="I29" s="20">
        <f t="shared" si="0"/>
        <v>870</v>
      </c>
      <c r="J29" s="19" t="s">
        <v>169</v>
      </c>
      <c r="K29" s="19" t="s">
        <v>37</v>
      </c>
      <c r="L29" s="19" t="s">
        <v>1972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2036</v>
      </c>
      <c r="D30" s="19" t="s">
        <v>2037</v>
      </c>
      <c r="E30" s="19" t="s">
        <v>2038</v>
      </c>
      <c r="F30" s="20">
        <v>4</v>
      </c>
      <c r="G30" s="20">
        <v>735</v>
      </c>
      <c r="H30" s="20">
        <v>25</v>
      </c>
      <c r="I30" s="20">
        <f t="shared" si="0"/>
        <v>710</v>
      </c>
      <c r="J30" s="19" t="s">
        <v>169</v>
      </c>
      <c r="K30" s="19" t="s">
        <v>37</v>
      </c>
      <c r="L30" s="19" t="s">
        <v>1972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2039</v>
      </c>
      <c r="D31" s="19" t="s">
        <v>2040</v>
      </c>
      <c r="E31" s="19" t="s">
        <v>2041</v>
      </c>
      <c r="F31" s="20">
        <v>7</v>
      </c>
      <c r="G31" s="20">
        <v>1100</v>
      </c>
      <c r="H31" s="20">
        <v>30</v>
      </c>
      <c r="I31" s="20">
        <f t="shared" si="0"/>
        <v>1070</v>
      </c>
      <c r="J31" s="19" t="s">
        <v>169</v>
      </c>
      <c r="K31" s="19" t="s">
        <v>37</v>
      </c>
      <c r="L31" s="19" t="s">
        <v>1972</v>
      </c>
      <c r="M31" s="19"/>
      <c r="N31" s="19"/>
      <c r="O31" s="19"/>
      <c r="P31" s="19"/>
      <c r="Q31" s="19">
        <v>1</v>
      </c>
    </row>
    <row r="32" spans="1:18" customFormat="1" x14ac:dyDescent="0.25">
      <c r="A32" s="19"/>
      <c r="B32" s="19" t="s">
        <v>32</v>
      </c>
      <c r="C32" s="19" t="s">
        <v>2042</v>
      </c>
      <c r="D32" s="19" t="s">
        <v>2043</v>
      </c>
      <c r="E32" s="19" t="s">
        <v>2044</v>
      </c>
      <c r="F32" s="20">
        <v>7</v>
      </c>
      <c r="G32" s="20">
        <v>890</v>
      </c>
      <c r="H32" s="20">
        <v>30</v>
      </c>
      <c r="I32" s="20">
        <f t="shared" si="0"/>
        <v>860</v>
      </c>
      <c r="J32" s="19" t="s">
        <v>169</v>
      </c>
      <c r="K32" s="19" t="s">
        <v>37</v>
      </c>
      <c r="L32" s="19" t="s">
        <v>1972</v>
      </c>
      <c r="M32" s="19"/>
      <c r="N32" s="19"/>
      <c r="O32" s="19"/>
      <c r="P32" s="19"/>
      <c r="Q32" s="19">
        <v>1</v>
      </c>
    </row>
    <row r="34" spans="7:18" x14ac:dyDescent="0.25">
      <c r="G34" s="1">
        <f t="shared" ref="G34:R34" si="3">SUBTOTAL(9,G3:G32)</f>
        <v>18330</v>
      </c>
      <c r="H34" s="1">
        <f t="shared" si="3"/>
        <v>855</v>
      </c>
      <c r="I34" s="1">
        <f t="shared" si="3"/>
        <v>17475</v>
      </c>
      <c r="J34" s="1">
        <f t="shared" si="3"/>
        <v>0</v>
      </c>
      <c r="K34" s="1">
        <f t="shared" si="3"/>
        <v>0</v>
      </c>
      <c r="L34" s="1">
        <f t="shared" si="3"/>
        <v>0</v>
      </c>
      <c r="M34" s="1">
        <f t="shared" si="3"/>
        <v>0</v>
      </c>
      <c r="N34" s="1">
        <f t="shared" si="3"/>
        <v>0</v>
      </c>
      <c r="O34" s="1">
        <f t="shared" si="3"/>
        <v>0</v>
      </c>
      <c r="P34" s="1">
        <f t="shared" si="3"/>
        <v>0</v>
      </c>
      <c r="Q34" s="1">
        <f t="shared" si="3"/>
        <v>30</v>
      </c>
      <c r="R34" s="1">
        <f t="shared" si="3"/>
        <v>350</v>
      </c>
    </row>
    <row r="38" spans="7:18" ht="20.25" customHeight="1" x14ac:dyDescent="0.3">
      <c r="H38" s="4" t="s">
        <v>1873</v>
      </c>
      <c r="I38" s="5" t="s">
        <v>15</v>
      </c>
      <c r="J38" s="6" t="s">
        <v>16</v>
      </c>
    </row>
    <row r="39" spans="7:18" ht="15.75" customHeight="1" x14ac:dyDescent="0.25">
      <c r="H39" s="7" t="s">
        <v>17</v>
      </c>
      <c r="I39" s="8">
        <f>SUM(I33:I37)</f>
        <v>17475</v>
      </c>
      <c r="J39" s="8">
        <f>Q34</f>
        <v>30</v>
      </c>
    </row>
    <row r="40" spans="7:18" x14ac:dyDescent="0.25">
      <c r="H40" s="9" t="s">
        <v>18</v>
      </c>
      <c r="I40" s="10">
        <f>R34</f>
        <v>350</v>
      </c>
      <c r="J40" s="11"/>
    </row>
    <row r="41" spans="7:18" x14ac:dyDescent="0.25">
      <c r="H41" s="9" t="s">
        <v>19</v>
      </c>
      <c r="I41" s="10">
        <f>S33</f>
        <v>0</v>
      </c>
      <c r="J41" s="11"/>
    </row>
    <row r="42" spans="7:18" x14ac:dyDescent="0.25">
      <c r="H42" s="9" t="s">
        <v>20</v>
      </c>
      <c r="I42" s="10">
        <f>T33</f>
        <v>0</v>
      </c>
      <c r="J42" s="11"/>
    </row>
    <row r="43" spans="7:18" x14ac:dyDescent="0.25">
      <c r="H43" s="9" t="s">
        <v>21</v>
      </c>
      <c r="I43" s="10">
        <f>U33</f>
        <v>0</v>
      </c>
      <c r="J43" s="11"/>
    </row>
    <row r="44" spans="7:18" ht="15.75" customHeight="1" x14ac:dyDescent="0.25">
      <c r="H44" s="12" t="s">
        <v>22</v>
      </c>
      <c r="I44" s="13"/>
      <c r="J44" s="13"/>
    </row>
    <row r="45" spans="7:18" ht="15.75" customHeight="1" x14ac:dyDescent="0.25">
      <c r="H45" s="14" t="s">
        <v>23</v>
      </c>
      <c r="I45" s="13"/>
      <c r="J45" s="13"/>
    </row>
    <row r="46" spans="7:18" ht="21" customHeight="1" x14ac:dyDescent="0.35">
      <c r="H46" s="15" t="s">
        <v>24</v>
      </c>
      <c r="I46" s="16">
        <f>SUM(I39:I45)</f>
        <v>17825</v>
      </c>
      <c r="J46" s="16">
        <f>SUM(J39:J43)</f>
        <v>30</v>
      </c>
    </row>
  </sheetData>
  <autoFilter ref="A2:P32" xr:uid="{00000000-0009-0000-0000-000006000000}">
    <sortState xmlns:xlrd2="http://schemas.microsoft.com/office/spreadsheetml/2017/richdata2" ref="A3:P32">
      <sortCondition ref="J2:J32"/>
    </sortState>
  </autoFilter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8FD2-57B1-474D-815B-38229B4CEAC0}">
  <dimension ref="A1:R74"/>
  <sheetViews>
    <sheetView topLeftCell="A27" zoomScale="82" zoomScaleNormal="80" workbookViewId="0">
      <selection activeCell="H9" sqref="H9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1.855468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345</v>
      </c>
      <c r="C1" s="1" t="s">
        <v>1967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2047</v>
      </c>
      <c r="D3" s="19" t="s">
        <v>2048</v>
      </c>
      <c r="E3" s="19" t="s">
        <v>2049</v>
      </c>
      <c r="F3" s="19" t="s">
        <v>45</v>
      </c>
      <c r="G3" s="20">
        <v>0</v>
      </c>
      <c r="H3" s="20">
        <v>30</v>
      </c>
      <c r="I3" s="20">
        <f t="shared" ref="I3:I58" si="0">G3-H3</f>
        <v>-30</v>
      </c>
      <c r="J3" s="19" t="s">
        <v>2050</v>
      </c>
      <c r="K3" s="19" t="s">
        <v>37</v>
      </c>
      <c r="L3" s="19" t="s">
        <v>2051</v>
      </c>
      <c r="M3" s="19"/>
      <c r="N3" s="19"/>
      <c r="O3" s="19"/>
      <c r="P3" s="19"/>
      <c r="Q3" s="19">
        <v>1</v>
      </c>
      <c r="R3" s="21">
        <f>H3</f>
        <v>30</v>
      </c>
    </row>
    <row r="4" spans="1:18" customFormat="1" x14ac:dyDescent="0.25">
      <c r="A4" s="19"/>
      <c r="B4" s="19" t="s">
        <v>32</v>
      </c>
      <c r="C4" s="19" t="s">
        <v>2052</v>
      </c>
      <c r="D4" s="19" t="s">
        <v>2053</v>
      </c>
      <c r="E4" s="19" t="s">
        <v>2054</v>
      </c>
      <c r="F4" s="19" t="s">
        <v>62</v>
      </c>
      <c r="G4" s="20">
        <v>915</v>
      </c>
      <c r="H4" s="20">
        <v>25</v>
      </c>
      <c r="I4" s="20">
        <f t="shared" si="0"/>
        <v>890</v>
      </c>
      <c r="J4" s="19" t="s">
        <v>2050</v>
      </c>
      <c r="K4" s="19" t="s">
        <v>37</v>
      </c>
      <c r="L4" s="19" t="s">
        <v>2051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2055</v>
      </c>
      <c r="D5" s="19" t="s">
        <v>2056</v>
      </c>
      <c r="E5" s="19" t="s">
        <v>2057</v>
      </c>
      <c r="F5" s="20">
        <v>11</v>
      </c>
      <c r="G5" s="20">
        <v>575</v>
      </c>
      <c r="H5" s="20">
        <v>25</v>
      </c>
      <c r="I5" s="20">
        <f t="shared" si="0"/>
        <v>550</v>
      </c>
      <c r="J5" s="19" t="s">
        <v>2050</v>
      </c>
      <c r="K5" s="19" t="s">
        <v>37</v>
      </c>
      <c r="L5" s="19" t="s">
        <v>2051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2058</v>
      </c>
      <c r="D6" s="19" t="s">
        <v>2059</v>
      </c>
      <c r="E6" s="19" t="s">
        <v>2060</v>
      </c>
      <c r="F6" s="19" t="s">
        <v>88</v>
      </c>
      <c r="G6" s="20">
        <v>855</v>
      </c>
      <c r="H6" s="20">
        <v>35</v>
      </c>
      <c r="I6" s="20">
        <f t="shared" si="0"/>
        <v>820</v>
      </c>
      <c r="J6" s="19" t="s">
        <v>2050</v>
      </c>
      <c r="K6" s="19" t="s">
        <v>37</v>
      </c>
      <c r="L6" s="19" t="s">
        <v>2051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2061</v>
      </c>
      <c r="D7" s="19" t="s">
        <v>2062</v>
      </c>
      <c r="E7" s="19" t="s">
        <v>2063</v>
      </c>
      <c r="F7" s="20">
        <v>6</v>
      </c>
      <c r="G7" s="20">
        <v>0</v>
      </c>
      <c r="H7" s="20">
        <v>25</v>
      </c>
      <c r="I7" s="20">
        <f t="shared" si="0"/>
        <v>-25</v>
      </c>
      <c r="J7" s="19" t="s">
        <v>2050</v>
      </c>
      <c r="K7" s="19" t="s">
        <v>37</v>
      </c>
      <c r="L7" s="19" t="s">
        <v>2051</v>
      </c>
      <c r="M7" s="19"/>
      <c r="N7" s="19"/>
      <c r="O7" s="19"/>
      <c r="P7" s="19"/>
      <c r="Q7" s="19">
        <v>1</v>
      </c>
      <c r="R7" s="21">
        <f>H7</f>
        <v>25</v>
      </c>
    </row>
    <row r="8" spans="1:18" customFormat="1" x14ac:dyDescent="0.25">
      <c r="A8" s="19"/>
      <c r="B8" s="19" t="s">
        <v>32</v>
      </c>
      <c r="C8" s="19" t="s">
        <v>2064</v>
      </c>
      <c r="D8" s="19" t="s">
        <v>2065</v>
      </c>
      <c r="E8" s="19" t="s">
        <v>2066</v>
      </c>
      <c r="F8" s="19" t="s">
        <v>88</v>
      </c>
      <c r="G8" s="20">
        <v>2150</v>
      </c>
      <c r="H8" s="20">
        <v>40</v>
      </c>
      <c r="I8" s="20">
        <f t="shared" si="0"/>
        <v>2110</v>
      </c>
      <c r="J8" s="19" t="s">
        <v>2050</v>
      </c>
      <c r="K8" s="19" t="s">
        <v>37</v>
      </c>
      <c r="L8" s="19" t="s">
        <v>2051</v>
      </c>
      <c r="M8" s="22" t="s">
        <v>183</v>
      </c>
      <c r="N8" s="19"/>
      <c r="O8" s="19"/>
      <c r="P8" s="19"/>
      <c r="Q8" s="19">
        <v>1</v>
      </c>
      <c r="R8" s="21">
        <f>H8</f>
        <v>40</v>
      </c>
    </row>
    <row r="9" spans="1:18" customFormat="1" x14ac:dyDescent="0.25">
      <c r="A9" s="19"/>
      <c r="B9" s="19" t="s">
        <v>32</v>
      </c>
      <c r="C9" s="19" t="s">
        <v>2067</v>
      </c>
      <c r="D9" s="19" t="s">
        <v>2068</v>
      </c>
      <c r="E9" s="19" t="s">
        <v>2069</v>
      </c>
      <c r="F9" s="19" t="s">
        <v>88</v>
      </c>
      <c r="G9" s="20">
        <v>0</v>
      </c>
      <c r="H9" s="20">
        <v>35</v>
      </c>
      <c r="I9" s="20">
        <f t="shared" si="0"/>
        <v>-35</v>
      </c>
      <c r="J9" s="19" t="s">
        <v>2050</v>
      </c>
      <c r="K9" s="19" t="s">
        <v>37</v>
      </c>
      <c r="L9" s="19" t="s">
        <v>2051</v>
      </c>
      <c r="M9" s="40" t="s">
        <v>2186</v>
      </c>
      <c r="N9" s="19"/>
      <c r="O9" s="19"/>
      <c r="P9" s="19"/>
      <c r="Q9" s="19">
        <v>1</v>
      </c>
      <c r="R9" s="21">
        <f>H9</f>
        <v>35</v>
      </c>
    </row>
    <row r="10" spans="1:18" customFormat="1" x14ac:dyDescent="0.25">
      <c r="A10" s="19"/>
      <c r="B10" s="19" t="s">
        <v>32</v>
      </c>
      <c r="C10" s="19" t="s">
        <v>2070</v>
      </c>
      <c r="D10" s="19" t="s">
        <v>2071</v>
      </c>
      <c r="E10" s="19" t="s">
        <v>2072</v>
      </c>
      <c r="F10" s="20">
        <v>6</v>
      </c>
      <c r="G10" s="20">
        <v>0</v>
      </c>
      <c r="H10" s="20">
        <v>25</v>
      </c>
      <c r="I10" s="20">
        <f t="shared" si="0"/>
        <v>-25</v>
      </c>
      <c r="J10" s="19" t="s">
        <v>2050</v>
      </c>
      <c r="K10" s="19" t="s">
        <v>37</v>
      </c>
      <c r="L10" s="19" t="s">
        <v>2051</v>
      </c>
      <c r="M10" s="19"/>
      <c r="N10" s="19"/>
      <c r="O10" s="19"/>
      <c r="P10" s="19"/>
      <c r="Q10" s="19">
        <v>1</v>
      </c>
      <c r="R10" s="21">
        <f>H10</f>
        <v>25</v>
      </c>
    </row>
    <row r="11" spans="1:18" customFormat="1" x14ac:dyDescent="0.25">
      <c r="A11" s="19"/>
      <c r="B11" s="19" t="s">
        <v>32</v>
      </c>
      <c r="C11" s="19" t="s">
        <v>527</v>
      </c>
      <c r="D11" s="19" t="s">
        <v>2073</v>
      </c>
      <c r="E11" s="19" t="s">
        <v>2074</v>
      </c>
      <c r="F11" s="20">
        <v>6</v>
      </c>
      <c r="G11" s="20">
        <v>505</v>
      </c>
      <c r="H11" s="20">
        <v>25</v>
      </c>
      <c r="I11" s="20">
        <f t="shared" si="0"/>
        <v>480</v>
      </c>
      <c r="J11" s="19" t="s">
        <v>2050</v>
      </c>
      <c r="K11" s="19" t="s">
        <v>37</v>
      </c>
      <c r="L11" s="19" t="s">
        <v>2051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2075</v>
      </c>
      <c r="D12" s="19" t="s">
        <v>2076</v>
      </c>
      <c r="E12" s="19" t="s">
        <v>2077</v>
      </c>
      <c r="F12" s="19" t="s">
        <v>45</v>
      </c>
      <c r="G12" s="20">
        <v>870</v>
      </c>
      <c r="H12" s="20">
        <v>30</v>
      </c>
      <c r="I12" s="20">
        <f t="shared" si="0"/>
        <v>840</v>
      </c>
      <c r="J12" s="19" t="s">
        <v>2050</v>
      </c>
      <c r="K12" s="19" t="s">
        <v>37</v>
      </c>
      <c r="L12" s="19" t="s">
        <v>2051</v>
      </c>
      <c r="M12" s="19"/>
      <c r="N12" s="19"/>
      <c r="O12" s="19"/>
      <c r="P12" s="19"/>
      <c r="Q12" s="19">
        <v>1</v>
      </c>
    </row>
    <row r="13" spans="1:18" customFormat="1" x14ac:dyDescent="0.25">
      <c r="A13" s="19"/>
      <c r="B13" s="19" t="s">
        <v>32</v>
      </c>
      <c r="C13" s="19" t="s">
        <v>2078</v>
      </c>
      <c r="D13" s="19" t="s">
        <v>2079</v>
      </c>
      <c r="E13" s="19" t="s">
        <v>2080</v>
      </c>
      <c r="F13" s="19" t="s">
        <v>45</v>
      </c>
      <c r="G13" s="20">
        <v>0</v>
      </c>
      <c r="H13" s="20">
        <v>30</v>
      </c>
      <c r="I13" s="20">
        <f t="shared" si="0"/>
        <v>-30</v>
      </c>
      <c r="J13" s="19" t="s">
        <v>2050</v>
      </c>
      <c r="K13" s="19" t="s">
        <v>37</v>
      </c>
      <c r="L13" s="19" t="s">
        <v>2051</v>
      </c>
      <c r="M13" s="19"/>
      <c r="N13" s="19"/>
      <c r="O13" s="19"/>
      <c r="P13" s="19"/>
      <c r="Q13" s="19">
        <v>1</v>
      </c>
      <c r="R13" s="21">
        <f t="shared" ref="R13:R14" si="1">H13</f>
        <v>30</v>
      </c>
    </row>
    <row r="14" spans="1:18" customFormat="1" x14ac:dyDescent="0.25">
      <c r="A14" s="19"/>
      <c r="B14" s="19" t="s">
        <v>32</v>
      </c>
      <c r="C14" s="19" t="s">
        <v>612</v>
      </c>
      <c r="D14" s="19" t="s">
        <v>2081</v>
      </c>
      <c r="E14" s="19" t="s">
        <v>2082</v>
      </c>
      <c r="F14" s="19" t="s">
        <v>45</v>
      </c>
      <c r="G14" s="20">
        <v>0</v>
      </c>
      <c r="H14" s="20">
        <v>30</v>
      </c>
      <c r="I14" s="20">
        <f t="shared" si="0"/>
        <v>-30</v>
      </c>
      <c r="J14" s="19" t="s">
        <v>2050</v>
      </c>
      <c r="K14" s="19" t="s">
        <v>37</v>
      </c>
      <c r="L14" s="19" t="s">
        <v>2051</v>
      </c>
      <c r="M14" s="19"/>
      <c r="N14" s="19"/>
      <c r="O14" s="19"/>
      <c r="P14" s="19"/>
      <c r="Q14" s="19">
        <v>1</v>
      </c>
      <c r="R14" s="21">
        <f t="shared" si="1"/>
        <v>30</v>
      </c>
    </row>
    <row r="15" spans="1:18" customFormat="1" x14ac:dyDescent="0.25">
      <c r="A15" s="19"/>
      <c r="B15" s="19" t="s">
        <v>32</v>
      </c>
      <c r="C15" s="19" t="s">
        <v>1899</v>
      </c>
      <c r="D15" s="19" t="s">
        <v>2083</v>
      </c>
      <c r="E15" s="19" t="s">
        <v>1901</v>
      </c>
      <c r="F15" s="19" t="s">
        <v>45</v>
      </c>
      <c r="G15" s="20">
        <v>1820</v>
      </c>
      <c r="H15" s="20">
        <v>30</v>
      </c>
      <c r="I15" s="20">
        <f t="shared" si="0"/>
        <v>1790</v>
      </c>
      <c r="J15" s="19" t="s">
        <v>2050</v>
      </c>
      <c r="K15" s="19" t="s">
        <v>37</v>
      </c>
      <c r="L15" s="19" t="s">
        <v>2051</v>
      </c>
      <c r="M15" s="19"/>
      <c r="N15" s="19"/>
      <c r="O15" s="19"/>
      <c r="P15" s="19"/>
      <c r="Q15" s="19">
        <v>1</v>
      </c>
    </row>
    <row r="16" spans="1:18" customFormat="1" x14ac:dyDescent="0.25">
      <c r="A16" s="19"/>
      <c r="B16" s="19" t="s">
        <v>32</v>
      </c>
      <c r="C16" s="19" t="s">
        <v>2084</v>
      </c>
      <c r="D16" s="19" t="s">
        <v>2085</v>
      </c>
      <c r="E16" s="19" t="s">
        <v>593</v>
      </c>
      <c r="F16" s="20">
        <v>12</v>
      </c>
      <c r="G16" s="20">
        <v>0</v>
      </c>
      <c r="H16" s="20">
        <v>30</v>
      </c>
      <c r="I16" s="20">
        <f t="shared" si="0"/>
        <v>-30</v>
      </c>
      <c r="J16" s="19" t="s">
        <v>37</v>
      </c>
      <c r="K16" s="19" t="s">
        <v>37</v>
      </c>
      <c r="L16" s="19" t="s">
        <v>2051</v>
      </c>
      <c r="M16" s="22" t="s">
        <v>438</v>
      </c>
      <c r="N16" s="19"/>
      <c r="O16" s="19"/>
      <c r="P16" s="19"/>
      <c r="Q16" s="19">
        <v>1</v>
      </c>
      <c r="R16" s="21">
        <f t="shared" ref="R16:R17" si="2">H16</f>
        <v>30</v>
      </c>
    </row>
    <row r="17" spans="1:18" customFormat="1" x14ac:dyDescent="0.25">
      <c r="A17" s="19"/>
      <c r="B17" s="19" t="s">
        <v>32</v>
      </c>
      <c r="C17" s="19" t="s">
        <v>2084</v>
      </c>
      <c r="D17" s="19" t="s">
        <v>2086</v>
      </c>
      <c r="E17" s="19" t="s">
        <v>593</v>
      </c>
      <c r="F17" s="20">
        <v>12</v>
      </c>
      <c r="G17" s="20">
        <v>0</v>
      </c>
      <c r="H17" s="20">
        <v>0</v>
      </c>
      <c r="I17" s="20">
        <f t="shared" si="0"/>
        <v>0</v>
      </c>
      <c r="J17" s="19" t="s">
        <v>37</v>
      </c>
      <c r="K17" s="19" t="s">
        <v>37</v>
      </c>
      <c r="L17" s="19" t="s">
        <v>2051</v>
      </c>
      <c r="M17" s="22" t="s">
        <v>438</v>
      </c>
      <c r="N17" s="19"/>
      <c r="O17" s="19"/>
      <c r="P17" s="19"/>
      <c r="Q17" s="19">
        <v>1</v>
      </c>
      <c r="R17" s="21">
        <f t="shared" si="2"/>
        <v>0</v>
      </c>
    </row>
    <row r="18" spans="1:18" customFormat="1" x14ac:dyDescent="0.25">
      <c r="A18" s="19"/>
      <c r="B18" s="19" t="s">
        <v>32</v>
      </c>
      <c r="C18" s="19" t="s">
        <v>2087</v>
      </c>
      <c r="D18" s="19" t="s">
        <v>2088</v>
      </c>
      <c r="E18" s="19" t="s">
        <v>2089</v>
      </c>
      <c r="F18" s="19" t="s">
        <v>173</v>
      </c>
      <c r="G18" s="20">
        <v>845</v>
      </c>
      <c r="H18" s="20">
        <v>25</v>
      </c>
      <c r="I18" s="20">
        <f t="shared" si="0"/>
        <v>820</v>
      </c>
      <c r="J18" s="19" t="s">
        <v>37</v>
      </c>
      <c r="K18" s="19" t="s">
        <v>37</v>
      </c>
      <c r="L18" s="19" t="s">
        <v>2051</v>
      </c>
      <c r="M18" s="19"/>
      <c r="N18" s="19"/>
      <c r="O18" s="19"/>
      <c r="P18" s="19"/>
      <c r="Q18" s="19">
        <v>1</v>
      </c>
    </row>
    <row r="19" spans="1:18" customFormat="1" x14ac:dyDescent="0.25">
      <c r="A19" s="19"/>
      <c r="B19" s="19" t="s">
        <v>32</v>
      </c>
      <c r="C19" s="19" t="s">
        <v>2090</v>
      </c>
      <c r="D19" s="19" t="s">
        <v>2091</v>
      </c>
      <c r="E19" s="19" t="s">
        <v>2092</v>
      </c>
      <c r="F19" s="19" t="s">
        <v>117</v>
      </c>
      <c r="G19" s="20">
        <v>1415</v>
      </c>
      <c r="H19" s="20">
        <v>25</v>
      </c>
      <c r="I19" s="20">
        <f t="shared" si="0"/>
        <v>1390</v>
      </c>
      <c r="J19" s="19" t="s">
        <v>37</v>
      </c>
      <c r="K19" s="19" t="s">
        <v>37</v>
      </c>
      <c r="L19" s="19" t="s">
        <v>2051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19" t="s">
        <v>513</v>
      </c>
      <c r="D20" s="19" t="s">
        <v>2093</v>
      </c>
      <c r="E20" s="19" t="s">
        <v>515</v>
      </c>
      <c r="F20" s="19" t="s">
        <v>124</v>
      </c>
      <c r="G20" s="20">
        <v>1390</v>
      </c>
      <c r="H20" s="20">
        <v>20</v>
      </c>
      <c r="I20" s="20">
        <f t="shared" si="0"/>
        <v>1370</v>
      </c>
      <c r="J20" s="19" t="s">
        <v>37</v>
      </c>
      <c r="K20" s="19" t="s">
        <v>37</v>
      </c>
      <c r="L20" s="19" t="s">
        <v>2051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1924</v>
      </c>
      <c r="D21" s="19" t="s">
        <v>2094</v>
      </c>
      <c r="E21" s="19" t="s">
        <v>308</v>
      </c>
      <c r="F21" s="20">
        <v>12</v>
      </c>
      <c r="G21" s="20">
        <v>0</v>
      </c>
      <c r="H21" s="20">
        <v>30</v>
      </c>
      <c r="I21" s="20">
        <f t="shared" si="0"/>
        <v>-30</v>
      </c>
      <c r="J21" s="19" t="s">
        <v>37</v>
      </c>
      <c r="K21" s="19" t="s">
        <v>37</v>
      </c>
      <c r="L21" s="19" t="s">
        <v>2051</v>
      </c>
      <c r="M21" s="19"/>
      <c r="N21" s="19"/>
      <c r="O21" s="19"/>
      <c r="P21" s="19"/>
      <c r="Q21" s="19">
        <v>1</v>
      </c>
      <c r="R21" s="21">
        <f t="shared" ref="R21:R22" si="3">H21</f>
        <v>30</v>
      </c>
    </row>
    <row r="22" spans="1:18" customFormat="1" x14ac:dyDescent="0.25">
      <c r="A22" s="19"/>
      <c r="B22" s="19" t="s">
        <v>32</v>
      </c>
      <c r="C22" s="19" t="s">
        <v>2095</v>
      </c>
      <c r="D22" s="19" t="s">
        <v>2096</v>
      </c>
      <c r="E22" s="19" t="s">
        <v>2097</v>
      </c>
      <c r="F22" s="19" t="s">
        <v>124</v>
      </c>
      <c r="G22" s="20">
        <v>0</v>
      </c>
      <c r="H22" s="20">
        <v>20</v>
      </c>
      <c r="I22" s="20">
        <f t="shared" si="0"/>
        <v>-20</v>
      </c>
      <c r="J22" s="19" t="s">
        <v>37</v>
      </c>
      <c r="K22" s="19" t="s">
        <v>37</v>
      </c>
      <c r="L22" s="19" t="s">
        <v>2051</v>
      </c>
      <c r="M22" s="19"/>
      <c r="N22" s="19"/>
      <c r="O22" s="19"/>
      <c r="P22" s="19"/>
      <c r="Q22" s="19">
        <v>1</v>
      </c>
      <c r="R22" s="21">
        <f t="shared" si="3"/>
        <v>20</v>
      </c>
    </row>
    <row r="23" spans="1:18" customFormat="1" x14ac:dyDescent="0.25">
      <c r="A23" s="19"/>
      <c r="B23" s="19" t="s">
        <v>32</v>
      </c>
      <c r="C23" s="19" t="s">
        <v>2098</v>
      </c>
      <c r="D23" s="19" t="s">
        <v>2099</v>
      </c>
      <c r="E23" s="19" t="s">
        <v>2100</v>
      </c>
      <c r="F23" s="19" t="s">
        <v>124</v>
      </c>
      <c r="G23" s="20">
        <v>860</v>
      </c>
      <c r="H23" s="20">
        <v>20</v>
      </c>
      <c r="I23" s="20">
        <f t="shared" si="0"/>
        <v>840</v>
      </c>
      <c r="J23" s="19" t="s">
        <v>37</v>
      </c>
      <c r="K23" s="19" t="s">
        <v>37</v>
      </c>
      <c r="L23" s="19" t="s">
        <v>2051</v>
      </c>
      <c r="M23" s="19"/>
      <c r="N23" s="19"/>
      <c r="O23" s="19"/>
      <c r="P23" s="19"/>
      <c r="Q23" s="19">
        <v>1</v>
      </c>
    </row>
    <row r="24" spans="1:18" customFormat="1" x14ac:dyDescent="0.25">
      <c r="A24" s="19"/>
      <c r="B24" s="19" t="s">
        <v>32</v>
      </c>
      <c r="C24" s="19" t="s">
        <v>2101</v>
      </c>
      <c r="D24" s="19" t="s">
        <v>2102</v>
      </c>
      <c r="E24" s="19" t="s">
        <v>2103</v>
      </c>
      <c r="F24" s="19" t="s">
        <v>117</v>
      </c>
      <c r="G24" s="20">
        <v>0</v>
      </c>
      <c r="H24" s="20">
        <v>25</v>
      </c>
      <c r="I24" s="20">
        <f t="shared" si="0"/>
        <v>-25</v>
      </c>
      <c r="J24" s="19" t="s">
        <v>37</v>
      </c>
      <c r="K24" s="19" t="s">
        <v>37</v>
      </c>
      <c r="L24" s="19" t="s">
        <v>2051</v>
      </c>
      <c r="M24" s="19"/>
      <c r="N24" s="19"/>
      <c r="O24" s="19"/>
      <c r="P24" s="19"/>
      <c r="Q24" s="19">
        <v>1</v>
      </c>
      <c r="R24" s="21">
        <f t="shared" ref="R24:R26" si="4">H24</f>
        <v>25</v>
      </c>
    </row>
    <row r="25" spans="1:18" customFormat="1" x14ac:dyDescent="0.25">
      <c r="A25" s="19"/>
      <c r="B25" s="19" t="s">
        <v>32</v>
      </c>
      <c r="C25" s="19" t="s">
        <v>1715</v>
      </c>
      <c r="D25" s="19" t="s">
        <v>2104</v>
      </c>
      <c r="E25" s="19" t="s">
        <v>593</v>
      </c>
      <c r="F25" s="20">
        <v>12</v>
      </c>
      <c r="G25" s="20">
        <v>0</v>
      </c>
      <c r="H25" s="20">
        <v>30</v>
      </c>
      <c r="I25" s="20">
        <f t="shared" si="0"/>
        <v>-30</v>
      </c>
      <c r="J25" s="19" t="s">
        <v>37</v>
      </c>
      <c r="K25" s="19" t="s">
        <v>37</v>
      </c>
      <c r="L25" s="19" t="s">
        <v>2051</v>
      </c>
      <c r="M25" s="22" t="s">
        <v>438</v>
      </c>
      <c r="N25" s="19"/>
      <c r="O25" s="19"/>
      <c r="P25" s="19"/>
      <c r="Q25" s="19">
        <v>1</v>
      </c>
      <c r="R25" s="21">
        <f t="shared" si="4"/>
        <v>30</v>
      </c>
    </row>
    <row r="26" spans="1:18" customFormat="1" x14ac:dyDescent="0.25">
      <c r="A26" s="19"/>
      <c r="B26" s="19" t="s">
        <v>32</v>
      </c>
      <c r="C26" s="19" t="s">
        <v>1715</v>
      </c>
      <c r="D26" s="19" t="s">
        <v>2105</v>
      </c>
      <c r="E26" s="19" t="s">
        <v>593</v>
      </c>
      <c r="F26" s="20">
        <v>12</v>
      </c>
      <c r="G26" s="20">
        <v>0</v>
      </c>
      <c r="H26" s="20">
        <v>0</v>
      </c>
      <c r="I26" s="20">
        <f t="shared" si="0"/>
        <v>0</v>
      </c>
      <c r="J26" s="19" t="s">
        <v>37</v>
      </c>
      <c r="K26" s="19" t="s">
        <v>37</v>
      </c>
      <c r="L26" s="19" t="s">
        <v>2051</v>
      </c>
      <c r="M26" s="22" t="s">
        <v>438</v>
      </c>
      <c r="N26" s="19"/>
      <c r="O26" s="19"/>
      <c r="P26" s="19"/>
      <c r="Q26" s="19">
        <v>1</v>
      </c>
      <c r="R26" s="21">
        <f t="shared" si="4"/>
        <v>0</v>
      </c>
    </row>
    <row r="27" spans="1:18" customFormat="1" x14ac:dyDescent="0.25">
      <c r="A27" s="19"/>
      <c r="B27" s="19" t="s">
        <v>32</v>
      </c>
      <c r="C27" s="19" t="s">
        <v>2106</v>
      </c>
      <c r="D27" s="19" t="s">
        <v>2107</v>
      </c>
      <c r="E27" s="19" t="s">
        <v>2108</v>
      </c>
      <c r="F27" s="20">
        <v>2</v>
      </c>
      <c r="G27" s="20">
        <v>910</v>
      </c>
      <c r="H27" s="20">
        <v>30</v>
      </c>
      <c r="I27" s="20">
        <f t="shared" si="0"/>
        <v>880</v>
      </c>
      <c r="J27" s="19" t="s">
        <v>37</v>
      </c>
      <c r="K27" s="19" t="s">
        <v>37</v>
      </c>
      <c r="L27" s="19" t="s">
        <v>2051</v>
      </c>
      <c r="M27" s="19"/>
      <c r="N27" s="19"/>
      <c r="O27" s="19"/>
      <c r="P27" s="19"/>
      <c r="Q27" s="19">
        <v>1</v>
      </c>
    </row>
    <row r="28" spans="1:18" customFormat="1" x14ac:dyDescent="0.25">
      <c r="A28" s="19"/>
      <c r="B28" s="19" t="s">
        <v>32</v>
      </c>
      <c r="C28" s="19" t="s">
        <v>542</v>
      </c>
      <c r="D28" s="19" t="s">
        <v>2109</v>
      </c>
      <c r="E28" s="19" t="s">
        <v>2110</v>
      </c>
      <c r="F28" s="19" t="s">
        <v>317</v>
      </c>
      <c r="G28" s="20">
        <v>1870</v>
      </c>
      <c r="H28" s="20">
        <v>20</v>
      </c>
      <c r="I28" s="20">
        <f t="shared" si="0"/>
        <v>1850</v>
      </c>
      <c r="J28" s="19" t="s">
        <v>37</v>
      </c>
      <c r="K28" s="19" t="s">
        <v>37</v>
      </c>
      <c r="L28" s="19" t="s">
        <v>2051</v>
      </c>
      <c r="M28" s="19"/>
      <c r="N28" s="19"/>
      <c r="O28" s="19"/>
      <c r="P28" s="19"/>
      <c r="Q28" s="19">
        <v>1</v>
      </c>
    </row>
    <row r="29" spans="1:18" customFormat="1" x14ac:dyDescent="0.25">
      <c r="A29" s="19"/>
      <c r="B29" s="19" t="s">
        <v>32</v>
      </c>
      <c r="C29" s="19" t="s">
        <v>2111</v>
      </c>
      <c r="D29" s="19" t="s">
        <v>2112</v>
      </c>
      <c r="E29" s="19" t="s">
        <v>2113</v>
      </c>
      <c r="F29" s="20">
        <v>2</v>
      </c>
      <c r="G29" s="20">
        <v>770</v>
      </c>
      <c r="H29" s="20">
        <v>30</v>
      </c>
      <c r="I29" s="20">
        <f t="shared" si="0"/>
        <v>740</v>
      </c>
      <c r="J29" s="19" t="s">
        <v>37</v>
      </c>
      <c r="K29" s="19" t="s">
        <v>37</v>
      </c>
      <c r="L29" s="19" t="s">
        <v>2051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1399</v>
      </c>
      <c r="D30" s="19" t="s">
        <v>2114</v>
      </c>
      <c r="E30" s="19" t="s">
        <v>2115</v>
      </c>
      <c r="F30" s="19" t="s">
        <v>124</v>
      </c>
      <c r="G30" s="20">
        <v>0</v>
      </c>
      <c r="H30" s="20">
        <v>20</v>
      </c>
      <c r="I30" s="20">
        <f t="shared" si="0"/>
        <v>-20</v>
      </c>
      <c r="J30" s="19" t="s">
        <v>37</v>
      </c>
      <c r="K30" s="19" t="s">
        <v>37</v>
      </c>
      <c r="L30" s="19" t="s">
        <v>2051</v>
      </c>
      <c r="M30" s="19"/>
      <c r="N30" s="19"/>
      <c r="O30" s="19"/>
      <c r="P30" s="19"/>
      <c r="Q30" s="19">
        <v>1</v>
      </c>
      <c r="R30" s="21">
        <f>H30</f>
        <v>20</v>
      </c>
    </row>
    <row r="31" spans="1:18" customFormat="1" x14ac:dyDescent="0.25">
      <c r="A31" s="19" t="s">
        <v>107</v>
      </c>
      <c r="B31" s="19" t="s">
        <v>32</v>
      </c>
      <c r="C31" s="19" t="s">
        <v>162</v>
      </c>
      <c r="D31" s="19"/>
      <c r="E31" s="19" t="s">
        <v>163</v>
      </c>
      <c r="F31" s="19" t="s">
        <v>117</v>
      </c>
      <c r="G31" s="20">
        <v>19290</v>
      </c>
      <c r="H31" s="20">
        <v>90</v>
      </c>
      <c r="I31" s="20">
        <f t="shared" si="0"/>
        <v>19200</v>
      </c>
      <c r="J31" s="19" t="s">
        <v>37</v>
      </c>
      <c r="K31" s="19" t="s">
        <v>37</v>
      </c>
      <c r="L31" s="19" t="s">
        <v>2051</v>
      </c>
      <c r="M31" s="19"/>
      <c r="N31" s="19"/>
      <c r="O31" s="19"/>
      <c r="P31" s="19"/>
      <c r="Q31" s="19">
        <v>1</v>
      </c>
    </row>
    <row r="32" spans="1:18" customFormat="1" x14ac:dyDescent="0.25">
      <c r="A32" s="19" t="s">
        <v>107</v>
      </c>
      <c r="B32" s="19" t="s">
        <v>32</v>
      </c>
      <c r="C32" s="19" t="s">
        <v>2116</v>
      </c>
      <c r="D32" s="19"/>
      <c r="E32" s="19" t="s">
        <v>491</v>
      </c>
      <c r="F32" s="19" t="s">
        <v>173</v>
      </c>
      <c r="G32" s="20">
        <v>0</v>
      </c>
      <c r="H32" s="20">
        <v>30</v>
      </c>
      <c r="I32" s="20">
        <f t="shared" si="0"/>
        <v>-30</v>
      </c>
      <c r="J32" s="19" t="s">
        <v>37</v>
      </c>
      <c r="K32" s="19" t="s">
        <v>37</v>
      </c>
      <c r="L32" s="19" t="s">
        <v>2051</v>
      </c>
      <c r="M32" s="19"/>
      <c r="N32" s="19"/>
      <c r="O32" s="19"/>
      <c r="P32" s="19"/>
      <c r="Q32" s="19">
        <v>1</v>
      </c>
      <c r="R32" s="21">
        <f>H32</f>
        <v>30</v>
      </c>
    </row>
    <row r="33" spans="1:18" customFormat="1" x14ac:dyDescent="0.25">
      <c r="A33" s="19"/>
      <c r="B33" s="19" t="s">
        <v>32</v>
      </c>
      <c r="C33" s="19" t="s">
        <v>2117</v>
      </c>
      <c r="D33" s="19" t="s">
        <v>2118</v>
      </c>
      <c r="E33" s="19" t="s">
        <v>2119</v>
      </c>
      <c r="F33" s="20">
        <v>5</v>
      </c>
      <c r="G33" s="20">
        <v>765</v>
      </c>
      <c r="H33" s="20">
        <v>25</v>
      </c>
      <c r="I33" s="20">
        <f t="shared" si="0"/>
        <v>740</v>
      </c>
      <c r="J33" s="19" t="s">
        <v>169</v>
      </c>
      <c r="K33" s="19" t="s">
        <v>37</v>
      </c>
      <c r="L33" s="19" t="s">
        <v>2051</v>
      </c>
      <c r="M33" s="19"/>
      <c r="N33" s="19"/>
      <c r="O33" s="19"/>
      <c r="P33" s="19"/>
      <c r="Q33" s="19">
        <v>1</v>
      </c>
    </row>
    <row r="34" spans="1:18" customFormat="1" x14ac:dyDescent="0.25">
      <c r="A34" s="19"/>
      <c r="B34" s="19" t="s">
        <v>32</v>
      </c>
      <c r="C34" s="19" t="s">
        <v>2120</v>
      </c>
      <c r="D34" s="19" t="s">
        <v>2121</v>
      </c>
      <c r="E34" s="19" t="s">
        <v>2122</v>
      </c>
      <c r="F34" s="20">
        <v>10</v>
      </c>
      <c r="G34" s="20">
        <v>865</v>
      </c>
      <c r="H34" s="20">
        <v>25</v>
      </c>
      <c r="I34" s="20">
        <f t="shared" si="0"/>
        <v>840</v>
      </c>
      <c r="J34" s="19" t="s">
        <v>169</v>
      </c>
      <c r="K34" s="19" t="s">
        <v>37</v>
      </c>
      <c r="L34" s="19" t="s">
        <v>2051</v>
      </c>
      <c r="M34" s="19"/>
      <c r="N34" s="19"/>
      <c r="O34" s="19"/>
      <c r="P34" s="19"/>
      <c r="Q34" s="19">
        <v>1</v>
      </c>
    </row>
    <row r="35" spans="1:18" customFormat="1" x14ac:dyDescent="0.25">
      <c r="A35" s="19"/>
      <c r="B35" s="19" t="s">
        <v>32</v>
      </c>
      <c r="C35" s="19" t="s">
        <v>2123</v>
      </c>
      <c r="D35" s="19" t="s">
        <v>2124</v>
      </c>
      <c r="E35" s="19" t="s">
        <v>2125</v>
      </c>
      <c r="F35" s="19" t="s">
        <v>173</v>
      </c>
      <c r="G35" s="20">
        <v>895</v>
      </c>
      <c r="H35" s="20">
        <v>25</v>
      </c>
      <c r="I35" s="20">
        <f t="shared" si="0"/>
        <v>870</v>
      </c>
      <c r="J35" s="19" t="s">
        <v>169</v>
      </c>
      <c r="K35" s="19" t="s">
        <v>37</v>
      </c>
      <c r="L35" s="19" t="s">
        <v>2051</v>
      </c>
      <c r="M35" s="19"/>
      <c r="N35" s="19"/>
      <c r="O35" s="19"/>
      <c r="P35" s="19"/>
      <c r="Q35" s="19">
        <v>1</v>
      </c>
    </row>
    <row r="36" spans="1:18" customFormat="1" x14ac:dyDescent="0.25">
      <c r="A36" s="19"/>
      <c r="B36" s="19" t="s">
        <v>32</v>
      </c>
      <c r="C36" s="19" t="s">
        <v>2126</v>
      </c>
      <c r="D36" s="19" t="s">
        <v>2127</v>
      </c>
      <c r="E36" s="19" t="s">
        <v>2128</v>
      </c>
      <c r="F36" s="20">
        <v>7</v>
      </c>
      <c r="G36" s="20">
        <v>850</v>
      </c>
      <c r="H36" s="20">
        <v>30</v>
      </c>
      <c r="I36" s="20">
        <f t="shared" si="0"/>
        <v>820</v>
      </c>
      <c r="J36" s="19" t="s">
        <v>169</v>
      </c>
      <c r="K36" s="19" t="s">
        <v>37</v>
      </c>
      <c r="L36" s="19" t="s">
        <v>2051</v>
      </c>
      <c r="M36" s="19"/>
      <c r="N36" s="19"/>
      <c r="O36" s="19"/>
      <c r="P36" s="19"/>
      <c r="Q36" s="19">
        <v>1</v>
      </c>
    </row>
    <row r="37" spans="1:18" customFormat="1" x14ac:dyDescent="0.25">
      <c r="A37" s="19"/>
      <c r="B37" s="19" t="s">
        <v>32</v>
      </c>
      <c r="C37" s="19" t="s">
        <v>2129</v>
      </c>
      <c r="D37" s="19" t="s">
        <v>2130</v>
      </c>
      <c r="E37" s="19" t="s">
        <v>2131</v>
      </c>
      <c r="F37" s="20">
        <v>7</v>
      </c>
      <c r="G37" s="20">
        <v>880</v>
      </c>
      <c r="H37" s="20">
        <v>30</v>
      </c>
      <c r="I37" s="20">
        <f t="shared" si="0"/>
        <v>850</v>
      </c>
      <c r="J37" s="19" t="s">
        <v>169</v>
      </c>
      <c r="K37" s="19" t="s">
        <v>37</v>
      </c>
      <c r="L37" s="19" t="s">
        <v>2051</v>
      </c>
      <c r="M37" s="19"/>
      <c r="N37" s="19"/>
      <c r="O37" s="19"/>
      <c r="P37" s="19"/>
      <c r="Q37" s="19">
        <v>1</v>
      </c>
    </row>
    <row r="38" spans="1:18" customFormat="1" x14ac:dyDescent="0.25">
      <c r="A38" s="19"/>
      <c r="B38" s="19" t="s">
        <v>32</v>
      </c>
      <c r="C38" s="19" t="s">
        <v>2132</v>
      </c>
      <c r="D38" s="19" t="s">
        <v>2133</v>
      </c>
      <c r="E38" s="19" t="s">
        <v>343</v>
      </c>
      <c r="F38" s="20">
        <v>1</v>
      </c>
      <c r="G38" s="20">
        <v>0</v>
      </c>
      <c r="H38" s="20">
        <v>25</v>
      </c>
      <c r="I38" s="20">
        <f t="shared" si="0"/>
        <v>-25</v>
      </c>
      <c r="J38" s="19" t="s">
        <v>169</v>
      </c>
      <c r="K38" s="19" t="s">
        <v>37</v>
      </c>
      <c r="L38" s="19" t="s">
        <v>2051</v>
      </c>
      <c r="M38" s="19"/>
      <c r="N38" s="19"/>
      <c r="O38" s="19"/>
      <c r="P38" s="19"/>
      <c r="Q38" s="19">
        <v>1</v>
      </c>
      <c r="R38" s="21">
        <f>H38</f>
        <v>25</v>
      </c>
    </row>
    <row r="39" spans="1:18" customFormat="1" x14ac:dyDescent="0.25">
      <c r="A39" s="19"/>
      <c r="B39" s="19" t="s">
        <v>32</v>
      </c>
      <c r="C39" s="19" t="s">
        <v>2134</v>
      </c>
      <c r="D39" s="19" t="s">
        <v>2135</v>
      </c>
      <c r="E39" s="19" t="s">
        <v>2136</v>
      </c>
      <c r="F39" s="20">
        <v>8</v>
      </c>
      <c r="G39" s="20">
        <v>1060</v>
      </c>
      <c r="H39" s="20">
        <v>30</v>
      </c>
      <c r="I39" s="20">
        <f t="shared" si="0"/>
        <v>1030</v>
      </c>
      <c r="J39" s="19" t="s">
        <v>169</v>
      </c>
      <c r="K39" s="19" t="s">
        <v>37</v>
      </c>
      <c r="L39" s="19" t="s">
        <v>2051</v>
      </c>
      <c r="M39" s="19"/>
      <c r="N39" s="19"/>
      <c r="O39" s="19"/>
      <c r="P39" s="19"/>
      <c r="Q39" s="19">
        <v>1</v>
      </c>
    </row>
    <row r="40" spans="1:18" customFormat="1" x14ac:dyDescent="0.25">
      <c r="A40" s="19"/>
      <c r="B40" s="19" t="s">
        <v>32</v>
      </c>
      <c r="C40" s="19" t="s">
        <v>2137</v>
      </c>
      <c r="D40" s="19" t="s">
        <v>2138</v>
      </c>
      <c r="E40" s="19" t="s">
        <v>2139</v>
      </c>
      <c r="F40" s="20">
        <v>7</v>
      </c>
      <c r="G40" s="20">
        <v>0</v>
      </c>
      <c r="H40" s="20">
        <v>30</v>
      </c>
      <c r="I40" s="20">
        <f t="shared" si="0"/>
        <v>-30</v>
      </c>
      <c r="J40" s="19" t="s">
        <v>169</v>
      </c>
      <c r="K40" s="19" t="s">
        <v>37</v>
      </c>
      <c r="L40" s="19" t="s">
        <v>2051</v>
      </c>
      <c r="M40" s="19"/>
      <c r="N40" s="19"/>
      <c r="O40" s="19"/>
      <c r="P40" s="19"/>
      <c r="Q40" s="19">
        <v>1</v>
      </c>
      <c r="R40" s="21">
        <f>H40</f>
        <v>30</v>
      </c>
    </row>
    <row r="41" spans="1:18" customFormat="1" x14ac:dyDescent="0.25">
      <c r="A41" s="19"/>
      <c r="B41" s="19" t="s">
        <v>32</v>
      </c>
      <c r="C41" s="19" t="s">
        <v>2140</v>
      </c>
      <c r="D41" s="19" t="s">
        <v>2141</v>
      </c>
      <c r="E41" s="19" t="s">
        <v>2142</v>
      </c>
      <c r="F41" s="20">
        <v>3</v>
      </c>
      <c r="G41" s="20">
        <v>765</v>
      </c>
      <c r="H41" s="20">
        <v>25</v>
      </c>
      <c r="I41" s="20">
        <f t="shared" si="0"/>
        <v>740</v>
      </c>
      <c r="J41" s="19" t="s">
        <v>169</v>
      </c>
      <c r="K41" s="19" t="s">
        <v>37</v>
      </c>
      <c r="L41" s="19" t="s">
        <v>2051</v>
      </c>
      <c r="M41" s="19"/>
      <c r="N41" s="19"/>
      <c r="O41" s="19"/>
      <c r="P41" s="19"/>
      <c r="Q41" s="19">
        <v>1</v>
      </c>
    </row>
    <row r="42" spans="1:18" customFormat="1" x14ac:dyDescent="0.25">
      <c r="A42" s="19"/>
      <c r="B42" s="19" t="s">
        <v>32</v>
      </c>
      <c r="C42" s="19" t="s">
        <v>2143</v>
      </c>
      <c r="D42" s="19" t="s">
        <v>2144</v>
      </c>
      <c r="E42" s="19" t="s">
        <v>2145</v>
      </c>
      <c r="F42" s="20">
        <v>10</v>
      </c>
      <c r="G42" s="20">
        <v>1635</v>
      </c>
      <c r="H42" s="20">
        <v>25</v>
      </c>
      <c r="I42" s="20">
        <f t="shared" si="0"/>
        <v>1610</v>
      </c>
      <c r="J42" s="19" t="s">
        <v>169</v>
      </c>
      <c r="K42" s="19" t="s">
        <v>37</v>
      </c>
      <c r="L42" s="19" t="s">
        <v>2051</v>
      </c>
      <c r="M42" s="19"/>
      <c r="N42" s="19"/>
      <c r="O42" s="19"/>
      <c r="P42" s="19"/>
      <c r="Q42" s="19">
        <v>1</v>
      </c>
    </row>
    <row r="43" spans="1:18" customFormat="1" x14ac:dyDescent="0.25">
      <c r="A43" s="19"/>
      <c r="B43" s="19" t="s">
        <v>32</v>
      </c>
      <c r="C43" s="19" t="s">
        <v>2146</v>
      </c>
      <c r="D43" s="19" t="s">
        <v>2147</v>
      </c>
      <c r="E43" s="19" t="s">
        <v>2148</v>
      </c>
      <c r="F43" s="20">
        <v>3</v>
      </c>
      <c r="G43" s="20">
        <v>845</v>
      </c>
      <c r="H43" s="20">
        <v>25</v>
      </c>
      <c r="I43" s="20">
        <f t="shared" si="0"/>
        <v>820</v>
      </c>
      <c r="J43" s="19" t="s">
        <v>169</v>
      </c>
      <c r="K43" s="19" t="s">
        <v>37</v>
      </c>
      <c r="L43" s="19" t="s">
        <v>2051</v>
      </c>
      <c r="M43" s="19"/>
      <c r="N43" s="19"/>
      <c r="O43" s="19"/>
      <c r="P43" s="19"/>
      <c r="Q43" s="19">
        <v>1</v>
      </c>
    </row>
    <row r="44" spans="1:18" customFormat="1" x14ac:dyDescent="0.25">
      <c r="A44" s="19"/>
      <c r="B44" s="19" t="s">
        <v>32</v>
      </c>
      <c r="C44" s="19" t="s">
        <v>331</v>
      </c>
      <c r="D44" s="19" t="s">
        <v>2149</v>
      </c>
      <c r="E44" s="19" t="s">
        <v>2150</v>
      </c>
      <c r="F44" s="20">
        <v>5</v>
      </c>
      <c r="G44" s="20">
        <v>2530</v>
      </c>
      <c r="H44" s="20">
        <v>30</v>
      </c>
      <c r="I44" s="20">
        <f t="shared" si="0"/>
        <v>2500</v>
      </c>
      <c r="J44" s="19" t="s">
        <v>169</v>
      </c>
      <c r="K44" s="19" t="s">
        <v>37</v>
      </c>
      <c r="L44" s="19" t="s">
        <v>2051</v>
      </c>
      <c r="M44" s="22" t="s">
        <v>183</v>
      </c>
      <c r="N44" s="19"/>
      <c r="O44" s="19"/>
      <c r="P44" s="19"/>
      <c r="Q44" s="19">
        <v>1</v>
      </c>
      <c r="R44" s="21">
        <f>H44</f>
        <v>30</v>
      </c>
    </row>
    <row r="45" spans="1:18" customFormat="1" x14ac:dyDescent="0.25">
      <c r="A45" s="19"/>
      <c r="B45" s="19" t="s">
        <v>32</v>
      </c>
      <c r="C45" s="19" t="s">
        <v>2151</v>
      </c>
      <c r="D45" s="19" t="s">
        <v>2152</v>
      </c>
      <c r="E45" s="19" t="s">
        <v>2153</v>
      </c>
      <c r="F45" s="20">
        <v>3</v>
      </c>
      <c r="G45" s="20">
        <v>855</v>
      </c>
      <c r="H45" s="20">
        <v>25</v>
      </c>
      <c r="I45" s="20">
        <f t="shared" si="0"/>
        <v>830</v>
      </c>
      <c r="J45" s="19" t="s">
        <v>169</v>
      </c>
      <c r="K45" s="19" t="s">
        <v>37</v>
      </c>
      <c r="L45" s="19" t="s">
        <v>2051</v>
      </c>
      <c r="M45" s="19"/>
      <c r="N45" s="19"/>
      <c r="O45" s="19"/>
      <c r="P45" s="19"/>
      <c r="Q45" s="19">
        <v>1</v>
      </c>
    </row>
    <row r="46" spans="1:18" customFormat="1" x14ac:dyDescent="0.25">
      <c r="A46" s="19"/>
      <c r="B46" s="19" t="s">
        <v>32</v>
      </c>
      <c r="C46" s="19" t="s">
        <v>2154</v>
      </c>
      <c r="D46" s="19" t="s">
        <v>2155</v>
      </c>
      <c r="E46" s="19" t="s">
        <v>813</v>
      </c>
      <c r="F46" s="20">
        <v>5</v>
      </c>
      <c r="G46" s="20">
        <v>2160</v>
      </c>
      <c r="H46" s="20">
        <v>30</v>
      </c>
      <c r="I46" s="20">
        <f t="shared" si="0"/>
        <v>2130</v>
      </c>
      <c r="J46" s="19" t="s">
        <v>169</v>
      </c>
      <c r="K46" s="19" t="s">
        <v>37</v>
      </c>
      <c r="L46" s="19" t="s">
        <v>2051</v>
      </c>
      <c r="M46" s="22" t="s">
        <v>183</v>
      </c>
      <c r="N46" s="19"/>
      <c r="O46" s="19"/>
      <c r="P46" s="19"/>
      <c r="Q46" s="19">
        <v>1</v>
      </c>
      <c r="R46" s="21">
        <f>H46</f>
        <v>30</v>
      </c>
    </row>
    <row r="47" spans="1:18" customFormat="1" x14ac:dyDescent="0.25">
      <c r="A47" s="19"/>
      <c r="B47" s="19" t="s">
        <v>32</v>
      </c>
      <c r="C47" s="19" t="s">
        <v>2156</v>
      </c>
      <c r="D47" s="19" t="s">
        <v>2157</v>
      </c>
      <c r="E47" s="19" t="s">
        <v>2158</v>
      </c>
      <c r="F47" s="20">
        <v>3</v>
      </c>
      <c r="G47" s="20">
        <v>575</v>
      </c>
      <c r="H47" s="20">
        <v>25</v>
      </c>
      <c r="I47" s="20">
        <f t="shared" si="0"/>
        <v>550</v>
      </c>
      <c r="J47" s="19" t="s">
        <v>169</v>
      </c>
      <c r="K47" s="19" t="s">
        <v>37</v>
      </c>
      <c r="L47" s="19" t="s">
        <v>2051</v>
      </c>
      <c r="M47" s="19"/>
      <c r="N47" s="19"/>
      <c r="O47" s="19"/>
      <c r="P47" s="19"/>
      <c r="Q47" s="19">
        <v>1</v>
      </c>
    </row>
    <row r="48" spans="1:18" customFormat="1" x14ac:dyDescent="0.25">
      <c r="A48" s="19"/>
      <c r="B48" s="19" t="s">
        <v>32</v>
      </c>
      <c r="C48" s="19" t="s">
        <v>2159</v>
      </c>
      <c r="D48" s="19" t="s">
        <v>2160</v>
      </c>
      <c r="E48" s="19" t="s">
        <v>2161</v>
      </c>
      <c r="F48" s="20">
        <v>10</v>
      </c>
      <c r="G48" s="20">
        <v>0</v>
      </c>
      <c r="H48" s="20">
        <v>25</v>
      </c>
      <c r="I48" s="20">
        <f t="shared" si="0"/>
        <v>-25</v>
      </c>
      <c r="J48" s="19" t="s">
        <v>169</v>
      </c>
      <c r="K48" s="19" t="s">
        <v>37</v>
      </c>
      <c r="L48" s="19" t="s">
        <v>2051</v>
      </c>
      <c r="M48" s="19"/>
      <c r="N48" s="19"/>
      <c r="O48" s="19"/>
      <c r="P48" s="19"/>
      <c r="Q48" s="19">
        <v>1</v>
      </c>
      <c r="R48" s="21">
        <f>H48</f>
        <v>25</v>
      </c>
    </row>
    <row r="49" spans="1:18" customFormat="1" x14ac:dyDescent="0.25">
      <c r="A49" s="19"/>
      <c r="B49" s="19" t="s">
        <v>32</v>
      </c>
      <c r="C49" s="19" t="s">
        <v>2162</v>
      </c>
      <c r="D49" s="19" t="s">
        <v>2163</v>
      </c>
      <c r="E49" s="19" t="s">
        <v>2164</v>
      </c>
      <c r="F49" s="19" t="s">
        <v>173</v>
      </c>
      <c r="G49" s="20">
        <v>765</v>
      </c>
      <c r="H49" s="20">
        <v>25</v>
      </c>
      <c r="I49" s="20">
        <f t="shared" si="0"/>
        <v>740</v>
      </c>
      <c r="J49" s="19" t="s">
        <v>169</v>
      </c>
      <c r="K49" s="19" t="s">
        <v>37</v>
      </c>
      <c r="L49" s="19" t="s">
        <v>2051</v>
      </c>
      <c r="M49" s="19"/>
      <c r="N49" s="19"/>
      <c r="O49" s="19"/>
      <c r="P49" s="19"/>
      <c r="Q49" s="19">
        <v>1</v>
      </c>
    </row>
    <row r="50" spans="1:18" s="26" customFormat="1" x14ac:dyDescent="0.25">
      <c r="A50" s="23"/>
      <c r="B50" s="23" t="s">
        <v>32</v>
      </c>
      <c r="C50" s="23" t="s">
        <v>2030</v>
      </c>
      <c r="D50" s="23" t="s">
        <v>2165</v>
      </c>
      <c r="E50" s="23" t="s">
        <v>2032</v>
      </c>
      <c r="F50" s="24">
        <v>7</v>
      </c>
      <c r="G50" s="24">
        <v>30</v>
      </c>
      <c r="H50" s="24">
        <v>30</v>
      </c>
      <c r="I50" s="24">
        <f t="shared" si="0"/>
        <v>0</v>
      </c>
      <c r="J50" s="23" t="s">
        <v>169</v>
      </c>
      <c r="K50" s="23" t="s">
        <v>37</v>
      </c>
      <c r="L50" s="23" t="s">
        <v>2051</v>
      </c>
      <c r="M50" s="23" t="s">
        <v>148</v>
      </c>
      <c r="N50" s="23"/>
      <c r="O50" s="23"/>
      <c r="P50" s="23"/>
      <c r="Q50" s="23">
        <v>1</v>
      </c>
    </row>
    <row r="51" spans="1:18" customFormat="1" x14ac:dyDescent="0.25">
      <c r="A51" s="19"/>
      <c r="B51" s="19" t="s">
        <v>32</v>
      </c>
      <c r="C51" s="19" t="s">
        <v>2166</v>
      </c>
      <c r="D51" s="19" t="s">
        <v>2167</v>
      </c>
      <c r="E51" s="19" t="s">
        <v>2168</v>
      </c>
      <c r="F51" s="19" t="s">
        <v>884</v>
      </c>
      <c r="G51" s="20">
        <v>585</v>
      </c>
      <c r="H51" s="20">
        <v>35</v>
      </c>
      <c r="I51" s="20">
        <f t="shared" si="0"/>
        <v>550</v>
      </c>
      <c r="J51" s="19" t="s">
        <v>169</v>
      </c>
      <c r="K51" s="19" t="s">
        <v>37</v>
      </c>
      <c r="L51" s="19" t="s">
        <v>2051</v>
      </c>
      <c r="M51" s="19"/>
      <c r="N51" s="19"/>
      <c r="O51" s="19"/>
      <c r="P51" s="19"/>
      <c r="Q51" s="19">
        <v>1</v>
      </c>
    </row>
    <row r="52" spans="1:18" customFormat="1" x14ac:dyDescent="0.25">
      <c r="A52" s="19"/>
      <c r="B52" s="19" t="s">
        <v>32</v>
      </c>
      <c r="C52" s="19" t="s">
        <v>2169</v>
      </c>
      <c r="D52" s="19" t="s">
        <v>2170</v>
      </c>
      <c r="E52" s="19" t="s">
        <v>2171</v>
      </c>
      <c r="F52" s="19" t="s">
        <v>317</v>
      </c>
      <c r="G52" s="20">
        <v>870</v>
      </c>
      <c r="H52" s="20">
        <v>20</v>
      </c>
      <c r="I52" s="20">
        <f t="shared" si="0"/>
        <v>850</v>
      </c>
      <c r="J52" s="19" t="s">
        <v>169</v>
      </c>
      <c r="K52" s="19" t="s">
        <v>37</v>
      </c>
      <c r="L52" s="19" t="s">
        <v>2051</v>
      </c>
      <c r="M52" s="19"/>
      <c r="N52" s="19"/>
      <c r="O52" s="19"/>
      <c r="P52" s="19"/>
      <c r="Q52" s="19">
        <v>1</v>
      </c>
    </row>
    <row r="53" spans="1:18" customFormat="1" x14ac:dyDescent="0.25">
      <c r="A53" s="19"/>
      <c r="B53" s="19" t="s">
        <v>32</v>
      </c>
      <c r="C53" s="19" t="s">
        <v>2172</v>
      </c>
      <c r="D53" s="19" t="s">
        <v>2173</v>
      </c>
      <c r="E53" s="19" t="s">
        <v>2174</v>
      </c>
      <c r="F53" s="20">
        <v>3</v>
      </c>
      <c r="G53" s="20">
        <v>865</v>
      </c>
      <c r="H53" s="20">
        <v>25</v>
      </c>
      <c r="I53" s="20">
        <f t="shared" si="0"/>
        <v>840</v>
      </c>
      <c r="J53" s="19" t="s">
        <v>169</v>
      </c>
      <c r="K53" s="19" t="s">
        <v>37</v>
      </c>
      <c r="L53" s="19" t="s">
        <v>2051</v>
      </c>
      <c r="M53" s="19"/>
      <c r="N53" s="19"/>
      <c r="O53" s="19"/>
      <c r="P53" s="19"/>
      <c r="Q53" s="19">
        <v>1</v>
      </c>
    </row>
    <row r="54" spans="1:18" customFormat="1" x14ac:dyDescent="0.25">
      <c r="A54" s="19"/>
      <c r="B54" s="19" t="s">
        <v>32</v>
      </c>
      <c r="C54" s="19" t="s">
        <v>2175</v>
      </c>
      <c r="D54" s="19" t="s">
        <v>2176</v>
      </c>
      <c r="E54" s="19" t="s">
        <v>2177</v>
      </c>
      <c r="F54" s="20">
        <v>4</v>
      </c>
      <c r="G54" s="20">
        <v>0</v>
      </c>
      <c r="H54" s="20">
        <v>25</v>
      </c>
      <c r="I54" s="20">
        <f t="shared" si="0"/>
        <v>-25</v>
      </c>
      <c r="J54" s="19" t="s">
        <v>169</v>
      </c>
      <c r="K54" s="19" t="s">
        <v>37</v>
      </c>
      <c r="L54" s="19" t="s">
        <v>2051</v>
      </c>
      <c r="M54" s="19"/>
      <c r="N54" s="19"/>
      <c r="O54" s="19"/>
      <c r="P54" s="19"/>
      <c r="Q54" s="19">
        <v>1</v>
      </c>
      <c r="R54" s="21">
        <f>H54</f>
        <v>25</v>
      </c>
    </row>
    <row r="55" spans="1:18" customFormat="1" x14ac:dyDescent="0.25">
      <c r="A55" s="19"/>
      <c r="B55" s="19" t="s">
        <v>32</v>
      </c>
      <c r="C55" s="19" t="s">
        <v>2178</v>
      </c>
      <c r="D55" s="19" t="s">
        <v>2179</v>
      </c>
      <c r="E55" s="19" t="s">
        <v>2180</v>
      </c>
      <c r="F55" s="20">
        <v>4</v>
      </c>
      <c r="G55" s="20">
        <v>875</v>
      </c>
      <c r="H55" s="20">
        <v>25</v>
      </c>
      <c r="I55" s="20">
        <f t="shared" si="0"/>
        <v>850</v>
      </c>
      <c r="J55" s="19" t="s">
        <v>169</v>
      </c>
      <c r="K55" s="19" t="s">
        <v>37</v>
      </c>
      <c r="L55" s="19" t="s">
        <v>2051</v>
      </c>
      <c r="M55" s="19"/>
      <c r="N55" s="19"/>
      <c r="O55" s="19"/>
      <c r="P55" s="19"/>
      <c r="Q55" s="19">
        <v>1</v>
      </c>
    </row>
    <row r="56" spans="1:18" customFormat="1" x14ac:dyDescent="0.25">
      <c r="A56" s="19"/>
      <c r="B56" s="19" t="s">
        <v>32</v>
      </c>
      <c r="C56" s="19" t="s">
        <v>2181</v>
      </c>
      <c r="D56" s="19" t="s">
        <v>2182</v>
      </c>
      <c r="E56" s="19" t="s">
        <v>2183</v>
      </c>
      <c r="F56" s="19" t="s">
        <v>173</v>
      </c>
      <c r="G56" s="20">
        <v>835</v>
      </c>
      <c r="H56" s="20">
        <v>25</v>
      </c>
      <c r="I56" s="20">
        <f t="shared" si="0"/>
        <v>810</v>
      </c>
      <c r="J56" s="19" t="s">
        <v>169</v>
      </c>
      <c r="K56" s="19" t="s">
        <v>37</v>
      </c>
      <c r="L56" s="19" t="s">
        <v>2051</v>
      </c>
      <c r="M56" s="19"/>
      <c r="N56" s="19"/>
      <c r="O56" s="19"/>
      <c r="P56" s="19"/>
      <c r="Q56" s="19">
        <v>1</v>
      </c>
    </row>
    <row r="57" spans="1:18" customFormat="1" x14ac:dyDescent="0.25">
      <c r="A57" s="19" t="s">
        <v>107</v>
      </c>
      <c r="B57" s="19" t="s">
        <v>32</v>
      </c>
      <c r="C57" s="19" t="s">
        <v>968</v>
      </c>
      <c r="D57" s="19"/>
      <c r="E57" s="19" t="s">
        <v>2184</v>
      </c>
      <c r="F57" s="19" t="s">
        <v>173</v>
      </c>
      <c r="G57" s="20">
        <v>0</v>
      </c>
      <c r="H57" s="20">
        <v>30</v>
      </c>
      <c r="I57" s="20">
        <f t="shared" si="0"/>
        <v>-30</v>
      </c>
      <c r="J57" s="19" t="s">
        <v>169</v>
      </c>
      <c r="K57" s="19" t="s">
        <v>37</v>
      </c>
      <c r="L57" s="19" t="s">
        <v>2051</v>
      </c>
      <c r="M57" s="19"/>
      <c r="N57" s="19"/>
      <c r="O57" s="19"/>
      <c r="P57" s="19"/>
      <c r="Q57" s="19">
        <v>1</v>
      </c>
      <c r="R57" s="21">
        <f t="shared" ref="R57:R58" si="5">H57</f>
        <v>30</v>
      </c>
    </row>
    <row r="58" spans="1:18" customFormat="1" x14ac:dyDescent="0.25">
      <c r="A58" s="19" t="s">
        <v>107</v>
      </c>
      <c r="B58" s="19" t="s">
        <v>32</v>
      </c>
      <c r="C58" s="19" t="s">
        <v>2185</v>
      </c>
      <c r="D58" s="19"/>
      <c r="E58" s="19" t="s">
        <v>1465</v>
      </c>
      <c r="F58" s="20">
        <v>5</v>
      </c>
      <c r="G58" s="20">
        <v>0</v>
      </c>
      <c r="H58" s="20">
        <v>30</v>
      </c>
      <c r="I58" s="20">
        <f t="shared" si="0"/>
        <v>-30</v>
      </c>
      <c r="J58" s="19" t="s">
        <v>169</v>
      </c>
      <c r="K58" s="19" t="s">
        <v>37</v>
      </c>
      <c r="L58" s="19" t="s">
        <v>2051</v>
      </c>
      <c r="M58" s="19"/>
      <c r="N58" s="19"/>
      <c r="O58" s="19"/>
      <c r="P58" s="19"/>
      <c r="Q58" s="19">
        <v>1</v>
      </c>
      <c r="R58" s="21">
        <f t="shared" si="5"/>
        <v>30</v>
      </c>
    </row>
    <row r="60" spans="1:18" x14ac:dyDescent="0.25">
      <c r="G60" s="1">
        <f t="shared" ref="G60:R60" si="6">SUBTOTAL(9,G3:G58)</f>
        <v>54545</v>
      </c>
      <c r="H60" s="1">
        <f t="shared" si="6"/>
        <v>1530</v>
      </c>
      <c r="I60" s="1">
        <f t="shared" si="6"/>
        <v>53015</v>
      </c>
      <c r="J60" s="1">
        <f t="shared" si="6"/>
        <v>0</v>
      </c>
      <c r="K60" s="1">
        <f t="shared" si="6"/>
        <v>0</v>
      </c>
      <c r="L60" s="1">
        <f t="shared" si="6"/>
        <v>0</v>
      </c>
      <c r="M60" s="1">
        <f t="shared" si="6"/>
        <v>0</v>
      </c>
      <c r="N60" s="1">
        <f t="shared" si="6"/>
        <v>0</v>
      </c>
      <c r="O60" s="1">
        <f t="shared" si="6"/>
        <v>0</v>
      </c>
      <c r="P60" s="1">
        <f t="shared" si="6"/>
        <v>0</v>
      </c>
      <c r="Q60" s="1">
        <f t="shared" si="6"/>
        <v>56</v>
      </c>
      <c r="R60" s="1">
        <f t="shared" si="6"/>
        <v>625</v>
      </c>
    </row>
    <row r="64" spans="1:18" ht="20.25" customHeight="1" x14ac:dyDescent="0.3">
      <c r="H64" s="4" t="s">
        <v>1968</v>
      </c>
      <c r="I64" s="5" t="s">
        <v>15</v>
      </c>
      <c r="J64" s="6" t="s">
        <v>16</v>
      </c>
    </row>
    <row r="65" spans="1:12" ht="15.75" customHeight="1" x14ac:dyDescent="0.25">
      <c r="H65" s="7" t="s">
        <v>17</v>
      </c>
      <c r="I65" s="8">
        <f>SUM(I59:I63)</f>
        <v>53015</v>
      </c>
      <c r="J65" s="8">
        <f>Q60</f>
        <v>56</v>
      </c>
    </row>
    <row r="66" spans="1:12" x14ac:dyDescent="0.25">
      <c r="H66" s="9" t="s">
        <v>18</v>
      </c>
      <c r="I66" s="10">
        <f>R60</f>
        <v>625</v>
      </c>
      <c r="J66" s="11"/>
    </row>
    <row r="67" spans="1:12" x14ac:dyDescent="0.25">
      <c r="H67" s="9" t="s">
        <v>19</v>
      </c>
      <c r="I67" s="10">
        <f>S59</f>
        <v>0</v>
      </c>
      <c r="J67" s="11"/>
    </row>
    <row r="68" spans="1:12" x14ac:dyDescent="0.25">
      <c r="H68" s="9" t="s">
        <v>20</v>
      </c>
      <c r="I68" s="10">
        <f>T59</f>
        <v>0</v>
      </c>
      <c r="J68" s="11"/>
    </row>
    <row r="69" spans="1:12" x14ac:dyDescent="0.25">
      <c r="H69" s="9" t="s">
        <v>21</v>
      </c>
      <c r="I69" s="10">
        <f>U59</f>
        <v>0</v>
      </c>
      <c r="J69" s="11"/>
    </row>
    <row r="70" spans="1:12" ht="15.75" customHeight="1" x14ac:dyDescent="0.25">
      <c r="H70" s="12" t="s">
        <v>22</v>
      </c>
      <c r="I70" s="13"/>
      <c r="J70" s="13"/>
    </row>
    <row r="71" spans="1:12" ht="15.75" customHeight="1" x14ac:dyDescent="0.25">
      <c r="H71" s="14" t="s">
        <v>23</v>
      </c>
      <c r="I71" s="13"/>
      <c r="J71" s="13"/>
    </row>
    <row r="72" spans="1:12" ht="21" customHeight="1" x14ac:dyDescent="0.35">
      <c r="H72" s="15" t="s">
        <v>24</v>
      </c>
      <c r="I72" s="16">
        <f>SUM(I65:I71)</f>
        <v>53640</v>
      </c>
      <c r="J72" s="16">
        <f>SUM(J65:J69)</f>
        <v>56</v>
      </c>
    </row>
    <row r="73" spans="1:12" x14ac:dyDescent="0.25">
      <c r="A73" s="1" t="s">
        <v>199</v>
      </c>
    </row>
    <row r="74" spans="1:12" x14ac:dyDescent="0.25">
      <c r="A74" s="27" t="s">
        <v>32</v>
      </c>
      <c r="B74" s="27" t="s">
        <v>2067</v>
      </c>
      <c r="C74" s="27" t="s">
        <v>2068</v>
      </c>
      <c r="D74" s="27" t="s">
        <v>2069</v>
      </c>
      <c r="E74" s="27" t="s">
        <v>88</v>
      </c>
      <c r="F74" s="28">
        <v>625</v>
      </c>
      <c r="G74" s="28">
        <v>0</v>
      </c>
      <c r="H74" s="28">
        <f t="shared" ref="H74" si="7">F74-G74</f>
        <v>625</v>
      </c>
      <c r="I74" s="27" t="s">
        <v>2050</v>
      </c>
      <c r="J74" s="27" t="s">
        <v>37</v>
      </c>
      <c r="K74" s="27" t="s">
        <v>2051</v>
      </c>
      <c r="L74" s="40" t="s">
        <v>2186</v>
      </c>
    </row>
  </sheetData>
  <autoFilter ref="A2:P58" xr:uid="{00000000-0009-0000-0000-000006000000}">
    <sortState xmlns:xlrd2="http://schemas.microsoft.com/office/spreadsheetml/2017/richdata2" ref="A3:P58">
      <sortCondition ref="J2:J58"/>
    </sortState>
  </autoFilter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10C2-D9E9-4B51-8F45-15FB49E663A7}">
  <dimension ref="A1:R57"/>
  <sheetViews>
    <sheetView topLeftCell="A23" zoomScale="82" zoomScaleNormal="80" workbookViewId="0">
      <selection activeCell="I50" sqref="I50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448</v>
      </c>
      <c r="C1" s="1" t="s">
        <v>2045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26" customFormat="1" x14ac:dyDescent="0.25">
      <c r="A3" s="23"/>
      <c r="B3" s="23" t="s">
        <v>32</v>
      </c>
      <c r="C3" s="23" t="s">
        <v>2055</v>
      </c>
      <c r="D3" s="23" t="s">
        <v>2189</v>
      </c>
      <c r="E3" s="23" t="s">
        <v>2057</v>
      </c>
      <c r="F3" s="24">
        <v>11</v>
      </c>
      <c r="G3" s="24">
        <v>25</v>
      </c>
      <c r="H3" s="24">
        <v>25</v>
      </c>
      <c r="I3" s="24">
        <f t="shared" ref="I3:I43" si="0">G3-H3</f>
        <v>0</v>
      </c>
      <c r="J3" s="23" t="s">
        <v>2190</v>
      </c>
      <c r="K3" s="23" t="s">
        <v>37</v>
      </c>
      <c r="L3" s="23" t="s">
        <v>2191</v>
      </c>
      <c r="M3" s="23" t="s">
        <v>148</v>
      </c>
      <c r="N3" s="23"/>
      <c r="O3" s="23"/>
      <c r="P3" s="23"/>
      <c r="Q3" s="23">
        <v>1</v>
      </c>
    </row>
    <row r="4" spans="1:18" customFormat="1" x14ac:dyDescent="0.25">
      <c r="A4" s="19"/>
      <c r="B4" s="19" t="s">
        <v>32</v>
      </c>
      <c r="C4" s="19" t="s">
        <v>2192</v>
      </c>
      <c r="D4" s="19" t="s">
        <v>2193</v>
      </c>
      <c r="E4" s="19" t="s">
        <v>2054</v>
      </c>
      <c r="F4" s="19" t="s">
        <v>62</v>
      </c>
      <c r="G4" s="20">
        <v>1435</v>
      </c>
      <c r="H4" s="20">
        <v>25</v>
      </c>
      <c r="I4" s="20">
        <f t="shared" si="0"/>
        <v>1410</v>
      </c>
      <c r="J4" s="19" t="s">
        <v>2190</v>
      </c>
      <c r="K4" s="19" t="s">
        <v>37</v>
      </c>
      <c r="L4" s="19" t="s">
        <v>2191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2194</v>
      </c>
      <c r="D5" s="19" t="s">
        <v>2195</v>
      </c>
      <c r="E5" s="19" t="s">
        <v>2196</v>
      </c>
      <c r="F5" s="19" t="s">
        <v>62</v>
      </c>
      <c r="G5" s="20">
        <v>1985</v>
      </c>
      <c r="H5" s="20">
        <v>25</v>
      </c>
      <c r="I5" s="20">
        <f t="shared" si="0"/>
        <v>1960</v>
      </c>
      <c r="J5" s="19" t="s">
        <v>2190</v>
      </c>
      <c r="K5" s="19" t="s">
        <v>37</v>
      </c>
      <c r="L5" s="19" t="s">
        <v>2191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773</v>
      </c>
      <c r="D6" s="19" t="s">
        <v>2197</v>
      </c>
      <c r="E6" s="19" t="s">
        <v>2198</v>
      </c>
      <c r="F6" s="19" t="s">
        <v>45</v>
      </c>
      <c r="G6" s="20">
        <v>0</v>
      </c>
      <c r="H6" s="20">
        <v>30</v>
      </c>
      <c r="I6" s="20">
        <f t="shared" si="0"/>
        <v>-30</v>
      </c>
      <c r="J6" s="19" t="s">
        <v>2190</v>
      </c>
      <c r="K6" s="19" t="s">
        <v>37</v>
      </c>
      <c r="L6" s="19" t="s">
        <v>2191</v>
      </c>
      <c r="M6" s="19"/>
      <c r="N6" s="19"/>
      <c r="O6" s="19"/>
      <c r="P6" s="19"/>
      <c r="Q6" s="19">
        <v>1</v>
      </c>
      <c r="R6" s="21">
        <f>H6</f>
        <v>30</v>
      </c>
    </row>
    <row r="7" spans="1:18" customFormat="1" x14ac:dyDescent="0.25">
      <c r="A7" s="19"/>
      <c r="B7" s="19" t="s">
        <v>32</v>
      </c>
      <c r="C7" s="19" t="s">
        <v>2199</v>
      </c>
      <c r="D7" s="19" t="s">
        <v>2200</v>
      </c>
      <c r="E7" s="19" t="s">
        <v>2201</v>
      </c>
      <c r="F7" s="19" t="s">
        <v>45</v>
      </c>
      <c r="G7" s="20">
        <v>1590</v>
      </c>
      <c r="H7" s="20">
        <v>30</v>
      </c>
      <c r="I7" s="20">
        <f t="shared" si="0"/>
        <v>1560</v>
      </c>
      <c r="J7" s="19" t="s">
        <v>2190</v>
      </c>
      <c r="K7" s="19" t="s">
        <v>37</v>
      </c>
      <c r="L7" s="19" t="s">
        <v>2191</v>
      </c>
      <c r="M7" s="19"/>
      <c r="N7" s="19"/>
      <c r="O7" s="19"/>
      <c r="P7" s="19"/>
      <c r="Q7" s="19">
        <v>1</v>
      </c>
    </row>
    <row r="8" spans="1:18" customFormat="1" x14ac:dyDescent="0.25">
      <c r="A8" s="19"/>
      <c r="B8" s="19" t="s">
        <v>32</v>
      </c>
      <c r="C8" s="19" t="s">
        <v>2202</v>
      </c>
      <c r="D8" s="19" t="s">
        <v>2203</v>
      </c>
      <c r="E8" s="19" t="s">
        <v>2204</v>
      </c>
      <c r="F8" s="19" t="s">
        <v>45</v>
      </c>
      <c r="G8" s="20">
        <v>1620</v>
      </c>
      <c r="H8" s="20">
        <v>30</v>
      </c>
      <c r="I8" s="20">
        <f t="shared" si="0"/>
        <v>1590</v>
      </c>
      <c r="J8" s="19" t="s">
        <v>2190</v>
      </c>
      <c r="K8" s="19" t="s">
        <v>37</v>
      </c>
      <c r="L8" s="19" t="s">
        <v>2191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2205</v>
      </c>
      <c r="D9" s="19" t="s">
        <v>2206</v>
      </c>
      <c r="E9" s="19" t="s">
        <v>2207</v>
      </c>
      <c r="F9" s="19" t="s">
        <v>45</v>
      </c>
      <c r="G9" s="20">
        <v>0</v>
      </c>
      <c r="H9" s="20">
        <v>30</v>
      </c>
      <c r="I9" s="20">
        <f t="shared" si="0"/>
        <v>-30</v>
      </c>
      <c r="J9" s="19" t="s">
        <v>2190</v>
      </c>
      <c r="K9" s="19" t="s">
        <v>37</v>
      </c>
      <c r="L9" s="19" t="s">
        <v>2191</v>
      </c>
      <c r="M9" s="19"/>
      <c r="N9" s="19"/>
      <c r="O9" s="19"/>
      <c r="P9" s="19"/>
      <c r="Q9" s="19">
        <v>1</v>
      </c>
      <c r="R9" s="21">
        <f>H9</f>
        <v>30</v>
      </c>
    </row>
    <row r="10" spans="1:18" customFormat="1" x14ac:dyDescent="0.25">
      <c r="A10" s="19" t="s">
        <v>107</v>
      </c>
      <c r="B10" s="19" t="s">
        <v>32</v>
      </c>
      <c r="C10" s="19" t="s">
        <v>112</v>
      </c>
      <c r="D10" s="19"/>
      <c r="E10" s="19" t="s">
        <v>113</v>
      </c>
      <c r="F10" s="20">
        <v>6</v>
      </c>
      <c r="G10" s="20">
        <v>40</v>
      </c>
      <c r="H10" s="20">
        <v>40</v>
      </c>
      <c r="I10" s="20">
        <f t="shared" si="0"/>
        <v>0</v>
      </c>
      <c r="J10" s="19" t="s">
        <v>2190</v>
      </c>
      <c r="K10" s="19" t="s">
        <v>37</v>
      </c>
      <c r="L10" s="19" t="s">
        <v>2191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2208</v>
      </c>
      <c r="D11" s="19" t="s">
        <v>2209</v>
      </c>
      <c r="E11" s="19" t="s">
        <v>2210</v>
      </c>
      <c r="F11" s="19" t="s">
        <v>124</v>
      </c>
      <c r="G11" s="20">
        <v>1920</v>
      </c>
      <c r="H11" s="20">
        <v>20</v>
      </c>
      <c r="I11" s="20">
        <f t="shared" si="0"/>
        <v>1900</v>
      </c>
      <c r="J11" s="19" t="s">
        <v>37</v>
      </c>
      <c r="K11" s="19" t="s">
        <v>37</v>
      </c>
      <c r="L11" s="19" t="s">
        <v>2191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2211</v>
      </c>
      <c r="D12" s="19" t="s">
        <v>2212</v>
      </c>
      <c r="E12" s="19" t="s">
        <v>2213</v>
      </c>
      <c r="F12" s="19" t="s">
        <v>138</v>
      </c>
      <c r="G12" s="20">
        <v>0</v>
      </c>
      <c r="H12" s="20">
        <v>30</v>
      </c>
      <c r="I12" s="20">
        <f t="shared" si="0"/>
        <v>-30</v>
      </c>
      <c r="J12" s="19" t="s">
        <v>37</v>
      </c>
      <c r="K12" s="19" t="s">
        <v>37</v>
      </c>
      <c r="L12" s="19" t="s">
        <v>2191</v>
      </c>
      <c r="M12" s="19"/>
      <c r="N12" s="19"/>
      <c r="O12" s="19"/>
      <c r="P12" s="19"/>
      <c r="Q12" s="19">
        <v>1</v>
      </c>
      <c r="R12" s="21">
        <f>H12</f>
        <v>30</v>
      </c>
    </row>
    <row r="13" spans="1:18" customFormat="1" x14ac:dyDescent="0.25">
      <c r="A13" s="19"/>
      <c r="B13" s="19" t="s">
        <v>32</v>
      </c>
      <c r="C13" s="19" t="s">
        <v>1832</v>
      </c>
      <c r="D13" s="19" t="s">
        <v>2214</v>
      </c>
      <c r="E13" s="19" t="s">
        <v>2215</v>
      </c>
      <c r="F13" s="20">
        <v>2</v>
      </c>
      <c r="G13" s="20">
        <v>850</v>
      </c>
      <c r="H13" s="20">
        <v>30</v>
      </c>
      <c r="I13" s="20">
        <f t="shared" si="0"/>
        <v>820</v>
      </c>
      <c r="J13" s="19" t="s">
        <v>37</v>
      </c>
      <c r="K13" s="19" t="s">
        <v>37</v>
      </c>
      <c r="L13" s="19" t="s">
        <v>2191</v>
      </c>
      <c r="M13" s="19"/>
      <c r="N13" s="19"/>
      <c r="O13" s="19"/>
      <c r="P13" s="19"/>
      <c r="Q13" s="19">
        <v>1</v>
      </c>
    </row>
    <row r="14" spans="1:18" customFormat="1" x14ac:dyDescent="0.25">
      <c r="A14" s="19"/>
      <c r="B14" s="19" t="s">
        <v>32</v>
      </c>
      <c r="C14" s="19" t="s">
        <v>2216</v>
      </c>
      <c r="D14" s="19" t="s">
        <v>2217</v>
      </c>
      <c r="E14" s="19" t="s">
        <v>2218</v>
      </c>
      <c r="F14" s="19" t="s">
        <v>117</v>
      </c>
      <c r="G14" s="20">
        <v>835</v>
      </c>
      <c r="H14" s="20">
        <v>25</v>
      </c>
      <c r="I14" s="20">
        <f t="shared" si="0"/>
        <v>810</v>
      </c>
      <c r="J14" s="19" t="s">
        <v>37</v>
      </c>
      <c r="K14" s="19" t="s">
        <v>37</v>
      </c>
      <c r="L14" s="19" t="s">
        <v>2191</v>
      </c>
      <c r="M14" s="19"/>
      <c r="N14" s="19"/>
      <c r="O14" s="19"/>
      <c r="P14" s="19"/>
      <c r="Q14" s="19">
        <v>1</v>
      </c>
    </row>
    <row r="15" spans="1:18" customFormat="1" x14ac:dyDescent="0.25">
      <c r="A15" s="19"/>
      <c r="B15" s="19" t="s">
        <v>32</v>
      </c>
      <c r="C15" s="19" t="s">
        <v>1390</v>
      </c>
      <c r="D15" s="19" t="s">
        <v>2219</v>
      </c>
      <c r="E15" s="19" t="s">
        <v>1392</v>
      </c>
      <c r="F15" s="19" t="s">
        <v>124</v>
      </c>
      <c r="G15" s="20">
        <v>0</v>
      </c>
      <c r="H15" s="20">
        <v>20</v>
      </c>
      <c r="I15" s="20">
        <f t="shared" si="0"/>
        <v>-20</v>
      </c>
      <c r="J15" s="19" t="s">
        <v>37</v>
      </c>
      <c r="K15" s="19" t="s">
        <v>37</v>
      </c>
      <c r="L15" s="19" t="s">
        <v>2191</v>
      </c>
      <c r="M15" s="19"/>
      <c r="N15" s="19"/>
      <c r="O15" s="19"/>
      <c r="P15" s="19"/>
      <c r="Q15" s="19">
        <v>1</v>
      </c>
      <c r="R15" s="21">
        <f t="shared" ref="R15:R16" si="1">H15</f>
        <v>20</v>
      </c>
    </row>
    <row r="16" spans="1:18" customFormat="1" x14ac:dyDescent="0.25">
      <c r="A16" s="19"/>
      <c r="B16" s="19" t="s">
        <v>32</v>
      </c>
      <c r="C16" s="19" t="s">
        <v>2220</v>
      </c>
      <c r="D16" s="19" t="s">
        <v>2221</v>
      </c>
      <c r="E16" s="19" t="s">
        <v>2222</v>
      </c>
      <c r="F16" s="19" t="s">
        <v>173</v>
      </c>
      <c r="G16" s="20">
        <v>0</v>
      </c>
      <c r="H16" s="20">
        <v>25</v>
      </c>
      <c r="I16" s="20">
        <f t="shared" si="0"/>
        <v>-25</v>
      </c>
      <c r="J16" s="19" t="s">
        <v>37</v>
      </c>
      <c r="K16" s="19" t="s">
        <v>37</v>
      </c>
      <c r="L16" s="19" t="s">
        <v>2191</v>
      </c>
      <c r="M16" s="19"/>
      <c r="N16" s="19"/>
      <c r="O16" s="19"/>
      <c r="P16" s="19"/>
      <c r="Q16" s="19">
        <v>1</v>
      </c>
      <c r="R16" s="21">
        <f t="shared" si="1"/>
        <v>25</v>
      </c>
    </row>
    <row r="17" spans="1:18" customFormat="1" x14ac:dyDescent="0.25">
      <c r="A17" s="19"/>
      <c r="B17" s="19" t="s">
        <v>32</v>
      </c>
      <c r="C17" s="19" t="s">
        <v>1034</v>
      </c>
      <c r="D17" s="19" t="s">
        <v>2223</v>
      </c>
      <c r="E17" s="19" t="s">
        <v>2224</v>
      </c>
      <c r="F17" s="19" t="s">
        <v>124</v>
      </c>
      <c r="G17" s="20">
        <v>2630</v>
      </c>
      <c r="H17" s="20">
        <v>25</v>
      </c>
      <c r="I17" s="20">
        <f t="shared" si="0"/>
        <v>2605</v>
      </c>
      <c r="J17" s="19" t="s">
        <v>37</v>
      </c>
      <c r="K17" s="19" t="s">
        <v>37</v>
      </c>
      <c r="L17" s="19" t="s">
        <v>2191</v>
      </c>
      <c r="M17" s="19"/>
      <c r="N17" s="19"/>
      <c r="O17" s="19"/>
      <c r="P17" s="19"/>
      <c r="Q17" s="19">
        <v>1</v>
      </c>
    </row>
    <row r="18" spans="1:18" customFormat="1" x14ac:dyDescent="0.25">
      <c r="A18" s="19"/>
      <c r="B18" s="19" t="s">
        <v>32</v>
      </c>
      <c r="C18" s="19" t="s">
        <v>1523</v>
      </c>
      <c r="D18" s="19" t="s">
        <v>2225</v>
      </c>
      <c r="E18" s="19" t="s">
        <v>2005</v>
      </c>
      <c r="F18" s="19" t="s">
        <v>124</v>
      </c>
      <c r="G18" s="20">
        <v>0</v>
      </c>
      <c r="H18" s="20">
        <v>20</v>
      </c>
      <c r="I18" s="20">
        <f t="shared" si="0"/>
        <v>-20</v>
      </c>
      <c r="J18" s="19" t="s">
        <v>37</v>
      </c>
      <c r="K18" s="19" t="s">
        <v>37</v>
      </c>
      <c r="L18" s="19" t="s">
        <v>2191</v>
      </c>
      <c r="M18" s="19"/>
      <c r="N18" s="19"/>
      <c r="O18" s="19"/>
      <c r="P18" s="19"/>
      <c r="Q18" s="19">
        <v>1</v>
      </c>
      <c r="R18" s="21">
        <f>H18</f>
        <v>20</v>
      </c>
    </row>
    <row r="19" spans="1:18" customFormat="1" x14ac:dyDescent="0.25">
      <c r="A19" s="19"/>
      <c r="B19" s="19" t="s">
        <v>32</v>
      </c>
      <c r="C19" s="19" t="s">
        <v>2226</v>
      </c>
      <c r="D19" s="19" t="s">
        <v>2227</v>
      </c>
      <c r="E19" s="19" t="s">
        <v>2228</v>
      </c>
      <c r="F19" s="20">
        <v>2</v>
      </c>
      <c r="G19" s="20">
        <v>1470</v>
      </c>
      <c r="H19" s="20">
        <v>30</v>
      </c>
      <c r="I19" s="20">
        <f t="shared" si="0"/>
        <v>1440</v>
      </c>
      <c r="J19" s="19" t="s">
        <v>37</v>
      </c>
      <c r="K19" s="19" t="s">
        <v>37</v>
      </c>
      <c r="L19" s="19" t="s">
        <v>2191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19" t="s">
        <v>1844</v>
      </c>
      <c r="D20" s="19" t="s">
        <v>2229</v>
      </c>
      <c r="E20" s="19" t="s">
        <v>2230</v>
      </c>
      <c r="F20" s="20">
        <v>2</v>
      </c>
      <c r="G20" s="20">
        <v>770</v>
      </c>
      <c r="H20" s="20">
        <v>30</v>
      </c>
      <c r="I20" s="20">
        <f t="shared" si="0"/>
        <v>740</v>
      </c>
      <c r="J20" s="19" t="s">
        <v>37</v>
      </c>
      <c r="K20" s="19" t="s">
        <v>37</v>
      </c>
      <c r="L20" s="19" t="s">
        <v>2191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2231</v>
      </c>
      <c r="D21" s="19" t="s">
        <v>2232</v>
      </c>
      <c r="E21" s="19" t="s">
        <v>2233</v>
      </c>
      <c r="F21" s="19" t="s">
        <v>138</v>
      </c>
      <c r="G21" s="20">
        <v>0</v>
      </c>
      <c r="H21" s="20">
        <v>30</v>
      </c>
      <c r="I21" s="20">
        <f t="shared" si="0"/>
        <v>-30</v>
      </c>
      <c r="J21" s="19" t="s">
        <v>37</v>
      </c>
      <c r="K21" s="19" t="s">
        <v>37</v>
      </c>
      <c r="L21" s="19" t="s">
        <v>2191</v>
      </c>
      <c r="M21" s="19"/>
      <c r="N21" s="19"/>
      <c r="O21" s="19"/>
      <c r="P21" s="19"/>
      <c r="Q21" s="19">
        <v>1</v>
      </c>
      <c r="R21" s="21">
        <f>H21</f>
        <v>30</v>
      </c>
    </row>
    <row r="22" spans="1:18" customFormat="1" x14ac:dyDescent="0.25">
      <c r="A22" s="19"/>
      <c r="B22" s="19" t="s">
        <v>32</v>
      </c>
      <c r="C22" s="19" t="s">
        <v>2234</v>
      </c>
      <c r="D22" s="19" t="s">
        <v>2235</v>
      </c>
      <c r="E22" s="19" t="s">
        <v>2236</v>
      </c>
      <c r="F22" s="20">
        <v>12</v>
      </c>
      <c r="G22" s="20">
        <v>880</v>
      </c>
      <c r="H22" s="20">
        <v>30</v>
      </c>
      <c r="I22" s="20">
        <f t="shared" si="0"/>
        <v>850</v>
      </c>
      <c r="J22" s="19" t="s">
        <v>37</v>
      </c>
      <c r="K22" s="19" t="s">
        <v>37</v>
      </c>
      <c r="L22" s="19" t="s">
        <v>2191</v>
      </c>
      <c r="M22" s="19"/>
      <c r="N22" s="19"/>
      <c r="O22" s="19"/>
      <c r="P22" s="19"/>
      <c r="Q22" s="19">
        <v>1</v>
      </c>
    </row>
    <row r="23" spans="1:18" customFormat="1" x14ac:dyDescent="0.25">
      <c r="A23" s="19"/>
      <c r="B23" s="19" t="s">
        <v>32</v>
      </c>
      <c r="C23" s="19" t="s">
        <v>2237</v>
      </c>
      <c r="D23" s="19" t="s">
        <v>2238</v>
      </c>
      <c r="E23" s="19" t="s">
        <v>2239</v>
      </c>
      <c r="F23" s="20">
        <v>2</v>
      </c>
      <c r="G23" s="20">
        <v>1010</v>
      </c>
      <c r="H23" s="20">
        <v>30</v>
      </c>
      <c r="I23" s="20">
        <f t="shared" si="0"/>
        <v>980</v>
      </c>
      <c r="J23" s="19" t="s">
        <v>37</v>
      </c>
      <c r="K23" s="19" t="s">
        <v>37</v>
      </c>
      <c r="L23" s="19" t="s">
        <v>2191</v>
      </c>
      <c r="M23" s="19"/>
      <c r="N23" s="19"/>
      <c r="O23" s="19"/>
      <c r="P23" s="19"/>
      <c r="Q23" s="19">
        <v>1</v>
      </c>
    </row>
    <row r="24" spans="1:18" customFormat="1" x14ac:dyDescent="0.25">
      <c r="A24" s="19" t="s">
        <v>107</v>
      </c>
      <c r="B24" s="19" t="s">
        <v>32</v>
      </c>
      <c r="C24" s="19" t="s">
        <v>657</v>
      </c>
      <c r="D24" s="19"/>
      <c r="E24" s="19" t="s">
        <v>658</v>
      </c>
      <c r="F24" s="19" t="s">
        <v>124</v>
      </c>
      <c r="G24" s="20">
        <v>1085</v>
      </c>
      <c r="H24" s="20">
        <v>25</v>
      </c>
      <c r="I24" s="20">
        <f t="shared" si="0"/>
        <v>1060</v>
      </c>
      <c r="J24" s="19" t="s">
        <v>37</v>
      </c>
      <c r="K24" s="19" t="s">
        <v>37</v>
      </c>
      <c r="L24" s="19" t="s">
        <v>2191</v>
      </c>
      <c r="M24" s="19"/>
      <c r="N24" s="19"/>
      <c r="O24" s="19"/>
      <c r="P24" s="19"/>
      <c r="Q24" s="19">
        <v>1</v>
      </c>
    </row>
    <row r="25" spans="1:18" customFormat="1" x14ac:dyDescent="0.25">
      <c r="A25" s="19"/>
      <c r="B25" s="19" t="s">
        <v>32</v>
      </c>
      <c r="C25" s="19" t="s">
        <v>2240</v>
      </c>
      <c r="D25" s="19" t="s">
        <v>2241</v>
      </c>
      <c r="E25" s="19" t="s">
        <v>2242</v>
      </c>
      <c r="F25" s="20">
        <v>4</v>
      </c>
      <c r="G25" s="20">
        <v>885</v>
      </c>
      <c r="H25" s="20">
        <v>25</v>
      </c>
      <c r="I25" s="20">
        <f t="shared" si="0"/>
        <v>860</v>
      </c>
      <c r="J25" s="19" t="s">
        <v>169</v>
      </c>
      <c r="K25" s="19" t="s">
        <v>37</v>
      </c>
      <c r="L25" s="19" t="s">
        <v>2191</v>
      </c>
      <c r="M25" s="19"/>
      <c r="N25" s="19"/>
      <c r="O25" s="19"/>
      <c r="P25" s="19"/>
      <c r="Q25" s="19">
        <v>1</v>
      </c>
    </row>
    <row r="26" spans="1:18" customFormat="1" x14ac:dyDescent="0.25">
      <c r="A26" s="19"/>
      <c r="B26" s="19" t="s">
        <v>32</v>
      </c>
      <c r="C26" s="19" t="s">
        <v>2243</v>
      </c>
      <c r="D26" s="19" t="s">
        <v>2244</v>
      </c>
      <c r="E26" s="19" t="s">
        <v>2245</v>
      </c>
      <c r="F26" s="19" t="s">
        <v>173</v>
      </c>
      <c r="G26" s="20">
        <v>805</v>
      </c>
      <c r="H26" s="20">
        <v>25</v>
      </c>
      <c r="I26" s="20">
        <f t="shared" si="0"/>
        <v>780</v>
      </c>
      <c r="J26" s="19" t="s">
        <v>169</v>
      </c>
      <c r="K26" s="19" t="s">
        <v>37</v>
      </c>
      <c r="L26" s="19" t="s">
        <v>2191</v>
      </c>
      <c r="M26" s="19"/>
      <c r="N26" s="19"/>
      <c r="O26" s="19"/>
      <c r="P26" s="19"/>
      <c r="Q26" s="19">
        <v>1</v>
      </c>
    </row>
    <row r="27" spans="1:18" customFormat="1" x14ac:dyDescent="0.25">
      <c r="A27" s="19"/>
      <c r="B27" s="19" t="s">
        <v>32</v>
      </c>
      <c r="C27" s="19" t="s">
        <v>2246</v>
      </c>
      <c r="D27" s="19" t="s">
        <v>2247</v>
      </c>
      <c r="E27" s="19" t="s">
        <v>2248</v>
      </c>
      <c r="F27" s="19" t="s">
        <v>173</v>
      </c>
      <c r="G27" s="20">
        <v>875</v>
      </c>
      <c r="H27" s="20">
        <v>25</v>
      </c>
      <c r="I27" s="20">
        <f t="shared" si="0"/>
        <v>850</v>
      </c>
      <c r="J27" s="19" t="s">
        <v>169</v>
      </c>
      <c r="K27" s="19" t="s">
        <v>37</v>
      </c>
      <c r="L27" s="19" t="s">
        <v>2191</v>
      </c>
      <c r="M27" s="19"/>
      <c r="N27" s="19"/>
      <c r="O27" s="19"/>
      <c r="P27" s="19"/>
      <c r="Q27" s="19">
        <v>1</v>
      </c>
    </row>
    <row r="28" spans="1:18" customFormat="1" x14ac:dyDescent="0.25">
      <c r="A28" s="19"/>
      <c r="B28" s="19" t="s">
        <v>32</v>
      </c>
      <c r="C28" s="19" t="s">
        <v>2249</v>
      </c>
      <c r="D28" s="19" t="s">
        <v>2250</v>
      </c>
      <c r="E28" s="19" t="s">
        <v>2251</v>
      </c>
      <c r="F28" s="20">
        <v>10</v>
      </c>
      <c r="G28" s="20">
        <v>0</v>
      </c>
      <c r="H28" s="20">
        <v>25</v>
      </c>
      <c r="I28" s="20">
        <f t="shared" si="0"/>
        <v>-25</v>
      </c>
      <c r="J28" s="19" t="s">
        <v>169</v>
      </c>
      <c r="K28" s="19" t="s">
        <v>37</v>
      </c>
      <c r="L28" s="19" t="s">
        <v>2191</v>
      </c>
      <c r="M28" s="19"/>
      <c r="N28" s="19"/>
      <c r="O28" s="19"/>
      <c r="P28" s="19"/>
      <c r="Q28" s="19">
        <v>1</v>
      </c>
      <c r="R28" s="21">
        <f t="shared" ref="R28:R29" si="2">H28</f>
        <v>25</v>
      </c>
    </row>
    <row r="29" spans="1:18" customFormat="1" x14ac:dyDescent="0.25">
      <c r="A29" s="19"/>
      <c r="B29" s="19" t="s">
        <v>32</v>
      </c>
      <c r="C29" s="19" t="s">
        <v>1570</v>
      </c>
      <c r="D29" s="19" t="s">
        <v>2252</v>
      </c>
      <c r="E29" s="19" t="s">
        <v>2253</v>
      </c>
      <c r="F29" s="20">
        <v>1</v>
      </c>
      <c r="G29" s="20">
        <v>0</v>
      </c>
      <c r="H29" s="20">
        <v>25</v>
      </c>
      <c r="I29" s="20">
        <f t="shared" si="0"/>
        <v>-25</v>
      </c>
      <c r="J29" s="19" t="s">
        <v>169</v>
      </c>
      <c r="K29" s="19" t="s">
        <v>37</v>
      </c>
      <c r="L29" s="19" t="s">
        <v>2191</v>
      </c>
      <c r="M29" s="19"/>
      <c r="N29" s="19"/>
      <c r="O29" s="19"/>
      <c r="P29" s="19"/>
      <c r="Q29" s="19">
        <v>1</v>
      </c>
      <c r="R29" s="21">
        <f t="shared" si="2"/>
        <v>25</v>
      </c>
    </row>
    <row r="30" spans="1:18" customFormat="1" x14ac:dyDescent="0.25">
      <c r="A30" s="19"/>
      <c r="B30" s="19" t="s">
        <v>32</v>
      </c>
      <c r="C30" s="19" t="s">
        <v>2254</v>
      </c>
      <c r="D30" s="19" t="s">
        <v>2255</v>
      </c>
      <c r="E30" s="19" t="s">
        <v>2256</v>
      </c>
      <c r="F30" s="19" t="s">
        <v>317</v>
      </c>
      <c r="G30" s="20">
        <v>1050</v>
      </c>
      <c r="H30" s="20">
        <v>20</v>
      </c>
      <c r="I30" s="20">
        <f t="shared" si="0"/>
        <v>1030</v>
      </c>
      <c r="J30" s="19" t="s">
        <v>169</v>
      </c>
      <c r="K30" s="19" t="s">
        <v>37</v>
      </c>
      <c r="L30" s="19" t="s">
        <v>2191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1769</v>
      </c>
      <c r="D31" s="19" t="s">
        <v>2257</v>
      </c>
      <c r="E31" s="19" t="s">
        <v>1771</v>
      </c>
      <c r="F31" s="20">
        <v>10</v>
      </c>
      <c r="G31" s="20">
        <v>915</v>
      </c>
      <c r="H31" s="20">
        <v>25</v>
      </c>
      <c r="I31" s="20">
        <f t="shared" si="0"/>
        <v>890</v>
      </c>
      <c r="J31" s="19" t="s">
        <v>169</v>
      </c>
      <c r="K31" s="19" t="s">
        <v>37</v>
      </c>
      <c r="L31" s="19" t="s">
        <v>2191</v>
      </c>
      <c r="M31" s="19"/>
      <c r="N31" s="19"/>
      <c r="O31" s="19"/>
      <c r="P31" s="19"/>
      <c r="Q31" s="19">
        <v>1</v>
      </c>
    </row>
    <row r="32" spans="1:18" customFormat="1" x14ac:dyDescent="0.25">
      <c r="A32" s="19"/>
      <c r="B32" s="19" t="s">
        <v>32</v>
      </c>
      <c r="C32" s="19" t="s">
        <v>2172</v>
      </c>
      <c r="D32" s="19" t="s">
        <v>2258</v>
      </c>
      <c r="E32" s="19" t="s">
        <v>2174</v>
      </c>
      <c r="F32" s="20">
        <v>3</v>
      </c>
      <c r="G32" s="20">
        <v>865</v>
      </c>
      <c r="H32" s="20">
        <v>25</v>
      </c>
      <c r="I32" s="20">
        <f t="shared" si="0"/>
        <v>840</v>
      </c>
      <c r="J32" s="19" t="s">
        <v>169</v>
      </c>
      <c r="K32" s="19" t="s">
        <v>37</v>
      </c>
      <c r="L32" s="19" t="s">
        <v>2191</v>
      </c>
      <c r="M32" s="19"/>
      <c r="N32" s="19"/>
      <c r="O32" s="19"/>
      <c r="P32" s="19"/>
      <c r="Q32" s="19">
        <v>1</v>
      </c>
    </row>
    <row r="33" spans="1:18" customFormat="1" x14ac:dyDescent="0.25">
      <c r="A33" s="19"/>
      <c r="B33" s="19" t="s">
        <v>32</v>
      </c>
      <c r="C33" s="19" t="s">
        <v>2259</v>
      </c>
      <c r="D33" s="19" t="s">
        <v>2260</v>
      </c>
      <c r="E33" s="19" t="s">
        <v>2261</v>
      </c>
      <c r="F33" s="20">
        <v>1</v>
      </c>
      <c r="G33" s="20">
        <v>0</v>
      </c>
      <c r="H33" s="20">
        <v>25</v>
      </c>
      <c r="I33" s="20">
        <f t="shared" si="0"/>
        <v>-25</v>
      </c>
      <c r="J33" s="19" t="s">
        <v>169</v>
      </c>
      <c r="K33" s="19" t="s">
        <v>37</v>
      </c>
      <c r="L33" s="19" t="s">
        <v>2191</v>
      </c>
      <c r="M33" s="19"/>
      <c r="N33" s="19"/>
      <c r="O33" s="19"/>
      <c r="P33" s="19"/>
      <c r="Q33" s="19">
        <v>1</v>
      </c>
      <c r="R33" s="21">
        <f>H33</f>
        <v>25</v>
      </c>
    </row>
    <row r="34" spans="1:18" customFormat="1" x14ac:dyDescent="0.25">
      <c r="A34" s="19"/>
      <c r="B34" s="19" t="s">
        <v>32</v>
      </c>
      <c r="C34" s="19" t="s">
        <v>2262</v>
      </c>
      <c r="D34" s="19" t="s">
        <v>2263</v>
      </c>
      <c r="E34" s="19" t="s">
        <v>2264</v>
      </c>
      <c r="F34" s="20">
        <v>4</v>
      </c>
      <c r="G34" s="20">
        <v>875</v>
      </c>
      <c r="H34" s="20">
        <v>25</v>
      </c>
      <c r="I34" s="20">
        <f t="shared" si="0"/>
        <v>850</v>
      </c>
      <c r="J34" s="19" t="s">
        <v>169</v>
      </c>
      <c r="K34" s="19" t="s">
        <v>37</v>
      </c>
      <c r="L34" s="19" t="s">
        <v>2191</v>
      </c>
      <c r="M34" s="19"/>
      <c r="N34" s="19"/>
      <c r="O34" s="19"/>
      <c r="P34" s="19"/>
      <c r="Q34" s="19">
        <v>1</v>
      </c>
    </row>
    <row r="35" spans="1:18" customFormat="1" x14ac:dyDescent="0.25">
      <c r="A35" s="19"/>
      <c r="B35" s="19" t="s">
        <v>32</v>
      </c>
      <c r="C35" s="19" t="s">
        <v>2265</v>
      </c>
      <c r="D35" s="19" t="s">
        <v>2266</v>
      </c>
      <c r="E35" s="19" t="s">
        <v>2267</v>
      </c>
      <c r="F35" s="20">
        <v>3</v>
      </c>
      <c r="G35" s="20">
        <v>705</v>
      </c>
      <c r="H35" s="20">
        <v>25</v>
      </c>
      <c r="I35" s="20">
        <f t="shared" si="0"/>
        <v>680</v>
      </c>
      <c r="J35" s="19" t="s">
        <v>169</v>
      </c>
      <c r="K35" s="19" t="s">
        <v>37</v>
      </c>
      <c r="L35" s="19" t="s">
        <v>2191</v>
      </c>
      <c r="M35" s="19"/>
      <c r="N35" s="19"/>
      <c r="O35" s="19"/>
      <c r="P35" s="19"/>
      <c r="Q35" s="19">
        <v>1</v>
      </c>
    </row>
    <row r="36" spans="1:18" customFormat="1" x14ac:dyDescent="0.25">
      <c r="A36" s="19"/>
      <c r="B36" s="19" t="s">
        <v>32</v>
      </c>
      <c r="C36" s="19" t="s">
        <v>1117</v>
      </c>
      <c r="D36" s="19" t="s">
        <v>2268</v>
      </c>
      <c r="E36" s="19" t="s">
        <v>1119</v>
      </c>
      <c r="F36" s="20">
        <v>1</v>
      </c>
      <c r="G36" s="20">
        <v>865</v>
      </c>
      <c r="H36" s="20">
        <v>25</v>
      </c>
      <c r="I36" s="20">
        <f t="shared" si="0"/>
        <v>840</v>
      </c>
      <c r="J36" s="19" t="s">
        <v>169</v>
      </c>
      <c r="K36" s="19" t="s">
        <v>37</v>
      </c>
      <c r="L36" s="19" t="s">
        <v>2191</v>
      </c>
      <c r="M36" s="19"/>
      <c r="N36" s="19"/>
      <c r="O36" s="19"/>
      <c r="P36" s="19"/>
      <c r="Q36" s="19">
        <v>1</v>
      </c>
    </row>
    <row r="37" spans="1:18" customFormat="1" x14ac:dyDescent="0.25">
      <c r="A37" s="19"/>
      <c r="B37" s="19" t="s">
        <v>32</v>
      </c>
      <c r="C37" s="19" t="s">
        <v>2137</v>
      </c>
      <c r="D37" s="19" t="s">
        <v>2269</v>
      </c>
      <c r="E37" s="19" t="s">
        <v>2270</v>
      </c>
      <c r="F37" s="20">
        <v>7</v>
      </c>
      <c r="G37" s="20">
        <v>0</v>
      </c>
      <c r="H37" s="20">
        <v>30</v>
      </c>
      <c r="I37" s="20">
        <f t="shared" si="0"/>
        <v>-30</v>
      </c>
      <c r="J37" s="19" t="s">
        <v>169</v>
      </c>
      <c r="K37" s="19" t="s">
        <v>37</v>
      </c>
      <c r="L37" s="19" t="s">
        <v>2191</v>
      </c>
      <c r="M37" s="19"/>
      <c r="N37" s="19"/>
      <c r="O37" s="19"/>
      <c r="P37" s="19"/>
      <c r="Q37" s="19">
        <v>1</v>
      </c>
      <c r="R37" s="21">
        <f>H37</f>
        <v>30</v>
      </c>
    </row>
    <row r="38" spans="1:18" s="26" customFormat="1" x14ac:dyDescent="0.25">
      <c r="A38" s="23"/>
      <c r="B38" s="23" t="s">
        <v>32</v>
      </c>
      <c r="C38" s="23" t="s">
        <v>1937</v>
      </c>
      <c r="D38" s="23" t="s">
        <v>2271</v>
      </c>
      <c r="E38" s="23" t="s">
        <v>2272</v>
      </c>
      <c r="F38" s="24">
        <v>7</v>
      </c>
      <c r="G38" s="24">
        <v>250</v>
      </c>
      <c r="H38" s="24">
        <v>30</v>
      </c>
      <c r="I38" s="24">
        <f t="shared" si="0"/>
        <v>220</v>
      </c>
      <c r="J38" s="23" t="s">
        <v>169</v>
      </c>
      <c r="K38" s="23" t="s">
        <v>37</v>
      </c>
      <c r="L38" s="23" t="s">
        <v>2191</v>
      </c>
      <c r="M38" s="23" t="s">
        <v>148</v>
      </c>
      <c r="N38" s="23"/>
      <c r="O38" s="23"/>
      <c r="P38" s="23"/>
      <c r="Q38" s="23">
        <v>1</v>
      </c>
    </row>
    <row r="39" spans="1:18" s="26" customFormat="1" x14ac:dyDescent="0.25">
      <c r="A39" s="23"/>
      <c r="B39" s="23" t="s">
        <v>32</v>
      </c>
      <c r="C39" s="23" t="s">
        <v>2273</v>
      </c>
      <c r="D39" s="23" t="s">
        <v>2274</v>
      </c>
      <c r="E39" s="23" t="s">
        <v>2275</v>
      </c>
      <c r="F39" s="24">
        <v>7</v>
      </c>
      <c r="G39" s="24">
        <v>0</v>
      </c>
      <c r="H39" s="24">
        <v>30</v>
      </c>
      <c r="I39" s="24">
        <f t="shared" si="0"/>
        <v>-30</v>
      </c>
      <c r="J39" s="23" t="s">
        <v>169</v>
      </c>
      <c r="K39" s="23" t="s">
        <v>37</v>
      </c>
      <c r="L39" s="23" t="s">
        <v>2191</v>
      </c>
      <c r="M39" s="23" t="s">
        <v>148</v>
      </c>
      <c r="N39" s="23"/>
      <c r="O39" s="23"/>
      <c r="P39" s="23"/>
      <c r="Q39" s="23">
        <v>1</v>
      </c>
      <c r="R39" s="25">
        <f>H39</f>
        <v>30</v>
      </c>
    </row>
    <row r="40" spans="1:18" customFormat="1" x14ac:dyDescent="0.25">
      <c r="A40" s="19"/>
      <c r="B40" s="19" t="s">
        <v>32</v>
      </c>
      <c r="C40" s="19" t="s">
        <v>2276</v>
      </c>
      <c r="D40" s="19" t="s">
        <v>2277</v>
      </c>
      <c r="E40" s="19" t="s">
        <v>523</v>
      </c>
      <c r="F40" s="19" t="s">
        <v>88</v>
      </c>
      <c r="G40" s="20">
        <v>875</v>
      </c>
      <c r="H40" s="20">
        <v>35</v>
      </c>
      <c r="I40" s="20">
        <f t="shared" si="0"/>
        <v>840</v>
      </c>
      <c r="J40" s="19" t="s">
        <v>169</v>
      </c>
      <c r="K40" s="19" t="s">
        <v>37</v>
      </c>
      <c r="L40" s="19" t="s">
        <v>2191</v>
      </c>
      <c r="M40" s="19"/>
      <c r="N40" s="19"/>
      <c r="O40" s="19"/>
      <c r="P40" s="19"/>
      <c r="Q40" s="19">
        <v>1</v>
      </c>
    </row>
    <row r="41" spans="1:18" customFormat="1" x14ac:dyDescent="0.25">
      <c r="A41" s="19" t="s">
        <v>107</v>
      </c>
      <c r="B41" s="19" t="s">
        <v>32</v>
      </c>
      <c r="C41" s="19" t="s">
        <v>2278</v>
      </c>
      <c r="D41" s="19"/>
      <c r="E41" s="19" t="s">
        <v>2279</v>
      </c>
      <c r="F41" s="19" t="s">
        <v>173</v>
      </c>
      <c r="G41" s="20">
        <v>790</v>
      </c>
      <c r="H41" s="20">
        <v>30</v>
      </c>
      <c r="I41" s="20">
        <f t="shared" si="0"/>
        <v>760</v>
      </c>
      <c r="J41" s="19" t="s">
        <v>169</v>
      </c>
      <c r="K41" s="19" t="s">
        <v>37</v>
      </c>
      <c r="L41" s="19" t="s">
        <v>2191</v>
      </c>
      <c r="M41" s="19"/>
      <c r="N41" s="19"/>
      <c r="O41" s="19"/>
      <c r="P41" s="19"/>
      <c r="Q41" s="19">
        <v>1</v>
      </c>
    </row>
    <row r="42" spans="1:18" customFormat="1" x14ac:dyDescent="0.25">
      <c r="A42" s="19" t="s">
        <v>107</v>
      </c>
      <c r="B42" s="19" t="s">
        <v>32</v>
      </c>
      <c r="C42" s="19" t="s">
        <v>342</v>
      </c>
      <c r="D42" s="19"/>
      <c r="E42" s="19" t="s">
        <v>343</v>
      </c>
      <c r="F42" s="20">
        <v>1</v>
      </c>
      <c r="G42" s="20">
        <v>0</v>
      </c>
      <c r="H42" s="20">
        <v>30</v>
      </c>
      <c r="I42" s="20">
        <f t="shared" si="0"/>
        <v>-30</v>
      </c>
      <c r="J42" s="19" t="s">
        <v>169</v>
      </c>
      <c r="K42" s="19" t="s">
        <v>37</v>
      </c>
      <c r="L42" s="19" t="s">
        <v>2191</v>
      </c>
      <c r="M42" s="19"/>
      <c r="N42" s="19"/>
      <c r="O42" s="19"/>
      <c r="P42" s="19"/>
      <c r="Q42" s="19">
        <v>1</v>
      </c>
      <c r="R42" s="21">
        <f>H42</f>
        <v>30</v>
      </c>
    </row>
    <row r="43" spans="1:18" customFormat="1" x14ac:dyDescent="0.25">
      <c r="A43" s="19" t="s">
        <v>107</v>
      </c>
      <c r="B43" s="19" t="s">
        <v>32</v>
      </c>
      <c r="C43" s="19" t="s">
        <v>1929</v>
      </c>
      <c r="D43" s="19"/>
      <c r="E43" s="19" t="s">
        <v>2280</v>
      </c>
      <c r="F43" s="19" t="s">
        <v>173</v>
      </c>
      <c r="G43" s="20">
        <v>30</v>
      </c>
      <c r="H43" s="20">
        <v>30</v>
      </c>
      <c r="I43" s="20">
        <f t="shared" si="0"/>
        <v>0</v>
      </c>
      <c r="J43" s="19" t="s">
        <v>169</v>
      </c>
      <c r="K43" s="19" t="s">
        <v>37</v>
      </c>
      <c r="L43" s="19" t="s">
        <v>2191</v>
      </c>
      <c r="M43" s="19"/>
      <c r="N43" s="19"/>
      <c r="O43" s="19"/>
      <c r="P43" s="19"/>
      <c r="Q43" s="19">
        <v>1</v>
      </c>
    </row>
    <row r="45" spans="1:18" x14ac:dyDescent="0.25">
      <c r="G45" s="1">
        <f t="shared" ref="G45:R45" si="3">SUBTOTAL(9,G3:G43)</f>
        <v>27930</v>
      </c>
      <c r="H45" s="1">
        <f t="shared" si="3"/>
        <v>1115</v>
      </c>
      <c r="I45" s="1">
        <f t="shared" si="3"/>
        <v>26815</v>
      </c>
      <c r="J45" s="1">
        <f t="shared" si="3"/>
        <v>0</v>
      </c>
      <c r="K45" s="1">
        <f t="shared" si="3"/>
        <v>0</v>
      </c>
      <c r="L45" s="1">
        <f t="shared" si="3"/>
        <v>0</v>
      </c>
      <c r="M45" s="1">
        <f t="shared" si="3"/>
        <v>0</v>
      </c>
      <c r="N45" s="1">
        <f t="shared" si="3"/>
        <v>0</v>
      </c>
      <c r="O45" s="1">
        <f t="shared" si="3"/>
        <v>0</v>
      </c>
      <c r="P45" s="1">
        <f t="shared" si="3"/>
        <v>0</v>
      </c>
      <c r="Q45" s="1">
        <f t="shared" si="3"/>
        <v>41</v>
      </c>
      <c r="R45" s="1">
        <f t="shared" si="3"/>
        <v>350</v>
      </c>
    </row>
    <row r="49" spans="8:10" ht="20.25" customHeight="1" x14ac:dyDescent="0.3">
      <c r="H49" s="4" t="s">
        <v>2046</v>
      </c>
      <c r="I49" s="5" t="s">
        <v>15</v>
      </c>
      <c r="J49" s="6" t="s">
        <v>16</v>
      </c>
    </row>
    <row r="50" spans="8:10" ht="15.75" customHeight="1" x14ac:dyDescent="0.25">
      <c r="H50" s="7" t="s">
        <v>17</v>
      </c>
      <c r="I50" s="8">
        <f>SUM(I44:I48)</f>
        <v>26815</v>
      </c>
      <c r="J50" s="8">
        <f>Q45</f>
        <v>41</v>
      </c>
    </row>
    <row r="51" spans="8:10" x14ac:dyDescent="0.25">
      <c r="H51" s="9" t="s">
        <v>18</v>
      </c>
      <c r="I51" s="10">
        <f>R45</f>
        <v>350</v>
      </c>
      <c r="J51" s="11"/>
    </row>
    <row r="52" spans="8:10" x14ac:dyDescent="0.25">
      <c r="H52" s="9" t="s">
        <v>19</v>
      </c>
      <c r="I52" s="10">
        <f>S44</f>
        <v>0</v>
      </c>
      <c r="J52" s="11"/>
    </row>
    <row r="53" spans="8:10" x14ac:dyDescent="0.25">
      <c r="H53" s="9" t="s">
        <v>20</v>
      </c>
      <c r="I53" s="10">
        <f>T44</f>
        <v>0</v>
      </c>
      <c r="J53" s="11"/>
    </row>
    <row r="54" spans="8:10" x14ac:dyDescent="0.25">
      <c r="H54" s="9" t="s">
        <v>21</v>
      </c>
      <c r="I54" s="10">
        <f>U44</f>
        <v>0</v>
      </c>
      <c r="J54" s="11"/>
    </row>
    <row r="55" spans="8:10" ht="15.75" customHeight="1" x14ac:dyDescent="0.25">
      <c r="H55" s="12" t="s">
        <v>22</v>
      </c>
      <c r="I55" s="13"/>
      <c r="J55" s="13"/>
    </row>
    <row r="56" spans="8:10" ht="15.75" customHeight="1" x14ac:dyDescent="0.25">
      <c r="H56" s="14" t="s">
        <v>23</v>
      </c>
      <c r="I56" s="13"/>
      <c r="J56" s="13"/>
    </row>
    <row r="57" spans="8:10" ht="21" customHeight="1" x14ac:dyDescent="0.35">
      <c r="H57" s="15" t="s">
        <v>24</v>
      </c>
      <c r="I57" s="16">
        <f>SUM(I50:I56)</f>
        <v>27165</v>
      </c>
      <c r="J57" s="16">
        <f>SUM(J50:J54)</f>
        <v>41</v>
      </c>
    </row>
  </sheetData>
  <autoFilter ref="A2:P43" xr:uid="{00000000-0009-0000-0000-000006000000}">
    <sortState xmlns:xlrd2="http://schemas.microsoft.com/office/spreadsheetml/2017/richdata2" ref="A3:P43">
      <sortCondition ref="J2:J43"/>
    </sortState>
  </autoFilter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5184-1390-4DDA-8F30-4DFB1BDEB892}">
  <dimension ref="A1:R71"/>
  <sheetViews>
    <sheetView topLeftCell="A31" zoomScale="82" zoomScaleNormal="80" workbookViewId="0">
      <selection activeCell="I60" sqref="I60"/>
    </sheetView>
  </sheetViews>
  <sheetFormatPr defaultColWidth="9.140625"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2188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 t="s">
        <v>107</v>
      </c>
      <c r="B3" s="19" t="s">
        <v>32</v>
      </c>
      <c r="C3" s="19" t="s">
        <v>384</v>
      </c>
      <c r="D3" s="19"/>
      <c r="E3" s="19" t="s">
        <v>385</v>
      </c>
      <c r="F3" s="20">
        <v>6</v>
      </c>
      <c r="G3" s="20">
        <v>0</v>
      </c>
      <c r="H3" s="20">
        <v>30</v>
      </c>
      <c r="I3" s="20">
        <f t="shared" ref="I3:I57" si="0">G3-H3</f>
        <v>-30</v>
      </c>
      <c r="J3" s="19" t="s">
        <v>2281</v>
      </c>
      <c r="K3" s="19" t="s">
        <v>37</v>
      </c>
      <c r="L3" s="19" t="s">
        <v>2282</v>
      </c>
      <c r="M3" s="19"/>
      <c r="N3" s="19"/>
      <c r="O3" s="19"/>
      <c r="P3" s="19"/>
      <c r="Q3" s="19">
        <v>1</v>
      </c>
      <c r="R3" s="21">
        <f>H3</f>
        <v>30</v>
      </c>
    </row>
    <row r="4" spans="1:18" customFormat="1" x14ac:dyDescent="0.25">
      <c r="A4" s="19"/>
      <c r="B4" s="19" t="s">
        <v>32</v>
      </c>
      <c r="C4" s="19" t="s">
        <v>2283</v>
      </c>
      <c r="D4" s="19" t="s">
        <v>2284</v>
      </c>
      <c r="E4" s="19" t="s">
        <v>2285</v>
      </c>
      <c r="F4" s="19" t="s">
        <v>88</v>
      </c>
      <c r="G4" s="20">
        <v>475</v>
      </c>
      <c r="H4" s="20">
        <v>35</v>
      </c>
      <c r="I4" s="20">
        <f t="shared" si="0"/>
        <v>440</v>
      </c>
      <c r="J4" s="19" t="s">
        <v>2281</v>
      </c>
      <c r="K4" s="19" t="s">
        <v>37</v>
      </c>
      <c r="L4" s="19" t="s">
        <v>2282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2286</v>
      </c>
      <c r="D5" s="19" t="s">
        <v>2287</v>
      </c>
      <c r="E5" s="19" t="s">
        <v>2288</v>
      </c>
      <c r="F5" s="19" t="s">
        <v>45</v>
      </c>
      <c r="G5" s="20">
        <v>880</v>
      </c>
      <c r="H5" s="20">
        <v>30</v>
      </c>
      <c r="I5" s="20">
        <f t="shared" si="0"/>
        <v>850</v>
      </c>
      <c r="J5" s="19" t="s">
        <v>2281</v>
      </c>
      <c r="K5" s="19" t="s">
        <v>37</v>
      </c>
      <c r="L5" s="19" t="s">
        <v>2282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2289</v>
      </c>
      <c r="D6" s="19" t="s">
        <v>2290</v>
      </c>
      <c r="E6" s="19" t="s">
        <v>2291</v>
      </c>
      <c r="F6" s="19" t="s">
        <v>45</v>
      </c>
      <c r="G6" s="20">
        <v>940</v>
      </c>
      <c r="H6" s="20">
        <v>30</v>
      </c>
      <c r="I6" s="20">
        <f t="shared" si="0"/>
        <v>910</v>
      </c>
      <c r="J6" s="19" t="s">
        <v>2281</v>
      </c>
      <c r="K6" s="19" t="s">
        <v>37</v>
      </c>
      <c r="L6" s="19" t="s">
        <v>2282</v>
      </c>
      <c r="M6" s="19"/>
      <c r="N6" s="19"/>
      <c r="O6" s="19"/>
      <c r="P6" s="19"/>
      <c r="Q6" s="19">
        <v>1</v>
      </c>
    </row>
    <row r="7" spans="1:18" customFormat="1" x14ac:dyDescent="0.25">
      <c r="A7" s="19"/>
      <c r="B7" s="19" t="s">
        <v>32</v>
      </c>
      <c r="C7" s="19" t="s">
        <v>2292</v>
      </c>
      <c r="D7" s="19" t="s">
        <v>2293</v>
      </c>
      <c r="E7" s="19" t="s">
        <v>2294</v>
      </c>
      <c r="F7" s="19" t="s">
        <v>62</v>
      </c>
      <c r="G7" s="20">
        <v>1295</v>
      </c>
      <c r="H7" s="20">
        <v>25</v>
      </c>
      <c r="I7" s="20">
        <f t="shared" si="0"/>
        <v>1270</v>
      </c>
      <c r="J7" s="19" t="s">
        <v>2281</v>
      </c>
      <c r="K7" s="19" t="s">
        <v>37</v>
      </c>
      <c r="L7" s="19" t="s">
        <v>2282</v>
      </c>
      <c r="M7" s="19"/>
      <c r="N7" s="19"/>
      <c r="O7" s="19"/>
      <c r="P7" s="19"/>
      <c r="Q7" s="19">
        <v>1</v>
      </c>
    </row>
    <row r="8" spans="1:18" customFormat="1" x14ac:dyDescent="0.25">
      <c r="A8" s="19"/>
      <c r="B8" s="19" t="s">
        <v>32</v>
      </c>
      <c r="C8" s="19" t="s">
        <v>2295</v>
      </c>
      <c r="D8" s="19" t="s">
        <v>2296</v>
      </c>
      <c r="E8" s="19" t="s">
        <v>2297</v>
      </c>
      <c r="F8" s="20">
        <v>8</v>
      </c>
      <c r="G8" s="20">
        <v>470</v>
      </c>
      <c r="H8" s="20">
        <v>30</v>
      </c>
      <c r="I8" s="20">
        <f t="shared" si="0"/>
        <v>440</v>
      </c>
      <c r="J8" s="19" t="s">
        <v>2281</v>
      </c>
      <c r="K8" s="19" t="s">
        <v>37</v>
      </c>
      <c r="L8" s="19" t="s">
        <v>2282</v>
      </c>
      <c r="M8" s="19"/>
      <c r="N8" s="19"/>
      <c r="O8" s="19"/>
      <c r="P8" s="19"/>
      <c r="Q8" s="19">
        <v>1</v>
      </c>
    </row>
    <row r="9" spans="1:18" s="26" customFormat="1" x14ac:dyDescent="0.25">
      <c r="A9" s="23"/>
      <c r="B9" s="23" t="s">
        <v>32</v>
      </c>
      <c r="C9" s="23" t="s">
        <v>527</v>
      </c>
      <c r="D9" s="23" t="s">
        <v>2298</v>
      </c>
      <c r="E9" s="23" t="s">
        <v>2074</v>
      </c>
      <c r="F9" s="24">
        <v>6</v>
      </c>
      <c r="G9" s="24">
        <v>0</v>
      </c>
      <c r="H9" s="24">
        <v>25</v>
      </c>
      <c r="I9" s="24">
        <f t="shared" si="0"/>
        <v>-25</v>
      </c>
      <c r="J9" s="23" t="s">
        <v>2281</v>
      </c>
      <c r="K9" s="23" t="s">
        <v>37</v>
      </c>
      <c r="L9" s="23" t="s">
        <v>2282</v>
      </c>
      <c r="M9" s="23" t="s">
        <v>148</v>
      </c>
      <c r="N9" s="23"/>
      <c r="O9" s="23"/>
      <c r="P9" s="23"/>
      <c r="Q9" s="23">
        <v>1</v>
      </c>
      <c r="R9" s="25">
        <f>H9</f>
        <v>25</v>
      </c>
    </row>
    <row r="10" spans="1:18" customFormat="1" x14ac:dyDescent="0.25">
      <c r="A10" s="19"/>
      <c r="B10" s="19" t="s">
        <v>32</v>
      </c>
      <c r="C10" s="19" t="s">
        <v>2299</v>
      </c>
      <c r="D10" s="19" t="s">
        <v>2300</v>
      </c>
      <c r="E10" s="19" t="s">
        <v>2301</v>
      </c>
      <c r="F10" s="19" t="s">
        <v>88</v>
      </c>
      <c r="G10" s="20">
        <v>575</v>
      </c>
      <c r="H10" s="20">
        <v>35</v>
      </c>
      <c r="I10" s="20">
        <f t="shared" si="0"/>
        <v>540</v>
      </c>
      <c r="J10" s="19" t="s">
        <v>2281</v>
      </c>
      <c r="K10" s="19" t="s">
        <v>37</v>
      </c>
      <c r="L10" s="19" t="s">
        <v>2282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2302</v>
      </c>
      <c r="D11" s="19" t="s">
        <v>2303</v>
      </c>
      <c r="E11" s="19" t="s">
        <v>80</v>
      </c>
      <c r="F11" s="19" t="s">
        <v>81</v>
      </c>
      <c r="G11" s="20">
        <v>0</v>
      </c>
      <c r="H11" s="20">
        <v>35</v>
      </c>
      <c r="I11" s="20">
        <f t="shared" si="0"/>
        <v>-35</v>
      </c>
      <c r="J11" s="19" t="s">
        <v>2281</v>
      </c>
      <c r="K11" s="19" t="s">
        <v>37</v>
      </c>
      <c r="L11" s="19" t="s">
        <v>2282</v>
      </c>
      <c r="M11" s="19"/>
      <c r="N11" s="19"/>
      <c r="O11" s="19"/>
      <c r="P11" s="19"/>
      <c r="Q11" s="19">
        <v>1</v>
      </c>
      <c r="R11" s="21">
        <f>H11</f>
        <v>35</v>
      </c>
    </row>
    <row r="12" spans="1:18" customFormat="1" x14ac:dyDescent="0.25">
      <c r="A12" s="19"/>
      <c r="B12" s="19" t="s">
        <v>32</v>
      </c>
      <c r="C12" s="19" t="s">
        <v>2304</v>
      </c>
      <c r="D12" s="19" t="s">
        <v>2305</v>
      </c>
      <c r="E12" s="19" t="s">
        <v>2306</v>
      </c>
      <c r="F12" s="20">
        <v>8</v>
      </c>
      <c r="G12" s="20">
        <v>910</v>
      </c>
      <c r="H12" s="20">
        <v>30</v>
      </c>
      <c r="I12" s="20">
        <f t="shared" si="0"/>
        <v>880</v>
      </c>
      <c r="J12" s="19" t="s">
        <v>2281</v>
      </c>
      <c r="K12" s="19" t="s">
        <v>37</v>
      </c>
      <c r="L12" s="19" t="s">
        <v>2282</v>
      </c>
      <c r="M12" s="19"/>
      <c r="N12" s="19"/>
      <c r="O12" s="19"/>
      <c r="P12" s="19"/>
      <c r="Q12" s="19">
        <v>1</v>
      </c>
    </row>
    <row r="13" spans="1:18" customFormat="1" x14ac:dyDescent="0.25">
      <c r="A13" s="19"/>
      <c r="B13" s="19" t="s">
        <v>32</v>
      </c>
      <c r="C13" s="19" t="s">
        <v>2307</v>
      </c>
      <c r="D13" s="19" t="s">
        <v>2308</v>
      </c>
      <c r="E13" s="19" t="s">
        <v>2309</v>
      </c>
      <c r="F13" s="20">
        <v>8</v>
      </c>
      <c r="G13" s="20">
        <v>850</v>
      </c>
      <c r="H13" s="20">
        <v>30</v>
      </c>
      <c r="I13" s="20">
        <f t="shared" si="0"/>
        <v>820</v>
      </c>
      <c r="J13" s="19" t="s">
        <v>2281</v>
      </c>
      <c r="K13" s="19" t="s">
        <v>37</v>
      </c>
      <c r="L13" s="19" t="s">
        <v>2282</v>
      </c>
      <c r="M13" s="19"/>
      <c r="N13" s="19"/>
      <c r="O13" s="19"/>
      <c r="P13" s="19"/>
      <c r="Q13" s="19">
        <v>1</v>
      </c>
    </row>
    <row r="14" spans="1:18" customFormat="1" x14ac:dyDescent="0.25">
      <c r="A14" s="19"/>
      <c r="B14" s="19" t="s">
        <v>32</v>
      </c>
      <c r="C14" s="19" t="s">
        <v>2310</v>
      </c>
      <c r="D14" s="19" t="s">
        <v>2311</v>
      </c>
      <c r="E14" s="19" t="s">
        <v>2312</v>
      </c>
      <c r="F14" s="20">
        <v>12</v>
      </c>
      <c r="G14" s="20">
        <v>890</v>
      </c>
      <c r="H14" s="20">
        <v>30</v>
      </c>
      <c r="I14" s="20">
        <f t="shared" si="0"/>
        <v>860</v>
      </c>
      <c r="J14" s="19" t="s">
        <v>2281</v>
      </c>
      <c r="K14" s="19" t="s">
        <v>37</v>
      </c>
      <c r="L14" s="19" t="s">
        <v>2282</v>
      </c>
      <c r="M14" s="19"/>
      <c r="N14" s="19"/>
      <c r="O14" s="19"/>
      <c r="P14" s="19"/>
      <c r="Q14" s="19">
        <v>1</v>
      </c>
    </row>
    <row r="15" spans="1:18" customFormat="1" x14ac:dyDescent="0.25">
      <c r="A15" s="19"/>
      <c r="B15" s="19" t="s">
        <v>32</v>
      </c>
      <c r="C15" s="19" t="s">
        <v>2313</v>
      </c>
      <c r="D15" s="19" t="s">
        <v>2314</v>
      </c>
      <c r="E15" s="19" t="s">
        <v>2315</v>
      </c>
      <c r="F15" s="20">
        <v>8</v>
      </c>
      <c r="G15" s="20">
        <v>920</v>
      </c>
      <c r="H15" s="20">
        <v>30</v>
      </c>
      <c r="I15" s="20">
        <f t="shared" si="0"/>
        <v>890</v>
      </c>
      <c r="J15" s="19" t="s">
        <v>2281</v>
      </c>
      <c r="K15" s="19" t="s">
        <v>37</v>
      </c>
      <c r="L15" s="19" t="s">
        <v>2282</v>
      </c>
      <c r="M15" s="19"/>
      <c r="N15" s="19"/>
      <c r="O15" s="19"/>
      <c r="P15" s="19"/>
      <c r="Q15" s="19">
        <v>1</v>
      </c>
    </row>
    <row r="16" spans="1:18" customFormat="1" x14ac:dyDescent="0.25">
      <c r="A16" s="19" t="s">
        <v>107</v>
      </c>
      <c r="B16" s="19" t="s">
        <v>32</v>
      </c>
      <c r="C16" s="19" t="s">
        <v>162</v>
      </c>
      <c r="D16" s="19"/>
      <c r="E16" s="19" t="s">
        <v>163</v>
      </c>
      <c r="F16" s="19" t="s">
        <v>117</v>
      </c>
      <c r="G16" s="20">
        <v>5270</v>
      </c>
      <c r="H16" s="20">
        <v>40</v>
      </c>
      <c r="I16" s="20">
        <f t="shared" si="0"/>
        <v>5230</v>
      </c>
      <c r="J16" s="19" t="s">
        <v>37</v>
      </c>
      <c r="K16" s="19" t="s">
        <v>37</v>
      </c>
      <c r="L16" s="19" t="s">
        <v>2282</v>
      </c>
      <c r="M16" s="19"/>
      <c r="N16" s="19"/>
      <c r="O16" s="19"/>
      <c r="P16" s="19"/>
      <c r="Q16" s="19">
        <v>1</v>
      </c>
    </row>
    <row r="17" spans="1:18" customFormat="1" x14ac:dyDescent="0.25">
      <c r="A17" s="19" t="s">
        <v>107</v>
      </c>
      <c r="B17" s="19" t="s">
        <v>32</v>
      </c>
      <c r="C17" s="19" t="s">
        <v>847</v>
      </c>
      <c r="D17" s="19"/>
      <c r="E17" s="19" t="s">
        <v>848</v>
      </c>
      <c r="F17" s="19" t="s">
        <v>117</v>
      </c>
      <c r="G17" s="20">
        <v>2674</v>
      </c>
      <c r="H17" s="20">
        <v>35</v>
      </c>
      <c r="I17" s="20">
        <f t="shared" si="0"/>
        <v>2639</v>
      </c>
      <c r="J17" s="19" t="s">
        <v>37</v>
      </c>
      <c r="K17" s="19" t="s">
        <v>37</v>
      </c>
      <c r="L17" s="19" t="s">
        <v>2282</v>
      </c>
      <c r="M17" s="19"/>
      <c r="N17" s="19"/>
      <c r="O17" s="19"/>
      <c r="P17" s="19"/>
      <c r="Q17" s="19">
        <v>1</v>
      </c>
    </row>
    <row r="18" spans="1:18" customFormat="1" x14ac:dyDescent="0.25">
      <c r="A18" s="19" t="s">
        <v>107</v>
      </c>
      <c r="B18" s="19" t="s">
        <v>32</v>
      </c>
      <c r="C18" s="19" t="s">
        <v>160</v>
      </c>
      <c r="D18" s="19"/>
      <c r="E18" s="19" t="s">
        <v>161</v>
      </c>
      <c r="F18" s="19" t="s">
        <v>117</v>
      </c>
      <c r="G18" s="20">
        <v>0</v>
      </c>
      <c r="H18" s="20">
        <v>30</v>
      </c>
      <c r="I18" s="20">
        <f t="shared" si="0"/>
        <v>-30</v>
      </c>
      <c r="J18" s="19" t="s">
        <v>37</v>
      </c>
      <c r="K18" s="19" t="s">
        <v>37</v>
      </c>
      <c r="L18" s="19" t="s">
        <v>2282</v>
      </c>
      <c r="M18" s="19"/>
      <c r="N18" s="19"/>
      <c r="O18" s="19"/>
      <c r="P18" s="19"/>
      <c r="Q18" s="19">
        <v>1</v>
      </c>
      <c r="R18" s="21">
        <f>H18</f>
        <v>30</v>
      </c>
    </row>
    <row r="19" spans="1:18" customFormat="1" x14ac:dyDescent="0.25">
      <c r="A19" s="19" t="s">
        <v>107</v>
      </c>
      <c r="B19" s="19" t="s">
        <v>32</v>
      </c>
      <c r="C19" s="19" t="s">
        <v>2316</v>
      </c>
      <c r="D19" s="19"/>
      <c r="E19" s="19" t="s">
        <v>2317</v>
      </c>
      <c r="F19" s="19" t="s">
        <v>173</v>
      </c>
      <c r="G19" s="20">
        <v>40</v>
      </c>
      <c r="H19" s="20">
        <v>40</v>
      </c>
      <c r="I19" s="20">
        <f t="shared" si="0"/>
        <v>0</v>
      </c>
      <c r="J19" s="19" t="s">
        <v>37</v>
      </c>
      <c r="K19" s="19" t="s">
        <v>37</v>
      </c>
      <c r="L19" s="19" t="s">
        <v>2282</v>
      </c>
      <c r="M19" s="19"/>
      <c r="N19" s="19"/>
      <c r="O19" s="19"/>
      <c r="P19" s="19"/>
      <c r="Q19" s="19">
        <v>1</v>
      </c>
    </row>
    <row r="20" spans="1:18" customFormat="1" x14ac:dyDescent="0.25">
      <c r="A20" s="19"/>
      <c r="B20" s="19" t="s">
        <v>32</v>
      </c>
      <c r="C20" s="19" t="s">
        <v>2318</v>
      </c>
      <c r="D20" s="19" t="s">
        <v>2319</v>
      </c>
      <c r="E20" s="19" t="s">
        <v>2320</v>
      </c>
      <c r="F20" s="19" t="s">
        <v>117</v>
      </c>
      <c r="G20" s="20">
        <v>965</v>
      </c>
      <c r="H20" s="20">
        <v>25</v>
      </c>
      <c r="I20" s="20">
        <f t="shared" si="0"/>
        <v>940</v>
      </c>
      <c r="J20" s="19" t="s">
        <v>37</v>
      </c>
      <c r="K20" s="19" t="s">
        <v>37</v>
      </c>
      <c r="L20" s="19" t="s">
        <v>2282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1390</v>
      </c>
      <c r="D21" s="19" t="s">
        <v>2321</v>
      </c>
      <c r="E21" s="19" t="s">
        <v>1392</v>
      </c>
      <c r="F21" s="19" t="s">
        <v>124</v>
      </c>
      <c r="G21" s="20">
        <v>0</v>
      </c>
      <c r="H21" s="20">
        <v>20</v>
      </c>
      <c r="I21" s="20">
        <f t="shared" si="0"/>
        <v>-20</v>
      </c>
      <c r="J21" s="19" t="s">
        <v>37</v>
      </c>
      <c r="K21" s="19" t="s">
        <v>37</v>
      </c>
      <c r="L21" s="19" t="s">
        <v>2282</v>
      </c>
      <c r="M21" s="19"/>
      <c r="N21" s="19"/>
      <c r="O21" s="19"/>
      <c r="P21" s="19"/>
      <c r="Q21" s="19">
        <v>1</v>
      </c>
      <c r="R21" s="21">
        <f>H21</f>
        <v>20</v>
      </c>
    </row>
    <row r="22" spans="1:18" customFormat="1" x14ac:dyDescent="0.25">
      <c r="A22" s="19"/>
      <c r="B22" s="19" t="s">
        <v>32</v>
      </c>
      <c r="C22" s="19" t="s">
        <v>2322</v>
      </c>
      <c r="D22" s="19" t="s">
        <v>2323</v>
      </c>
      <c r="E22" s="19" t="s">
        <v>2324</v>
      </c>
      <c r="F22" s="19" t="s">
        <v>138</v>
      </c>
      <c r="G22" s="20">
        <v>920</v>
      </c>
      <c r="H22" s="20">
        <v>30</v>
      </c>
      <c r="I22" s="20">
        <f t="shared" si="0"/>
        <v>890</v>
      </c>
      <c r="J22" s="19" t="s">
        <v>37</v>
      </c>
      <c r="K22" s="19" t="s">
        <v>37</v>
      </c>
      <c r="L22" s="19" t="s">
        <v>2282</v>
      </c>
      <c r="M22" s="19"/>
      <c r="N22" s="19"/>
      <c r="O22" s="19"/>
      <c r="P22" s="19"/>
      <c r="Q22" s="19">
        <v>1</v>
      </c>
    </row>
    <row r="23" spans="1:18" customFormat="1" x14ac:dyDescent="0.25">
      <c r="A23" s="19"/>
      <c r="B23" s="19" t="s">
        <v>32</v>
      </c>
      <c r="C23" s="19" t="s">
        <v>1393</v>
      </c>
      <c r="D23" s="19" t="s">
        <v>2325</v>
      </c>
      <c r="E23" s="19" t="s">
        <v>2326</v>
      </c>
      <c r="F23" s="19" t="s">
        <v>117</v>
      </c>
      <c r="G23" s="20">
        <v>0</v>
      </c>
      <c r="H23" s="20">
        <v>25</v>
      </c>
      <c r="I23" s="20">
        <f t="shared" si="0"/>
        <v>-25</v>
      </c>
      <c r="J23" s="19" t="s">
        <v>37</v>
      </c>
      <c r="K23" s="19" t="s">
        <v>37</v>
      </c>
      <c r="L23" s="19" t="s">
        <v>2282</v>
      </c>
      <c r="M23" s="19"/>
      <c r="N23" s="19"/>
      <c r="O23" s="19"/>
      <c r="P23" s="19"/>
      <c r="Q23" s="19">
        <v>1</v>
      </c>
      <c r="R23" s="21">
        <f>H23</f>
        <v>25</v>
      </c>
    </row>
    <row r="24" spans="1:18" customFormat="1" x14ac:dyDescent="0.25">
      <c r="A24" s="19"/>
      <c r="B24" s="19" t="s">
        <v>32</v>
      </c>
      <c r="C24" s="19" t="s">
        <v>2327</v>
      </c>
      <c r="D24" s="19" t="s">
        <v>2328</v>
      </c>
      <c r="E24" s="19" t="s">
        <v>2329</v>
      </c>
      <c r="F24" s="19" t="s">
        <v>173</v>
      </c>
      <c r="G24" s="20">
        <v>515</v>
      </c>
      <c r="H24" s="20">
        <v>25</v>
      </c>
      <c r="I24" s="20">
        <f t="shared" si="0"/>
        <v>490</v>
      </c>
      <c r="J24" s="19" t="s">
        <v>37</v>
      </c>
      <c r="K24" s="19" t="s">
        <v>37</v>
      </c>
      <c r="L24" s="19" t="s">
        <v>2282</v>
      </c>
      <c r="M24" s="19"/>
      <c r="N24" s="19"/>
      <c r="O24" s="19"/>
      <c r="P24" s="19"/>
      <c r="Q24" s="19">
        <v>1</v>
      </c>
    </row>
    <row r="25" spans="1:18" customFormat="1" x14ac:dyDescent="0.25">
      <c r="A25" s="19"/>
      <c r="B25" s="19" t="s">
        <v>32</v>
      </c>
      <c r="C25" s="19" t="s">
        <v>1810</v>
      </c>
      <c r="D25" s="19" t="s">
        <v>2330</v>
      </c>
      <c r="E25" s="19" t="s">
        <v>2331</v>
      </c>
      <c r="F25" s="19" t="s">
        <v>173</v>
      </c>
      <c r="G25" s="20">
        <v>665</v>
      </c>
      <c r="H25" s="20">
        <v>25</v>
      </c>
      <c r="I25" s="20">
        <f t="shared" si="0"/>
        <v>640</v>
      </c>
      <c r="J25" s="19" t="s">
        <v>37</v>
      </c>
      <c r="K25" s="19" t="s">
        <v>37</v>
      </c>
      <c r="L25" s="19" t="s">
        <v>2282</v>
      </c>
      <c r="M25" s="19"/>
      <c r="N25" s="19"/>
      <c r="O25" s="19"/>
      <c r="P25" s="19"/>
      <c r="Q25" s="19">
        <v>1</v>
      </c>
    </row>
    <row r="26" spans="1:18" customFormat="1" x14ac:dyDescent="0.25">
      <c r="A26" s="19"/>
      <c r="B26" s="19" t="s">
        <v>32</v>
      </c>
      <c r="C26" s="19" t="s">
        <v>513</v>
      </c>
      <c r="D26" s="19" t="s">
        <v>2332</v>
      </c>
      <c r="E26" s="19" t="s">
        <v>515</v>
      </c>
      <c r="F26" s="19" t="s">
        <v>124</v>
      </c>
      <c r="G26" s="20">
        <v>1420</v>
      </c>
      <c r="H26" s="20">
        <v>20</v>
      </c>
      <c r="I26" s="20">
        <f t="shared" si="0"/>
        <v>1400</v>
      </c>
      <c r="J26" s="19" t="s">
        <v>37</v>
      </c>
      <c r="K26" s="19" t="s">
        <v>37</v>
      </c>
      <c r="L26" s="19" t="s">
        <v>2282</v>
      </c>
      <c r="M26" s="19"/>
      <c r="N26" s="19"/>
      <c r="O26" s="19"/>
      <c r="P26" s="19"/>
      <c r="Q26" s="19">
        <v>1</v>
      </c>
    </row>
    <row r="27" spans="1:18" s="26" customFormat="1" x14ac:dyDescent="0.25">
      <c r="A27" s="23"/>
      <c r="B27" s="23" t="s">
        <v>32</v>
      </c>
      <c r="C27" s="23" t="s">
        <v>2095</v>
      </c>
      <c r="D27" s="23" t="s">
        <v>2333</v>
      </c>
      <c r="E27" s="23" t="s">
        <v>2097</v>
      </c>
      <c r="F27" s="23" t="s">
        <v>124</v>
      </c>
      <c r="G27" s="24">
        <v>70</v>
      </c>
      <c r="H27" s="24">
        <v>20</v>
      </c>
      <c r="I27" s="24">
        <f t="shared" si="0"/>
        <v>50</v>
      </c>
      <c r="J27" s="23" t="s">
        <v>37</v>
      </c>
      <c r="K27" s="23" t="s">
        <v>37</v>
      </c>
      <c r="L27" s="23" t="s">
        <v>2282</v>
      </c>
      <c r="M27" s="23" t="s">
        <v>148</v>
      </c>
      <c r="N27" s="23"/>
      <c r="O27" s="23"/>
      <c r="P27" s="23"/>
      <c r="Q27" s="23">
        <v>1</v>
      </c>
    </row>
    <row r="28" spans="1:18" customFormat="1" x14ac:dyDescent="0.25">
      <c r="A28" s="19"/>
      <c r="B28" s="19" t="s">
        <v>32</v>
      </c>
      <c r="C28" s="19" t="s">
        <v>2334</v>
      </c>
      <c r="D28" s="19" t="s">
        <v>2335</v>
      </c>
      <c r="E28" s="19" t="s">
        <v>1833</v>
      </c>
      <c r="F28" s="19" t="s">
        <v>117</v>
      </c>
      <c r="G28" s="20">
        <v>875</v>
      </c>
      <c r="H28" s="20">
        <v>25</v>
      </c>
      <c r="I28" s="20">
        <f t="shared" si="0"/>
        <v>850</v>
      </c>
      <c r="J28" s="19" t="s">
        <v>37</v>
      </c>
      <c r="K28" s="19" t="s">
        <v>37</v>
      </c>
      <c r="L28" s="19" t="s">
        <v>2282</v>
      </c>
      <c r="M28" s="19"/>
      <c r="N28" s="19"/>
      <c r="O28" s="19"/>
      <c r="P28" s="19"/>
      <c r="Q28" s="19">
        <v>1</v>
      </c>
    </row>
    <row r="29" spans="1:18" customFormat="1" x14ac:dyDescent="0.25">
      <c r="A29" s="19"/>
      <c r="B29" s="19" t="s">
        <v>32</v>
      </c>
      <c r="C29" s="19" t="s">
        <v>2336</v>
      </c>
      <c r="D29" s="19" t="s">
        <v>2337</v>
      </c>
      <c r="E29" s="19" t="s">
        <v>2338</v>
      </c>
      <c r="F29" s="19" t="s">
        <v>117</v>
      </c>
      <c r="G29" s="20">
        <v>515</v>
      </c>
      <c r="H29" s="20">
        <v>25</v>
      </c>
      <c r="I29" s="20">
        <f t="shared" si="0"/>
        <v>490</v>
      </c>
      <c r="J29" s="19" t="s">
        <v>37</v>
      </c>
      <c r="K29" s="19" t="s">
        <v>37</v>
      </c>
      <c r="L29" s="19" t="s">
        <v>2282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2339</v>
      </c>
      <c r="D30" s="19" t="s">
        <v>2340</v>
      </c>
      <c r="E30" s="19" t="s">
        <v>2341</v>
      </c>
      <c r="F30" s="19" t="s">
        <v>124</v>
      </c>
      <c r="G30" s="20">
        <v>950</v>
      </c>
      <c r="H30" s="20">
        <v>20</v>
      </c>
      <c r="I30" s="20">
        <f t="shared" si="0"/>
        <v>930</v>
      </c>
      <c r="J30" s="19" t="s">
        <v>37</v>
      </c>
      <c r="K30" s="19" t="s">
        <v>37</v>
      </c>
      <c r="L30" s="19" t="s">
        <v>2282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1832</v>
      </c>
      <c r="D31" s="19" t="s">
        <v>2342</v>
      </c>
      <c r="E31" s="19" t="s">
        <v>2343</v>
      </c>
      <c r="F31" s="20">
        <v>2</v>
      </c>
      <c r="G31" s="20">
        <v>890</v>
      </c>
      <c r="H31" s="20">
        <v>30</v>
      </c>
      <c r="I31" s="20">
        <f t="shared" si="0"/>
        <v>860</v>
      </c>
      <c r="J31" s="19" t="s">
        <v>37</v>
      </c>
      <c r="K31" s="19" t="s">
        <v>37</v>
      </c>
      <c r="L31" s="19" t="s">
        <v>2282</v>
      </c>
      <c r="M31" s="19"/>
      <c r="N31" s="19"/>
      <c r="O31" s="19"/>
      <c r="P31" s="19"/>
      <c r="Q31" s="19">
        <v>1</v>
      </c>
    </row>
    <row r="32" spans="1:18" customFormat="1" x14ac:dyDescent="0.25">
      <c r="A32" s="19"/>
      <c r="B32" s="19" t="s">
        <v>32</v>
      </c>
      <c r="C32" s="19" t="s">
        <v>2344</v>
      </c>
      <c r="D32" s="19" t="s">
        <v>2345</v>
      </c>
      <c r="E32" s="19" t="s">
        <v>2346</v>
      </c>
      <c r="F32" s="19" t="s">
        <v>124</v>
      </c>
      <c r="G32" s="20">
        <v>4130</v>
      </c>
      <c r="H32" s="20">
        <v>30</v>
      </c>
      <c r="I32" s="20">
        <f t="shared" si="0"/>
        <v>4100</v>
      </c>
      <c r="J32" s="19" t="s">
        <v>37</v>
      </c>
      <c r="K32" s="19" t="s">
        <v>37</v>
      </c>
      <c r="L32" s="19" t="s">
        <v>2282</v>
      </c>
      <c r="M32" s="22" t="s">
        <v>183</v>
      </c>
      <c r="N32" s="19"/>
      <c r="O32" s="19"/>
      <c r="P32" s="19"/>
      <c r="Q32" s="19">
        <v>1</v>
      </c>
      <c r="R32" s="21">
        <f>H32</f>
        <v>30</v>
      </c>
    </row>
    <row r="33" spans="1:18" customFormat="1" x14ac:dyDescent="0.25">
      <c r="A33" s="19"/>
      <c r="B33" s="19" t="s">
        <v>32</v>
      </c>
      <c r="C33" s="19" t="s">
        <v>1503</v>
      </c>
      <c r="D33" s="19" t="s">
        <v>2347</v>
      </c>
      <c r="E33" s="19" t="s">
        <v>1505</v>
      </c>
      <c r="F33" s="20">
        <v>2</v>
      </c>
      <c r="G33" s="20">
        <v>1700</v>
      </c>
      <c r="H33" s="20">
        <v>30</v>
      </c>
      <c r="I33" s="20">
        <f t="shared" si="0"/>
        <v>1670</v>
      </c>
      <c r="J33" s="19" t="s">
        <v>37</v>
      </c>
      <c r="K33" s="19" t="s">
        <v>37</v>
      </c>
      <c r="L33" s="19" t="s">
        <v>2282</v>
      </c>
      <c r="M33" s="19"/>
      <c r="N33" s="19"/>
      <c r="O33" s="19"/>
      <c r="P33" s="19"/>
      <c r="Q33" s="19">
        <v>1</v>
      </c>
    </row>
    <row r="34" spans="1:18" customFormat="1" x14ac:dyDescent="0.25">
      <c r="A34" s="19"/>
      <c r="B34" s="19" t="s">
        <v>32</v>
      </c>
      <c r="C34" s="19" t="s">
        <v>1425</v>
      </c>
      <c r="D34" s="19" t="s">
        <v>2348</v>
      </c>
      <c r="E34" s="19" t="s">
        <v>1427</v>
      </c>
      <c r="F34" s="19" t="s">
        <v>124</v>
      </c>
      <c r="G34" s="20">
        <v>810</v>
      </c>
      <c r="H34" s="20">
        <v>20</v>
      </c>
      <c r="I34" s="20">
        <f t="shared" si="0"/>
        <v>790</v>
      </c>
      <c r="J34" s="19" t="s">
        <v>37</v>
      </c>
      <c r="K34" s="19" t="s">
        <v>37</v>
      </c>
      <c r="L34" s="19" t="s">
        <v>2282</v>
      </c>
      <c r="M34" s="19"/>
      <c r="N34" s="19"/>
      <c r="O34" s="19"/>
      <c r="P34" s="19"/>
      <c r="Q34" s="19">
        <v>1</v>
      </c>
    </row>
    <row r="35" spans="1:18" customFormat="1" x14ac:dyDescent="0.25">
      <c r="A35" s="19"/>
      <c r="B35" s="19" t="s">
        <v>32</v>
      </c>
      <c r="C35" s="19" t="s">
        <v>2087</v>
      </c>
      <c r="D35" s="19" t="s">
        <v>2349</v>
      </c>
      <c r="E35" s="19" t="s">
        <v>2089</v>
      </c>
      <c r="F35" s="19" t="s">
        <v>173</v>
      </c>
      <c r="G35" s="20">
        <v>885</v>
      </c>
      <c r="H35" s="20">
        <v>25</v>
      </c>
      <c r="I35" s="20">
        <f t="shared" si="0"/>
        <v>860</v>
      </c>
      <c r="J35" s="19" t="s">
        <v>37</v>
      </c>
      <c r="K35" s="19" t="s">
        <v>37</v>
      </c>
      <c r="L35" s="19" t="s">
        <v>2282</v>
      </c>
      <c r="M35" s="19"/>
      <c r="N35" s="19"/>
      <c r="O35" s="19"/>
      <c r="P35" s="19"/>
      <c r="Q35" s="19">
        <v>1</v>
      </c>
    </row>
    <row r="36" spans="1:18" customFormat="1" x14ac:dyDescent="0.25">
      <c r="A36" s="19" t="s">
        <v>107</v>
      </c>
      <c r="B36" s="19" t="s">
        <v>32</v>
      </c>
      <c r="C36" s="19" t="s">
        <v>444</v>
      </c>
      <c r="D36" s="19"/>
      <c r="E36" s="19" t="s">
        <v>445</v>
      </c>
      <c r="F36" s="19" t="s">
        <v>2350</v>
      </c>
      <c r="G36" s="20">
        <v>0</v>
      </c>
      <c r="H36" s="20">
        <v>30</v>
      </c>
      <c r="I36" s="20">
        <f t="shared" si="0"/>
        <v>-30</v>
      </c>
      <c r="J36" s="19" t="s">
        <v>169</v>
      </c>
      <c r="K36" s="19" t="s">
        <v>37</v>
      </c>
      <c r="L36" s="19" t="s">
        <v>2282</v>
      </c>
      <c r="M36" s="19"/>
      <c r="N36" s="19"/>
      <c r="O36" s="19"/>
      <c r="P36" s="19"/>
      <c r="Q36" s="19">
        <v>1</v>
      </c>
      <c r="R36" s="21">
        <f>H36</f>
        <v>30</v>
      </c>
    </row>
    <row r="37" spans="1:18" customFormat="1" x14ac:dyDescent="0.25">
      <c r="A37" s="19"/>
      <c r="B37" s="19" t="s">
        <v>32</v>
      </c>
      <c r="C37" s="19" t="s">
        <v>2351</v>
      </c>
      <c r="D37" s="19" t="s">
        <v>2352</v>
      </c>
      <c r="E37" s="19" t="s">
        <v>2353</v>
      </c>
      <c r="F37" s="20">
        <v>7</v>
      </c>
      <c r="G37" s="20">
        <v>1590</v>
      </c>
      <c r="H37" s="20">
        <v>30</v>
      </c>
      <c r="I37" s="20">
        <f t="shared" si="0"/>
        <v>1560</v>
      </c>
      <c r="J37" s="19" t="s">
        <v>169</v>
      </c>
      <c r="K37" s="19" t="s">
        <v>37</v>
      </c>
      <c r="L37" s="19" t="s">
        <v>2282</v>
      </c>
      <c r="M37" s="19"/>
      <c r="N37" s="19"/>
      <c r="O37" s="19"/>
      <c r="P37" s="19"/>
      <c r="Q37" s="19">
        <v>1</v>
      </c>
    </row>
    <row r="38" spans="1:18" customFormat="1" x14ac:dyDescent="0.25">
      <c r="A38" s="19"/>
      <c r="B38" s="19" t="s">
        <v>32</v>
      </c>
      <c r="C38" s="19" t="s">
        <v>536</v>
      </c>
      <c r="D38" s="19" t="s">
        <v>2354</v>
      </c>
      <c r="E38" s="19" t="s">
        <v>538</v>
      </c>
      <c r="F38" s="20">
        <v>10</v>
      </c>
      <c r="G38" s="20">
        <v>885</v>
      </c>
      <c r="H38" s="20">
        <v>25</v>
      </c>
      <c r="I38" s="20">
        <f t="shared" si="0"/>
        <v>860</v>
      </c>
      <c r="J38" s="19" t="s">
        <v>169</v>
      </c>
      <c r="K38" s="19" t="s">
        <v>37</v>
      </c>
      <c r="L38" s="19" t="s">
        <v>2282</v>
      </c>
      <c r="M38" s="19"/>
      <c r="N38" s="19"/>
      <c r="O38" s="19"/>
      <c r="P38" s="19"/>
      <c r="Q38" s="19">
        <v>1</v>
      </c>
    </row>
    <row r="39" spans="1:18" customFormat="1" x14ac:dyDescent="0.25">
      <c r="A39" s="19"/>
      <c r="B39" s="19" t="s">
        <v>32</v>
      </c>
      <c r="C39" s="19" t="s">
        <v>2355</v>
      </c>
      <c r="D39" s="19" t="s">
        <v>2356</v>
      </c>
      <c r="E39" s="19" t="s">
        <v>2357</v>
      </c>
      <c r="F39" s="20">
        <v>1</v>
      </c>
      <c r="G39" s="20">
        <v>1005</v>
      </c>
      <c r="H39" s="20">
        <v>25</v>
      </c>
      <c r="I39" s="20">
        <f t="shared" si="0"/>
        <v>980</v>
      </c>
      <c r="J39" s="19" t="s">
        <v>169</v>
      </c>
      <c r="K39" s="19" t="s">
        <v>37</v>
      </c>
      <c r="L39" s="19" t="s">
        <v>2282</v>
      </c>
      <c r="M39" s="19"/>
      <c r="N39" s="19"/>
      <c r="O39" s="19"/>
      <c r="P39" s="19"/>
      <c r="Q39" s="19">
        <v>1</v>
      </c>
    </row>
    <row r="40" spans="1:18" customFormat="1" x14ac:dyDescent="0.25">
      <c r="A40" s="19"/>
      <c r="B40" s="19" t="s">
        <v>32</v>
      </c>
      <c r="C40" s="19" t="s">
        <v>1962</v>
      </c>
      <c r="D40" s="19" t="s">
        <v>2358</v>
      </c>
      <c r="E40" s="19" t="s">
        <v>2359</v>
      </c>
      <c r="F40" s="20">
        <v>10</v>
      </c>
      <c r="G40" s="20">
        <v>515</v>
      </c>
      <c r="H40" s="20">
        <v>25</v>
      </c>
      <c r="I40" s="20">
        <f t="shared" si="0"/>
        <v>490</v>
      </c>
      <c r="J40" s="19" t="s">
        <v>169</v>
      </c>
      <c r="K40" s="19" t="s">
        <v>37</v>
      </c>
      <c r="L40" s="19" t="s">
        <v>2282</v>
      </c>
      <c r="M40" s="19"/>
      <c r="N40" s="19"/>
      <c r="O40" s="19"/>
      <c r="P40" s="19"/>
      <c r="Q40" s="19">
        <v>1</v>
      </c>
    </row>
    <row r="41" spans="1:18" s="26" customFormat="1" x14ac:dyDescent="0.25">
      <c r="A41" s="23"/>
      <c r="B41" s="23" t="s">
        <v>32</v>
      </c>
      <c r="C41" s="23" t="s">
        <v>2175</v>
      </c>
      <c r="D41" s="23" t="s">
        <v>2360</v>
      </c>
      <c r="E41" s="23" t="s">
        <v>2177</v>
      </c>
      <c r="F41" s="24">
        <v>4</v>
      </c>
      <c r="G41" s="24">
        <v>75</v>
      </c>
      <c r="H41" s="24">
        <v>25</v>
      </c>
      <c r="I41" s="24">
        <f t="shared" si="0"/>
        <v>50</v>
      </c>
      <c r="J41" s="23" t="s">
        <v>169</v>
      </c>
      <c r="K41" s="23" t="s">
        <v>37</v>
      </c>
      <c r="L41" s="23" t="s">
        <v>2282</v>
      </c>
      <c r="M41" s="23" t="s">
        <v>148</v>
      </c>
      <c r="N41" s="23"/>
      <c r="O41" s="23"/>
      <c r="P41" s="23"/>
      <c r="Q41" s="23">
        <v>1</v>
      </c>
    </row>
    <row r="42" spans="1:18" customFormat="1" x14ac:dyDescent="0.25">
      <c r="A42" s="19"/>
      <c r="B42" s="19" t="s">
        <v>32</v>
      </c>
      <c r="C42" s="19" t="s">
        <v>2361</v>
      </c>
      <c r="D42" s="19" t="s">
        <v>2362</v>
      </c>
      <c r="E42" s="19" t="s">
        <v>2363</v>
      </c>
      <c r="F42" s="20">
        <v>1</v>
      </c>
      <c r="G42" s="20">
        <v>845</v>
      </c>
      <c r="H42" s="20">
        <v>25</v>
      </c>
      <c r="I42" s="20">
        <f t="shared" si="0"/>
        <v>820</v>
      </c>
      <c r="J42" s="19" t="s">
        <v>169</v>
      </c>
      <c r="K42" s="19" t="s">
        <v>37</v>
      </c>
      <c r="L42" s="19" t="s">
        <v>2282</v>
      </c>
      <c r="M42" s="19"/>
      <c r="N42" s="19"/>
      <c r="O42" s="19"/>
      <c r="P42" s="19"/>
      <c r="Q42" s="19">
        <v>1</v>
      </c>
    </row>
    <row r="43" spans="1:18" customFormat="1" x14ac:dyDescent="0.25">
      <c r="A43" s="19"/>
      <c r="B43" s="19" t="s">
        <v>32</v>
      </c>
      <c r="C43" s="19" t="s">
        <v>337</v>
      </c>
      <c r="D43" s="19" t="s">
        <v>2364</v>
      </c>
      <c r="E43" s="19" t="s">
        <v>339</v>
      </c>
      <c r="F43" s="20">
        <v>5</v>
      </c>
      <c r="G43" s="20">
        <v>515</v>
      </c>
      <c r="H43" s="20">
        <v>25</v>
      </c>
      <c r="I43" s="20">
        <f t="shared" si="0"/>
        <v>490</v>
      </c>
      <c r="J43" s="19" t="s">
        <v>169</v>
      </c>
      <c r="K43" s="19" t="s">
        <v>37</v>
      </c>
      <c r="L43" s="19" t="s">
        <v>2282</v>
      </c>
      <c r="M43" s="19"/>
      <c r="N43" s="19"/>
      <c r="O43" s="19"/>
      <c r="P43" s="19"/>
      <c r="Q43" s="19">
        <v>1</v>
      </c>
    </row>
    <row r="44" spans="1:18" customFormat="1" x14ac:dyDescent="0.25">
      <c r="A44" s="19"/>
      <c r="B44" s="19" t="s">
        <v>32</v>
      </c>
      <c r="C44" s="19" t="s">
        <v>2365</v>
      </c>
      <c r="D44" s="19" t="s">
        <v>2366</v>
      </c>
      <c r="E44" s="19" t="s">
        <v>2367</v>
      </c>
      <c r="F44" s="20">
        <v>10</v>
      </c>
      <c r="G44" s="20">
        <v>0</v>
      </c>
      <c r="H44" s="20">
        <v>25</v>
      </c>
      <c r="I44" s="20">
        <f t="shared" si="0"/>
        <v>-25</v>
      </c>
      <c r="J44" s="19" t="s">
        <v>169</v>
      </c>
      <c r="K44" s="19" t="s">
        <v>37</v>
      </c>
      <c r="L44" s="19" t="s">
        <v>2282</v>
      </c>
      <c r="M44" s="19"/>
      <c r="N44" s="19"/>
      <c r="O44" s="19"/>
      <c r="P44" s="19"/>
      <c r="Q44" s="19">
        <v>1</v>
      </c>
      <c r="R44" s="21">
        <f t="shared" ref="R44:R45" si="1">H44</f>
        <v>25</v>
      </c>
    </row>
    <row r="45" spans="1:18" customFormat="1" x14ac:dyDescent="0.25">
      <c r="A45" s="19"/>
      <c r="B45" s="19" t="s">
        <v>32</v>
      </c>
      <c r="C45" s="19" t="s">
        <v>2368</v>
      </c>
      <c r="D45" s="19" t="s">
        <v>2369</v>
      </c>
      <c r="E45" s="19" t="s">
        <v>783</v>
      </c>
      <c r="F45" s="19" t="s">
        <v>173</v>
      </c>
      <c r="G45" s="20">
        <v>0</v>
      </c>
      <c r="H45" s="20">
        <v>25</v>
      </c>
      <c r="I45" s="20">
        <f t="shared" si="0"/>
        <v>-25</v>
      </c>
      <c r="J45" s="19" t="s">
        <v>169</v>
      </c>
      <c r="K45" s="19" t="s">
        <v>37</v>
      </c>
      <c r="L45" s="19" t="s">
        <v>2282</v>
      </c>
      <c r="M45" s="19"/>
      <c r="N45" s="19"/>
      <c r="O45" s="19"/>
      <c r="P45" s="19"/>
      <c r="Q45" s="19">
        <v>1</v>
      </c>
      <c r="R45" s="21">
        <f t="shared" si="1"/>
        <v>25</v>
      </c>
    </row>
    <row r="46" spans="1:18" customFormat="1" x14ac:dyDescent="0.25">
      <c r="A46" s="19"/>
      <c r="B46" s="19" t="s">
        <v>32</v>
      </c>
      <c r="C46" s="19" t="s">
        <v>2370</v>
      </c>
      <c r="D46" s="19" t="s">
        <v>2371</v>
      </c>
      <c r="E46" s="19" t="s">
        <v>2372</v>
      </c>
      <c r="F46" s="20">
        <v>5</v>
      </c>
      <c r="G46" s="20">
        <v>905</v>
      </c>
      <c r="H46" s="20">
        <v>25</v>
      </c>
      <c r="I46" s="20">
        <f t="shared" si="0"/>
        <v>880</v>
      </c>
      <c r="J46" s="19" t="s">
        <v>169</v>
      </c>
      <c r="K46" s="19" t="s">
        <v>37</v>
      </c>
      <c r="L46" s="19" t="s">
        <v>2282</v>
      </c>
      <c r="M46" s="19"/>
      <c r="N46" s="19"/>
      <c r="O46" s="19"/>
      <c r="P46" s="19"/>
      <c r="Q46" s="19">
        <v>1</v>
      </c>
    </row>
    <row r="47" spans="1:18" customFormat="1" x14ac:dyDescent="0.25">
      <c r="A47" s="19"/>
      <c r="B47" s="19" t="s">
        <v>32</v>
      </c>
      <c r="C47" s="19" t="s">
        <v>2373</v>
      </c>
      <c r="D47" s="19" t="s">
        <v>2374</v>
      </c>
      <c r="E47" s="19" t="s">
        <v>2375</v>
      </c>
      <c r="F47" s="20">
        <v>7</v>
      </c>
      <c r="G47" s="20">
        <v>1140</v>
      </c>
      <c r="H47" s="20">
        <v>30</v>
      </c>
      <c r="I47" s="20">
        <f t="shared" si="0"/>
        <v>1110</v>
      </c>
      <c r="J47" s="19" t="s">
        <v>169</v>
      </c>
      <c r="K47" s="19" t="s">
        <v>37</v>
      </c>
      <c r="L47" s="19" t="s">
        <v>2282</v>
      </c>
      <c r="M47" s="19"/>
      <c r="N47" s="19"/>
      <c r="O47" s="19"/>
      <c r="P47" s="19"/>
      <c r="Q47" s="19">
        <v>1</v>
      </c>
    </row>
    <row r="48" spans="1:18" customFormat="1" x14ac:dyDescent="0.25">
      <c r="A48" s="19"/>
      <c r="B48" s="19" t="s">
        <v>32</v>
      </c>
      <c r="C48" s="19" t="s">
        <v>2376</v>
      </c>
      <c r="D48" s="19" t="s">
        <v>2377</v>
      </c>
      <c r="E48" s="19" t="s">
        <v>918</v>
      </c>
      <c r="F48" s="20">
        <v>3</v>
      </c>
      <c r="G48" s="20">
        <v>0</v>
      </c>
      <c r="H48" s="20">
        <v>25</v>
      </c>
      <c r="I48" s="20">
        <f t="shared" si="0"/>
        <v>-25</v>
      </c>
      <c r="J48" s="19" t="s">
        <v>169</v>
      </c>
      <c r="K48" s="19" t="s">
        <v>37</v>
      </c>
      <c r="L48" s="19" t="s">
        <v>2282</v>
      </c>
      <c r="M48" s="19"/>
      <c r="N48" s="19"/>
      <c r="O48" s="19"/>
      <c r="P48" s="19"/>
      <c r="Q48" s="19">
        <v>1</v>
      </c>
      <c r="R48" s="21">
        <f>H48</f>
        <v>25</v>
      </c>
    </row>
    <row r="49" spans="1:18" customFormat="1" x14ac:dyDescent="0.25">
      <c r="A49" s="19"/>
      <c r="B49" s="19" t="s">
        <v>32</v>
      </c>
      <c r="C49" s="19" t="s">
        <v>1619</v>
      </c>
      <c r="D49" s="19" t="s">
        <v>2378</v>
      </c>
      <c r="E49" s="19" t="s">
        <v>1621</v>
      </c>
      <c r="F49" s="20">
        <v>10</v>
      </c>
      <c r="G49" s="20">
        <v>645</v>
      </c>
      <c r="H49" s="20">
        <v>25</v>
      </c>
      <c r="I49" s="20">
        <f t="shared" si="0"/>
        <v>620</v>
      </c>
      <c r="J49" s="19" t="s">
        <v>169</v>
      </c>
      <c r="K49" s="19" t="s">
        <v>37</v>
      </c>
      <c r="L49" s="19" t="s">
        <v>2282</v>
      </c>
      <c r="M49" s="19"/>
      <c r="N49" s="19"/>
      <c r="O49" s="19"/>
      <c r="P49" s="19"/>
      <c r="Q49" s="19">
        <v>1</v>
      </c>
    </row>
    <row r="50" spans="1:18" customFormat="1" x14ac:dyDescent="0.25">
      <c r="A50" s="19"/>
      <c r="B50" s="19" t="s">
        <v>32</v>
      </c>
      <c r="C50" s="19" t="s">
        <v>1451</v>
      </c>
      <c r="D50" s="19" t="s">
        <v>2379</v>
      </c>
      <c r="E50" s="19" t="s">
        <v>2380</v>
      </c>
      <c r="F50" s="20">
        <v>5</v>
      </c>
      <c r="G50" s="20">
        <v>0</v>
      </c>
      <c r="H50" s="20">
        <v>25</v>
      </c>
      <c r="I50" s="20">
        <f t="shared" si="0"/>
        <v>-25</v>
      </c>
      <c r="J50" s="19" t="s">
        <v>169</v>
      </c>
      <c r="K50" s="19" t="s">
        <v>37</v>
      </c>
      <c r="L50" s="19" t="s">
        <v>2282</v>
      </c>
      <c r="M50" s="19"/>
      <c r="N50" s="19"/>
      <c r="O50" s="19"/>
      <c r="P50" s="19"/>
      <c r="Q50" s="19">
        <v>1</v>
      </c>
      <c r="R50" s="21">
        <f t="shared" ref="R50:R52" si="2">H50</f>
        <v>25</v>
      </c>
    </row>
    <row r="51" spans="1:18" customFormat="1" x14ac:dyDescent="0.25">
      <c r="A51" s="19"/>
      <c r="B51" s="19" t="s">
        <v>32</v>
      </c>
      <c r="C51" s="19" t="s">
        <v>2381</v>
      </c>
      <c r="D51" s="19" t="s">
        <v>2382</v>
      </c>
      <c r="E51" s="19" t="s">
        <v>2383</v>
      </c>
      <c r="F51" s="19" t="s">
        <v>173</v>
      </c>
      <c r="G51" s="20">
        <v>0</v>
      </c>
      <c r="H51" s="20">
        <v>25</v>
      </c>
      <c r="I51" s="20">
        <f t="shared" si="0"/>
        <v>-25</v>
      </c>
      <c r="J51" s="19" t="s">
        <v>169</v>
      </c>
      <c r="K51" s="19" t="s">
        <v>37</v>
      </c>
      <c r="L51" s="19" t="s">
        <v>2282</v>
      </c>
      <c r="M51" s="19"/>
      <c r="N51" s="19"/>
      <c r="O51" s="19"/>
      <c r="P51" s="19"/>
      <c r="Q51" s="19">
        <v>1</v>
      </c>
      <c r="R51" s="21">
        <f t="shared" si="2"/>
        <v>25</v>
      </c>
    </row>
    <row r="52" spans="1:18" customFormat="1" x14ac:dyDescent="0.25">
      <c r="A52" s="19"/>
      <c r="B52" s="19" t="s">
        <v>32</v>
      </c>
      <c r="C52" s="19" t="s">
        <v>2132</v>
      </c>
      <c r="D52" s="19" t="s">
        <v>2384</v>
      </c>
      <c r="E52" s="19" t="s">
        <v>343</v>
      </c>
      <c r="F52" s="20">
        <v>1</v>
      </c>
      <c r="G52" s="20">
        <v>0</v>
      </c>
      <c r="H52" s="20">
        <v>25</v>
      </c>
      <c r="I52" s="20">
        <f t="shared" si="0"/>
        <v>-25</v>
      </c>
      <c r="J52" s="19" t="s">
        <v>169</v>
      </c>
      <c r="K52" s="19" t="s">
        <v>37</v>
      </c>
      <c r="L52" s="19" t="s">
        <v>2282</v>
      </c>
      <c r="M52" s="19"/>
      <c r="N52" s="19"/>
      <c r="O52" s="19"/>
      <c r="P52" s="19"/>
      <c r="Q52" s="19">
        <v>1</v>
      </c>
      <c r="R52" s="21">
        <f t="shared" si="2"/>
        <v>25</v>
      </c>
    </row>
    <row r="53" spans="1:18" customFormat="1" x14ac:dyDescent="0.25">
      <c r="A53" s="19"/>
      <c r="B53" s="19" t="s">
        <v>32</v>
      </c>
      <c r="C53" s="19" t="s">
        <v>1554</v>
      </c>
      <c r="D53" s="19" t="s">
        <v>2385</v>
      </c>
      <c r="E53" s="19" t="s">
        <v>1556</v>
      </c>
      <c r="F53" s="20">
        <v>1</v>
      </c>
      <c r="G53" s="20">
        <v>25</v>
      </c>
      <c r="H53" s="20">
        <v>25</v>
      </c>
      <c r="I53" s="20">
        <f t="shared" si="0"/>
        <v>0</v>
      </c>
      <c r="J53" s="19" t="s">
        <v>169</v>
      </c>
      <c r="K53" s="19" t="s">
        <v>37</v>
      </c>
      <c r="L53" s="19" t="s">
        <v>2282</v>
      </c>
      <c r="M53" s="19"/>
      <c r="N53" s="19"/>
      <c r="O53" s="19"/>
      <c r="P53" s="19"/>
      <c r="Q53" s="19">
        <v>1</v>
      </c>
    </row>
    <row r="54" spans="1:18" customFormat="1" x14ac:dyDescent="0.25">
      <c r="A54" s="19"/>
      <c r="B54" s="19" t="s">
        <v>32</v>
      </c>
      <c r="C54" s="19" t="s">
        <v>2386</v>
      </c>
      <c r="D54" s="19" t="s">
        <v>2387</v>
      </c>
      <c r="E54" s="19" t="s">
        <v>2388</v>
      </c>
      <c r="F54" s="20">
        <v>4</v>
      </c>
      <c r="G54" s="20">
        <v>765</v>
      </c>
      <c r="H54" s="20">
        <v>25</v>
      </c>
      <c r="I54" s="20">
        <f t="shared" si="0"/>
        <v>740</v>
      </c>
      <c r="J54" s="19" t="s">
        <v>169</v>
      </c>
      <c r="K54" s="19" t="s">
        <v>37</v>
      </c>
      <c r="L54" s="19" t="s">
        <v>2282</v>
      </c>
      <c r="M54" s="19"/>
      <c r="N54" s="19"/>
      <c r="O54" s="19"/>
      <c r="P54" s="19"/>
      <c r="Q54" s="19">
        <v>1</v>
      </c>
    </row>
    <row r="55" spans="1:18" customFormat="1" x14ac:dyDescent="0.25">
      <c r="A55" s="19"/>
      <c r="B55" s="19" t="s">
        <v>32</v>
      </c>
      <c r="C55" s="19" t="s">
        <v>2389</v>
      </c>
      <c r="D55" s="19" t="s">
        <v>2390</v>
      </c>
      <c r="E55" s="19" t="s">
        <v>2391</v>
      </c>
      <c r="F55" s="20">
        <v>10</v>
      </c>
      <c r="G55" s="20">
        <v>0</v>
      </c>
      <c r="H55" s="20">
        <v>25</v>
      </c>
      <c r="I55" s="20">
        <f t="shared" si="0"/>
        <v>-25</v>
      </c>
      <c r="J55" s="19" t="s">
        <v>169</v>
      </c>
      <c r="K55" s="19" t="s">
        <v>37</v>
      </c>
      <c r="L55" s="19" t="s">
        <v>2282</v>
      </c>
      <c r="M55" s="19"/>
      <c r="N55" s="19"/>
      <c r="O55" s="19"/>
      <c r="P55" s="19"/>
      <c r="Q55" s="19">
        <v>1</v>
      </c>
      <c r="R55" s="21">
        <f>H55</f>
        <v>25</v>
      </c>
    </row>
    <row r="56" spans="1:18" customFormat="1" x14ac:dyDescent="0.25">
      <c r="A56" s="19"/>
      <c r="B56" s="19" t="s">
        <v>32</v>
      </c>
      <c r="C56" s="19" t="s">
        <v>2392</v>
      </c>
      <c r="D56" s="19" t="s">
        <v>2393</v>
      </c>
      <c r="E56" s="19" t="s">
        <v>2394</v>
      </c>
      <c r="F56" s="20">
        <v>7</v>
      </c>
      <c r="G56" s="20">
        <v>1150</v>
      </c>
      <c r="H56" s="20">
        <v>30</v>
      </c>
      <c r="I56" s="20">
        <f t="shared" si="0"/>
        <v>1120</v>
      </c>
      <c r="J56" s="19" t="s">
        <v>169</v>
      </c>
      <c r="K56" s="19" t="s">
        <v>37</v>
      </c>
      <c r="L56" s="19" t="s">
        <v>2282</v>
      </c>
      <c r="M56" s="19"/>
      <c r="N56" s="19"/>
      <c r="O56" s="19"/>
      <c r="P56" s="19"/>
      <c r="Q56" s="19">
        <v>1</v>
      </c>
    </row>
    <row r="57" spans="1:18" customFormat="1" x14ac:dyDescent="0.25">
      <c r="A57" s="19"/>
      <c r="B57" s="19" t="s">
        <v>32</v>
      </c>
      <c r="C57" s="19" t="s">
        <v>1544</v>
      </c>
      <c r="D57" s="19" t="s">
        <v>2395</v>
      </c>
      <c r="E57" s="19" t="s">
        <v>1116</v>
      </c>
      <c r="F57" s="20">
        <v>1</v>
      </c>
      <c r="G57" s="20">
        <v>1765</v>
      </c>
      <c r="H57" s="20">
        <v>25</v>
      </c>
      <c r="I57" s="20">
        <f t="shared" si="0"/>
        <v>1740</v>
      </c>
      <c r="J57" s="19" t="s">
        <v>169</v>
      </c>
      <c r="K57" s="19" t="s">
        <v>37</v>
      </c>
      <c r="L57" s="19" t="s">
        <v>2282</v>
      </c>
      <c r="M57" s="19"/>
      <c r="N57" s="19"/>
      <c r="O57" s="19"/>
      <c r="P57" s="19"/>
      <c r="Q57" s="19">
        <v>1</v>
      </c>
    </row>
    <row r="59" spans="1:18" x14ac:dyDescent="0.25">
      <c r="G59" s="1">
        <f t="shared" ref="G59:R59" si="3">SUBTOTAL(9,G3:G57)</f>
        <v>43324</v>
      </c>
      <c r="H59" s="1">
        <f t="shared" si="3"/>
        <v>1505</v>
      </c>
      <c r="I59" s="1">
        <f t="shared" si="3"/>
        <v>41819</v>
      </c>
      <c r="J59" s="1">
        <f t="shared" si="3"/>
        <v>0</v>
      </c>
      <c r="K59" s="1">
        <f t="shared" si="3"/>
        <v>0</v>
      </c>
      <c r="L59" s="1">
        <f t="shared" si="3"/>
        <v>0</v>
      </c>
      <c r="M59" s="1">
        <f t="shared" si="3"/>
        <v>0</v>
      </c>
      <c r="N59" s="1">
        <f t="shared" si="3"/>
        <v>0</v>
      </c>
      <c r="O59" s="1">
        <f t="shared" si="3"/>
        <v>0</v>
      </c>
      <c r="P59" s="1">
        <f t="shared" si="3"/>
        <v>0</v>
      </c>
      <c r="Q59" s="1">
        <f t="shared" si="3"/>
        <v>55</v>
      </c>
      <c r="R59" s="1">
        <f t="shared" si="3"/>
        <v>400</v>
      </c>
    </row>
    <row r="60" spans="1:18" x14ac:dyDescent="0.25">
      <c r="I60" s="1">
        <v>-870</v>
      </c>
      <c r="J60" s="1" t="s">
        <v>2396</v>
      </c>
    </row>
    <row r="63" spans="1:18" ht="20.25" customHeight="1" x14ac:dyDescent="0.3">
      <c r="H63" s="4" t="s">
        <v>2187</v>
      </c>
      <c r="I63" s="5" t="s">
        <v>15</v>
      </c>
      <c r="J63" s="6" t="s">
        <v>16</v>
      </c>
    </row>
    <row r="64" spans="1:18" ht="15.75" customHeight="1" x14ac:dyDescent="0.25">
      <c r="H64" s="7" t="s">
        <v>17</v>
      </c>
      <c r="I64" s="8">
        <f>SUM(I58:I62)</f>
        <v>40949</v>
      </c>
      <c r="J64" s="8">
        <f>Q59</f>
        <v>55</v>
      </c>
    </row>
    <row r="65" spans="8:10" x14ac:dyDescent="0.25">
      <c r="H65" s="9" t="s">
        <v>18</v>
      </c>
      <c r="I65" s="10">
        <f>R59</f>
        <v>400</v>
      </c>
      <c r="J65" s="11"/>
    </row>
    <row r="66" spans="8:10" x14ac:dyDescent="0.25">
      <c r="H66" s="9" t="s">
        <v>19</v>
      </c>
      <c r="I66" s="10">
        <f>S58</f>
        <v>0</v>
      </c>
      <c r="J66" s="11"/>
    </row>
    <row r="67" spans="8:10" x14ac:dyDescent="0.25">
      <c r="H67" s="9" t="s">
        <v>20</v>
      </c>
      <c r="I67" s="10">
        <f>T58</f>
        <v>0</v>
      </c>
      <c r="J67" s="11"/>
    </row>
    <row r="68" spans="8:10" x14ac:dyDescent="0.25">
      <c r="H68" s="9" t="s">
        <v>21</v>
      </c>
      <c r="I68" s="10">
        <f>U58</f>
        <v>0</v>
      </c>
      <c r="J68" s="11"/>
    </row>
    <row r="69" spans="8:10" ht="15.75" customHeight="1" x14ac:dyDescent="0.25">
      <c r="H69" s="12" t="s">
        <v>22</v>
      </c>
      <c r="I69" s="13"/>
      <c r="J69" s="13"/>
    </row>
    <row r="70" spans="8:10" ht="15.75" customHeight="1" x14ac:dyDescent="0.25">
      <c r="H70" s="14" t="s">
        <v>23</v>
      </c>
      <c r="I70" s="13"/>
      <c r="J70" s="13"/>
    </row>
    <row r="71" spans="8:10" ht="21" customHeight="1" x14ac:dyDescent="0.35">
      <c r="H71" s="15" t="s">
        <v>24</v>
      </c>
      <c r="I71" s="16">
        <f>SUM(I64:I70)</f>
        <v>41349</v>
      </c>
      <c r="J71" s="16">
        <f>SUM(J64:J68)</f>
        <v>55</v>
      </c>
    </row>
  </sheetData>
  <autoFilter ref="A2:P57" xr:uid="{00000000-0009-0000-0000-000006000000}">
    <sortState xmlns:xlrd2="http://schemas.microsoft.com/office/spreadsheetml/2017/richdata2" ref="A3:P57">
      <sortCondition ref="J2:J57"/>
    </sortState>
  </autoFilter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D811-7FC6-4D2B-B73C-1154DBD0AECA}">
  <dimension ref="A1:R49"/>
  <sheetViews>
    <sheetView tabSelected="1" topLeftCell="A19" zoomScale="82" zoomScaleNormal="80" workbookViewId="0">
      <selection activeCell="D22" sqref="D22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29</v>
      </c>
      <c r="C1" s="1" t="s">
        <v>2397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customFormat="1" x14ac:dyDescent="0.25">
      <c r="A3" s="19"/>
      <c r="B3" s="19" t="s">
        <v>32</v>
      </c>
      <c r="C3" s="19" t="s">
        <v>2399</v>
      </c>
      <c r="D3" s="19" t="s">
        <v>2400</v>
      </c>
      <c r="E3" s="19" t="s">
        <v>2401</v>
      </c>
      <c r="F3" s="19" t="s">
        <v>45</v>
      </c>
      <c r="G3" s="20">
        <v>0</v>
      </c>
      <c r="H3" s="20">
        <v>30</v>
      </c>
      <c r="I3" s="20">
        <f t="shared" ref="I3:I35" si="0">G3-H3</f>
        <v>-30</v>
      </c>
      <c r="J3" s="19" t="s">
        <v>2402</v>
      </c>
      <c r="K3" s="19" t="s">
        <v>37</v>
      </c>
      <c r="L3" s="19" t="s">
        <v>2403</v>
      </c>
      <c r="M3" s="19"/>
      <c r="N3" s="19"/>
      <c r="O3" s="19"/>
      <c r="P3" s="19"/>
      <c r="Q3" s="19">
        <v>1</v>
      </c>
      <c r="R3" s="21">
        <f>H3</f>
        <v>30</v>
      </c>
    </row>
    <row r="4" spans="1:18" customFormat="1" x14ac:dyDescent="0.25">
      <c r="A4" s="19"/>
      <c r="B4" s="19" t="s">
        <v>32</v>
      </c>
      <c r="C4" s="19" t="s">
        <v>2404</v>
      </c>
      <c r="D4" s="19" t="s">
        <v>2405</v>
      </c>
      <c r="E4" s="19" t="s">
        <v>2406</v>
      </c>
      <c r="F4" s="19" t="s">
        <v>45</v>
      </c>
      <c r="G4" s="20">
        <v>890</v>
      </c>
      <c r="H4" s="20">
        <v>30</v>
      </c>
      <c r="I4" s="20">
        <f t="shared" si="0"/>
        <v>860</v>
      </c>
      <c r="J4" s="19" t="s">
        <v>2402</v>
      </c>
      <c r="K4" s="19" t="s">
        <v>37</v>
      </c>
      <c r="L4" s="19" t="s">
        <v>2403</v>
      </c>
      <c r="M4" s="19"/>
      <c r="N4" s="19"/>
      <c r="O4" s="19"/>
      <c r="P4" s="19"/>
      <c r="Q4" s="19">
        <v>1</v>
      </c>
    </row>
    <row r="5" spans="1:18" customFormat="1" x14ac:dyDescent="0.25">
      <c r="A5" s="19"/>
      <c r="B5" s="19" t="s">
        <v>32</v>
      </c>
      <c r="C5" s="19" t="s">
        <v>2407</v>
      </c>
      <c r="D5" s="19" t="s">
        <v>2408</v>
      </c>
      <c r="E5" s="19" t="s">
        <v>2409</v>
      </c>
      <c r="F5" s="20">
        <v>8</v>
      </c>
      <c r="G5" s="20">
        <v>1720</v>
      </c>
      <c r="H5" s="20">
        <v>30</v>
      </c>
      <c r="I5" s="20">
        <f t="shared" si="0"/>
        <v>1690</v>
      </c>
      <c r="J5" s="19" t="s">
        <v>2402</v>
      </c>
      <c r="K5" s="19" t="s">
        <v>37</v>
      </c>
      <c r="L5" s="19" t="s">
        <v>2403</v>
      </c>
      <c r="M5" s="19"/>
      <c r="N5" s="19"/>
      <c r="O5" s="19"/>
      <c r="P5" s="19"/>
      <c r="Q5" s="19">
        <v>1</v>
      </c>
    </row>
    <row r="6" spans="1:18" customFormat="1" x14ac:dyDescent="0.25">
      <c r="A6" s="19"/>
      <c r="B6" s="19" t="s">
        <v>32</v>
      </c>
      <c r="C6" s="19" t="s">
        <v>1570</v>
      </c>
      <c r="D6" s="19" t="s">
        <v>2410</v>
      </c>
      <c r="E6" s="19" t="s">
        <v>1572</v>
      </c>
      <c r="F6" s="19" t="s">
        <v>45</v>
      </c>
      <c r="G6" s="20">
        <v>0</v>
      </c>
      <c r="H6" s="20">
        <v>30</v>
      </c>
      <c r="I6" s="20">
        <f t="shared" si="0"/>
        <v>-30</v>
      </c>
      <c r="J6" s="19" t="s">
        <v>2402</v>
      </c>
      <c r="K6" s="19" t="s">
        <v>37</v>
      </c>
      <c r="L6" s="19" t="s">
        <v>2403</v>
      </c>
      <c r="M6" s="19"/>
      <c r="N6" s="19"/>
      <c r="O6" s="19"/>
      <c r="P6" s="19"/>
      <c r="Q6" s="19">
        <v>1</v>
      </c>
      <c r="R6" s="21">
        <f>H6</f>
        <v>30</v>
      </c>
    </row>
    <row r="7" spans="1:18" customFormat="1" x14ac:dyDescent="0.25">
      <c r="A7" s="19"/>
      <c r="B7" s="19" t="s">
        <v>32</v>
      </c>
      <c r="C7" s="19" t="s">
        <v>1284</v>
      </c>
      <c r="D7" s="19" t="s">
        <v>2411</v>
      </c>
      <c r="E7" s="19" t="s">
        <v>1286</v>
      </c>
      <c r="F7" s="19" t="s">
        <v>62</v>
      </c>
      <c r="G7" s="20">
        <v>515</v>
      </c>
      <c r="H7" s="20">
        <v>25</v>
      </c>
      <c r="I7" s="20">
        <f t="shared" si="0"/>
        <v>490</v>
      </c>
      <c r="J7" s="19" t="s">
        <v>2402</v>
      </c>
      <c r="K7" s="19" t="s">
        <v>37</v>
      </c>
      <c r="L7" s="19" t="s">
        <v>2403</v>
      </c>
      <c r="M7" s="19"/>
      <c r="N7" s="19"/>
      <c r="O7" s="19"/>
      <c r="P7" s="19"/>
      <c r="Q7" s="19">
        <v>1</v>
      </c>
    </row>
    <row r="8" spans="1:18" customFormat="1" x14ac:dyDescent="0.25">
      <c r="A8" s="19"/>
      <c r="B8" s="19" t="s">
        <v>32</v>
      </c>
      <c r="C8" s="19" t="s">
        <v>2412</v>
      </c>
      <c r="D8" s="19" t="s">
        <v>2413</v>
      </c>
      <c r="E8" s="19" t="s">
        <v>2414</v>
      </c>
      <c r="F8" s="20">
        <v>6</v>
      </c>
      <c r="G8" s="20">
        <v>855</v>
      </c>
      <c r="H8" s="20">
        <v>25</v>
      </c>
      <c r="I8" s="20">
        <f t="shared" si="0"/>
        <v>830</v>
      </c>
      <c r="J8" s="19" t="s">
        <v>2402</v>
      </c>
      <c r="K8" s="19" t="s">
        <v>37</v>
      </c>
      <c r="L8" s="19" t="s">
        <v>2403</v>
      </c>
      <c r="M8" s="19"/>
      <c r="N8" s="19"/>
      <c r="O8" s="19"/>
      <c r="P8" s="19"/>
      <c r="Q8" s="19">
        <v>1</v>
      </c>
    </row>
    <row r="9" spans="1:18" customFormat="1" x14ac:dyDescent="0.25">
      <c r="A9" s="19"/>
      <c r="B9" s="19" t="s">
        <v>32</v>
      </c>
      <c r="C9" s="19" t="s">
        <v>2018</v>
      </c>
      <c r="D9" s="19" t="s">
        <v>2415</v>
      </c>
      <c r="E9" s="19" t="s">
        <v>2416</v>
      </c>
      <c r="F9" s="19" t="s">
        <v>45</v>
      </c>
      <c r="G9" s="20">
        <v>3830</v>
      </c>
      <c r="H9" s="20">
        <v>40</v>
      </c>
      <c r="I9" s="20">
        <f t="shared" si="0"/>
        <v>3790</v>
      </c>
      <c r="J9" s="19" t="s">
        <v>2402</v>
      </c>
      <c r="K9" s="19" t="s">
        <v>37</v>
      </c>
      <c r="L9" s="19" t="s">
        <v>2403</v>
      </c>
      <c r="M9" s="22" t="s">
        <v>183</v>
      </c>
      <c r="N9" s="19"/>
      <c r="O9" s="19"/>
      <c r="P9" s="19"/>
      <c r="Q9" s="19">
        <v>1</v>
      </c>
      <c r="R9" s="21">
        <f>H9</f>
        <v>40</v>
      </c>
    </row>
    <row r="10" spans="1:18" customFormat="1" x14ac:dyDescent="0.25">
      <c r="A10" s="19"/>
      <c r="B10" s="19" t="s">
        <v>32</v>
      </c>
      <c r="C10" s="19" t="s">
        <v>2417</v>
      </c>
      <c r="D10" s="19" t="s">
        <v>2418</v>
      </c>
      <c r="E10" s="19" t="s">
        <v>2419</v>
      </c>
      <c r="F10" s="20">
        <v>6</v>
      </c>
      <c r="G10" s="20">
        <v>805</v>
      </c>
      <c r="H10" s="20">
        <v>25</v>
      </c>
      <c r="I10" s="20">
        <f t="shared" si="0"/>
        <v>780</v>
      </c>
      <c r="J10" s="19" t="s">
        <v>2402</v>
      </c>
      <c r="K10" s="19" t="s">
        <v>37</v>
      </c>
      <c r="L10" s="19" t="s">
        <v>2403</v>
      </c>
      <c r="M10" s="19"/>
      <c r="N10" s="19"/>
      <c r="O10" s="19"/>
      <c r="P10" s="19"/>
      <c r="Q10" s="19">
        <v>1</v>
      </c>
    </row>
    <row r="11" spans="1:18" customFormat="1" x14ac:dyDescent="0.25">
      <c r="A11" s="19"/>
      <c r="B11" s="19" t="s">
        <v>32</v>
      </c>
      <c r="C11" s="19" t="s">
        <v>2420</v>
      </c>
      <c r="D11" s="19" t="s">
        <v>2421</v>
      </c>
      <c r="E11" s="19" t="s">
        <v>2422</v>
      </c>
      <c r="F11" s="19" t="s">
        <v>62</v>
      </c>
      <c r="G11" s="20">
        <v>465</v>
      </c>
      <c r="H11" s="20">
        <v>25</v>
      </c>
      <c r="I11" s="20">
        <f t="shared" si="0"/>
        <v>440</v>
      </c>
      <c r="J11" s="19" t="s">
        <v>2402</v>
      </c>
      <c r="K11" s="19" t="s">
        <v>37</v>
      </c>
      <c r="L11" s="19" t="s">
        <v>2403</v>
      </c>
      <c r="M11" s="19"/>
      <c r="N11" s="19"/>
      <c r="O11" s="19"/>
      <c r="P11" s="19"/>
      <c r="Q11" s="19">
        <v>1</v>
      </c>
    </row>
    <row r="12" spans="1:18" customFormat="1" x14ac:dyDescent="0.25">
      <c r="A12" s="19"/>
      <c r="B12" s="19" t="s">
        <v>32</v>
      </c>
      <c r="C12" s="19" t="s">
        <v>2423</v>
      </c>
      <c r="D12" s="19" t="s">
        <v>2424</v>
      </c>
      <c r="E12" s="19" t="s">
        <v>2425</v>
      </c>
      <c r="F12" s="20">
        <v>12</v>
      </c>
      <c r="G12" s="20">
        <v>0</v>
      </c>
      <c r="H12" s="20">
        <v>30</v>
      </c>
      <c r="I12" s="20">
        <f t="shared" si="0"/>
        <v>-30</v>
      </c>
      <c r="J12" s="19" t="s">
        <v>37</v>
      </c>
      <c r="K12" s="19" t="s">
        <v>37</v>
      </c>
      <c r="L12" s="19" t="s">
        <v>2403</v>
      </c>
      <c r="M12" s="19"/>
      <c r="N12" s="19"/>
      <c r="O12" s="19"/>
      <c r="P12" s="19"/>
      <c r="Q12" s="19">
        <v>1</v>
      </c>
      <c r="R12" s="21">
        <f t="shared" ref="R12:R13" si="1">H12</f>
        <v>30</v>
      </c>
    </row>
    <row r="13" spans="1:18" customFormat="1" x14ac:dyDescent="0.25">
      <c r="A13" s="19"/>
      <c r="B13" s="19" t="s">
        <v>32</v>
      </c>
      <c r="C13" s="19" t="s">
        <v>1399</v>
      </c>
      <c r="D13" s="19" t="s">
        <v>2426</v>
      </c>
      <c r="E13" s="19" t="s">
        <v>1401</v>
      </c>
      <c r="F13" s="19" t="s">
        <v>124</v>
      </c>
      <c r="G13" s="20">
        <v>0</v>
      </c>
      <c r="H13" s="20">
        <v>20</v>
      </c>
      <c r="I13" s="20">
        <f t="shared" si="0"/>
        <v>-20</v>
      </c>
      <c r="J13" s="19" t="s">
        <v>37</v>
      </c>
      <c r="K13" s="19" t="s">
        <v>37</v>
      </c>
      <c r="L13" s="19" t="s">
        <v>2403</v>
      </c>
      <c r="M13" s="19"/>
      <c r="N13" s="19"/>
      <c r="O13" s="19"/>
      <c r="P13" s="19"/>
      <c r="Q13" s="19">
        <v>1</v>
      </c>
      <c r="R13" s="21">
        <f t="shared" si="1"/>
        <v>20</v>
      </c>
    </row>
    <row r="14" spans="1:18" customFormat="1" x14ac:dyDescent="0.25">
      <c r="A14" s="19"/>
      <c r="B14" s="19" t="s">
        <v>32</v>
      </c>
      <c r="C14" s="19" t="s">
        <v>1418</v>
      </c>
      <c r="D14" s="19" t="s">
        <v>2427</v>
      </c>
      <c r="E14" s="19" t="s">
        <v>656</v>
      </c>
      <c r="F14" s="19" t="s">
        <v>117</v>
      </c>
      <c r="G14" s="20">
        <v>955</v>
      </c>
      <c r="H14" s="20">
        <v>25</v>
      </c>
      <c r="I14" s="20">
        <f t="shared" si="0"/>
        <v>930</v>
      </c>
      <c r="J14" s="19" t="s">
        <v>37</v>
      </c>
      <c r="K14" s="19" t="s">
        <v>37</v>
      </c>
      <c r="L14" s="19" t="s">
        <v>2403</v>
      </c>
      <c r="M14" s="19"/>
      <c r="N14" s="19"/>
      <c r="O14" s="19"/>
      <c r="P14" s="19"/>
      <c r="Q14" s="19">
        <v>1</v>
      </c>
    </row>
    <row r="15" spans="1:18" customFormat="1" x14ac:dyDescent="0.25">
      <c r="A15" s="19"/>
      <c r="B15" s="19" t="s">
        <v>32</v>
      </c>
      <c r="C15" s="19" t="s">
        <v>2428</v>
      </c>
      <c r="D15" s="19" t="s">
        <v>2429</v>
      </c>
      <c r="E15" s="19" t="s">
        <v>2430</v>
      </c>
      <c r="F15" s="19" t="s">
        <v>173</v>
      </c>
      <c r="G15" s="20">
        <v>0</v>
      </c>
      <c r="H15" s="20">
        <v>25</v>
      </c>
      <c r="I15" s="20">
        <f t="shared" si="0"/>
        <v>-25</v>
      </c>
      <c r="J15" s="19" t="s">
        <v>37</v>
      </c>
      <c r="K15" s="19" t="s">
        <v>37</v>
      </c>
      <c r="L15" s="19" t="s">
        <v>2403</v>
      </c>
      <c r="M15" s="19"/>
      <c r="N15" s="19"/>
      <c r="O15" s="19"/>
      <c r="P15" s="19"/>
      <c r="Q15" s="19">
        <v>1</v>
      </c>
      <c r="R15" s="21">
        <f>H15</f>
        <v>25</v>
      </c>
    </row>
    <row r="16" spans="1:18" customFormat="1" x14ac:dyDescent="0.25">
      <c r="A16" s="19"/>
      <c r="B16" s="19" t="s">
        <v>32</v>
      </c>
      <c r="C16" s="19" t="s">
        <v>2431</v>
      </c>
      <c r="D16" s="19" t="s">
        <v>2432</v>
      </c>
      <c r="E16" s="19" t="s">
        <v>2433</v>
      </c>
      <c r="F16" s="20">
        <v>12</v>
      </c>
      <c r="G16" s="20">
        <v>900</v>
      </c>
      <c r="H16" s="20">
        <v>30</v>
      </c>
      <c r="I16" s="20">
        <f t="shared" si="0"/>
        <v>870</v>
      </c>
      <c r="J16" s="19" t="s">
        <v>37</v>
      </c>
      <c r="K16" s="19" t="s">
        <v>37</v>
      </c>
      <c r="L16" s="19" t="s">
        <v>2403</v>
      </c>
      <c r="M16" s="19"/>
      <c r="N16" s="19"/>
      <c r="O16" s="19"/>
      <c r="P16" s="19"/>
      <c r="Q16" s="19">
        <v>1</v>
      </c>
    </row>
    <row r="17" spans="1:18" customFormat="1" x14ac:dyDescent="0.25">
      <c r="A17" s="19"/>
      <c r="B17" s="19" t="s">
        <v>32</v>
      </c>
      <c r="C17" s="19" t="s">
        <v>2434</v>
      </c>
      <c r="D17" s="19" t="s">
        <v>2435</v>
      </c>
      <c r="E17" s="19" t="s">
        <v>2436</v>
      </c>
      <c r="F17" s="19" t="s">
        <v>173</v>
      </c>
      <c r="G17" s="20">
        <v>795</v>
      </c>
      <c r="H17" s="20">
        <v>25</v>
      </c>
      <c r="I17" s="20">
        <f t="shared" si="0"/>
        <v>770</v>
      </c>
      <c r="J17" s="19" t="s">
        <v>37</v>
      </c>
      <c r="K17" s="19" t="s">
        <v>37</v>
      </c>
      <c r="L17" s="19" t="s">
        <v>2403</v>
      </c>
      <c r="M17" s="19"/>
      <c r="N17" s="19"/>
      <c r="O17" s="19"/>
      <c r="P17" s="19"/>
      <c r="Q17" s="19">
        <v>1</v>
      </c>
    </row>
    <row r="18" spans="1:18" customFormat="1" x14ac:dyDescent="0.25">
      <c r="A18" s="19"/>
      <c r="B18" s="19" t="s">
        <v>32</v>
      </c>
      <c r="C18" s="19" t="s">
        <v>784</v>
      </c>
      <c r="D18" s="19" t="s">
        <v>2437</v>
      </c>
      <c r="E18" s="19" t="s">
        <v>786</v>
      </c>
      <c r="F18" s="20">
        <v>2</v>
      </c>
      <c r="G18" s="20">
        <v>0</v>
      </c>
      <c r="H18" s="20">
        <v>30</v>
      </c>
      <c r="I18" s="20">
        <f t="shared" si="0"/>
        <v>-30</v>
      </c>
      <c r="J18" s="19" t="s">
        <v>37</v>
      </c>
      <c r="K18" s="19" t="s">
        <v>37</v>
      </c>
      <c r="L18" s="19" t="s">
        <v>2403</v>
      </c>
      <c r="M18" s="19"/>
      <c r="N18" s="19"/>
      <c r="O18" s="19"/>
      <c r="P18" s="19"/>
      <c r="Q18" s="19">
        <v>1</v>
      </c>
      <c r="R18" s="21">
        <f t="shared" ref="R18:R19" si="2">H18</f>
        <v>30</v>
      </c>
    </row>
    <row r="19" spans="1:18" customFormat="1" x14ac:dyDescent="0.25">
      <c r="A19" s="19"/>
      <c r="B19" s="19" t="s">
        <v>32</v>
      </c>
      <c r="C19" s="19" t="s">
        <v>2438</v>
      </c>
      <c r="D19" s="19" t="s">
        <v>2439</v>
      </c>
      <c r="E19" s="19" t="s">
        <v>593</v>
      </c>
      <c r="F19" s="20">
        <v>12</v>
      </c>
      <c r="G19" s="20">
        <v>0</v>
      </c>
      <c r="H19" s="20">
        <v>30</v>
      </c>
      <c r="I19" s="20">
        <f t="shared" si="0"/>
        <v>-30</v>
      </c>
      <c r="J19" s="19" t="s">
        <v>37</v>
      </c>
      <c r="K19" s="19" t="s">
        <v>37</v>
      </c>
      <c r="L19" s="19" t="s">
        <v>2403</v>
      </c>
      <c r="M19" s="19"/>
      <c r="N19" s="19"/>
      <c r="O19" s="19"/>
      <c r="P19" s="19"/>
      <c r="Q19" s="19">
        <v>1</v>
      </c>
      <c r="R19" s="21">
        <f t="shared" si="2"/>
        <v>30</v>
      </c>
    </row>
    <row r="20" spans="1:18" customFormat="1" x14ac:dyDescent="0.25">
      <c r="A20" s="19" t="s">
        <v>107</v>
      </c>
      <c r="B20" s="19" t="s">
        <v>32</v>
      </c>
      <c r="C20" s="19" t="s">
        <v>2440</v>
      </c>
      <c r="D20" s="19"/>
      <c r="E20" s="19" t="s">
        <v>163</v>
      </c>
      <c r="F20" s="19" t="s">
        <v>117</v>
      </c>
      <c r="G20" s="20">
        <v>6610</v>
      </c>
      <c r="H20" s="20">
        <v>50</v>
      </c>
      <c r="I20" s="20">
        <f t="shared" si="0"/>
        <v>6560</v>
      </c>
      <c r="J20" s="19" t="s">
        <v>37</v>
      </c>
      <c r="K20" s="19" t="s">
        <v>37</v>
      </c>
      <c r="L20" s="19" t="s">
        <v>2403</v>
      </c>
      <c r="M20" s="19"/>
      <c r="N20" s="19"/>
      <c r="O20" s="19"/>
      <c r="P20" s="19"/>
      <c r="Q20" s="19">
        <v>1</v>
      </c>
    </row>
    <row r="21" spans="1:18" customFormat="1" x14ac:dyDescent="0.25">
      <c r="A21" s="19"/>
      <c r="B21" s="19" t="s">
        <v>32</v>
      </c>
      <c r="C21" s="19" t="s">
        <v>2441</v>
      </c>
      <c r="D21" s="19" t="s">
        <v>2442</v>
      </c>
      <c r="E21" s="19" t="s">
        <v>2443</v>
      </c>
      <c r="F21" s="19" t="s">
        <v>62</v>
      </c>
      <c r="G21" s="20">
        <v>0</v>
      </c>
      <c r="H21" s="20">
        <v>25</v>
      </c>
      <c r="I21" s="20">
        <f t="shared" si="0"/>
        <v>-25</v>
      </c>
      <c r="J21" s="19" t="s">
        <v>169</v>
      </c>
      <c r="K21" s="19" t="s">
        <v>37</v>
      </c>
      <c r="L21" s="19" t="s">
        <v>2403</v>
      </c>
      <c r="M21" s="19"/>
      <c r="N21" s="19"/>
      <c r="O21" s="19"/>
      <c r="P21" s="19"/>
      <c r="Q21" s="19">
        <v>1</v>
      </c>
      <c r="R21" s="21">
        <f>H21</f>
        <v>25</v>
      </c>
    </row>
    <row r="22" spans="1:18" customFormat="1" x14ac:dyDescent="0.25">
      <c r="A22" s="19"/>
      <c r="B22" s="19" t="s">
        <v>32</v>
      </c>
      <c r="C22" s="19" t="s">
        <v>2444</v>
      </c>
      <c r="D22" s="19" t="s">
        <v>2445</v>
      </c>
      <c r="E22" s="19" t="s">
        <v>2446</v>
      </c>
      <c r="F22" s="20">
        <v>4</v>
      </c>
      <c r="G22" s="20">
        <v>905</v>
      </c>
      <c r="H22" s="20">
        <v>25</v>
      </c>
      <c r="I22" s="20">
        <f t="shared" si="0"/>
        <v>880</v>
      </c>
      <c r="J22" s="19" t="s">
        <v>169</v>
      </c>
      <c r="K22" s="19" t="s">
        <v>37</v>
      </c>
      <c r="L22" s="19" t="s">
        <v>2403</v>
      </c>
      <c r="M22" s="19"/>
      <c r="N22" s="19"/>
      <c r="O22" s="19"/>
      <c r="P22" s="19"/>
      <c r="Q22" s="19">
        <v>1</v>
      </c>
    </row>
    <row r="23" spans="1:18" customFormat="1" x14ac:dyDescent="0.25">
      <c r="A23" s="19"/>
      <c r="B23" s="19" t="s">
        <v>32</v>
      </c>
      <c r="C23" s="19" t="s">
        <v>2447</v>
      </c>
      <c r="D23" s="19" t="s">
        <v>2448</v>
      </c>
      <c r="E23" s="19" t="s">
        <v>2449</v>
      </c>
      <c r="F23" s="20">
        <v>7</v>
      </c>
      <c r="G23" s="20">
        <v>570</v>
      </c>
      <c r="H23" s="20">
        <v>30</v>
      </c>
      <c r="I23" s="20">
        <f t="shared" si="0"/>
        <v>540</v>
      </c>
      <c r="J23" s="19" t="s">
        <v>169</v>
      </c>
      <c r="K23" s="19" t="s">
        <v>37</v>
      </c>
      <c r="L23" s="19" t="s">
        <v>2403</v>
      </c>
      <c r="M23" s="19"/>
      <c r="N23" s="19"/>
      <c r="O23" s="19"/>
      <c r="P23" s="19"/>
      <c r="Q23" s="19">
        <v>1</v>
      </c>
    </row>
    <row r="24" spans="1:18" customFormat="1" x14ac:dyDescent="0.25">
      <c r="A24" s="19"/>
      <c r="B24" s="19" t="s">
        <v>32</v>
      </c>
      <c r="C24" s="19" t="s">
        <v>2450</v>
      </c>
      <c r="D24" s="19" t="s">
        <v>2451</v>
      </c>
      <c r="E24" s="19" t="s">
        <v>2452</v>
      </c>
      <c r="F24" s="19" t="s">
        <v>173</v>
      </c>
      <c r="G24" s="20">
        <v>0</v>
      </c>
      <c r="H24" s="20">
        <v>25</v>
      </c>
      <c r="I24" s="20">
        <f t="shared" si="0"/>
        <v>-25</v>
      </c>
      <c r="J24" s="19" t="s">
        <v>169</v>
      </c>
      <c r="K24" s="19" t="s">
        <v>37</v>
      </c>
      <c r="L24" s="19" t="s">
        <v>2403</v>
      </c>
      <c r="M24" s="19"/>
      <c r="N24" s="19"/>
      <c r="O24" s="19"/>
      <c r="P24" s="19"/>
      <c r="Q24" s="19">
        <v>1</v>
      </c>
      <c r="R24" s="21">
        <f>H24</f>
        <v>25</v>
      </c>
    </row>
    <row r="25" spans="1:18" customFormat="1" x14ac:dyDescent="0.25">
      <c r="A25" s="19"/>
      <c r="B25" s="19" t="s">
        <v>32</v>
      </c>
      <c r="C25" s="19" t="s">
        <v>2453</v>
      </c>
      <c r="D25" s="19" t="s">
        <v>2454</v>
      </c>
      <c r="E25" s="19" t="s">
        <v>2455</v>
      </c>
      <c r="F25" s="20">
        <v>1</v>
      </c>
      <c r="G25" s="20">
        <v>865</v>
      </c>
      <c r="H25" s="20">
        <v>25</v>
      </c>
      <c r="I25" s="20">
        <f t="shared" si="0"/>
        <v>840</v>
      </c>
      <c r="J25" s="19" t="s">
        <v>169</v>
      </c>
      <c r="K25" s="19" t="s">
        <v>37</v>
      </c>
      <c r="L25" s="19" t="s">
        <v>2403</v>
      </c>
      <c r="M25" s="19"/>
      <c r="N25" s="19"/>
      <c r="O25" s="19"/>
      <c r="P25" s="19"/>
      <c r="Q25" s="19">
        <v>1</v>
      </c>
    </row>
    <row r="26" spans="1:18" customFormat="1" x14ac:dyDescent="0.25">
      <c r="A26" s="19"/>
      <c r="B26" s="19" t="s">
        <v>32</v>
      </c>
      <c r="C26" s="19" t="s">
        <v>2456</v>
      </c>
      <c r="D26" s="19" t="s">
        <v>2457</v>
      </c>
      <c r="E26" s="19" t="s">
        <v>2458</v>
      </c>
      <c r="F26" s="20">
        <v>1</v>
      </c>
      <c r="G26" s="20">
        <v>865</v>
      </c>
      <c r="H26" s="20">
        <v>25</v>
      </c>
      <c r="I26" s="20">
        <f t="shared" si="0"/>
        <v>840</v>
      </c>
      <c r="J26" s="19" t="s">
        <v>169</v>
      </c>
      <c r="K26" s="19" t="s">
        <v>37</v>
      </c>
      <c r="L26" s="19" t="s">
        <v>2403</v>
      </c>
      <c r="M26" s="19"/>
      <c r="N26" s="19"/>
      <c r="O26" s="19"/>
      <c r="P26" s="19"/>
      <c r="Q26" s="19">
        <v>1</v>
      </c>
    </row>
    <row r="27" spans="1:18" customFormat="1" x14ac:dyDescent="0.25">
      <c r="A27" s="19"/>
      <c r="B27" s="19" t="s">
        <v>32</v>
      </c>
      <c r="C27" s="19" t="s">
        <v>2459</v>
      </c>
      <c r="D27" s="19" t="s">
        <v>2460</v>
      </c>
      <c r="E27" s="19" t="s">
        <v>2461</v>
      </c>
      <c r="F27" s="19" t="s">
        <v>173</v>
      </c>
      <c r="G27" s="20">
        <v>905</v>
      </c>
      <c r="H27" s="20">
        <v>25</v>
      </c>
      <c r="I27" s="20">
        <f t="shared" si="0"/>
        <v>880</v>
      </c>
      <c r="J27" s="19" t="s">
        <v>169</v>
      </c>
      <c r="K27" s="19" t="s">
        <v>37</v>
      </c>
      <c r="L27" s="19" t="s">
        <v>2403</v>
      </c>
      <c r="M27" s="19"/>
      <c r="N27" s="19"/>
      <c r="O27" s="19"/>
      <c r="P27" s="19"/>
      <c r="Q27" s="19">
        <v>1</v>
      </c>
    </row>
    <row r="28" spans="1:18" customFormat="1" x14ac:dyDescent="0.25">
      <c r="A28" s="19"/>
      <c r="B28" s="19" t="s">
        <v>32</v>
      </c>
      <c r="C28" s="19" t="s">
        <v>2169</v>
      </c>
      <c r="D28" s="19" t="s">
        <v>2462</v>
      </c>
      <c r="E28" s="19" t="s">
        <v>2171</v>
      </c>
      <c r="F28" s="19" t="s">
        <v>317</v>
      </c>
      <c r="G28" s="20">
        <v>710</v>
      </c>
      <c r="H28" s="20">
        <v>20</v>
      </c>
      <c r="I28" s="20">
        <f t="shared" si="0"/>
        <v>690</v>
      </c>
      <c r="J28" s="19" t="s">
        <v>169</v>
      </c>
      <c r="K28" s="19" t="s">
        <v>37</v>
      </c>
      <c r="L28" s="19" t="s">
        <v>2403</v>
      </c>
      <c r="M28" s="19"/>
      <c r="N28" s="19"/>
      <c r="O28" s="19"/>
      <c r="P28" s="19"/>
      <c r="Q28" s="19">
        <v>1</v>
      </c>
    </row>
    <row r="29" spans="1:18" customFormat="1" x14ac:dyDescent="0.25">
      <c r="A29" s="19"/>
      <c r="B29" s="19" t="s">
        <v>32</v>
      </c>
      <c r="C29" s="19" t="s">
        <v>2463</v>
      </c>
      <c r="D29" s="19" t="s">
        <v>2464</v>
      </c>
      <c r="E29" s="19" t="s">
        <v>2465</v>
      </c>
      <c r="F29" s="20">
        <v>1</v>
      </c>
      <c r="G29" s="20">
        <v>895</v>
      </c>
      <c r="H29" s="20">
        <v>25</v>
      </c>
      <c r="I29" s="20">
        <f t="shared" si="0"/>
        <v>870</v>
      </c>
      <c r="J29" s="19" t="s">
        <v>169</v>
      </c>
      <c r="K29" s="19" t="s">
        <v>37</v>
      </c>
      <c r="L29" s="19" t="s">
        <v>2403</v>
      </c>
      <c r="M29" s="19"/>
      <c r="N29" s="19"/>
      <c r="O29" s="19"/>
      <c r="P29" s="19"/>
      <c r="Q29" s="19">
        <v>1</v>
      </c>
    </row>
    <row r="30" spans="1:18" customFormat="1" x14ac:dyDescent="0.25">
      <c r="A30" s="19"/>
      <c r="B30" s="19" t="s">
        <v>32</v>
      </c>
      <c r="C30" s="19" t="s">
        <v>2466</v>
      </c>
      <c r="D30" s="19" t="s">
        <v>2467</v>
      </c>
      <c r="E30" s="19" t="s">
        <v>2468</v>
      </c>
      <c r="F30" s="20">
        <v>7</v>
      </c>
      <c r="G30" s="20">
        <v>960</v>
      </c>
      <c r="H30" s="20">
        <v>30</v>
      </c>
      <c r="I30" s="20">
        <f t="shared" si="0"/>
        <v>930</v>
      </c>
      <c r="J30" s="19" t="s">
        <v>169</v>
      </c>
      <c r="K30" s="19" t="s">
        <v>37</v>
      </c>
      <c r="L30" s="19" t="s">
        <v>2403</v>
      </c>
      <c r="M30" s="19"/>
      <c r="N30" s="19"/>
      <c r="O30" s="19"/>
      <c r="P30" s="19"/>
      <c r="Q30" s="19">
        <v>1</v>
      </c>
    </row>
    <row r="31" spans="1:18" customFormat="1" x14ac:dyDescent="0.25">
      <c r="A31" s="19"/>
      <c r="B31" s="19" t="s">
        <v>32</v>
      </c>
      <c r="C31" s="19" t="s">
        <v>2469</v>
      </c>
      <c r="D31" s="19" t="s">
        <v>2470</v>
      </c>
      <c r="E31" s="19" t="s">
        <v>2471</v>
      </c>
      <c r="F31" s="20">
        <v>7</v>
      </c>
      <c r="G31" s="20">
        <v>470</v>
      </c>
      <c r="H31" s="20">
        <v>30</v>
      </c>
      <c r="I31" s="20">
        <f t="shared" si="0"/>
        <v>440</v>
      </c>
      <c r="J31" s="19" t="s">
        <v>169</v>
      </c>
      <c r="K31" s="19" t="s">
        <v>37</v>
      </c>
      <c r="L31" s="19" t="s">
        <v>2403</v>
      </c>
      <c r="M31" s="19"/>
      <c r="N31" s="19"/>
      <c r="O31" s="19"/>
      <c r="P31" s="19"/>
      <c r="Q31" s="19">
        <v>1</v>
      </c>
    </row>
    <row r="32" spans="1:18" customFormat="1" x14ac:dyDescent="0.25">
      <c r="A32" s="19"/>
      <c r="B32" s="19" t="s">
        <v>32</v>
      </c>
      <c r="C32" s="19" t="s">
        <v>2472</v>
      </c>
      <c r="D32" s="19" t="s">
        <v>2473</v>
      </c>
      <c r="E32" s="19" t="s">
        <v>2474</v>
      </c>
      <c r="F32" s="19" t="s">
        <v>173</v>
      </c>
      <c r="G32" s="20">
        <v>905</v>
      </c>
      <c r="H32" s="20">
        <v>25</v>
      </c>
      <c r="I32" s="20">
        <f t="shared" si="0"/>
        <v>880</v>
      </c>
      <c r="J32" s="19" t="s">
        <v>169</v>
      </c>
      <c r="K32" s="19" t="s">
        <v>37</v>
      </c>
      <c r="L32" s="19" t="s">
        <v>2403</v>
      </c>
      <c r="M32" s="19"/>
      <c r="N32" s="19"/>
      <c r="O32" s="19"/>
      <c r="P32" s="19"/>
      <c r="Q32" s="19">
        <v>1</v>
      </c>
    </row>
    <row r="33" spans="1:18" customFormat="1" x14ac:dyDescent="0.25">
      <c r="A33" s="19"/>
      <c r="B33" s="19" t="s">
        <v>32</v>
      </c>
      <c r="C33" s="19" t="s">
        <v>1132</v>
      </c>
      <c r="D33" s="19" t="s">
        <v>2475</v>
      </c>
      <c r="E33" s="19" t="s">
        <v>2476</v>
      </c>
      <c r="F33" s="19" t="s">
        <v>173</v>
      </c>
      <c r="G33" s="20">
        <v>1255</v>
      </c>
      <c r="H33" s="20">
        <v>25</v>
      </c>
      <c r="I33" s="20">
        <f t="shared" si="0"/>
        <v>1230</v>
      </c>
      <c r="J33" s="19" t="s">
        <v>169</v>
      </c>
      <c r="K33" s="19" t="s">
        <v>37</v>
      </c>
      <c r="L33" s="19" t="s">
        <v>2403</v>
      </c>
      <c r="M33" s="19"/>
      <c r="N33" s="19"/>
      <c r="O33" s="19"/>
      <c r="P33" s="19"/>
      <c r="Q33" s="19">
        <v>1</v>
      </c>
    </row>
    <row r="34" spans="1:18" customFormat="1" x14ac:dyDescent="0.25">
      <c r="A34" s="19"/>
      <c r="B34" s="19" t="s">
        <v>32</v>
      </c>
      <c r="C34" s="19" t="s">
        <v>2477</v>
      </c>
      <c r="D34" s="19" t="s">
        <v>2478</v>
      </c>
      <c r="E34" s="19" t="s">
        <v>2479</v>
      </c>
      <c r="F34" s="19" t="s">
        <v>173</v>
      </c>
      <c r="G34" s="20">
        <v>0</v>
      </c>
      <c r="H34" s="20">
        <v>25</v>
      </c>
      <c r="I34" s="20">
        <f t="shared" si="0"/>
        <v>-25</v>
      </c>
      <c r="J34" s="19" t="s">
        <v>169</v>
      </c>
      <c r="K34" s="19" t="s">
        <v>37</v>
      </c>
      <c r="L34" s="19" t="s">
        <v>2403</v>
      </c>
      <c r="M34" s="19"/>
      <c r="N34" s="19"/>
      <c r="O34" s="19"/>
      <c r="P34" s="19"/>
      <c r="Q34" s="19">
        <v>1</v>
      </c>
      <c r="R34" s="21">
        <f t="shared" ref="R34:R35" si="3">H34</f>
        <v>25</v>
      </c>
    </row>
    <row r="35" spans="1:18" customFormat="1" x14ac:dyDescent="0.25">
      <c r="A35" s="19"/>
      <c r="B35" s="19" t="s">
        <v>32</v>
      </c>
      <c r="C35" s="19" t="s">
        <v>2480</v>
      </c>
      <c r="D35" s="19" t="s">
        <v>2481</v>
      </c>
      <c r="E35" s="19" t="s">
        <v>2482</v>
      </c>
      <c r="F35" s="19" t="s">
        <v>173</v>
      </c>
      <c r="G35" s="20">
        <v>0</v>
      </c>
      <c r="H35" s="20">
        <v>25</v>
      </c>
      <c r="I35" s="20">
        <f t="shared" si="0"/>
        <v>-25</v>
      </c>
      <c r="J35" s="19" t="s">
        <v>169</v>
      </c>
      <c r="K35" s="19" t="s">
        <v>37</v>
      </c>
      <c r="L35" s="19" t="s">
        <v>2403</v>
      </c>
      <c r="M35" s="19"/>
      <c r="N35" s="19"/>
      <c r="O35" s="19"/>
      <c r="P35" s="19"/>
      <c r="Q35" s="19">
        <v>1</v>
      </c>
      <c r="R35" s="21">
        <f t="shared" si="3"/>
        <v>25</v>
      </c>
    </row>
    <row r="36" spans="1:18" x14ac:dyDescent="0.25">
      <c r="A36" s="1" t="s">
        <v>2483</v>
      </c>
    </row>
    <row r="37" spans="1:18" x14ac:dyDescent="0.25">
      <c r="G37" s="1">
        <f t="shared" ref="G37:R37" si="4">SUBTOTAL(9,G3:G36)</f>
        <v>27645</v>
      </c>
      <c r="H37" s="1">
        <f t="shared" si="4"/>
        <v>910</v>
      </c>
      <c r="I37" s="1">
        <f t="shared" si="4"/>
        <v>26735</v>
      </c>
      <c r="J37" s="1">
        <f t="shared" si="4"/>
        <v>0</v>
      </c>
      <c r="K37" s="1">
        <f t="shared" si="4"/>
        <v>0</v>
      </c>
      <c r="L37" s="1">
        <f t="shared" si="4"/>
        <v>0</v>
      </c>
      <c r="M37" s="1">
        <f t="shared" si="4"/>
        <v>0</v>
      </c>
      <c r="N37" s="1">
        <f t="shared" si="4"/>
        <v>0</v>
      </c>
      <c r="O37" s="1">
        <f t="shared" si="4"/>
        <v>0</v>
      </c>
      <c r="P37" s="1">
        <f t="shared" si="4"/>
        <v>0</v>
      </c>
      <c r="Q37" s="1">
        <f t="shared" si="4"/>
        <v>33</v>
      </c>
      <c r="R37" s="1">
        <f t="shared" si="4"/>
        <v>335</v>
      </c>
    </row>
    <row r="41" spans="1:18" ht="20.25" customHeight="1" x14ac:dyDescent="0.3">
      <c r="H41" s="4" t="s">
        <v>2398</v>
      </c>
      <c r="I41" s="5" t="s">
        <v>15</v>
      </c>
      <c r="J41" s="6" t="s">
        <v>16</v>
      </c>
    </row>
    <row r="42" spans="1:18" ht="15.75" customHeight="1" x14ac:dyDescent="0.25">
      <c r="H42" s="7" t="s">
        <v>17</v>
      </c>
      <c r="I42" s="8">
        <f>SUM(I36:I40)</f>
        <v>26735</v>
      </c>
      <c r="J42" s="8">
        <f>Q37</f>
        <v>33</v>
      </c>
    </row>
    <row r="43" spans="1:18" x14ac:dyDescent="0.25">
      <c r="H43" s="9" t="s">
        <v>18</v>
      </c>
      <c r="I43" s="10">
        <f>R37</f>
        <v>335</v>
      </c>
      <c r="J43" s="11"/>
    </row>
    <row r="44" spans="1:18" x14ac:dyDescent="0.25">
      <c r="H44" s="9" t="s">
        <v>19</v>
      </c>
      <c r="I44" s="10">
        <f>S36</f>
        <v>0</v>
      </c>
      <c r="J44" s="11"/>
    </row>
    <row r="45" spans="1:18" x14ac:dyDescent="0.25">
      <c r="H45" s="9" t="s">
        <v>20</v>
      </c>
      <c r="I45" s="10">
        <f>T36</f>
        <v>0</v>
      </c>
      <c r="J45" s="11"/>
    </row>
    <row r="46" spans="1:18" x14ac:dyDescent="0.25">
      <c r="H46" s="9" t="s">
        <v>21</v>
      </c>
      <c r="I46" s="10">
        <f>U36</f>
        <v>0</v>
      </c>
      <c r="J46" s="11"/>
    </row>
    <row r="47" spans="1:18" ht="15.75" customHeight="1" x14ac:dyDescent="0.25">
      <c r="H47" s="12" t="s">
        <v>22</v>
      </c>
      <c r="I47" s="13"/>
      <c r="J47" s="13"/>
    </row>
    <row r="48" spans="1:18" ht="15.75" customHeight="1" x14ac:dyDescent="0.25">
      <c r="H48" s="14" t="s">
        <v>23</v>
      </c>
      <c r="I48" s="13"/>
      <c r="J48" s="13"/>
    </row>
    <row r="49" spans="8:10" ht="21" customHeight="1" x14ac:dyDescent="0.35">
      <c r="H49" s="15" t="s">
        <v>24</v>
      </c>
      <c r="I49" s="16">
        <f>SUM(I42:I48)</f>
        <v>27070</v>
      </c>
      <c r="J49" s="16">
        <f>SUM(J42:J46)</f>
        <v>33</v>
      </c>
    </row>
  </sheetData>
  <autoFilter ref="A2:P35" xr:uid="{00000000-0009-0000-0000-000006000000}">
    <sortState xmlns:xlrd2="http://schemas.microsoft.com/office/spreadsheetml/2017/richdata2" ref="A3:P35">
      <sortCondition ref="J2:J3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1-6</vt:lpstr>
      <vt:lpstr>2-6</vt:lpstr>
      <vt:lpstr>3-6</vt:lpstr>
      <vt:lpstr>4-6</vt:lpstr>
      <vt:lpstr>5-6</vt:lpstr>
      <vt:lpstr>6-6</vt:lpstr>
      <vt:lpstr>8-6</vt:lpstr>
      <vt:lpstr>9-6</vt:lpstr>
      <vt:lpstr>10-6</vt:lpstr>
      <vt:lpstr>11-6</vt:lpstr>
      <vt:lpstr>12-6</vt:lpstr>
      <vt:lpstr>13-6</vt:lpstr>
      <vt:lpstr>15-6</vt:lpstr>
      <vt:lpstr>16-6</vt:lpstr>
      <vt:lpstr>17-6</vt:lpstr>
      <vt:lpstr>18-6</vt:lpstr>
      <vt:lpstr>19-6</vt:lpstr>
      <vt:lpstr>20-6</vt:lpstr>
      <vt:lpstr>22-6</vt:lpstr>
      <vt:lpstr>23-6</vt:lpstr>
      <vt:lpstr>24-6</vt:lpstr>
      <vt:lpstr>25-6</vt:lpstr>
      <vt:lpstr>26-6</vt:lpstr>
      <vt:lpstr>27-6</vt:lpstr>
      <vt:lpstr>29-6</vt:lpstr>
      <vt:lpstr>30-6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2026-07-02T15:27:30Z</dcterms:modified>
</cp:coreProperties>
</file>