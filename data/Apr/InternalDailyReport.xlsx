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59C4206F-BE86-4528-ADEA-D17132EDA03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1" l="1"/>
  <c r="I31" i="11"/>
  <c r="L69" i="10"/>
  <c r="L50" i="11"/>
  <c r="I29" i="11"/>
  <c r="I26" i="11"/>
  <c r="L34" i="1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M38" i="2" s="1"/>
  <c r="L38" i="2" s="1"/>
  <c r="H26" i="2"/>
  <c r="H27" i="2"/>
  <c r="C28" i="2"/>
  <c r="C31" i="2" s="1"/>
  <c r="C35" i="2" s="1"/>
  <c r="P31" i="2" s="1"/>
  <c r="E28" i="2"/>
  <c r="E31" i="2" s="1"/>
  <c r="L28" i="2"/>
  <c r="L33" i="2" s="1"/>
  <c r="P28" i="2" s="1"/>
  <c r="M28" i="2"/>
  <c r="M33" i="2" s="1"/>
  <c r="L29" i="2"/>
  <c r="M29" i="2"/>
  <c r="C30" i="2"/>
  <c r="E30" i="2"/>
  <c r="L36" i="2"/>
  <c r="M36" i="2"/>
  <c r="M37" i="2"/>
  <c r="L37" i="2" s="1"/>
  <c r="M41" i="2"/>
  <c r="L44" i="2"/>
  <c r="M44" i="2"/>
  <c r="M45" i="2"/>
  <c r="L45" i="2" s="1"/>
  <c r="L49" i="2" s="1"/>
  <c r="P30" i="2" s="1"/>
  <c r="M49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I26" i="6"/>
  <c r="J26" i="6"/>
  <c r="K26" i="6"/>
  <c r="L26" i="6"/>
  <c r="M26" i="6"/>
  <c r="N26" i="6"/>
  <c r="O26" i="6"/>
  <c r="P26" i="6"/>
  <c r="Q26" i="6"/>
  <c r="H27" i="6"/>
  <c r="L46" i="6" s="1"/>
  <c r="L50" i="6" s="1"/>
  <c r="P31" i="6" s="1"/>
  <c r="H28" i="6"/>
  <c r="C29" i="6"/>
  <c r="E29" i="6"/>
  <c r="H29" i="6"/>
  <c r="L29" i="6"/>
  <c r="M29" i="6"/>
  <c r="M30" i="6"/>
  <c r="L30" i="6" s="1"/>
  <c r="C31" i="6"/>
  <c r="E31" i="6"/>
  <c r="M31" i="6"/>
  <c r="L31" i="6" s="1"/>
  <c r="C32" i="6"/>
  <c r="E32" i="6"/>
  <c r="M34" i="6"/>
  <c r="C36" i="6"/>
  <c r="P32" i="6" s="1"/>
  <c r="L37" i="6"/>
  <c r="M37" i="6"/>
  <c r="M38" i="6"/>
  <c r="L38" i="6" s="1"/>
  <c r="M42" i="6"/>
  <c r="L45" i="6"/>
  <c r="M45" i="6"/>
  <c r="M46" i="6"/>
  <c r="M50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I55" i="7"/>
  <c r="J55" i="7"/>
  <c r="K55" i="7"/>
  <c r="L55" i="7"/>
  <c r="M55" i="7"/>
  <c r="N55" i="7"/>
  <c r="O55" i="7"/>
  <c r="P55" i="7"/>
  <c r="Q55" i="7"/>
  <c r="M60" i="7" s="1"/>
  <c r="L60" i="7" s="1"/>
  <c r="H56" i="7"/>
  <c r="L68" i="7" s="1"/>
  <c r="L72" i="7" s="1"/>
  <c r="P59" i="7" s="1"/>
  <c r="H57" i="7"/>
  <c r="C58" i="7"/>
  <c r="C61" i="7" s="1"/>
  <c r="C65" i="7" s="1"/>
  <c r="P61" i="7" s="1"/>
  <c r="E58" i="7"/>
  <c r="E61" i="7" s="1"/>
  <c r="H58" i="7"/>
  <c r="L58" i="7"/>
  <c r="M58" i="7"/>
  <c r="M64" i="7" s="1"/>
  <c r="M59" i="7"/>
  <c r="L59" i="7" s="1"/>
  <c r="C60" i="7"/>
  <c r="E60" i="7"/>
  <c r="L67" i="7"/>
  <c r="M67" i="7"/>
  <c r="M68" i="7"/>
  <c r="M72" i="7"/>
  <c r="L75" i="7"/>
  <c r="M75" i="7"/>
  <c r="M76" i="7"/>
  <c r="L76" i="7" s="1"/>
  <c r="L80" i="7" s="1"/>
  <c r="P60" i="7" s="1"/>
  <c r="M80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I46" i="8"/>
  <c r="J46" i="8"/>
  <c r="K46" i="8"/>
  <c r="L46" i="8"/>
  <c r="M46" i="8"/>
  <c r="N46" i="8"/>
  <c r="O46" i="8"/>
  <c r="P46" i="8"/>
  <c r="Q46" i="8"/>
  <c r="H47" i="8"/>
  <c r="L50" i="8" s="1"/>
  <c r="L54" i="8" s="1"/>
  <c r="P49" i="8" s="1"/>
  <c r="H48" i="8"/>
  <c r="C49" i="8"/>
  <c r="C52" i="8" s="1"/>
  <c r="C56" i="8" s="1"/>
  <c r="P53" i="8" s="1"/>
  <c r="E49" i="8"/>
  <c r="E52" i="8" s="1"/>
  <c r="H49" i="8"/>
  <c r="L49" i="8"/>
  <c r="M49" i="8"/>
  <c r="M50" i="8"/>
  <c r="C51" i="8"/>
  <c r="E51" i="8"/>
  <c r="M54" i="8"/>
  <c r="L57" i="8"/>
  <c r="M57" i="8"/>
  <c r="M58" i="8"/>
  <c r="L58" i="8" s="1"/>
  <c r="L62" i="8" s="1"/>
  <c r="P50" i="8" s="1"/>
  <c r="M59" i="8"/>
  <c r="L59" i="8" s="1"/>
  <c r="M62" i="8"/>
  <c r="L65" i="8"/>
  <c r="M65" i="8"/>
  <c r="M66" i="8"/>
  <c r="L66" i="8" s="1"/>
  <c r="L70" i="8" s="1"/>
  <c r="P51" i="8" s="1"/>
  <c r="M70" i="8"/>
  <c r="L73" i="8"/>
  <c r="M73" i="8"/>
  <c r="M74" i="8"/>
  <c r="L74" i="8" s="1"/>
  <c r="L78" i="8" s="1"/>
  <c r="P52" i="8" s="1"/>
  <c r="M78" i="8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H58" i="10"/>
  <c r="H59" i="10"/>
  <c r="E60" i="10"/>
  <c r="E63" i="10" s="1"/>
  <c r="H60" i="10"/>
  <c r="L60" i="10"/>
  <c r="M60" i="10"/>
  <c r="M61" i="10"/>
  <c r="L61" i="10" s="1"/>
  <c r="L65" i="10" s="1"/>
  <c r="P60" i="10" s="1"/>
  <c r="C62" i="10"/>
  <c r="E62" i="10"/>
  <c r="M62" i="10"/>
  <c r="L62" i="10" s="1"/>
  <c r="M65" i="10"/>
  <c r="L68" i="10"/>
  <c r="M68" i="10"/>
  <c r="M69" i="10"/>
  <c r="M73" i="10"/>
  <c r="L76" i="10"/>
  <c r="M76" i="10"/>
  <c r="M77" i="10"/>
  <c r="L77" i="10" s="1"/>
  <c r="L81" i="10" s="1"/>
  <c r="P62" i="10" s="1"/>
  <c r="M81" i="10"/>
  <c r="I12" i="11"/>
  <c r="C34" i="11" s="1"/>
  <c r="I22" i="11"/>
  <c r="I23" i="11"/>
  <c r="I13" i="11"/>
  <c r="I14" i="11"/>
  <c r="I15" i="11"/>
  <c r="I3" i="11"/>
  <c r="I4" i="11"/>
  <c r="I5" i="11"/>
  <c r="I6" i="11"/>
  <c r="I16" i="11"/>
  <c r="I7" i="11"/>
  <c r="I24" i="11"/>
  <c r="I25" i="11"/>
  <c r="I8" i="11"/>
  <c r="I9" i="11"/>
  <c r="I27" i="11"/>
  <c r="I17" i="11"/>
  <c r="I18" i="11"/>
  <c r="I10" i="11"/>
  <c r="I11" i="11"/>
  <c r="I19" i="11"/>
  <c r="I20" i="11"/>
  <c r="I21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E34" i="11"/>
  <c r="E37" i="11" s="1"/>
  <c r="H34" i="11"/>
  <c r="M34" i="11"/>
  <c r="M39" i="11" s="1"/>
  <c r="M35" i="11"/>
  <c r="L35" i="11" s="1"/>
  <c r="C36" i="11"/>
  <c r="E36" i="11"/>
  <c r="M36" i="11"/>
  <c r="L36" i="11" s="1"/>
  <c r="L42" i="11"/>
  <c r="M42" i="11"/>
  <c r="M47" i="11" s="1"/>
  <c r="M43" i="11"/>
  <c r="L43" i="11" s="1"/>
  <c r="L47" i="11" s="1"/>
  <c r="P35" i="11" s="1"/>
  <c r="M50" i="11"/>
  <c r="M55" i="11" s="1"/>
  <c r="L51" i="11"/>
  <c r="M51" i="11"/>
  <c r="L73" i="10" l="1"/>
  <c r="P61" i="10" s="1"/>
  <c r="C37" i="11"/>
  <c r="C41" i="11" s="1"/>
  <c r="P37" i="11" s="1"/>
  <c r="L55" i="11"/>
  <c r="P36" i="11" s="1"/>
  <c r="I57" i="10"/>
  <c r="C60" i="10"/>
  <c r="C63" i="10" s="1"/>
  <c r="C67" i="10" s="1"/>
  <c r="P63" i="10" s="1"/>
  <c r="L41" i="2"/>
  <c r="P29" i="2" s="1"/>
  <c r="P32" i="2" s="1"/>
  <c r="L34" i="6"/>
  <c r="P29" i="6" s="1"/>
  <c r="L42" i="6"/>
  <c r="P30" i="6" s="1"/>
  <c r="L64" i="7"/>
  <c r="P58" i="7" s="1"/>
  <c r="P62" i="7" s="1"/>
  <c r="P54" i="8"/>
  <c r="L39" i="11"/>
  <c r="P34" i="11" s="1"/>
  <c r="P64" i="10" l="1"/>
  <c r="P38" i="11"/>
  <c r="P33" i="6"/>
</calcChain>
</file>

<file path=xl/sharedStrings.xml><?xml version="1.0" encoding="utf-8"?>
<sst xmlns="http://schemas.openxmlformats.org/spreadsheetml/2006/main" count="2015" uniqueCount="663">
  <si>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</si>
  <si>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</si>
  <si>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</si>
  <si>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</si>
  <si>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</si>
  <si>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</si>
  <si>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</si>
  <si>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</si>
  <si>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</si>
  <si>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</si>
  <si>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</si>
  <si>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</si>
  <si>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</si>
  <si>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</si>
  <si>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</si>
  <si>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</si>
  <si>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</si>
  <si>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</si>
  <si>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</si>
  <si>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</si>
  <si>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</si>
  <si>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</si>
  <si>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</si>
  <si>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</si>
  <si>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</si>
  <si>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</si>
  <si>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</si>
  <si>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</si>
  <si>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</si>
  <si>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</si>
  <si>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</si>
  <si>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</si>
  <si>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</si>
  <si>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</si>
  <si>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</si>
  <si>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</si>
  <si>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</si>
  <si>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</si>
  <si>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</si>
  <si>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</si>
  <si>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</si>
  <si>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</si>
  <si>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</si>
  <si>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</si>
  <si>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</si>
  <si>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</si>
  <si>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</si>
  <si>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</si>
  <si>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</si>
  <si>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</si>
  <si>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</si>
  <si>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</si>
  <si>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</si>
  <si>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</si>
  <si>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</si>
  <si>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</si>
  <si>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</si>
  <si>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</si>
  <si>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</si>
  <si>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</si>
  <si>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</si>
  <si>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</si>
  <si>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</si>
  <si>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</si>
  <si>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</si>
  <si>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</si>
  <si>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</si>
  <si>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</si>
  <si>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</si>
  <si>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</si>
  <si>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</si>
  <si>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</si>
  <si>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</si>
  <si>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</si>
  <si>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</si>
  <si>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</si>
  <si>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</si>
  <si>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</si>
  <si>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</si>
  <si>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</si>
  <si>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</si>
  <si>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</si>
  <si>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</si>
  <si>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</si>
  <si>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</si>
  <si>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</si>
  <si>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</si>
  <si>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</si>
  <si>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</si>
  <si>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</si>
  <si>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</si>
  <si>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</si>
  <si>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</si>
  <si>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</si>
  <si>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</si>
  <si>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</si>
  <si>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</si>
  <si>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</si>
  <si>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</si>
  <si>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</si>
  <si>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</si>
  <si>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</si>
  <si>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</si>
  <si>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</si>
  <si>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</si>
  <si>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</si>
  <si>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</si>
  <si>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</si>
  <si>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</si>
  <si>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</si>
  <si>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</si>
  <si>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</si>
  <si>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</si>
  <si>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</si>
  <si>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</si>
  <si>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</si>
  <si>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</si>
  <si>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</si>
  <si>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</si>
  <si>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</si>
  <si>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</si>
  <si>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</si>
  <si>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</si>
  <si>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</si>
  <si>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</si>
  <si>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</si>
  <si>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</si>
  <si>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</si>
  <si>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</si>
  <si>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</si>
  <si>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</si>
  <si>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</si>
  <si>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</si>
  <si>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</si>
  <si>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</si>
  <si>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</si>
  <si>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</si>
  <si>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</si>
  <si>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</si>
  <si>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</si>
  <si>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</si>
  <si>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</si>
  <si>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</si>
  <si>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</si>
  <si>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</si>
  <si>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</si>
  <si>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</si>
  <si>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</si>
  <si>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</si>
  <si>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</si>
  <si>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</si>
  <si>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</si>
  <si>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</si>
  <si>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</si>
  <si>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</si>
  <si>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</si>
  <si>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</si>
  <si>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</si>
  <si>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</si>
  <si>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</si>
  <si>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</si>
  <si>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</si>
  <si>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</si>
  <si>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</si>
  <si>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</si>
  <si>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</si>
  <si>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</si>
  <si>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</si>
  <si>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</si>
  <si>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</si>
  <si>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</si>
  <si>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</si>
  <si>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</si>
  <si>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</si>
  <si>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</si>
  <si>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</si>
  <si>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</si>
  <si>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</si>
  <si>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</si>
  <si>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</si>
  <si>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</si>
  <si>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</si>
  <si>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</si>
  <si>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</si>
  <si>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</si>
  <si>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</si>
  <si>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</si>
  <si>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</si>
  <si>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</si>
  <si>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</si>
  <si>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</si>
  <si>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</si>
  <si>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</si>
  <si>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</si>
  <si>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</si>
  <si>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</si>
  <si>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</si>
  <si>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</si>
  <si>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</si>
  <si>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</si>
  <si>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</si>
  <si>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</si>
  <si>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</si>
  <si>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</si>
  <si>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</si>
  <si>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</si>
  <si>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</si>
  <si>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</si>
  <si>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</si>
  <si>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</si>
  <si>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</si>
  <si>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</si>
  <si>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</si>
  <si>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</si>
  <si>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</si>
  <si>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</si>
  <si>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</si>
  <si>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</si>
  <si>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</si>
  <si>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</si>
  <si>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</si>
  <si>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</si>
  <si>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</si>
  <si>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</si>
  <si>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</si>
  <si>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</si>
  <si>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</si>
  <si>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</si>
  <si>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</si>
  <si>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</si>
  <si>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</si>
  <si>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</si>
  <si>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</si>
  <si>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</si>
  <si>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</si>
  <si>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</si>
  <si>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</si>
  <si>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</si>
  <si>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</si>
  <si>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</si>
  <si>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</si>
  <si>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</si>
  <si>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</si>
  <si>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</si>
  <si>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</si>
  <si>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</si>
  <si>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</si>
  <si>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</si>
  <si>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</si>
  <si>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</si>
  <si>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</si>
  <si>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</si>
  <si>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</si>
  <si>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</si>
  <si>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</si>
  <si>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</si>
  <si>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</si>
  <si>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</si>
  <si>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</si>
  <si>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</si>
  <si>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</si>
  <si>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</si>
  <si>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</si>
  <si>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</si>
  <si>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</si>
  <si>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</si>
  <si>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</si>
  <si>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</si>
  <si>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</si>
  <si>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</si>
  <si>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</si>
  <si>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</si>
  <si>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</si>
  <si>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</si>
  <si>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</si>
  <si>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</si>
  <si>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</si>
  <si>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</si>
  <si>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</si>
  <si>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</si>
  <si>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</si>
  <si>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</si>
  <si>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</si>
  <si>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</si>
  <si>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</si>
  <si>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</si>
  <si>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</si>
  <si>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</si>
  <si>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</si>
  <si>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</si>
  <si>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</si>
  <si>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</si>
  <si>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</si>
  <si>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</si>
  <si>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</si>
  <si>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</si>
  <si>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</si>
  <si>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</si>
  <si>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</si>
  <si>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</si>
  <si>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</si>
  <si>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</si>
  <si>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</si>
  <si>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</si>
  <si>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</si>
  <si>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</si>
  <si>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</si>
  <si>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</si>
  <si>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</si>
  <si>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</si>
  <si>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</si>
  <si>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</si>
  <si>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</si>
  <si>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</si>
  <si>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</si>
  <si>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</si>
  <si>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</si>
  <si>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</si>
  <si>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</si>
  <si>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</si>
  <si>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</si>
  <si>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</si>
  <si>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</si>
  <si>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</si>
  <si>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</si>
  <si>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</si>
  <si>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</si>
  <si>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</si>
  <si>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</si>
  <si>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</si>
  <si>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</si>
  <si>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</si>
  <si>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</si>
  <si>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</si>
  <si>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</si>
  <si>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</si>
  <si>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</si>
  <si>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</si>
  <si>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</si>
  <si>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</si>
  <si>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</si>
  <si>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</si>
  <si>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</si>
  <si>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</si>
  <si>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</si>
  <si>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</si>
  <si>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</si>
  <si>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</si>
  <si>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</si>
  <si>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</si>
  <si>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</si>
  <si>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</si>
  <si>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</si>
  <si>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</si>
  <si>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</si>
  <si>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</si>
  <si>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</si>
  <si>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</si>
  <si>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</si>
  <si>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</si>
  <si>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</si>
  <si>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</si>
  <si>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</si>
  <si>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</si>
  <si>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</si>
  <si>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</si>
  <si>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</si>
  <si>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</si>
  <si>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</si>
  <si>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</si>
  <si>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</si>
  <si>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</si>
  <si>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</si>
  <si>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</si>
  <si>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</si>
  <si>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</si>
  <si>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</si>
  <si>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</si>
  <si>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</si>
  <si>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</si>
  <si>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</si>
  <si>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</si>
  <si>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</si>
  <si>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</si>
  <si>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</si>
  <si>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</si>
  <si>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</si>
  <si>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</si>
  <si>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</si>
  <si>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</si>
  <si>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</si>
  <si>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</si>
  <si>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</si>
  <si>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</si>
  <si>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</si>
  <si>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</si>
  <si>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</si>
  <si>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</si>
  <si>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</si>
  <si>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</si>
  <si>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</si>
  <si>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</si>
  <si>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</si>
  <si>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</si>
  <si>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</si>
  <si>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</si>
  <si>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</si>
  <si>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</si>
  <si>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</si>
  <si>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</si>
  <si>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</si>
  <si>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</si>
  <si>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</si>
  <si>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</si>
  <si>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</si>
  <si>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</si>
  <si>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</si>
  <si>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</si>
  <si>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</si>
  <si>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</si>
  <si>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</si>
  <si>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</si>
  <si>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</si>
  <si>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</si>
  <si>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</si>
  <si>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</si>
  <si>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</si>
  <si>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</si>
  <si>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</si>
  <si>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</si>
  <si>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</si>
  <si>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</si>
  <si>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</si>
  <si>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</si>
  <si>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</si>
  <si>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</si>
  <si>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</si>
  <si>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</si>
  <si>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</si>
  <si>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</si>
  <si>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</si>
  <si>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</si>
  <si>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</si>
  <si>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</si>
  <si>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</si>
  <si>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</si>
  <si>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</si>
  <si>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</si>
  <si>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</si>
  <si>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</si>
  <si>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</si>
  <si>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</si>
  <si>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</si>
  <si>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</si>
  <si>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</si>
  <si>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</si>
  <si>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</si>
  <si>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</si>
  <si>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</si>
  <si>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</si>
  <si>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</si>
  <si>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</si>
  <si>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</si>
  <si>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</si>
  <si>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</si>
  <si>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</si>
  <si>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</si>
  <si>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</si>
  <si>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</si>
  <si>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</si>
  <si>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</si>
  <si>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</si>
  <si>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</si>
  <si>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</si>
  <si>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</si>
  <si>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</si>
  <si>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</si>
  <si>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</si>
  <si>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</si>
  <si>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</si>
  <si>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</si>
  <si>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</si>
  <si>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</si>
  <si>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</si>
  <si>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</si>
  <si>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</si>
  <si>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</si>
  <si>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</si>
  <si>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</si>
  <si>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</si>
  <si>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</si>
  <si>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</si>
  <si>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</si>
  <si>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</si>
  <si>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</si>
  <si>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</si>
  <si>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</si>
  <si>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</si>
  <si>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</si>
  <si>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</si>
  <si>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</si>
  <si>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</si>
  <si>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</si>
  <si>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</si>
  <si>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</si>
  <si>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</si>
  <si>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</si>
  <si>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</si>
  <si>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</si>
  <si>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</si>
  <si>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</si>
  <si>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</si>
  <si>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</si>
  <si>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</si>
  <si>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</si>
  <si>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</si>
  <si>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</si>
  <si>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</si>
  <si>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</si>
  <si>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</si>
  <si>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</si>
  <si>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</si>
  <si>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</si>
  <si>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</si>
  <si>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</si>
  <si>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</si>
  <si>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</si>
  <si>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</si>
  <si>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</si>
  <si>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</si>
  <si>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</si>
  <si>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</si>
  <si>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</si>
  <si>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</si>
  <si>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</si>
  <si>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</si>
  <si>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</si>
  <si>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</si>
  <si>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</si>
  <si>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</si>
  <si>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</si>
  <si>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</si>
  <si>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</si>
  <si>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</si>
  <si>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</si>
  <si>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</si>
  <si>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</si>
  <si>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</si>
  <si>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</si>
  <si>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</si>
  <si>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</si>
  <si>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</si>
  <si>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</si>
  <si>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</si>
  <si>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</si>
  <si>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</si>
  <si>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</si>
  <si>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</si>
  <si>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</si>
  <si>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</si>
  <si>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</si>
  <si>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</si>
  <si>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</si>
  <si>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</si>
  <si>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</si>
  <si>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</si>
  <si>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</si>
  <si>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</si>
  <si>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</si>
  <si>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</si>
  <si>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</si>
  <si>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</si>
  <si>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</si>
  <si>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</si>
  <si>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</si>
  <si>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</si>
  <si>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</si>
  <si>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</si>
  <si>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</si>
  <si>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</si>
  <si>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</si>
  <si>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</si>
  <si>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</si>
  <si>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</si>
  <si>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</si>
  <si>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</si>
  <si>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</si>
  <si>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</si>
  <si>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</si>
  <si>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</si>
  <si>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</si>
  <si>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</si>
  <si>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</si>
  <si>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</si>
  <si>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</si>
  <si>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</si>
  <si>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</si>
  <si>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</si>
  <si>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</si>
  <si>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</si>
  <si>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</si>
  <si>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</si>
  <si>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</si>
  <si>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</si>
  <si>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</si>
  <si>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</si>
  <si>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</si>
  <si>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</si>
  <si>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</si>
  <si>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</si>
  <si>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</si>
  <si>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</si>
  <si>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</si>
  <si>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</si>
  <si>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</si>
  <si>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</si>
  <si>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</si>
  <si>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</si>
  <si>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</si>
  <si>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</si>
  <si>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</si>
  <si>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</si>
  <si>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</si>
  <si>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</si>
  <si>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</si>
  <si>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</si>
  <si>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</si>
  <si>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</si>
  <si>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</si>
  <si>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</si>
  <si>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</si>
  <si>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</si>
  <si>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</si>
  <si>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</si>
  <si>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</si>
  <si>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</si>
  <si>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</si>
  <si>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</si>
  <si>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</si>
  <si>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</si>
  <si>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</si>
  <si>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</si>
  <si>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</si>
  <si>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</si>
  <si>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</si>
  <si>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</si>
  <si>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</si>
  <si>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</si>
  <si>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</si>
  <si>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</si>
  <si>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</si>
  <si>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</si>
  <si>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</si>
  <si>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</si>
  <si>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</si>
  <si>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</si>
  <si>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</si>
  <si>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</si>
  <si>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</si>
  <si>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</si>
  <si>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</si>
  <si>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</si>
  <si>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at 07-04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</si>
</sst>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3">
    <xf numFmtId="0" fontId="0" fillId="0" borderId="0" xfId="0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3" fillId="0" borderId="0" xfId="0" applyFont="1"/>
    <xf numFmtId="0" fontId="1" fillId="7" borderId="0" xfId="0" applyFont="1" applyFill="1"/>
    <xf numFmtId="3" fontId="2" fillId="0" borderId="0" xfId="0" applyNumberFormat="1" applyFont="1"/>
    <xf numFmtId="0" fontId="0" fillId="0" borderId="0" xfId="0" applyAlignment="1">
      <alignment horizontal="right"/>
    </xf>
    <xf numFmtId="0" fontId="4" fillId="0" borderId="0" xfId="0" applyFont="1"/>
    <xf numFmtId="3" fontId="4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19" workbookViewId="0">
      <selection activeCell="P37" sqref="P37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t="s">
        <v>20</v>
      </c>
      <c r="G3" s="6">
        <v>0</v>
      </c>
      <c r="H3" s="6">
        <v>30</v>
      </c>
      <c r="I3" s="6">
        <f>-H3</f>
        <v>-30</v>
      </c>
      <c r="J3" t="s">
        <v>21</v>
      </c>
      <c r="K3" t="s">
        <v>22</v>
      </c>
      <c r="L3" t="s">
        <v>23</v>
      </c>
      <c r="Q3">
        <v>1</v>
      </c>
    </row>
    <row r="4" spans="1:17" x14ac:dyDescent="0.25">
      <c r="B4" t="s">
        <v>16</v>
      </c>
      <c r="C4" t="s">
        <v>24</v>
      </c>
      <c r="D4" t="s">
        <v>25</v>
      </c>
      <c r="E4" t="s">
        <v>26</v>
      </c>
      <c r="F4" s="6">
        <v>7</v>
      </c>
      <c r="G4" s="6">
        <v>850</v>
      </c>
      <c r="H4" s="6">
        <v>30</v>
      </c>
      <c r="I4" s="6">
        <f>G4-H4</f>
        <v>820</v>
      </c>
      <c r="J4" t="s">
        <v>21</v>
      </c>
      <c r="K4" t="s">
        <v>22</v>
      </c>
      <c r="L4" t="s">
        <v>23</v>
      </c>
      <c r="Q4">
        <v>1</v>
      </c>
    </row>
    <row r="5" spans="1:17" x14ac:dyDescent="0.25">
      <c r="B5" t="s">
        <v>16</v>
      </c>
      <c r="C5" t="s">
        <v>27</v>
      </c>
      <c r="D5" t="s">
        <v>28</v>
      </c>
      <c r="E5" t="s">
        <v>29</v>
      </c>
      <c r="F5" s="6">
        <v>3</v>
      </c>
      <c r="G5" s="6">
        <v>695</v>
      </c>
      <c r="H5" s="6">
        <v>25</v>
      </c>
      <c r="I5" s="6">
        <f>G5-H5</f>
        <v>670</v>
      </c>
      <c r="J5" t="s">
        <v>21</v>
      </c>
      <c r="K5" t="s">
        <v>22</v>
      </c>
      <c r="L5" t="s">
        <v>23</v>
      </c>
      <c r="Q5">
        <v>1</v>
      </c>
    </row>
    <row r="6" spans="1:17" x14ac:dyDescent="0.25">
      <c r="B6" t="s">
        <v>16</v>
      </c>
      <c r="C6" t="s">
        <v>30</v>
      </c>
      <c r="D6" t="s">
        <v>31</v>
      </c>
      <c r="E6" t="s">
        <v>32</v>
      </c>
      <c r="F6" s="6">
        <v>7</v>
      </c>
      <c r="G6" s="6">
        <v>740</v>
      </c>
      <c r="H6" s="6">
        <v>30</v>
      </c>
      <c r="I6" s="6">
        <f>G6-H6</f>
        <v>710</v>
      </c>
      <c r="J6" t="s">
        <v>21</v>
      </c>
      <c r="K6" t="s">
        <v>22</v>
      </c>
      <c r="L6" t="s">
        <v>23</v>
      </c>
      <c r="Q6">
        <v>1</v>
      </c>
    </row>
    <row r="7" spans="1:17" x14ac:dyDescent="0.25">
      <c r="B7" t="s">
        <v>16</v>
      </c>
      <c r="C7" t="s">
        <v>33</v>
      </c>
      <c r="D7" t="s">
        <v>34</v>
      </c>
      <c r="E7" t="s">
        <v>35</v>
      </c>
      <c r="F7" t="s">
        <v>36</v>
      </c>
      <c r="G7" s="6">
        <v>0</v>
      </c>
      <c r="H7" s="6">
        <v>20</v>
      </c>
      <c r="I7" s="6">
        <f>-H7</f>
        <v>-20</v>
      </c>
      <c r="J7" t="s">
        <v>22</v>
      </c>
      <c r="K7" t="s">
        <v>22</v>
      </c>
      <c r="L7" t="s">
        <v>23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s="6">
        <v>9</v>
      </c>
      <c r="G8" s="6">
        <v>780</v>
      </c>
      <c r="H8" s="6">
        <v>30</v>
      </c>
      <c r="I8" s="6">
        <f>G8-H8</f>
        <v>750</v>
      </c>
      <c r="J8" t="s">
        <v>40</v>
      </c>
      <c r="K8" t="s">
        <v>22</v>
      </c>
      <c r="L8" t="s">
        <v>23</v>
      </c>
      <c r="Q8">
        <v>1</v>
      </c>
    </row>
    <row r="9" spans="1:17" x14ac:dyDescent="0.25">
      <c r="B9" t="s">
        <v>16</v>
      </c>
      <c r="C9" t="s">
        <v>41</v>
      </c>
      <c r="D9" t="s">
        <v>42</v>
      </c>
      <c r="E9" t="s">
        <v>43</v>
      </c>
      <c r="F9" t="s">
        <v>44</v>
      </c>
      <c r="G9" s="6">
        <v>615</v>
      </c>
      <c r="H9" s="6">
        <v>25</v>
      </c>
      <c r="I9" s="6">
        <f>G9-H9</f>
        <v>590</v>
      </c>
      <c r="J9" t="s">
        <v>22</v>
      </c>
      <c r="K9" t="s">
        <v>22</v>
      </c>
      <c r="L9" t="s">
        <v>23</v>
      </c>
      <c r="Q9">
        <v>1</v>
      </c>
    </row>
    <row r="10" spans="1:17" x14ac:dyDescent="0.25">
      <c r="B10" t="s">
        <v>16</v>
      </c>
      <c r="C10" t="s">
        <v>45</v>
      </c>
      <c r="D10" t="s">
        <v>46</v>
      </c>
      <c r="E10" t="s">
        <v>47</v>
      </c>
      <c r="F10" t="s">
        <v>20</v>
      </c>
      <c r="G10" s="6">
        <v>610</v>
      </c>
      <c r="H10" s="6">
        <v>30</v>
      </c>
      <c r="I10" s="6">
        <f>G10-H10</f>
        <v>580</v>
      </c>
      <c r="J10" t="s">
        <v>21</v>
      </c>
      <c r="K10" t="s">
        <v>22</v>
      </c>
      <c r="L10" t="s">
        <v>23</v>
      </c>
      <c r="Q10">
        <v>1</v>
      </c>
    </row>
    <row r="11" spans="1:17" x14ac:dyDescent="0.25">
      <c r="B11" t="s">
        <v>16</v>
      </c>
      <c r="C11" t="s">
        <v>48</v>
      </c>
      <c r="D11" t="s">
        <v>49</v>
      </c>
      <c r="E11" t="s">
        <v>50</v>
      </c>
      <c r="F11" s="6">
        <v>8</v>
      </c>
      <c r="G11" s="6">
        <v>0</v>
      </c>
      <c r="H11" s="6">
        <v>25</v>
      </c>
      <c r="I11" s="6">
        <f>-H11</f>
        <v>-25</v>
      </c>
      <c r="J11" t="s">
        <v>21</v>
      </c>
      <c r="K11" t="s">
        <v>22</v>
      </c>
      <c r="L11" t="s">
        <v>23</v>
      </c>
      <c r="Q11">
        <v>1</v>
      </c>
    </row>
    <row r="12" spans="1:17" x14ac:dyDescent="0.25">
      <c r="B12" t="s">
        <v>16</v>
      </c>
      <c r="C12" t="s">
        <v>51</v>
      </c>
      <c r="D12" t="s">
        <v>52</v>
      </c>
      <c r="E12" t="s">
        <v>53</v>
      </c>
      <c r="F12" s="6">
        <v>1</v>
      </c>
      <c r="G12" s="6">
        <v>845</v>
      </c>
      <c r="H12" s="6">
        <v>25</v>
      </c>
      <c r="I12" s="6">
        <f t="shared" ref="I12:I21" si="0">G12-H12</f>
        <v>820</v>
      </c>
      <c r="J12" t="s">
        <v>22</v>
      </c>
      <c r="K12" t="s">
        <v>22</v>
      </c>
      <c r="L12" t="s">
        <v>23</v>
      </c>
      <c r="Q12">
        <v>1</v>
      </c>
    </row>
    <row r="13" spans="1:17" x14ac:dyDescent="0.25">
      <c r="B13" t="s">
        <v>16</v>
      </c>
      <c r="C13" t="s">
        <v>54</v>
      </c>
      <c r="D13" t="s">
        <v>55</v>
      </c>
      <c r="E13" t="s">
        <v>56</v>
      </c>
      <c r="F13" s="6">
        <v>12</v>
      </c>
      <c r="G13" s="6">
        <v>750</v>
      </c>
      <c r="H13" s="6">
        <v>30</v>
      </c>
      <c r="I13" s="6">
        <f t="shared" si="0"/>
        <v>720</v>
      </c>
      <c r="J13" t="s">
        <v>21</v>
      </c>
      <c r="K13" t="s">
        <v>22</v>
      </c>
      <c r="L13" t="s">
        <v>23</v>
      </c>
      <c r="Q13">
        <v>1</v>
      </c>
    </row>
    <row r="14" spans="1:17" x14ac:dyDescent="0.25">
      <c r="B14" t="s">
        <v>16</v>
      </c>
      <c r="C14" t="s">
        <v>57</v>
      </c>
      <c r="D14" t="s">
        <v>58</v>
      </c>
      <c r="E14" t="s">
        <v>59</v>
      </c>
      <c r="F14" t="s">
        <v>36</v>
      </c>
      <c r="G14" s="6">
        <v>1630</v>
      </c>
      <c r="H14" s="6">
        <v>20</v>
      </c>
      <c r="I14" s="6">
        <f t="shared" si="0"/>
        <v>1610</v>
      </c>
      <c r="J14" t="s">
        <v>22</v>
      </c>
      <c r="K14" t="s">
        <v>22</v>
      </c>
      <c r="L14" t="s">
        <v>23</v>
      </c>
      <c r="Q14">
        <v>1</v>
      </c>
    </row>
    <row r="15" spans="1:17" x14ac:dyDescent="0.25">
      <c r="B15" t="s">
        <v>16</v>
      </c>
      <c r="C15" t="s">
        <v>60</v>
      </c>
      <c r="D15" t="s">
        <v>61</v>
      </c>
      <c r="E15" t="s">
        <v>62</v>
      </c>
      <c r="F15" s="6">
        <v>3</v>
      </c>
      <c r="G15" s="6">
        <v>405</v>
      </c>
      <c r="H15" s="6">
        <v>25</v>
      </c>
      <c r="I15" s="6">
        <f t="shared" si="0"/>
        <v>380</v>
      </c>
      <c r="J15" t="s">
        <v>22</v>
      </c>
      <c r="K15" t="s">
        <v>22</v>
      </c>
      <c r="L15" t="s">
        <v>23</v>
      </c>
      <c r="Q15">
        <v>1</v>
      </c>
    </row>
    <row r="16" spans="1:17" x14ac:dyDescent="0.25">
      <c r="B16" t="s">
        <v>16</v>
      </c>
      <c r="C16" t="s">
        <v>63</v>
      </c>
      <c r="D16" t="s">
        <v>64</v>
      </c>
      <c r="E16" t="s">
        <v>65</v>
      </c>
      <c r="F16" s="6">
        <v>7</v>
      </c>
      <c r="G16" s="6">
        <v>30</v>
      </c>
      <c r="H16" s="6">
        <v>30</v>
      </c>
      <c r="I16" s="6">
        <f t="shared" si="0"/>
        <v>0</v>
      </c>
      <c r="J16" t="s">
        <v>21</v>
      </c>
      <c r="K16" t="s">
        <v>22</v>
      </c>
      <c r="L16" t="s">
        <v>23</v>
      </c>
      <c r="M16" t="s">
        <v>66</v>
      </c>
      <c r="Q16">
        <v>1</v>
      </c>
    </row>
    <row r="17" spans="1:17" x14ac:dyDescent="0.25">
      <c r="B17" t="s">
        <v>16</v>
      </c>
      <c r="C17" t="s">
        <v>67</v>
      </c>
      <c r="D17" t="s">
        <v>68</v>
      </c>
      <c r="E17" t="s">
        <v>69</v>
      </c>
      <c r="F17" s="6">
        <v>7</v>
      </c>
      <c r="G17" s="6">
        <v>1640</v>
      </c>
      <c r="H17" s="6">
        <v>30</v>
      </c>
      <c r="I17" s="6">
        <f t="shared" si="0"/>
        <v>1610</v>
      </c>
      <c r="J17" t="s">
        <v>21</v>
      </c>
      <c r="K17" t="s">
        <v>22</v>
      </c>
      <c r="L17" t="s">
        <v>23</v>
      </c>
      <c r="Q17">
        <v>1</v>
      </c>
    </row>
    <row r="18" spans="1:17" x14ac:dyDescent="0.25">
      <c r="B18" t="s">
        <v>16</v>
      </c>
      <c r="C18" t="s">
        <v>70</v>
      </c>
      <c r="D18" t="s">
        <v>71</v>
      </c>
      <c r="E18" t="s">
        <v>72</v>
      </c>
      <c r="F18" s="6">
        <v>12</v>
      </c>
      <c r="G18" s="6">
        <v>590</v>
      </c>
      <c r="H18" s="6">
        <v>30</v>
      </c>
      <c r="I18" s="6">
        <f t="shared" si="0"/>
        <v>560</v>
      </c>
      <c r="J18" t="s">
        <v>21</v>
      </c>
      <c r="K18" t="s">
        <v>22</v>
      </c>
      <c r="L18" t="s">
        <v>23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7</v>
      </c>
      <c r="G19" s="6">
        <v>850</v>
      </c>
      <c r="H19" s="6">
        <v>30</v>
      </c>
      <c r="I19" s="6">
        <f t="shared" si="0"/>
        <v>820</v>
      </c>
      <c r="J19" t="s">
        <v>21</v>
      </c>
      <c r="K19" t="s">
        <v>22</v>
      </c>
      <c r="L19" t="s">
        <v>23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79</v>
      </c>
      <c r="G20" s="6">
        <v>20</v>
      </c>
      <c r="H20" s="6">
        <v>20</v>
      </c>
      <c r="I20" s="6">
        <f t="shared" si="0"/>
        <v>0</v>
      </c>
      <c r="J20" t="s">
        <v>22</v>
      </c>
      <c r="K20" t="s">
        <v>22</v>
      </c>
      <c r="L20" t="s">
        <v>23</v>
      </c>
      <c r="M20" t="s">
        <v>66</v>
      </c>
      <c r="Q20">
        <v>1</v>
      </c>
    </row>
    <row r="21" spans="1:17" x14ac:dyDescent="0.25">
      <c r="B21" t="s">
        <v>16</v>
      </c>
      <c r="C21" t="s">
        <v>80</v>
      </c>
      <c r="D21" t="s">
        <v>81</v>
      </c>
      <c r="E21" t="s">
        <v>82</v>
      </c>
      <c r="F21" t="s">
        <v>20</v>
      </c>
      <c r="G21" s="6">
        <v>820</v>
      </c>
      <c r="H21" s="6">
        <v>30</v>
      </c>
      <c r="I21" s="6">
        <f t="shared" si="0"/>
        <v>790</v>
      </c>
      <c r="J21" t="s">
        <v>21</v>
      </c>
      <c r="K21" t="s">
        <v>22</v>
      </c>
      <c r="L21" t="s">
        <v>23</v>
      </c>
      <c r="Q21">
        <v>1</v>
      </c>
    </row>
    <row r="22" spans="1:17" x14ac:dyDescent="0.25">
      <c r="A22" t="s">
        <v>83</v>
      </c>
      <c r="B22" t="s">
        <v>16</v>
      </c>
      <c r="C22" t="s">
        <v>84</v>
      </c>
      <c r="E22" t="s">
        <v>85</v>
      </c>
      <c r="F22" t="s">
        <v>86</v>
      </c>
      <c r="G22" s="6">
        <v>0</v>
      </c>
      <c r="H22" s="6">
        <v>30</v>
      </c>
      <c r="I22" s="6">
        <f>-H22</f>
        <v>-30</v>
      </c>
      <c r="J22" t="s">
        <v>22</v>
      </c>
      <c r="K22" t="s">
        <v>22</v>
      </c>
      <c r="L22" t="s">
        <v>23</v>
      </c>
      <c r="Q22">
        <v>1</v>
      </c>
    </row>
    <row r="23" spans="1:17" x14ac:dyDescent="0.25">
      <c r="A23" t="s">
        <v>83</v>
      </c>
      <c r="B23" t="s">
        <v>16</v>
      </c>
      <c r="C23" t="s">
        <v>87</v>
      </c>
      <c r="E23" t="s">
        <v>88</v>
      </c>
      <c r="F23" s="6">
        <v>6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22</v>
      </c>
      <c r="L23" t="s">
        <v>23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20" t="s">
        <v>89</v>
      </c>
      <c r="D27" s="20"/>
      <c r="E27" s="4" t="s">
        <v>90</v>
      </c>
      <c r="H27">
        <f>-5*25</f>
        <v>-125</v>
      </c>
      <c r="K27" s="7" t="s">
        <v>21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23</v>
      </c>
      <c r="B28" s="3" t="s">
        <v>93</v>
      </c>
      <c r="C28" s="21">
        <f>SUMIFS(I$3:I$23,B$3:B$23,A$27,L$3:L$23,A$28)</f>
        <v>11295</v>
      </c>
      <c r="D28" s="21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22">
        <v>0</v>
      </c>
      <c r="D29" s="22"/>
      <c r="K29" t="s">
        <v>98</v>
      </c>
      <c r="L29">
        <f>SUM(H26:H27)</f>
        <v>-261</v>
      </c>
      <c r="M29">
        <f>SUMIFS(Q$3:Q$23,J$3:J$23,K$27)</f>
        <v>13</v>
      </c>
      <c r="O29" t="s">
        <v>22</v>
      </c>
      <c r="P29">
        <f>L41</f>
        <v>3343</v>
      </c>
    </row>
    <row r="30" spans="1:17" x14ac:dyDescent="0.25">
      <c r="B30" s="2" t="s">
        <v>99</v>
      </c>
      <c r="C30" s="22">
        <f>-SUMIFS(I$3:I$23,B$3:B$23,A$27,P$3:P$23,"xx",N$3:N$23,"x")</f>
        <v>0</v>
      </c>
      <c r="D30" s="22"/>
      <c r="E30" s="2">
        <f>SUMIFS(Q$3:Q$23,B$3:B$23,A$27,P$3:P$23,"xx",N$3:N$23,"x")</f>
        <v>0</v>
      </c>
      <c r="K30" t="s">
        <v>100</v>
      </c>
      <c r="O30" t="s">
        <v>40</v>
      </c>
      <c r="P30">
        <f>L49</f>
        <v>755</v>
      </c>
    </row>
    <row r="31" spans="1:17" x14ac:dyDescent="0.25">
      <c r="B31" s="4" t="s">
        <v>101</v>
      </c>
      <c r="C31" s="20">
        <f>SUBTOTAL(9,C28:C30)</f>
        <v>11295</v>
      </c>
      <c r="D31" s="20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18"/>
      <c r="D32" s="18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18"/>
      <c r="D33" s="18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19">
        <f>C31+C32+C33</f>
        <v>11295</v>
      </c>
      <c r="D35" s="19"/>
      <c r="E35" s="1" t="s">
        <v>109</v>
      </c>
      <c r="K35" s="7" t="s">
        <v>22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40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/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workbookViewId="0">
      <selection activeCell="R30" sqref="R30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9.85546875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22</v>
      </c>
      <c r="L3" t="s">
        <v>115</v>
      </c>
      <c r="M3" t="s">
        <v>66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20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22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22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22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22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22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20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22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36</v>
      </c>
      <c r="G10" s="6">
        <v>0</v>
      </c>
      <c r="H10" s="6">
        <v>20</v>
      </c>
      <c r="I10" s="6">
        <f t="shared" si="0"/>
        <v>-20</v>
      </c>
      <c r="J10" t="s">
        <v>22</v>
      </c>
      <c r="K10" t="s">
        <v>22</v>
      </c>
      <c r="L10" t="s">
        <v>115</v>
      </c>
      <c r="Q10">
        <v>1</v>
      </c>
    </row>
    <row r="11" spans="1:17" x14ac:dyDescent="0.25">
      <c r="A11" t="s">
        <v>83</v>
      </c>
      <c r="B11" t="s">
        <v>16</v>
      </c>
      <c r="C11" t="s">
        <v>139</v>
      </c>
      <c r="E11" t="s">
        <v>140</v>
      </c>
      <c r="F11" s="6">
        <v>6</v>
      </c>
      <c r="G11" s="6">
        <v>70</v>
      </c>
      <c r="H11" s="6">
        <v>70</v>
      </c>
      <c r="I11" s="6">
        <f t="shared" si="0"/>
        <v>0</v>
      </c>
      <c r="J11" t="s">
        <v>22</v>
      </c>
      <c r="K11" t="s">
        <v>22</v>
      </c>
      <c r="L11" t="s">
        <v>115</v>
      </c>
      <c r="Q11">
        <v>1</v>
      </c>
    </row>
    <row r="12" spans="1:17" x14ac:dyDescent="0.25">
      <c r="A12" t="s">
        <v>83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22</v>
      </c>
      <c r="K12" t="s">
        <v>22</v>
      </c>
      <c r="L12" t="s">
        <v>115</v>
      </c>
      <c r="Q12">
        <v>1</v>
      </c>
    </row>
    <row r="13" spans="1:17" x14ac:dyDescent="0.25">
      <c r="A13" t="s">
        <v>83</v>
      </c>
      <c r="B13" t="s">
        <v>16</v>
      </c>
      <c r="C13" t="s">
        <v>143</v>
      </c>
      <c r="E13" t="s">
        <v>144</v>
      </c>
      <c r="F13" t="s">
        <v>44</v>
      </c>
      <c r="G13" s="6">
        <v>30</v>
      </c>
      <c r="H13" s="6">
        <v>30</v>
      </c>
      <c r="I13" s="6">
        <f t="shared" si="0"/>
        <v>0</v>
      </c>
      <c r="J13" t="s">
        <v>22</v>
      </c>
      <c r="K13" t="s">
        <v>22</v>
      </c>
      <c r="L13" t="s">
        <v>115</v>
      </c>
      <c r="Q13">
        <v>1</v>
      </c>
    </row>
    <row r="14" spans="1:17" x14ac:dyDescent="0.25">
      <c r="A14" t="s">
        <v>83</v>
      </c>
      <c r="B14" t="s">
        <v>16</v>
      </c>
      <c r="C14" t="s">
        <v>145</v>
      </c>
      <c r="E14" t="s">
        <v>146</v>
      </c>
      <c r="F14" t="s">
        <v>86</v>
      </c>
      <c r="G14" s="6">
        <v>530</v>
      </c>
      <c r="H14" s="6">
        <v>30</v>
      </c>
      <c r="I14" s="6">
        <f t="shared" si="0"/>
        <v>500</v>
      </c>
      <c r="J14" t="s">
        <v>22</v>
      </c>
      <c r="K14" t="s">
        <v>22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36</v>
      </c>
      <c r="G15" s="6">
        <v>740</v>
      </c>
      <c r="H15" s="6">
        <v>20</v>
      </c>
      <c r="I15" s="6">
        <f t="shared" si="0"/>
        <v>720</v>
      </c>
      <c r="J15" t="s">
        <v>22</v>
      </c>
      <c r="K15" t="s">
        <v>22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22</v>
      </c>
      <c r="K16" t="s">
        <v>22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36</v>
      </c>
      <c r="G17" s="6">
        <v>510</v>
      </c>
      <c r="H17" s="6">
        <v>20</v>
      </c>
      <c r="I17" s="6">
        <f t="shared" si="0"/>
        <v>490</v>
      </c>
      <c r="J17" t="s">
        <v>22</v>
      </c>
      <c r="K17" t="s">
        <v>22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44</v>
      </c>
      <c r="G18" s="6">
        <v>745</v>
      </c>
      <c r="H18" s="6">
        <v>25</v>
      </c>
      <c r="I18" s="6">
        <f t="shared" si="0"/>
        <v>720</v>
      </c>
      <c r="J18" t="s">
        <v>22</v>
      </c>
      <c r="K18" t="s">
        <v>22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36</v>
      </c>
      <c r="G19" s="6">
        <v>0</v>
      </c>
      <c r="H19" s="6">
        <v>20</v>
      </c>
      <c r="I19" s="6">
        <f t="shared" si="0"/>
        <v>-20</v>
      </c>
      <c r="J19" t="s">
        <v>22</v>
      </c>
      <c r="K19" t="s">
        <v>22</v>
      </c>
      <c r="L19" t="s">
        <v>115</v>
      </c>
      <c r="Q19">
        <v>1</v>
      </c>
    </row>
    <row r="20" spans="1:17" x14ac:dyDescent="0.25">
      <c r="A20" t="s">
        <v>83</v>
      </c>
      <c r="B20" t="s">
        <v>16</v>
      </c>
      <c r="C20" t="s">
        <v>163</v>
      </c>
      <c r="E20" t="s">
        <v>164</v>
      </c>
      <c r="F20" t="s">
        <v>86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22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22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22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22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22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20" t="s">
        <v>89</v>
      </c>
      <c r="D28" s="20"/>
      <c r="E28" s="4" t="s">
        <v>90</v>
      </c>
      <c r="H28">
        <f>-2*25</f>
        <v>-50</v>
      </c>
      <c r="K28" s="7" t="s">
        <v>22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21">
        <f>SUMIFS(I$3:I$24,B$3:B$24,A$28,L$3:L$24,A$29)</f>
        <v>7275</v>
      </c>
      <c r="D29" s="21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2655</v>
      </c>
      <c r="M29">
        <f>SUMIFS(Q$3:Q$24,J$3:J$24,K$28)</f>
        <v>10</v>
      </c>
      <c r="O29" t="s">
        <v>22</v>
      </c>
      <c r="P29">
        <f>L34</f>
        <v>2366</v>
      </c>
    </row>
    <row r="30" spans="1:17" x14ac:dyDescent="0.25">
      <c r="B30" s="2" t="s">
        <v>97</v>
      </c>
      <c r="C30" s="22">
        <v>0</v>
      </c>
      <c r="D30" s="22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22">
        <f>-SUMIFS(I$3:I$24,B$3:B$24,A$28,P$3:P$24,"xx",N$3:N$24,"x")</f>
        <v>0</v>
      </c>
      <c r="D31" s="22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20">
        <f>SUBTOTAL(9,C29:C31)</f>
        <v>7275</v>
      </c>
      <c r="D32" s="20"/>
      <c r="E32">
        <f>E29</f>
        <v>22</v>
      </c>
      <c r="K32" s="2" t="s">
        <v>102</v>
      </c>
      <c r="O32" t="s">
        <v>103</v>
      </c>
      <c r="P32">
        <f>-C36</f>
        <v>-7275</v>
      </c>
    </row>
    <row r="33" spans="2:16" x14ac:dyDescent="0.25">
      <c r="B33" s="2" t="s">
        <v>104</v>
      </c>
      <c r="C33" s="18"/>
      <c r="D33" s="18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18"/>
      <c r="D34" s="18"/>
      <c r="L34" s="9">
        <f>SUBTOTAL(9,L29:L33)</f>
        <v>2366</v>
      </c>
      <c r="M34" s="9">
        <f>M29</f>
        <v>10</v>
      </c>
    </row>
    <row r="36" spans="2:16" x14ac:dyDescent="0.25">
      <c r="B36" s="1" t="s">
        <v>108</v>
      </c>
      <c r="C36" s="19">
        <f>C32+C33+C34</f>
        <v>7275</v>
      </c>
      <c r="D36" s="19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2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40</v>
      </c>
      <c r="K3" t="s">
        <v>22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40</v>
      </c>
      <c r="K4" t="s">
        <v>22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40</v>
      </c>
      <c r="K5" t="s">
        <v>22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40</v>
      </c>
      <c r="K6" t="s">
        <v>22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22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22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22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86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22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22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22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22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22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22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22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22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22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22</v>
      </c>
      <c r="L19" t="s">
        <v>182</v>
      </c>
      <c r="M19" t="s">
        <v>66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22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22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22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22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22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22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20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22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22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22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22</v>
      </c>
      <c r="L29" t="s">
        <v>182</v>
      </c>
      <c r="Q29">
        <v>1</v>
      </c>
    </row>
    <row r="30" spans="1:17" x14ac:dyDescent="0.25">
      <c r="A30" t="s">
        <v>83</v>
      </c>
      <c r="B30" t="s">
        <v>16</v>
      </c>
      <c r="C30" t="s">
        <v>87</v>
      </c>
      <c r="E30" t="s">
        <v>88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22</v>
      </c>
      <c r="L30" t="s">
        <v>182</v>
      </c>
      <c r="Q30">
        <v>1</v>
      </c>
    </row>
    <row r="31" spans="1:17" x14ac:dyDescent="0.25">
      <c r="A31" t="s">
        <v>83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22</v>
      </c>
      <c r="L31" t="s">
        <v>182</v>
      </c>
      <c r="Q31">
        <v>1</v>
      </c>
    </row>
    <row r="32" spans="1:17" x14ac:dyDescent="0.25">
      <c r="A32" t="s">
        <v>83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22</v>
      </c>
      <c r="L32" t="s">
        <v>182</v>
      </c>
      <c r="Q32">
        <v>1</v>
      </c>
    </row>
    <row r="33" spans="1:17" x14ac:dyDescent="0.25">
      <c r="A33" t="s">
        <v>83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22</v>
      </c>
      <c r="L33" t="s">
        <v>182</v>
      </c>
      <c r="M33" t="s">
        <v>66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79</v>
      </c>
      <c r="G34" s="6">
        <v>680</v>
      </c>
      <c r="H34" s="6">
        <v>20</v>
      </c>
      <c r="I34" s="6">
        <f>G34-H34</f>
        <v>660</v>
      </c>
      <c r="J34" t="s">
        <v>22</v>
      </c>
      <c r="K34" t="s">
        <v>22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86</v>
      </c>
      <c r="G35" s="6">
        <v>685</v>
      </c>
      <c r="H35" s="6">
        <v>25</v>
      </c>
      <c r="I35" s="6">
        <f>G35-H35</f>
        <v>660</v>
      </c>
      <c r="J35" t="s">
        <v>22</v>
      </c>
      <c r="K35" t="s">
        <v>22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22</v>
      </c>
      <c r="K36" t="s">
        <v>22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44</v>
      </c>
      <c r="G37" s="6">
        <v>0</v>
      </c>
      <c r="H37" s="6">
        <v>25</v>
      </c>
      <c r="I37" s="6">
        <f>-H37</f>
        <v>-25</v>
      </c>
      <c r="J37" t="s">
        <v>22</v>
      </c>
      <c r="K37" t="s">
        <v>22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79</v>
      </c>
      <c r="G38" s="6">
        <v>0</v>
      </c>
      <c r="H38" s="6">
        <v>20</v>
      </c>
      <c r="I38" s="6">
        <f>-H38</f>
        <v>-20</v>
      </c>
      <c r="J38" t="s">
        <v>22</v>
      </c>
      <c r="K38" t="s">
        <v>22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22</v>
      </c>
      <c r="K39" t="s">
        <v>22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22</v>
      </c>
      <c r="K40" t="s">
        <v>22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36</v>
      </c>
      <c r="G41" s="6">
        <v>0</v>
      </c>
      <c r="H41" s="6">
        <v>20</v>
      </c>
      <c r="I41" s="6">
        <f>-H41</f>
        <v>-20</v>
      </c>
      <c r="J41" t="s">
        <v>22</v>
      </c>
      <c r="K41" t="s">
        <v>22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22</v>
      </c>
      <c r="K42" t="s">
        <v>22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22</v>
      </c>
      <c r="K43" t="s">
        <v>22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36</v>
      </c>
      <c r="G44" s="6">
        <v>770</v>
      </c>
      <c r="H44" s="6">
        <v>20</v>
      </c>
      <c r="I44" s="6">
        <f t="shared" si="1"/>
        <v>750</v>
      </c>
      <c r="J44" t="s">
        <v>22</v>
      </c>
      <c r="K44" t="s">
        <v>22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36</v>
      </c>
      <c r="G45" s="6">
        <v>680</v>
      </c>
      <c r="H45" s="6">
        <v>20</v>
      </c>
      <c r="I45" s="6">
        <f t="shared" si="1"/>
        <v>660</v>
      </c>
      <c r="J45" t="s">
        <v>22</v>
      </c>
      <c r="K45" t="s">
        <v>22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22</v>
      </c>
      <c r="K46" t="s">
        <v>22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36</v>
      </c>
      <c r="G47" s="6">
        <v>680</v>
      </c>
      <c r="H47" s="6">
        <v>20</v>
      </c>
      <c r="I47" s="6">
        <f t="shared" si="1"/>
        <v>660</v>
      </c>
      <c r="J47" t="s">
        <v>22</v>
      </c>
      <c r="K47" t="s">
        <v>22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44</v>
      </c>
      <c r="G48" s="6">
        <v>685</v>
      </c>
      <c r="H48" s="6">
        <v>25</v>
      </c>
      <c r="I48" s="6">
        <f t="shared" si="1"/>
        <v>660</v>
      </c>
      <c r="J48" t="s">
        <v>22</v>
      </c>
      <c r="K48" t="s">
        <v>22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86</v>
      </c>
      <c r="G49" s="6">
        <v>820</v>
      </c>
      <c r="H49" s="6">
        <v>0</v>
      </c>
      <c r="I49" s="6">
        <f t="shared" si="1"/>
        <v>820</v>
      </c>
      <c r="J49" t="s">
        <v>22</v>
      </c>
      <c r="K49" t="s">
        <v>22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86</v>
      </c>
      <c r="G50" s="6">
        <v>1585</v>
      </c>
      <c r="H50" s="6">
        <v>25</v>
      </c>
      <c r="I50" s="6">
        <f t="shared" si="1"/>
        <v>1560</v>
      </c>
      <c r="J50" t="s">
        <v>22</v>
      </c>
      <c r="K50" t="s">
        <v>22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44</v>
      </c>
      <c r="G51" s="6">
        <v>1050</v>
      </c>
      <c r="H51" s="6">
        <v>0</v>
      </c>
      <c r="I51" s="6">
        <f t="shared" si="1"/>
        <v>1050</v>
      </c>
      <c r="J51" t="s">
        <v>22</v>
      </c>
      <c r="K51" t="s">
        <v>22</v>
      </c>
      <c r="L51" t="s">
        <v>182</v>
      </c>
      <c r="M51" t="s">
        <v>312</v>
      </c>
      <c r="Q51">
        <v>1</v>
      </c>
    </row>
    <row r="52" spans="1:17" x14ac:dyDescent="0.25">
      <c r="A52" t="s">
        <v>83</v>
      </c>
      <c r="B52" t="s">
        <v>16</v>
      </c>
      <c r="C52" t="s">
        <v>318</v>
      </c>
      <c r="E52" t="s">
        <v>319</v>
      </c>
      <c r="F52" t="s">
        <v>44</v>
      </c>
      <c r="G52" s="6">
        <v>30</v>
      </c>
      <c r="H52" s="6">
        <v>30</v>
      </c>
      <c r="I52" s="6">
        <f t="shared" si="1"/>
        <v>0</v>
      </c>
      <c r="J52" t="s">
        <v>22</v>
      </c>
      <c r="K52" t="s">
        <v>22</v>
      </c>
      <c r="L52" t="s">
        <v>182</v>
      </c>
      <c r="Q52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6">
        <v>30</v>
      </c>
      <c r="H53" s="6">
        <v>30</v>
      </c>
      <c r="I53" s="6">
        <f t="shared" si="1"/>
        <v>0</v>
      </c>
      <c r="J53" t="s">
        <v>22</v>
      </c>
      <c r="K53" t="s">
        <v>22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20" t="s">
        <v>89</v>
      </c>
      <c r="D57" s="20"/>
      <c r="E57" s="4" t="s">
        <v>90</v>
      </c>
      <c r="H57">
        <f>-5*25</f>
        <v>-125</v>
      </c>
      <c r="K57" s="7" t="s">
        <v>22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21">
        <f>SUMIFS(I$3:I$53,B$3:B$53,A$57,L$3:L$53,A$58)</f>
        <v>29790</v>
      </c>
      <c r="D58" s="21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22</v>
      </c>
      <c r="P58">
        <f>L64</f>
        <v>12637</v>
      </c>
    </row>
    <row r="59" spans="1:17" x14ac:dyDescent="0.25">
      <c r="B59" s="2" t="s">
        <v>97</v>
      </c>
      <c r="C59" s="22">
        <v>0</v>
      </c>
      <c r="D59" s="22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22">
        <f>-SUMIFS(I$3:I$53,B$3:B$53,A$57,P$3:P$53,"xx",N$3:N$53,"x")</f>
        <v>0</v>
      </c>
      <c r="D60" s="22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40</v>
      </c>
      <c r="P60">
        <f>L80</f>
        <v>1540</v>
      </c>
    </row>
    <row r="61" spans="1:17" x14ac:dyDescent="0.25">
      <c r="B61" s="4" t="s">
        <v>101</v>
      </c>
      <c r="C61" s="20">
        <f>SUBTOTAL(9,C58:C60)</f>
        <v>29790</v>
      </c>
      <c r="D61" s="20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18"/>
      <c r="D62" s="18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18"/>
      <c r="D63" s="18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19">
        <f>C61+C62+C63</f>
        <v>29790</v>
      </c>
      <c r="D65" s="19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40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A12" workbookViewId="0">
      <selection activeCell="H35" sqref="H3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258</v>
      </c>
      <c r="F3" t="s">
        <v>259</v>
      </c>
      <c r="G3" s="6">
        <v>735</v>
      </c>
      <c r="H3" s="6">
        <v>35</v>
      </c>
      <c r="I3" s="6">
        <f t="shared" ref="I3:I44" si="0">G3-H3</f>
        <v>700</v>
      </c>
      <c r="J3" t="s">
        <v>327</v>
      </c>
      <c r="K3" t="s">
        <v>22</v>
      </c>
      <c r="L3" t="s">
        <v>328</v>
      </c>
      <c r="Q3">
        <v>1</v>
      </c>
    </row>
    <row r="4" spans="1:17" x14ac:dyDescent="0.25">
      <c r="B4" t="s">
        <v>16</v>
      </c>
      <c r="C4" t="s">
        <v>329</v>
      </c>
      <c r="D4" t="s">
        <v>330</v>
      </c>
      <c r="E4" t="s">
        <v>331</v>
      </c>
      <c r="F4" t="s">
        <v>153</v>
      </c>
      <c r="G4" s="6">
        <v>700</v>
      </c>
      <c r="H4" s="6">
        <v>30</v>
      </c>
      <c r="I4" s="6">
        <f t="shared" si="0"/>
        <v>670</v>
      </c>
      <c r="J4" t="s">
        <v>22</v>
      </c>
      <c r="K4" t="s">
        <v>22</v>
      </c>
      <c r="L4" t="s">
        <v>328</v>
      </c>
      <c r="Q4">
        <v>1</v>
      </c>
    </row>
    <row r="5" spans="1:17" x14ac:dyDescent="0.25">
      <c r="B5" t="s">
        <v>16</v>
      </c>
      <c r="C5" t="s">
        <v>332</v>
      </c>
      <c r="D5" t="s">
        <v>333</v>
      </c>
      <c r="E5" t="s">
        <v>334</v>
      </c>
      <c r="F5" s="6">
        <v>12</v>
      </c>
      <c r="G5" s="6">
        <v>760</v>
      </c>
      <c r="H5" s="6">
        <v>30</v>
      </c>
      <c r="I5" s="6">
        <f t="shared" si="0"/>
        <v>730</v>
      </c>
      <c r="J5" t="s">
        <v>327</v>
      </c>
      <c r="K5" t="s">
        <v>22</v>
      </c>
      <c r="L5" t="s">
        <v>328</v>
      </c>
      <c r="Q5">
        <v>1</v>
      </c>
    </row>
    <row r="6" spans="1:17" x14ac:dyDescent="0.25">
      <c r="B6" t="s">
        <v>16</v>
      </c>
      <c r="C6" t="s">
        <v>335</v>
      </c>
      <c r="D6" t="s">
        <v>336</v>
      </c>
      <c r="E6" t="s">
        <v>337</v>
      </c>
      <c r="F6" s="6">
        <v>7</v>
      </c>
      <c r="G6" s="6">
        <v>690</v>
      </c>
      <c r="H6" s="6">
        <v>30</v>
      </c>
      <c r="I6" s="6">
        <f t="shared" si="0"/>
        <v>660</v>
      </c>
      <c r="J6" t="s">
        <v>327</v>
      </c>
      <c r="K6" t="s">
        <v>22</v>
      </c>
      <c r="L6" t="s">
        <v>328</v>
      </c>
      <c r="Q6">
        <v>1</v>
      </c>
    </row>
    <row r="7" spans="1:17" x14ac:dyDescent="0.25">
      <c r="B7" t="s">
        <v>16</v>
      </c>
      <c r="C7" t="s">
        <v>338</v>
      </c>
      <c r="D7" t="s">
        <v>339</v>
      </c>
      <c r="E7" t="s">
        <v>340</v>
      </c>
      <c r="F7" s="6">
        <v>7</v>
      </c>
      <c r="G7" s="6">
        <v>920</v>
      </c>
      <c r="H7" s="6">
        <v>30</v>
      </c>
      <c r="I7" s="6">
        <f t="shared" si="0"/>
        <v>890</v>
      </c>
      <c r="J7" t="s">
        <v>327</v>
      </c>
      <c r="K7" t="s">
        <v>22</v>
      </c>
      <c r="L7" t="s">
        <v>328</v>
      </c>
      <c r="Q7">
        <v>1</v>
      </c>
    </row>
    <row r="8" spans="1:17" x14ac:dyDescent="0.25">
      <c r="B8" t="s">
        <v>16</v>
      </c>
      <c r="C8" t="s">
        <v>341</v>
      </c>
      <c r="D8" t="s">
        <v>342</v>
      </c>
      <c r="E8" t="s">
        <v>343</v>
      </c>
      <c r="F8" s="6">
        <v>3</v>
      </c>
      <c r="G8" s="6">
        <v>0</v>
      </c>
      <c r="H8" s="6">
        <v>25</v>
      </c>
      <c r="I8" s="6">
        <f t="shared" si="0"/>
        <v>-25</v>
      </c>
      <c r="J8" t="s">
        <v>165</v>
      </c>
      <c r="K8" t="s">
        <v>22</v>
      </c>
      <c r="L8" t="s">
        <v>328</v>
      </c>
      <c r="Q8">
        <v>1</v>
      </c>
    </row>
    <row r="9" spans="1:17" x14ac:dyDescent="0.25">
      <c r="B9" t="s">
        <v>16</v>
      </c>
      <c r="C9" t="s">
        <v>344</v>
      </c>
      <c r="D9" t="s">
        <v>345</v>
      </c>
      <c r="E9" t="s">
        <v>346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327</v>
      </c>
      <c r="K9" t="s">
        <v>22</v>
      </c>
      <c r="L9" t="s">
        <v>328</v>
      </c>
      <c r="Q9">
        <v>1</v>
      </c>
    </row>
    <row r="10" spans="1:17" x14ac:dyDescent="0.25">
      <c r="B10" t="s">
        <v>16</v>
      </c>
      <c r="C10" t="s">
        <v>347</v>
      </c>
      <c r="D10" t="s">
        <v>348</v>
      </c>
      <c r="E10" t="s">
        <v>349</v>
      </c>
      <c r="F10" s="6">
        <v>2</v>
      </c>
      <c r="G10" s="6">
        <v>720</v>
      </c>
      <c r="H10" s="6">
        <v>30</v>
      </c>
      <c r="I10" s="6">
        <f t="shared" si="0"/>
        <v>690</v>
      </c>
      <c r="J10" t="s">
        <v>22</v>
      </c>
      <c r="K10" t="s">
        <v>22</v>
      </c>
      <c r="L10" t="s">
        <v>328</v>
      </c>
      <c r="Q10">
        <v>1</v>
      </c>
    </row>
    <row r="11" spans="1:17" x14ac:dyDescent="0.25">
      <c r="B11" t="s">
        <v>16</v>
      </c>
      <c r="C11" t="s">
        <v>350</v>
      </c>
      <c r="D11" t="s">
        <v>351</v>
      </c>
      <c r="E11" t="s">
        <v>352</v>
      </c>
      <c r="F11" t="s">
        <v>20</v>
      </c>
      <c r="G11" s="6">
        <v>720</v>
      </c>
      <c r="H11" s="6">
        <v>30</v>
      </c>
      <c r="I11" s="6">
        <f t="shared" si="0"/>
        <v>690</v>
      </c>
      <c r="J11" t="s">
        <v>327</v>
      </c>
      <c r="K11" t="s">
        <v>22</v>
      </c>
      <c r="L11" t="s">
        <v>328</v>
      </c>
      <c r="Q11">
        <v>1</v>
      </c>
    </row>
    <row r="12" spans="1:17" x14ac:dyDescent="0.25">
      <c r="B12" t="s">
        <v>16</v>
      </c>
      <c r="C12" t="s">
        <v>353</v>
      </c>
      <c r="D12" t="s">
        <v>354</v>
      </c>
      <c r="E12" t="s">
        <v>355</v>
      </c>
      <c r="F12" t="s">
        <v>153</v>
      </c>
      <c r="G12" s="6">
        <v>730</v>
      </c>
      <c r="H12" s="6">
        <v>30</v>
      </c>
      <c r="I12" s="6">
        <f t="shared" si="0"/>
        <v>700</v>
      </c>
      <c r="J12" t="s">
        <v>22</v>
      </c>
      <c r="K12" t="s">
        <v>22</v>
      </c>
      <c r="L12" t="s">
        <v>328</v>
      </c>
      <c r="Q12">
        <v>1</v>
      </c>
    </row>
    <row r="13" spans="1:17" x14ac:dyDescent="0.25">
      <c r="B13" t="s">
        <v>16</v>
      </c>
      <c r="C13" t="s">
        <v>356</v>
      </c>
      <c r="D13" t="s">
        <v>357</v>
      </c>
      <c r="E13" t="s">
        <v>358</v>
      </c>
      <c r="F13" t="s">
        <v>153</v>
      </c>
      <c r="G13" s="6">
        <v>890</v>
      </c>
      <c r="H13" s="6">
        <v>30</v>
      </c>
      <c r="I13" s="6">
        <f t="shared" si="0"/>
        <v>860</v>
      </c>
      <c r="J13" t="s">
        <v>22</v>
      </c>
      <c r="K13" t="s">
        <v>22</v>
      </c>
      <c r="L13" t="s">
        <v>328</v>
      </c>
      <c r="Q13">
        <v>1</v>
      </c>
    </row>
    <row r="14" spans="1:17" x14ac:dyDescent="0.25">
      <c r="B14" t="s">
        <v>16</v>
      </c>
      <c r="C14" t="s">
        <v>359</v>
      </c>
      <c r="D14" t="s">
        <v>360</v>
      </c>
      <c r="E14" t="s">
        <v>361</v>
      </c>
      <c r="F14" t="s">
        <v>113</v>
      </c>
      <c r="G14" s="6">
        <v>1775</v>
      </c>
      <c r="H14" s="6">
        <v>35</v>
      </c>
      <c r="I14" s="6">
        <f t="shared" si="0"/>
        <v>1740</v>
      </c>
      <c r="J14" t="s">
        <v>327</v>
      </c>
      <c r="K14" t="s">
        <v>22</v>
      </c>
      <c r="L14" t="s">
        <v>328</v>
      </c>
      <c r="Q14">
        <v>1</v>
      </c>
    </row>
    <row r="15" spans="1:17" x14ac:dyDescent="0.25">
      <c r="B15" t="s">
        <v>16</v>
      </c>
      <c r="C15" t="s">
        <v>362</v>
      </c>
      <c r="D15" t="s">
        <v>363</v>
      </c>
      <c r="E15" t="s">
        <v>364</v>
      </c>
      <c r="F15" s="6">
        <v>1</v>
      </c>
      <c r="G15" s="6">
        <v>885</v>
      </c>
      <c r="H15" s="6">
        <v>25</v>
      </c>
      <c r="I15" s="6">
        <f t="shared" si="0"/>
        <v>860</v>
      </c>
      <c r="J15" t="s">
        <v>165</v>
      </c>
      <c r="K15" t="s">
        <v>22</v>
      </c>
      <c r="L15" t="s">
        <v>328</v>
      </c>
      <c r="Q15">
        <v>1</v>
      </c>
    </row>
    <row r="16" spans="1:17" x14ac:dyDescent="0.25">
      <c r="B16" t="s">
        <v>16</v>
      </c>
      <c r="C16" t="s">
        <v>365</v>
      </c>
      <c r="D16" t="s">
        <v>366</v>
      </c>
      <c r="E16" t="s">
        <v>367</v>
      </c>
      <c r="F16" s="6">
        <v>9</v>
      </c>
      <c r="G16" s="6">
        <v>690</v>
      </c>
      <c r="H16" s="6">
        <v>30</v>
      </c>
      <c r="I16" s="6">
        <f t="shared" si="0"/>
        <v>660</v>
      </c>
      <c r="J16" t="s">
        <v>40</v>
      </c>
      <c r="K16" t="s">
        <v>22</v>
      </c>
      <c r="L16" t="s">
        <v>328</v>
      </c>
      <c r="Q16">
        <v>1</v>
      </c>
    </row>
    <row r="17" spans="2:17" x14ac:dyDescent="0.25">
      <c r="B17" t="s">
        <v>16</v>
      </c>
      <c r="C17" t="s">
        <v>368</v>
      </c>
      <c r="D17" t="s">
        <v>369</v>
      </c>
      <c r="E17" t="s">
        <v>370</v>
      </c>
      <c r="F17" t="s">
        <v>44</v>
      </c>
      <c r="G17" s="6">
        <v>685</v>
      </c>
      <c r="H17" s="6">
        <v>25</v>
      </c>
      <c r="I17" s="6">
        <f t="shared" si="0"/>
        <v>660</v>
      </c>
      <c r="J17" t="s">
        <v>22</v>
      </c>
      <c r="K17" t="s">
        <v>22</v>
      </c>
      <c r="L17" t="s">
        <v>328</v>
      </c>
      <c r="Q17">
        <v>1</v>
      </c>
    </row>
    <row r="18" spans="2:17" x14ac:dyDescent="0.25">
      <c r="B18" t="s">
        <v>16</v>
      </c>
      <c r="C18" t="s">
        <v>371</v>
      </c>
      <c r="D18" t="s">
        <v>372</v>
      </c>
      <c r="E18" t="s">
        <v>373</v>
      </c>
      <c r="F18" t="s">
        <v>44</v>
      </c>
      <c r="G18" s="6">
        <v>0</v>
      </c>
      <c r="H18" s="6">
        <v>25</v>
      </c>
      <c r="I18" s="6">
        <f t="shared" si="0"/>
        <v>-25</v>
      </c>
      <c r="J18" t="s">
        <v>22</v>
      </c>
      <c r="K18" t="s">
        <v>22</v>
      </c>
      <c r="L18" t="s">
        <v>328</v>
      </c>
      <c r="Q18">
        <v>1</v>
      </c>
    </row>
    <row r="19" spans="2:17" x14ac:dyDescent="0.25">
      <c r="B19" t="s">
        <v>16</v>
      </c>
      <c r="C19" t="s">
        <v>374</v>
      </c>
      <c r="D19" t="s">
        <v>375</v>
      </c>
      <c r="E19" t="s">
        <v>376</v>
      </c>
      <c r="F19" s="6">
        <v>12</v>
      </c>
      <c r="G19" s="6">
        <v>870</v>
      </c>
      <c r="H19" s="6">
        <v>30</v>
      </c>
      <c r="I19" s="6">
        <f t="shared" si="0"/>
        <v>840</v>
      </c>
      <c r="J19" t="s">
        <v>22</v>
      </c>
      <c r="K19" t="s">
        <v>22</v>
      </c>
      <c r="L19" t="s">
        <v>328</v>
      </c>
      <c r="Q19">
        <v>1</v>
      </c>
    </row>
    <row r="20" spans="2:17" x14ac:dyDescent="0.25">
      <c r="B20" t="s">
        <v>16</v>
      </c>
      <c r="C20" t="s">
        <v>377</v>
      </c>
      <c r="D20" t="s">
        <v>378</v>
      </c>
      <c r="E20" t="s">
        <v>379</v>
      </c>
      <c r="F20" t="s">
        <v>44</v>
      </c>
      <c r="G20" s="6">
        <v>0</v>
      </c>
      <c r="H20" s="6">
        <v>25</v>
      </c>
      <c r="I20" s="6">
        <f t="shared" si="0"/>
        <v>-25</v>
      </c>
      <c r="J20" t="s">
        <v>22</v>
      </c>
      <c r="K20" t="s">
        <v>22</v>
      </c>
      <c r="L20" t="s">
        <v>328</v>
      </c>
      <c r="M20" t="s">
        <v>380</v>
      </c>
      <c r="Q20">
        <v>1</v>
      </c>
    </row>
    <row r="21" spans="2:17" x14ac:dyDescent="0.25">
      <c r="B21" t="s">
        <v>16</v>
      </c>
      <c r="C21" t="s">
        <v>381</v>
      </c>
      <c r="D21" t="s">
        <v>382</v>
      </c>
      <c r="E21" t="s">
        <v>383</v>
      </c>
      <c r="F21" t="s">
        <v>36</v>
      </c>
      <c r="G21" s="6">
        <v>910</v>
      </c>
      <c r="H21" s="6">
        <v>20</v>
      </c>
      <c r="I21" s="6">
        <f t="shared" si="0"/>
        <v>890</v>
      </c>
      <c r="J21" t="s">
        <v>22</v>
      </c>
      <c r="K21" t="s">
        <v>22</v>
      </c>
      <c r="L21" t="s">
        <v>328</v>
      </c>
      <c r="Q21">
        <v>1</v>
      </c>
    </row>
    <row r="22" spans="2:17" x14ac:dyDescent="0.25">
      <c r="B22" t="s">
        <v>16</v>
      </c>
      <c r="C22" t="s">
        <v>384</v>
      </c>
      <c r="D22" t="s">
        <v>385</v>
      </c>
      <c r="E22" t="s">
        <v>386</v>
      </c>
      <c r="F22" s="6">
        <v>4</v>
      </c>
      <c r="G22" s="6">
        <v>375</v>
      </c>
      <c r="H22" s="6">
        <v>25</v>
      </c>
      <c r="I22" s="6">
        <f t="shared" si="0"/>
        <v>350</v>
      </c>
      <c r="J22" t="s">
        <v>165</v>
      </c>
      <c r="K22" t="s">
        <v>22</v>
      </c>
      <c r="L22" t="s">
        <v>328</v>
      </c>
      <c r="Q22">
        <v>1</v>
      </c>
    </row>
    <row r="23" spans="2:17" x14ac:dyDescent="0.25">
      <c r="B23" t="s">
        <v>16</v>
      </c>
      <c r="C23" t="s">
        <v>387</v>
      </c>
      <c r="D23" t="s">
        <v>388</v>
      </c>
      <c r="E23" t="s">
        <v>389</v>
      </c>
      <c r="F23" s="6">
        <v>12</v>
      </c>
      <c r="G23" s="6">
        <v>720</v>
      </c>
      <c r="H23" s="6">
        <v>30</v>
      </c>
      <c r="I23" s="6">
        <f t="shared" si="0"/>
        <v>690</v>
      </c>
      <c r="J23" t="s">
        <v>327</v>
      </c>
      <c r="K23" t="s">
        <v>22</v>
      </c>
      <c r="L23" t="s">
        <v>328</v>
      </c>
      <c r="Q23">
        <v>1</v>
      </c>
    </row>
    <row r="24" spans="2:17" x14ac:dyDescent="0.25">
      <c r="B24" t="s">
        <v>16</v>
      </c>
      <c r="C24" t="s">
        <v>390</v>
      </c>
      <c r="D24" t="s">
        <v>391</v>
      </c>
      <c r="E24" t="s">
        <v>392</v>
      </c>
      <c r="F24" s="6">
        <v>7</v>
      </c>
      <c r="G24" s="6">
        <v>690</v>
      </c>
      <c r="H24" s="6">
        <v>30</v>
      </c>
      <c r="I24" s="6">
        <f t="shared" si="0"/>
        <v>660</v>
      </c>
      <c r="J24" t="s">
        <v>327</v>
      </c>
      <c r="K24" t="s">
        <v>22</v>
      </c>
      <c r="L24" t="s">
        <v>328</v>
      </c>
      <c r="Q24">
        <v>1</v>
      </c>
    </row>
    <row r="25" spans="2:17" x14ac:dyDescent="0.25">
      <c r="B25" t="s">
        <v>16</v>
      </c>
      <c r="C25" t="s">
        <v>393</v>
      </c>
      <c r="D25" t="s">
        <v>394</v>
      </c>
      <c r="E25" t="s">
        <v>395</v>
      </c>
      <c r="F25" s="6">
        <v>7</v>
      </c>
      <c r="G25" s="6">
        <v>0</v>
      </c>
      <c r="H25" s="6">
        <v>30</v>
      </c>
      <c r="I25" s="6">
        <f t="shared" si="0"/>
        <v>-30</v>
      </c>
      <c r="J25" t="s">
        <v>327</v>
      </c>
      <c r="K25" t="s">
        <v>22</v>
      </c>
      <c r="L25" t="s">
        <v>328</v>
      </c>
      <c r="Q25">
        <v>1</v>
      </c>
    </row>
    <row r="26" spans="2:17" x14ac:dyDescent="0.25">
      <c r="B26" t="s">
        <v>16</v>
      </c>
      <c r="C26" t="s">
        <v>396</v>
      </c>
      <c r="D26" t="s">
        <v>397</v>
      </c>
      <c r="E26" t="s">
        <v>398</v>
      </c>
      <c r="F26" s="6">
        <v>10</v>
      </c>
      <c r="G26" s="6">
        <v>815</v>
      </c>
      <c r="H26" s="6">
        <v>25</v>
      </c>
      <c r="I26" s="6">
        <f t="shared" si="0"/>
        <v>790</v>
      </c>
      <c r="J26" t="s">
        <v>165</v>
      </c>
      <c r="K26" t="s">
        <v>22</v>
      </c>
      <c r="L26" t="s">
        <v>328</v>
      </c>
      <c r="Q26">
        <v>1</v>
      </c>
    </row>
    <row r="27" spans="2:17" x14ac:dyDescent="0.25">
      <c r="B27" t="s">
        <v>16</v>
      </c>
      <c r="C27" t="s">
        <v>399</v>
      </c>
      <c r="D27" t="s">
        <v>400</v>
      </c>
      <c r="E27" t="s">
        <v>401</v>
      </c>
      <c r="F27" s="6">
        <v>2</v>
      </c>
      <c r="G27" s="6">
        <v>0</v>
      </c>
      <c r="H27" s="6">
        <v>30</v>
      </c>
      <c r="I27" s="6">
        <f t="shared" si="0"/>
        <v>-30</v>
      </c>
      <c r="J27" t="s">
        <v>22</v>
      </c>
      <c r="K27" t="s">
        <v>22</v>
      </c>
      <c r="L27" t="s">
        <v>328</v>
      </c>
      <c r="Q27">
        <v>1</v>
      </c>
    </row>
    <row r="28" spans="2:17" x14ac:dyDescent="0.25">
      <c r="B28" t="s">
        <v>16</v>
      </c>
      <c r="C28" t="s">
        <v>402</v>
      </c>
      <c r="D28" t="s">
        <v>403</v>
      </c>
      <c r="E28" t="s">
        <v>404</v>
      </c>
      <c r="F28" s="6">
        <v>4</v>
      </c>
      <c r="G28" s="6">
        <v>775</v>
      </c>
      <c r="H28" s="6">
        <v>25</v>
      </c>
      <c r="I28" s="6">
        <f t="shared" si="0"/>
        <v>750</v>
      </c>
      <c r="J28" t="s">
        <v>165</v>
      </c>
      <c r="K28" t="s">
        <v>22</v>
      </c>
      <c r="L28" t="s">
        <v>328</v>
      </c>
      <c r="Q28">
        <v>1</v>
      </c>
    </row>
    <row r="29" spans="2:17" x14ac:dyDescent="0.25">
      <c r="B29" t="s">
        <v>16</v>
      </c>
      <c r="C29" t="s">
        <v>405</v>
      </c>
      <c r="D29" t="s">
        <v>406</v>
      </c>
      <c r="E29" t="s">
        <v>407</v>
      </c>
      <c r="F29" s="6">
        <v>8</v>
      </c>
      <c r="G29" s="6">
        <v>820</v>
      </c>
      <c r="H29" s="6">
        <v>30</v>
      </c>
      <c r="I29" s="6">
        <f t="shared" si="0"/>
        <v>790</v>
      </c>
      <c r="J29" t="s">
        <v>327</v>
      </c>
      <c r="K29" t="s">
        <v>22</v>
      </c>
      <c r="L29" t="s">
        <v>328</v>
      </c>
      <c r="Q29">
        <v>1</v>
      </c>
    </row>
    <row r="30" spans="2:17" x14ac:dyDescent="0.25">
      <c r="B30" t="s">
        <v>16</v>
      </c>
      <c r="C30" t="s">
        <v>408</v>
      </c>
      <c r="D30" t="s">
        <v>409</v>
      </c>
      <c r="E30" t="s">
        <v>410</v>
      </c>
      <c r="F30" t="s">
        <v>20</v>
      </c>
      <c r="G30" s="6">
        <v>690</v>
      </c>
      <c r="H30" s="6">
        <v>30</v>
      </c>
      <c r="I30" s="6">
        <f t="shared" si="0"/>
        <v>660</v>
      </c>
      <c r="J30" t="s">
        <v>327</v>
      </c>
      <c r="K30" t="s">
        <v>22</v>
      </c>
      <c r="L30" t="s">
        <v>328</v>
      </c>
      <c r="Q30">
        <v>1</v>
      </c>
    </row>
    <row r="31" spans="2:17" x14ac:dyDescent="0.25">
      <c r="B31" t="s">
        <v>16</v>
      </c>
      <c r="C31" t="s">
        <v>411</v>
      </c>
      <c r="D31" t="s">
        <v>412</v>
      </c>
      <c r="E31" t="s">
        <v>413</v>
      </c>
      <c r="F31" t="s">
        <v>86</v>
      </c>
      <c r="G31" s="6">
        <v>885</v>
      </c>
      <c r="H31" s="6">
        <v>25</v>
      </c>
      <c r="I31" s="6">
        <f t="shared" si="0"/>
        <v>860</v>
      </c>
      <c r="J31" t="s">
        <v>165</v>
      </c>
      <c r="K31" t="s">
        <v>22</v>
      </c>
      <c r="L31" t="s">
        <v>328</v>
      </c>
      <c r="Q31">
        <v>1</v>
      </c>
    </row>
    <row r="32" spans="2:17" x14ac:dyDescent="0.25">
      <c r="B32" t="s">
        <v>16</v>
      </c>
      <c r="C32" t="s">
        <v>414</v>
      </c>
      <c r="D32" t="s">
        <v>415</v>
      </c>
      <c r="E32" t="s">
        <v>416</v>
      </c>
      <c r="F32" t="s">
        <v>36</v>
      </c>
      <c r="G32" s="6">
        <v>680</v>
      </c>
      <c r="H32" s="6">
        <v>20</v>
      </c>
      <c r="I32" s="6">
        <f t="shared" si="0"/>
        <v>660</v>
      </c>
      <c r="J32" t="s">
        <v>22</v>
      </c>
      <c r="K32" t="s">
        <v>22</v>
      </c>
      <c r="L32" t="s">
        <v>328</v>
      </c>
      <c r="Q32">
        <v>1</v>
      </c>
    </row>
    <row r="33" spans="1:17" x14ac:dyDescent="0.25">
      <c r="B33" t="s">
        <v>16</v>
      </c>
      <c r="C33" t="s">
        <v>417</v>
      </c>
      <c r="D33" t="s">
        <v>418</v>
      </c>
      <c r="E33" t="s">
        <v>419</v>
      </c>
      <c r="F33" t="s">
        <v>36</v>
      </c>
      <c r="G33" s="6">
        <v>840</v>
      </c>
      <c r="H33" s="6">
        <v>20</v>
      </c>
      <c r="I33" s="6">
        <f t="shared" si="0"/>
        <v>820</v>
      </c>
      <c r="J33" t="s">
        <v>22</v>
      </c>
      <c r="K33" t="s">
        <v>22</v>
      </c>
      <c r="L33" t="s">
        <v>328</v>
      </c>
      <c r="Q33">
        <v>1</v>
      </c>
    </row>
    <row r="34" spans="1:17" x14ac:dyDescent="0.25">
      <c r="B34" t="s">
        <v>16</v>
      </c>
      <c r="C34" t="s">
        <v>420</v>
      </c>
      <c r="D34" t="s">
        <v>421</v>
      </c>
      <c r="E34" t="s">
        <v>422</v>
      </c>
      <c r="F34" t="s">
        <v>86</v>
      </c>
      <c r="G34" s="6">
        <v>0</v>
      </c>
      <c r="H34" s="6">
        <v>25</v>
      </c>
      <c r="I34" s="6">
        <f t="shared" si="0"/>
        <v>-25</v>
      </c>
      <c r="J34" t="s">
        <v>22</v>
      </c>
      <c r="K34" t="s">
        <v>22</v>
      </c>
      <c r="L34" t="s">
        <v>328</v>
      </c>
      <c r="Q34">
        <v>1</v>
      </c>
    </row>
    <row r="35" spans="1:17" x14ac:dyDescent="0.25">
      <c r="B35" t="s">
        <v>16</v>
      </c>
      <c r="C35" t="s">
        <v>423</v>
      </c>
      <c r="D35" t="s">
        <v>424</v>
      </c>
      <c r="E35" t="s">
        <v>425</v>
      </c>
      <c r="F35" s="6">
        <v>12</v>
      </c>
      <c r="G35" s="6">
        <v>0</v>
      </c>
      <c r="H35" s="6">
        <v>40</v>
      </c>
      <c r="I35" s="6">
        <f t="shared" si="0"/>
        <v>-40</v>
      </c>
      <c r="J35" t="s">
        <v>22</v>
      </c>
      <c r="K35" t="s">
        <v>22</v>
      </c>
      <c r="L35" t="s">
        <v>328</v>
      </c>
      <c r="Q35">
        <v>1</v>
      </c>
    </row>
    <row r="36" spans="1:17" x14ac:dyDescent="0.25">
      <c r="B36" t="s">
        <v>16</v>
      </c>
      <c r="C36" t="s">
        <v>426</v>
      </c>
      <c r="D36" t="s">
        <v>427</v>
      </c>
      <c r="E36" t="s">
        <v>428</v>
      </c>
      <c r="F36" t="s">
        <v>79</v>
      </c>
      <c r="G36" s="6">
        <v>680</v>
      </c>
      <c r="H36" s="6">
        <v>20</v>
      </c>
      <c r="I36" s="6">
        <f t="shared" si="0"/>
        <v>660</v>
      </c>
      <c r="J36" t="s">
        <v>165</v>
      </c>
      <c r="K36" t="s">
        <v>22</v>
      </c>
      <c r="L36" t="s">
        <v>328</v>
      </c>
      <c r="Q36">
        <v>1</v>
      </c>
    </row>
    <row r="37" spans="1:17" x14ac:dyDescent="0.25">
      <c r="B37" t="s">
        <v>16</v>
      </c>
      <c r="C37" t="s">
        <v>429</v>
      </c>
      <c r="D37" t="s">
        <v>430</v>
      </c>
      <c r="E37" t="s">
        <v>431</v>
      </c>
      <c r="F37" s="6">
        <v>5</v>
      </c>
      <c r="G37" s="6">
        <v>715</v>
      </c>
      <c r="H37" s="6">
        <v>25</v>
      </c>
      <c r="I37" s="6">
        <f t="shared" si="0"/>
        <v>690</v>
      </c>
      <c r="J37" t="s">
        <v>327</v>
      </c>
      <c r="K37" t="s">
        <v>22</v>
      </c>
      <c r="L37" t="s">
        <v>328</v>
      </c>
      <c r="Q37">
        <v>1</v>
      </c>
    </row>
    <row r="38" spans="1:17" x14ac:dyDescent="0.25">
      <c r="B38" t="s">
        <v>16</v>
      </c>
      <c r="C38" t="s">
        <v>432</v>
      </c>
      <c r="D38" t="s">
        <v>433</v>
      </c>
      <c r="E38" t="s">
        <v>434</v>
      </c>
      <c r="F38" s="6">
        <v>1</v>
      </c>
      <c r="G38" s="6">
        <v>0</v>
      </c>
      <c r="H38" s="6">
        <v>25</v>
      </c>
      <c r="I38" s="6">
        <f t="shared" si="0"/>
        <v>-25</v>
      </c>
      <c r="J38" t="s">
        <v>165</v>
      </c>
      <c r="K38" t="s">
        <v>22</v>
      </c>
      <c r="L38" t="s">
        <v>328</v>
      </c>
      <c r="Q38">
        <v>1</v>
      </c>
    </row>
    <row r="39" spans="1:17" x14ac:dyDescent="0.25">
      <c r="A39" t="s">
        <v>83</v>
      </c>
      <c r="B39" t="s">
        <v>16</v>
      </c>
      <c r="C39" t="s">
        <v>435</v>
      </c>
      <c r="E39" t="s">
        <v>436</v>
      </c>
      <c r="F39" t="s">
        <v>86</v>
      </c>
      <c r="G39" s="6">
        <v>30</v>
      </c>
      <c r="H39" s="6">
        <v>30</v>
      </c>
      <c r="I39" s="6">
        <f t="shared" si="0"/>
        <v>0</v>
      </c>
      <c r="J39" t="s">
        <v>165</v>
      </c>
      <c r="K39" t="s">
        <v>22</v>
      </c>
      <c r="L39" t="s">
        <v>328</v>
      </c>
      <c r="Q39">
        <v>1</v>
      </c>
    </row>
    <row r="40" spans="1:17" x14ac:dyDescent="0.25">
      <c r="A40" t="s">
        <v>83</v>
      </c>
      <c r="B40" t="s">
        <v>16</v>
      </c>
      <c r="C40" t="s">
        <v>437</v>
      </c>
      <c r="E40" t="s">
        <v>438</v>
      </c>
      <c r="F40" t="s">
        <v>217</v>
      </c>
      <c r="G40" s="6">
        <v>30</v>
      </c>
      <c r="H40" s="6">
        <v>30</v>
      </c>
      <c r="I40" s="6">
        <f t="shared" si="0"/>
        <v>0</v>
      </c>
      <c r="J40" t="s">
        <v>327</v>
      </c>
      <c r="K40" t="s">
        <v>22</v>
      </c>
      <c r="L40" t="s">
        <v>328</v>
      </c>
      <c r="Q40">
        <v>1</v>
      </c>
    </row>
    <row r="41" spans="1:17" x14ac:dyDescent="0.25">
      <c r="A41" t="s">
        <v>83</v>
      </c>
      <c r="B41" t="s">
        <v>16</v>
      </c>
      <c r="C41" t="s">
        <v>439</v>
      </c>
      <c r="E41" t="s">
        <v>440</v>
      </c>
      <c r="F41" s="6">
        <v>9</v>
      </c>
      <c r="G41" s="6">
        <v>35</v>
      </c>
      <c r="H41" s="6">
        <v>35</v>
      </c>
      <c r="I41" s="6">
        <f t="shared" si="0"/>
        <v>0</v>
      </c>
      <c r="J41" t="s">
        <v>40</v>
      </c>
      <c r="K41" t="s">
        <v>22</v>
      </c>
      <c r="L41" t="s">
        <v>328</v>
      </c>
      <c r="Q41">
        <v>1</v>
      </c>
    </row>
    <row r="42" spans="1:17" x14ac:dyDescent="0.25">
      <c r="A42" t="s">
        <v>83</v>
      </c>
      <c r="B42" t="s">
        <v>16</v>
      </c>
      <c r="C42" t="s">
        <v>441</v>
      </c>
      <c r="E42" t="s">
        <v>442</v>
      </c>
      <c r="F42" t="s">
        <v>20</v>
      </c>
      <c r="G42" s="6">
        <v>40</v>
      </c>
      <c r="H42" s="6">
        <v>40</v>
      </c>
      <c r="I42" s="6">
        <f t="shared" si="0"/>
        <v>0</v>
      </c>
      <c r="J42" t="s">
        <v>327</v>
      </c>
      <c r="K42" t="s">
        <v>22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79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22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22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20" t="s">
        <v>89</v>
      </c>
      <c r="D48" s="20"/>
      <c r="E48" s="4" t="s">
        <v>90</v>
      </c>
      <c r="H48">
        <f>-5*25</f>
        <v>-125</v>
      </c>
      <c r="K48" s="7" t="s">
        <v>327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21">
        <f>SUMIFS(I$3:I$44,B$3:B$44,A$48,L$3:L$44,A$49)</f>
        <v>20745</v>
      </c>
      <c r="D49" s="21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22">
        <v>0</v>
      </c>
      <c r="D50" s="22"/>
      <c r="K50" t="s">
        <v>98</v>
      </c>
      <c r="L50">
        <f>SUM(H47:H49)</f>
        <v>-321</v>
      </c>
      <c r="M50">
        <f>SUMIFS(Q$3:Q$44,J$3:J$44,K$48)</f>
        <v>15</v>
      </c>
      <c r="O50" t="s">
        <v>22</v>
      </c>
      <c r="P50">
        <f>L62</f>
        <v>6635</v>
      </c>
    </row>
    <row r="51" spans="1:16" x14ac:dyDescent="0.25">
      <c r="B51" s="2" t="s">
        <v>99</v>
      </c>
      <c r="C51" s="22">
        <f>-SUMIFS(I$3:I$44,B$3:B$44,A$48,P$3:P$44,"xx",N$3:N$44,"x")</f>
        <v>-970</v>
      </c>
      <c r="D51" s="22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20">
        <f>SUBTOTAL(9,C49:C51)</f>
        <v>19775</v>
      </c>
      <c r="D52" s="20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40</v>
      </c>
      <c r="P52">
        <f>L78</f>
        <v>670</v>
      </c>
    </row>
    <row r="53" spans="1:16" x14ac:dyDescent="0.25">
      <c r="B53" s="2" t="s">
        <v>104</v>
      </c>
      <c r="C53" s="18"/>
      <c r="D53" s="18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18"/>
      <c r="D54" s="18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19">
        <f>C52+C53+C54</f>
        <v>19775</v>
      </c>
      <c r="D56" s="19"/>
      <c r="E56" s="1" t="s">
        <v>109</v>
      </c>
      <c r="K56" s="7" t="s">
        <v>22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40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/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topLeftCell="A47" workbookViewId="0">
      <selection activeCell="H76" sqref="H76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86</v>
      </c>
      <c r="G3" s="6">
        <v>0</v>
      </c>
      <c r="H3" s="6">
        <v>25</v>
      </c>
      <c r="I3" s="6">
        <f>G3-H3</f>
        <v>-25</v>
      </c>
      <c r="J3" t="s">
        <v>22</v>
      </c>
      <c r="K3" t="s">
        <v>22</v>
      </c>
      <c r="L3" t="s">
        <v>455</v>
      </c>
      <c r="M3" t="s">
        <v>380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22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22</v>
      </c>
      <c r="K5" t="s">
        <v>22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20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22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22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22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20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22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20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22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22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22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22</v>
      </c>
      <c r="K13" t="s">
        <v>22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20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22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36</v>
      </c>
      <c r="G15" s="6">
        <v>680</v>
      </c>
      <c r="H15" s="6">
        <v>20</v>
      </c>
      <c r="I15" s="6">
        <f t="shared" si="0"/>
        <v>660</v>
      </c>
      <c r="J15" t="s">
        <v>22</v>
      </c>
      <c r="K15" t="s">
        <v>22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22</v>
      </c>
      <c r="K16" t="s">
        <v>22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22</v>
      </c>
      <c r="K17" t="s">
        <v>22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22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86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22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22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22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22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22</v>
      </c>
      <c r="L23" t="s">
        <v>455</v>
      </c>
      <c r="M23" t="s">
        <v>66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22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22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22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20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22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22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22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22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86</v>
      </c>
      <c r="G31" s="6">
        <v>0</v>
      </c>
      <c r="H31" s="6">
        <v>25</v>
      </c>
      <c r="I31" s="6">
        <f>-H31</f>
        <v>-25</v>
      </c>
      <c r="J31" t="s">
        <v>22</v>
      </c>
      <c r="K31" t="s">
        <v>22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79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22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22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22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22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22</v>
      </c>
      <c r="K36" t="s">
        <v>22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22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22</v>
      </c>
      <c r="L38" t="s">
        <v>455</v>
      </c>
      <c r="M38" t="s">
        <v>380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86</v>
      </c>
      <c r="G39" s="6">
        <v>0</v>
      </c>
      <c r="H39" s="6">
        <v>25</v>
      </c>
      <c r="I39" s="6">
        <f>-H39</f>
        <v>-25</v>
      </c>
      <c r="J39" t="s">
        <v>22</v>
      </c>
      <c r="K39" t="s">
        <v>22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22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410</v>
      </c>
      <c r="F41" t="s">
        <v>20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22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20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22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22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22</v>
      </c>
      <c r="K44" t="s">
        <v>22</v>
      </c>
      <c r="L44" t="s">
        <v>455</v>
      </c>
      <c r="Q44" s="6">
        <v>1</v>
      </c>
    </row>
    <row r="45" spans="1:17" x14ac:dyDescent="0.25">
      <c r="B45" t="s">
        <v>16</v>
      </c>
      <c r="C45" t="s">
        <v>329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22</v>
      </c>
      <c r="K45" t="s">
        <v>22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22</v>
      </c>
      <c r="K46" t="s">
        <v>22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20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22</v>
      </c>
      <c r="L47" t="s">
        <v>455</v>
      </c>
      <c r="Q47" s="6">
        <v>1</v>
      </c>
    </row>
    <row r="48" spans="1:17" x14ac:dyDescent="0.25">
      <c r="A48" t="s">
        <v>83</v>
      </c>
      <c r="B48" t="s">
        <v>16</v>
      </c>
      <c r="C48" t="s">
        <v>582</v>
      </c>
      <c r="E48" t="s">
        <v>583</v>
      </c>
      <c r="F48" t="s">
        <v>44</v>
      </c>
      <c r="G48" s="6">
        <v>30</v>
      </c>
      <c r="H48" s="6">
        <v>30</v>
      </c>
      <c r="I48" s="6">
        <f t="shared" si="3"/>
        <v>0</v>
      </c>
      <c r="J48" t="s">
        <v>22</v>
      </c>
      <c r="K48" t="s">
        <v>22</v>
      </c>
      <c r="L48" t="s">
        <v>455</v>
      </c>
      <c r="Q48" s="6">
        <v>1</v>
      </c>
    </row>
    <row r="49" spans="1:17" x14ac:dyDescent="0.25">
      <c r="A49" t="s">
        <v>83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22</v>
      </c>
      <c r="L49" t="s">
        <v>455</v>
      </c>
      <c r="Q49" s="6">
        <v>1</v>
      </c>
    </row>
    <row r="50" spans="1:17" x14ac:dyDescent="0.25">
      <c r="A50" t="s">
        <v>83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22</v>
      </c>
      <c r="K50" t="s">
        <v>22</v>
      </c>
      <c r="L50" t="s">
        <v>455</v>
      </c>
      <c r="Q50" s="6">
        <v>1</v>
      </c>
    </row>
    <row r="51" spans="1:17" x14ac:dyDescent="0.25">
      <c r="A51" t="s">
        <v>83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22</v>
      </c>
      <c r="L51" t="s">
        <v>455</v>
      </c>
      <c r="Q51" s="6">
        <v>1</v>
      </c>
    </row>
    <row r="52" spans="1:17" x14ac:dyDescent="0.25">
      <c r="A52" t="s">
        <v>83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22</v>
      </c>
      <c r="L52" t="s">
        <v>455</v>
      </c>
      <c r="Q52" s="6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6">
        <v>30</v>
      </c>
      <c r="H53" s="6">
        <v>30</v>
      </c>
      <c r="I53" s="6">
        <f>G53-H53</f>
        <v>0</v>
      </c>
      <c r="J53" t="s">
        <v>22</v>
      </c>
      <c r="K53" t="s">
        <v>22</v>
      </c>
      <c r="L53" t="s">
        <v>455</v>
      </c>
      <c r="Q53" s="6">
        <v>1</v>
      </c>
    </row>
    <row r="54" spans="1:17" x14ac:dyDescent="0.25">
      <c r="A54" t="s">
        <v>83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22</v>
      </c>
      <c r="K54" t="s">
        <v>22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362</v>
      </c>
      <c r="D55" s="2" t="s">
        <v>363</v>
      </c>
      <c r="E55" s="2" t="s">
        <v>364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22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20" t="s">
        <v>89</v>
      </c>
      <c r="D59" s="20"/>
      <c r="E59" s="4" t="s">
        <v>90</v>
      </c>
      <c r="H59">
        <f>-8*25</f>
        <v>-200</v>
      </c>
      <c r="K59" s="7" t="s">
        <v>22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21">
        <f>SUMIFS(I$3:I$55,B$3:B$55,A$59,L$3:L$55,A$60)</f>
        <v>33510</v>
      </c>
      <c r="D60" s="21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22</v>
      </c>
      <c r="P60">
        <f>L65</f>
        <v>8746</v>
      </c>
    </row>
    <row r="61" spans="1:17" x14ac:dyDescent="0.25">
      <c r="B61" s="2" t="s">
        <v>97</v>
      </c>
      <c r="C61" s="22">
        <v>0</v>
      </c>
      <c r="D61" s="22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22">
        <f>-SUMIFS(I$3:I$55,B$3:B$55,A$59,P$3:P$55,"xx",N$3:N$55,"x")</f>
        <v>-860</v>
      </c>
      <c r="D62" s="22"/>
      <c r="E62" s="2">
        <f>SUMIFS(Q$3:Q$55,B$3:B$55,A$59,P$3:P$55,"xx",N$3:N$55,"x")</f>
        <v>1</v>
      </c>
      <c r="K62" t="s">
        <v>100</v>
      </c>
      <c r="L62">
        <f>-M62*2</f>
        <v>-104</v>
      </c>
      <c r="M62">
        <f>Q57-(COUNTIFS(M$3:M$55,"*gộp*")/2)-COUNTIFS(P$3:P$55,"*xx*")</f>
        <v>52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20">
        <f>SUBTOTAL(9,C60:C62)</f>
        <v>32650</v>
      </c>
      <c r="D63" s="20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18"/>
      <c r="D64" s="18"/>
      <c r="K64" s="2" t="s">
        <v>105</v>
      </c>
      <c r="O64" s="4" t="s">
        <v>106</v>
      </c>
      <c r="P64" s="4">
        <f>SUBTOTAL(9,P60:P63)</f>
        <v>216</v>
      </c>
    </row>
    <row r="65" spans="2:13" x14ac:dyDescent="0.25">
      <c r="B65" s="8" t="s">
        <v>107</v>
      </c>
      <c r="C65" s="18"/>
      <c r="D65" s="18"/>
      <c r="L65" s="9">
        <f>SUBTOTAL(9,L60:L64)</f>
        <v>8746</v>
      </c>
      <c r="M65" s="9">
        <f>M60</f>
        <v>16</v>
      </c>
    </row>
    <row r="67" spans="2:13" x14ac:dyDescent="0.25">
      <c r="B67" s="1" t="s">
        <v>108</v>
      </c>
      <c r="C67" s="19">
        <f>C63+C64+C65</f>
        <v>32650</v>
      </c>
      <c r="D67" s="19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5"/>
  <sheetViews>
    <sheetView tabSelected="1" topLeftCell="A20" workbookViewId="0">
      <selection activeCell="L54" sqref="L54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613</v>
      </c>
      <c r="D3" t="s">
        <v>614</v>
      </c>
      <c r="E3" t="s">
        <v>615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616</v>
      </c>
      <c r="K3" t="s">
        <v>22</v>
      </c>
      <c r="L3" t="s">
        <v>597</v>
      </c>
      <c r="Q3">
        <v>1</v>
      </c>
    </row>
    <row r="4" spans="1:17" x14ac:dyDescent="0.25">
      <c r="B4" t="s">
        <v>16</v>
      </c>
      <c r="C4" t="s">
        <v>617</v>
      </c>
      <c r="D4" t="s">
        <v>618</v>
      </c>
      <c r="E4" t="s">
        <v>619</v>
      </c>
      <c r="F4" t="s">
        <v>20</v>
      </c>
      <c r="G4" s="6">
        <v>820</v>
      </c>
      <c r="H4" s="6">
        <v>30</v>
      </c>
      <c r="I4" s="6">
        <f t="shared" si="0"/>
        <v>790</v>
      </c>
      <c r="J4" t="s">
        <v>616</v>
      </c>
      <c r="K4" t="s">
        <v>22</v>
      </c>
      <c r="L4" t="s">
        <v>597</v>
      </c>
      <c r="Q4">
        <v>1</v>
      </c>
    </row>
    <row r="5" spans="1:17" x14ac:dyDescent="0.25">
      <c r="B5" t="s">
        <v>16</v>
      </c>
      <c r="C5" t="s">
        <v>620</v>
      </c>
      <c r="D5" t="s">
        <v>621</v>
      </c>
      <c r="E5" t="s">
        <v>622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616</v>
      </c>
      <c r="K5" t="s">
        <v>22</v>
      </c>
      <c r="L5" t="s">
        <v>597</v>
      </c>
      <c r="Q5">
        <v>1</v>
      </c>
    </row>
    <row r="6" spans="1:17" x14ac:dyDescent="0.25">
      <c r="B6" t="s">
        <v>16</v>
      </c>
      <c r="C6" t="s">
        <v>623</v>
      </c>
      <c r="D6" t="s">
        <v>624</v>
      </c>
      <c r="E6" t="s">
        <v>625</v>
      </c>
      <c r="F6" t="s">
        <v>20</v>
      </c>
      <c r="G6" s="6">
        <v>2500</v>
      </c>
      <c r="H6" s="6">
        <v>35</v>
      </c>
      <c r="I6" s="6">
        <f t="shared" si="0"/>
        <v>2465</v>
      </c>
      <c r="J6" t="s">
        <v>616</v>
      </c>
      <c r="K6" t="s">
        <v>22</v>
      </c>
      <c r="L6" t="s">
        <v>597</v>
      </c>
      <c r="M6" t="s">
        <v>380</v>
      </c>
      <c r="Q6">
        <v>1</v>
      </c>
    </row>
    <row r="7" spans="1:17" x14ac:dyDescent="0.25">
      <c r="B7" t="s">
        <v>16</v>
      </c>
      <c r="C7" t="s">
        <v>629</v>
      </c>
      <c r="D7" t="s">
        <v>630</v>
      </c>
      <c r="E7" t="s">
        <v>631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616</v>
      </c>
      <c r="K7" t="s">
        <v>22</v>
      </c>
      <c r="L7" t="s">
        <v>597</v>
      </c>
      <c r="Q7">
        <v>1</v>
      </c>
    </row>
    <row r="8" spans="1:17" x14ac:dyDescent="0.25">
      <c r="B8" t="s">
        <v>16</v>
      </c>
      <c r="C8" t="s">
        <v>638</v>
      </c>
      <c r="D8" t="s">
        <v>639</v>
      </c>
      <c r="E8" t="s">
        <v>640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616</v>
      </c>
      <c r="K8" t="s">
        <v>22</v>
      </c>
      <c r="L8" t="s">
        <v>597</v>
      </c>
      <c r="Q8">
        <v>1</v>
      </c>
    </row>
    <row r="9" spans="1:17" x14ac:dyDescent="0.25">
      <c r="B9" t="s">
        <v>16</v>
      </c>
      <c r="C9" t="s">
        <v>24</v>
      </c>
      <c r="D9" t="s">
        <v>641</v>
      </c>
      <c r="E9" t="s">
        <v>26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616</v>
      </c>
      <c r="K9" t="s">
        <v>22</v>
      </c>
      <c r="L9" t="s">
        <v>597</v>
      </c>
      <c r="Q9">
        <v>1</v>
      </c>
    </row>
    <row r="10" spans="1:17" x14ac:dyDescent="0.25">
      <c r="A10" t="s">
        <v>83</v>
      </c>
      <c r="B10" t="s">
        <v>16</v>
      </c>
      <c r="C10" t="s">
        <v>651</v>
      </c>
      <c r="E10" t="s">
        <v>652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616</v>
      </c>
      <c r="K10" t="s">
        <v>22</v>
      </c>
      <c r="L10" t="s">
        <v>597</v>
      </c>
      <c r="Q10">
        <v>1</v>
      </c>
    </row>
    <row r="11" spans="1:17" x14ac:dyDescent="0.25">
      <c r="A11" t="s">
        <v>83</v>
      </c>
      <c r="B11" t="s">
        <v>16</v>
      </c>
      <c r="C11" t="s">
        <v>655</v>
      </c>
      <c r="E11" t="s">
        <v>656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616</v>
      </c>
      <c r="K11" t="s">
        <v>22</v>
      </c>
      <c r="L11" t="s">
        <v>597</v>
      </c>
      <c r="Q11">
        <v>1</v>
      </c>
    </row>
    <row r="12" spans="1:17" x14ac:dyDescent="0.25">
      <c r="B12" t="s">
        <v>16</v>
      </c>
      <c r="C12" t="s">
        <v>594</v>
      </c>
      <c r="D12" t="s">
        <v>595</v>
      </c>
      <c r="E12" t="s">
        <v>596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22</v>
      </c>
      <c r="K12" t="s">
        <v>22</v>
      </c>
      <c r="L12" t="s">
        <v>597</v>
      </c>
      <c r="Q12">
        <v>1</v>
      </c>
    </row>
    <row r="13" spans="1:17" x14ac:dyDescent="0.25">
      <c r="B13" t="s">
        <v>16</v>
      </c>
      <c r="C13" t="s">
        <v>604</v>
      </c>
      <c r="D13" t="s">
        <v>605</v>
      </c>
      <c r="E13" t="s">
        <v>606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22</v>
      </c>
      <c r="K13" t="s">
        <v>22</v>
      </c>
      <c r="L13" t="s">
        <v>597</v>
      </c>
      <c r="Q13">
        <v>1</v>
      </c>
    </row>
    <row r="14" spans="1:17" x14ac:dyDescent="0.25">
      <c r="B14" t="s">
        <v>16</v>
      </c>
      <c r="C14" t="s">
        <v>607</v>
      </c>
      <c r="D14" t="s">
        <v>608</v>
      </c>
      <c r="E14" t="s">
        <v>609</v>
      </c>
      <c r="F14" t="s">
        <v>36</v>
      </c>
      <c r="G14" s="6">
        <v>815</v>
      </c>
      <c r="H14" s="6">
        <v>25</v>
      </c>
      <c r="I14" s="6">
        <f t="shared" si="0"/>
        <v>790</v>
      </c>
      <c r="J14" t="s">
        <v>22</v>
      </c>
      <c r="K14" t="s">
        <v>22</v>
      </c>
      <c r="L14" t="s">
        <v>597</v>
      </c>
      <c r="Q14">
        <v>1</v>
      </c>
    </row>
    <row r="15" spans="1:17" x14ac:dyDescent="0.25">
      <c r="B15" t="s">
        <v>16</v>
      </c>
      <c r="C15" t="s">
        <v>610</v>
      </c>
      <c r="D15" t="s">
        <v>611</v>
      </c>
      <c r="E15" t="s">
        <v>612</v>
      </c>
      <c r="F15" t="s">
        <v>44</v>
      </c>
      <c r="G15" s="6">
        <v>815</v>
      </c>
      <c r="H15" s="6">
        <v>25</v>
      </c>
      <c r="I15" s="6">
        <f t="shared" si="0"/>
        <v>790</v>
      </c>
      <c r="J15" t="s">
        <v>22</v>
      </c>
      <c r="K15" t="s">
        <v>22</v>
      </c>
      <c r="L15" t="s">
        <v>597</v>
      </c>
      <c r="Q15">
        <v>1</v>
      </c>
    </row>
    <row r="16" spans="1:17" x14ac:dyDescent="0.25">
      <c r="B16" t="s">
        <v>16</v>
      </c>
      <c r="C16" t="s">
        <v>626</v>
      </c>
      <c r="D16" t="s">
        <v>627</v>
      </c>
      <c r="E16" t="s">
        <v>628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22</v>
      </c>
      <c r="K16" t="s">
        <v>22</v>
      </c>
      <c r="L16" t="s">
        <v>597</v>
      </c>
      <c r="Q16">
        <v>1</v>
      </c>
    </row>
    <row r="17" spans="1:17" x14ac:dyDescent="0.25">
      <c r="B17" t="s">
        <v>16</v>
      </c>
      <c r="C17" t="s">
        <v>645</v>
      </c>
      <c r="D17" t="s">
        <v>646</v>
      </c>
      <c r="E17" t="s">
        <v>647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22</v>
      </c>
      <c r="K17" t="s">
        <v>22</v>
      </c>
      <c r="L17" t="s">
        <v>597</v>
      </c>
      <c r="Q17">
        <v>1</v>
      </c>
    </row>
    <row r="18" spans="1:17" x14ac:dyDescent="0.25">
      <c r="B18" t="s">
        <v>16</v>
      </c>
      <c r="C18" t="s">
        <v>648</v>
      </c>
      <c r="D18" t="s">
        <v>649</v>
      </c>
      <c r="E18" t="s">
        <v>650</v>
      </c>
      <c r="F18" t="s">
        <v>44</v>
      </c>
      <c r="G18" s="6">
        <v>695</v>
      </c>
      <c r="H18" s="6">
        <v>25</v>
      </c>
      <c r="I18" s="6">
        <f>G18-H18</f>
        <v>670</v>
      </c>
      <c r="J18" t="s">
        <v>22</v>
      </c>
      <c r="K18" t="s">
        <v>22</v>
      </c>
      <c r="L18" t="s">
        <v>597</v>
      </c>
      <c r="Q18">
        <v>1</v>
      </c>
    </row>
    <row r="19" spans="1:17" x14ac:dyDescent="0.25">
      <c r="A19" t="s">
        <v>83</v>
      </c>
      <c r="B19" t="s">
        <v>16</v>
      </c>
      <c r="C19" t="s">
        <v>657</v>
      </c>
      <c r="E19" t="s">
        <v>658</v>
      </c>
      <c r="F19" t="s">
        <v>44</v>
      </c>
      <c r="G19" s="6">
        <v>4895</v>
      </c>
      <c r="H19" s="6">
        <v>35</v>
      </c>
      <c r="I19" s="6">
        <f>G19-H19</f>
        <v>4860</v>
      </c>
      <c r="J19" t="s">
        <v>22</v>
      </c>
      <c r="K19" t="s">
        <v>22</v>
      </c>
      <c r="L19" t="s">
        <v>597</v>
      </c>
      <c r="Q19">
        <v>1</v>
      </c>
    </row>
    <row r="20" spans="1:17" x14ac:dyDescent="0.25">
      <c r="A20" t="s">
        <v>83</v>
      </c>
      <c r="B20" t="s">
        <v>16</v>
      </c>
      <c r="C20" t="s">
        <v>659</v>
      </c>
      <c r="E20" t="s">
        <v>660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22</v>
      </c>
      <c r="K20" t="s">
        <v>22</v>
      </c>
      <c r="L20" t="s">
        <v>597</v>
      </c>
      <c r="Q20">
        <v>1</v>
      </c>
    </row>
    <row r="21" spans="1:17" x14ac:dyDescent="0.25">
      <c r="A21" t="s">
        <v>83</v>
      </c>
      <c r="B21" t="s">
        <v>16</v>
      </c>
      <c r="C21" t="s">
        <v>661</v>
      </c>
      <c r="E21" t="s">
        <v>425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22</v>
      </c>
      <c r="K21" t="s">
        <v>22</v>
      </c>
      <c r="L21" t="s">
        <v>597</v>
      </c>
      <c r="Q21">
        <v>1</v>
      </c>
    </row>
    <row r="22" spans="1:17" x14ac:dyDescent="0.25">
      <c r="B22" t="s">
        <v>16</v>
      </c>
      <c r="C22" t="s">
        <v>598</v>
      </c>
      <c r="D22" t="s">
        <v>599</v>
      </c>
      <c r="E22" t="s">
        <v>600</v>
      </c>
      <c r="F22" s="6">
        <v>1</v>
      </c>
      <c r="G22" s="6">
        <v>745</v>
      </c>
      <c r="H22" s="6">
        <v>25</v>
      </c>
      <c r="I22" s="6">
        <f t="shared" ref="I22:I27" si="1">G22-H22</f>
        <v>720</v>
      </c>
      <c r="J22" t="s">
        <v>165</v>
      </c>
      <c r="K22" t="s">
        <v>22</v>
      </c>
      <c r="L22" t="s">
        <v>597</v>
      </c>
      <c r="Q22">
        <v>1</v>
      </c>
    </row>
    <row r="23" spans="1:17" x14ac:dyDescent="0.25">
      <c r="B23" t="s">
        <v>16</v>
      </c>
      <c r="C23" t="s">
        <v>601</v>
      </c>
      <c r="D23" t="s">
        <v>602</v>
      </c>
      <c r="E23" t="s">
        <v>603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22</v>
      </c>
      <c r="L23" t="s">
        <v>597</v>
      </c>
      <c r="Q23">
        <v>1</v>
      </c>
    </row>
    <row r="24" spans="1:17" x14ac:dyDescent="0.25">
      <c r="B24" t="s">
        <v>16</v>
      </c>
      <c r="C24" t="s">
        <v>632</v>
      </c>
      <c r="D24" t="s">
        <v>633</v>
      </c>
      <c r="E24" t="s">
        <v>634</v>
      </c>
      <c r="F24" t="s">
        <v>86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22</v>
      </c>
      <c r="L24" t="s">
        <v>597</v>
      </c>
      <c r="Q24">
        <v>1</v>
      </c>
    </row>
    <row r="25" spans="1:17" x14ac:dyDescent="0.25">
      <c r="B25" t="s">
        <v>16</v>
      </c>
      <c r="C25" t="s">
        <v>635</v>
      </c>
      <c r="D25" t="s">
        <v>636</v>
      </c>
      <c r="E25" t="s">
        <v>637</v>
      </c>
      <c r="F25" t="s">
        <v>86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22</v>
      </c>
      <c r="L25" t="s">
        <v>597</v>
      </c>
      <c r="Q25">
        <v>1</v>
      </c>
    </row>
    <row r="26" spans="1:17" x14ac:dyDescent="0.25">
      <c r="A26" t="s">
        <v>83</v>
      </c>
      <c r="B26" t="s">
        <v>16</v>
      </c>
      <c r="C26" t="s">
        <v>653</v>
      </c>
      <c r="E26" t="s">
        <v>654</v>
      </c>
      <c r="F26" s="6">
        <v>5</v>
      </c>
      <c r="G26" s="6">
        <v>30</v>
      </c>
      <c r="H26" s="6">
        <v>30</v>
      </c>
      <c r="I26" s="6">
        <f t="shared" ref="I26" si="2">G26-H26</f>
        <v>0</v>
      </c>
      <c r="J26" t="s">
        <v>165</v>
      </c>
      <c r="K26" t="s">
        <v>22</v>
      </c>
      <c r="L26" t="s">
        <v>597</v>
      </c>
      <c r="Q26">
        <v>1</v>
      </c>
    </row>
    <row r="27" spans="1:17" x14ac:dyDescent="0.25">
      <c r="B27" t="s">
        <v>16</v>
      </c>
      <c r="C27" t="s">
        <v>642</v>
      </c>
      <c r="D27" t="s">
        <v>643</v>
      </c>
      <c r="E27" t="s">
        <v>644</v>
      </c>
      <c r="F27" t="s">
        <v>86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22</v>
      </c>
      <c r="L27" s="16" t="s">
        <v>597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>G28-H28</f>
        <v>695</v>
      </c>
      <c r="J28" s="14" t="s">
        <v>446</v>
      </c>
      <c r="K28" s="2" t="s">
        <v>22</v>
      </c>
      <c r="L28" s="17" t="s">
        <v>182</v>
      </c>
      <c r="M28" s="14"/>
      <c r="N28" s="14" t="s">
        <v>448</v>
      </c>
      <c r="O28" s="14" t="s">
        <v>448</v>
      </c>
      <c r="P28" s="14" t="s">
        <v>449</v>
      </c>
      <c r="Q28" s="15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>G29-H29</f>
        <v>1020</v>
      </c>
      <c r="J29" s="14" t="s">
        <v>446</v>
      </c>
      <c r="K29" s="2" t="s">
        <v>22</v>
      </c>
      <c r="L29" s="2" t="s">
        <v>455</v>
      </c>
      <c r="M29" s="14"/>
      <c r="N29" s="14" t="s">
        <v>448</v>
      </c>
      <c r="O29" s="14" t="s">
        <v>448</v>
      </c>
      <c r="P29" s="14" t="s">
        <v>449</v>
      </c>
      <c r="Q29" s="15">
        <v>1</v>
      </c>
    </row>
    <row r="31" spans="1:17" x14ac:dyDescent="0.25">
      <c r="D31" s="1">
        <f>COUNTA(D3:D29)</f>
        <v>21</v>
      </c>
      <c r="G31" s="1">
        <f t="shared" ref="G31:Q31" si="3">SUBTOTAL(9,G3:G29)</f>
        <v>24205</v>
      </c>
      <c r="H31" s="1">
        <f t="shared" si="3"/>
        <v>735</v>
      </c>
      <c r="I31" s="1">
        <f t="shared" si="3"/>
        <v>23470</v>
      </c>
      <c r="J31" s="1">
        <f t="shared" si="3"/>
        <v>0</v>
      </c>
      <c r="K31" s="1">
        <f t="shared" si="3"/>
        <v>0</v>
      </c>
      <c r="L31" s="1">
        <f t="shared" si="3"/>
        <v>0</v>
      </c>
      <c r="M31" s="1">
        <f t="shared" si="3"/>
        <v>0</v>
      </c>
      <c r="N31" s="1">
        <f t="shared" si="3"/>
        <v>0</v>
      </c>
      <c r="O31" s="1">
        <f t="shared" si="3"/>
        <v>0</v>
      </c>
      <c r="P31" s="1">
        <f t="shared" si="3"/>
        <v>0</v>
      </c>
      <c r="Q31" s="1">
        <f t="shared" si="3"/>
        <v>27</v>
      </c>
    </row>
    <row r="32" spans="1:17" x14ac:dyDescent="0.25">
      <c r="H32">
        <f>-6*17</f>
        <v>-102</v>
      </c>
    </row>
    <row r="33" spans="1:16" x14ac:dyDescent="0.25">
      <c r="A33" s="1" t="s">
        <v>16</v>
      </c>
      <c r="C33" s="20" t="s">
        <v>89</v>
      </c>
      <c r="D33" s="20"/>
      <c r="E33" s="4" t="s">
        <v>90</v>
      </c>
      <c r="H33">
        <f>-2*25</f>
        <v>-50</v>
      </c>
      <c r="K33" s="7" t="s">
        <v>22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597</v>
      </c>
      <c r="B34" s="3" t="s">
        <v>93</v>
      </c>
      <c r="C34" s="21">
        <f>SUMIFS(I$3:I$29,B$3:B$29,A$33,L$3:L$29,A$34)</f>
        <v>21755</v>
      </c>
      <c r="D34" s="21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22</v>
      </c>
      <c r="P34">
        <f>L39</f>
        <v>8590</v>
      </c>
    </row>
    <row r="35" spans="1:16" x14ac:dyDescent="0.25">
      <c r="B35" s="2" t="s">
        <v>97</v>
      </c>
      <c r="C35" s="22">
        <v>0</v>
      </c>
      <c r="D35" s="22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L47</f>
        <v>3880</v>
      </c>
    </row>
    <row r="36" spans="1:16" x14ac:dyDescent="0.25">
      <c r="B36" s="2" t="s">
        <v>99</v>
      </c>
      <c r="C36" s="22">
        <f>-SUMIFS(I$3:I$29,B$3:B$29,A$33,P$3:P$29,"xx",N$3:N$29,"x")</f>
        <v>-1715</v>
      </c>
      <c r="D36" s="22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662</v>
      </c>
      <c r="P36">
        <f>L55</f>
        <v>7698</v>
      </c>
    </row>
    <row r="37" spans="1:16" x14ac:dyDescent="0.25">
      <c r="B37" s="4" t="s">
        <v>101</v>
      </c>
      <c r="C37" s="20">
        <f>SUBTOTAL(9,C34:C36)</f>
        <v>20040</v>
      </c>
      <c r="D37" s="20"/>
      <c r="E37">
        <f>E34</f>
        <v>25</v>
      </c>
      <c r="K37" s="2" t="s">
        <v>102</v>
      </c>
      <c r="O37" t="s">
        <v>103</v>
      </c>
      <c r="P37">
        <f>-C41</f>
        <v>-20040</v>
      </c>
    </row>
    <row r="38" spans="1:16" x14ac:dyDescent="0.25">
      <c r="B38" s="2" t="s">
        <v>104</v>
      </c>
      <c r="C38" s="18"/>
      <c r="D38" s="18"/>
      <c r="K38" s="2" t="s">
        <v>105</v>
      </c>
      <c r="L38" s="2">
        <v>-1020</v>
      </c>
      <c r="O38" s="4" t="s">
        <v>106</v>
      </c>
      <c r="P38" s="4">
        <f>SUBTOTAL(9,P34:P37)</f>
        <v>128</v>
      </c>
    </row>
    <row r="39" spans="1:16" x14ac:dyDescent="0.25">
      <c r="B39" s="8" t="s">
        <v>107</v>
      </c>
      <c r="C39" s="18"/>
      <c r="D39" s="18"/>
      <c r="L39" s="9">
        <f>SUBTOTAL(9,L34:L38)</f>
        <v>8590</v>
      </c>
      <c r="M39" s="9">
        <f>M34</f>
        <v>10</v>
      </c>
    </row>
    <row r="41" spans="1:16" x14ac:dyDescent="0.25">
      <c r="B41" s="1" t="s">
        <v>108</v>
      </c>
      <c r="C41" s="19">
        <f>C37+C38+C39</f>
        <v>20040</v>
      </c>
      <c r="D41" s="19"/>
      <c r="E41" s="1" t="s">
        <v>109</v>
      </c>
      <c r="K41" s="7" t="s">
        <v>165</v>
      </c>
      <c r="L41" s="7" t="s">
        <v>91</v>
      </c>
      <c r="M41" s="7" t="s">
        <v>90</v>
      </c>
    </row>
    <row r="42" spans="1:16" x14ac:dyDescent="0.25">
      <c r="K42" t="s">
        <v>95</v>
      </c>
      <c r="L42">
        <f>SUMIFS(G$3:G$29,J$3:J$29,K$41)</f>
        <v>4005</v>
      </c>
      <c r="M42">
        <f>SUMIFS(Q$3:Q$29,J$3:J$29,K$41)</f>
        <v>6</v>
      </c>
    </row>
    <row r="43" spans="1:16" x14ac:dyDescent="0.25">
      <c r="K43" t="s">
        <v>98</v>
      </c>
      <c r="L43">
        <f>-SUMIFS(H$3:H$29,J$3:J$29,K$41)+M43*5</f>
        <v>-125</v>
      </c>
      <c r="M43">
        <f>SUMIFS(Q$3:Q$29,J$3:J$29,K$41)-COUNTIFS(J$3:J$29,K$41,M$3:M$29,"*gộp*")</f>
        <v>6</v>
      </c>
    </row>
    <row r="44" spans="1:16" x14ac:dyDescent="0.25">
      <c r="K44" t="s">
        <v>100</v>
      </c>
    </row>
    <row r="45" spans="1:16" x14ac:dyDescent="0.25">
      <c r="K45" s="2" t="s">
        <v>102</v>
      </c>
    </row>
    <row r="46" spans="1:16" x14ac:dyDescent="0.25">
      <c r="K46" s="2" t="s">
        <v>105</v>
      </c>
    </row>
    <row r="47" spans="1:16" x14ac:dyDescent="0.25">
      <c r="L47" s="9">
        <f>SUBTOTAL(9,L42:L46)</f>
        <v>3880</v>
      </c>
      <c r="M47" s="9">
        <f>M42</f>
        <v>6</v>
      </c>
    </row>
    <row r="49" spans="11:13" x14ac:dyDescent="0.25">
      <c r="K49" s="7" t="s">
        <v>616</v>
      </c>
      <c r="L49" s="7" t="s">
        <v>91</v>
      </c>
      <c r="M49" s="7" t="s">
        <v>90</v>
      </c>
    </row>
    <row r="50" spans="11:13" x14ac:dyDescent="0.25">
      <c r="K50" t="s">
        <v>95</v>
      </c>
      <c r="L50">
        <f>SUMIFS(G$3:G$29,J$3:J$29,K$49)</f>
        <v>8575</v>
      </c>
      <c r="M50">
        <f>SUMIFS(Q$3:Q$29,J$3:J$29,K$49)</f>
        <v>9</v>
      </c>
    </row>
    <row r="51" spans="11:13" x14ac:dyDescent="0.25">
      <c r="K51" t="s">
        <v>98</v>
      </c>
      <c r="L51">
        <f>SUM(H32:H34)</f>
        <v>-182</v>
      </c>
      <c r="M51">
        <f>SUMIFS(Q$3:Q$29,J$3:J$29,K$49)</f>
        <v>9</v>
      </c>
    </row>
    <row r="52" spans="11:13" x14ac:dyDescent="0.25">
      <c r="K52" t="s">
        <v>100</v>
      </c>
    </row>
    <row r="53" spans="11:13" x14ac:dyDescent="0.25">
      <c r="K53" s="2" t="s">
        <v>102</v>
      </c>
    </row>
    <row r="54" spans="11:13" x14ac:dyDescent="0.25">
      <c r="K54" s="2" t="s">
        <v>105</v>
      </c>
      <c r="L54" s="2">
        <v>-695</v>
      </c>
    </row>
    <row r="55" spans="11:13" x14ac:dyDescent="0.25">
      <c r="L55" s="9">
        <f>SUBTOTAL(9,L50:L54)</f>
        <v>7698</v>
      </c>
      <c r="M55" s="9">
        <f>M50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01-04</vt:lpstr>
      <vt:lpstr>02-04</vt:lpstr>
      <vt:lpstr>03-04</vt:lpstr>
      <vt:lpstr>04-04</vt:lpstr>
      <vt:lpstr>06-04</vt:lpstr>
      <vt:lpstr>07-04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2026-04-07T13:58:59Z</dcterms:modified>
</cp:coreProperties>
</file>