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7FE01F22-30C6-4BD3-AF57-7466247D36F6}" xr6:coauthVersionLast="47" xr6:coauthVersionMax="47" xr10:uidLastSave="{00000000-0000-0000-0000-000000000000}"/>
  <bookViews>
    <workbookView xWindow="-120" yWindow="-120" windowWidth="29040" windowHeight="15720" firstSheet="7" activeTab="21" xr2:uid="{00000000-000D-0000-FFFF-FFFF00000000}"/>
  </bookViews>
  <sheets>
    <sheet name="01-04" sheetId="2" r:id="rId1"/>
    <sheet name="02-04" sheetId="6" r:id="rId2"/>
    <sheet name="03-04" sheetId="7" r:id="rId3"/>
    <sheet name="04-04" sheetId="8" r:id="rId4"/>
    <sheet name="06-04" sheetId="10" r:id="rId5"/>
    <sheet name="07-04" sheetId="11" r:id="rId6"/>
    <sheet name="08-04" sheetId="12" r:id="rId7"/>
    <sheet name="09-04" sheetId="13" r:id="rId8"/>
    <sheet name="10-04" sheetId="14" r:id="rId9"/>
    <sheet name="11-04" sheetId="15" r:id="rId10"/>
    <sheet name="13-04" sheetId="16" r:id="rId11"/>
    <sheet name="14-04" sheetId="17" r:id="rId12"/>
    <sheet name="15-04" sheetId="18" r:id="rId13"/>
    <sheet name="16-04" sheetId="20" r:id="rId14"/>
    <sheet name="17-04" sheetId="21" r:id="rId15"/>
    <sheet name="18-04" sheetId="22" r:id="rId16"/>
    <sheet name="20-04" sheetId="23" r:id="rId17"/>
    <sheet name="21-04" sheetId="24" r:id="rId18"/>
    <sheet name="22-04" sheetId="25" r:id="rId19"/>
    <sheet name="23-04" sheetId="26" r:id="rId20"/>
    <sheet name="24-04" sheetId="27" r:id="rId21"/>
    <sheet name="Sheet1" sheetId="19" r:id="rId22"/>
  </sheets>
  <definedNames>
    <definedName name="_xlnm._FilterDatabase" localSheetId="0" hidden="1">'01-04'!$A$2:$P$23</definedName>
    <definedName name="_xlnm._FilterDatabase" localSheetId="1" hidden="1">'02-04'!$A$2:$P$24</definedName>
    <definedName name="_xlnm._FilterDatabase" localSheetId="2" hidden="1">'03-04'!$A$2:$P$53</definedName>
    <definedName name="_xlnm._FilterDatabase" localSheetId="3" hidden="1">'04-04'!$A$2:$P$44</definedName>
    <definedName name="_xlnm._FilterDatabase" localSheetId="4" hidden="1">'06-04'!$A$2:$P$55</definedName>
    <definedName name="_xlnm._FilterDatabase" localSheetId="5" hidden="1">'07-04'!$A$2:$P$29</definedName>
    <definedName name="_xlnm._FilterDatabase" localSheetId="6" hidden="1">'08-04'!$A$2:$P$47</definedName>
    <definedName name="_xlnm._FilterDatabase" localSheetId="7" hidden="1">'09-04'!$A$2:$P$39</definedName>
    <definedName name="_xlnm._FilterDatabase" localSheetId="8" hidden="1">'10-04'!$A$2:$P$55</definedName>
    <definedName name="_xlnm._FilterDatabase" localSheetId="9" hidden="1">'11-04'!$A$2:$P$43</definedName>
    <definedName name="_xlnm._FilterDatabase" localSheetId="10" hidden="1">'13-04'!$A$2:$P$66</definedName>
    <definedName name="_xlnm._FilterDatabase" localSheetId="11" hidden="1">'14-04'!$A$2:$P$26</definedName>
    <definedName name="_xlnm._FilterDatabase" localSheetId="12" hidden="1">'15-04'!$A$2:$P$35</definedName>
    <definedName name="_xlnm._FilterDatabase" localSheetId="13" hidden="1">'16-04'!$A$2:$P$52</definedName>
    <definedName name="_xlnm._FilterDatabase" localSheetId="14" hidden="1">'17-04'!$A$2:$P$53</definedName>
    <definedName name="_xlnm._FilterDatabase" localSheetId="15" hidden="1">'18-04'!$A$2:$P$38</definedName>
    <definedName name="_xlnm._FilterDatabase" localSheetId="16" hidden="1">'20-04'!$A$2:$P$97</definedName>
    <definedName name="_xlnm._FilterDatabase" localSheetId="17" hidden="1">'21-04'!$A$2:$P$64</definedName>
    <definedName name="_xlnm._FilterDatabase" localSheetId="18" hidden="1">'22-04'!$A$2:$P$56</definedName>
    <definedName name="_xlnm._FilterDatabase" localSheetId="19" hidden="1">'23-04'!$A$2:$P$61</definedName>
    <definedName name="_xlnm._FilterDatabase" localSheetId="20" hidden="1">'24-04'!$A$2:$P$66</definedName>
    <definedName name="_xlnm._FilterDatabase" localSheetId="21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" i="26" l="1"/>
  <c r="I6" i="26"/>
  <c r="I66" i="27" l="1"/>
  <c r="M81" i="27"/>
  <c r="I3" i="2" l="1"/>
  <c r="I4" i="2"/>
  <c r="I25" i="2" s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D25" i="2"/>
  <c r="G25" i="2"/>
  <c r="H25" i="2"/>
  <c r="J25" i="2"/>
  <c r="K25" i="2"/>
  <c r="L25" i="2"/>
  <c r="M25" i="2"/>
  <c r="N25" i="2"/>
  <c r="O25" i="2"/>
  <c r="P25" i="2"/>
  <c r="Q25" i="2"/>
  <c r="M38" i="2" s="1"/>
  <c r="L38" i="2" s="1"/>
  <c r="H26" i="2"/>
  <c r="H27" i="2"/>
  <c r="L29" i="2" s="1"/>
  <c r="L33" i="2" s="1"/>
  <c r="P28" i="2" s="1"/>
  <c r="E28" i="2"/>
  <c r="E31" i="2" s="1"/>
  <c r="L28" i="2"/>
  <c r="M28" i="2"/>
  <c r="M29" i="2"/>
  <c r="C30" i="2"/>
  <c r="E30" i="2"/>
  <c r="M33" i="2"/>
  <c r="L36" i="2"/>
  <c r="M36" i="2"/>
  <c r="M37" i="2"/>
  <c r="L37" i="2" s="1"/>
  <c r="M41" i="2"/>
  <c r="L44" i="2"/>
  <c r="M44" i="2"/>
  <c r="M49" i="2" s="1"/>
  <c r="L45" i="2"/>
  <c r="M45" i="2"/>
  <c r="L49" i="2"/>
  <c r="P30" i="2" s="1"/>
  <c r="I3" i="6"/>
  <c r="I4" i="6"/>
  <c r="C29" i="6" s="1"/>
  <c r="C32" i="6" s="1"/>
  <c r="C36" i="6" s="1"/>
  <c r="P32" i="6" s="1"/>
  <c r="I5" i="6"/>
  <c r="I6" i="6"/>
  <c r="I7" i="6"/>
  <c r="I8" i="6"/>
  <c r="I9" i="6"/>
  <c r="I10" i="6"/>
  <c r="I11" i="6"/>
  <c r="I12" i="6"/>
  <c r="I13" i="6"/>
  <c r="I26" i="6" s="1"/>
  <c r="I14" i="6"/>
  <c r="I15" i="6"/>
  <c r="I16" i="6"/>
  <c r="I17" i="6"/>
  <c r="I18" i="6"/>
  <c r="I19" i="6"/>
  <c r="I20" i="6"/>
  <c r="I21" i="6"/>
  <c r="I22" i="6"/>
  <c r="I23" i="6"/>
  <c r="I24" i="6"/>
  <c r="D26" i="6"/>
  <c r="G26" i="6"/>
  <c r="H26" i="6"/>
  <c r="J26" i="6"/>
  <c r="K26" i="6"/>
  <c r="L26" i="6"/>
  <c r="M26" i="6"/>
  <c r="N26" i="6"/>
  <c r="O26" i="6"/>
  <c r="P26" i="6"/>
  <c r="Q26" i="6"/>
  <c r="M31" i="6" s="1"/>
  <c r="L31" i="6" s="1"/>
  <c r="H27" i="6"/>
  <c r="L46" i="6" s="1"/>
  <c r="L50" i="6" s="1"/>
  <c r="P31" i="6" s="1"/>
  <c r="H28" i="6"/>
  <c r="E29" i="6"/>
  <c r="E32" i="6" s="1"/>
  <c r="H29" i="6"/>
  <c r="L29" i="6"/>
  <c r="M29" i="6"/>
  <c r="M30" i="6"/>
  <c r="L30" i="6" s="1"/>
  <c r="C31" i="6"/>
  <c r="E31" i="6"/>
  <c r="M34" i="6"/>
  <c r="L37" i="6"/>
  <c r="M37" i="6"/>
  <c r="M42" i="6" s="1"/>
  <c r="L38" i="6"/>
  <c r="M38" i="6"/>
  <c r="L42" i="6"/>
  <c r="P30" i="6" s="1"/>
  <c r="L45" i="6"/>
  <c r="M45" i="6"/>
  <c r="M46" i="6"/>
  <c r="M50" i="6"/>
  <c r="I3" i="7"/>
  <c r="C58" i="7" s="1"/>
  <c r="C61" i="7" s="1"/>
  <c r="C65" i="7" s="1"/>
  <c r="P61" i="7" s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D55" i="7"/>
  <c r="G55" i="7"/>
  <c r="H55" i="7"/>
  <c r="J55" i="7"/>
  <c r="K55" i="7"/>
  <c r="L55" i="7"/>
  <c r="M55" i="7"/>
  <c r="N55" i="7"/>
  <c r="O55" i="7"/>
  <c r="P55" i="7"/>
  <c r="Q55" i="7"/>
  <c r="M60" i="7" s="1"/>
  <c r="L60" i="7" s="1"/>
  <c r="L64" i="7" s="1"/>
  <c r="P58" i="7" s="1"/>
  <c r="H56" i="7"/>
  <c r="H57" i="7"/>
  <c r="E58" i="7"/>
  <c r="E61" i="7" s="1"/>
  <c r="H58" i="7"/>
  <c r="L58" i="7"/>
  <c r="M58" i="7"/>
  <c r="M64" i="7" s="1"/>
  <c r="L59" i="7"/>
  <c r="M59" i="7"/>
  <c r="C60" i="7"/>
  <c r="E60" i="7"/>
  <c r="L67" i="7"/>
  <c r="M67" i="7"/>
  <c r="M72" i="7" s="1"/>
  <c r="L68" i="7"/>
  <c r="L72" i="7" s="1"/>
  <c r="P59" i="7" s="1"/>
  <c r="M68" i="7"/>
  <c r="L75" i="7"/>
  <c r="L80" i="7" s="1"/>
  <c r="P60" i="7" s="1"/>
  <c r="M75" i="7"/>
  <c r="M76" i="7"/>
  <c r="L76" i="7" s="1"/>
  <c r="M80" i="7"/>
  <c r="I3" i="8"/>
  <c r="I4" i="8"/>
  <c r="I5" i="8"/>
  <c r="C49" i="8" s="1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C51" i="8" s="1"/>
  <c r="I44" i="8"/>
  <c r="D46" i="8"/>
  <c r="G46" i="8"/>
  <c r="H46" i="8"/>
  <c r="J46" i="8"/>
  <c r="K46" i="8"/>
  <c r="L46" i="8"/>
  <c r="M46" i="8"/>
  <c r="N46" i="8"/>
  <c r="O46" i="8"/>
  <c r="P46" i="8"/>
  <c r="Q46" i="8"/>
  <c r="H47" i="8"/>
  <c r="H48" i="8"/>
  <c r="E49" i="8"/>
  <c r="H49" i="8"/>
  <c r="L49" i="8"/>
  <c r="L54" i="8" s="1"/>
  <c r="P49" i="8" s="1"/>
  <c r="M49" i="8"/>
  <c r="M54" i="8" s="1"/>
  <c r="L50" i="8"/>
  <c r="M50" i="8"/>
  <c r="E51" i="8"/>
  <c r="E52" i="8"/>
  <c r="L57" i="8"/>
  <c r="M57" i="8"/>
  <c r="M58" i="8"/>
  <c r="L58" i="8" s="1"/>
  <c r="M59" i="8"/>
  <c r="L59" i="8" s="1"/>
  <c r="M62" i="8"/>
  <c r="L65" i="8"/>
  <c r="M65" i="8"/>
  <c r="L66" i="8"/>
  <c r="L70" i="8" s="1"/>
  <c r="P51" i="8" s="1"/>
  <c r="M66" i="8"/>
  <c r="M70" i="8"/>
  <c r="L73" i="8"/>
  <c r="L78" i="8" s="1"/>
  <c r="P52" i="8" s="1"/>
  <c r="M73" i="8"/>
  <c r="M74" i="8"/>
  <c r="L74" i="8" s="1"/>
  <c r="M78" i="8"/>
  <c r="I3" i="10"/>
  <c r="I4" i="10"/>
  <c r="I5" i="10"/>
  <c r="C60" i="10" s="1"/>
  <c r="C63" i="10" s="1"/>
  <c r="C67" i="10" s="1"/>
  <c r="P63" i="10" s="1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D57" i="10"/>
  <c r="G57" i="10"/>
  <c r="H57" i="10"/>
  <c r="J57" i="10"/>
  <c r="K57" i="10"/>
  <c r="L57" i="10"/>
  <c r="M57" i="10"/>
  <c r="N57" i="10"/>
  <c r="O57" i="10"/>
  <c r="P57" i="10"/>
  <c r="Q57" i="10"/>
  <c r="H58" i="10"/>
  <c r="H59" i="10"/>
  <c r="E60" i="10"/>
  <c r="E63" i="10" s="1"/>
  <c r="H60" i="10"/>
  <c r="L69" i="10" s="1"/>
  <c r="L73" i="10" s="1"/>
  <c r="P61" i="10" s="1"/>
  <c r="L60" i="10"/>
  <c r="M60" i="10"/>
  <c r="M61" i="10"/>
  <c r="L61" i="10" s="1"/>
  <c r="L65" i="10" s="1"/>
  <c r="P60" i="10" s="1"/>
  <c r="C62" i="10"/>
  <c r="E62" i="10"/>
  <c r="M62" i="10"/>
  <c r="L62" i="10" s="1"/>
  <c r="M65" i="10"/>
  <c r="L68" i="10"/>
  <c r="M68" i="10"/>
  <c r="M69" i="10"/>
  <c r="M73" i="10"/>
  <c r="L76" i="10"/>
  <c r="M76" i="10"/>
  <c r="M81" i="10" s="1"/>
  <c r="L77" i="10"/>
  <c r="M77" i="10"/>
  <c r="L81" i="10"/>
  <c r="P62" i="10" s="1"/>
  <c r="I3" i="11"/>
  <c r="I31" i="11" s="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D31" i="11"/>
  <c r="G31" i="11"/>
  <c r="H31" i="11"/>
  <c r="J31" i="11"/>
  <c r="K31" i="11"/>
  <c r="L31" i="11"/>
  <c r="M31" i="11"/>
  <c r="N31" i="11"/>
  <c r="O31" i="11"/>
  <c r="P31" i="11"/>
  <c r="Q31" i="11"/>
  <c r="H32" i="11"/>
  <c r="H33" i="11"/>
  <c r="C34" i="11"/>
  <c r="C37" i="11" s="1"/>
  <c r="C42" i="11" s="1"/>
  <c r="P38" i="11" s="1"/>
  <c r="E34" i="11"/>
  <c r="H34" i="11"/>
  <c r="L34" i="11"/>
  <c r="M34" i="11"/>
  <c r="M35" i="11"/>
  <c r="L35" i="11" s="1"/>
  <c r="C36" i="11"/>
  <c r="E36" i="11"/>
  <c r="M36" i="11"/>
  <c r="L36" i="11" s="1"/>
  <c r="E37" i="11"/>
  <c r="L43" i="11"/>
  <c r="L48" i="11" s="1"/>
  <c r="P35" i="11" s="1"/>
  <c r="M43" i="11"/>
  <c r="M44" i="11"/>
  <c r="L44" i="11" s="1"/>
  <c r="M48" i="11"/>
  <c r="L51" i="11"/>
  <c r="M51" i="11"/>
  <c r="L52" i="11"/>
  <c r="L56" i="11" s="1"/>
  <c r="P36" i="11" s="1"/>
  <c r="M52" i="11"/>
  <c r="M56" i="11"/>
  <c r="I3" i="12"/>
  <c r="I4" i="12"/>
  <c r="I49" i="12" s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D49" i="12"/>
  <c r="G49" i="12"/>
  <c r="H49" i="12"/>
  <c r="J49" i="12"/>
  <c r="K49" i="12"/>
  <c r="L49" i="12"/>
  <c r="M49" i="12"/>
  <c r="N49" i="12"/>
  <c r="O49" i="12"/>
  <c r="P49" i="12"/>
  <c r="Q49" i="12"/>
  <c r="M54" i="12" s="1"/>
  <c r="L54" i="12" s="1"/>
  <c r="H50" i="12"/>
  <c r="H51" i="12"/>
  <c r="L61" i="12" s="1"/>
  <c r="L65" i="12" s="1"/>
  <c r="P53" i="12" s="1"/>
  <c r="E52" i="12"/>
  <c r="H52" i="12"/>
  <c r="L52" i="12"/>
  <c r="L57" i="12" s="1"/>
  <c r="P52" i="12" s="1"/>
  <c r="M52" i="12"/>
  <c r="M57" i="12" s="1"/>
  <c r="L53" i="12"/>
  <c r="M53" i="12"/>
  <c r="C54" i="12"/>
  <c r="E54" i="12"/>
  <c r="E55" i="12"/>
  <c r="L60" i="12"/>
  <c r="M60" i="12"/>
  <c r="M61" i="12"/>
  <c r="M65" i="12"/>
  <c r="L68" i="12"/>
  <c r="L73" i="12" s="1"/>
  <c r="P54" i="12" s="1"/>
  <c r="M68" i="12"/>
  <c r="L69" i="12"/>
  <c r="M69" i="12"/>
  <c r="M73" i="12"/>
  <c r="L76" i="12"/>
  <c r="M76" i="12"/>
  <c r="M77" i="12"/>
  <c r="L77" i="12" s="1"/>
  <c r="L81" i="12" s="1"/>
  <c r="P55" i="12" s="1"/>
  <c r="M81" i="12"/>
  <c r="I3" i="13"/>
  <c r="C44" i="13" s="1"/>
  <c r="C47" i="13" s="1"/>
  <c r="C51" i="13" s="1"/>
  <c r="P47" i="13" s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D41" i="13"/>
  <c r="G41" i="13"/>
  <c r="H41" i="13"/>
  <c r="J41" i="13"/>
  <c r="K41" i="13"/>
  <c r="L41" i="13"/>
  <c r="M41" i="13"/>
  <c r="N41" i="13"/>
  <c r="O41" i="13"/>
  <c r="P41" i="13"/>
  <c r="Q41" i="13"/>
  <c r="M46" i="13" s="1"/>
  <c r="L46" i="13" s="1"/>
  <c r="H42" i="13"/>
  <c r="H43" i="13"/>
  <c r="L53" i="13" s="1"/>
  <c r="E44" i="13"/>
  <c r="L44" i="13"/>
  <c r="M44" i="13"/>
  <c r="M45" i="13"/>
  <c r="L45" i="13" s="1"/>
  <c r="C46" i="13"/>
  <c r="E46" i="13"/>
  <c r="E47" i="13"/>
  <c r="M49" i="13"/>
  <c r="L52" i="13"/>
  <c r="M52" i="13"/>
  <c r="M57" i="13" s="1"/>
  <c r="M53" i="13"/>
  <c r="L60" i="13"/>
  <c r="L65" i="13" s="1"/>
  <c r="P46" i="13" s="1"/>
  <c r="M60" i="13"/>
  <c r="L61" i="13"/>
  <c r="M61" i="13"/>
  <c r="M65" i="13"/>
  <c r="I3" i="14"/>
  <c r="C59" i="14" s="1"/>
  <c r="C62" i="14" s="1"/>
  <c r="C66" i="14" s="1"/>
  <c r="P62" i="14" s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D56" i="14"/>
  <c r="G56" i="14"/>
  <c r="H56" i="14"/>
  <c r="J56" i="14"/>
  <c r="K56" i="14"/>
  <c r="L56" i="14"/>
  <c r="M56" i="14"/>
  <c r="N56" i="14"/>
  <c r="O56" i="14"/>
  <c r="P56" i="14"/>
  <c r="Q56" i="14"/>
  <c r="H57" i="14"/>
  <c r="H58" i="14"/>
  <c r="L76" i="14" s="1"/>
  <c r="E59" i="14"/>
  <c r="E62" i="14" s="1"/>
  <c r="L59" i="14"/>
  <c r="M59" i="14"/>
  <c r="M64" i="14" s="1"/>
  <c r="M60" i="14"/>
  <c r="L60" i="14" s="1"/>
  <c r="L64" i="14" s="1"/>
  <c r="P59" i="14" s="1"/>
  <c r="C61" i="14"/>
  <c r="E61" i="14"/>
  <c r="L67" i="14"/>
  <c r="L72" i="14" s="1"/>
  <c r="P60" i="14" s="1"/>
  <c r="M67" i="14"/>
  <c r="L68" i="14"/>
  <c r="M68" i="14"/>
  <c r="L69" i="14"/>
  <c r="M72" i="14"/>
  <c r="L75" i="14"/>
  <c r="L80" i="14" s="1"/>
  <c r="P61" i="14" s="1"/>
  <c r="M75" i="14"/>
  <c r="M76" i="14"/>
  <c r="M80" i="14"/>
  <c r="I3" i="15"/>
  <c r="I4" i="15"/>
  <c r="I45" i="15" s="1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D45" i="15"/>
  <c r="G45" i="15"/>
  <c r="H45" i="15"/>
  <c r="J45" i="15"/>
  <c r="K45" i="15"/>
  <c r="L45" i="15"/>
  <c r="M45" i="15"/>
  <c r="N45" i="15"/>
  <c r="O45" i="15"/>
  <c r="P45" i="15"/>
  <c r="Q45" i="15"/>
  <c r="M50" i="15" s="1"/>
  <c r="L50" i="15" s="1"/>
  <c r="L53" i="15" s="1"/>
  <c r="P48" i="15" s="1"/>
  <c r="H46" i="15"/>
  <c r="H47" i="15"/>
  <c r="L57" i="15" s="1"/>
  <c r="L61" i="15" s="1"/>
  <c r="P49" i="15" s="1"/>
  <c r="E48" i="15"/>
  <c r="E51" i="15" s="1"/>
  <c r="H48" i="15"/>
  <c r="L48" i="15"/>
  <c r="M48" i="15"/>
  <c r="M53" i="15" s="1"/>
  <c r="L49" i="15"/>
  <c r="M49" i="15"/>
  <c r="C50" i="15"/>
  <c r="E50" i="15"/>
  <c r="L56" i="15"/>
  <c r="M56" i="15"/>
  <c r="M61" i="15" s="1"/>
  <c r="M57" i="15"/>
  <c r="L64" i="15"/>
  <c r="L69" i="15" s="1"/>
  <c r="P50" i="15" s="1"/>
  <c r="M64" i="15"/>
  <c r="L65" i="15"/>
  <c r="M65" i="15"/>
  <c r="M69" i="15"/>
  <c r="L72" i="15"/>
  <c r="M72" i="15"/>
  <c r="M77" i="15" s="1"/>
  <c r="M73" i="15"/>
  <c r="L73" i="15" s="1"/>
  <c r="L77" i="15" s="1"/>
  <c r="P51" i="15" s="1"/>
  <c r="I3" i="16"/>
  <c r="C71" i="16" s="1"/>
  <c r="C74" i="16" s="1"/>
  <c r="C78" i="16" s="1"/>
  <c r="P75" i="16" s="1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D68" i="16"/>
  <c r="G68" i="16"/>
  <c r="H68" i="16"/>
  <c r="J68" i="16"/>
  <c r="K68" i="16"/>
  <c r="L68" i="16"/>
  <c r="M68" i="16"/>
  <c r="N68" i="16"/>
  <c r="O68" i="16"/>
  <c r="P68" i="16"/>
  <c r="Q68" i="16"/>
  <c r="H69" i="16"/>
  <c r="H70" i="16"/>
  <c r="E71" i="16"/>
  <c r="H71" i="16"/>
  <c r="L71" i="16"/>
  <c r="L76" i="16" s="1"/>
  <c r="P71" i="16" s="1"/>
  <c r="M71" i="16"/>
  <c r="L72" i="16"/>
  <c r="M72" i="16"/>
  <c r="C73" i="16"/>
  <c r="E73" i="16"/>
  <c r="E74" i="16"/>
  <c r="M76" i="16"/>
  <c r="L79" i="16"/>
  <c r="M79" i="16"/>
  <c r="M80" i="16"/>
  <c r="L80" i="16" s="1"/>
  <c r="M81" i="16"/>
  <c r="L81" i="16" s="1"/>
  <c r="M84" i="16"/>
  <c r="L87" i="16"/>
  <c r="M87" i="16"/>
  <c r="M92" i="16" s="1"/>
  <c r="L88" i="16"/>
  <c r="L92" i="16" s="1"/>
  <c r="P73" i="16" s="1"/>
  <c r="M88" i="16"/>
  <c r="L95" i="16"/>
  <c r="M95" i="16"/>
  <c r="M96" i="16"/>
  <c r="L96" i="16" s="1"/>
  <c r="M100" i="16"/>
  <c r="I3" i="17"/>
  <c r="I28" i="17" s="1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D28" i="17"/>
  <c r="G28" i="17"/>
  <c r="H28" i="17"/>
  <c r="J28" i="17"/>
  <c r="K28" i="17"/>
  <c r="L28" i="17"/>
  <c r="M28" i="17"/>
  <c r="N28" i="17"/>
  <c r="O28" i="17"/>
  <c r="P28" i="17"/>
  <c r="Q28" i="17"/>
  <c r="H29" i="17"/>
  <c r="L32" i="17" s="1"/>
  <c r="H30" i="17"/>
  <c r="C31" i="17"/>
  <c r="E31" i="17"/>
  <c r="H31" i="17"/>
  <c r="L31" i="17"/>
  <c r="L36" i="17" s="1"/>
  <c r="P31" i="17" s="1"/>
  <c r="M31" i="17"/>
  <c r="M32" i="17"/>
  <c r="C33" i="17"/>
  <c r="E33" i="17"/>
  <c r="C34" i="17"/>
  <c r="C38" i="17" s="1"/>
  <c r="P35" i="17" s="1"/>
  <c r="E34" i="17"/>
  <c r="M36" i="17"/>
  <c r="L39" i="17"/>
  <c r="M39" i="17"/>
  <c r="M44" i="17" s="1"/>
  <c r="M40" i="17"/>
  <c r="L40" i="17" s="1"/>
  <c r="L44" i="17" s="1"/>
  <c r="P32" i="17" s="1"/>
  <c r="L47" i="17"/>
  <c r="M47" i="17"/>
  <c r="M48" i="17"/>
  <c r="L48" i="17" s="1"/>
  <c r="M49" i="17"/>
  <c r="L49" i="17" s="1"/>
  <c r="M52" i="17"/>
  <c r="L55" i="17"/>
  <c r="M55" i="17"/>
  <c r="M60" i="17" s="1"/>
  <c r="L56" i="17"/>
  <c r="L60" i="17" s="1"/>
  <c r="P34" i="17" s="1"/>
  <c r="M56" i="17"/>
  <c r="I3" i="18"/>
  <c r="I4" i="18"/>
  <c r="C40" i="18" s="1"/>
  <c r="C43" i="18" s="1"/>
  <c r="C47" i="18" s="1"/>
  <c r="P44" i="18" s="1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D37" i="18"/>
  <c r="G37" i="18"/>
  <c r="H37" i="18"/>
  <c r="J37" i="18"/>
  <c r="K37" i="18"/>
  <c r="L37" i="18"/>
  <c r="M37" i="18"/>
  <c r="N37" i="18"/>
  <c r="O37" i="18"/>
  <c r="P37" i="18"/>
  <c r="Q37" i="18"/>
  <c r="H38" i="18"/>
  <c r="H39" i="18"/>
  <c r="L49" i="18" s="1"/>
  <c r="E40" i="18"/>
  <c r="H40" i="18"/>
  <c r="L40" i="18"/>
  <c r="M40" i="18"/>
  <c r="M45" i="18" s="1"/>
  <c r="L41" i="18"/>
  <c r="M41" i="18"/>
  <c r="C42" i="18"/>
  <c r="E42" i="18"/>
  <c r="E43" i="18"/>
  <c r="L45" i="18"/>
  <c r="P40" i="18" s="1"/>
  <c r="L48" i="18"/>
  <c r="L53" i="18" s="1"/>
  <c r="P41" i="18" s="1"/>
  <c r="M48" i="18"/>
  <c r="M53" i="18" s="1"/>
  <c r="M49" i="18"/>
  <c r="L56" i="18"/>
  <c r="M56" i="18"/>
  <c r="L57" i="18"/>
  <c r="L61" i="18" s="1"/>
  <c r="P42" i="18" s="1"/>
  <c r="M57" i="18"/>
  <c r="M61" i="18"/>
  <c r="L64" i="18"/>
  <c r="M64" i="18"/>
  <c r="M69" i="18" s="1"/>
  <c r="M65" i="18"/>
  <c r="L65" i="18" s="1"/>
  <c r="L69" i="18" s="1"/>
  <c r="P43" i="18" s="1"/>
  <c r="L66" i="18"/>
  <c r="M66" i="18"/>
  <c r="I3" i="20"/>
  <c r="C57" i="20" s="1"/>
  <c r="C60" i="20" s="1"/>
  <c r="C64" i="20" s="1"/>
  <c r="P61" i="20" s="1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D54" i="20"/>
  <c r="G54" i="20"/>
  <c r="H54" i="20"/>
  <c r="I54" i="20"/>
  <c r="J54" i="20"/>
  <c r="K54" i="20"/>
  <c r="L54" i="20"/>
  <c r="M54" i="20"/>
  <c r="N54" i="20"/>
  <c r="O54" i="20"/>
  <c r="P54" i="20"/>
  <c r="Q54" i="20"/>
  <c r="H55" i="20"/>
  <c r="L58" i="20" s="1"/>
  <c r="L62" i="20" s="1"/>
  <c r="P57" i="20" s="1"/>
  <c r="H56" i="20"/>
  <c r="E57" i="20"/>
  <c r="E60" i="20" s="1"/>
  <c r="M75" i="20" s="1"/>
  <c r="L75" i="20" s="1"/>
  <c r="L57" i="20"/>
  <c r="M57" i="20"/>
  <c r="M62" i="20" s="1"/>
  <c r="M58" i="20"/>
  <c r="C59" i="20"/>
  <c r="E59" i="20"/>
  <c r="L65" i="20"/>
  <c r="M65" i="20"/>
  <c r="M70" i="20" s="1"/>
  <c r="M66" i="20"/>
  <c r="L66" i="20" s="1"/>
  <c r="L70" i="20" s="1"/>
  <c r="P58" i="20" s="1"/>
  <c r="L73" i="20"/>
  <c r="L78" i="20" s="1"/>
  <c r="P59" i="20" s="1"/>
  <c r="M73" i="20"/>
  <c r="L74" i="20"/>
  <c r="M74" i="20"/>
  <c r="M78" i="20"/>
  <c r="L81" i="20"/>
  <c r="M81" i="20"/>
  <c r="M86" i="20" s="1"/>
  <c r="M82" i="20"/>
  <c r="L82" i="20" s="1"/>
  <c r="L86" i="20" s="1"/>
  <c r="P60" i="20" s="1"/>
  <c r="I3" i="21"/>
  <c r="I55" i="21" s="1"/>
  <c r="I4" i="21"/>
  <c r="I5" i="21"/>
  <c r="I6" i="21"/>
  <c r="I7" i="21"/>
  <c r="I8" i="21"/>
  <c r="I9" i="21"/>
  <c r="I10" i="21"/>
  <c r="I11" i="21"/>
  <c r="I12" i="21"/>
  <c r="I13" i="21"/>
  <c r="C58" i="21" s="1"/>
  <c r="C61" i="21" s="1"/>
  <c r="C65" i="21" s="1"/>
  <c r="P62" i="21" s="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D55" i="21"/>
  <c r="G55" i="21"/>
  <c r="H55" i="21"/>
  <c r="J55" i="21"/>
  <c r="K55" i="21"/>
  <c r="L55" i="21"/>
  <c r="M55" i="21"/>
  <c r="N55" i="21"/>
  <c r="O55" i="21"/>
  <c r="P55" i="21"/>
  <c r="Q55" i="21"/>
  <c r="H56" i="21"/>
  <c r="H57" i="21"/>
  <c r="E58" i="21"/>
  <c r="H58" i="21"/>
  <c r="L58" i="21"/>
  <c r="M58" i="21"/>
  <c r="M59" i="21"/>
  <c r="L59" i="21" s="1"/>
  <c r="L63" i="21" s="1"/>
  <c r="P58" i="21" s="1"/>
  <c r="C60" i="21"/>
  <c r="E60" i="21"/>
  <c r="E61" i="21"/>
  <c r="M63" i="21"/>
  <c r="L66" i="21"/>
  <c r="M66" i="21"/>
  <c r="M71" i="21" s="1"/>
  <c r="L67" i="21"/>
  <c r="M67" i="21"/>
  <c r="L68" i="21"/>
  <c r="L71" i="21" s="1"/>
  <c r="P59" i="21" s="1"/>
  <c r="M68" i="21"/>
  <c r="L74" i="21"/>
  <c r="M74" i="21"/>
  <c r="M79" i="21" s="1"/>
  <c r="M75" i="21"/>
  <c r="L75" i="21" s="1"/>
  <c r="L82" i="21"/>
  <c r="M82" i="21"/>
  <c r="L83" i="21"/>
  <c r="L87" i="21" s="1"/>
  <c r="P61" i="21" s="1"/>
  <c r="M83" i="21"/>
  <c r="M87" i="21"/>
  <c r="I3" i="22"/>
  <c r="C43" i="22" s="1"/>
  <c r="C46" i="22" s="1"/>
  <c r="C50" i="22" s="1"/>
  <c r="P47" i="22" s="1"/>
  <c r="I4" i="22"/>
  <c r="I40" i="22" s="1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C45" i="22" s="1"/>
  <c r="I36" i="22"/>
  <c r="I37" i="22"/>
  <c r="I38" i="22"/>
  <c r="D40" i="22"/>
  <c r="G40" i="22"/>
  <c r="H40" i="22"/>
  <c r="J40" i="22"/>
  <c r="K40" i="22"/>
  <c r="L40" i="22"/>
  <c r="M40" i="22"/>
  <c r="N40" i="22"/>
  <c r="O40" i="22"/>
  <c r="P40" i="22"/>
  <c r="Q40" i="22"/>
  <c r="H41" i="22"/>
  <c r="L52" i="22" s="1"/>
  <c r="L56" i="22" s="1"/>
  <c r="P44" i="22" s="1"/>
  <c r="H42" i="22"/>
  <c r="E43" i="22"/>
  <c r="E46" i="22" s="1"/>
  <c r="M61" i="22" s="1"/>
  <c r="L61" i="22" s="1"/>
  <c r="L43" i="22"/>
  <c r="M43" i="22"/>
  <c r="M44" i="22"/>
  <c r="L44" i="22" s="1"/>
  <c r="E45" i="22"/>
  <c r="M48" i="22"/>
  <c r="L51" i="22"/>
  <c r="M51" i="22"/>
  <c r="M56" i="22" s="1"/>
  <c r="M52" i="22"/>
  <c r="L59" i="22"/>
  <c r="M59" i="22"/>
  <c r="M60" i="22"/>
  <c r="L60" i="22" s="1"/>
  <c r="M64" i="22"/>
  <c r="L67" i="22"/>
  <c r="M67" i="22"/>
  <c r="M72" i="22" s="1"/>
  <c r="L68" i="22"/>
  <c r="L72" i="22" s="1"/>
  <c r="P46" i="22" s="1"/>
  <c r="M68" i="22"/>
  <c r="I3" i="23"/>
  <c r="I99" i="23" s="1"/>
  <c r="I4" i="23"/>
  <c r="I5" i="23"/>
  <c r="I6" i="23"/>
  <c r="C102" i="23" s="1"/>
  <c r="C105" i="23" s="1"/>
  <c r="C109" i="23" s="1"/>
  <c r="P106" i="23" s="1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C104" i="23" s="1"/>
  <c r="I96" i="23"/>
  <c r="I97" i="23"/>
  <c r="D99" i="23"/>
  <c r="G99" i="23"/>
  <c r="H99" i="23"/>
  <c r="J99" i="23"/>
  <c r="K99" i="23"/>
  <c r="L99" i="23"/>
  <c r="M99" i="23"/>
  <c r="N99" i="23"/>
  <c r="O99" i="23"/>
  <c r="P99" i="23"/>
  <c r="Q99" i="23"/>
  <c r="H100" i="23"/>
  <c r="H101" i="23"/>
  <c r="E102" i="23"/>
  <c r="H102" i="23"/>
  <c r="L127" i="23" s="1"/>
  <c r="L131" i="23" s="1"/>
  <c r="P105" i="23" s="1"/>
  <c r="L102" i="23"/>
  <c r="M102" i="23"/>
  <c r="M107" i="23" s="1"/>
  <c r="M103" i="23"/>
  <c r="L103" i="23" s="1"/>
  <c r="L107" i="23" s="1"/>
  <c r="P102" i="23" s="1"/>
  <c r="E104" i="23"/>
  <c r="E105" i="23"/>
  <c r="L110" i="23"/>
  <c r="M110" i="23"/>
  <c r="M115" i="23" s="1"/>
  <c r="L111" i="23"/>
  <c r="M111" i="23"/>
  <c r="L115" i="23"/>
  <c r="P103" i="23" s="1"/>
  <c r="L118" i="23"/>
  <c r="M118" i="23"/>
  <c r="L119" i="23"/>
  <c r="M119" i="23"/>
  <c r="M120" i="23"/>
  <c r="L120" i="23" s="1"/>
  <c r="M123" i="23"/>
  <c r="L126" i="23"/>
  <c r="M126" i="23"/>
  <c r="M131" i="23" s="1"/>
  <c r="M127" i="23"/>
  <c r="I3" i="24"/>
  <c r="C69" i="24" s="1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C71" i="24" s="1"/>
  <c r="I62" i="24"/>
  <c r="I63" i="24"/>
  <c r="I64" i="24"/>
  <c r="D66" i="24"/>
  <c r="G66" i="24"/>
  <c r="H66" i="24"/>
  <c r="J66" i="24"/>
  <c r="K66" i="24"/>
  <c r="L66" i="24"/>
  <c r="M66" i="24"/>
  <c r="N66" i="24"/>
  <c r="O66" i="24"/>
  <c r="P66" i="24"/>
  <c r="Q66" i="24"/>
  <c r="H67" i="24"/>
  <c r="H68" i="24"/>
  <c r="L78" i="24" s="1"/>
  <c r="E69" i="24"/>
  <c r="E72" i="24" s="1"/>
  <c r="M87" i="24" s="1"/>
  <c r="L87" i="24" s="1"/>
  <c r="L90" i="24" s="1"/>
  <c r="P71" i="24" s="1"/>
  <c r="H69" i="24"/>
  <c r="L69" i="24"/>
  <c r="M69" i="24"/>
  <c r="M74" i="24" s="1"/>
  <c r="L70" i="24"/>
  <c r="L74" i="24" s="1"/>
  <c r="P69" i="24" s="1"/>
  <c r="M70" i="24"/>
  <c r="E71" i="24"/>
  <c r="L77" i="24"/>
  <c r="L82" i="24" s="1"/>
  <c r="P70" i="24" s="1"/>
  <c r="M77" i="24"/>
  <c r="M78" i="24"/>
  <c r="M82" i="24"/>
  <c r="L85" i="24"/>
  <c r="M85" i="24"/>
  <c r="M90" i="24" s="1"/>
  <c r="L86" i="24"/>
  <c r="M86" i="24"/>
  <c r="L93" i="24"/>
  <c r="M93" i="24"/>
  <c r="M98" i="24" s="1"/>
  <c r="M94" i="24"/>
  <c r="L94" i="24" s="1"/>
  <c r="I3" i="25"/>
  <c r="C61" i="25" s="1"/>
  <c r="C64" i="25" s="1"/>
  <c r="C68" i="25" s="1"/>
  <c r="P65" i="25" s="1"/>
  <c r="I4" i="25"/>
  <c r="I5" i="25"/>
  <c r="I58" i="25" s="1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D58" i="25"/>
  <c r="G58" i="25"/>
  <c r="H58" i="25"/>
  <c r="J58" i="25"/>
  <c r="K58" i="25"/>
  <c r="L58" i="25"/>
  <c r="M58" i="25"/>
  <c r="N58" i="25"/>
  <c r="O58" i="25"/>
  <c r="P58" i="25"/>
  <c r="Q58" i="25"/>
  <c r="H59" i="25"/>
  <c r="L86" i="25" s="1"/>
  <c r="H60" i="25"/>
  <c r="E61" i="25"/>
  <c r="E64" i="25" s="1"/>
  <c r="M63" i="25" s="1"/>
  <c r="L63" i="25" s="1"/>
  <c r="L66" i="25" s="1"/>
  <c r="P61" i="25" s="1"/>
  <c r="H61" i="25"/>
  <c r="L61" i="25"/>
  <c r="M61" i="25"/>
  <c r="M66" i="25" s="1"/>
  <c r="L62" i="25"/>
  <c r="M62" i="25"/>
  <c r="C63" i="25"/>
  <c r="E63" i="25"/>
  <c r="L69" i="25"/>
  <c r="L74" i="25" s="1"/>
  <c r="P62" i="25" s="1"/>
  <c r="M69" i="25"/>
  <c r="M74" i="25" s="1"/>
  <c r="M70" i="25"/>
  <c r="L70" i="25" s="1"/>
  <c r="L77" i="25"/>
  <c r="M77" i="25"/>
  <c r="L78" i="25"/>
  <c r="L82" i="25" s="1"/>
  <c r="P63" i="25" s="1"/>
  <c r="M78" i="25"/>
  <c r="M82" i="25"/>
  <c r="L85" i="25"/>
  <c r="L90" i="25" s="1"/>
  <c r="P64" i="25" s="1"/>
  <c r="M85" i="25"/>
  <c r="M90" i="25" s="1"/>
  <c r="M86" i="25"/>
  <c r="I3" i="26"/>
  <c r="I4" i="26"/>
  <c r="I5" i="26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I23" i="26"/>
  <c r="I24" i="26"/>
  <c r="I25" i="26"/>
  <c r="I26" i="26"/>
  <c r="I27" i="26"/>
  <c r="I28" i="26"/>
  <c r="I29" i="26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D63" i="26"/>
  <c r="G63" i="26"/>
  <c r="H63" i="26"/>
  <c r="J63" i="26"/>
  <c r="K63" i="26"/>
  <c r="L63" i="26"/>
  <c r="M63" i="26"/>
  <c r="N63" i="26"/>
  <c r="O63" i="26"/>
  <c r="P63" i="26"/>
  <c r="Q63" i="26"/>
  <c r="H64" i="26"/>
  <c r="H65" i="26"/>
  <c r="E66" i="26"/>
  <c r="E69" i="26" s="1"/>
  <c r="M76" i="26" s="1"/>
  <c r="L76" i="26" s="1"/>
  <c r="H66" i="26"/>
  <c r="L66" i="26"/>
  <c r="M66" i="26"/>
  <c r="M71" i="26" s="1"/>
  <c r="M67" i="26"/>
  <c r="C68" i="26"/>
  <c r="E68" i="26"/>
  <c r="L74" i="26"/>
  <c r="M74" i="26"/>
  <c r="M79" i="26" s="1"/>
  <c r="M75" i="26"/>
  <c r="L75" i="26" s="1"/>
  <c r="L82" i="26"/>
  <c r="M82" i="26"/>
  <c r="M87" i="26" s="1"/>
  <c r="M83" i="26"/>
  <c r="L83" i="26" s="1"/>
  <c r="L90" i="26"/>
  <c r="M90" i="26"/>
  <c r="M95" i="26" s="1"/>
  <c r="M91" i="26"/>
  <c r="L91" i="26" s="1"/>
  <c r="D3" i="19" a="1"/>
  <c r="D4" i="19" a="1"/>
  <c r="E30" i="19" a="1"/>
  <c r="I4" i="27"/>
  <c r="I5" i="27"/>
  <c r="I42" i="27"/>
  <c r="I43" i="27"/>
  <c r="I44" i="27"/>
  <c r="I6" i="27"/>
  <c r="I45" i="27"/>
  <c r="I7" i="27"/>
  <c r="I8" i="27"/>
  <c r="I9" i="27"/>
  <c r="I46" i="27"/>
  <c r="I47" i="27"/>
  <c r="I10" i="27"/>
  <c r="I48" i="27"/>
  <c r="I49" i="27"/>
  <c r="I50" i="27"/>
  <c r="I11" i="27"/>
  <c r="I12" i="27"/>
  <c r="I13" i="27"/>
  <c r="I14" i="27"/>
  <c r="I15" i="27"/>
  <c r="I16" i="27"/>
  <c r="I17" i="27"/>
  <c r="I19" i="27"/>
  <c r="I20" i="27"/>
  <c r="I3" i="27"/>
  <c r="I21" i="27"/>
  <c r="I22" i="27"/>
  <c r="I24" i="27"/>
  <c r="I51" i="27"/>
  <c r="I25" i="27"/>
  <c r="I26" i="27"/>
  <c r="I27" i="27"/>
  <c r="I28" i="27"/>
  <c r="I52" i="27"/>
  <c r="I18" i="27"/>
  <c r="I53" i="27"/>
  <c r="I29" i="27"/>
  <c r="I54" i="27"/>
  <c r="I30" i="27"/>
  <c r="I31" i="27"/>
  <c r="I32" i="27"/>
  <c r="I33" i="27"/>
  <c r="I55" i="27"/>
  <c r="I56" i="27"/>
  <c r="I57" i="27"/>
  <c r="I34" i="27"/>
  <c r="I58" i="27"/>
  <c r="I23" i="27"/>
  <c r="I59" i="27"/>
  <c r="I35" i="27"/>
  <c r="I36" i="27"/>
  <c r="I60" i="27"/>
  <c r="I61" i="27"/>
  <c r="I62" i="27"/>
  <c r="I37" i="27"/>
  <c r="I38" i="27"/>
  <c r="I39" i="27"/>
  <c r="I63" i="27"/>
  <c r="I40" i="27"/>
  <c r="I64" i="27"/>
  <c r="I65" i="27"/>
  <c r="I41" i="27"/>
  <c r="D68" i="27"/>
  <c r="G68" i="27"/>
  <c r="H68" i="27"/>
  <c r="J68" i="27"/>
  <c r="K68" i="27"/>
  <c r="L68" i="27"/>
  <c r="M68" i="27"/>
  <c r="N68" i="27"/>
  <c r="O68" i="27"/>
  <c r="P68" i="27"/>
  <c r="Q68" i="27"/>
  <c r="H69" i="27"/>
  <c r="H70" i="27"/>
  <c r="E71" i="27"/>
  <c r="E74" i="27" s="1"/>
  <c r="L81" i="27" s="1"/>
  <c r="H71" i="27"/>
  <c r="L72" i="27" s="1"/>
  <c r="L71" i="27"/>
  <c r="M76" i="27"/>
  <c r="C73" i="27"/>
  <c r="E73" i="27"/>
  <c r="L79" i="27"/>
  <c r="M79" i="27"/>
  <c r="M84" i="27" s="1"/>
  <c r="M80" i="27"/>
  <c r="L80" i="27" s="1"/>
  <c r="L87" i="27"/>
  <c r="M87" i="27"/>
  <c r="M92" i="27" s="1"/>
  <c r="M88" i="27"/>
  <c r="L88" i="27" s="1"/>
  <c r="C3" i="19"/>
  <c r="D21" i="19" a="1"/>
  <c r="C25" i="19"/>
  <c r="C12" i="19"/>
  <c r="C7" i="19"/>
  <c r="D8" i="19" a="1"/>
  <c r="C28" i="19"/>
  <c r="C26" i="19"/>
  <c r="B8" i="19"/>
  <c r="D4" i="19"/>
  <c r="B16" i="19"/>
  <c r="B6" i="19"/>
  <c r="B28" i="19"/>
  <c r="D11" i="19" a="1"/>
  <c r="D5" i="19" a="1"/>
  <c r="C5" i="19"/>
  <c r="C20" i="19"/>
  <c r="D9" i="19" a="1"/>
  <c r="D13" i="19" a="1"/>
  <c r="C24" i="19"/>
  <c r="C19" i="19"/>
  <c r="B10" i="19"/>
  <c r="C21" i="19"/>
  <c r="C8" i="19"/>
  <c r="B21" i="19"/>
  <c r="B7" i="19"/>
  <c r="C13" i="19"/>
  <c r="C10" i="19"/>
  <c r="B9" i="19"/>
  <c r="B26" i="19"/>
  <c r="C27" i="19"/>
  <c r="C11" i="19"/>
  <c r="C6" i="19"/>
  <c r="D10" i="19" a="1"/>
  <c r="C22" i="19"/>
  <c r="B12" i="19"/>
  <c r="D6" i="19" a="1"/>
  <c r="C15" i="19"/>
  <c r="B5" i="19"/>
  <c r="D22" i="19" a="1"/>
  <c r="B19" i="19"/>
  <c r="D20" i="19" a="1"/>
  <c r="D27" i="19" a="1"/>
  <c r="D17" i="19" a="1"/>
  <c r="D7" i="19" a="1"/>
  <c r="D3" i="19"/>
  <c r="C14" i="19"/>
  <c r="C16" i="19"/>
  <c r="B11" i="19"/>
  <c r="B13" i="19"/>
  <c r="B18" i="19"/>
  <c r="D12" i="19" a="1"/>
  <c r="B27" i="19"/>
  <c r="D28" i="19" a="1"/>
  <c r="D24" i="19" a="1"/>
  <c r="B15" i="19"/>
  <c r="C4" i="19"/>
  <c r="B14" i="19"/>
  <c r="C17" i="19"/>
  <c r="D25" i="19" a="1"/>
  <c r="C23" i="19"/>
  <c r="D15" i="19" a="1"/>
  <c r="B17" i="19"/>
  <c r="B24" i="19"/>
  <c r="D18" i="19" a="1"/>
  <c r="D14" i="19" a="1"/>
  <c r="D16" i="19" a="1"/>
  <c r="B25" i="19"/>
  <c r="C9" i="19"/>
  <c r="D26" i="19" a="1"/>
  <c r="D19" i="19" a="1"/>
  <c r="C18" i="19"/>
  <c r="D23" i="19" a="1"/>
  <c r="B20" i="19"/>
  <c r="L67" i="26" l="1"/>
  <c r="L71" i="26" s="1"/>
  <c r="I63" i="26"/>
  <c r="C66" i="26"/>
  <c r="C69" i="26" s="1"/>
  <c r="C73" i="26" s="1"/>
  <c r="P70" i="26" s="1"/>
  <c r="L79" i="26"/>
  <c r="P67" i="26" s="1"/>
  <c r="L95" i="26"/>
  <c r="P69" i="26" s="1"/>
  <c r="L87" i="26"/>
  <c r="P68" i="26" s="1"/>
  <c r="L76" i="27"/>
  <c r="P71" i="27" s="1"/>
  <c r="C71" i="27"/>
  <c r="C74" i="27" s="1"/>
  <c r="C78" i="27" s="1"/>
  <c r="P74" i="27" s="1"/>
  <c r="D28" i="19"/>
  <c r="E28" i="19" s="1"/>
  <c r="D10" i="19"/>
  <c r="E10" i="19" s="1"/>
  <c r="D13" i="19"/>
  <c r="E13" i="19" s="1"/>
  <c r="D16" i="19"/>
  <c r="E16" i="19" s="1"/>
  <c r="D7" i="19"/>
  <c r="E7" i="19" s="1"/>
  <c r="D22" i="19"/>
  <c r="D24" i="19"/>
  <c r="E24" i="19" s="1"/>
  <c r="D18" i="19"/>
  <c r="E18" i="19" s="1"/>
  <c r="D15" i="19"/>
  <c r="E15" i="19" s="1"/>
  <c r="D12" i="19"/>
  <c r="E12" i="19" s="1"/>
  <c r="D9" i="19"/>
  <c r="E9" i="19" s="1"/>
  <c r="D6" i="19"/>
  <c r="E6" i="19" s="1"/>
  <c r="D27" i="19"/>
  <c r="E27" i="19" s="1"/>
  <c r="D25" i="19"/>
  <c r="E25" i="19" s="1"/>
  <c r="D21" i="19"/>
  <c r="E21" i="19" s="1"/>
  <c r="D19" i="19"/>
  <c r="E19" i="19" s="1"/>
  <c r="D23" i="19"/>
  <c r="D20" i="19"/>
  <c r="E20" i="19" s="1"/>
  <c r="D17" i="19"/>
  <c r="E17" i="19" s="1"/>
  <c r="D14" i="19"/>
  <c r="E14" i="19" s="1"/>
  <c r="D11" i="19"/>
  <c r="E11" i="19" s="1"/>
  <c r="D8" i="19"/>
  <c r="D5" i="19"/>
  <c r="E5" i="19" s="1"/>
  <c r="D26" i="19"/>
  <c r="E26" i="19" s="1"/>
  <c r="C72" i="24"/>
  <c r="C76" i="24" s="1"/>
  <c r="P73" i="24" s="1"/>
  <c r="P54" i="8"/>
  <c r="L48" i="22"/>
  <c r="P43" i="22" s="1"/>
  <c r="P48" i="22" s="1"/>
  <c r="P62" i="20"/>
  <c r="L84" i="16"/>
  <c r="P72" i="16" s="1"/>
  <c r="L100" i="16"/>
  <c r="P74" i="16" s="1"/>
  <c r="P62" i="7"/>
  <c r="L92" i="27"/>
  <c r="P73" i="27" s="1"/>
  <c r="L64" i="22"/>
  <c r="P45" i="22" s="1"/>
  <c r="L98" i="24"/>
  <c r="P72" i="24" s="1"/>
  <c r="P63" i="14"/>
  <c r="L49" i="13"/>
  <c r="P44" i="13" s="1"/>
  <c r="P64" i="10"/>
  <c r="L62" i="8"/>
  <c r="P50" i="8" s="1"/>
  <c r="L34" i="6"/>
  <c r="L41" i="2"/>
  <c r="P45" i="18"/>
  <c r="L84" i="27"/>
  <c r="C52" i="8"/>
  <c r="C56" i="8" s="1"/>
  <c r="P53" i="8" s="1"/>
  <c r="P74" i="24"/>
  <c r="P66" i="25"/>
  <c r="L52" i="17"/>
  <c r="P33" i="17" s="1"/>
  <c r="P36" i="17" s="1"/>
  <c r="P76" i="16"/>
  <c r="L41" i="11"/>
  <c r="P34" i="11" s="1"/>
  <c r="P39" i="11" s="1"/>
  <c r="L123" i="23"/>
  <c r="P104" i="23" s="1"/>
  <c r="P107" i="23" s="1"/>
  <c r="P63" i="21"/>
  <c r="L79" i="21"/>
  <c r="P60" i="21" s="1"/>
  <c r="L57" i="13"/>
  <c r="P45" i="13" s="1"/>
  <c r="C48" i="15"/>
  <c r="C51" i="15" s="1"/>
  <c r="C55" i="15" s="1"/>
  <c r="P52" i="15" s="1"/>
  <c r="P53" i="15" s="1"/>
  <c r="C52" i="12"/>
  <c r="C55" i="12" s="1"/>
  <c r="C59" i="12" s="1"/>
  <c r="P56" i="12" s="1"/>
  <c r="P57" i="12" s="1"/>
  <c r="C28" i="2"/>
  <c r="C31" i="2" s="1"/>
  <c r="C35" i="2" s="1"/>
  <c r="P31" i="2" s="1"/>
  <c r="I68" i="27"/>
  <c r="I68" i="16"/>
  <c r="I56" i="14"/>
  <c r="M41" i="11"/>
  <c r="I55" i="7"/>
  <c r="I37" i="18"/>
  <c r="I41" i="13"/>
  <c r="I66" i="24"/>
  <c r="I46" i="8"/>
  <c r="I57" i="10"/>
  <c r="B22" i="19"/>
  <c r="B3" i="19"/>
  <c r="B23" i="19"/>
  <c r="B4" i="19"/>
  <c r="P66" i="26" l="1"/>
  <c r="P71" i="26" s="1"/>
  <c r="E22" i="19"/>
  <c r="E23" i="19"/>
  <c r="P72" i="27"/>
  <c r="P75" i="27" s="1"/>
  <c r="E3" i="19"/>
  <c r="E4" i="19"/>
  <c r="P29" i="2"/>
  <c r="P32" i="2" s="1"/>
  <c r="P29" i="6"/>
  <c r="P33" i="6" s="1"/>
  <c r="P48" i="13"/>
  <c r="E8" i="19"/>
  <c r="E30" i="19"/>
  <c r="E29" i="19" l="1"/>
  <c r="E31" i="19" s="1"/>
  <c r="E32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<sst xmlns="http://schemas.openxmlformats.org/spreadsheetml/2006/main" count="8953" uniqueCount="2588">
  <si>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</si>
  <si>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</si>
  <si>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</si>
  <si>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</si>
  <si>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</si>
  <si>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</si>
  <si>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</si>
  <si>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</si>
  <si>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</si>
  <si>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</si>
  <si>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</si>
  <si>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</si>
  <si>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</si>
  <si>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</si>
  <si>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</si>
  <si>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</si>
  <si>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</si>
  <si>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Quỳnh Anh</t>
  </si>
  <si>
    <t>HD006833</t>
  </si>
  <si>
    <t>754 Nguyễn xiển p. long bình</t>
  </si>
  <si>
    <t>a.quyen</t>
  </si>
  <si>
    <t>c.cuong</t>
  </si>
  <si>
    <t>01-04-2026</t>
  </si>
  <si>
    <t>Fb: quỳnh vũ( minh hải)</t>
  </si>
  <si>
    <t>HD006847</t>
  </si>
  <si>
    <t>Số 17 đường số 13 phường bình hưng hòa</t>
  </si>
  <si>
    <t>binh tan</t>
  </si>
  <si>
    <t>AT 01-04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</si>
  <si>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</si>
  <si>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</si>
  <si>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</si>
  <si>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</si>
  <si>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</si>
  <si>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</si>
  <si>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</si>
  <si>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</si>
  <si>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</si>
  <si>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</si>
  <si>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</si>
  <si>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</si>
  <si>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</si>
  <si>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</si>
  <si>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</si>
  <si>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thị huệ fb Jannie vu</t>
  </si>
  <si>
    <t>HD006846</t>
  </si>
  <si>
    <t>136 đông hưng thuận 3 phường đông hưng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</si>
  <si>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</si>
  <si>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</si>
  <si>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</si>
  <si>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</si>
  <si>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</si>
  <si>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</si>
  <si>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</si>
  <si>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</si>
  <si>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</si>
  <si>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</si>
  <si>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</si>
  <si>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</si>
  <si>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</si>
  <si>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Khánh Như</t>
  </si>
  <si>
    <t>HD006868</t>
  </si>
  <si>
    <t>688/23/1c Hương Lộ 2, phường Bình Trị Đông A</t>
  </si>
  <si>
    <t>hàng sỉ</t>
  </si>
  <si>
    <t>Jess-9244</t>
  </si>
  <si>
    <t>275/14B1 Đặng Nguyên Cẩn, Phường Phú Lâm</t>
  </si>
  <si>
    <t>Thu Ba DS</t>
  </si>
  <si>
    <t>HD006743</t>
  </si>
  <si>
    <t>395 Bùi Đình Tuý, p14</t>
  </si>
  <si>
    <t>binh thanh</t>
  </si>
  <si>
    <t>Ngọc Mơ</t>
  </si>
  <si>
    <t>HD006858</t>
  </si>
  <si>
    <t>107/7 huỳnh an khương p5</t>
  </si>
  <si>
    <t>go vap</t>
  </si>
  <si>
    <t>Nguyễn TC Tiên</t>
  </si>
  <si>
    <t>HD006773</t>
  </si>
  <si>
    <t>6 Thạch Thị Thanh, Tân Định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</si>
  <si>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</si>
  <si>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</si>
  <si>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</si>
  <si>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</si>
  <si>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</si>
  <si>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</si>
  <si>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X.Anh</t>
  </si>
  <si>
    <t>HD006728</t>
  </si>
  <si>
    <t>Căn 603, lô B2 chung cư orchard parkview, 130-132 hồng hà, p. Đức Nhuận</t>
  </si>
  <si>
    <t>phu nhuan</t>
  </si>
  <si>
    <t>Kim Liên</t>
  </si>
  <si>
    <t>25/17/11 CỬU LONG PHƯỜNG 2</t>
  </si>
  <si>
    <t>tan binh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</si>
  <si>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</si>
  <si>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</si>
  <si>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</si>
  <si>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</si>
  <si>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</si>
  <si>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</si>
  <si>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</si>
  <si>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01-04</t>
  </si>
  <si>
    <t>Trừ Ship</t>
  </si>
  <si>
    <t>tiền ship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</si>
  <si>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</si>
  <si>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</si>
  <si>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</si>
  <si>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</si>
  <si>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</si>
  <si>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</si>
  <si>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</si>
  <si>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</si>
  <si>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</si>
  <si>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</si>
  <si>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</si>
  <si>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</si>
  <si>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</si>
  <si>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</si>
  <si>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</si>
  <si>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</si>
  <si>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</si>
  <si>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</si>
  <si>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</si>
  <si>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</si>
  <si>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</si>
  <si>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</si>
  <si>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</si>
  <si>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</si>
  <si>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</si>
  <si>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</si>
  <si>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</si>
  <si>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</si>
  <si>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</si>
  <si>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</si>
  <si>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kh ck shop 1215k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</si>
  <si>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</si>
  <si>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</si>
  <si>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</si>
  <si>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</si>
  <si>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</si>
  <si>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</si>
  <si>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Nguyễn Trương Phương Oanh</t>
  </si>
  <si>
    <t>HD006977</t>
  </si>
  <si>
    <t>125/42/2 Bùi Đình Tuý, phường 14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</si>
  <si>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</si>
  <si>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</si>
  <si>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</si>
  <si>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</si>
  <si>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</si>
  <si>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</si>
  <si>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</si>
  <si>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</si>
  <si>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</si>
  <si>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</si>
  <si>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</si>
  <si>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</si>
  <si>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</si>
  <si>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</si>
  <si>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</si>
  <si>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</si>
  <si>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</si>
  <si>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</si>
  <si>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</si>
  <si>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</si>
  <si>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</si>
  <si>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</si>
  <si>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</si>
  <si>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</si>
  <si>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</si>
  <si>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</si>
  <si>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</si>
  <si>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</si>
  <si>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</si>
  <si>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</si>
  <si>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</si>
  <si>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</si>
  <si>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</si>
  <si>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</si>
  <si>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</si>
  <si>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</si>
  <si>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</si>
  <si>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</si>
  <si>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</si>
  <si>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at 02-04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</si>
  <si>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</si>
  <si>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</si>
  <si>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</si>
  <si>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</si>
  <si>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</si>
  <si>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</si>
  <si>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</si>
  <si>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</si>
  <si>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</si>
  <si>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</si>
  <si>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</si>
  <si>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</si>
  <si>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</si>
  <si>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</si>
  <si>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</si>
  <si>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</si>
  <si>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</si>
  <si>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</si>
  <si>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</si>
  <si>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</si>
  <si>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</si>
  <si>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</si>
  <si>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</si>
  <si>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</si>
  <si>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</si>
  <si>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</si>
  <si>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</si>
  <si>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</si>
  <si>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</si>
  <si>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</si>
  <si>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</si>
  <si>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</si>
  <si>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</si>
  <si>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</si>
  <si>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</si>
  <si>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</si>
  <si>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</si>
  <si>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</si>
  <si>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</si>
  <si>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</si>
  <si>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</si>
  <si>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</si>
  <si>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</si>
  <si>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</si>
  <si>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</si>
  <si>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</si>
  <si>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</si>
  <si>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</si>
  <si>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</si>
  <si>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</si>
  <si>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</si>
  <si>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</si>
  <si>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</si>
  <si>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</si>
  <si>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</si>
  <si>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</si>
  <si>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</si>
  <si>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</si>
  <si>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</si>
  <si>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</si>
  <si>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</si>
  <si>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</si>
  <si>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</si>
  <si>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</si>
  <si>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</si>
  <si>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</si>
  <si>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</si>
  <si>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</si>
  <si>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</si>
  <si>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</si>
  <si>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</si>
  <si>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</si>
  <si>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</si>
  <si>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</si>
  <si>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</si>
  <si>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</si>
  <si>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</si>
  <si>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</si>
  <si>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</si>
  <si>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</si>
  <si>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</si>
  <si>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</si>
  <si>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</si>
  <si>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</si>
  <si>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</si>
  <si>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</si>
  <si>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</si>
  <si>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</si>
  <si>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</si>
  <si>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</si>
  <si>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</si>
  <si>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</si>
  <si>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</si>
  <si>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</si>
  <si>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</si>
  <si>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</si>
  <si>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</si>
  <si>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</si>
  <si>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</si>
  <si>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</si>
  <si>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</si>
  <si>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</si>
  <si>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</si>
  <si>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</si>
  <si>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</si>
  <si>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</si>
  <si>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</si>
  <si>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</si>
  <si>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</si>
  <si>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</si>
  <si>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</si>
  <si>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</si>
  <si>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</si>
  <si>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</si>
  <si>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</si>
  <si>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</si>
  <si>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</si>
  <si>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</si>
  <si>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</si>
  <si>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</si>
  <si>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</si>
  <si>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</si>
  <si>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</si>
  <si>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</si>
  <si>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</si>
  <si>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</si>
  <si>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</si>
  <si>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</si>
  <si>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</si>
  <si>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</si>
  <si>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</si>
  <si>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</si>
  <si>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</si>
  <si>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</si>
  <si>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</si>
  <si>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</si>
  <si>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</si>
  <si>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HD007059</t>
  </si>
  <si>
    <t>HD007574</t>
  </si>
  <si>
    <t>LISA</t>
  </si>
  <si>
    <t>685 tân sơn phường 12</t>
  </si>
  <si>
    <t>Ly Clara Selena</t>
  </si>
  <si>
    <t>403 tân sơn p12</t>
  </si>
  <si>
    <t>at 03-04</t>
  </si>
  <si>
    <t>tiền thiếu 2.4</t>
  </si>
  <si>
    <t>_col17</t>
  </si>
  <si>
    <t>Lê Thuỷ Tiên</t>
  </si>
  <si>
    <t>HD007708</t>
  </si>
  <si>
    <t>Chung cư Safira Khang điền 454 võ chí công</t>
  </si>
  <si>
    <t>04-04-2026</t>
  </si>
  <si>
    <t>NGÂN KIM</t>
  </si>
  <si>
    <t>T8-20 mahattan vinhomes Grand park , phường long bình</t>
  </si>
  <si>
    <t>đăng - fb Kim Lee.</t>
  </si>
  <si>
    <t>HD007875</t>
  </si>
  <si>
    <t>AT 04-04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</si>
  <si>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</si>
  <si>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</si>
  <si>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</si>
  <si>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</si>
  <si>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</si>
  <si>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</si>
  <si>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</si>
  <si>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</si>
  <si>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</si>
  <si>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Nhi</t>
  </si>
  <si>
    <t>HD007616</t>
  </si>
  <si>
    <t>13/7 phú thọ f1</t>
  </si>
  <si>
    <t>Trà Giang</t>
  </si>
  <si>
    <t>HD007851</t>
  </si>
  <si>
    <t>523 mã lò bình hưng hoà a</t>
  </si>
  <si>
    <t>Dung Nguyễn</t>
  </si>
  <si>
    <t>HD007760</t>
  </si>
  <si>
    <t>322/8 đào sư tích phước lộc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</si>
  <si>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</si>
  <si>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</si>
  <si>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</si>
  <si>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</si>
  <si>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</si>
  <si>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</si>
  <si>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</si>
  <si>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</si>
  <si>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</si>
  <si>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</si>
  <si>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</si>
  <si>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</si>
  <si>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</si>
  <si>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</si>
  <si>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</si>
  <si>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Thị Thị</t>
  </si>
  <si>
    <t>HD007791</t>
  </si>
  <si>
    <t>545 trần hưng đạo b phương 14</t>
  </si>
  <si>
    <t>Trần Thảo</t>
  </si>
  <si>
    <t>Số 262/26/3 Lũy Bán Bích, phường Tân Phú</t>
  </si>
  <si>
    <t>NGA LINH</t>
  </si>
  <si>
    <t>137/31/21 phan anh . Kp 12 . Bình trị đông</t>
  </si>
  <si>
    <t>Trâm</t>
  </si>
  <si>
    <t>HD007872</t>
  </si>
  <si>
    <t>3 trịnh khắc lập, p. thạnh mỹ lợi, tp. thủ đức ( dc cũ)</t>
  </si>
  <si>
    <t>THÁI HÀ</t>
  </si>
  <si>
    <t>HD007696</t>
  </si>
  <si>
    <t>inden ressidence Empire city thủ thiêm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</si>
  <si>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</si>
  <si>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</si>
  <si>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</si>
  <si>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</si>
  <si>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</si>
  <si>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</si>
  <si>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</si>
  <si>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</si>
  <si>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</si>
  <si>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</si>
  <si>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</si>
  <si>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</si>
  <si>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</si>
  <si>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</si>
  <si>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</si>
  <si>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</si>
  <si>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</si>
  <si>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</si>
  <si>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</si>
  <si>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</si>
  <si>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</si>
  <si>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</si>
  <si>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Thụy fb Kim Ngọc Anh</t>
  </si>
  <si>
    <t>HD007621</t>
  </si>
  <si>
    <t>Chung cư parcspi ng, 537 nguyễn duy trinh, phường bình trưng đông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</si>
  <si>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</si>
  <si>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</si>
  <si>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</si>
  <si>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</si>
  <si>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</si>
  <si>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</si>
  <si>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</si>
  <si>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</si>
  <si>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</si>
  <si>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</si>
  <si>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</si>
  <si>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</si>
  <si>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Nguyễn Tố Mai</t>
  </si>
  <si>
    <t>HD007743</t>
  </si>
  <si>
    <t>413/8 lê văn sỹ p12</t>
  </si>
  <si>
    <t>Tươi Em</t>
  </si>
  <si>
    <t>HD007580</t>
  </si>
  <si>
    <t>129 Nguyễn Thái Bình p3 Tân An</t>
  </si>
  <si>
    <t>Nguyễn Đào</t>
  </si>
  <si>
    <t>HD007889</t>
  </si>
  <si>
    <t>670/59/16 đoàn văn bơ p16</t>
  </si>
  <si>
    <t>Thúy Nga</t>
  </si>
  <si>
    <t>HD007622</t>
  </si>
  <si>
    <t>45a đường 3/2</t>
  </si>
  <si>
    <t>Alina Joy</t>
  </si>
  <si>
    <t>HD007881</t>
  </si>
  <si>
    <t>Tháp B cc goldview p1</t>
  </si>
  <si>
    <t>Nguyễn Thiên Nga</t>
  </si>
  <si>
    <t>HD007827</t>
  </si>
  <si>
    <t>481/42 Trường Chinh, phường 14</t>
  </si>
  <si>
    <t>Jennytram</t>
  </si>
  <si>
    <t>HD007659</t>
  </si>
  <si>
    <t>418/4 trường sa p2</t>
  </si>
  <si>
    <t>Name: Yors Sreypouch Phone Number: 077905987</t>
  </si>
  <si>
    <t>HD007871</t>
  </si>
  <si>
    <t>301 phạm ngũ lão</t>
  </si>
  <si>
    <t>SU ANH</t>
  </si>
  <si>
    <t>22/40 Yên Thế, P2</t>
  </si>
  <si>
    <t>Kiều Filler</t>
  </si>
  <si>
    <t>HD006142</t>
  </si>
  <si>
    <t>166/48c thích quảng Đức</t>
  </si>
  <si>
    <t>luu tra</t>
  </si>
  <si>
    <t>30-03-2026</t>
  </si>
  <si>
    <t>x</t>
  </si>
  <si>
    <t>xx</t>
  </si>
  <si>
    <t>at 04-04</t>
  </si>
  <si>
    <t>1 đơn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</si>
  <si>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</si>
  <si>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</si>
  <si>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</si>
  <si>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</si>
  <si>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</si>
  <si>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</si>
  <si>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</si>
  <si>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</si>
  <si>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</si>
  <si>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</si>
  <si>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</si>
  <si>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</si>
  <si>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</si>
  <si>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</si>
  <si>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</si>
  <si>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</si>
  <si>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</si>
  <si>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</si>
  <si>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</si>
  <si>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</si>
  <si>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</si>
  <si>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</si>
  <si>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</si>
  <si>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</si>
  <si>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</si>
  <si>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</si>
  <si>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</si>
  <si>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</si>
  <si>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</si>
  <si>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</si>
  <si>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</si>
  <si>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</si>
  <si>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</si>
  <si>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</si>
  <si>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</si>
  <si>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</si>
  <si>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</si>
  <si>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</si>
  <si>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</si>
  <si>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</si>
  <si>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</si>
  <si>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</si>
  <si>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</si>
  <si>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</si>
  <si>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</si>
  <si>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</si>
  <si>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</si>
  <si>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</si>
  <si>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</si>
  <si>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</si>
  <si>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</si>
  <si>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</si>
  <si>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</si>
  <si>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</si>
  <si>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</si>
  <si>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</si>
  <si>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</si>
  <si>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</si>
  <si>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</si>
  <si>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</si>
  <si>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</si>
  <si>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</si>
  <si>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</si>
  <si>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</si>
  <si>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</si>
  <si>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</si>
  <si>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</si>
  <si>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</si>
  <si>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</si>
  <si>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</si>
  <si>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</si>
  <si>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</si>
  <si>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</si>
  <si>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</si>
  <si>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</si>
  <si>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</si>
  <si>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</si>
  <si>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</si>
  <si>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</si>
  <si>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</si>
  <si>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</si>
  <si>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</si>
  <si>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</si>
  <si>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</si>
  <si>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</si>
  <si>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</si>
  <si>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</si>
  <si>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</si>
  <si>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</si>
  <si>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</si>
  <si>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</si>
  <si>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</si>
  <si>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</si>
  <si>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</si>
  <si>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</si>
  <si>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</si>
  <si>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</si>
  <si>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</si>
  <si>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</si>
  <si>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</si>
  <si>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</si>
  <si>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</si>
  <si>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</si>
  <si>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</si>
  <si>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</si>
  <si>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</si>
  <si>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</si>
  <si>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</si>
  <si>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</si>
  <si>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</si>
  <si>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</si>
  <si>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</si>
  <si>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</si>
  <si>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</si>
  <si>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</si>
  <si>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</si>
  <si>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</si>
  <si>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</si>
  <si>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</si>
  <si>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</si>
  <si>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</si>
  <si>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</si>
  <si>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</si>
  <si>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</si>
  <si>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</si>
  <si>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</si>
  <si>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</si>
  <si>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</si>
  <si>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</si>
  <si>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</si>
  <si>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</si>
  <si>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</si>
  <si>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</si>
  <si>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</si>
  <si>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</si>
  <si>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</si>
  <si>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</si>
  <si>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</si>
  <si>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</si>
  <si>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</si>
  <si>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</si>
  <si>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at 06-04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</si>
  <si>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</si>
  <si>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</si>
  <si>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</si>
  <si>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</si>
  <si>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</si>
  <si>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</si>
  <si>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</si>
  <si>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</si>
  <si>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</si>
  <si>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</si>
  <si>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</si>
  <si>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</si>
  <si>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</si>
  <si>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</si>
  <si>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</si>
  <si>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</si>
  <si>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</si>
  <si>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</si>
  <si>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</si>
  <si>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</si>
  <si>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</si>
  <si>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</si>
  <si>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</si>
  <si>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</si>
  <si>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</si>
  <si>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</si>
  <si>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</si>
  <si>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</si>
  <si>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</si>
  <si>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</si>
  <si>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</si>
  <si>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</si>
  <si>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</si>
  <si>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</si>
  <si>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</si>
  <si>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</si>
  <si>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</si>
  <si>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</si>
  <si>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</si>
  <si>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</si>
  <si>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</si>
  <si>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</si>
  <si>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</si>
  <si>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</si>
  <si>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</si>
  <si>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</si>
  <si>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</si>
  <si>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</si>
  <si>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</si>
  <si>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</si>
  <si>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</si>
  <si>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</si>
  <si>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</si>
  <si>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</si>
  <si>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</si>
  <si>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</si>
  <si>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</si>
  <si>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</si>
  <si>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</si>
  <si>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</si>
  <si>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</si>
  <si>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</si>
  <si>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</si>
  <si>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UYÊN MI</t>
  </si>
  <si>
    <t>93/1 Nguyễn Chí Thanh P9</t>
  </si>
  <si>
    <t>Đào Hạnh nhận hộ An Hy</t>
  </si>
  <si>
    <t>HD008648</t>
  </si>
  <si>
    <t>24 Yên Thế, Phường 2</t>
  </si>
  <si>
    <t>tiền đơn thu hộ 6.4</t>
  </si>
  <si>
    <t>at 07-04</t>
  </si>
  <si>
    <t>tiền đơn trả 6.4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</si>
  <si>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</si>
  <si>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</si>
  <si>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</si>
  <si>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</si>
  <si>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</si>
  <si>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</si>
  <si>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</si>
  <si>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</si>
  <si>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</si>
  <si>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</si>
  <si>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</si>
  <si>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</si>
  <si>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</si>
  <si>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</si>
  <si>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</si>
  <si>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</si>
  <si>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</si>
  <si>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</si>
  <si>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</si>
  <si>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</si>
  <si>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</si>
  <si>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</si>
  <si>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</si>
  <si>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</si>
  <si>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</si>
  <si>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</si>
  <si>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</si>
  <si>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</si>
  <si>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</si>
  <si>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</si>
  <si>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</si>
  <si>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</si>
  <si>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</si>
  <si>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</si>
  <si>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</si>
  <si>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</si>
  <si>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</si>
  <si>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</si>
  <si>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</si>
  <si>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</si>
  <si>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</si>
  <si>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</si>
  <si>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</si>
  <si>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</si>
  <si>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</si>
  <si>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</si>
  <si>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</si>
  <si>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</si>
  <si>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</si>
  <si>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</si>
  <si>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</si>
  <si>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</si>
  <si>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</si>
  <si>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</si>
  <si>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</si>
  <si>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</si>
  <si>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</si>
  <si>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</si>
  <si>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</si>
  <si>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</si>
  <si>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</si>
  <si>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</si>
  <si>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</si>
  <si>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</si>
  <si>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</si>
  <si>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</si>
  <si>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</si>
  <si>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</si>
  <si>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</si>
  <si>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</si>
  <si>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</si>
  <si>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</si>
  <si>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</si>
  <si>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</si>
  <si>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</si>
  <si>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</si>
  <si>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</si>
  <si>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</si>
  <si>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</si>
  <si>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</si>
  <si>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</si>
  <si>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</si>
  <si>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</si>
  <si>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</si>
  <si>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</si>
  <si>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</si>
  <si>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</si>
  <si>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</si>
  <si>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</si>
  <si>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</si>
  <si>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</si>
  <si>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</si>
  <si>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</si>
  <si>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</si>
  <si>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</si>
  <si>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</si>
  <si>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</si>
  <si>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</si>
  <si>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</si>
  <si>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</si>
  <si>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</si>
  <si>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</si>
  <si>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</si>
  <si>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</si>
  <si>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</si>
  <si>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</si>
  <si>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</si>
  <si>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</si>
  <si>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</si>
  <si>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</si>
  <si>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</si>
  <si>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</si>
  <si>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</si>
  <si>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</si>
  <si>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</si>
  <si>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</si>
  <si>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hàng tỉnh</t>
  </si>
  <si>
    <t>Hy An</t>
  </si>
  <si>
    <t>HD006355</t>
  </si>
  <si>
    <t>226 an dương vương, p bình phú ( p.16 cũ)</t>
  </si>
  <si>
    <t>at 08-04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</si>
  <si>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</si>
  <si>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</si>
  <si>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</si>
  <si>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</si>
  <si>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</si>
  <si>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</si>
  <si>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</si>
  <si>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</si>
  <si>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</si>
  <si>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</si>
  <si>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</si>
  <si>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</si>
  <si>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</si>
  <si>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</si>
  <si>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</si>
  <si>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</si>
  <si>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</si>
  <si>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</si>
  <si>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</si>
  <si>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</si>
  <si>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</si>
  <si>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</si>
  <si>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</si>
  <si>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</si>
  <si>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</si>
  <si>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</si>
  <si>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</si>
  <si>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</si>
  <si>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</si>
  <si>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</si>
  <si>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</si>
  <si>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</si>
  <si>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</si>
  <si>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</si>
  <si>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</si>
  <si>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</si>
  <si>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</si>
  <si>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</si>
  <si>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</si>
  <si>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</si>
  <si>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</si>
  <si>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</si>
  <si>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</si>
  <si>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</si>
  <si>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</si>
  <si>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</si>
  <si>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</si>
  <si>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</si>
  <si>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</si>
  <si>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</si>
  <si>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</si>
  <si>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</si>
  <si>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</si>
  <si>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</si>
  <si>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</si>
  <si>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</si>
  <si>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</si>
  <si>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</si>
  <si>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</si>
  <si>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</si>
  <si>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</si>
  <si>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</si>
  <si>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</si>
  <si>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</si>
  <si>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</si>
  <si>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</si>
  <si>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</si>
  <si>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</si>
  <si>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</si>
  <si>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</si>
  <si>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</si>
  <si>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</si>
  <si>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</si>
  <si>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</si>
  <si>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</si>
  <si>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</si>
  <si>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</si>
  <si>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</si>
  <si>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</si>
  <si>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</si>
  <si>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</si>
  <si>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</si>
  <si>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</si>
  <si>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</si>
  <si>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</si>
  <si>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</si>
  <si>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</si>
  <si>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</si>
  <si>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</si>
  <si>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</si>
  <si>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</si>
  <si>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</si>
  <si>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</si>
  <si>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</si>
  <si>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</si>
  <si>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</si>
  <si>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</si>
  <si>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</si>
  <si>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</si>
  <si>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</si>
  <si>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</si>
  <si>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</si>
  <si>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</si>
  <si>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</si>
  <si>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at 09-04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</si>
  <si>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</si>
  <si>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</si>
  <si>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</si>
  <si>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</si>
  <si>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</si>
  <si>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</si>
  <si>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</si>
  <si>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</si>
  <si>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</si>
  <si>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</si>
  <si>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</si>
  <si>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</si>
  <si>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</si>
  <si>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</si>
  <si>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</si>
  <si>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</si>
  <si>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</si>
  <si>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</si>
  <si>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</si>
  <si>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</si>
  <si>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</si>
  <si>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</si>
  <si>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</si>
  <si>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</si>
  <si>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</si>
  <si>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</si>
  <si>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</si>
  <si>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</si>
  <si>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</si>
  <si>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</si>
  <si>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</si>
  <si>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</si>
  <si>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</si>
  <si>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</si>
  <si>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</si>
  <si>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</si>
  <si>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</si>
  <si>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</si>
  <si>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</si>
  <si>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</si>
  <si>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</si>
  <si>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</si>
  <si>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</si>
  <si>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</si>
  <si>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</si>
  <si>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</si>
  <si>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</si>
  <si>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</si>
  <si>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</si>
  <si>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</si>
  <si>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</si>
  <si>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</si>
  <si>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</si>
  <si>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</si>
  <si>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</si>
  <si>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</si>
  <si>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</si>
  <si>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</si>
  <si>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</si>
  <si>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</si>
  <si>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</si>
  <si>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</si>
  <si>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</si>
  <si>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</si>
  <si>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</si>
  <si>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</si>
  <si>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</si>
  <si>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</si>
  <si>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</si>
  <si>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</si>
  <si>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</si>
  <si>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</si>
  <si>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</si>
  <si>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</si>
  <si>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</si>
  <si>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</si>
  <si>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</si>
  <si>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</si>
  <si>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</si>
  <si>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</si>
  <si>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</si>
  <si>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</si>
  <si>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</si>
  <si>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</si>
  <si>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</si>
  <si>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</si>
  <si>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</si>
  <si>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</si>
  <si>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</si>
  <si>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</si>
  <si>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</si>
  <si>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</si>
  <si>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</si>
  <si>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</si>
  <si>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</si>
  <si>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</si>
  <si>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</si>
  <si>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</si>
  <si>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</si>
  <si>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</si>
  <si>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</si>
  <si>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</si>
  <si>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</si>
  <si>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</si>
  <si>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</si>
  <si>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</si>
  <si>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</si>
  <si>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</si>
  <si>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</si>
  <si>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</si>
  <si>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</si>
  <si>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</si>
  <si>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</si>
  <si>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</si>
  <si>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</si>
  <si>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</si>
  <si>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</si>
  <si>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</si>
  <si>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</si>
  <si>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</si>
  <si>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</si>
  <si>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</si>
  <si>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</si>
  <si>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</si>
  <si>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</si>
  <si>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</si>
  <si>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</si>
  <si>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</si>
  <si>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</si>
  <si>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</si>
  <si>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</si>
  <si>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</si>
  <si>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</si>
  <si>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</si>
  <si>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socheatahun</t>
  </si>
  <si>
    <t>100A Thich Quang Duc Street, Ward 5</t>
  </si>
  <si>
    <t>đơn lấy hàng về cho shop</t>
  </si>
  <si>
    <t>at 10-04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</si>
  <si>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</si>
  <si>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</si>
  <si>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</si>
  <si>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</si>
  <si>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</si>
  <si>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</si>
  <si>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</si>
  <si>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</si>
  <si>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</si>
  <si>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</si>
  <si>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</si>
  <si>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</si>
  <si>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</si>
  <si>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</si>
  <si>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</si>
  <si>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</si>
  <si>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</si>
  <si>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</si>
  <si>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</si>
  <si>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</si>
  <si>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</si>
  <si>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</si>
  <si>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</si>
  <si>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</si>
  <si>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</si>
  <si>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</si>
  <si>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</si>
  <si>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</si>
  <si>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</si>
  <si>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</si>
  <si>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</si>
  <si>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</si>
  <si>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</si>
  <si>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</si>
  <si>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</si>
  <si>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</si>
  <si>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</si>
  <si>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</si>
  <si>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</si>
  <si>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</si>
  <si>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</si>
  <si>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</si>
  <si>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</si>
  <si>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</si>
  <si>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</si>
  <si>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</si>
  <si>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</si>
  <si>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</si>
  <si>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</si>
  <si>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</si>
  <si>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</si>
  <si>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</si>
  <si>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</si>
  <si>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</si>
  <si>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</si>
  <si>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</si>
  <si>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</si>
  <si>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</si>
  <si>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</si>
  <si>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</si>
  <si>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</si>
  <si>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</si>
  <si>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</si>
  <si>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</si>
  <si>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</si>
  <si>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</si>
  <si>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</si>
  <si>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</si>
  <si>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</si>
  <si>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</si>
  <si>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</si>
  <si>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</si>
  <si>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</si>
  <si>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</si>
  <si>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</si>
  <si>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</si>
  <si>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</si>
  <si>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</si>
  <si>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</si>
  <si>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</si>
  <si>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</si>
  <si>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</si>
  <si>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</si>
  <si>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</si>
  <si>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</si>
  <si>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</si>
  <si>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</si>
  <si>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</si>
  <si>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</si>
  <si>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</si>
  <si>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</si>
  <si>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</si>
  <si>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</si>
  <si>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</si>
  <si>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</si>
  <si>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</si>
  <si>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</si>
  <si>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</si>
  <si>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</si>
  <si>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</si>
  <si>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</si>
  <si>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</si>
  <si>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</si>
  <si>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</si>
  <si>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</si>
  <si>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</si>
  <si>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</si>
  <si>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</si>
  <si>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</si>
  <si>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</si>
  <si>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</si>
  <si>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</si>
  <si>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</si>
  <si>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</si>
  <si>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</si>
  <si>
    <t>at 11-04</t>
  </si>
  <si>
    <t>Thanh Nguyen</t>
  </si>
  <si>
    <t>HD010346</t>
  </si>
  <si>
    <t>Toà S305 - Vinhome Grand Park - Đ. Cầu Vồng - Long Thạnh Mỹ</t>
  </si>
  <si>
    <t>13-04-2026</t>
  </si>
  <si>
    <t>Bảo Ngân</t>
  </si>
  <si>
    <t>HD010950</t>
  </si>
  <si>
    <t>S9.02B Vinhome Grandpark, Long Bình</t>
  </si>
  <si>
    <t>Kim Phương</t>
  </si>
  <si>
    <t>HD010850</t>
  </si>
  <si>
    <t>Chung cư sài gòn Mia Block B</t>
  </si>
  <si>
    <t>AT 13-04</t>
  </si>
  <si>
    <t>W3164</t>
  </si>
  <si>
    <t>HD009628</t>
  </si>
  <si>
    <t>375 tân thới hiệp 21, Tổ 3 Kp3</t>
  </si>
  <si>
    <t>THI (KT Ng)</t>
  </si>
  <si>
    <t>HD010849</t>
  </si>
  <si>
    <t>39 Nguyen thi Thap khu dan cu him lam phuong tan hung</t>
  </si>
  <si>
    <t>Thái Trân</t>
  </si>
  <si>
    <t>HD010789</t>
  </si>
  <si>
    <t>149/ B40 lý thánh tông, p Tân thới hoà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</si>
  <si>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</si>
  <si>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</si>
  <si>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</si>
  <si>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</si>
  <si>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</si>
  <si>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</si>
  <si>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</si>
  <si>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</si>
  <si>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</si>
  <si>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</si>
  <si>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</si>
  <si>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</si>
  <si>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</si>
  <si>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</si>
  <si>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</si>
  <si>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</si>
  <si>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</si>
  <si>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</si>
  <si>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Huỳnh Nhi</t>
  </si>
  <si>
    <t>HD010886</t>
  </si>
  <si>
    <t>79 đường số 6 p11</t>
  </si>
  <si>
    <t>thy (Xá Lị)</t>
  </si>
  <si>
    <t>HD011047</t>
  </si>
  <si>
    <t>Chung cư Saigon Asiana 336/20 Nguyễn Văn Luông P12</t>
  </si>
  <si>
    <t>HD011055</t>
  </si>
  <si>
    <t>sunrise w1, 25 nguyễn hữu thọ, tân hưng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</si>
  <si>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</si>
  <si>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</si>
  <si>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</si>
  <si>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</si>
  <si>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</si>
  <si>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</si>
  <si>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</si>
  <si>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</si>
  <si>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</si>
  <si>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</si>
  <si>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</si>
  <si>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</si>
  <si>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</si>
  <si>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</si>
  <si>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</si>
  <si>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</si>
  <si>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</si>
  <si>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Loan Lucy</t>
  </si>
  <si>
    <t>HD010882</t>
  </si>
  <si>
    <t>92 hậu giang, P bình tây</t>
  </si>
  <si>
    <t>Kim Thủy</t>
  </si>
  <si>
    <t>HD010481</t>
  </si>
  <si>
    <t>532/3/6 kinh dương vương phường an lạc</t>
  </si>
  <si>
    <t>Ms Thuyền Tố Như ari</t>
  </si>
  <si>
    <t>HD010485</t>
  </si>
  <si>
    <t>C16-17 lô C1, đường DD5, phường Tân Hưng Thuận</t>
  </si>
  <si>
    <t>Nguyễn Yến Nhi</t>
  </si>
  <si>
    <t>HD010883</t>
  </si>
  <si>
    <t>Tháp v3 23 nguyễn hữu thọ tân hưng</t>
  </si>
  <si>
    <t>Jenny Tran</t>
  </si>
  <si>
    <t>HD010539</t>
  </si>
  <si>
    <t>737/1c lac long quận f10</t>
  </si>
  <si>
    <t>137/31/21 phan anh, Kp. 12, Bình trị đông</t>
  </si>
  <si>
    <t>Hoàng Thị Diễm Quỳnh</t>
  </si>
  <si>
    <t>HD010888</t>
  </si>
  <si>
    <t>Khu Holm căn 21 145 Nguyễn Văn Hưởng</t>
  </si>
  <si>
    <t>HD011076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</si>
  <si>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</si>
  <si>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</si>
  <si>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</si>
  <si>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</si>
  <si>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</si>
  <si>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</si>
  <si>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</si>
  <si>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</si>
  <si>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MaiFb</t>
  </si>
  <si>
    <t>71/5 chu văn an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</si>
  <si>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</si>
  <si>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</si>
  <si>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</si>
  <si>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</si>
  <si>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</si>
  <si>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HD010906</t>
  </si>
  <si>
    <t>nha The Sun Avenue (tòa 55) 28 Mai Chí Thọ, An Phú</t>
  </si>
  <si>
    <t>Ms Yến</t>
  </si>
  <si>
    <t>HD011031</t>
  </si>
  <si>
    <t>Chung cư Sadora - số 2 đường 13 phường Thủ Thiêm</t>
  </si>
  <si>
    <t>Trương Thị Hoàng Mỹ</t>
  </si>
  <si>
    <t>HD010530</t>
  </si>
  <si>
    <t>374/8h nguyễn xí kp38 bình lợi trung</t>
  </si>
  <si>
    <t>HD010633</t>
  </si>
  <si>
    <t>sn 55 đường 20 trần não an khánh</t>
  </si>
  <si>
    <t>Hồ Thanh Phương</t>
  </si>
  <si>
    <t>HD010724</t>
  </si>
  <si>
    <t>158/56/21 Phạm Văn Chiêu, phường 8</t>
  </si>
  <si>
    <t>HD010679</t>
  </si>
  <si>
    <t>401 quang trung f10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</si>
  <si>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</si>
  <si>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</si>
  <si>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</si>
  <si>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</si>
  <si>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</si>
  <si>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</si>
  <si>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Ánh Ngọc</t>
  </si>
  <si>
    <t>HD010642</t>
  </si>
  <si>
    <t>238 lê văn sỹ p1</t>
  </si>
  <si>
    <t>Nguyen Lưu My Linh</t>
  </si>
  <si>
    <t>HD011067</t>
  </si>
  <si>
    <t>Qua 64 Lô S Cư Xá Vĩnh Hội, phường Khánh Hội</t>
  </si>
  <si>
    <t>Be Heo</t>
  </si>
  <si>
    <t>HD010715</t>
  </si>
  <si>
    <t>71/2/13 Nguyễn Bặc - p3</t>
  </si>
  <si>
    <t>Nguyễn Đoan</t>
  </si>
  <si>
    <t>HD011014</t>
  </si>
  <si>
    <t>128/6 Bàn Cờ - Phường Bàn Cờ</t>
  </si>
  <si>
    <t>Việt Trinh</t>
  </si>
  <si>
    <t>HD011049</t>
  </si>
  <si>
    <t>53 Nguyễn trọng lội phường 4</t>
  </si>
  <si>
    <t>HD010375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</si>
  <si>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</si>
  <si>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</si>
  <si>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</si>
  <si>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</si>
  <si>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</si>
  <si>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</si>
  <si>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</si>
  <si>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</si>
  <si>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</si>
  <si>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Mai Nhung</t>
  </si>
  <si>
    <t>HD010465</t>
  </si>
  <si>
    <t>346 bến vân đồn P1</t>
  </si>
  <si>
    <t>Anh Thu Nguyen</t>
  </si>
  <si>
    <t>HD010486</t>
  </si>
  <si>
    <t>230 cao thắng, p12</t>
  </si>
  <si>
    <t>khun leang 092559972</t>
  </si>
  <si>
    <t>HD010472</t>
  </si>
  <si>
    <t>nhà xe khải nam</t>
  </si>
  <si>
    <t>Kim Kami</t>
  </si>
  <si>
    <t>HD010747</t>
  </si>
  <si>
    <t>132 bến vân đồn phường 9</t>
  </si>
  <si>
    <t>HD010712</t>
  </si>
  <si>
    <t>Trần Ngọc Bích</t>
  </si>
  <si>
    <t>HD010438</t>
  </si>
  <si>
    <t>43/3 Cừu Long p2</t>
  </si>
  <si>
    <t>HD010571</t>
  </si>
  <si>
    <t>đơn hoàn về</t>
  </si>
  <si>
    <t>at 13-04</t>
  </si>
  <si>
    <t>Trinh Cherry</t>
  </si>
  <si>
    <t>HD011335</t>
  </si>
  <si>
    <t>141/24 đuong 339 phuong phước long B</t>
  </si>
  <si>
    <t>14-04-2026</t>
  </si>
  <si>
    <t>Minh Anh</t>
  </si>
  <si>
    <t>HD011319</t>
  </si>
  <si>
    <t>691 Lê Văn Việt Phường Tăng Nhơn Phú</t>
  </si>
  <si>
    <t>Nhà xe Khải Nam</t>
  </si>
  <si>
    <t>HD011291</t>
  </si>
  <si>
    <t>363 Hùng Vương,p9</t>
  </si>
  <si>
    <t>Hoàng Ngân</t>
  </si>
  <si>
    <t>HD011184</t>
  </si>
  <si>
    <t>Cc ehome3, hồ học lãm</t>
  </si>
  <si>
    <t>AT 14-04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</si>
  <si>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</si>
  <si>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</si>
  <si>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</si>
  <si>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</si>
  <si>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</si>
  <si>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</si>
  <si>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</si>
  <si>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</si>
  <si>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</si>
  <si>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</si>
  <si>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</si>
  <si>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HD011234</t>
  </si>
  <si>
    <t>W3296</t>
  </si>
  <si>
    <t>HD011290</t>
  </si>
  <si>
    <t>HD011121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</si>
  <si>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</si>
  <si>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</si>
  <si>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</si>
  <si>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</si>
  <si>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</si>
  <si>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</si>
  <si>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</si>
  <si>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</si>
  <si>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</si>
  <si>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</si>
  <si>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</si>
  <si>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</si>
  <si>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</si>
  <si>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</si>
  <si>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</si>
  <si>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</si>
  <si>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BN1356</t>
  </si>
  <si>
    <t>HD011216</t>
  </si>
  <si>
    <t>Shi Yang</t>
  </si>
  <si>
    <t>HD011255</t>
  </si>
  <si>
    <t>32 đường số 8 KDC Cityland park hill p10</t>
  </si>
  <si>
    <t>THU TRƯƠNG</t>
  </si>
  <si>
    <t>159/43/5 Đường Bạch Đằng, phường Tân Sơn Hòa</t>
  </si>
  <si>
    <t>ALAN</t>
  </si>
  <si>
    <t>HD005837</t>
  </si>
  <si>
    <t>163/11, Đường Vườn Lài, KP2, P. An Phú Đông</t>
  </si>
  <si>
    <t>lưu trả</t>
  </si>
  <si>
    <t>My Quynh Ngo</t>
  </si>
  <si>
    <t>HD006328</t>
  </si>
  <si>
    <t>11C, Thạnh Lộc 14, An Phú Đông</t>
  </si>
  <si>
    <t>Vân NA Vy</t>
  </si>
  <si>
    <t>HD006405</t>
  </si>
  <si>
    <t>251 đường 9a khu trung sơn, bình hưng</t>
  </si>
  <si>
    <t>31-03-2026</t>
  </si>
  <si>
    <t>at 14-04</t>
  </si>
  <si>
    <t>4 đơn</t>
  </si>
  <si>
    <t>Nguyễn Nhi</t>
  </si>
  <si>
    <t>HD011396</t>
  </si>
  <si>
    <t>Vinhomes - phường long thạnh mỹ</t>
  </si>
  <si>
    <t>15-04-2026</t>
  </si>
  <si>
    <t>linh sỉ lee</t>
  </si>
  <si>
    <t>Số nhà 97A, đường 22, phường phước long</t>
  </si>
  <si>
    <t>HD011579</t>
  </si>
  <si>
    <t>AT 15-04</t>
  </si>
  <si>
    <t>HD011457</t>
  </si>
  <si>
    <t>số 25a đường 22 bình hưng hòa a</t>
  </si>
  <si>
    <t>linda tran ( fb Jin Jin)</t>
  </si>
  <si>
    <t>HD011491</t>
  </si>
  <si>
    <t>66 đường số 7, p10</t>
  </si>
  <si>
    <t>Moon Nguyễn</t>
  </si>
  <si>
    <t>HD011625</t>
  </si>
  <si>
    <t>16 kim ngân, khu dân cư phong phú 4, xã phong phú</t>
  </si>
  <si>
    <t>BN182 miki</t>
  </si>
  <si>
    <t>HD011425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</si>
  <si>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</si>
  <si>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</si>
  <si>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</si>
  <si>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</si>
  <si>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</si>
  <si>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</si>
  <si>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</si>
  <si>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</si>
  <si>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</si>
  <si>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Nam Diep Hung Tue</t>
  </si>
  <si>
    <t>HD011379</t>
  </si>
  <si>
    <t>Chung cư Sơn Kỳ 2 số 37 đường DC 13 p Tây Thạnh</t>
  </si>
  <si>
    <t>Cô Đông - fb Nali Liễu</t>
  </si>
  <si>
    <t>HD011348</t>
  </si>
  <si>
    <t>27/11 đường số 27 hiệp bình Chánh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</si>
  <si>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</si>
  <si>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</si>
  <si>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</si>
  <si>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</si>
  <si>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</si>
  <si>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</si>
  <si>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</si>
  <si>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HD011391</t>
  </si>
  <si>
    <t>189/46a Bạch Đằng, phường Hạnh Thông</t>
  </si>
  <si>
    <t>Nguyễn Đắc Hội</t>
  </si>
  <si>
    <t>127/17 bình lợi p13</t>
  </si>
  <si>
    <t>Diem Vy</t>
  </si>
  <si>
    <t>HD011509</t>
  </si>
  <si>
    <t>19 Tân Canh P.1</t>
  </si>
  <si>
    <t>HD011460</t>
  </si>
  <si>
    <t>103/23 cô giang phường cô giang</t>
  </si>
  <si>
    <t>Dương Tường Vy.</t>
  </si>
  <si>
    <t>HD011607</t>
  </si>
  <si>
    <t>chị linh</t>
  </si>
  <si>
    <t>HD011244</t>
  </si>
  <si>
    <t>68hùng vuong p9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</si>
  <si>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</si>
  <si>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</si>
  <si>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</si>
  <si>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</si>
  <si>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</si>
  <si>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</si>
  <si>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</si>
  <si>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</si>
  <si>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</si>
  <si>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</si>
  <si>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</si>
  <si>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</si>
  <si>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Ngọc</t>
  </si>
  <si>
    <t>120/6 Lê Bình, phường Tân Sơn Nhất</t>
  </si>
  <si>
    <t>at 15-04</t>
  </si>
  <si>
    <t>Phạm Đào Ngọc Hà</t>
  </si>
  <si>
    <t>HD011926</t>
  </si>
  <si>
    <t>Nhà h15 kdc park riverside đường bưng ông thoàn phường phước long trường</t>
  </si>
  <si>
    <t>16-04-2026</t>
  </si>
  <si>
    <t>Yến Như</t>
  </si>
  <si>
    <t>HD011735</t>
  </si>
  <si>
    <t>213 Bưng Ông Thoàn, Tăng Nhơn Phú B</t>
  </si>
  <si>
    <t>Nhật Lệ</t>
  </si>
  <si>
    <t>HD011930</t>
  </si>
  <si>
    <t>Block D, chung cư him lam phú an, 39 thuỷ lợi, phường Phước Long A</t>
  </si>
  <si>
    <t>HD011705</t>
  </si>
  <si>
    <t>Mỹ hảo</t>
  </si>
  <si>
    <t>145/9 Đỗ Xuân Hợp Khu nhà trọ Phước Long B</t>
  </si>
  <si>
    <t>Quy</t>
  </si>
  <si>
    <t>HD012000</t>
  </si>
  <si>
    <t>S5.02 Vinhome Grandpark, Đường Nguyễn Xiển, phường Long Thạnh Mỹ</t>
  </si>
  <si>
    <t>Yin Nguyễn</t>
  </si>
  <si>
    <t>HD011874</t>
  </si>
  <si>
    <t>1164 đường số 16 p tân quy</t>
  </si>
  <si>
    <t>AT 16-04</t>
  </si>
  <si>
    <t>Linh Đan</t>
  </si>
  <si>
    <t>HD011649</t>
  </si>
  <si>
    <t>107 nguyễn văn linh p tân thuận tây(cc eco green block D)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</si>
  <si>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</si>
  <si>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</si>
  <si>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</si>
  <si>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</si>
  <si>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</si>
  <si>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</si>
  <si>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</si>
  <si>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</si>
  <si>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</si>
  <si>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</si>
  <si>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</si>
  <si>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Hàn Bảo Xuyên</t>
  </si>
  <si>
    <t>HD011745</t>
  </si>
  <si>
    <t>2a đường 79 phường tân quy Spa HaiX</t>
  </si>
  <si>
    <t>Thu Huong</t>
  </si>
  <si>
    <t>HD011944</t>
  </si>
  <si>
    <t>cổng1 chung cư Emeral 1 Số 2- N4 Tân Sơn Nhì</t>
  </si>
  <si>
    <t>HD011909</t>
  </si>
  <si>
    <t>114/4 Hương Lộ 30B, khu phố 7, P. Hiệp Thành</t>
  </si>
  <si>
    <t>Minh Thơ</t>
  </si>
  <si>
    <t>HD011741</t>
  </si>
  <si>
    <t>12 đường số 41, bình thuận</t>
  </si>
  <si>
    <t>HD011877</t>
  </si>
  <si>
    <t>Trang ( Nabi )</t>
  </si>
  <si>
    <t>HD011951</t>
  </si>
  <si>
    <t>262/57 Phan anh, Hiệp Tân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</si>
  <si>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</si>
  <si>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</si>
  <si>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</si>
  <si>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</si>
  <si>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</si>
  <si>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</si>
  <si>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</si>
  <si>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</si>
  <si>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</si>
  <si>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Nguyễn Hân</t>
  </si>
  <si>
    <t>HD011913</t>
  </si>
  <si>
    <t>1069, lê đức anh, bình trị đông a</t>
  </si>
  <si>
    <t>Nguyễn Minh Hải</t>
  </si>
  <si>
    <t>17 Đường Số 13 Bình Hưng Hoà</t>
  </si>
  <si>
    <t>Ngọc Nguyễn</t>
  </si>
  <si>
    <t>HD011701</t>
  </si>
  <si>
    <t>132-134 Nguyễn Gia Trí, phường 25</t>
  </si>
  <si>
    <t>Người nhận: Fb Phương Mai</t>
  </si>
  <si>
    <t>HD011829</t>
  </si>
  <si>
    <t>433/11/2 Lê Đức Thọ, Phường 17</t>
  </si>
  <si>
    <t>My Tú</t>
  </si>
  <si>
    <t>HD011740</t>
  </si>
  <si>
    <t>130/4 gò dưa tam bình</t>
  </si>
  <si>
    <t>Phuong Tram Ho</t>
  </si>
  <si>
    <t>HD011766</t>
  </si>
  <si>
    <t>Chung cư Empire city thủ thiêm, toà Tilia, đường D11</t>
  </si>
  <si>
    <t>HD011720</t>
  </si>
  <si>
    <t>Phụng Phụng</t>
  </si>
  <si>
    <t>HD011918</t>
  </si>
  <si>
    <t>58/22/73 phan chu trinh p24</t>
  </si>
  <si>
    <t>thùy linh ALLINA</t>
  </si>
  <si>
    <t>HD011925</t>
  </si>
  <si>
    <t>276/169 thống nhất an hội đông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</si>
  <si>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</si>
  <si>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</si>
  <si>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</si>
  <si>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</si>
  <si>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</si>
  <si>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</si>
  <si>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lindsiepham</t>
  </si>
  <si>
    <t>HD011656</t>
  </si>
  <si>
    <t>landmark 5b vinhomes central park</t>
  </si>
  <si>
    <t>Lan Anh Nguyen</t>
  </si>
  <si>
    <t>HD011857</t>
  </si>
  <si>
    <t>400/6 Ung Văn Khiêm, P25</t>
  </si>
  <si>
    <t>KIỀU MY</t>
  </si>
  <si>
    <t>27/10/3 đường 17, kp46, p. hiệp bình</t>
  </si>
  <si>
    <t>119 Hoàng Diệu 2 linh trung</t>
  </si>
  <si>
    <t>HD011796</t>
  </si>
  <si>
    <t>Chị Ngân</t>
  </si>
  <si>
    <t>HD011462</t>
  </si>
  <si>
    <t>72 Lê Thánh Tôn</t>
  </si>
  <si>
    <t>Ai Quyên Mai ( QUANG)</t>
  </si>
  <si>
    <t>HD011737</t>
  </si>
  <si>
    <t>1/18 Nguyễn Văn Vĩnh, Phường 4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</si>
  <si>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</si>
  <si>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</si>
  <si>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</si>
  <si>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</si>
  <si>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</si>
  <si>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</si>
  <si>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siêng fb Nguyễn Đức Hùng</t>
  </si>
  <si>
    <t>HD011883</t>
  </si>
  <si>
    <t>Trung tâm trợ thính hearLIFE MEDEL: 476-478 Sư Vạn Hạnh, Phường 9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</si>
  <si>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</si>
  <si>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</si>
  <si>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</si>
  <si>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</si>
  <si>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</si>
  <si>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</si>
  <si>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HD011824</t>
  </si>
  <si>
    <t>NOTE GỬI CHO SU ANH</t>
  </si>
  <si>
    <t>Nguyễn thị nhung fb Yuna Tasaki</t>
  </si>
  <si>
    <t>HD011754</t>
  </si>
  <si>
    <t>21 lê văn lương Chung cư golden palm nhe Nguyễn thị nhung</t>
  </si>
  <si>
    <t>at 16-04</t>
  </si>
  <si>
    <t>Phạm Thị Diễm Trinh</t>
  </si>
  <si>
    <t>HD012321</t>
  </si>
  <si>
    <t>Sảnh S10.06 đường Nguyễn Xiển, phường Long Bình (vinhomes grand park)</t>
  </si>
  <si>
    <t>17-04-2026</t>
  </si>
  <si>
    <t>Paul (sumthingtopasabuy) - IG sumthingtopasabuy</t>
  </si>
  <si>
    <t>HD012288</t>
  </si>
  <si>
    <t>Toa BE2 The Beverly Vinhomes Grand Park Long Binh</t>
  </si>
  <si>
    <t>Khả Hân</t>
  </si>
  <si>
    <t>HD012265</t>
  </si>
  <si>
    <t>chung cư Flora Kikyo Phú Hữu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</si>
  <si>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</si>
  <si>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</si>
  <si>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</si>
  <si>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</si>
  <si>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</si>
  <si>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</si>
  <si>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</si>
  <si>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</si>
  <si>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</si>
  <si>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</si>
  <si>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ZALLO KELLY</t>
  </si>
  <si>
    <t>HD012336</t>
  </si>
  <si>
    <t>688/23/1C HƯƠNG LỘ 2 phường BÌNH TRỊ ĐÔNG A</t>
  </si>
  <si>
    <t>Tuyet Nhung Nguyen</t>
  </si>
  <si>
    <t>HD012341</t>
  </si>
  <si>
    <t>35 Duy Tân phường 8</t>
  </si>
  <si>
    <t>Mai Anh</t>
  </si>
  <si>
    <t>HD012018</t>
  </si>
  <si>
    <t>109/22/14 Dương Bá Trạc p1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</si>
  <si>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</si>
  <si>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</si>
  <si>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</si>
  <si>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</si>
  <si>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</si>
  <si>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</si>
  <si>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</si>
  <si>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</si>
  <si>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</si>
  <si>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</si>
  <si>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</si>
  <si>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</si>
  <si>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Thudena Nguyên</t>
  </si>
  <si>
    <t>HD012120</t>
  </si>
  <si>
    <t>54/24 đường 281 lý thường kiệt p15</t>
  </si>
  <si>
    <t>HD011639</t>
  </si>
  <si>
    <t>Phạm Yến</t>
  </si>
  <si>
    <t>HD012084</t>
  </si>
  <si>
    <t>64b đường số 32 bình trị đông b</t>
  </si>
  <si>
    <t>Ruby VO</t>
  </si>
  <si>
    <t>258/23 Bông Sao Phường 5</t>
  </si>
  <si>
    <t>ANDY OANH</t>
  </si>
  <si>
    <t>108/89/33/3 trần văn quang phường 10</t>
  </si>
  <si>
    <t>HD011758</t>
  </si>
  <si>
    <t>66/12/6 phan huy ích p tân sơn</t>
  </si>
  <si>
    <t>kh ck shop 975k</t>
  </si>
  <si>
    <t>Ng nhận Jen</t>
  </si>
  <si>
    <t>HD012102</t>
  </si>
  <si>
    <t>189/46a bạch đằng p3</t>
  </si>
  <si>
    <t>HD012038</t>
  </si>
  <si>
    <t>1007, Topaz 1, Saigon Pearl, 92 Nguyễn Hữu Cảnh, P Thạnh Mỹ Tây</t>
  </si>
  <si>
    <t>khả trinh</t>
  </si>
  <si>
    <t>HD012274</t>
  </si>
  <si>
    <t>82/17/20đinh tiên hoàng p1</t>
  </si>
  <si>
    <t>Lana Nguyễn</t>
  </si>
  <si>
    <t>HD012053</t>
  </si>
  <si>
    <t>T4 masteri thảo điền, 159 võ nguyên giáp, phường An Khánh</t>
  </si>
  <si>
    <t>khả my</t>
  </si>
  <si>
    <t>HD012319</t>
  </si>
  <si>
    <t>chung cư opal garden đường 20 hiệp bình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</si>
  <si>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</si>
  <si>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</si>
  <si>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</si>
  <si>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</si>
  <si>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</si>
  <si>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</si>
  <si>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</si>
  <si>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BN6352</t>
  </si>
  <si>
    <t>HD012154</t>
  </si>
  <si>
    <t>Name-Isabella</t>
  </si>
  <si>
    <t>494/1/12 Le Quang Dinh, P1</t>
  </si>
  <si>
    <t>Phuong truong</t>
  </si>
  <si>
    <t>TRANG TRẦN 2</t>
  </si>
  <si>
    <t>1122/23/7 quang trung phường 8</t>
  </si>
  <si>
    <t>Mr Thế minh tuệ</t>
  </si>
  <si>
    <t>HD012112</t>
  </si>
  <si>
    <t>Tháp B cc godview p1</t>
  </si>
  <si>
    <t>Yen Thi Kim Le</t>
  </si>
  <si>
    <t>HD012249</t>
  </si>
  <si>
    <t>549 Điện Biên Phủ bàn cờ</t>
  </si>
  <si>
    <t>HD012087</t>
  </si>
  <si>
    <t>HD012014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</si>
  <si>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</si>
  <si>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</si>
  <si>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</si>
  <si>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</si>
  <si>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</si>
  <si>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</si>
  <si>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</si>
  <si>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</si>
  <si>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</si>
  <si>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Thu Thuỷ (Kim Ngân)</t>
  </si>
  <si>
    <t>HD012209</t>
  </si>
  <si>
    <t>Công ty đà nẵng Post Địa chỉ: B106 Bạch Đằng, Phường 2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</si>
  <si>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</si>
  <si>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</si>
  <si>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</si>
  <si>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</si>
  <si>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</si>
  <si>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</si>
  <si>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</si>
  <si>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</si>
  <si>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</si>
  <si>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</si>
  <si>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</si>
  <si>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</si>
  <si>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Tú Như Lê Nguyễn</t>
  </si>
  <si>
    <t>HD012264</t>
  </si>
  <si>
    <t>195 Hùng Vương, P.An Đông (Q.5 cũ)</t>
  </si>
  <si>
    <t>HD012364</t>
  </si>
  <si>
    <t>HD012357</t>
  </si>
  <si>
    <t>28 Cù lao p. Cầu kiệu</t>
  </si>
  <si>
    <t>HD012352</t>
  </si>
  <si>
    <t>anh phước (đồ của chị yến)</t>
  </si>
  <si>
    <t>HD012080</t>
  </si>
  <si>
    <t>241 lên thánh tôn, p bến thành</t>
  </si>
  <si>
    <t>Yuri what's app</t>
  </si>
  <si>
    <t>2/13 Nguyễn Bặc, Phường 3</t>
  </si>
  <si>
    <t>at 17-04</t>
  </si>
  <si>
    <t>Mỹ Linh Đinh Nguyễn</t>
  </si>
  <si>
    <t>HD012432</t>
  </si>
  <si>
    <t>Toà S8.03 Origami, Vinhomes Grand Park, Long Bình</t>
  </si>
  <si>
    <t>18-04-2026</t>
  </si>
  <si>
    <t>Như Ý Ph</t>
  </si>
  <si>
    <t>HD012631</t>
  </si>
  <si>
    <t>S9.03 vinhomegrandpark, nguyễn xiển, p long binh</t>
  </si>
  <si>
    <t>Nga</t>
  </si>
  <si>
    <t>HD012433</t>
  </si>
  <si>
    <t>98/49/21 binh tri dong</t>
  </si>
  <si>
    <t>AT 18-04</t>
  </si>
  <si>
    <t>Thudena Nguyen</t>
  </si>
  <si>
    <t>HD012643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</si>
  <si>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</si>
  <si>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</si>
  <si>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</si>
  <si>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</si>
  <si>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</si>
  <si>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</si>
  <si>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</si>
  <si>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</si>
  <si>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</si>
  <si>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</si>
  <si>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</si>
  <si>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HD012600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</si>
  <si>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</si>
  <si>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</si>
  <si>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</si>
  <si>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</si>
  <si>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</si>
  <si>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</si>
  <si>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</si>
  <si>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</si>
  <si>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</si>
  <si>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lấy hàng về</t>
  </si>
  <si>
    <t>289/16 Nguyễn Thị Tú, P. An Lạc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</si>
  <si>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</si>
  <si>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</si>
  <si>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</si>
  <si>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</si>
  <si>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</si>
  <si>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Dương Triệu Mẫn</t>
  </si>
  <si>
    <t>HD012604</t>
  </si>
  <si>
    <t>730/126 lê đức thọ</t>
  </si>
  <si>
    <t>Nhận hộ fb Nguyễn Hà</t>
  </si>
  <si>
    <t>HD012452</t>
  </si>
  <si>
    <t>Tran Thi Thuy Trang</t>
  </si>
  <si>
    <t>HD012450</t>
  </si>
  <si>
    <t>184 nguyễn xí- cc Bắc Đinh Bộ Lĩnh - lô A82 căn cầu thang cuối cùng, Phường 26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</si>
  <si>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</si>
  <si>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</si>
  <si>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</si>
  <si>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</si>
  <si>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</si>
  <si>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</si>
  <si>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Người Nhận BN2705</t>
  </si>
  <si>
    <t>HD012519</t>
  </si>
  <si>
    <t>163 Trương Thị Hoa, phường Tân Thới Hiệp</t>
  </si>
  <si>
    <t>Thiên lý fb Mei Chan</t>
  </si>
  <si>
    <t>HD012624</t>
  </si>
  <si>
    <t>55 đường 18, khu phố 4, phường Hiệp Bình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</si>
  <si>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</si>
  <si>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</si>
  <si>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</si>
  <si>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</si>
  <si>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</si>
  <si>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</si>
  <si>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Ngọc Tường Vy</t>
  </si>
  <si>
    <t>HD012479</t>
  </si>
  <si>
    <t>326 Võ Văn Kiệt, P Cô Giang ( tòa nhà Samco)</t>
  </si>
  <si>
    <t>HD012451</t>
  </si>
  <si>
    <t>Vinhomes Golden River Aqua 2, Ton Duc Thang, ward Ben Nghe</t>
  </si>
  <si>
    <t>HD012640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</si>
  <si>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</si>
  <si>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</si>
  <si>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</si>
  <si>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</si>
  <si>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</si>
  <si>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</si>
  <si>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</si>
  <si>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Ellie Quach</t>
  </si>
  <si>
    <t>8A Sông thương, Phường 2</t>
  </si>
  <si>
    <t>Thanh Mai</t>
  </si>
  <si>
    <t>HD012480</t>
  </si>
  <si>
    <t>360 giải phóng, imperial p2</t>
  </si>
  <si>
    <t>Trần Huyền</t>
  </si>
  <si>
    <t>HD006209</t>
  </si>
  <si>
    <t>Số 27, Đường D5, Phường Tân Thuận Tây</t>
  </si>
  <si>
    <t>at 18-04</t>
  </si>
  <si>
    <t>3 đơn</t>
  </si>
  <si>
    <t>Isabella</t>
  </si>
  <si>
    <t>Tòa BS16 - The Oasis - Vinhomes Grand Park Beverly Solari BS16A</t>
  </si>
  <si>
    <t>20-04-2026</t>
  </si>
  <si>
    <t>linh</t>
  </si>
  <si>
    <t>T8-20 mahattan vinhomes grand park, phường long bình</t>
  </si>
  <si>
    <t>thùy linh</t>
  </si>
  <si>
    <t>HD012793</t>
  </si>
  <si>
    <t>Chung cư Richstar 1, sảnh RS4, hoà bình</t>
  </si>
  <si>
    <t>AT 20-04</t>
  </si>
  <si>
    <t>Mi Ni</t>
  </si>
  <si>
    <t>HD012826</t>
  </si>
  <si>
    <t>536/32/23 âu cơ</t>
  </si>
  <si>
    <t>Trần Thị Kim Phương</t>
  </si>
  <si>
    <t>HD012842</t>
  </si>
  <si>
    <t>1870\1\98\14a tỉnh lộ 10 tân tạo</t>
  </si>
  <si>
    <t>Dương Thị Cẩm Tú</t>
  </si>
  <si>
    <t>HD012868</t>
  </si>
  <si>
    <t>C60 khu dân cư tân an huy, nguyễn hữu thọ phước kiển</t>
  </si>
  <si>
    <t>Mai Thùy Phan</t>
  </si>
  <si>
    <t>HD012870</t>
  </si>
  <si>
    <t>822/45 hương lộ 2, Bình trị đông A</t>
  </si>
  <si>
    <t>Lê Thị Hải Linh</t>
  </si>
  <si>
    <t>HD012881</t>
  </si>
  <si>
    <t>103c vườn lài, an phú đông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</si>
  <si>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</si>
  <si>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</si>
  <si>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</si>
  <si>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</si>
  <si>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</si>
  <si>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</si>
  <si>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Kim Anh</t>
  </si>
  <si>
    <t>HD012961</t>
  </si>
  <si>
    <t>12/25/8 đông hưng thuận 31, p tân hưng thuận</t>
  </si>
  <si>
    <t>gặp Thủy fb Barbie Pham</t>
  </si>
  <si>
    <t>HD012975</t>
  </si>
  <si>
    <t>469 Nguyễn Hữu Thọ Tân Hưng</t>
  </si>
  <si>
    <t>Hồng Nguyễn</t>
  </si>
  <si>
    <t>HD012981</t>
  </si>
  <si>
    <t>621 Tân kỳ Tân quý phường bình hưng hòa</t>
  </si>
  <si>
    <t>Ha Pham</t>
  </si>
  <si>
    <t>HD012994</t>
  </si>
  <si>
    <t>A1.8.02 Diamond Alnata, Phường Sơn Kỳ</t>
  </si>
  <si>
    <t>HD013061</t>
  </si>
  <si>
    <t>Xuyến Huỳnh</t>
  </si>
  <si>
    <t>HD013082</t>
  </si>
  <si>
    <t>C7C/18D Ấp 4 Phạm Hùng,xã Bình Hưng</t>
  </si>
  <si>
    <t>Huy Bùi</t>
  </si>
  <si>
    <t>HD013115</t>
  </si>
  <si>
    <t>3070 Thái Phiên P9</t>
  </si>
  <si>
    <t>Yen Nhi</t>
  </si>
  <si>
    <t>HD013116</t>
  </si>
  <si>
    <t>Lô X1, Sunrise City North, 27 Nguyễn Hữu Thọ, Phường Tân Hưng</t>
  </si>
  <si>
    <t>Ngọc vẹn - fb Giau Ng</t>
  </si>
  <si>
    <t>HD013118</t>
  </si>
  <si>
    <t>D9/2A ấp 47 xã vĩnh lộc, đường võ văn vân</t>
  </si>
  <si>
    <t>Quyn Nguyễn</t>
  </si>
  <si>
    <t>HD013119</t>
  </si>
  <si>
    <t>Chung cư Emerald block C khu Celadon</t>
  </si>
  <si>
    <t>HD013126</t>
  </si>
  <si>
    <t>Ngọc diệp ak neo chung cư akari 77 đại lộ võ văn kiệt p an lạc</t>
  </si>
  <si>
    <t>Hang Mai</t>
  </si>
  <si>
    <t>HD013130</t>
  </si>
  <si>
    <t>Chung cư him lam chợ lớn Block b1 491 hậu giang p11</t>
  </si>
  <si>
    <t>Nhận hành giúp chị phương (ở Úc) fb Phương My</t>
  </si>
  <si>
    <t>HD013131</t>
  </si>
  <si>
    <t>126/5h song hành, tân hiệp</t>
  </si>
  <si>
    <t>lê xuân hiền (NG MO)</t>
  </si>
  <si>
    <t>HD013136</t>
  </si>
  <si>
    <t>565/30B1 Đường An Dương Vương, Khu Phố 6, Phường An Lạc A</t>
  </si>
  <si>
    <t>HD013141</t>
  </si>
  <si>
    <t>HD013157</t>
  </si>
  <si>
    <t>HD013215</t>
  </si>
  <si>
    <t>( anh truong )</t>
  </si>
  <si>
    <t>HD013224</t>
  </si>
  <si>
    <t>433/16 Lê đại hành, phường 11</t>
  </si>
  <si>
    <t>Nghi Thai Ngoc Minh</t>
  </si>
  <si>
    <t>HD013249</t>
  </si>
  <si>
    <t>40 dso 4, phường an lạc a</t>
  </si>
  <si>
    <t>Lisa Ng</t>
  </si>
  <si>
    <t>HD013259</t>
  </si>
  <si>
    <t>59 Phan Nhữ Tăng phường 4</t>
  </si>
  <si>
    <t>Phương Minh</t>
  </si>
  <si>
    <t>HD013312</t>
  </si>
  <si>
    <t>Chung cư sunrise River Side Phước Kiển</t>
  </si>
  <si>
    <t>Hoài Phương</t>
  </si>
  <si>
    <t>HD013407</t>
  </si>
  <si>
    <t>Lô A, tòa nhà Sunries riverside, nguyễn hữu thọ, phường phước kiểng</t>
  </si>
  <si>
    <t>HD013437</t>
  </si>
  <si>
    <t>82 lý phục man phường bình thuận (giao cho phòng 714)</t>
  </si>
  <si>
    <t>Dung Vo</t>
  </si>
  <si>
    <t>HD013451</t>
  </si>
  <si>
    <t>50 đường 18 khu dân cư phong Phú 4 xã phong Phú</t>
  </si>
  <si>
    <t>HD013461</t>
  </si>
  <si>
    <t>Chang Chang</t>
  </si>
  <si>
    <t>HD013495</t>
  </si>
  <si>
    <t>112-114 võ liêm sơn p4</t>
  </si>
  <si>
    <t>Cô Kiều</t>
  </si>
  <si>
    <t>HDC13049</t>
  </si>
  <si>
    <t>Hẻm 432/26 dương bá trạc p1</t>
  </si>
  <si>
    <t>Vy Nguyen</t>
  </si>
  <si>
    <t>HDC13086</t>
  </si>
  <si>
    <t>105 ba vân, phường 14</t>
  </si>
  <si>
    <t>nguyen le</t>
  </si>
  <si>
    <t>HD012809</t>
  </si>
  <si>
    <t>86 le van chi linh trung</t>
  </si>
  <si>
    <t>Nguyễn Hoàng Hoa</t>
  </si>
  <si>
    <t>HD012822</t>
  </si>
  <si>
    <t>208 Nguyễn Hữu Cảnh, phường 22 (Toà Landmark 4)</t>
  </si>
  <si>
    <t>( Người nhận: Hải Đăng )Tên : Elly - Đăng</t>
  </si>
  <si>
    <t>HD012835</t>
  </si>
  <si>
    <t>403 Tân Sơn, P12, Gò Vấp</t>
  </si>
  <si>
    <t>HD012837</t>
  </si>
  <si>
    <t>BN2422</t>
  </si>
  <si>
    <t>HD012937</t>
  </si>
  <si>
    <t>HD012952</t>
  </si>
  <si>
    <t>10 Tạ Hiện Cát Lái</t>
  </si>
  <si>
    <t>Trần Thoa</t>
  </si>
  <si>
    <t>HD012962</t>
  </si>
  <si>
    <t>vinhome central park-park 6 p22</t>
  </si>
  <si>
    <t>Mộng Cầm</t>
  </si>
  <si>
    <t>HD013467</t>
  </si>
  <si>
    <t>222 nguyễn văn đậu p11</t>
  </si>
  <si>
    <t>HD012979</t>
  </si>
  <si>
    <t>Huỳnh Tấn Phát</t>
  </si>
  <si>
    <t>HD012992</t>
  </si>
  <si>
    <t>413 phan văn trị, phường Hạnh Thông (tiệm vàng Hoàng Phát)</t>
  </si>
  <si>
    <t>Người nhận: Fb Khưu Mỹ Phương</t>
  </si>
  <si>
    <t>HD013056</t>
  </si>
  <si>
    <t>433/11/2 Lê Đức Thọ, Phường Gò Vấp (phường 17 cũ)</t>
  </si>
  <si>
    <t>Kiều My</t>
  </si>
  <si>
    <t>HD013079</t>
  </si>
  <si>
    <t>Chung cư one veradah số 2 bát nàn phường thạnh mỹ lợi</t>
  </si>
  <si>
    <t>0979794242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</si>
  <si>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</si>
  <si>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</si>
  <si>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</si>
  <si>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</si>
  <si>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</si>
  <si>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</si>
  <si>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</si>
  <si>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</si>
  <si>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Hoàng Duyên</t>
  </si>
  <si>
    <t>HD013096</t>
  </si>
  <si>
    <t>108 nguyễn văn khối phường 9</t>
  </si>
  <si>
    <t>HD013120</t>
  </si>
  <si>
    <t>Chung cư Empire city thủ thiêm, toa Tilia, đường D11</t>
  </si>
  <si>
    <t>Yen Ngo</t>
  </si>
  <si>
    <t>HD013121</t>
  </si>
  <si>
    <t>29/08 nguyen van dau phuong binh loi trung</t>
  </si>
  <si>
    <t>Chị Phương Anh</t>
  </si>
  <si>
    <t>HD013139</t>
  </si>
  <si>
    <t>53 đường số 10, phường An Lợi Đông</t>
  </si>
  <si>
    <t>chị thảo</t>
  </si>
  <si>
    <t>HD013144</t>
  </si>
  <si>
    <t>Lumiere Riverside- Toà Wes: 259 Đường Võ Nguyên Giáp, phường An Khánh</t>
  </si>
  <si>
    <t>HD013200</t>
  </si>
  <si>
    <t>HD013244</t>
  </si>
  <si>
    <t>Xuân Hương</t>
  </si>
  <si>
    <t>HD013261</t>
  </si>
  <si>
    <t>2/43 Đường Lê Thị Hồng, Phường 17</t>
  </si>
  <si>
    <t>Thuy Chu</t>
  </si>
  <si>
    <t>HD013266</t>
  </si>
  <si>
    <t>8 đường 61, bình trưng đông</t>
  </si>
  <si>
    <t>Vân Bùi</t>
  </si>
  <si>
    <t>HD013273</t>
  </si>
  <si>
    <t>Landmark plus, 720a điện biên phủ, Phường 22</t>
  </si>
  <si>
    <t>ELLY NGUYỄN - THẮM NGUYÊN</t>
  </si>
  <si>
    <t>HD013489</t>
  </si>
  <si>
    <t>120/3/11 Đặng Thùy Trâm, P13 ( CTY GIA HUY EXPRESS )</t>
  </si>
  <si>
    <t>Ái Vi</t>
  </si>
  <si>
    <t>HD013505</t>
  </si>
  <si>
    <t>91/3 nguyễn hữu cảnh</t>
  </si>
  <si>
    <t>HÀ VY</t>
  </si>
  <si>
    <t>482/10/26 nơ trang long, p13</t>
  </si>
  <si>
    <t>W2459</t>
  </si>
  <si>
    <t>W3309</t>
  </si>
  <si>
    <t>SUSI</t>
  </si>
  <si>
    <t>22, TÂN THỚI NHẤT 1B, phường Tân Thới Nhất</t>
  </si>
  <si>
    <t>San Sannn @qa20078E</t>
  </si>
  <si>
    <t>H0012983</t>
  </si>
  <si>
    <t>Bebe Hyn</t>
  </si>
  <si>
    <t>HD012679</t>
  </si>
  <si>
    <t>309/11 nguyễn văn trỗi, p1</t>
  </si>
  <si>
    <t>Dinh Luong</t>
  </si>
  <si>
    <t>HD012787</t>
  </si>
  <si>
    <t>246 nguyễn duy dương f4</t>
  </si>
  <si>
    <t>HIẾU (fb Huyen Nguyen)</t>
  </si>
  <si>
    <t>HD013009</t>
  </si>
  <si>
    <t>623/43 CMT8 p15</t>
  </si>
  <si>
    <t>gộp, shop chịu ship, kh ck shop 1140k</t>
  </si>
  <si>
    <t>HD012820</t>
  </si>
  <si>
    <t>gộp, shop chịu ship, kh ck shop 1060k</t>
  </si>
  <si>
    <t>Kami - fb Đan Khanh</t>
  </si>
  <si>
    <t>HD012832</t>
  </si>
  <si>
    <t>Chung cư DELASOL, căn A2.09.04, số 1 Tôn Thất Thuyết, P1</t>
  </si>
  <si>
    <t>Thảo My</t>
  </si>
  <si>
    <t>HD012879</t>
  </si>
  <si>
    <t>33 lê thánh tôn,p bến nghé</t>
  </si>
  <si>
    <t>Thu Tài Trần - Phù Thi</t>
  </si>
  <si>
    <t>HD012944</t>
  </si>
  <si>
    <t>121/11 lê thị riêng, phường bến thành</t>
  </si>
  <si>
    <t>ViNhi Sara</t>
  </si>
  <si>
    <t>HD013052</t>
  </si>
  <si>
    <t>702/45/28b điện biên phủ phường 10</t>
  </si>
  <si>
    <t>HD013145</t>
  </si>
  <si>
    <t>hsu_myat_tg</t>
  </si>
  <si>
    <t>HD013241</t>
  </si>
  <si>
    <t>2A/14, Nguyễn Thị Minh Khai, P. Đakao</t>
  </si>
  <si>
    <t>Tram Pham</t>
  </si>
  <si>
    <t>HD013256</t>
  </si>
  <si>
    <t>89 Phạm Văn Hai, P3</t>
  </si>
  <si>
    <t>Nhung Nguyễn</t>
  </si>
  <si>
    <t>HD013436</t>
  </si>
  <si>
    <t>314/2p điện biên phủ</t>
  </si>
  <si>
    <t>Dương Thị Xuân ft Danh Phu</t>
  </si>
  <si>
    <t>HD013485</t>
  </si>
  <si>
    <t>474/8 Phan Văn Trị F7 ( F.An Đông )</t>
  </si>
  <si>
    <t>Lona Loan</t>
  </si>
  <si>
    <t>HD013491</t>
  </si>
  <si>
    <t>120/15B Trần Quốc Thảo, P.Xuân Hòa (LSKIN BEAUTY &amp; SPA)</t>
  </si>
  <si>
    <t>HD13172</t>
  </si>
  <si>
    <t>REAK</t>
  </si>
  <si>
    <t>KIM LIÊN</t>
  </si>
  <si>
    <t>VVI EVA</t>
  </si>
  <si>
    <t>141 hùng vương phường 4</t>
  </si>
  <si>
    <t>Tên người nhận: Nguyễn Hoài Như</t>
  </si>
  <si>
    <t>HD013168</t>
  </si>
  <si>
    <t>Địa chỉ nhận hàng: CTY TNHH dong yun viet nam, 19 đại lộ tự do, bình hoà, thuận an, bình dương</t>
  </si>
  <si>
    <t>Hoàn Nguyễn</t>
  </si>
  <si>
    <t>HD013254</t>
  </si>
  <si>
    <t>17t9 trung hoà nhân chính ( mặt nguyễn thị thập) 0865816871</t>
  </si>
  <si>
    <t>Mail Anh</t>
  </si>
  <si>
    <t>HD013456</t>
  </si>
  <si>
    <t>đường Nguyễn Trãi tạp phúc yên tỉnh phú thọ ( cạnh công ty Nguyệtảnh )</t>
  </si>
  <si>
    <t>at 20-04</t>
  </si>
  <si>
    <t>Danh Hil</t>
  </si>
  <si>
    <t>HD013904</t>
  </si>
  <si>
    <t>33 đường D32 - Phường Phước Long B</t>
  </si>
  <si>
    <t>21-04-2026</t>
  </si>
  <si>
    <t>Hoa Trần</t>
  </si>
  <si>
    <t>HD013741</t>
  </si>
  <si>
    <t>tòa B chung cư 9 view, phường phước long</t>
  </si>
  <si>
    <t>Khả Thư</t>
  </si>
  <si>
    <t>HD013780</t>
  </si>
  <si>
    <t>Bs16 vinhomes grand park</t>
  </si>
  <si>
    <t>HD013924</t>
  </si>
  <si>
    <t>Phương</t>
  </si>
  <si>
    <t>HD012171</t>
  </si>
  <si>
    <t>Safira Khang Điền, 454 Võ Chí Công, Phú Hữu</t>
  </si>
  <si>
    <t>chị thu hà</t>
  </si>
  <si>
    <t>HD013418</t>
  </si>
  <si>
    <t>13 đường D1A, Khu dân cư Nam Long, Phước Long B</t>
  </si>
  <si>
    <t>HD013680</t>
  </si>
  <si>
    <t>Be1, the beverly vinhome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</si>
  <si>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</si>
  <si>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</si>
  <si>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</si>
  <si>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</si>
  <si>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</si>
  <si>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</si>
  <si>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</si>
  <si>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</si>
  <si>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</si>
  <si>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Ngọc Hoa</t>
  </si>
  <si>
    <t>HD013941</t>
  </si>
  <si>
    <t>149/19A bùi văn ngữ phường hiệp thành</t>
  </si>
  <si>
    <t>HD013747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</si>
  <si>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</si>
  <si>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</si>
  <si>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</si>
  <si>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</si>
  <si>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</si>
  <si>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</si>
  <si>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Võ Hạ My</t>
  </si>
  <si>
    <t>HD013637</t>
  </si>
  <si>
    <t>413/51 LÊ VĂN QUỚI, HÌNH TRỊ ĐÔNG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</si>
  <si>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</si>
  <si>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</si>
  <si>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</si>
  <si>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</si>
  <si>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</si>
  <si>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</si>
  <si>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</si>
  <si>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</si>
  <si>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</si>
  <si>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</si>
  <si>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</si>
  <si>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HD013425</t>
  </si>
  <si>
    <t>Linh Linh</t>
  </si>
  <si>
    <t>HD013326</t>
  </si>
  <si>
    <t>336 Long Phước, Khu Phố Long Thuận P.Long Phước</t>
  </si>
  <si>
    <t>HD013912</t>
  </si>
  <si>
    <t>307C, Thái Phiên, P9</t>
  </si>
  <si>
    <t>Nhã Thi</t>
  </si>
  <si>
    <t>HD013582</t>
  </si>
  <si>
    <t>833 Tỉnh Lộ 10, P. Bình Trị Đông B</t>
  </si>
  <si>
    <t>HD013748</t>
  </si>
  <si>
    <t>chị Vân ft Dương Huỳnh Như</t>
  </si>
  <si>
    <t>HD013756</t>
  </si>
  <si>
    <t>số nhà 99 Hà Đặc, p. trung mỹ tây, quán cafe cây Xoài</t>
  </si>
  <si>
    <t>Ivy Nguyen</t>
  </si>
  <si>
    <t>HD013558</t>
  </si>
  <si>
    <t>117 bãi sậy p1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</si>
  <si>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</si>
  <si>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</si>
  <si>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</si>
  <si>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</si>
  <si>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</si>
  <si>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</si>
  <si>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</si>
  <si>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</si>
  <si>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</si>
  <si>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HD013619</t>
  </si>
  <si>
    <t>Nguyễn Minh Hải (Bow)</t>
  </si>
  <si>
    <t>17 Đường Số 13 Bình Hưng Hòa</t>
  </si>
  <si>
    <t>Mai Huyền Trang</t>
  </si>
  <si>
    <t>HD013781</t>
  </si>
  <si>
    <t>720 điện biên phủ p22 Landmark6 vinhomes Central</t>
  </si>
  <si>
    <t>HD13549</t>
  </si>
  <si>
    <t>163 Trương Thị Hoa, P. Tân Thới Hiệp</t>
  </si>
  <si>
    <t>Đan Linh</t>
  </si>
  <si>
    <t>HD513713</t>
  </si>
  <si>
    <t>the opera số 05 đường D6, Phường An Khánh (trước đây là P. Thủ Thiêm)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</si>
  <si>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</si>
  <si>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</si>
  <si>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</si>
  <si>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</si>
  <si>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</si>
  <si>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Ngân Châu</t>
  </si>
  <si>
    <t>HD013472</t>
  </si>
  <si>
    <t>207c Nguyễn xí p26</t>
  </si>
  <si>
    <t>HD013677</t>
  </si>
  <si>
    <t>Trương Ngọc Diệu</t>
  </si>
  <si>
    <t>HD013907</t>
  </si>
  <si>
    <t>383 nguyễn duy trinh, phường bình trưng tây</t>
  </si>
  <si>
    <t>HD013352</t>
  </si>
  <si>
    <t>HOÀNG ANH</t>
  </si>
  <si>
    <t>181/12 Tam Châu tam bình</t>
  </si>
  <si>
    <t>Thuy Thuy</t>
  </si>
  <si>
    <t>HD013778</t>
  </si>
  <si>
    <t>58E cao thắng,p5 (Viện chăm sóc da aperio)</t>
  </si>
  <si>
    <t>HD013676</t>
  </si>
  <si>
    <t>HD013683</t>
  </si>
  <si>
    <t>Nhiew (FB Proud 'Pround)</t>
  </si>
  <si>
    <t>HD013575</t>
  </si>
  <si>
    <t>39 Đường Trần Quốc Hoàn, P. 4</t>
  </si>
  <si>
    <t>HD013482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</si>
  <si>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</si>
  <si>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</si>
  <si>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</si>
  <si>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</si>
  <si>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</si>
  <si>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</si>
  <si>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kh ck shop 815k</t>
  </si>
  <si>
    <t>Hoàng Nguyễn</t>
  </si>
  <si>
    <t>HDO13614</t>
  </si>
  <si>
    <t>133/26 Huỳnh Mẫn Đạt Phường An Đông</t>
  </si>
  <si>
    <t>HD013527</t>
  </si>
  <si>
    <t>HD013671</t>
  </si>
  <si>
    <t>193 hoàng văn thụ</t>
  </si>
  <si>
    <t>Nitaya Nhi Nguyên</t>
  </si>
  <si>
    <t>HD013612</t>
  </si>
  <si>
    <t>92/22/8c tôn thất thuyết, khu phố 14, phường xóm chiếu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</si>
  <si>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</si>
  <si>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</si>
  <si>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</si>
  <si>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</si>
  <si>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</si>
  <si>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</si>
  <si>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Tống Mỹ Linh</t>
  </si>
  <si>
    <t>HD013231</t>
  </si>
  <si>
    <t>Toà C cc Delasol số 1 Tôn Thất thuyết p1</t>
  </si>
  <si>
    <t>Ngọc Hơn</t>
  </si>
  <si>
    <t>HD013329</t>
  </si>
  <si>
    <t>Trà ngoa, trà côn, trà ôn, Vĩnh Long</t>
  </si>
  <si>
    <t>at 21-04</t>
  </si>
  <si>
    <t>Danh Híi</t>
  </si>
  <si>
    <t>HD014321</t>
  </si>
  <si>
    <t>33 đường D32 - Phước Long B</t>
  </si>
  <si>
    <t>22-04-2026</t>
  </si>
  <si>
    <t>Thiên Nga</t>
  </si>
  <si>
    <t>HD014188</t>
  </si>
  <si>
    <t>S5.02 Vinhomes grand park, Nguyễn Xiển, Long Mỹ</t>
  </si>
  <si>
    <t>Nguyễn Thuỳ Linh</t>
  </si>
  <si>
    <t>HD014325</t>
  </si>
  <si>
    <t>Nắng spa sảnh S803, vinhome grand park, p. Long Thạnh Mỹ</t>
  </si>
  <si>
    <t>Nguyễn Vi</t>
  </si>
  <si>
    <t>HD013674</t>
  </si>
  <si>
    <t>L21 Park riverside, đường bưng ông thoàn Phường phú hữu (long trường)</t>
  </si>
  <si>
    <t>Ngọc Huyền</t>
  </si>
  <si>
    <t>HD013956</t>
  </si>
  <si>
    <t>vinhome grand park - khu rain bow - sảnh s1.06 nguyễn xiển, p long bình</t>
  </si>
  <si>
    <t>Ánh Vy</t>
  </si>
  <si>
    <t>HD013979</t>
  </si>
  <si>
    <t>688/23/12 Hương Lộ 2, P. Bình Trị Đông A</t>
  </si>
  <si>
    <t>AT 22-04</t>
  </si>
  <si>
    <t>HD013961</t>
  </si>
  <si>
    <t>Bùi Khánh Ngọc</t>
  </si>
  <si>
    <t>HD014022</t>
  </si>
  <si>
    <t>Cc River Panorama 20 Lê Thị Chợ phường Phú Thuận</t>
  </si>
  <si>
    <t>HD014272</t>
  </si>
  <si>
    <t>HD014224</t>
  </si>
  <si>
    <t>69 phổ tiểu nam, p. Tân Phú</t>
  </si>
  <si>
    <t>HD013988</t>
  </si>
  <si>
    <t>765 Hồng bằng chung cư dhome</t>
  </si>
  <si>
    <t>TRÚC ST034</t>
  </si>
  <si>
    <t>HD014057</t>
  </si>
  <si>
    <t>Ngan Huyen</t>
  </si>
  <si>
    <t>HD014211</t>
  </si>
  <si>
    <t>F5/29D vĩnh lộc A</t>
  </si>
  <si>
    <t>HD014092</t>
  </si>
  <si>
    <t>Hạ Mi</t>
  </si>
  <si>
    <t>HD014049</t>
  </si>
  <si>
    <t>Sunrise Riverside block C Phước Kiển</t>
  </si>
  <si>
    <t>Thu Thuỷ</t>
  </si>
  <si>
    <t>HD014059</t>
  </si>
  <si>
    <t>CHEATA</t>
  </si>
  <si>
    <t>CHÀNH XE PHY PHY</t>
  </si>
  <si>
    <t>Gia Anh</t>
  </si>
  <si>
    <t>HD014090</t>
  </si>
  <si>
    <t>Landmark Plus - Vinhome Central Park, Số 720, Điện Biên Phủ, Phường 22</t>
  </si>
  <si>
    <t>HD013970</t>
  </si>
  <si>
    <t>HD014053</t>
  </si>
  <si>
    <t>HD014084</t>
  </si>
  <si>
    <t>Thảo Nguyên Sarah</t>
  </si>
  <si>
    <t>HD014051</t>
  </si>
  <si>
    <t>199/57A1 lê quang định p7</t>
  </si>
  <si>
    <t>HD014178</t>
  </si>
  <si>
    <t>Miko fb Giàu Ngọc</t>
  </si>
  <si>
    <t>HD013962</t>
  </si>
  <si>
    <t>841/4 quốc lộ 13 hiệp bình phước</t>
  </si>
  <si>
    <t>Hoa Cây Cà</t>
  </si>
  <si>
    <t>HD014107</t>
  </si>
  <si>
    <t>36 đường 40 kết vạn phúc, hiệp bình phước</t>
  </si>
  <si>
    <t>thảo - fb Hang Bui</t>
  </si>
  <si>
    <t>HD014323</t>
  </si>
  <si>
    <t>36/42/2 đường số 4, kp6, hiệp bình phước</t>
  </si>
  <si>
    <t>HD014195</t>
  </si>
  <si>
    <t>chung cư flora novia, block b phạm văn đồng, an bình</t>
  </si>
  <si>
    <t>Nguyễn Duy</t>
  </si>
  <si>
    <t>HD013999</t>
  </si>
  <si>
    <t>99/13 trần bình trọng p1</t>
  </si>
  <si>
    <t>HD014087</t>
  </si>
  <si>
    <t>160/7 bùi đinh túy,p12</t>
  </si>
  <si>
    <t>Đặng Phạm Hương Giang</t>
  </si>
  <si>
    <t>HD014112</t>
  </si>
  <si>
    <t>128/18 lê đức thọ, phường an nhơn</t>
  </si>
  <si>
    <t>NABY 22</t>
  </si>
  <si>
    <t>90/35 Trần Văn Ơn, phường Tân Sơn Nhì</t>
  </si>
  <si>
    <t>VERISKA (YAYANG) - ROOM 104</t>
  </si>
  <si>
    <t>HD014162</t>
  </si>
  <si>
    <t>Saigon Europe Hotel, Số 207 đường Đề Thám, phường bến Thành</t>
  </si>
  <si>
    <t>Quỳnh Vi</t>
  </si>
  <si>
    <t>HD014111</t>
  </si>
  <si>
    <t>40/4 nguyễn văn đậu p5</t>
  </si>
  <si>
    <t>Sam Meo</t>
  </si>
  <si>
    <t>HD014212</t>
  </si>
  <si>
    <t>81 Tân Sơn hòa p2</t>
  </si>
  <si>
    <t>CUS19950/pepanhaketya</t>
  </si>
  <si>
    <t>HD014360</t>
  </si>
  <si>
    <t>KIM YẾN ( mụi mụi)</t>
  </si>
  <si>
    <t>HD013983</t>
  </si>
  <si>
    <t>Tk24c/16 Nguyễn cảnh chân thường cầu ông lãnh</t>
  </si>
  <si>
    <t>Kim Ju CUS One Eight Zero Six Seven</t>
  </si>
  <si>
    <t>HD014008</t>
  </si>
  <si>
    <t>HD014007</t>
  </si>
  <si>
    <t>Nguyễn Thư</t>
  </si>
  <si>
    <t>HD014056</t>
  </si>
  <si>
    <t>39 hồ hảo hớn, P. Cô Giang</t>
  </si>
  <si>
    <t>Nguyễn Minh Anhh</t>
  </si>
  <si>
    <t>HD014302</t>
  </si>
  <si>
    <t>385b3 nguyen trai</t>
  </si>
  <si>
    <t>Tô Tô</t>
  </si>
  <si>
    <t>HD013964</t>
  </si>
  <si>
    <t>46 Lê Thị Riêng, phường Bến Thành</t>
  </si>
  <si>
    <t>Ngân Kim Lê</t>
  </si>
  <si>
    <t>HD013991</t>
  </si>
  <si>
    <t>90 trần đình xu, phường Cầu Ông Lãnh</t>
  </si>
  <si>
    <t>Somas dothing (insta soma_clothing21)</t>
  </si>
  <si>
    <t>HD014291</t>
  </si>
  <si>
    <t>HD013989</t>
  </si>
  <si>
    <t>Đỗ Thảo</t>
  </si>
  <si>
    <t>HD014221</t>
  </si>
  <si>
    <t>80a bến vân đồn p9</t>
  </si>
  <si>
    <t>Sokhavy Room 205</t>
  </si>
  <si>
    <t>HD013992</t>
  </si>
  <si>
    <t>A25 luxury hotel 277B Le Thanh Ton, Ben Thanh ward</t>
  </si>
  <si>
    <t>kh ck shop 475k</t>
  </si>
  <si>
    <t>Thanh Vy Le</t>
  </si>
  <si>
    <t>HD014227</t>
  </si>
  <si>
    <t>42/10 Tôn Thất Thiệp, phường Bến Nghé</t>
  </si>
  <si>
    <t>Thùy Dung</t>
  </si>
  <si>
    <t>HD014274</t>
  </si>
  <si>
    <t>Chung cư Hà Đô iris3, đường 3/2, phường 12</t>
  </si>
  <si>
    <t>Ín Nile</t>
  </si>
  <si>
    <t>HD014086</t>
  </si>
  <si>
    <t>429/1 nguyễn kiệm p9</t>
  </si>
  <si>
    <t>Nguyễn Uyên</t>
  </si>
  <si>
    <t>HD014061</t>
  </si>
  <si>
    <t>525/44 tô hiến thành p diên hồng</t>
  </si>
  <si>
    <t>TOM AG</t>
  </si>
  <si>
    <t>12 HỒ VĂN HUÊ PHƯỜNG 9</t>
  </si>
  <si>
    <t>at 22-04</t>
  </si>
  <si>
    <t>HD014529</t>
  </si>
  <si>
    <t>Bs16a The oasis Vinhomes grand park ( Phước Thiện Long Bình)</t>
  </si>
  <si>
    <t>23-04-2026</t>
  </si>
  <si>
    <t>Ái</t>
  </si>
  <si>
    <t>HD014697</t>
  </si>
  <si>
    <t>265 lý tự trọng</t>
  </si>
  <si>
    <t>AT 23-04</t>
  </si>
  <si>
    <t>HD014543</t>
  </si>
  <si>
    <t>Huyền Trinh</t>
  </si>
  <si>
    <t>HD014739</t>
  </si>
  <si>
    <t>69 phố tiểu nam, phường tân phú</t>
  </si>
  <si>
    <t>HD014714</t>
  </si>
  <si>
    <t>Xuân Anh</t>
  </si>
  <si>
    <t>HD014688</t>
  </si>
  <si>
    <t>18/23 đường 266 Bùi Minh Trực P6</t>
  </si>
  <si>
    <t>fb Thuyền Quyên</t>
  </si>
  <si>
    <t>HD014695</t>
  </si>
  <si>
    <t>688/23/1C hương lộ 2, phường bình trị đông A</t>
  </si>
  <si>
    <t>HD014415</t>
  </si>
  <si>
    <t>Thanh Trần</t>
  </si>
  <si>
    <t>HD014525</t>
  </si>
  <si>
    <t>23 Đ. Phú Thuận, Phú Thuận , hcm Sunshine Sky City sảnh A1</t>
  </si>
  <si>
    <t>HD014666</t>
  </si>
  <si>
    <t>HD000100</t>
  </si>
  <si>
    <t>Chung cư Tecco, block C, đường Nguyễn Cửu Phủ, phường Tân Tạo</t>
  </si>
  <si>
    <t>Quế Anh Đỗ</t>
  </si>
  <si>
    <t>HD014655</t>
  </si>
  <si>
    <t>chung cư de la sol</t>
  </si>
  <si>
    <t>Nhận hàng giúp chị phương (ở Úc) fb Phương My</t>
  </si>
  <si>
    <t>HD014448</t>
  </si>
  <si>
    <t>Tên Nhi fb Kim Khoa</t>
  </si>
  <si>
    <t>HD014404</t>
  </si>
  <si>
    <t>275A phạm ngũ lão phường phạm ngũ lão</t>
  </si>
  <si>
    <t>Phẩm Huỳnh</t>
  </si>
  <si>
    <t>HD014565</t>
  </si>
  <si>
    <t>84 phạm Hồng thái phường bến thành</t>
  </si>
  <si>
    <t>Trang Lâm</t>
  </si>
  <si>
    <t>HD014526</t>
  </si>
  <si>
    <t>1806/45/20/10 huỳnh tấn phát</t>
  </si>
  <si>
    <t>HD014694</t>
  </si>
  <si>
    <t>Tran Huyen Thuong</t>
  </si>
  <si>
    <t>HD014171</t>
  </si>
  <si>
    <t>422 đào trí shunshine diamond</t>
  </si>
  <si>
    <t>Anie Nguyen</t>
  </si>
  <si>
    <t>HD014598</t>
  </si>
  <si>
    <t>C3B/124 ấp 3B Vĩnh Lộc B, hẻm Tiến Long chạy vào quẹo hẻm 2 tay phải, xã Vĩnh Lộc B</t>
  </si>
  <si>
    <t>amy doan</t>
  </si>
  <si>
    <t>HD014399</t>
  </si>
  <si>
    <t>36/18 dương đức thiền tây thạnh</t>
  </si>
  <si>
    <t>chip chip</t>
  </si>
  <si>
    <t>HD014665</t>
  </si>
  <si>
    <t>71/16 thới an 16</t>
  </si>
  <si>
    <t>HD014594</t>
  </si>
  <si>
    <t>HD014669</t>
  </si>
  <si>
    <t>Saigon Royal Res cences,Nguyễn Trường Tộ, phường 13</t>
  </si>
  <si>
    <t>Châu Trần</t>
  </si>
  <si>
    <t>HD014449</t>
  </si>
  <si>
    <t>số 3 hoà bình phường bình thới</t>
  </si>
  <si>
    <t>HD014600</t>
  </si>
  <si>
    <t>HD014497</t>
  </si>
  <si>
    <t>Phương Linh fb Lê Hoàng Sang</t>
  </si>
  <si>
    <t>HD014346</t>
  </si>
  <si>
    <t>22-24 Thi Sách, Bến Nghế</t>
  </si>
  <si>
    <t>Kim Anh Phạm Nguyễn</t>
  </si>
  <si>
    <t>HD014381</t>
  </si>
  <si>
    <t>240/38/4 Tô ngọc vân, phường Thạnh Xuân</t>
  </si>
  <si>
    <t>Huong, A20.08</t>
  </si>
  <si>
    <t>HD014420</t>
  </si>
  <si>
    <t>CC Tân Phước lỗ a 153 Lý Thường Kiệt, Phường 7</t>
  </si>
  <si>
    <t>NG MY</t>
  </si>
  <si>
    <t>HD014515</t>
  </si>
  <si>
    <t>182 phú thọ hoa phường phú thọ hoa</t>
  </si>
  <si>
    <t>Hoàng Thanh Hiền</t>
  </si>
  <si>
    <t>HD014608</t>
  </si>
  <si>
    <t>5 đương số 8 bình thuận</t>
  </si>
  <si>
    <t>Van Anh</t>
  </si>
  <si>
    <t>HD014468</t>
  </si>
  <si>
    <t>2/1a quốc lộ 1a, tân chánh hiệp</t>
  </si>
  <si>
    <t>HD014726</t>
  </si>
  <si>
    <t>Vy - hàng của hồng</t>
  </si>
  <si>
    <t>HD014730</t>
  </si>
  <si>
    <t>8y Lạc Long Quân, P. Hòa Bình</t>
  </si>
  <si>
    <t>Carol Phuong Trinh</t>
  </si>
  <si>
    <t>HD014685</t>
  </si>
  <si>
    <t>156/3 Nguyễn Văn Linh phường Tân Thuận Tây</t>
  </si>
  <si>
    <t>Người nhận chuột</t>
  </si>
  <si>
    <t>HD014672</t>
  </si>
  <si>
    <t>Thu Tài Trần - Phù Thỉ</t>
  </si>
  <si>
    <t>HD014684</t>
  </si>
  <si>
    <t>Trúc Phương</t>
  </si>
  <si>
    <t>HD014191</t>
  </si>
  <si>
    <t>Chung cư Citiesto, cát lái</t>
  </si>
  <si>
    <t>W3235</t>
  </si>
  <si>
    <t>HD014374</t>
  </si>
  <si>
    <t>Như Hảo</t>
  </si>
  <si>
    <t>HD014400</t>
  </si>
  <si>
    <t>15 dương 26 linh đông</t>
  </si>
  <si>
    <t>Linh Phạm</t>
  </si>
  <si>
    <t>HD014734</t>
  </si>
  <si>
    <t>304/66/3E bùi đình tuý, p12</t>
  </si>
  <si>
    <t>Ngân</t>
  </si>
  <si>
    <t>HD014686</t>
  </si>
  <si>
    <t>Landmark Plus, 208 Nguyễn Hữu Cảnh, phường 22</t>
  </si>
  <si>
    <t>Xiabao</t>
  </si>
  <si>
    <t>HD014094</t>
  </si>
  <si>
    <t>375 Tân thới hiệp 21, Tổ 3</t>
  </si>
  <si>
    <t>Thu Hà</t>
  </si>
  <si>
    <t>HD014340</t>
  </si>
  <si>
    <t>61/8 đường 23 hiệp bình Chánh</t>
  </si>
  <si>
    <t>Charli (inst char importshop )-BN2441</t>
  </si>
  <si>
    <t>HD014661</t>
  </si>
  <si>
    <t>Thị Bi</t>
  </si>
  <si>
    <t>HD014615</t>
  </si>
  <si>
    <t>86/36/3 PHỔ QUANG, PHƯỜNG TÂN SƠN HOÀ</t>
  </si>
  <si>
    <t>Hoài An ft Ann Nguyen</t>
  </si>
  <si>
    <t>HD014716</t>
  </si>
  <si>
    <t>Toà S5, chung cư the Sun Avenue 28 Mai Chí Thọ, P.Bình Trưng</t>
  </si>
  <si>
    <t>Mỹ Hạnh</t>
  </si>
  <si>
    <t>HD014717</t>
  </si>
  <si>
    <t>448/65/2 Phan Huy Ích P.12</t>
  </si>
  <si>
    <t>Ngọc fb Nga Nguyenn</t>
  </si>
  <si>
    <t>HD014668</t>
  </si>
  <si>
    <t>434/20/14 Phạm Văn Chiêu Phường 9</t>
  </si>
  <si>
    <t>Trần Phượng Liên</t>
  </si>
  <si>
    <t>HD014498</t>
  </si>
  <si>
    <t>207/9 nguyễn văn khôi p8</t>
  </si>
  <si>
    <t>Ngọc Vinh</t>
  </si>
  <si>
    <t>HD014488</t>
  </si>
  <si>
    <t>17-19 Trường Sơn P4</t>
  </si>
  <si>
    <t>Hoàng An</t>
  </si>
  <si>
    <t>HD014524</t>
  </si>
  <si>
    <t>47/3 trần bình trọng</t>
  </si>
  <si>
    <t>Cuc Nguyen</t>
  </si>
  <si>
    <t>HD014696</t>
  </si>
  <si>
    <t>Block b, 102 đặng văn bi, bình thọ</t>
  </si>
  <si>
    <t>Hong Nho+Nguyễn Thị Diễm Chi</t>
  </si>
  <si>
    <t>29/7 Yên Thế, Phường 2</t>
  </si>
  <si>
    <t>BN8823</t>
  </si>
  <si>
    <t>482/10/26 nơ trang Long, p13</t>
  </si>
  <si>
    <t>Pidor 012736103</t>
  </si>
  <si>
    <t>HD013727</t>
  </si>
  <si>
    <t>NHÀ XE KHẢI NAM</t>
  </si>
  <si>
    <t>at 23-04</t>
  </si>
  <si>
    <t>THÁNG 4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</si>
  <si>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</si>
  <si>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</si>
  <si>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</si>
  <si>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</si>
  <si>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</si>
  <si>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</si>
  <si>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</si>
  <si>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</si>
  <si>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</si>
  <si>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Ngọc Hồng Thương</t>
  </si>
  <si>
    <t>HD014885</t>
  </si>
  <si>
    <t>51 đường 81 tân quy</t>
  </si>
  <si>
    <t>AT 24-04</t>
  </si>
  <si>
    <t>24-04-2026</t>
  </si>
  <si>
    <t>Nguyễn Kim Hằng,</t>
  </si>
  <si>
    <t>HD015065</t>
  </si>
  <si>
    <t>A22/5 phạm thế hiển p3</t>
  </si>
  <si>
    <t>Họ Yen</t>
  </si>
  <si>
    <t>HD014983</t>
  </si>
  <si>
    <t>Toà Central 2, Vinhomes Central Park, số 208 Nguyễn Hữu Cảnh, phường 22</t>
  </si>
  <si>
    <t>HD015027</t>
  </si>
  <si>
    <t>36 đường 40 kdt vạn phúc, hiệp bình phước</t>
  </si>
  <si>
    <t>Hiền Hoàng</t>
  </si>
  <si>
    <t>HD015189</t>
  </si>
  <si>
    <t>208 nguyễn hữu cảnh p22 - landmark 3</t>
  </si>
  <si>
    <t>HD015129</t>
  </si>
  <si>
    <t>Thủy Ngọc Võ</t>
  </si>
  <si>
    <t>HD015166</t>
  </si>
  <si>
    <t>Thuương</t>
  </si>
  <si>
    <t>HD014951</t>
  </si>
  <si>
    <t>32/50 đường số 5, Bình Hưng Hoà</t>
  </si>
  <si>
    <t>HD014899</t>
  </si>
  <si>
    <t>HD014866</t>
  </si>
  <si>
    <t>132 bến vân đồn p9</t>
  </si>
  <si>
    <t>Thơm Thơm</t>
  </si>
  <si>
    <t>HD015104</t>
  </si>
  <si>
    <t>119 nguyễn văn công p. Hạnh Thông</t>
  </si>
  <si>
    <t>Tu Chi Tien</t>
  </si>
  <si>
    <t>HD015173</t>
  </si>
  <si>
    <t>41 trần quy khoách tân định</t>
  </si>
  <si>
    <t>Phạm T.Thảo</t>
  </si>
  <si>
    <t>HD015179</t>
  </si>
  <si>
    <t>63 dương bá trạc p.rạch ông</t>
  </si>
  <si>
    <t>HD014919</t>
  </si>
  <si>
    <t>Hằng Nhi</t>
  </si>
  <si>
    <t>HD014563</t>
  </si>
  <si>
    <t>đường số 104 brillant tower 3 1206 cc đảo kim cương bình trưng tây</t>
  </si>
  <si>
    <t>HD015199</t>
  </si>
  <si>
    <t>HD015161</t>
  </si>
  <si>
    <t>Lê Tuyết Nhi</t>
  </si>
  <si>
    <t>HD015201</t>
  </si>
  <si>
    <t>8/14 Trịnh Đình Thảo, Hoà Thạnh</t>
  </si>
  <si>
    <t>An Vi</t>
  </si>
  <si>
    <t>HD014867</t>
  </si>
  <si>
    <t>139/1 dạ nam phường 3</t>
  </si>
  <si>
    <t>Hải Dương</t>
  </si>
  <si>
    <t>HD014950</t>
  </si>
  <si>
    <t>Chung Cư số 1 Tôn Thất Thuyết Lô M1.613</t>
  </si>
  <si>
    <t>CUS19950/pe panhaketya</t>
  </si>
  <si>
    <t>HD015159</t>
  </si>
  <si>
    <t>HD015214</t>
  </si>
  <si>
    <t>Nguyễn Thị Bích Huyền</t>
  </si>
  <si>
    <t>HD015022</t>
  </si>
  <si>
    <t>Sunrise lô D Nguyễn hữa thọ, Xã Phước Kiển</t>
  </si>
  <si>
    <t>Nguyen Thi Thu Trang</t>
  </si>
  <si>
    <t>HD014831</t>
  </si>
  <si>
    <t>13 đường số 3, Khu dân cư phước kiển A, Lê Văn Lương</t>
  </si>
  <si>
    <t>bảo bảo fb Phương Phương</t>
  </si>
  <si>
    <t>HD015165</t>
  </si>
  <si>
    <t>132 bến vân đồn p6</t>
  </si>
  <si>
    <t>HD015008</t>
  </si>
  <si>
    <t>Thý An</t>
  </si>
  <si>
    <t>HD014870</t>
  </si>
  <si>
    <t>306 Nguyễn thiện thuật phường 3</t>
  </si>
  <si>
    <t>Trần Lê Trâm Anh</t>
  </si>
  <si>
    <t>HD015267</t>
  </si>
  <si>
    <t>179/13A hoà bình Phường Hiệp Tân</t>
  </si>
  <si>
    <t>Xuân Phát tiktok @xuanphat94</t>
  </si>
  <si>
    <t>HD015085</t>
  </si>
  <si>
    <t>B214bis đường đông hưng thuận 1, phường đông hưng thuận</t>
  </si>
  <si>
    <t>HD015068</t>
  </si>
  <si>
    <t>Phương Quỳnh</t>
  </si>
  <si>
    <t>HD014884</t>
  </si>
  <si>
    <t>6D đường số 2B, Khu Phố 9, Bình Hưng Hòa A</t>
  </si>
  <si>
    <t>HD014965</t>
  </si>
  <si>
    <t>Hà Gia Mẫn</t>
  </si>
  <si>
    <t>HD015024</t>
  </si>
  <si>
    <t>Tk22/26 Nguyễn cảnh chân- cầu ông lãnh</t>
  </si>
  <si>
    <t>Nhớ Nhớ</t>
  </si>
  <si>
    <t>HD015170</t>
  </si>
  <si>
    <t>Sài gòn Mia block A đường 9a khu trung sơn bình hưng</t>
  </si>
  <si>
    <t>HD015010</t>
  </si>
  <si>
    <t>The Sun Avenue S3-Mai Chí thọ</t>
  </si>
  <si>
    <t>HD015082</t>
  </si>
  <si>
    <t>gộp, kh ck shop 865k</t>
  </si>
  <si>
    <t>Nhã Phương</t>
  </si>
  <si>
    <t>HD015029</t>
  </si>
  <si>
    <t>26/2 đường 59 p14</t>
  </si>
  <si>
    <t>Tuyết Nhi</t>
  </si>
  <si>
    <t>HD014894</t>
  </si>
  <si>
    <t>Block d2, chung cư sài gòn riverside (số 4 đào trí, phú thuận)</t>
  </si>
  <si>
    <t>HD014972</t>
  </si>
  <si>
    <t>HD015158</t>
  </si>
  <si>
    <t>Ngọc Phượng</t>
  </si>
  <si>
    <t>HD014928</t>
  </si>
  <si>
    <t>The grand midtown m5 đường số 16 p. Tân Phú</t>
  </si>
  <si>
    <t>HD015089</t>
  </si>
  <si>
    <t>HD014764</t>
  </si>
  <si>
    <t>116a đường số 16 p tân quy</t>
  </si>
  <si>
    <t>Thanh Hà Phạm</t>
  </si>
  <si>
    <t>HD015051</t>
  </si>
  <si>
    <t>29/15 yên thế, p2</t>
  </si>
  <si>
    <t>Yen Nguyen</t>
  </si>
  <si>
    <t>HD015181</t>
  </si>
  <si>
    <t>92g nguyễn hữu cảnh, phường 22</t>
  </si>
  <si>
    <t>fb Trang Nguyen</t>
  </si>
  <si>
    <t>HD015080</t>
  </si>
  <si>
    <t>452/ G33 Phan Văn trị phường 7 Công ty chuyển phát nhanh quốc tế Bm ViNa</t>
  </si>
  <si>
    <t>Trang Nhung</t>
  </si>
  <si>
    <t>HD015083</t>
  </si>
  <si>
    <t>Chung cư Hà độ toà orchid 2</t>
  </si>
  <si>
    <t>Nguyễn Hồng Nga</t>
  </si>
  <si>
    <t>HD014904</t>
  </si>
  <si>
    <t>104/12 Nguyễn Trọng Tuyển, P15</t>
  </si>
  <si>
    <t>HD015264</t>
  </si>
  <si>
    <t>179/13A hoà bình</t>
  </si>
  <si>
    <t>Nguyễn Hương Giang</t>
  </si>
  <si>
    <t>HD015198</t>
  </si>
  <si>
    <t>1702 Quang Trung, P.10</t>
  </si>
  <si>
    <t>Nguyễn Kim Ngân</t>
  </si>
  <si>
    <t>HD014871</t>
  </si>
  <si>
    <t>Lavida Plus, Nguyễn Văi Linh, Tân Phong</t>
  </si>
  <si>
    <t>Ny</t>
  </si>
  <si>
    <t>HD015044</t>
  </si>
  <si>
    <t>301 Phuong Pham Ngu Lao Street, District 1</t>
  </si>
  <si>
    <t>HD015180</t>
  </si>
  <si>
    <t>HD014918</t>
  </si>
  <si>
    <t>mai chí thọ phường an phú Cc lexington block B</t>
  </si>
  <si>
    <t>HD015247</t>
  </si>
  <si>
    <t>82/17/20 đinh tiên hoàng p1</t>
  </si>
  <si>
    <t>HD015072</t>
  </si>
  <si>
    <t>Trần Hương</t>
  </si>
  <si>
    <t>HD015100</t>
  </si>
  <si>
    <t>339 lê văn quới phường bình trị đông A</t>
  </si>
  <si>
    <t>Lê Thị Tuyết Trâm</t>
  </si>
  <si>
    <t>HD014837</t>
  </si>
  <si>
    <t>90/11 dương bá trạc phương rạch ông</t>
  </si>
  <si>
    <t>HD015167</t>
  </si>
  <si>
    <t>chung cư terrace 21 võ trường toản</t>
  </si>
  <si>
    <t>Nguyễn Thùy Vi</t>
  </si>
  <si>
    <t>HD015077</t>
  </si>
  <si>
    <t>The Tresor,39-39b bến vân đồn</t>
  </si>
  <si>
    <t>MINZZY</t>
  </si>
  <si>
    <t>XE TOÀN THẮNG</t>
  </si>
  <si>
    <t>at 24-04</t>
  </si>
  <si>
    <t>HD014667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</si>
</sst>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  <font>
      <sz val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46">
    <xf numFmtId="0" fontId="0" fillId="0" borderId="0" xfId="0"/>
    <xf numFmtId="0" fontId="3" fillId="3" borderId="0" xfId="0" applyFont="1" applyFill="1"/>
    <xf numFmtId="0" fontId="4" fillId="0" borderId="0" xfId="0" applyFont="1"/>
    <xf numFmtId="0" fontId="0" fillId="3" borderId="0" xfId="0" applyFill="1"/>
    <xf numFmtId="0" fontId="3" fillId="0" borderId="0" xfId="0" applyFont="1"/>
    <xf numFmtId="0" fontId="3" fillId="2" borderId="0" xfId="0" applyFont="1" applyFill="1"/>
    <xf numFmtId="3" fontId="0" fillId="0" borderId="0" xfId="0" applyNumberFormat="1"/>
    <xf numFmtId="0" fontId="3" fillId="4" borderId="0" xfId="0" applyFont="1" applyFill="1"/>
    <xf numFmtId="0" fontId="0" fillId="5" borderId="0" xfId="0" applyFill="1"/>
    <xf numFmtId="0" fontId="3" fillId="6" borderId="0" xfId="0" applyFont="1" applyFill="1"/>
    <xf numFmtId="0" fontId="5" fillId="0" borderId="0" xfId="0" applyFont="1"/>
    <xf numFmtId="0" fontId="3" fillId="7" borderId="0" xfId="0" applyFont="1" applyFill="1"/>
    <xf numFmtId="3" fontId="4" fillId="0" borderId="0" xfId="0" applyNumberFormat="1" applyFont="1"/>
    <xf numFmtId="0" fontId="0" fillId="0" borderId="0" xfId="0" applyAlignment="1">
      <alignment horizontal="right"/>
    </xf>
    <xf numFmtId="49" fontId="0" fillId="0" borderId="0" xfId="0" applyNumberFormat="1"/>
    <xf numFmtId="49" fontId="4" fillId="0" borderId="0" xfId="0" applyNumberFormat="1" applyFont="1"/>
    <xf numFmtId="0" fontId="5" fillId="0" borderId="0" xfId="0" applyFont="1" applyAlignment="1">
      <alignment wrapText="1"/>
    </xf>
    <xf numFmtId="0" fontId="3" fillId="2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4" fillId="0" borderId="1" xfId="0" applyFont="1" applyBorder="1"/>
    <xf numFmtId="3" fontId="4" fillId="0" borderId="1" xfId="0" applyNumberFormat="1" applyFont="1" applyBorder="1"/>
    <xf numFmtId="0" fontId="4" fillId="7" borderId="0" xfId="0" applyFont="1" applyFill="1"/>
    <xf numFmtId="0" fontId="4" fillId="7" borderId="1" xfId="0" applyFont="1" applyFill="1" applyBorder="1"/>
    <xf numFmtId="3" fontId="4" fillId="7" borderId="1" xfId="0" applyNumberFormat="1" applyFont="1" applyFill="1" applyBorder="1"/>
    <xf numFmtId="0" fontId="4" fillId="8" borderId="1" xfId="0" applyFont="1" applyFill="1" applyBorder="1"/>
    <xf numFmtId="3" fontId="4" fillId="7" borderId="0" xfId="0" applyNumberFormat="1" applyFont="1" applyFill="1"/>
    <xf numFmtId="0" fontId="4" fillId="0" borderId="2" xfId="0" applyFont="1" applyBorder="1"/>
    <xf numFmtId="49" fontId="4" fillId="0" borderId="1" xfId="0" applyNumberFormat="1" applyFont="1" applyBorder="1"/>
    <xf numFmtId="0" fontId="4" fillId="0" borderId="0" xfId="0" applyFont="1" applyAlignment="1">
      <alignment horizontal="right"/>
    </xf>
    <xf numFmtId="0" fontId="1" fillId="0" borderId="0" xfId="1" applyFont="1"/>
    <xf numFmtId="0" fontId="1" fillId="8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9" borderId="0" xfId="0" applyFont="1" applyFill="1"/>
    <xf numFmtId="0" fontId="0" fillId="8" borderId="1" xfId="0" applyFill="1" applyBorder="1"/>
    <xf numFmtId="3" fontId="0" fillId="0" borderId="1" xfId="0" quotePrefix="1" applyNumberFormat="1" applyBorder="1"/>
    <xf numFmtId="0" fontId="0" fillId="7" borderId="1" xfId="0" applyFill="1" applyBorder="1"/>
    <xf numFmtId="3" fontId="0" fillId="7" borderId="1" xfId="0" applyNumberFormat="1" applyFill="1" applyBorder="1"/>
    <xf numFmtId="0" fontId="0" fillId="7" borderId="0" xfId="0" applyFill="1"/>
    <xf numFmtId="0" fontId="0" fillId="0" borderId="0" xfId="0"/>
    <xf numFmtId="0" fontId="3" fillId="3" borderId="0" xfId="0" applyFont="1" applyFill="1"/>
    <xf numFmtId="0" fontId="3" fillId="0" borderId="0" xfId="0" applyFont="1"/>
    <xf numFmtId="0" fontId="0" fillId="3" borderId="0" xfId="0" applyFill="1"/>
    <xf numFmtId="0" fontId="4" fillId="0" borderId="0" xfId="0" applyFont="1"/>
    <xf numFmtId="3" fontId="0" fillId="3" borderId="0" xfId="0" applyNumberFormat="1" applyFill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9"/>
  <sheetViews>
    <sheetView workbookViewId="0">
      <selection activeCell="A28" sqref="A28"/>
    </sheetView>
  </sheetViews>
  <sheetFormatPr defaultRowHeight="15" x14ac:dyDescent="0.25"/>
  <cols>
    <col min="1" max="1" width="12.7109375" customWidth="1"/>
    <col min="2" max="2" width="17.7109375" customWidth="1"/>
    <col min="3" max="3" width="26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</v>
      </c>
      <c r="D3" t="s">
        <v>18</v>
      </c>
      <c r="E3" t="s">
        <v>19</v>
      </c>
      <c r="F3" s="6">
        <v>9</v>
      </c>
      <c r="G3" s="6">
        <v>780</v>
      </c>
      <c r="H3" s="6">
        <v>30</v>
      </c>
      <c r="I3" s="6">
        <f>G3-H3</f>
        <v>750</v>
      </c>
      <c r="J3" t="s">
        <v>20</v>
      </c>
      <c r="K3" t="s">
        <v>21</v>
      </c>
      <c r="L3" t="s">
        <v>22</v>
      </c>
      <c r="Q3">
        <v>1</v>
      </c>
    </row>
    <row r="4" spans="1:17" x14ac:dyDescent="0.25">
      <c r="B4" t="s">
        <v>16</v>
      </c>
      <c r="C4" t="s">
        <v>23</v>
      </c>
      <c r="D4" t="s">
        <v>24</v>
      </c>
      <c r="E4" t="s">
        <v>25</v>
      </c>
      <c r="F4" t="s">
        <v>26</v>
      </c>
      <c r="G4" s="6">
        <v>0</v>
      </c>
      <c r="H4" s="6">
        <v>30</v>
      </c>
      <c r="I4" s="6">
        <f>-H4</f>
        <v>-30</v>
      </c>
      <c r="J4" t="s">
        <v>27</v>
      </c>
      <c r="K4" t="s">
        <v>21</v>
      </c>
      <c r="L4" t="s">
        <v>22</v>
      </c>
      <c r="Q4">
        <v>1</v>
      </c>
    </row>
    <row r="5" spans="1:17" x14ac:dyDescent="0.25">
      <c r="B5" t="s">
        <v>16</v>
      </c>
      <c r="C5" t="s">
        <v>28</v>
      </c>
      <c r="D5" t="s">
        <v>29</v>
      </c>
      <c r="E5" t="s">
        <v>30</v>
      </c>
      <c r="F5" s="6">
        <v>7</v>
      </c>
      <c r="G5" s="6">
        <v>850</v>
      </c>
      <c r="H5" s="6">
        <v>30</v>
      </c>
      <c r="I5" s="6">
        <f>G5-H5</f>
        <v>820</v>
      </c>
      <c r="J5" t="s">
        <v>27</v>
      </c>
      <c r="K5" t="s">
        <v>21</v>
      </c>
      <c r="L5" t="s">
        <v>22</v>
      </c>
      <c r="Q5">
        <v>1</v>
      </c>
    </row>
    <row r="6" spans="1:17" x14ac:dyDescent="0.25">
      <c r="B6" t="s">
        <v>16</v>
      </c>
      <c r="C6" t="s">
        <v>31</v>
      </c>
      <c r="D6" t="s">
        <v>32</v>
      </c>
      <c r="E6" t="s">
        <v>33</v>
      </c>
      <c r="F6" s="6">
        <v>3</v>
      </c>
      <c r="G6" s="6">
        <v>695</v>
      </c>
      <c r="H6" s="6">
        <v>25</v>
      </c>
      <c r="I6" s="6">
        <f>G6-H6</f>
        <v>670</v>
      </c>
      <c r="J6" t="s">
        <v>27</v>
      </c>
      <c r="K6" t="s">
        <v>21</v>
      </c>
      <c r="L6" t="s">
        <v>22</v>
      </c>
      <c r="Q6">
        <v>1</v>
      </c>
    </row>
    <row r="7" spans="1:17" x14ac:dyDescent="0.25">
      <c r="B7" t="s">
        <v>16</v>
      </c>
      <c r="C7" t="s">
        <v>34</v>
      </c>
      <c r="D7" t="s">
        <v>35</v>
      </c>
      <c r="E7" t="s">
        <v>36</v>
      </c>
      <c r="F7" s="6">
        <v>7</v>
      </c>
      <c r="G7" s="6">
        <v>740</v>
      </c>
      <c r="H7" s="6">
        <v>30</v>
      </c>
      <c r="I7" s="6">
        <f>G7-H7</f>
        <v>710</v>
      </c>
      <c r="J7" t="s">
        <v>27</v>
      </c>
      <c r="K7" t="s">
        <v>21</v>
      </c>
      <c r="L7" t="s">
        <v>22</v>
      </c>
      <c r="Q7">
        <v>1</v>
      </c>
    </row>
    <row r="8" spans="1:17" x14ac:dyDescent="0.25">
      <c r="B8" t="s">
        <v>16</v>
      </c>
      <c r="C8" t="s">
        <v>37</v>
      </c>
      <c r="D8" t="s">
        <v>38</v>
      </c>
      <c r="E8" t="s">
        <v>39</v>
      </c>
      <c r="F8" t="s">
        <v>26</v>
      </c>
      <c r="G8" s="6">
        <v>610</v>
      </c>
      <c r="H8" s="6">
        <v>30</v>
      </c>
      <c r="I8" s="6">
        <f>G8-H8</f>
        <v>580</v>
      </c>
      <c r="J8" t="s">
        <v>27</v>
      </c>
      <c r="K8" t="s">
        <v>21</v>
      </c>
      <c r="L8" t="s">
        <v>22</v>
      </c>
      <c r="Q8">
        <v>1</v>
      </c>
    </row>
    <row r="9" spans="1:17" x14ac:dyDescent="0.25">
      <c r="B9" t="s">
        <v>16</v>
      </c>
      <c r="C9" t="s">
        <v>40</v>
      </c>
      <c r="D9" t="s">
        <v>41</v>
      </c>
      <c r="E9" t="s">
        <v>42</v>
      </c>
      <c r="F9" s="6">
        <v>8</v>
      </c>
      <c r="G9" s="6">
        <v>0</v>
      </c>
      <c r="H9" s="6">
        <v>25</v>
      </c>
      <c r="I9" s="6">
        <f>-H9</f>
        <v>-25</v>
      </c>
      <c r="J9" t="s">
        <v>27</v>
      </c>
      <c r="K9" t="s">
        <v>21</v>
      </c>
      <c r="L9" t="s">
        <v>22</v>
      </c>
      <c r="Q9">
        <v>1</v>
      </c>
    </row>
    <row r="10" spans="1:17" x14ac:dyDescent="0.25">
      <c r="B10" t="s">
        <v>16</v>
      </c>
      <c r="C10" t="s">
        <v>43</v>
      </c>
      <c r="D10" t="s">
        <v>44</v>
      </c>
      <c r="E10" t="s">
        <v>45</v>
      </c>
      <c r="F10" s="6">
        <v>12</v>
      </c>
      <c r="G10" s="6">
        <v>750</v>
      </c>
      <c r="H10" s="6">
        <v>30</v>
      </c>
      <c r="I10" s="6">
        <f t="shared" ref="I10:I15" si="0">G10-H10</f>
        <v>720</v>
      </c>
      <c r="J10" t="s">
        <v>27</v>
      </c>
      <c r="K10" t="s">
        <v>21</v>
      </c>
      <c r="L10" t="s">
        <v>22</v>
      </c>
      <c r="Q10">
        <v>1</v>
      </c>
    </row>
    <row r="11" spans="1:17" x14ac:dyDescent="0.25">
      <c r="B11" t="s">
        <v>16</v>
      </c>
      <c r="C11" t="s">
        <v>46</v>
      </c>
      <c r="D11" t="s">
        <v>47</v>
      </c>
      <c r="E11" t="s">
        <v>48</v>
      </c>
      <c r="F11" s="6">
        <v>7</v>
      </c>
      <c r="G11" s="6">
        <v>30</v>
      </c>
      <c r="H11" s="6">
        <v>30</v>
      </c>
      <c r="I11" s="6">
        <f t="shared" si="0"/>
        <v>0</v>
      </c>
      <c r="J11" t="s">
        <v>27</v>
      </c>
      <c r="K11" t="s">
        <v>21</v>
      </c>
      <c r="L11" t="s">
        <v>22</v>
      </c>
      <c r="M11" t="s">
        <v>49</v>
      </c>
      <c r="Q11">
        <v>1</v>
      </c>
    </row>
    <row r="12" spans="1:17" x14ac:dyDescent="0.25">
      <c r="B12" t="s">
        <v>16</v>
      </c>
      <c r="C12" t="s">
        <v>50</v>
      </c>
      <c r="D12" t="s">
        <v>51</v>
      </c>
      <c r="E12" t="s">
        <v>52</v>
      </c>
      <c r="F12" s="6">
        <v>7</v>
      </c>
      <c r="G12" s="6">
        <v>1640</v>
      </c>
      <c r="H12" s="6">
        <v>30</v>
      </c>
      <c r="I12" s="6">
        <f t="shared" si="0"/>
        <v>1610</v>
      </c>
      <c r="J12" t="s">
        <v>27</v>
      </c>
      <c r="K12" t="s">
        <v>21</v>
      </c>
      <c r="L12" t="s">
        <v>22</v>
      </c>
      <c r="Q12">
        <v>1</v>
      </c>
    </row>
    <row r="13" spans="1:17" x14ac:dyDescent="0.25">
      <c r="B13" t="s">
        <v>16</v>
      </c>
      <c r="C13" t="s">
        <v>53</v>
      </c>
      <c r="D13" t="s">
        <v>54</v>
      </c>
      <c r="E13" t="s">
        <v>55</v>
      </c>
      <c r="F13" s="6">
        <v>12</v>
      </c>
      <c r="G13" s="6">
        <v>590</v>
      </c>
      <c r="H13" s="6">
        <v>30</v>
      </c>
      <c r="I13" s="6">
        <f t="shared" si="0"/>
        <v>560</v>
      </c>
      <c r="J13" t="s">
        <v>27</v>
      </c>
      <c r="K13" t="s">
        <v>21</v>
      </c>
      <c r="L13" t="s">
        <v>22</v>
      </c>
      <c r="Q13">
        <v>1</v>
      </c>
    </row>
    <row r="14" spans="1:17" x14ac:dyDescent="0.25">
      <c r="B14" t="s">
        <v>16</v>
      </c>
      <c r="C14" t="s">
        <v>56</v>
      </c>
      <c r="D14" t="s">
        <v>57</v>
      </c>
      <c r="E14" t="s">
        <v>58</v>
      </c>
      <c r="F14" s="6">
        <v>7</v>
      </c>
      <c r="G14" s="6">
        <v>850</v>
      </c>
      <c r="H14" s="6">
        <v>30</v>
      </c>
      <c r="I14" s="6">
        <f t="shared" si="0"/>
        <v>820</v>
      </c>
      <c r="J14" t="s">
        <v>27</v>
      </c>
      <c r="K14" t="s">
        <v>21</v>
      </c>
      <c r="L14" t="s">
        <v>22</v>
      </c>
      <c r="Q14">
        <v>1</v>
      </c>
    </row>
    <row r="15" spans="1:17" x14ac:dyDescent="0.25">
      <c r="B15" t="s">
        <v>16</v>
      </c>
      <c r="C15" t="s">
        <v>59</v>
      </c>
      <c r="D15" t="s">
        <v>60</v>
      </c>
      <c r="E15" t="s">
        <v>61</v>
      </c>
      <c r="F15" t="s">
        <v>26</v>
      </c>
      <c r="G15" s="6">
        <v>820</v>
      </c>
      <c r="H15" s="6">
        <v>30</v>
      </c>
      <c r="I15" s="6">
        <f t="shared" si="0"/>
        <v>790</v>
      </c>
      <c r="J15" t="s">
        <v>27</v>
      </c>
      <c r="K15" t="s">
        <v>21</v>
      </c>
      <c r="L15" t="s">
        <v>22</v>
      </c>
      <c r="Q15">
        <v>1</v>
      </c>
    </row>
    <row r="16" spans="1:17" x14ac:dyDescent="0.25">
      <c r="A16" t="s">
        <v>62</v>
      </c>
      <c r="B16" t="s">
        <v>16</v>
      </c>
      <c r="C16" t="s">
        <v>63</v>
      </c>
      <c r="E16" t="s">
        <v>64</v>
      </c>
      <c r="F16" s="6">
        <v>6</v>
      </c>
      <c r="G16" s="6">
        <v>0</v>
      </c>
      <c r="H16" s="6">
        <v>30</v>
      </c>
      <c r="I16" s="6">
        <f>-H16</f>
        <v>-30</v>
      </c>
      <c r="J16" t="s">
        <v>27</v>
      </c>
      <c r="K16" t="s">
        <v>21</v>
      </c>
      <c r="L16" t="s">
        <v>22</v>
      </c>
      <c r="Q16">
        <v>1</v>
      </c>
    </row>
    <row r="17" spans="1:17" x14ac:dyDescent="0.25">
      <c r="B17" t="s">
        <v>16</v>
      </c>
      <c r="C17" t="s">
        <v>65</v>
      </c>
      <c r="D17" t="s">
        <v>66</v>
      </c>
      <c r="E17" t="s">
        <v>67</v>
      </c>
      <c r="F17" t="s">
        <v>68</v>
      </c>
      <c r="G17" s="6">
        <v>0</v>
      </c>
      <c r="H17" s="6">
        <v>20</v>
      </c>
      <c r="I17" s="6">
        <f>-H17</f>
        <v>-20</v>
      </c>
      <c r="J17" t="s">
        <v>21</v>
      </c>
      <c r="K17" t="s">
        <v>21</v>
      </c>
      <c r="L17" t="s">
        <v>22</v>
      </c>
      <c r="Q17">
        <v>1</v>
      </c>
    </row>
    <row r="18" spans="1:17" x14ac:dyDescent="0.25">
      <c r="B18" t="s">
        <v>16</v>
      </c>
      <c r="C18" t="s">
        <v>69</v>
      </c>
      <c r="D18" t="s">
        <v>70</v>
      </c>
      <c r="E18" t="s">
        <v>71</v>
      </c>
      <c r="F18" t="s">
        <v>72</v>
      </c>
      <c r="G18" s="6">
        <v>615</v>
      </c>
      <c r="H18" s="6">
        <v>25</v>
      </c>
      <c r="I18" s="6">
        <f>G18-H18</f>
        <v>590</v>
      </c>
      <c r="J18" t="s">
        <v>21</v>
      </c>
      <c r="K18" t="s">
        <v>21</v>
      </c>
      <c r="L18" t="s">
        <v>22</v>
      </c>
      <c r="Q18">
        <v>1</v>
      </c>
    </row>
    <row r="19" spans="1:17" x14ac:dyDescent="0.25">
      <c r="B19" t="s">
        <v>16</v>
      </c>
      <c r="C19" t="s">
        <v>73</v>
      </c>
      <c r="D19" t="s">
        <v>74</v>
      </c>
      <c r="E19" t="s">
        <v>75</v>
      </c>
      <c r="F19" s="6">
        <v>1</v>
      </c>
      <c r="G19" s="6">
        <v>845</v>
      </c>
      <c r="H19" s="6">
        <v>25</v>
      </c>
      <c r="I19" s="6">
        <f>G19-H19</f>
        <v>820</v>
      </c>
      <c r="J19" t="s">
        <v>21</v>
      </c>
      <c r="K19" t="s">
        <v>21</v>
      </c>
      <c r="L19" t="s">
        <v>22</v>
      </c>
      <c r="Q19">
        <v>1</v>
      </c>
    </row>
    <row r="20" spans="1:17" x14ac:dyDescent="0.25">
      <c r="B20" t="s">
        <v>16</v>
      </c>
      <c r="C20" t="s">
        <v>76</v>
      </c>
      <c r="D20" t="s">
        <v>77</v>
      </c>
      <c r="E20" t="s">
        <v>78</v>
      </c>
      <c r="F20" t="s">
        <v>68</v>
      </c>
      <c r="G20" s="6">
        <v>1630</v>
      </c>
      <c r="H20" s="6">
        <v>20</v>
      </c>
      <c r="I20" s="6">
        <f>G20-H20</f>
        <v>1610</v>
      </c>
      <c r="J20" t="s">
        <v>21</v>
      </c>
      <c r="K20" t="s">
        <v>21</v>
      </c>
      <c r="L20" t="s">
        <v>22</v>
      </c>
      <c r="Q20">
        <v>1</v>
      </c>
    </row>
    <row r="21" spans="1:17" x14ac:dyDescent="0.25">
      <c r="B21" t="s">
        <v>16</v>
      </c>
      <c r="C21" t="s">
        <v>79</v>
      </c>
      <c r="D21" t="s">
        <v>80</v>
      </c>
      <c r="E21" t="s">
        <v>81</v>
      </c>
      <c r="F21" s="6">
        <v>3</v>
      </c>
      <c r="G21" s="6">
        <v>405</v>
      </c>
      <c r="H21" s="6">
        <v>25</v>
      </c>
      <c r="I21" s="6">
        <f>G21-H21</f>
        <v>380</v>
      </c>
      <c r="J21" t="s">
        <v>21</v>
      </c>
      <c r="K21" t="s">
        <v>21</v>
      </c>
      <c r="L21" t="s">
        <v>22</v>
      </c>
      <c r="Q21">
        <v>1</v>
      </c>
    </row>
    <row r="22" spans="1:17" x14ac:dyDescent="0.25">
      <c r="B22" t="s">
        <v>16</v>
      </c>
      <c r="C22" t="s">
        <v>82</v>
      </c>
      <c r="D22" t="s">
        <v>83</v>
      </c>
      <c r="E22" t="s">
        <v>84</v>
      </c>
      <c r="F22" t="s">
        <v>85</v>
      </c>
      <c r="G22" s="6">
        <v>20</v>
      </c>
      <c r="H22" s="6">
        <v>20</v>
      </c>
      <c r="I22" s="6">
        <f>G22-H22</f>
        <v>0</v>
      </c>
      <c r="J22" t="s">
        <v>21</v>
      </c>
      <c r="K22" t="s">
        <v>21</v>
      </c>
      <c r="L22" t="s">
        <v>22</v>
      </c>
      <c r="M22" t="s">
        <v>49</v>
      </c>
      <c r="Q22">
        <v>1</v>
      </c>
    </row>
    <row r="23" spans="1:17" x14ac:dyDescent="0.25">
      <c r="A23" t="s">
        <v>62</v>
      </c>
      <c r="B23" t="s">
        <v>16</v>
      </c>
      <c r="C23" t="s">
        <v>86</v>
      </c>
      <c r="E23" t="s">
        <v>87</v>
      </c>
      <c r="F23" t="s">
        <v>88</v>
      </c>
      <c r="G23" s="6">
        <v>0</v>
      </c>
      <c r="H23" s="6">
        <v>30</v>
      </c>
      <c r="I23" s="6">
        <f>-H23</f>
        <v>-30</v>
      </c>
      <c r="J23" t="s">
        <v>21</v>
      </c>
      <c r="K23" t="s">
        <v>21</v>
      </c>
      <c r="L23" t="s">
        <v>22</v>
      </c>
      <c r="Q23">
        <v>1</v>
      </c>
    </row>
    <row r="25" spans="1:17" x14ac:dyDescent="0.25">
      <c r="D25" s="1">
        <f>COUNTA(D3:D23)</f>
        <v>19</v>
      </c>
      <c r="G25" s="1">
        <f t="shared" ref="G25:Q25" si="1">SUBTOTAL(9,G3:G23)</f>
        <v>11870</v>
      </c>
      <c r="H25" s="1">
        <f t="shared" si="1"/>
        <v>575</v>
      </c>
      <c r="I25" s="1">
        <f t="shared" si="1"/>
        <v>11295</v>
      </c>
      <c r="J25" s="1">
        <f t="shared" si="1"/>
        <v>0</v>
      </c>
      <c r="K25" s="1">
        <f t="shared" si="1"/>
        <v>0</v>
      </c>
      <c r="L25" s="1">
        <f t="shared" si="1"/>
        <v>0</v>
      </c>
      <c r="M25" s="1">
        <f t="shared" si="1"/>
        <v>0</v>
      </c>
      <c r="N25" s="1">
        <f t="shared" si="1"/>
        <v>0</v>
      </c>
      <c r="O25" s="1">
        <f t="shared" si="1"/>
        <v>0</v>
      </c>
      <c r="P25" s="1">
        <f t="shared" si="1"/>
        <v>0</v>
      </c>
      <c r="Q25" s="1">
        <f t="shared" si="1"/>
        <v>21</v>
      </c>
    </row>
    <row r="26" spans="1:17" x14ac:dyDescent="0.25">
      <c r="H26">
        <f>-8*17</f>
        <v>-136</v>
      </c>
    </row>
    <row r="27" spans="1:17" x14ac:dyDescent="0.25">
      <c r="A27" s="1" t="s">
        <v>16</v>
      </c>
      <c r="C27" s="42" t="s">
        <v>89</v>
      </c>
      <c r="D27" s="42"/>
      <c r="E27" s="4" t="s">
        <v>90</v>
      </c>
      <c r="H27">
        <f>-5*25</f>
        <v>-125</v>
      </c>
      <c r="K27" s="7" t="s">
        <v>27</v>
      </c>
      <c r="L27" s="7" t="s">
        <v>91</v>
      </c>
      <c r="M27" s="7" t="s">
        <v>90</v>
      </c>
      <c r="O27" s="4" t="s">
        <v>92</v>
      </c>
    </row>
    <row r="28" spans="1:17" x14ac:dyDescent="0.25">
      <c r="A28" t="s">
        <v>22</v>
      </c>
      <c r="B28" s="3" t="s">
        <v>93</v>
      </c>
      <c r="C28" s="43">
        <f>SUMIFS(I$3:I$23,B$3:B$23,A$27,L$3:L$23,A$28)</f>
        <v>11295</v>
      </c>
      <c r="D28" s="43"/>
      <c r="E28" s="3">
        <f>SUMIFS(Q$3:Q$23,B$3:B$23,A$27,L$3:L$23,A$28)</f>
        <v>21</v>
      </c>
      <c r="F28" t="s">
        <v>94</v>
      </c>
      <c r="K28" t="s">
        <v>95</v>
      </c>
      <c r="L28">
        <f>SUMIFS(G$3:G$23,J$3:J$23,K$27)</f>
        <v>7575</v>
      </c>
      <c r="M28">
        <f>SUMIFS(Q$3:Q$23,J$3:J$23,K$27)</f>
        <v>13</v>
      </c>
      <c r="O28" t="s">
        <v>96</v>
      </c>
      <c r="P28">
        <f>L33</f>
        <v>7314</v>
      </c>
    </row>
    <row r="29" spans="1:17" x14ac:dyDescent="0.25">
      <c r="B29" s="2" t="s">
        <v>97</v>
      </c>
      <c r="C29" s="44">
        <v>0</v>
      </c>
      <c r="D29" s="44"/>
      <c r="K29" t="s">
        <v>98</v>
      </c>
      <c r="L29">
        <f>SUM(H26:H27)</f>
        <v>-261</v>
      </c>
      <c r="M29">
        <f>SUMIFS(Q$3:Q$23,J$3:J$23,K$27)</f>
        <v>13</v>
      </c>
      <c r="O29" t="s">
        <v>21</v>
      </c>
      <c r="P29">
        <f>L41</f>
        <v>3343</v>
      </c>
    </row>
    <row r="30" spans="1:17" x14ac:dyDescent="0.25">
      <c r="B30" s="2" t="s">
        <v>99</v>
      </c>
      <c r="C30" s="44">
        <f>-SUMIFS(I$3:I$23,B$3:B$23,A$27,P$3:P$23,"xx",N$3:N$23,"x")</f>
        <v>0</v>
      </c>
      <c r="D30" s="44"/>
      <c r="E30" s="2">
        <f>SUMIFS(Q$3:Q$23,B$3:B$23,A$27,P$3:P$23,"xx",N$3:N$23,"x")</f>
        <v>0</v>
      </c>
      <c r="K30" t="s">
        <v>100</v>
      </c>
      <c r="O30" t="s">
        <v>20</v>
      </c>
      <c r="P30">
        <f>L49</f>
        <v>755</v>
      </c>
    </row>
    <row r="31" spans="1:17" x14ac:dyDescent="0.25">
      <c r="B31" s="4" t="s">
        <v>101</v>
      </c>
      <c r="C31" s="42">
        <f>SUBTOTAL(9,C28:C30)</f>
        <v>11295</v>
      </c>
      <c r="D31" s="42"/>
      <c r="E31">
        <f>E28</f>
        <v>21</v>
      </c>
      <c r="K31" s="2" t="s">
        <v>102</v>
      </c>
      <c r="O31" t="s">
        <v>103</v>
      </c>
      <c r="P31">
        <f>-C35</f>
        <v>-11295</v>
      </c>
    </row>
    <row r="32" spans="1:17" x14ac:dyDescent="0.25">
      <c r="B32" s="2" t="s">
        <v>104</v>
      </c>
      <c r="C32" s="40"/>
      <c r="D32" s="40"/>
      <c r="K32" s="2" t="s">
        <v>105</v>
      </c>
      <c r="O32" s="4" t="s">
        <v>106</v>
      </c>
      <c r="P32" s="4">
        <f>SUBTOTAL(9,P28:P31)</f>
        <v>117</v>
      </c>
    </row>
    <row r="33" spans="2:13" x14ac:dyDescent="0.25">
      <c r="B33" s="8" t="s">
        <v>107</v>
      </c>
      <c r="C33" s="40"/>
      <c r="D33" s="40"/>
      <c r="L33" s="9">
        <f>SUBTOTAL(9,L28:L32)</f>
        <v>7314</v>
      </c>
      <c r="M33" s="9">
        <f>M28</f>
        <v>13</v>
      </c>
    </row>
    <row r="35" spans="2:13" x14ac:dyDescent="0.25">
      <c r="B35" s="1" t="s">
        <v>108</v>
      </c>
      <c r="C35" s="41">
        <f>C31+C32+C33</f>
        <v>11295</v>
      </c>
      <c r="D35" s="41"/>
      <c r="E35" s="1" t="s">
        <v>109</v>
      </c>
      <c r="K35" s="7" t="s">
        <v>21</v>
      </c>
      <c r="L35" s="7" t="s">
        <v>91</v>
      </c>
      <c r="M35" s="7" t="s">
        <v>90</v>
      </c>
    </row>
    <row r="36" spans="2:13" x14ac:dyDescent="0.25">
      <c r="K36" t="s">
        <v>95</v>
      </c>
      <c r="L36">
        <f>SUMIFS(G$3:G$23,J$3:J$23,K$35)</f>
        <v>3515</v>
      </c>
      <c r="M36">
        <f>SUMIFS(Q$3:Q$23,J$3:J$23,K$35)</f>
        <v>7</v>
      </c>
    </row>
    <row r="37" spans="2:13" x14ac:dyDescent="0.25">
      <c r="K37" t="s">
        <v>98</v>
      </c>
      <c r="L37">
        <f>-SUMIFS(H$3:H$23,J$3:J$23,K$35)+M37*5</f>
        <v>-130</v>
      </c>
      <c r="M37">
        <f>SUMIFS(Q$3:Q$23,J$3:J$23,K$35)-COUNTIFS(J$3:J$23,K$35,M$3:M$23,"*gộp*")</f>
        <v>7</v>
      </c>
    </row>
    <row r="38" spans="2:13" x14ac:dyDescent="0.25">
      <c r="K38" t="s">
        <v>100</v>
      </c>
      <c r="L38">
        <f>-M38*2</f>
        <v>-42</v>
      </c>
      <c r="M38">
        <f>Q25-(COUNTIFS(M$3:M$23,"*gộp*")/2)</f>
        <v>21</v>
      </c>
    </row>
    <row r="39" spans="2:13" x14ac:dyDescent="0.25">
      <c r="K39" s="2" t="s">
        <v>102</v>
      </c>
    </row>
    <row r="40" spans="2:13" x14ac:dyDescent="0.25">
      <c r="K40" s="2" t="s">
        <v>105</v>
      </c>
    </row>
    <row r="41" spans="2:13" x14ac:dyDescent="0.25">
      <c r="L41" s="9">
        <f>SUBTOTAL(9,L36:L40)</f>
        <v>3343</v>
      </c>
      <c r="M41" s="9">
        <f>M36</f>
        <v>7</v>
      </c>
    </row>
    <row r="43" spans="2:13" x14ac:dyDescent="0.25">
      <c r="K43" s="7" t="s">
        <v>20</v>
      </c>
      <c r="L43" s="7" t="s">
        <v>91</v>
      </c>
      <c r="M43" s="7" t="s">
        <v>90</v>
      </c>
    </row>
    <row r="44" spans="2:13" x14ac:dyDescent="0.25">
      <c r="K44" t="s">
        <v>95</v>
      </c>
      <c r="L44">
        <f>SUMIFS(G$3:G$23,J$3:J$23,K$43)</f>
        <v>780</v>
      </c>
      <c r="M44">
        <f>SUMIFS(Q$3:Q$23,J$3:J$23,K$43)</f>
        <v>1</v>
      </c>
    </row>
    <row r="45" spans="2:13" x14ac:dyDescent="0.25">
      <c r="K45" t="s">
        <v>98</v>
      </c>
      <c r="L45">
        <f>-SUMIFS(H$3:H$23,J$3:J$23,K$43)+M45*5</f>
        <v>-25</v>
      </c>
      <c r="M45">
        <f>SUMIFS(Q$3:Q$23,J$3:J$23,K$43)-COUNTIFS(J$3:J$23,K$43,M$3:M$23,"*gộp*")</f>
        <v>1</v>
      </c>
    </row>
    <row r="46" spans="2:13" x14ac:dyDescent="0.25">
      <c r="K46" t="s">
        <v>100</v>
      </c>
    </row>
    <row r="47" spans="2:13" x14ac:dyDescent="0.25">
      <c r="K47" s="2" t="s">
        <v>102</v>
      </c>
    </row>
    <row r="48" spans="2:13" x14ac:dyDescent="0.25">
      <c r="K48" s="2" t="s">
        <v>105</v>
      </c>
    </row>
    <row r="49" spans="12:13" x14ac:dyDescent="0.25">
      <c r="L49" s="9">
        <f>SUBTOTAL(9,L44:L48)</f>
        <v>755</v>
      </c>
      <c r="M49" s="9">
        <f>M44</f>
        <v>1</v>
      </c>
    </row>
  </sheetData>
  <autoFilter ref="A2:P23" xr:uid="{00000000-0009-0000-0000-000000000000}">
    <sortState xmlns:xlrd2="http://schemas.microsoft.com/office/spreadsheetml/2017/richdata2" ref="A3:P23">
      <sortCondition ref="J2:J23"/>
    </sortState>
  </autoFilter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50"/>
  <sheetViews>
    <sheetView topLeftCell="A13" zoomScale="80" zoomScaleNormal="80" workbookViewId="0">
      <selection activeCell="L49" sqref="L49"/>
    </sheetView>
  </sheetViews>
  <sheetFormatPr defaultRowHeight="15" x14ac:dyDescent="0.25"/>
  <cols>
    <col min="1" max="1" width="12.7109375" customWidth="1"/>
    <col min="2" max="2" width="17.7109375" customWidth="1"/>
    <col min="3" max="3" width="28.140625" customWidth="1"/>
    <col min="4" max="4" width="10.5703125" bestFit="1" customWidth="1"/>
    <col min="5" max="5" width="43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110</v>
      </c>
      <c r="D3" t="s">
        <v>111</v>
      </c>
      <c r="E3" t="s">
        <v>112</v>
      </c>
      <c r="F3" t="s">
        <v>113</v>
      </c>
      <c r="G3" s="6">
        <v>35</v>
      </c>
      <c r="H3" s="6">
        <v>35</v>
      </c>
      <c r="I3" s="6">
        <f t="shared" ref="I3:I24" si="0">G3-H3</f>
        <v>0</v>
      </c>
      <c r="J3" t="s">
        <v>114</v>
      </c>
      <c r="K3" t="s">
        <v>21</v>
      </c>
      <c r="L3" t="s">
        <v>115</v>
      </c>
      <c r="M3" t="s">
        <v>49</v>
      </c>
      <c r="Q3">
        <v>1</v>
      </c>
    </row>
    <row r="4" spans="1:17" x14ac:dyDescent="0.25">
      <c r="B4" t="s">
        <v>16</v>
      </c>
      <c r="C4" t="s">
        <v>116</v>
      </c>
      <c r="D4" t="s">
        <v>117</v>
      </c>
      <c r="E4" t="s">
        <v>118</v>
      </c>
      <c r="F4" t="s">
        <v>26</v>
      </c>
      <c r="G4" s="6">
        <v>870</v>
      </c>
      <c r="H4" s="6">
        <v>30</v>
      </c>
      <c r="I4" s="6">
        <f t="shared" si="0"/>
        <v>840</v>
      </c>
      <c r="J4" t="s">
        <v>114</v>
      </c>
      <c r="K4" t="s">
        <v>21</v>
      </c>
      <c r="L4" t="s">
        <v>115</v>
      </c>
      <c r="Q4">
        <v>1</v>
      </c>
    </row>
    <row r="5" spans="1:17" x14ac:dyDescent="0.25">
      <c r="B5" t="s">
        <v>16</v>
      </c>
      <c r="C5" t="s">
        <v>119</v>
      </c>
      <c r="D5" t="s">
        <v>120</v>
      </c>
      <c r="E5" t="s">
        <v>121</v>
      </c>
      <c r="F5" s="6">
        <v>8</v>
      </c>
      <c r="G5" s="6">
        <v>0</v>
      </c>
      <c r="H5" s="6">
        <v>25</v>
      </c>
      <c r="I5" s="6">
        <f t="shared" si="0"/>
        <v>-25</v>
      </c>
      <c r="J5" t="s">
        <v>114</v>
      </c>
      <c r="K5" t="s">
        <v>21</v>
      </c>
      <c r="L5" t="s">
        <v>115</v>
      </c>
      <c r="Q5">
        <v>1</v>
      </c>
    </row>
    <row r="6" spans="1:17" x14ac:dyDescent="0.25">
      <c r="B6" t="s">
        <v>16</v>
      </c>
      <c r="C6" t="s">
        <v>122</v>
      </c>
      <c r="D6" t="s">
        <v>123</v>
      </c>
      <c r="E6" t="s">
        <v>124</v>
      </c>
      <c r="F6" s="6">
        <v>7</v>
      </c>
      <c r="G6" s="6">
        <v>650</v>
      </c>
      <c r="H6" s="6">
        <v>30</v>
      </c>
      <c r="I6" s="6">
        <f t="shared" si="0"/>
        <v>620</v>
      </c>
      <c r="J6" t="s">
        <v>114</v>
      </c>
      <c r="K6" t="s">
        <v>21</v>
      </c>
      <c r="L6" t="s">
        <v>115</v>
      </c>
      <c r="Q6">
        <v>1</v>
      </c>
    </row>
    <row r="7" spans="1:17" x14ac:dyDescent="0.25">
      <c r="B7" t="s">
        <v>16</v>
      </c>
      <c r="C7" t="s">
        <v>125</v>
      </c>
      <c r="D7" t="s">
        <v>126</v>
      </c>
      <c r="E7" t="s">
        <v>127</v>
      </c>
      <c r="F7" t="s">
        <v>128</v>
      </c>
      <c r="G7" s="6">
        <v>0</v>
      </c>
      <c r="H7" s="6">
        <v>35</v>
      </c>
      <c r="I7" s="6">
        <f t="shared" si="0"/>
        <v>-35</v>
      </c>
      <c r="J7" t="s">
        <v>114</v>
      </c>
      <c r="K7" t="s">
        <v>21</v>
      </c>
      <c r="L7" t="s">
        <v>115</v>
      </c>
      <c r="M7" t="s">
        <v>129</v>
      </c>
      <c r="Q7">
        <v>1</v>
      </c>
    </row>
    <row r="8" spans="1:17" x14ac:dyDescent="0.25">
      <c r="B8" t="s">
        <v>16</v>
      </c>
      <c r="C8" t="s">
        <v>130</v>
      </c>
      <c r="D8" t="s">
        <v>131</v>
      </c>
      <c r="E8" t="s">
        <v>132</v>
      </c>
      <c r="F8" s="6">
        <v>7</v>
      </c>
      <c r="G8" s="6">
        <v>740</v>
      </c>
      <c r="H8" s="6">
        <v>30</v>
      </c>
      <c r="I8" s="6">
        <f t="shared" si="0"/>
        <v>710</v>
      </c>
      <c r="J8" t="s">
        <v>114</v>
      </c>
      <c r="K8" t="s">
        <v>21</v>
      </c>
      <c r="L8" t="s">
        <v>115</v>
      </c>
      <c r="Q8">
        <v>1</v>
      </c>
    </row>
    <row r="9" spans="1:17" x14ac:dyDescent="0.25">
      <c r="B9" t="s">
        <v>16</v>
      </c>
      <c r="C9" t="s">
        <v>133</v>
      </c>
      <c r="D9" t="s">
        <v>134</v>
      </c>
      <c r="E9" t="s">
        <v>135</v>
      </c>
      <c r="F9" t="s">
        <v>26</v>
      </c>
      <c r="G9" s="6">
        <v>770</v>
      </c>
      <c r="H9" s="6">
        <v>30</v>
      </c>
      <c r="I9" s="6">
        <f t="shared" si="0"/>
        <v>740</v>
      </c>
      <c r="J9" t="s">
        <v>114</v>
      </c>
      <c r="K9" t="s">
        <v>21</v>
      </c>
      <c r="L9" t="s">
        <v>115</v>
      </c>
      <c r="Q9">
        <v>1</v>
      </c>
    </row>
    <row r="10" spans="1:17" x14ac:dyDescent="0.25">
      <c r="B10" t="s">
        <v>16</v>
      </c>
      <c r="C10" t="s">
        <v>136</v>
      </c>
      <c r="D10" t="s">
        <v>137</v>
      </c>
      <c r="E10" t="s">
        <v>138</v>
      </c>
      <c r="F10" t="s">
        <v>68</v>
      </c>
      <c r="G10" s="6">
        <v>0</v>
      </c>
      <c r="H10" s="6">
        <v>20</v>
      </c>
      <c r="I10" s="6">
        <f t="shared" si="0"/>
        <v>-20</v>
      </c>
      <c r="J10" t="s">
        <v>21</v>
      </c>
      <c r="K10" t="s">
        <v>21</v>
      </c>
      <c r="L10" t="s">
        <v>115</v>
      </c>
      <c r="Q10">
        <v>1</v>
      </c>
    </row>
    <row r="11" spans="1:17" x14ac:dyDescent="0.25">
      <c r="A11" t="s">
        <v>62</v>
      </c>
      <c r="B11" t="s">
        <v>16</v>
      </c>
      <c r="C11" t="s">
        <v>139</v>
      </c>
      <c r="E11" t="s">
        <v>140</v>
      </c>
      <c r="F11" s="6">
        <v>6</v>
      </c>
      <c r="G11" s="6">
        <v>0</v>
      </c>
      <c r="H11" s="6">
        <v>70</v>
      </c>
      <c r="I11" s="6">
        <f t="shared" si="0"/>
        <v>-70</v>
      </c>
      <c r="J11" t="s">
        <v>21</v>
      </c>
      <c r="K11" t="s">
        <v>21</v>
      </c>
      <c r="L11" t="s">
        <v>115</v>
      </c>
      <c r="Q11">
        <v>1</v>
      </c>
    </row>
    <row r="12" spans="1:17" x14ac:dyDescent="0.25">
      <c r="A12" t="s">
        <v>62</v>
      </c>
      <c r="B12" t="s">
        <v>16</v>
      </c>
      <c r="C12" t="s">
        <v>141</v>
      </c>
      <c r="E12" t="s">
        <v>142</v>
      </c>
      <c r="F12" s="6">
        <v>12</v>
      </c>
      <c r="G12" s="6">
        <v>30</v>
      </c>
      <c r="H12" s="6">
        <v>30</v>
      </c>
      <c r="I12" s="6">
        <f t="shared" si="0"/>
        <v>0</v>
      </c>
      <c r="J12" t="s">
        <v>21</v>
      </c>
      <c r="K12" t="s">
        <v>21</v>
      </c>
      <c r="L12" t="s">
        <v>115</v>
      </c>
      <c r="Q12">
        <v>1</v>
      </c>
    </row>
    <row r="13" spans="1:17" x14ac:dyDescent="0.25">
      <c r="A13" t="s">
        <v>62</v>
      </c>
      <c r="B13" t="s">
        <v>16</v>
      </c>
      <c r="C13" t="s">
        <v>143</v>
      </c>
      <c r="E13" t="s">
        <v>144</v>
      </c>
      <c r="F13" t="s">
        <v>72</v>
      </c>
      <c r="G13" s="6">
        <v>30</v>
      </c>
      <c r="H13" s="6">
        <v>30</v>
      </c>
      <c r="I13" s="6">
        <f t="shared" si="0"/>
        <v>0</v>
      </c>
      <c r="J13" t="s">
        <v>21</v>
      </c>
      <c r="K13" t="s">
        <v>21</v>
      </c>
      <c r="L13" t="s">
        <v>115</v>
      </c>
      <c r="Q13">
        <v>1</v>
      </c>
    </row>
    <row r="14" spans="1:17" x14ac:dyDescent="0.25">
      <c r="A14" t="s">
        <v>62</v>
      </c>
      <c r="B14" t="s">
        <v>16</v>
      </c>
      <c r="C14" t="s">
        <v>145</v>
      </c>
      <c r="E14" t="s">
        <v>146</v>
      </c>
      <c r="F14" t="s">
        <v>88</v>
      </c>
      <c r="G14" s="6">
        <v>530</v>
      </c>
      <c r="H14" s="6">
        <v>30</v>
      </c>
      <c r="I14" s="6">
        <f t="shared" si="0"/>
        <v>500</v>
      </c>
      <c r="J14" t="s">
        <v>21</v>
      </c>
      <c r="K14" t="s">
        <v>21</v>
      </c>
      <c r="L14" t="s">
        <v>115</v>
      </c>
      <c r="Q14">
        <v>1</v>
      </c>
    </row>
    <row r="15" spans="1:17" x14ac:dyDescent="0.25">
      <c r="B15" t="s">
        <v>16</v>
      </c>
      <c r="C15" t="s">
        <v>147</v>
      </c>
      <c r="D15" t="s">
        <v>148</v>
      </c>
      <c r="E15" t="s">
        <v>149</v>
      </c>
      <c r="F15" t="s">
        <v>68</v>
      </c>
      <c r="G15" s="6">
        <v>740</v>
      </c>
      <c r="H15" s="6">
        <v>20</v>
      </c>
      <c r="I15" s="6">
        <f t="shared" si="0"/>
        <v>720</v>
      </c>
      <c r="J15" t="s">
        <v>21</v>
      </c>
      <c r="K15" t="s">
        <v>21</v>
      </c>
      <c r="L15" t="s">
        <v>115</v>
      </c>
      <c r="Q15">
        <v>1</v>
      </c>
    </row>
    <row r="16" spans="1:17" x14ac:dyDescent="0.25">
      <c r="B16" t="s">
        <v>16</v>
      </c>
      <c r="C16" t="s">
        <v>150</v>
      </c>
      <c r="D16" t="s">
        <v>151</v>
      </c>
      <c r="E16" t="s">
        <v>152</v>
      </c>
      <c r="F16" t="s">
        <v>153</v>
      </c>
      <c r="G16" s="6">
        <v>0</v>
      </c>
      <c r="H16" s="6">
        <v>30</v>
      </c>
      <c r="I16" s="6">
        <f t="shared" si="0"/>
        <v>-30</v>
      </c>
      <c r="J16" t="s">
        <v>21</v>
      </c>
      <c r="K16" t="s">
        <v>21</v>
      </c>
      <c r="L16" t="s">
        <v>115</v>
      </c>
      <c r="Q16">
        <v>1</v>
      </c>
    </row>
    <row r="17" spans="1:17" x14ac:dyDescent="0.25">
      <c r="B17" t="s">
        <v>16</v>
      </c>
      <c r="C17" t="s">
        <v>154</v>
      </c>
      <c r="D17" t="s">
        <v>155</v>
      </c>
      <c r="E17" t="s">
        <v>156</v>
      </c>
      <c r="F17" t="s">
        <v>68</v>
      </c>
      <c r="G17" s="6">
        <v>510</v>
      </c>
      <c r="H17" s="6">
        <v>20</v>
      </c>
      <c r="I17" s="6">
        <f t="shared" si="0"/>
        <v>490</v>
      </c>
      <c r="J17" t="s">
        <v>21</v>
      </c>
      <c r="K17" t="s">
        <v>21</v>
      </c>
      <c r="L17" t="s">
        <v>115</v>
      </c>
      <c r="Q17">
        <v>1</v>
      </c>
    </row>
    <row r="18" spans="1:17" x14ac:dyDescent="0.25">
      <c r="B18" t="s">
        <v>16</v>
      </c>
      <c r="C18" t="s">
        <v>157</v>
      </c>
      <c r="D18" t="s">
        <v>158</v>
      </c>
      <c r="E18" t="s">
        <v>159</v>
      </c>
      <c r="F18" t="s">
        <v>72</v>
      </c>
      <c r="G18" s="6">
        <v>745</v>
      </c>
      <c r="H18" s="6">
        <v>25</v>
      </c>
      <c r="I18" s="6">
        <f t="shared" si="0"/>
        <v>720</v>
      </c>
      <c r="J18" t="s">
        <v>21</v>
      </c>
      <c r="K18" t="s">
        <v>21</v>
      </c>
      <c r="L18" t="s">
        <v>115</v>
      </c>
      <c r="Q18">
        <v>1</v>
      </c>
    </row>
    <row r="19" spans="1:17" x14ac:dyDescent="0.25">
      <c r="B19" t="s">
        <v>16</v>
      </c>
      <c r="C19" t="s">
        <v>160</v>
      </c>
      <c r="D19" t="s">
        <v>161</v>
      </c>
      <c r="E19" t="s">
        <v>162</v>
      </c>
      <c r="F19" t="s">
        <v>68</v>
      </c>
      <c r="G19" s="6">
        <v>0</v>
      </c>
      <c r="H19" s="6">
        <v>20</v>
      </c>
      <c r="I19" s="6">
        <f t="shared" si="0"/>
        <v>-20</v>
      </c>
      <c r="J19" t="s">
        <v>21</v>
      </c>
      <c r="K19" t="s">
        <v>21</v>
      </c>
      <c r="L19" t="s">
        <v>115</v>
      </c>
      <c r="Q19">
        <v>1</v>
      </c>
    </row>
    <row r="20" spans="1:17" x14ac:dyDescent="0.25">
      <c r="A20" t="s">
        <v>62</v>
      </c>
      <c r="B20" t="s">
        <v>16</v>
      </c>
      <c r="C20" t="s">
        <v>163</v>
      </c>
      <c r="E20" t="s">
        <v>164</v>
      </c>
      <c r="F20" t="s">
        <v>88</v>
      </c>
      <c r="G20" s="6">
        <v>30</v>
      </c>
      <c r="H20" s="6">
        <v>30</v>
      </c>
      <c r="I20" s="6">
        <f t="shared" si="0"/>
        <v>0</v>
      </c>
      <c r="J20" t="s">
        <v>165</v>
      </c>
      <c r="K20" t="s">
        <v>21</v>
      </c>
      <c r="L20" t="s">
        <v>115</v>
      </c>
      <c r="Q20">
        <v>1</v>
      </c>
    </row>
    <row r="21" spans="1:17" x14ac:dyDescent="0.25">
      <c r="B21" t="s">
        <v>16</v>
      </c>
      <c r="C21" t="s">
        <v>166</v>
      </c>
      <c r="D21" t="s">
        <v>167</v>
      </c>
      <c r="E21" t="s">
        <v>168</v>
      </c>
      <c r="F21" s="6">
        <v>1</v>
      </c>
      <c r="G21" s="6">
        <v>695</v>
      </c>
      <c r="H21" s="6">
        <v>25</v>
      </c>
      <c r="I21" s="6">
        <f t="shared" si="0"/>
        <v>670</v>
      </c>
      <c r="J21" t="s">
        <v>165</v>
      </c>
      <c r="K21" t="s">
        <v>21</v>
      </c>
      <c r="L21" t="s">
        <v>115</v>
      </c>
      <c r="Q21">
        <v>1</v>
      </c>
    </row>
    <row r="22" spans="1:17" x14ac:dyDescent="0.25">
      <c r="B22" t="s">
        <v>16</v>
      </c>
      <c r="C22" t="s">
        <v>143</v>
      </c>
      <c r="D22" t="s">
        <v>169</v>
      </c>
      <c r="E22" t="s">
        <v>170</v>
      </c>
      <c r="F22" s="6">
        <v>10</v>
      </c>
      <c r="G22" s="6">
        <v>775</v>
      </c>
      <c r="H22" s="6">
        <v>25</v>
      </c>
      <c r="I22" s="6">
        <f t="shared" si="0"/>
        <v>750</v>
      </c>
      <c r="J22" t="s">
        <v>165</v>
      </c>
      <c r="K22" t="s">
        <v>21</v>
      </c>
      <c r="L22" t="s">
        <v>115</v>
      </c>
      <c r="Q22">
        <v>1</v>
      </c>
    </row>
    <row r="23" spans="1:17" x14ac:dyDescent="0.25">
      <c r="B23" t="s">
        <v>16</v>
      </c>
      <c r="C23" t="s">
        <v>171</v>
      </c>
      <c r="D23" t="s">
        <v>172</v>
      </c>
      <c r="E23" t="s">
        <v>173</v>
      </c>
      <c r="F23" s="6">
        <v>1</v>
      </c>
      <c r="G23" s="6">
        <v>0</v>
      </c>
      <c r="H23" s="6">
        <v>25</v>
      </c>
      <c r="I23" s="6">
        <f t="shared" si="0"/>
        <v>-25</v>
      </c>
      <c r="J23" t="s">
        <v>165</v>
      </c>
      <c r="K23" t="s">
        <v>21</v>
      </c>
      <c r="L23" t="s">
        <v>115</v>
      </c>
      <c r="M23" t="s">
        <v>174</v>
      </c>
      <c r="Q23">
        <v>1</v>
      </c>
    </row>
    <row r="24" spans="1:17" x14ac:dyDescent="0.25">
      <c r="B24" t="s">
        <v>16</v>
      </c>
      <c r="C24" t="s">
        <v>175</v>
      </c>
      <c r="D24" t="s">
        <v>176</v>
      </c>
      <c r="E24" t="s">
        <v>177</v>
      </c>
      <c r="F24" s="6">
        <v>1</v>
      </c>
      <c r="G24" s="6">
        <v>695</v>
      </c>
      <c r="H24" s="6">
        <v>25</v>
      </c>
      <c r="I24" s="6">
        <f t="shared" si="0"/>
        <v>670</v>
      </c>
      <c r="J24" t="s">
        <v>165</v>
      </c>
      <c r="K24" t="s">
        <v>21</v>
      </c>
      <c r="L24" t="s">
        <v>115</v>
      </c>
      <c r="Q24">
        <v>1</v>
      </c>
    </row>
    <row r="26" spans="1:17" x14ac:dyDescent="0.25">
      <c r="D26" s="1">
        <f>COUNTA(D3:D24)</f>
        <v>17</v>
      </c>
      <c r="G26" s="1">
        <f t="shared" ref="G26:Q26" si="1">SUBTOTAL(9,G3:G24)</f>
        <v>7845</v>
      </c>
      <c r="H26" s="1">
        <f t="shared" si="1"/>
        <v>640</v>
      </c>
      <c r="I26" s="1">
        <f t="shared" si="1"/>
        <v>7205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</row>
    <row r="27" spans="1:17" x14ac:dyDescent="0.25">
      <c r="H27">
        <f>-3*17</f>
        <v>-51</v>
      </c>
    </row>
    <row r="28" spans="1:17" x14ac:dyDescent="0.25">
      <c r="A28" s="1" t="s">
        <v>16</v>
      </c>
      <c r="C28" s="42" t="s">
        <v>89</v>
      </c>
      <c r="D28" s="42"/>
      <c r="E28" s="4" t="s">
        <v>90</v>
      </c>
      <c r="H28">
        <f>-2*25</f>
        <v>-50</v>
      </c>
      <c r="K28" s="7" t="s">
        <v>21</v>
      </c>
      <c r="L28" s="7" t="s">
        <v>91</v>
      </c>
      <c r="M28" s="7" t="s">
        <v>90</v>
      </c>
      <c r="O28" s="4" t="s">
        <v>92</v>
      </c>
    </row>
    <row r="29" spans="1:17" x14ac:dyDescent="0.25">
      <c r="A29" t="s">
        <v>115</v>
      </c>
      <c r="B29" s="3" t="s">
        <v>93</v>
      </c>
      <c r="C29" s="43">
        <f>SUMIFS(I$3:I$24,B$3:B$24,A$28,L$3:L$24,A$29)</f>
        <v>7205</v>
      </c>
      <c r="D29" s="43"/>
      <c r="E29" s="3">
        <f>SUMIFS(Q$3:Q$24,B$3:B$24,A$28,L$3:L$24,A$29)</f>
        <v>22</v>
      </c>
      <c r="F29" t="s">
        <v>94</v>
      </c>
      <c r="H29">
        <f>-2*30</f>
        <v>-60</v>
      </c>
      <c r="K29" t="s">
        <v>95</v>
      </c>
      <c r="L29">
        <f>SUMIFS(G$3:G$24,J$3:J$24,K$28)</f>
        <v>2585</v>
      </c>
      <c r="M29">
        <f>SUMIFS(Q$3:Q$24,J$3:J$24,K$28)</f>
        <v>10</v>
      </c>
      <c r="O29" t="s">
        <v>21</v>
      </c>
      <c r="P29">
        <f>L34</f>
        <v>2296</v>
      </c>
    </row>
    <row r="30" spans="1:17" x14ac:dyDescent="0.25">
      <c r="B30" s="2" t="s">
        <v>97</v>
      </c>
      <c r="C30" s="44">
        <v>0</v>
      </c>
      <c r="D30" s="44"/>
      <c r="K30" t="s">
        <v>98</v>
      </c>
      <c r="L30">
        <f>-SUMIFS(H$3:H$24,J$3:J$24,K$28)+M30*5</f>
        <v>-245</v>
      </c>
      <c r="M30">
        <f>SUMIFS(Q$3:Q$24,J$3:J$24,K$28)-COUNTIFS(J$3:J$24,K$28,M$3:M$24,"*gộp*")</f>
        <v>10</v>
      </c>
      <c r="O30" t="s">
        <v>165</v>
      </c>
      <c r="P30">
        <f>L42</f>
        <v>2090</v>
      </c>
    </row>
    <row r="31" spans="1:17" x14ac:dyDescent="0.25">
      <c r="B31" s="2" t="s">
        <v>99</v>
      </c>
      <c r="C31" s="44">
        <f>-SUMIFS(I$3:I$24,B$3:B$24,A$28,P$3:P$24,"xx",N$3:N$24,"x")</f>
        <v>0</v>
      </c>
      <c r="D31" s="44"/>
      <c r="E31" s="2">
        <f>SUMIFS(Q$3:Q$24,B$3:B$24,A$28,P$3:P$24,"xx",N$3:N$24,"x")</f>
        <v>0</v>
      </c>
      <c r="K31" t="s">
        <v>100</v>
      </c>
      <c r="L31">
        <f>-M31*2</f>
        <v>-44</v>
      </c>
      <c r="M31">
        <f>Q26-(COUNTIFS(M$3:M$24,"*gộp*")/2)-COUNTIFS(P$3:P$24,"*xx*")</f>
        <v>22</v>
      </c>
      <c r="O31" t="s">
        <v>178</v>
      </c>
      <c r="P31">
        <f>L50</f>
        <v>2904</v>
      </c>
    </row>
    <row r="32" spans="1:17" x14ac:dyDescent="0.25">
      <c r="B32" s="4" t="s">
        <v>101</v>
      </c>
      <c r="C32" s="42">
        <f>SUBTOTAL(9,C29:C31)</f>
        <v>7205</v>
      </c>
      <c r="D32" s="42"/>
      <c r="E32">
        <f>E29</f>
        <v>22</v>
      </c>
      <c r="K32" s="2" t="s">
        <v>102</v>
      </c>
      <c r="O32" t="s">
        <v>103</v>
      </c>
      <c r="P32">
        <f>-C36</f>
        <v>-7205</v>
      </c>
    </row>
    <row r="33" spans="2:16" x14ac:dyDescent="0.25">
      <c r="B33" s="2" t="s">
        <v>104</v>
      </c>
      <c r="C33" s="40"/>
      <c r="D33" s="40"/>
      <c r="K33" s="2" t="s">
        <v>105</v>
      </c>
      <c r="O33" s="4" t="s">
        <v>106</v>
      </c>
      <c r="P33" s="4">
        <f>SUBTOTAL(9,P29:P32)</f>
        <v>85</v>
      </c>
    </row>
    <row r="34" spans="2:16" x14ac:dyDescent="0.25">
      <c r="B34" s="8" t="s">
        <v>107</v>
      </c>
      <c r="C34" s="40"/>
      <c r="D34" s="40"/>
      <c r="L34" s="9">
        <f>SUBTOTAL(9,L29:L33)</f>
        <v>2296</v>
      </c>
      <c r="M34" s="9">
        <f>M29</f>
        <v>10</v>
      </c>
    </row>
    <row r="36" spans="2:16" x14ac:dyDescent="0.25">
      <c r="B36" s="1" t="s">
        <v>108</v>
      </c>
      <c r="C36" s="41">
        <f>C32+C33+C34</f>
        <v>7205</v>
      </c>
      <c r="D36" s="41"/>
      <c r="E36" s="1" t="s">
        <v>109</v>
      </c>
      <c r="K36" s="7" t="s">
        <v>165</v>
      </c>
      <c r="L36" s="7" t="s">
        <v>91</v>
      </c>
      <c r="M36" s="7" t="s">
        <v>90</v>
      </c>
    </row>
    <row r="37" spans="2:16" x14ac:dyDescent="0.25">
      <c r="K37" t="s">
        <v>95</v>
      </c>
      <c r="L37">
        <f>SUMIFS(G$3:G$24,J$3:J$24,K$36)</f>
        <v>2195</v>
      </c>
      <c r="M37">
        <f>SUMIFS(Q$3:Q$24,J$3:J$24,K$36)</f>
        <v>5</v>
      </c>
    </row>
    <row r="38" spans="2:16" x14ac:dyDescent="0.25">
      <c r="K38" t="s">
        <v>98</v>
      </c>
      <c r="L38">
        <f>-SUMIFS(H$3:H$24,J$3:J$24,K$36)+M38*5</f>
        <v>-105</v>
      </c>
      <c r="M38">
        <f>SUMIFS(Q$3:Q$24,J$3:J$24,K$36)-COUNTIFS(J$3:J$24,K$36,M$3:M$24,"*gộp*")</f>
        <v>5</v>
      </c>
    </row>
    <row r="39" spans="2:16" x14ac:dyDescent="0.25">
      <c r="K39" t="s">
        <v>100</v>
      </c>
    </row>
    <row r="40" spans="2:16" x14ac:dyDescent="0.25">
      <c r="K40" s="2" t="s">
        <v>102</v>
      </c>
    </row>
    <row r="41" spans="2:16" x14ac:dyDescent="0.25">
      <c r="K41" s="2" t="s">
        <v>105</v>
      </c>
    </row>
    <row r="42" spans="2:16" x14ac:dyDescent="0.25">
      <c r="L42" s="9">
        <f>SUBTOTAL(9,L37:L41)</f>
        <v>2090</v>
      </c>
      <c r="M42" s="9">
        <f>M37</f>
        <v>5</v>
      </c>
    </row>
    <row r="44" spans="2:16" x14ac:dyDescent="0.25">
      <c r="K44" s="7" t="s">
        <v>114</v>
      </c>
      <c r="L44" s="7" t="s">
        <v>91</v>
      </c>
      <c r="M44" s="7" t="s">
        <v>90</v>
      </c>
    </row>
    <row r="45" spans="2:16" x14ac:dyDescent="0.25">
      <c r="K45" t="s">
        <v>95</v>
      </c>
      <c r="L45">
        <f>SUMIFS(G$3:G$24,J$3:J$24,K$44)</f>
        <v>3065</v>
      </c>
      <c r="M45">
        <f>SUMIFS(Q$3:Q$24,J$3:J$24,K$44)</f>
        <v>7</v>
      </c>
    </row>
    <row r="46" spans="2:16" x14ac:dyDescent="0.25">
      <c r="K46" t="s">
        <v>98</v>
      </c>
      <c r="L46">
        <f>SUM(H27:H29)</f>
        <v>-161</v>
      </c>
      <c r="M46">
        <f>SUMIFS(Q$3:Q$24,J$3:J$24,K$44)</f>
        <v>7</v>
      </c>
    </row>
    <row r="47" spans="2:16" x14ac:dyDescent="0.25">
      <c r="K47" t="s">
        <v>100</v>
      </c>
    </row>
    <row r="48" spans="2:16" x14ac:dyDescent="0.25">
      <c r="K48" s="2" t="s">
        <v>102</v>
      </c>
    </row>
    <row r="49" spans="11:13" x14ac:dyDescent="0.25">
      <c r="K49" s="2" t="s">
        <v>105</v>
      </c>
    </row>
    <row r="50" spans="11:13" x14ac:dyDescent="0.25">
      <c r="L50" s="9">
        <f>SUBTOTAL(9,L45:L49)</f>
        <v>2904</v>
      </c>
      <c r="M50" s="9">
        <f>M45</f>
        <v>7</v>
      </c>
    </row>
  </sheetData>
  <autoFilter ref="A2:P24" xr:uid="{00000000-0009-0000-0000-000001000000}"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80"/>
  <sheetViews>
    <sheetView topLeftCell="A20" workbookViewId="0">
      <selection activeCell="D20" sqref="D20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6.7109375" bestFit="1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179</v>
      </c>
      <c r="D3" t="s">
        <v>180</v>
      </c>
      <c r="E3" t="s">
        <v>181</v>
      </c>
      <c r="F3" s="6">
        <v>9</v>
      </c>
      <c r="G3" s="6">
        <v>30</v>
      </c>
      <c r="H3" s="6">
        <v>30</v>
      </c>
      <c r="I3" s="6">
        <f>G3-H3</f>
        <v>0</v>
      </c>
      <c r="J3" t="s">
        <v>20</v>
      </c>
      <c r="K3" t="s">
        <v>21</v>
      </c>
      <c r="L3" t="s">
        <v>182</v>
      </c>
      <c r="Q3">
        <v>1</v>
      </c>
    </row>
    <row r="4" spans="1:17" x14ac:dyDescent="0.25">
      <c r="B4" t="s">
        <v>16</v>
      </c>
      <c r="C4" t="s">
        <v>183</v>
      </c>
      <c r="D4" t="s">
        <v>184</v>
      </c>
      <c r="E4" t="s">
        <v>185</v>
      </c>
      <c r="F4" s="6">
        <v>9</v>
      </c>
      <c r="G4" s="6">
        <v>920</v>
      </c>
      <c r="H4" s="6">
        <v>30</v>
      </c>
      <c r="I4" s="6">
        <f>G4-H4</f>
        <v>890</v>
      </c>
      <c r="J4" t="s">
        <v>20</v>
      </c>
      <c r="K4" t="s">
        <v>21</v>
      </c>
      <c r="L4" t="s">
        <v>182</v>
      </c>
      <c r="Q4">
        <v>1</v>
      </c>
    </row>
    <row r="5" spans="1:17" x14ac:dyDescent="0.25">
      <c r="B5" t="s">
        <v>16</v>
      </c>
      <c r="C5" t="s">
        <v>186</v>
      </c>
      <c r="D5" t="s">
        <v>187</v>
      </c>
      <c r="E5" t="s">
        <v>188</v>
      </c>
      <c r="F5" s="6">
        <v>9</v>
      </c>
      <c r="G5" s="6">
        <v>0</v>
      </c>
      <c r="H5" s="6">
        <v>30</v>
      </c>
      <c r="I5" s="6">
        <f>-H5</f>
        <v>-30</v>
      </c>
      <c r="J5" t="s">
        <v>20</v>
      </c>
      <c r="K5" t="s">
        <v>21</v>
      </c>
      <c r="L5" t="s">
        <v>182</v>
      </c>
      <c r="Q5">
        <v>1</v>
      </c>
    </row>
    <row r="6" spans="1:17" x14ac:dyDescent="0.25">
      <c r="B6" t="s">
        <v>16</v>
      </c>
      <c r="C6" t="s">
        <v>189</v>
      </c>
      <c r="D6" t="s">
        <v>190</v>
      </c>
      <c r="E6" t="s">
        <v>191</v>
      </c>
      <c r="F6" s="6">
        <v>9</v>
      </c>
      <c r="G6" s="6">
        <v>690</v>
      </c>
      <c r="H6" s="6">
        <v>30</v>
      </c>
      <c r="I6" s="6">
        <f t="shared" ref="I6:I29" si="0">G6-H6</f>
        <v>660</v>
      </c>
      <c r="J6" t="s">
        <v>20</v>
      </c>
      <c r="K6" t="s">
        <v>21</v>
      </c>
      <c r="L6" t="s">
        <v>182</v>
      </c>
      <c r="Q6">
        <v>1</v>
      </c>
    </row>
    <row r="7" spans="1:17" x14ac:dyDescent="0.25">
      <c r="B7" t="s">
        <v>16</v>
      </c>
      <c r="C7" t="s">
        <v>192</v>
      </c>
      <c r="D7" t="s">
        <v>193</v>
      </c>
      <c r="E7" t="s">
        <v>194</v>
      </c>
      <c r="F7" s="6">
        <v>5</v>
      </c>
      <c r="G7" s="6">
        <v>20</v>
      </c>
      <c r="H7" s="6">
        <v>20</v>
      </c>
      <c r="I7" s="6">
        <f t="shared" si="0"/>
        <v>0</v>
      </c>
      <c r="J7" t="s">
        <v>195</v>
      </c>
      <c r="K7" t="s">
        <v>21</v>
      </c>
      <c r="L7" t="s">
        <v>182</v>
      </c>
      <c r="Q7">
        <v>1</v>
      </c>
    </row>
    <row r="8" spans="1:17" x14ac:dyDescent="0.25">
      <c r="B8" t="s">
        <v>16</v>
      </c>
      <c r="C8" t="s">
        <v>196</v>
      </c>
      <c r="D8" t="s">
        <v>197</v>
      </c>
      <c r="E8" t="s">
        <v>198</v>
      </c>
      <c r="F8" s="6">
        <v>12</v>
      </c>
      <c r="G8" s="6">
        <v>820</v>
      </c>
      <c r="H8" s="6">
        <v>30</v>
      </c>
      <c r="I8" s="6">
        <f t="shared" si="0"/>
        <v>790</v>
      </c>
      <c r="J8" t="s">
        <v>195</v>
      </c>
      <c r="K8" t="s">
        <v>21</v>
      </c>
      <c r="L8" t="s">
        <v>182</v>
      </c>
      <c r="Q8">
        <v>1</v>
      </c>
    </row>
    <row r="9" spans="1:17" x14ac:dyDescent="0.25">
      <c r="B9" t="s">
        <v>16</v>
      </c>
      <c r="C9" t="s">
        <v>199</v>
      </c>
      <c r="D9" t="s">
        <v>200</v>
      </c>
      <c r="E9" t="s">
        <v>201</v>
      </c>
      <c r="F9" s="6">
        <v>7</v>
      </c>
      <c r="G9" s="6">
        <v>1330</v>
      </c>
      <c r="H9" s="6">
        <v>30</v>
      </c>
      <c r="I9" s="6">
        <f t="shared" si="0"/>
        <v>1300</v>
      </c>
      <c r="J9" t="s">
        <v>195</v>
      </c>
      <c r="K9" t="s">
        <v>21</v>
      </c>
      <c r="L9" t="s">
        <v>182</v>
      </c>
      <c r="Q9">
        <v>1</v>
      </c>
    </row>
    <row r="10" spans="1:17" x14ac:dyDescent="0.25">
      <c r="B10" t="s">
        <v>16</v>
      </c>
      <c r="C10" t="s">
        <v>202</v>
      </c>
      <c r="D10" t="s">
        <v>203</v>
      </c>
      <c r="E10" t="s">
        <v>204</v>
      </c>
      <c r="F10" t="s">
        <v>88</v>
      </c>
      <c r="G10" s="6">
        <v>375</v>
      </c>
      <c r="H10" s="6">
        <v>25</v>
      </c>
      <c r="I10" s="6">
        <f t="shared" si="0"/>
        <v>350</v>
      </c>
      <c r="J10" t="s">
        <v>195</v>
      </c>
      <c r="K10" t="s">
        <v>21</v>
      </c>
      <c r="L10" t="s">
        <v>182</v>
      </c>
      <c r="Q10">
        <v>1</v>
      </c>
    </row>
    <row r="11" spans="1:17" x14ac:dyDescent="0.25">
      <c r="B11" t="s">
        <v>16</v>
      </c>
      <c r="C11" t="s">
        <v>205</v>
      </c>
      <c r="D11" t="s">
        <v>206</v>
      </c>
      <c r="E11" t="s">
        <v>207</v>
      </c>
      <c r="F11" s="6">
        <v>7</v>
      </c>
      <c r="G11" s="6">
        <v>850</v>
      </c>
      <c r="H11" s="6">
        <v>30</v>
      </c>
      <c r="I11" s="6">
        <f t="shared" si="0"/>
        <v>820</v>
      </c>
      <c r="J11" t="s">
        <v>195</v>
      </c>
      <c r="K11" t="s">
        <v>21</v>
      </c>
      <c r="L11" t="s">
        <v>182</v>
      </c>
      <c r="Q11">
        <v>1</v>
      </c>
    </row>
    <row r="12" spans="1:17" x14ac:dyDescent="0.25">
      <c r="B12" t="s">
        <v>16</v>
      </c>
      <c r="C12" t="s">
        <v>208</v>
      </c>
      <c r="D12" t="s">
        <v>209</v>
      </c>
      <c r="E12" t="s">
        <v>210</v>
      </c>
      <c r="F12" s="6">
        <v>12</v>
      </c>
      <c r="G12" s="6">
        <v>380</v>
      </c>
      <c r="H12" s="6">
        <v>30</v>
      </c>
      <c r="I12" s="6">
        <f t="shared" si="0"/>
        <v>350</v>
      </c>
      <c r="J12" t="s">
        <v>195</v>
      </c>
      <c r="K12" t="s">
        <v>21</v>
      </c>
      <c r="L12" t="s">
        <v>182</v>
      </c>
      <c r="Q12">
        <v>1</v>
      </c>
    </row>
    <row r="13" spans="1:17" x14ac:dyDescent="0.25">
      <c r="B13" t="s">
        <v>16</v>
      </c>
      <c r="C13" t="s">
        <v>211</v>
      </c>
      <c r="D13" t="s">
        <v>212</v>
      </c>
      <c r="E13" t="s">
        <v>213</v>
      </c>
      <c r="F13" s="6">
        <v>7</v>
      </c>
      <c r="G13" s="6">
        <v>670</v>
      </c>
      <c r="H13" s="6">
        <v>30</v>
      </c>
      <c r="I13" s="6">
        <f t="shared" si="0"/>
        <v>640</v>
      </c>
      <c r="J13" t="s">
        <v>195</v>
      </c>
      <c r="K13" t="s">
        <v>21</v>
      </c>
      <c r="L13" t="s">
        <v>182</v>
      </c>
      <c r="Q13">
        <v>1</v>
      </c>
    </row>
    <row r="14" spans="1:17" x14ac:dyDescent="0.25">
      <c r="B14" t="s">
        <v>16</v>
      </c>
      <c r="C14" t="s">
        <v>214</v>
      </c>
      <c r="D14" t="s">
        <v>215</v>
      </c>
      <c r="E14" t="s">
        <v>216</v>
      </c>
      <c r="F14" t="s">
        <v>217</v>
      </c>
      <c r="G14" s="6">
        <v>365</v>
      </c>
      <c r="H14" s="6">
        <v>25</v>
      </c>
      <c r="I14" s="6">
        <f t="shared" si="0"/>
        <v>340</v>
      </c>
      <c r="J14" t="s">
        <v>195</v>
      </c>
      <c r="K14" t="s">
        <v>21</v>
      </c>
      <c r="L14" t="s">
        <v>182</v>
      </c>
      <c r="Q14">
        <v>1</v>
      </c>
    </row>
    <row r="15" spans="1:17" x14ac:dyDescent="0.25">
      <c r="B15" t="s">
        <v>16</v>
      </c>
      <c r="C15" t="s">
        <v>218</v>
      </c>
      <c r="D15" t="s">
        <v>219</v>
      </c>
      <c r="E15" t="s">
        <v>220</v>
      </c>
      <c r="F15" s="6">
        <v>8</v>
      </c>
      <c r="G15" s="6">
        <v>1460</v>
      </c>
      <c r="H15" s="6">
        <v>30</v>
      </c>
      <c r="I15" s="6">
        <f t="shared" si="0"/>
        <v>1430</v>
      </c>
      <c r="J15" t="s">
        <v>195</v>
      </c>
      <c r="K15" t="s">
        <v>21</v>
      </c>
      <c r="L15" t="s">
        <v>182</v>
      </c>
      <c r="Q15">
        <v>1</v>
      </c>
    </row>
    <row r="16" spans="1:17" x14ac:dyDescent="0.25">
      <c r="B16" t="s">
        <v>16</v>
      </c>
      <c r="C16" t="s">
        <v>221</v>
      </c>
      <c r="D16" t="s">
        <v>222</v>
      </c>
      <c r="E16" t="s">
        <v>223</v>
      </c>
      <c r="F16" s="6">
        <v>8</v>
      </c>
      <c r="G16" s="6">
        <v>1440</v>
      </c>
      <c r="H16" s="6">
        <v>30</v>
      </c>
      <c r="I16" s="6">
        <f t="shared" si="0"/>
        <v>1410</v>
      </c>
      <c r="J16" t="s">
        <v>195</v>
      </c>
      <c r="K16" t="s">
        <v>21</v>
      </c>
      <c r="L16" t="s">
        <v>182</v>
      </c>
      <c r="Q16">
        <v>1</v>
      </c>
    </row>
    <row r="17" spans="1:17" x14ac:dyDescent="0.25">
      <c r="B17" t="s">
        <v>16</v>
      </c>
      <c r="C17" t="s">
        <v>224</v>
      </c>
      <c r="D17" t="s">
        <v>225</v>
      </c>
      <c r="E17" t="s">
        <v>226</v>
      </c>
      <c r="F17" s="6">
        <v>10</v>
      </c>
      <c r="G17" s="6">
        <v>375</v>
      </c>
      <c r="H17" s="6">
        <v>25</v>
      </c>
      <c r="I17" s="6">
        <f t="shared" si="0"/>
        <v>350</v>
      </c>
      <c r="J17" t="s">
        <v>195</v>
      </c>
      <c r="K17" t="s">
        <v>21</v>
      </c>
      <c r="L17" t="s">
        <v>182</v>
      </c>
      <c r="Q17">
        <v>1</v>
      </c>
    </row>
    <row r="18" spans="1:17" x14ac:dyDescent="0.25">
      <c r="B18" t="s">
        <v>16</v>
      </c>
      <c r="C18" t="s">
        <v>227</v>
      </c>
      <c r="D18" t="s">
        <v>228</v>
      </c>
      <c r="E18" t="s">
        <v>229</v>
      </c>
      <c r="F18" s="6">
        <v>10</v>
      </c>
      <c r="G18" s="6">
        <v>745</v>
      </c>
      <c r="H18" s="6">
        <v>25</v>
      </c>
      <c r="I18" s="6">
        <f t="shared" si="0"/>
        <v>720</v>
      </c>
      <c r="J18" t="s">
        <v>195</v>
      </c>
      <c r="K18" t="s">
        <v>21</v>
      </c>
      <c r="L18" t="s">
        <v>182</v>
      </c>
      <c r="Q18">
        <v>1</v>
      </c>
    </row>
    <row r="19" spans="1:17" x14ac:dyDescent="0.25">
      <c r="B19" t="s">
        <v>16</v>
      </c>
      <c r="C19" t="s">
        <v>230</v>
      </c>
      <c r="D19" t="s">
        <v>231</v>
      </c>
      <c r="E19" t="s">
        <v>232</v>
      </c>
      <c r="F19" s="6">
        <v>5</v>
      </c>
      <c r="G19" s="6">
        <v>30</v>
      </c>
      <c r="H19" s="6">
        <v>30</v>
      </c>
      <c r="I19" s="6">
        <f t="shared" si="0"/>
        <v>0</v>
      </c>
      <c r="J19" t="s">
        <v>195</v>
      </c>
      <c r="K19" t="s">
        <v>21</v>
      </c>
      <c r="L19" t="s">
        <v>182</v>
      </c>
      <c r="M19" t="s">
        <v>49</v>
      </c>
      <c r="Q19">
        <v>1</v>
      </c>
    </row>
    <row r="20" spans="1:17" x14ac:dyDescent="0.25">
      <c r="B20" t="s">
        <v>16</v>
      </c>
      <c r="C20" t="s">
        <v>233</v>
      </c>
      <c r="D20" t="s">
        <v>234</v>
      </c>
      <c r="E20" t="s">
        <v>235</v>
      </c>
      <c r="F20" t="s">
        <v>128</v>
      </c>
      <c r="G20" s="6">
        <v>695</v>
      </c>
      <c r="H20" s="6">
        <v>35</v>
      </c>
      <c r="I20" s="6">
        <f t="shared" si="0"/>
        <v>660</v>
      </c>
      <c r="J20" t="s">
        <v>195</v>
      </c>
      <c r="K20" t="s">
        <v>21</v>
      </c>
      <c r="L20" t="s">
        <v>182</v>
      </c>
      <c r="Q20">
        <v>1</v>
      </c>
    </row>
    <row r="21" spans="1:17" x14ac:dyDescent="0.25">
      <c r="B21" t="s">
        <v>16</v>
      </c>
      <c r="C21" t="s">
        <v>236</v>
      </c>
      <c r="D21" t="s">
        <v>237</v>
      </c>
      <c r="E21" t="s">
        <v>238</v>
      </c>
      <c r="F21" s="6">
        <v>10</v>
      </c>
      <c r="G21" s="6">
        <v>765</v>
      </c>
      <c r="H21" s="6">
        <v>25</v>
      </c>
      <c r="I21" s="6">
        <f t="shared" si="0"/>
        <v>740</v>
      </c>
      <c r="J21" t="s">
        <v>195</v>
      </c>
      <c r="K21" t="s">
        <v>21</v>
      </c>
      <c r="L21" t="s">
        <v>182</v>
      </c>
      <c r="Q21">
        <v>1</v>
      </c>
    </row>
    <row r="22" spans="1:17" x14ac:dyDescent="0.25">
      <c r="B22" t="s">
        <v>16</v>
      </c>
      <c r="C22" t="s">
        <v>239</v>
      </c>
      <c r="D22" t="s">
        <v>240</v>
      </c>
      <c r="E22" t="s">
        <v>241</v>
      </c>
      <c r="F22" s="6">
        <v>1</v>
      </c>
      <c r="G22" s="6">
        <v>680</v>
      </c>
      <c r="H22" s="6">
        <v>20</v>
      </c>
      <c r="I22" s="6">
        <f t="shared" si="0"/>
        <v>660</v>
      </c>
      <c r="J22" t="s">
        <v>195</v>
      </c>
      <c r="K22" t="s">
        <v>21</v>
      </c>
      <c r="L22" t="s">
        <v>182</v>
      </c>
      <c r="Q22">
        <v>1</v>
      </c>
    </row>
    <row r="23" spans="1:17" x14ac:dyDescent="0.25">
      <c r="B23" t="s">
        <v>16</v>
      </c>
      <c r="C23" t="s">
        <v>242</v>
      </c>
      <c r="D23" t="s">
        <v>243</v>
      </c>
      <c r="E23" t="s">
        <v>244</v>
      </c>
      <c r="F23" s="6">
        <v>10</v>
      </c>
      <c r="G23" s="6">
        <v>815</v>
      </c>
      <c r="H23" s="6">
        <v>25</v>
      </c>
      <c r="I23" s="6">
        <f t="shared" si="0"/>
        <v>790</v>
      </c>
      <c r="J23" t="s">
        <v>195</v>
      </c>
      <c r="K23" t="s">
        <v>21</v>
      </c>
      <c r="L23" t="s">
        <v>182</v>
      </c>
      <c r="Q23">
        <v>1</v>
      </c>
    </row>
    <row r="24" spans="1:17" x14ac:dyDescent="0.25">
      <c r="B24" t="s">
        <v>16</v>
      </c>
      <c r="C24" t="s">
        <v>196</v>
      </c>
      <c r="D24" t="s">
        <v>245</v>
      </c>
      <c r="E24" t="s">
        <v>246</v>
      </c>
      <c r="F24" s="6">
        <v>12</v>
      </c>
      <c r="G24" s="6">
        <v>690</v>
      </c>
      <c r="H24" s="6">
        <v>30</v>
      </c>
      <c r="I24" s="6">
        <f t="shared" si="0"/>
        <v>660</v>
      </c>
      <c r="J24" t="s">
        <v>195</v>
      </c>
      <c r="K24" t="s">
        <v>21</v>
      </c>
      <c r="L24" t="s">
        <v>182</v>
      </c>
      <c r="Q24">
        <v>1</v>
      </c>
    </row>
    <row r="25" spans="1:17" x14ac:dyDescent="0.25">
      <c r="B25" t="s">
        <v>16</v>
      </c>
      <c r="C25" t="s">
        <v>247</v>
      </c>
      <c r="D25" t="s">
        <v>248</v>
      </c>
      <c r="E25" t="s">
        <v>249</v>
      </c>
      <c r="F25" t="s">
        <v>128</v>
      </c>
      <c r="G25" s="6">
        <v>765</v>
      </c>
      <c r="H25" s="6">
        <v>35</v>
      </c>
      <c r="I25" s="6">
        <f t="shared" si="0"/>
        <v>730</v>
      </c>
      <c r="J25" t="s">
        <v>195</v>
      </c>
      <c r="K25" t="s">
        <v>21</v>
      </c>
      <c r="L25" t="s">
        <v>182</v>
      </c>
      <c r="Q25">
        <v>1</v>
      </c>
    </row>
    <row r="26" spans="1:17" x14ac:dyDescent="0.25">
      <c r="B26" t="s">
        <v>16</v>
      </c>
      <c r="C26" t="s">
        <v>250</v>
      </c>
      <c r="D26" t="s">
        <v>251</v>
      </c>
      <c r="E26" t="s">
        <v>252</v>
      </c>
      <c r="F26" t="s">
        <v>26</v>
      </c>
      <c r="G26" s="6">
        <v>690</v>
      </c>
      <c r="H26" s="6">
        <v>30</v>
      </c>
      <c r="I26" s="6">
        <f t="shared" si="0"/>
        <v>660</v>
      </c>
      <c r="J26" t="s">
        <v>195</v>
      </c>
      <c r="K26" t="s">
        <v>21</v>
      </c>
      <c r="L26" t="s">
        <v>182</v>
      </c>
      <c r="Q26">
        <v>1</v>
      </c>
    </row>
    <row r="27" spans="1:17" x14ac:dyDescent="0.25">
      <c r="B27" t="s">
        <v>16</v>
      </c>
      <c r="C27" t="s">
        <v>253</v>
      </c>
      <c r="D27" t="s">
        <v>254</v>
      </c>
      <c r="E27" t="s">
        <v>255</v>
      </c>
      <c r="F27" s="6">
        <v>7</v>
      </c>
      <c r="G27" s="6">
        <v>890</v>
      </c>
      <c r="H27" s="6">
        <v>30</v>
      </c>
      <c r="I27" s="6">
        <f t="shared" si="0"/>
        <v>860</v>
      </c>
      <c r="J27" t="s">
        <v>195</v>
      </c>
      <c r="K27" t="s">
        <v>21</v>
      </c>
      <c r="L27" t="s">
        <v>182</v>
      </c>
      <c r="Q27">
        <v>1</v>
      </c>
    </row>
    <row r="28" spans="1:17" x14ac:dyDescent="0.25">
      <c r="B28" t="s">
        <v>16</v>
      </c>
      <c r="C28" t="s">
        <v>256</v>
      </c>
      <c r="D28" t="s">
        <v>257</v>
      </c>
      <c r="E28" t="s">
        <v>258</v>
      </c>
      <c r="F28" t="s">
        <v>259</v>
      </c>
      <c r="G28" s="6">
        <v>695</v>
      </c>
      <c r="H28" s="6">
        <v>35</v>
      </c>
      <c r="I28" s="6">
        <f t="shared" si="0"/>
        <v>660</v>
      </c>
      <c r="J28" t="s">
        <v>195</v>
      </c>
      <c r="K28" t="s">
        <v>21</v>
      </c>
      <c r="L28" t="s">
        <v>182</v>
      </c>
      <c r="Q28">
        <v>1</v>
      </c>
    </row>
    <row r="29" spans="1:17" x14ac:dyDescent="0.25">
      <c r="B29" t="s">
        <v>16</v>
      </c>
      <c r="C29" t="s">
        <v>260</v>
      </c>
      <c r="D29" t="s">
        <v>261</v>
      </c>
      <c r="E29" t="s">
        <v>262</v>
      </c>
      <c r="F29" s="6">
        <v>8</v>
      </c>
      <c r="G29" s="6">
        <v>845</v>
      </c>
      <c r="H29" s="6">
        <v>25</v>
      </c>
      <c r="I29" s="6">
        <f t="shared" si="0"/>
        <v>820</v>
      </c>
      <c r="J29" t="s">
        <v>195</v>
      </c>
      <c r="K29" t="s">
        <v>21</v>
      </c>
      <c r="L29" t="s">
        <v>182</v>
      </c>
      <c r="Q29">
        <v>1</v>
      </c>
    </row>
    <row r="30" spans="1:17" x14ac:dyDescent="0.25">
      <c r="A30" t="s">
        <v>62</v>
      </c>
      <c r="B30" t="s">
        <v>16</v>
      </c>
      <c r="C30" t="s">
        <v>63</v>
      </c>
      <c r="E30" t="s">
        <v>64</v>
      </c>
      <c r="F30" s="6">
        <v>6</v>
      </c>
      <c r="G30" s="6">
        <v>0</v>
      </c>
      <c r="H30" s="6">
        <v>30</v>
      </c>
      <c r="I30" s="6">
        <f>-H30</f>
        <v>-30</v>
      </c>
      <c r="J30" t="s">
        <v>195</v>
      </c>
      <c r="K30" t="s">
        <v>21</v>
      </c>
      <c r="L30" t="s">
        <v>182</v>
      </c>
      <c r="Q30">
        <v>1</v>
      </c>
    </row>
    <row r="31" spans="1:17" x14ac:dyDescent="0.25">
      <c r="A31" t="s">
        <v>62</v>
      </c>
      <c r="B31" t="s">
        <v>16</v>
      </c>
      <c r="C31" t="s">
        <v>263</v>
      </c>
      <c r="E31" t="s">
        <v>264</v>
      </c>
      <c r="F31" s="6">
        <v>12</v>
      </c>
      <c r="G31" s="6">
        <v>0</v>
      </c>
      <c r="H31" s="6">
        <v>35</v>
      </c>
      <c r="I31" s="6">
        <f>-H31</f>
        <v>-35</v>
      </c>
      <c r="J31" t="s">
        <v>195</v>
      </c>
      <c r="K31" t="s">
        <v>21</v>
      </c>
      <c r="L31" t="s">
        <v>182</v>
      </c>
      <c r="Q31">
        <v>1</v>
      </c>
    </row>
    <row r="32" spans="1:17" x14ac:dyDescent="0.25">
      <c r="A32" t="s">
        <v>62</v>
      </c>
      <c r="B32" t="s">
        <v>16</v>
      </c>
      <c r="C32" t="s">
        <v>265</v>
      </c>
      <c r="E32" t="s">
        <v>266</v>
      </c>
      <c r="F32" s="6">
        <v>6</v>
      </c>
      <c r="G32" s="6">
        <v>35</v>
      </c>
      <c r="H32" s="6">
        <v>35</v>
      </c>
      <c r="I32" s="6">
        <f>G32-H32</f>
        <v>0</v>
      </c>
      <c r="J32" t="s">
        <v>195</v>
      </c>
      <c r="K32" t="s">
        <v>21</v>
      </c>
      <c r="L32" t="s">
        <v>182</v>
      </c>
      <c r="Q32">
        <v>1</v>
      </c>
    </row>
    <row r="33" spans="1:17" x14ac:dyDescent="0.25">
      <c r="A33" t="s">
        <v>62</v>
      </c>
      <c r="B33" t="s">
        <v>16</v>
      </c>
      <c r="C33" t="s">
        <v>267</v>
      </c>
      <c r="E33" t="s">
        <v>268</v>
      </c>
      <c r="F33" s="6">
        <v>6</v>
      </c>
      <c r="G33" s="6">
        <v>0</v>
      </c>
      <c r="H33" s="6">
        <v>30</v>
      </c>
      <c r="I33" s="6">
        <f>-H33</f>
        <v>-30</v>
      </c>
      <c r="J33" t="s">
        <v>195</v>
      </c>
      <c r="K33" t="s">
        <v>21</v>
      </c>
      <c r="L33" t="s">
        <v>182</v>
      </c>
      <c r="M33" t="s">
        <v>49</v>
      </c>
      <c r="Q33">
        <v>1</v>
      </c>
    </row>
    <row r="34" spans="1:17" x14ac:dyDescent="0.25">
      <c r="B34" t="s">
        <v>16</v>
      </c>
      <c r="C34" t="s">
        <v>269</v>
      </c>
      <c r="D34" t="s">
        <v>270</v>
      </c>
      <c r="E34" t="s">
        <v>271</v>
      </c>
      <c r="F34" t="s">
        <v>85</v>
      </c>
      <c r="G34" s="6">
        <v>680</v>
      </c>
      <c r="H34" s="6">
        <v>20</v>
      </c>
      <c r="I34" s="6">
        <f>G34-H34</f>
        <v>660</v>
      </c>
      <c r="J34" t="s">
        <v>21</v>
      </c>
      <c r="K34" t="s">
        <v>21</v>
      </c>
      <c r="L34" t="s">
        <v>182</v>
      </c>
      <c r="Q34">
        <v>1</v>
      </c>
    </row>
    <row r="35" spans="1:17" x14ac:dyDescent="0.25">
      <c r="B35" t="s">
        <v>16</v>
      </c>
      <c r="C35" t="s">
        <v>272</v>
      </c>
      <c r="D35" t="s">
        <v>273</v>
      </c>
      <c r="E35" t="s">
        <v>274</v>
      </c>
      <c r="F35" t="s">
        <v>88</v>
      </c>
      <c r="G35" s="6">
        <v>685</v>
      </c>
      <c r="H35" s="6">
        <v>25</v>
      </c>
      <c r="I35" s="6">
        <f>G35-H35</f>
        <v>660</v>
      </c>
      <c r="J35" t="s">
        <v>21</v>
      </c>
      <c r="K35" t="s">
        <v>21</v>
      </c>
      <c r="L35" t="s">
        <v>182</v>
      </c>
      <c r="Q35">
        <v>1</v>
      </c>
    </row>
    <row r="36" spans="1:17" x14ac:dyDescent="0.25">
      <c r="B36" t="s">
        <v>16</v>
      </c>
      <c r="C36" t="s">
        <v>275</v>
      </c>
      <c r="D36" t="s">
        <v>276</v>
      </c>
      <c r="E36" t="s">
        <v>277</v>
      </c>
      <c r="F36" s="6">
        <v>2</v>
      </c>
      <c r="G36" s="6">
        <v>1500</v>
      </c>
      <c r="H36" s="6">
        <v>30</v>
      </c>
      <c r="I36" s="6">
        <f>G36-H36</f>
        <v>1470</v>
      </c>
      <c r="J36" t="s">
        <v>21</v>
      </c>
      <c r="K36" t="s">
        <v>21</v>
      </c>
      <c r="L36" t="s">
        <v>182</v>
      </c>
      <c r="Q36">
        <v>1</v>
      </c>
    </row>
    <row r="37" spans="1:17" x14ac:dyDescent="0.25">
      <c r="B37" t="s">
        <v>16</v>
      </c>
      <c r="C37" t="s">
        <v>278</v>
      </c>
      <c r="D37" t="s">
        <v>279</v>
      </c>
      <c r="E37" t="s">
        <v>280</v>
      </c>
      <c r="F37" t="s">
        <v>72</v>
      </c>
      <c r="G37" s="6">
        <v>0</v>
      </c>
      <c r="H37" s="6">
        <v>25</v>
      </c>
      <c r="I37" s="6">
        <f>-H37</f>
        <v>-25</v>
      </c>
      <c r="J37" t="s">
        <v>21</v>
      </c>
      <c r="K37" t="s">
        <v>21</v>
      </c>
      <c r="L37" t="s">
        <v>182</v>
      </c>
      <c r="Q37">
        <v>1</v>
      </c>
    </row>
    <row r="38" spans="1:17" x14ac:dyDescent="0.25">
      <c r="B38" t="s">
        <v>16</v>
      </c>
      <c r="C38" t="s">
        <v>281</v>
      </c>
      <c r="D38" t="s">
        <v>282</v>
      </c>
      <c r="E38" t="s">
        <v>283</v>
      </c>
      <c r="F38" t="s">
        <v>85</v>
      </c>
      <c r="G38" s="6">
        <v>0</v>
      </c>
      <c r="H38" s="6">
        <v>20</v>
      </c>
      <c r="I38" s="6">
        <f>-H38</f>
        <v>-20</v>
      </c>
      <c r="J38" t="s">
        <v>21</v>
      </c>
      <c r="K38" t="s">
        <v>21</v>
      </c>
      <c r="L38" t="s">
        <v>182</v>
      </c>
      <c r="Q38">
        <v>1</v>
      </c>
    </row>
    <row r="39" spans="1:17" x14ac:dyDescent="0.25">
      <c r="B39" t="s">
        <v>16</v>
      </c>
      <c r="C39" t="s">
        <v>284</v>
      </c>
      <c r="D39" t="s">
        <v>285</v>
      </c>
      <c r="E39" t="s">
        <v>286</v>
      </c>
      <c r="F39" t="s">
        <v>153</v>
      </c>
      <c r="G39" s="6">
        <v>690</v>
      </c>
      <c r="H39" s="6">
        <v>30</v>
      </c>
      <c r="I39" s="6">
        <f>G39-H39</f>
        <v>660</v>
      </c>
      <c r="J39" t="s">
        <v>21</v>
      </c>
      <c r="K39" t="s">
        <v>21</v>
      </c>
      <c r="L39" t="s">
        <v>182</v>
      </c>
      <c r="Q39">
        <v>1</v>
      </c>
    </row>
    <row r="40" spans="1:17" x14ac:dyDescent="0.25">
      <c r="B40" t="s">
        <v>16</v>
      </c>
      <c r="C40" t="s">
        <v>287</v>
      </c>
      <c r="D40" t="s">
        <v>288</v>
      </c>
      <c r="E40" t="s">
        <v>289</v>
      </c>
      <c r="F40" t="s">
        <v>153</v>
      </c>
      <c r="G40" s="6">
        <v>0</v>
      </c>
      <c r="H40" s="6">
        <v>30</v>
      </c>
      <c r="I40" s="6">
        <f>-H40</f>
        <v>-30</v>
      </c>
      <c r="J40" t="s">
        <v>21</v>
      </c>
      <c r="K40" t="s">
        <v>21</v>
      </c>
      <c r="L40" t="s">
        <v>182</v>
      </c>
      <c r="Q40">
        <v>1</v>
      </c>
    </row>
    <row r="41" spans="1:17" x14ac:dyDescent="0.25">
      <c r="B41" t="s">
        <v>16</v>
      </c>
      <c r="C41" t="s">
        <v>136</v>
      </c>
      <c r="D41" t="s">
        <v>290</v>
      </c>
      <c r="E41" t="s">
        <v>138</v>
      </c>
      <c r="F41" t="s">
        <v>68</v>
      </c>
      <c r="G41" s="6">
        <v>0</v>
      </c>
      <c r="H41" s="6">
        <v>20</v>
      </c>
      <c r="I41" s="6">
        <f>-H41</f>
        <v>-20</v>
      </c>
      <c r="J41" t="s">
        <v>21</v>
      </c>
      <c r="K41" t="s">
        <v>21</v>
      </c>
      <c r="L41" t="s">
        <v>182</v>
      </c>
      <c r="Q41">
        <v>1</v>
      </c>
    </row>
    <row r="42" spans="1:17" x14ac:dyDescent="0.25">
      <c r="B42" t="s">
        <v>16</v>
      </c>
      <c r="C42" t="s">
        <v>291</v>
      </c>
      <c r="D42" t="s">
        <v>292</v>
      </c>
      <c r="E42" t="s">
        <v>293</v>
      </c>
      <c r="F42" s="6">
        <v>2</v>
      </c>
      <c r="G42" s="6">
        <v>1480</v>
      </c>
      <c r="H42" s="6">
        <v>30</v>
      </c>
      <c r="I42" s="6">
        <f t="shared" ref="I42:I53" si="1">G42-H42</f>
        <v>1450</v>
      </c>
      <c r="J42" t="s">
        <v>21</v>
      </c>
      <c r="K42" t="s">
        <v>21</v>
      </c>
      <c r="L42" t="s">
        <v>182</v>
      </c>
      <c r="Q42">
        <v>1</v>
      </c>
    </row>
    <row r="43" spans="1:17" x14ac:dyDescent="0.25">
      <c r="B43" t="s">
        <v>16</v>
      </c>
      <c r="C43" t="s">
        <v>294</v>
      </c>
      <c r="D43" t="s">
        <v>295</v>
      </c>
      <c r="E43" t="s">
        <v>296</v>
      </c>
      <c r="F43" s="6">
        <v>3</v>
      </c>
      <c r="G43" s="6">
        <v>685</v>
      </c>
      <c r="H43" s="6">
        <v>25</v>
      </c>
      <c r="I43" s="6">
        <f t="shared" si="1"/>
        <v>660</v>
      </c>
      <c r="J43" t="s">
        <v>21</v>
      </c>
      <c r="K43" t="s">
        <v>21</v>
      </c>
      <c r="L43" t="s">
        <v>182</v>
      </c>
      <c r="Q43">
        <v>1</v>
      </c>
    </row>
    <row r="44" spans="1:17" x14ac:dyDescent="0.25">
      <c r="B44" t="s">
        <v>16</v>
      </c>
      <c r="C44" t="s">
        <v>297</v>
      </c>
      <c r="D44" t="s">
        <v>298</v>
      </c>
      <c r="E44" t="s">
        <v>299</v>
      </c>
      <c r="F44" t="s">
        <v>68</v>
      </c>
      <c r="G44" s="6">
        <v>770</v>
      </c>
      <c r="H44" s="6">
        <v>20</v>
      </c>
      <c r="I44" s="6">
        <f t="shared" si="1"/>
        <v>750</v>
      </c>
      <c r="J44" t="s">
        <v>21</v>
      </c>
      <c r="K44" t="s">
        <v>21</v>
      </c>
      <c r="L44" t="s">
        <v>182</v>
      </c>
      <c r="Q44">
        <v>1</v>
      </c>
    </row>
    <row r="45" spans="1:17" x14ac:dyDescent="0.25">
      <c r="B45" t="s">
        <v>16</v>
      </c>
      <c r="C45" t="s">
        <v>300</v>
      </c>
      <c r="D45" t="s">
        <v>301</v>
      </c>
      <c r="E45" t="s">
        <v>302</v>
      </c>
      <c r="F45" t="s">
        <v>68</v>
      </c>
      <c r="G45" s="6">
        <v>680</v>
      </c>
      <c r="H45" s="6">
        <v>20</v>
      </c>
      <c r="I45" s="6">
        <f t="shared" si="1"/>
        <v>660</v>
      </c>
      <c r="J45" t="s">
        <v>21</v>
      </c>
      <c r="K45" t="s">
        <v>21</v>
      </c>
      <c r="L45" t="s">
        <v>182</v>
      </c>
      <c r="Q45">
        <v>1</v>
      </c>
    </row>
    <row r="46" spans="1:17" x14ac:dyDescent="0.25">
      <c r="B46" t="s">
        <v>16</v>
      </c>
      <c r="C46" t="s">
        <v>303</v>
      </c>
      <c r="D46" t="s">
        <v>304</v>
      </c>
      <c r="E46" t="s">
        <v>305</v>
      </c>
      <c r="F46" t="s">
        <v>153</v>
      </c>
      <c r="G46" s="6">
        <v>1030</v>
      </c>
      <c r="H46" s="6">
        <v>30</v>
      </c>
      <c r="I46" s="6">
        <f t="shared" si="1"/>
        <v>1000</v>
      </c>
      <c r="J46" t="s">
        <v>21</v>
      </c>
      <c r="K46" t="s">
        <v>21</v>
      </c>
      <c r="L46" t="s">
        <v>182</v>
      </c>
      <c r="Q46">
        <v>1</v>
      </c>
    </row>
    <row r="47" spans="1:17" x14ac:dyDescent="0.25">
      <c r="B47" t="s">
        <v>16</v>
      </c>
      <c r="C47" t="s">
        <v>306</v>
      </c>
      <c r="D47" t="s">
        <v>307</v>
      </c>
      <c r="E47" t="s">
        <v>308</v>
      </c>
      <c r="F47" t="s">
        <v>68</v>
      </c>
      <c r="G47" s="6">
        <v>680</v>
      </c>
      <c r="H47" s="6">
        <v>20</v>
      </c>
      <c r="I47" s="6">
        <f t="shared" si="1"/>
        <v>660</v>
      </c>
      <c r="J47" t="s">
        <v>21</v>
      </c>
      <c r="K47" t="s">
        <v>21</v>
      </c>
      <c r="L47" t="s">
        <v>182</v>
      </c>
      <c r="Q47">
        <v>1</v>
      </c>
    </row>
    <row r="48" spans="1:17" x14ac:dyDescent="0.25">
      <c r="B48" t="s">
        <v>16</v>
      </c>
      <c r="C48" t="s">
        <v>309</v>
      </c>
      <c r="D48" t="s">
        <v>310</v>
      </c>
      <c r="E48" t="s">
        <v>311</v>
      </c>
      <c r="F48" t="s">
        <v>72</v>
      </c>
      <c r="G48" s="6">
        <v>685</v>
      </c>
      <c r="H48" s="6">
        <v>25</v>
      </c>
      <c r="I48" s="6">
        <f t="shared" si="1"/>
        <v>660</v>
      </c>
      <c r="J48" t="s">
        <v>21</v>
      </c>
      <c r="K48" t="s">
        <v>21</v>
      </c>
      <c r="L48" t="s">
        <v>182</v>
      </c>
      <c r="M48" t="s">
        <v>312</v>
      </c>
      <c r="Q48">
        <v>1</v>
      </c>
    </row>
    <row r="49" spans="1:17" x14ac:dyDescent="0.25">
      <c r="B49" t="s">
        <v>16</v>
      </c>
      <c r="C49" t="s">
        <v>313</v>
      </c>
      <c r="D49" t="s">
        <v>314</v>
      </c>
      <c r="E49" t="s">
        <v>315</v>
      </c>
      <c r="F49" t="s">
        <v>88</v>
      </c>
      <c r="G49" s="6">
        <v>820</v>
      </c>
      <c r="H49" s="6">
        <v>0</v>
      </c>
      <c r="I49" s="6">
        <f t="shared" si="1"/>
        <v>820</v>
      </c>
      <c r="J49" t="s">
        <v>21</v>
      </c>
      <c r="K49" t="s">
        <v>21</v>
      </c>
      <c r="L49" t="s">
        <v>182</v>
      </c>
      <c r="M49" t="s">
        <v>312</v>
      </c>
      <c r="Q49">
        <v>1</v>
      </c>
    </row>
    <row r="50" spans="1:17" x14ac:dyDescent="0.25">
      <c r="B50" t="s">
        <v>16</v>
      </c>
      <c r="C50" t="s">
        <v>313</v>
      </c>
      <c r="D50" t="s">
        <v>316</v>
      </c>
      <c r="E50" t="s">
        <v>315</v>
      </c>
      <c r="F50" t="s">
        <v>88</v>
      </c>
      <c r="G50" s="6">
        <v>1585</v>
      </c>
      <c r="H50" s="6">
        <v>25</v>
      </c>
      <c r="I50" s="6">
        <f t="shared" si="1"/>
        <v>1560</v>
      </c>
      <c r="J50" t="s">
        <v>21</v>
      </c>
      <c r="K50" t="s">
        <v>21</v>
      </c>
      <c r="L50" t="s">
        <v>182</v>
      </c>
      <c r="M50" t="s">
        <v>312</v>
      </c>
      <c r="Q50">
        <v>1</v>
      </c>
    </row>
    <row r="51" spans="1:17" x14ac:dyDescent="0.25">
      <c r="B51" t="s">
        <v>16</v>
      </c>
      <c r="C51" t="s">
        <v>309</v>
      </c>
      <c r="D51" t="s">
        <v>317</v>
      </c>
      <c r="E51" t="s">
        <v>311</v>
      </c>
      <c r="F51" t="s">
        <v>72</v>
      </c>
      <c r="G51" s="6">
        <v>1050</v>
      </c>
      <c r="H51" s="6">
        <v>0</v>
      </c>
      <c r="I51" s="6">
        <f t="shared" si="1"/>
        <v>1050</v>
      </c>
      <c r="J51" t="s">
        <v>21</v>
      </c>
      <c r="K51" t="s">
        <v>21</v>
      </c>
      <c r="L51" t="s">
        <v>182</v>
      </c>
      <c r="M51" t="s">
        <v>312</v>
      </c>
      <c r="Q51">
        <v>1</v>
      </c>
    </row>
    <row r="52" spans="1:17" x14ac:dyDescent="0.25">
      <c r="A52" t="s">
        <v>62</v>
      </c>
      <c r="B52" t="s">
        <v>16</v>
      </c>
      <c r="C52" t="s">
        <v>318</v>
      </c>
      <c r="E52" t="s">
        <v>319</v>
      </c>
      <c r="F52" t="s">
        <v>72</v>
      </c>
      <c r="G52" s="6">
        <v>30</v>
      </c>
      <c r="H52" s="6">
        <v>30</v>
      </c>
      <c r="I52" s="6">
        <f t="shared" si="1"/>
        <v>0</v>
      </c>
      <c r="J52" t="s">
        <v>21</v>
      </c>
      <c r="K52" t="s">
        <v>21</v>
      </c>
      <c r="L52" t="s">
        <v>182</v>
      </c>
      <c r="Q52">
        <v>1</v>
      </c>
    </row>
    <row r="53" spans="1:17" x14ac:dyDescent="0.25">
      <c r="A53" t="s">
        <v>62</v>
      </c>
      <c r="B53" t="s">
        <v>16</v>
      </c>
      <c r="C53" t="s">
        <v>320</v>
      </c>
      <c r="E53" t="s">
        <v>321</v>
      </c>
      <c r="F53" t="s">
        <v>72</v>
      </c>
      <c r="G53" s="6">
        <v>30</v>
      </c>
      <c r="H53" s="6">
        <v>30</v>
      </c>
      <c r="I53" s="6">
        <f t="shared" si="1"/>
        <v>0</v>
      </c>
      <c r="J53" t="s">
        <v>21</v>
      </c>
      <c r="K53" t="s">
        <v>21</v>
      </c>
      <c r="L53" t="s">
        <v>182</v>
      </c>
      <c r="Q53">
        <v>1</v>
      </c>
    </row>
    <row r="55" spans="1:17" x14ac:dyDescent="0.25">
      <c r="D55" s="1">
        <f>COUNTA(D3:D53)</f>
        <v>45</v>
      </c>
      <c r="G55" s="1">
        <f t="shared" ref="G55:Q55" si="2">SUBTOTAL(9,G3:G53)</f>
        <v>31145</v>
      </c>
      <c r="H55" s="1">
        <f t="shared" si="2"/>
        <v>1355</v>
      </c>
      <c r="I55" s="1">
        <f t="shared" si="2"/>
        <v>29790</v>
      </c>
      <c r="J55" s="1">
        <f t="shared" si="2"/>
        <v>0</v>
      </c>
      <c r="K55" s="1">
        <f t="shared" si="2"/>
        <v>0</v>
      </c>
      <c r="L55" s="1">
        <f t="shared" si="2"/>
        <v>0</v>
      </c>
      <c r="M55" s="1">
        <f t="shared" si="2"/>
        <v>0</v>
      </c>
      <c r="N55" s="1">
        <f t="shared" si="2"/>
        <v>0</v>
      </c>
      <c r="O55" s="1">
        <f t="shared" si="2"/>
        <v>0</v>
      </c>
      <c r="P55" s="1">
        <f t="shared" si="2"/>
        <v>0</v>
      </c>
      <c r="Q55" s="1">
        <f t="shared" si="2"/>
        <v>51</v>
      </c>
    </row>
    <row r="56" spans="1:17" x14ac:dyDescent="0.25">
      <c r="H56">
        <f>-19*17</f>
        <v>-323</v>
      </c>
    </row>
    <row r="57" spans="1:17" x14ac:dyDescent="0.25">
      <c r="A57" s="1" t="s">
        <v>16</v>
      </c>
      <c r="C57" s="42" t="s">
        <v>89</v>
      </c>
      <c r="D57" s="42"/>
      <c r="E57" s="4" t="s">
        <v>90</v>
      </c>
      <c r="H57">
        <f>-5*25</f>
        <v>-125</v>
      </c>
      <c r="K57" s="7" t="s">
        <v>21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182</v>
      </c>
      <c r="B58" s="3" t="s">
        <v>93</v>
      </c>
      <c r="C58" s="43">
        <f>SUMIFS(I$3:I$53,B$3:B$53,A$57,L$3:L$53,A$58)</f>
        <v>29790</v>
      </c>
      <c r="D58" s="43"/>
      <c r="E58" s="3">
        <f>SUMIFS(Q$3:Q$53,B$3:B$53,A$57,L$3:L$53,A$58)</f>
        <v>51</v>
      </c>
      <c r="F58" t="s">
        <v>94</v>
      </c>
      <c r="H58">
        <f>-3*30</f>
        <v>-90</v>
      </c>
      <c r="K58" t="s">
        <v>95</v>
      </c>
      <c r="L58">
        <f>SUMIFS(G$3:G$53,J$3:J$53,K$57)</f>
        <v>13080</v>
      </c>
      <c r="M58">
        <f>SUMIFS(Q$3:Q$53,J$3:J$53,K$57)</f>
        <v>20</v>
      </c>
      <c r="O58" t="s">
        <v>21</v>
      </c>
      <c r="P58">
        <f>L64</f>
        <v>12637</v>
      </c>
    </row>
    <row r="59" spans="1:17" x14ac:dyDescent="0.25">
      <c r="B59" s="2" t="s">
        <v>97</v>
      </c>
      <c r="C59" s="44">
        <v>0</v>
      </c>
      <c r="D59" s="44"/>
      <c r="K59" t="s">
        <v>98</v>
      </c>
      <c r="L59">
        <f>-SUMIFS(H$3:H$53,J$3:J$53,K$57)+M59*5</f>
        <v>-375</v>
      </c>
      <c r="M59">
        <f>SUMIFS(Q$3:Q$53,J$3:J$53,K$57)-COUNTIFS(J$3:J$53,K$57,M$3:M$53,"*gộp*")</f>
        <v>16</v>
      </c>
      <c r="O59" t="s">
        <v>322</v>
      </c>
      <c r="P59">
        <f>L72</f>
        <v>15887</v>
      </c>
    </row>
    <row r="60" spans="1:17" x14ac:dyDescent="0.25">
      <c r="B60" s="2" t="s">
        <v>99</v>
      </c>
      <c r="C60" s="44">
        <f>-SUMIFS(I$3:I$53,B$3:B$53,A$57,P$3:P$53,"xx",N$3:N$53,"x")</f>
        <v>0</v>
      </c>
      <c r="D60" s="44"/>
      <c r="E60" s="2">
        <f>SUMIFS(Q$3:Q$53,B$3:B$53,A$57,P$3:P$53,"xx",N$3:N$53,"x")</f>
        <v>0</v>
      </c>
      <c r="K60" t="s">
        <v>100</v>
      </c>
      <c r="L60">
        <f>-M60*2</f>
        <v>-98</v>
      </c>
      <c r="M60">
        <f>Q55-(COUNTIFS(M$3:M$53,"*gộp*")/2)-COUNTIFS(P$3:P$53,"*xx*")</f>
        <v>49</v>
      </c>
      <c r="O60" t="s">
        <v>20</v>
      </c>
      <c r="P60">
        <f>L80</f>
        <v>1540</v>
      </c>
    </row>
    <row r="61" spans="1:17" x14ac:dyDescent="0.25">
      <c r="B61" s="4" t="s">
        <v>101</v>
      </c>
      <c r="C61" s="42">
        <f>SUBTOTAL(9,C58:C60)</f>
        <v>29790</v>
      </c>
      <c r="D61" s="42"/>
      <c r="E61">
        <f>E58</f>
        <v>51</v>
      </c>
      <c r="K61" s="2" t="s">
        <v>102</v>
      </c>
      <c r="O61" t="s">
        <v>103</v>
      </c>
      <c r="P61">
        <f>-C65</f>
        <v>-29790</v>
      </c>
    </row>
    <row r="62" spans="1:17" x14ac:dyDescent="0.25">
      <c r="B62" s="2" t="s">
        <v>104</v>
      </c>
      <c r="C62" s="40"/>
      <c r="D62" s="40"/>
      <c r="K62" s="2" t="s">
        <v>105</v>
      </c>
      <c r="O62" s="4" t="s">
        <v>106</v>
      </c>
      <c r="P62" s="4">
        <f>SUBTOTAL(9,P58:P61)</f>
        <v>274</v>
      </c>
    </row>
    <row r="63" spans="1:17" x14ac:dyDescent="0.25">
      <c r="B63" s="8" t="s">
        <v>107</v>
      </c>
      <c r="C63" s="40"/>
      <c r="D63" s="40"/>
      <c r="K63" s="10" t="s">
        <v>323</v>
      </c>
      <c r="L63">
        <v>30</v>
      </c>
    </row>
    <row r="64" spans="1:17" x14ac:dyDescent="0.25">
      <c r="L64" s="9">
        <f>SUBTOTAL(9,L58:L63)</f>
        <v>12637</v>
      </c>
      <c r="M64" s="9">
        <f>M58</f>
        <v>20</v>
      </c>
    </row>
    <row r="65" spans="2:13" x14ac:dyDescent="0.25">
      <c r="B65" s="1" t="s">
        <v>108</v>
      </c>
      <c r="C65" s="41">
        <f>C61+C62+C63</f>
        <v>29790</v>
      </c>
      <c r="D65" s="41"/>
      <c r="E65" s="1" t="s">
        <v>109</v>
      </c>
      <c r="K65" s="11"/>
      <c r="L65" s="11"/>
      <c r="M65" s="11"/>
    </row>
    <row r="66" spans="2:13" x14ac:dyDescent="0.25">
      <c r="K66" s="7" t="s">
        <v>195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SUMIFS(G$3:G$53,J$3:J$53,K$66)</f>
        <v>16425</v>
      </c>
      <c r="M67">
        <f>SUMIFS(Q$3:Q$53,J$3:J$53,K$66)</f>
        <v>27</v>
      </c>
    </row>
    <row r="68" spans="2:13" x14ac:dyDescent="0.25">
      <c r="K68" t="s">
        <v>98</v>
      </c>
      <c r="L68">
        <f>SUM(H56:H58)</f>
        <v>-538</v>
      </c>
      <c r="M68">
        <f>SUMIFS(Q$3:Q$53,J$3:J$53,K$66)</f>
        <v>27</v>
      </c>
    </row>
    <row r="69" spans="2:13" x14ac:dyDescent="0.25">
      <c r="K69" t="s">
        <v>100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15887</v>
      </c>
      <c r="M72" s="9">
        <f>M67</f>
        <v>27</v>
      </c>
    </row>
    <row r="74" spans="2:13" x14ac:dyDescent="0.25">
      <c r="K74" s="7" t="s">
        <v>20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SUMIFS(G$3:G$53,J$3:J$53,K$74)</f>
        <v>1640</v>
      </c>
      <c r="M75">
        <f>SUMIFS(Q$3:Q$53,J$3:J$53,K$74)</f>
        <v>4</v>
      </c>
    </row>
    <row r="76" spans="2:13" x14ac:dyDescent="0.25">
      <c r="K76" t="s">
        <v>98</v>
      </c>
      <c r="L76">
        <f>-SUMIFS(H$3:H$53,J$3:J$53,K$74)+M76*5</f>
        <v>-100</v>
      </c>
      <c r="M76">
        <f>SUMIFS(Q$3:Q$53,J$3:J$53,K$74)-COUNTIFS(J$3:J$53,K$74,M$3:M$53,"*gộp*")</f>
        <v>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1540</v>
      </c>
      <c r="M80" s="9">
        <f>M75</f>
        <v>4</v>
      </c>
    </row>
  </sheetData>
  <autoFilter ref="A2:P53" xr:uid="{00000000-0009-0000-0000-000002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78"/>
  <sheetViews>
    <sheetView topLeftCell="C25" workbookViewId="0">
      <selection activeCell="H55" sqref="H55"/>
    </sheetView>
  </sheetViews>
  <sheetFormatPr defaultRowHeight="15" x14ac:dyDescent="0.25"/>
  <cols>
    <col min="1" max="1" width="12.7109375" customWidth="1"/>
    <col min="2" max="2" width="17.7109375" customWidth="1"/>
    <col min="3" max="3" width="46" customWidth="1"/>
    <col min="4" max="4" width="9.85546875" customWidth="1"/>
    <col min="5" max="5" width="9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325</v>
      </c>
      <c r="D3" t="s">
        <v>326</v>
      </c>
      <c r="E3" t="s">
        <v>327</v>
      </c>
      <c r="F3" s="6">
        <v>9</v>
      </c>
      <c r="G3" s="6">
        <v>690</v>
      </c>
      <c r="H3" s="6">
        <v>30</v>
      </c>
      <c r="I3" s="6">
        <f t="shared" ref="I3:I44" si="0">G3-H3</f>
        <v>660</v>
      </c>
      <c r="J3" t="s">
        <v>20</v>
      </c>
      <c r="K3" t="s">
        <v>21</v>
      </c>
      <c r="L3" t="s">
        <v>328</v>
      </c>
      <c r="Q3">
        <v>1</v>
      </c>
    </row>
    <row r="4" spans="1:17" x14ac:dyDescent="0.25">
      <c r="A4" t="s">
        <v>62</v>
      </c>
      <c r="B4" t="s">
        <v>16</v>
      </c>
      <c r="C4" t="s">
        <v>329</v>
      </c>
      <c r="E4" t="s">
        <v>330</v>
      </c>
      <c r="F4" s="6">
        <v>9</v>
      </c>
      <c r="G4" s="6">
        <v>35</v>
      </c>
      <c r="H4" s="6">
        <v>35</v>
      </c>
      <c r="I4" s="6">
        <f t="shared" si="0"/>
        <v>0</v>
      </c>
      <c r="J4" t="s">
        <v>20</v>
      </c>
      <c r="K4" t="s">
        <v>21</v>
      </c>
      <c r="L4" t="s">
        <v>328</v>
      </c>
      <c r="Q4">
        <v>1</v>
      </c>
    </row>
    <row r="5" spans="1:17" x14ac:dyDescent="0.25">
      <c r="B5" t="s">
        <v>16</v>
      </c>
      <c r="C5" t="s">
        <v>331</v>
      </c>
      <c r="D5" t="s">
        <v>332</v>
      </c>
      <c r="E5" t="s">
        <v>258</v>
      </c>
      <c r="F5" t="s">
        <v>259</v>
      </c>
      <c r="G5" s="6">
        <v>735</v>
      </c>
      <c r="H5" s="6">
        <v>35</v>
      </c>
      <c r="I5" s="6">
        <f t="shared" si="0"/>
        <v>700</v>
      </c>
      <c r="J5" t="s">
        <v>333</v>
      </c>
      <c r="K5" t="s">
        <v>21</v>
      </c>
      <c r="L5" t="s">
        <v>328</v>
      </c>
      <c r="Q5">
        <v>1</v>
      </c>
    </row>
    <row r="6" spans="1:17" x14ac:dyDescent="0.25">
      <c r="B6" t="s">
        <v>16</v>
      </c>
      <c r="C6" t="s">
        <v>334</v>
      </c>
      <c r="D6" t="s">
        <v>335</v>
      </c>
      <c r="E6" t="s">
        <v>336</v>
      </c>
      <c r="F6" s="6">
        <v>12</v>
      </c>
      <c r="G6" s="6">
        <v>760</v>
      </c>
      <c r="H6" s="6">
        <v>30</v>
      </c>
      <c r="I6" s="6">
        <f t="shared" si="0"/>
        <v>730</v>
      </c>
      <c r="J6" t="s">
        <v>333</v>
      </c>
      <c r="K6" t="s">
        <v>21</v>
      </c>
      <c r="L6" t="s">
        <v>328</v>
      </c>
      <c r="Q6">
        <v>1</v>
      </c>
    </row>
    <row r="7" spans="1:17" x14ac:dyDescent="0.25">
      <c r="B7" t="s">
        <v>16</v>
      </c>
      <c r="C7" t="s">
        <v>337</v>
      </c>
      <c r="D7" t="s">
        <v>338</v>
      </c>
      <c r="E7" t="s">
        <v>339</v>
      </c>
      <c r="F7" s="6">
        <v>7</v>
      </c>
      <c r="G7" s="6">
        <v>690</v>
      </c>
      <c r="H7" s="6">
        <v>30</v>
      </c>
      <c r="I7" s="6">
        <f t="shared" si="0"/>
        <v>660</v>
      </c>
      <c r="J7" t="s">
        <v>333</v>
      </c>
      <c r="K7" t="s">
        <v>21</v>
      </c>
      <c r="L7" t="s">
        <v>328</v>
      </c>
      <c r="Q7">
        <v>1</v>
      </c>
    </row>
    <row r="8" spans="1:17" x14ac:dyDescent="0.25">
      <c r="B8" t="s">
        <v>16</v>
      </c>
      <c r="C8" t="s">
        <v>340</v>
      </c>
      <c r="D8" t="s">
        <v>341</v>
      </c>
      <c r="E8" t="s">
        <v>342</v>
      </c>
      <c r="F8" s="6">
        <v>7</v>
      </c>
      <c r="G8" s="6">
        <v>920</v>
      </c>
      <c r="H8" s="6">
        <v>30</v>
      </c>
      <c r="I8" s="6">
        <f t="shared" si="0"/>
        <v>890</v>
      </c>
      <c r="J8" t="s">
        <v>333</v>
      </c>
      <c r="K8" t="s">
        <v>21</v>
      </c>
      <c r="L8" t="s">
        <v>328</v>
      </c>
      <c r="Q8">
        <v>1</v>
      </c>
    </row>
    <row r="9" spans="1:17" x14ac:dyDescent="0.25">
      <c r="B9" t="s">
        <v>16</v>
      </c>
      <c r="C9" t="s">
        <v>343</v>
      </c>
      <c r="D9" t="s">
        <v>344</v>
      </c>
      <c r="E9" t="s">
        <v>345</v>
      </c>
      <c r="F9" s="6">
        <v>11</v>
      </c>
      <c r="G9" s="6">
        <v>375</v>
      </c>
      <c r="H9" s="6">
        <v>25</v>
      </c>
      <c r="I9" s="6">
        <f t="shared" si="0"/>
        <v>350</v>
      </c>
      <c r="J9" t="s">
        <v>333</v>
      </c>
      <c r="K9" t="s">
        <v>21</v>
      </c>
      <c r="L9" t="s">
        <v>328</v>
      </c>
      <c r="Q9">
        <v>1</v>
      </c>
    </row>
    <row r="10" spans="1:17" x14ac:dyDescent="0.25">
      <c r="B10" t="s">
        <v>16</v>
      </c>
      <c r="C10" t="s">
        <v>346</v>
      </c>
      <c r="D10" t="s">
        <v>347</v>
      </c>
      <c r="E10" t="s">
        <v>348</v>
      </c>
      <c r="F10" t="s">
        <v>26</v>
      </c>
      <c r="G10" s="6">
        <v>720</v>
      </c>
      <c r="H10" s="6">
        <v>30</v>
      </c>
      <c r="I10" s="6">
        <f t="shared" si="0"/>
        <v>690</v>
      </c>
      <c r="J10" t="s">
        <v>333</v>
      </c>
      <c r="K10" t="s">
        <v>21</v>
      </c>
      <c r="L10" t="s">
        <v>328</v>
      </c>
      <c r="Q10">
        <v>1</v>
      </c>
    </row>
    <row r="11" spans="1:17" x14ac:dyDescent="0.25">
      <c r="B11" t="s">
        <v>16</v>
      </c>
      <c r="C11" t="s">
        <v>349</v>
      </c>
      <c r="D11" t="s">
        <v>350</v>
      </c>
      <c r="E11" t="s">
        <v>351</v>
      </c>
      <c r="F11" t="s">
        <v>113</v>
      </c>
      <c r="G11" s="6">
        <v>1775</v>
      </c>
      <c r="H11" s="6">
        <v>35</v>
      </c>
      <c r="I11" s="6">
        <f t="shared" si="0"/>
        <v>1740</v>
      </c>
      <c r="J11" t="s">
        <v>333</v>
      </c>
      <c r="K11" t="s">
        <v>21</v>
      </c>
      <c r="L11" t="s">
        <v>328</v>
      </c>
      <c r="Q11">
        <v>1</v>
      </c>
    </row>
    <row r="12" spans="1:17" x14ac:dyDescent="0.25">
      <c r="B12" t="s">
        <v>16</v>
      </c>
      <c r="C12" t="s">
        <v>352</v>
      </c>
      <c r="D12" t="s">
        <v>353</v>
      </c>
      <c r="E12" t="s">
        <v>354</v>
      </c>
      <c r="F12" s="6">
        <v>12</v>
      </c>
      <c r="G12" s="6">
        <v>720</v>
      </c>
      <c r="H12" s="6">
        <v>30</v>
      </c>
      <c r="I12" s="6">
        <f t="shared" si="0"/>
        <v>690</v>
      </c>
      <c r="J12" t="s">
        <v>333</v>
      </c>
      <c r="K12" t="s">
        <v>21</v>
      </c>
      <c r="L12" t="s">
        <v>328</v>
      </c>
      <c r="Q12">
        <v>1</v>
      </c>
    </row>
    <row r="13" spans="1:17" x14ac:dyDescent="0.25">
      <c r="B13" t="s">
        <v>16</v>
      </c>
      <c r="C13" t="s">
        <v>355</v>
      </c>
      <c r="D13" t="s">
        <v>356</v>
      </c>
      <c r="E13" t="s">
        <v>357</v>
      </c>
      <c r="F13" s="6">
        <v>7</v>
      </c>
      <c r="G13" s="6">
        <v>690</v>
      </c>
      <c r="H13" s="6">
        <v>30</v>
      </c>
      <c r="I13" s="6">
        <f t="shared" si="0"/>
        <v>660</v>
      </c>
      <c r="J13" t="s">
        <v>333</v>
      </c>
      <c r="K13" t="s">
        <v>21</v>
      </c>
      <c r="L13" t="s">
        <v>328</v>
      </c>
      <c r="Q13">
        <v>1</v>
      </c>
    </row>
    <row r="14" spans="1:17" x14ac:dyDescent="0.25">
      <c r="B14" t="s">
        <v>16</v>
      </c>
      <c r="C14" t="s">
        <v>358</v>
      </c>
      <c r="D14" t="s">
        <v>359</v>
      </c>
      <c r="E14" t="s">
        <v>360</v>
      </c>
      <c r="F14" s="6">
        <v>7</v>
      </c>
      <c r="G14" s="6">
        <v>0</v>
      </c>
      <c r="H14" s="6">
        <v>30</v>
      </c>
      <c r="I14" s="6">
        <f t="shared" si="0"/>
        <v>-30</v>
      </c>
      <c r="J14" t="s">
        <v>333</v>
      </c>
      <c r="K14" t="s">
        <v>21</v>
      </c>
      <c r="L14" t="s">
        <v>328</v>
      </c>
      <c r="Q14">
        <v>1</v>
      </c>
    </row>
    <row r="15" spans="1:17" x14ac:dyDescent="0.25">
      <c r="B15" t="s">
        <v>16</v>
      </c>
      <c r="C15" t="s">
        <v>361</v>
      </c>
      <c r="D15" t="s">
        <v>362</v>
      </c>
      <c r="E15" t="s">
        <v>363</v>
      </c>
      <c r="F15" s="6">
        <v>8</v>
      </c>
      <c r="G15" s="6">
        <v>820</v>
      </c>
      <c r="H15" s="6">
        <v>30</v>
      </c>
      <c r="I15" s="6">
        <f t="shared" si="0"/>
        <v>790</v>
      </c>
      <c r="J15" t="s">
        <v>333</v>
      </c>
      <c r="K15" t="s">
        <v>21</v>
      </c>
      <c r="L15" t="s">
        <v>328</v>
      </c>
      <c r="Q15">
        <v>1</v>
      </c>
    </row>
    <row r="16" spans="1:17" x14ac:dyDescent="0.25">
      <c r="B16" t="s">
        <v>16</v>
      </c>
      <c r="C16" t="s">
        <v>364</v>
      </c>
      <c r="D16" t="s">
        <v>365</v>
      </c>
      <c r="E16" t="s">
        <v>366</v>
      </c>
      <c r="F16" t="s">
        <v>26</v>
      </c>
      <c r="G16" s="6">
        <v>690</v>
      </c>
      <c r="H16" s="6">
        <v>30</v>
      </c>
      <c r="I16" s="6">
        <f t="shared" si="0"/>
        <v>660</v>
      </c>
      <c r="J16" t="s">
        <v>333</v>
      </c>
      <c r="K16" t="s">
        <v>21</v>
      </c>
      <c r="L16" t="s">
        <v>328</v>
      </c>
      <c r="Q16">
        <v>1</v>
      </c>
    </row>
    <row r="17" spans="1:17" x14ac:dyDescent="0.25">
      <c r="B17" t="s">
        <v>16</v>
      </c>
      <c r="C17" t="s">
        <v>367</v>
      </c>
      <c r="D17" t="s">
        <v>368</v>
      </c>
      <c r="E17" t="s">
        <v>369</v>
      </c>
      <c r="F17" s="6">
        <v>5</v>
      </c>
      <c r="G17" s="6">
        <v>715</v>
      </c>
      <c r="H17" s="6">
        <v>25</v>
      </c>
      <c r="I17" s="6">
        <f t="shared" si="0"/>
        <v>690</v>
      </c>
      <c r="J17" t="s">
        <v>333</v>
      </c>
      <c r="K17" t="s">
        <v>21</v>
      </c>
      <c r="L17" t="s">
        <v>328</v>
      </c>
      <c r="Q17">
        <v>1</v>
      </c>
    </row>
    <row r="18" spans="1:17" x14ac:dyDescent="0.25">
      <c r="A18" t="s">
        <v>62</v>
      </c>
      <c r="B18" t="s">
        <v>16</v>
      </c>
      <c r="C18" t="s">
        <v>370</v>
      </c>
      <c r="E18" t="s">
        <v>371</v>
      </c>
      <c r="F18" t="s">
        <v>217</v>
      </c>
      <c r="G18" s="6">
        <v>30</v>
      </c>
      <c r="H18" s="6">
        <v>30</v>
      </c>
      <c r="I18" s="6">
        <f t="shared" si="0"/>
        <v>0</v>
      </c>
      <c r="J18" t="s">
        <v>333</v>
      </c>
      <c r="K18" t="s">
        <v>21</v>
      </c>
      <c r="L18" t="s">
        <v>328</v>
      </c>
      <c r="Q18">
        <v>1</v>
      </c>
    </row>
    <row r="19" spans="1:17" x14ac:dyDescent="0.25">
      <c r="A19" t="s">
        <v>62</v>
      </c>
      <c r="B19" t="s">
        <v>16</v>
      </c>
      <c r="C19" t="s">
        <v>372</v>
      </c>
      <c r="E19" t="s">
        <v>373</v>
      </c>
      <c r="F19" t="s">
        <v>26</v>
      </c>
      <c r="G19" s="6">
        <v>40</v>
      </c>
      <c r="H19" s="6">
        <v>40</v>
      </c>
      <c r="I19" s="6">
        <f t="shared" si="0"/>
        <v>0</v>
      </c>
      <c r="J19" t="s">
        <v>333</v>
      </c>
      <c r="K19" t="s">
        <v>21</v>
      </c>
      <c r="L19" t="s">
        <v>328</v>
      </c>
      <c r="Q19">
        <v>1</v>
      </c>
    </row>
    <row r="20" spans="1:17" x14ac:dyDescent="0.25">
      <c r="B20" t="s">
        <v>16</v>
      </c>
      <c r="C20" t="s">
        <v>374</v>
      </c>
      <c r="D20" t="s">
        <v>375</v>
      </c>
      <c r="E20" t="s">
        <v>376</v>
      </c>
      <c r="F20" t="s">
        <v>153</v>
      </c>
      <c r="G20" s="6">
        <v>700</v>
      </c>
      <c r="H20" s="6">
        <v>30</v>
      </c>
      <c r="I20" s="6">
        <f t="shared" si="0"/>
        <v>670</v>
      </c>
      <c r="J20" t="s">
        <v>21</v>
      </c>
      <c r="K20" t="s">
        <v>21</v>
      </c>
      <c r="L20" t="s">
        <v>328</v>
      </c>
      <c r="Q20">
        <v>1</v>
      </c>
    </row>
    <row r="21" spans="1:17" x14ac:dyDescent="0.25">
      <c r="B21" t="s">
        <v>16</v>
      </c>
      <c r="C21" t="s">
        <v>377</v>
      </c>
      <c r="D21" t="s">
        <v>378</v>
      </c>
      <c r="E21" t="s">
        <v>379</v>
      </c>
      <c r="F21" s="6">
        <v>2</v>
      </c>
      <c r="G21" s="6">
        <v>720</v>
      </c>
      <c r="H21" s="6">
        <v>30</v>
      </c>
      <c r="I21" s="6">
        <f t="shared" si="0"/>
        <v>690</v>
      </c>
      <c r="J21" t="s">
        <v>21</v>
      </c>
      <c r="K21" t="s">
        <v>21</v>
      </c>
      <c r="L21" t="s">
        <v>328</v>
      </c>
      <c r="Q21">
        <v>1</v>
      </c>
    </row>
    <row r="22" spans="1:17" x14ac:dyDescent="0.25">
      <c r="B22" t="s">
        <v>16</v>
      </c>
      <c r="C22" t="s">
        <v>380</v>
      </c>
      <c r="D22" t="s">
        <v>381</v>
      </c>
      <c r="E22" t="s">
        <v>382</v>
      </c>
      <c r="F22" t="s">
        <v>153</v>
      </c>
      <c r="G22" s="6">
        <v>730</v>
      </c>
      <c r="H22" s="6">
        <v>30</v>
      </c>
      <c r="I22" s="6">
        <f t="shared" si="0"/>
        <v>700</v>
      </c>
      <c r="J22" t="s">
        <v>21</v>
      </c>
      <c r="K22" t="s">
        <v>21</v>
      </c>
      <c r="L22" t="s">
        <v>328</v>
      </c>
      <c r="Q22">
        <v>1</v>
      </c>
    </row>
    <row r="23" spans="1:17" x14ac:dyDescent="0.25">
      <c r="B23" t="s">
        <v>16</v>
      </c>
      <c r="C23" t="s">
        <v>383</v>
      </c>
      <c r="D23" t="s">
        <v>384</v>
      </c>
      <c r="E23" t="s">
        <v>385</v>
      </c>
      <c r="F23" t="s">
        <v>153</v>
      </c>
      <c r="G23" s="6">
        <v>890</v>
      </c>
      <c r="H23" s="6">
        <v>30</v>
      </c>
      <c r="I23" s="6">
        <f t="shared" si="0"/>
        <v>860</v>
      </c>
      <c r="J23" t="s">
        <v>21</v>
      </c>
      <c r="K23" t="s">
        <v>21</v>
      </c>
      <c r="L23" t="s">
        <v>328</v>
      </c>
      <c r="Q23">
        <v>1</v>
      </c>
    </row>
    <row r="24" spans="1:17" x14ac:dyDescent="0.25">
      <c r="B24" t="s">
        <v>16</v>
      </c>
      <c r="C24" t="s">
        <v>386</v>
      </c>
      <c r="D24" t="s">
        <v>387</v>
      </c>
      <c r="E24" t="s">
        <v>388</v>
      </c>
      <c r="F24" t="s">
        <v>72</v>
      </c>
      <c r="G24" s="6">
        <v>685</v>
      </c>
      <c r="H24" s="6">
        <v>25</v>
      </c>
      <c r="I24" s="6">
        <f t="shared" si="0"/>
        <v>660</v>
      </c>
      <c r="J24" t="s">
        <v>21</v>
      </c>
      <c r="K24" t="s">
        <v>21</v>
      </c>
      <c r="L24" t="s">
        <v>328</v>
      </c>
      <c r="Q24">
        <v>1</v>
      </c>
    </row>
    <row r="25" spans="1:17" x14ac:dyDescent="0.25">
      <c r="B25" t="s">
        <v>16</v>
      </c>
      <c r="C25" t="s">
        <v>389</v>
      </c>
      <c r="D25" t="s">
        <v>390</v>
      </c>
      <c r="E25" t="s">
        <v>391</v>
      </c>
      <c r="F25" t="s">
        <v>72</v>
      </c>
      <c r="G25" s="6">
        <v>0</v>
      </c>
      <c r="H25" s="6">
        <v>25</v>
      </c>
      <c r="I25" s="6">
        <f t="shared" si="0"/>
        <v>-25</v>
      </c>
      <c r="J25" t="s">
        <v>21</v>
      </c>
      <c r="K25" t="s">
        <v>21</v>
      </c>
      <c r="L25" t="s">
        <v>328</v>
      </c>
      <c r="Q25">
        <v>1</v>
      </c>
    </row>
    <row r="26" spans="1:17" x14ac:dyDescent="0.25">
      <c r="B26" t="s">
        <v>16</v>
      </c>
      <c r="C26" t="s">
        <v>392</v>
      </c>
      <c r="D26" t="s">
        <v>393</v>
      </c>
      <c r="E26" t="s">
        <v>394</v>
      </c>
      <c r="F26" s="6">
        <v>12</v>
      </c>
      <c r="G26" s="6">
        <v>870</v>
      </c>
      <c r="H26" s="6">
        <v>30</v>
      </c>
      <c r="I26" s="6">
        <f t="shared" si="0"/>
        <v>840</v>
      </c>
      <c r="J26" t="s">
        <v>21</v>
      </c>
      <c r="K26" t="s">
        <v>21</v>
      </c>
      <c r="L26" t="s">
        <v>328</v>
      </c>
      <c r="Q26">
        <v>1</v>
      </c>
    </row>
    <row r="27" spans="1:17" x14ac:dyDescent="0.25">
      <c r="B27" t="s">
        <v>16</v>
      </c>
      <c r="C27" t="s">
        <v>395</v>
      </c>
      <c r="D27" t="s">
        <v>396</v>
      </c>
      <c r="E27" t="s">
        <v>397</v>
      </c>
      <c r="F27" t="s">
        <v>72</v>
      </c>
      <c r="G27" s="6">
        <v>0</v>
      </c>
      <c r="H27" s="6">
        <v>25</v>
      </c>
      <c r="I27" s="6">
        <f t="shared" si="0"/>
        <v>-25</v>
      </c>
      <c r="J27" t="s">
        <v>21</v>
      </c>
      <c r="K27" t="s">
        <v>21</v>
      </c>
      <c r="L27" t="s">
        <v>328</v>
      </c>
      <c r="M27" t="s">
        <v>398</v>
      </c>
      <c r="Q27">
        <v>1</v>
      </c>
    </row>
    <row r="28" spans="1:17" x14ac:dyDescent="0.25">
      <c r="B28" t="s">
        <v>16</v>
      </c>
      <c r="C28" t="s">
        <v>399</v>
      </c>
      <c r="D28" t="s">
        <v>400</v>
      </c>
      <c r="E28" t="s">
        <v>401</v>
      </c>
      <c r="F28" t="s">
        <v>68</v>
      </c>
      <c r="G28" s="6">
        <v>910</v>
      </c>
      <c r="H28" s="6">
        <v>20</v>
      </c>
      <c r="I28" s="6">
        <f t="shared" si="0"/>
        <v>890</v>
      </c>
      <c r="J28" t="s">
        <v>21</v>
      </c>
      <c r="K28" t="s">
        <v>21</v>
      </c>
      <c r="L28" t="s">
        <v>328</v>
      </c>
      <c r="Q28">
        <v>1</v>
      </c>
    </row>
    <row r="29" spans="1:17" x14ac:dyDescent="0.25">
      <c r="B29" t="s">
        <v>16</v>
      </c>
      <c r="C29" t="s">
        <v>402</v>
      </c>
      <c r="D29" t="s">
        <v>403</v>
      </c>
      <c r="E29" t="s">
        <v>404</v>
      </c>
      <c r="F29" s="6">
        <v>2</v>
      </c>
      <c r="G29" s="6">
        <v>0</v>
      </c>
      <c r="H29" s="6">
        <v>30</v>
      </c>
      <c r="I29" s="6">
        <f t="shared" si="0"/>
        <v>-30</v>
      </c>
      <c r="J29" t="s">
        <v>21</v>
      </c>
      <c r="K29" t="s">
        <v>21</v>
      </c>
      <c r="L29" t="s">
        <v>328</v>
      </c>
      <c r="Q29">
        <v>1</v>
      </c>
    </row>
    <row r="30" spans="1:17" x14ac:dyDescent="0.25">
      <c r="B30" t="s">
        <v>16</v>
      </c>
      <c r="C30" t="s">
        <v>405</v>
      </c>
      <c r="D30" t="s">
        <v>406</v>
      </c>
      <c r="E30" t="s">
        <v>407</v>
      </c>
      <c r="F30" t="s">
        <v>68</v>
      </c>
      <c r="G30" s="6">
        <v>680</v>
      </c>
      <c r="H30" s="6">
        <v>20</v>
      </c>
      <c r="I30" s="6">
        <f t="shared" si="0"/>
        <v>660</v>
      </c>
      <c r="J30" t="s">
        <v>21</v>
      </c>
      <c r="K30" t="s">
        <v>21</v>
      </c>
      <c r="L30" t="s">
        <v>328</v>
      </c>
      <c r="Q30">
        <v>1</v>
      </c>
    </row>
    <row r="31" spans="1:17" x14ac:dyDescent="0.25">
      <c r="B31" t="s">
        <v>16</v>
      </c>
      <c r="C31" t="s">
        <v>408</v>
      </c>
      <c r="D31" t="s">
        <v>409</v>
      </c>
      <c r="E31" t="s">
        <v>410</v>
      </c>
      <c r="F31" t="s">
        <v>68</v>
      </c>
      <c r="G31" s="6">
        <v>840</v>
      </c>
      <c r="H31" s="6">
        <v>20</v>
      </c>
      <c r="I31" s="6">
        <f t="shared" si="0"/>
        <v>820</v>
      </c>
      <c r="J31" t="s">
        <v>21</v>
      </c>
      <c r="K31" t="s">
        <v>21</v>
      </c>
      <c r="L31" t="s">
        <v>328</v>
      </c>
      <c r="Q31">
        <v>1</v>
      </c>
    </row>
    <row r="32" spans="1:17" x14ac:dyDescent="0.25">
      <c r="B32" t="s">
        <v>16</v>
      </c>
      <c r="C32" t="s">
        <v>411</v>
      </c>
      <c r="D32" t="s">
        <v>412</v>
      </c>
      <c r="E32" t="s">
        <v>413</v>
      </c>
      <c r="F32" t="s">
        <v>88</v>
      </c>
      <c r="G32" s="6">
        <v>0</v>
      </c>
      <c r="H32" s="6">
        <v>25</v>
      </c>
      <c r="I32" s="6">
        <f t="shared" si="0"/>
        <v>-25</v>
      </c>
      <c r="J32" t="s">
        <v>21</v>
      </c>
      <c r="K32" t="s">
        <v>21</v>
      </c>
      <c r="L32" t="s">
        <v>328</v>
      </c>
      <c r="Q32">
        <v>1</v>
      </c>
    </row>
    <row r="33" spans="1:17" x14ac:dyDescent="0.25">
      <c r="B33" t="s">
        <v>16</v>
      </c>
      <c r="C33" t="s">
        <v>414</v>
      </c>
      <c r="D33" t="s">
        <v>415</v>
      </c>
      <c r="E33" t="s">
        <v>416</v>
      </c>
      <c r="F33" s="6">
        <v>12</v>
      </c>
      <c r="G33" s="6">
        <v>0</v>
      </c>
      <c r="H33" s="6">
        <v>40</v>
      </c>
      <c r="I33" s="6">
        <f t="shared" si="0"/>
        <v>-40</v>
      </c>
      <c r="J33" t="s">
        <v>21</v>
      </c>
      <c r="K33" t="s">
        <v>21</v>
      </c>
      <c r="L33" t="s">
        <v>328</v>
      </c>
      <c r="Q33">
        <v>1</v>
      </c>
    </row>
    <row r="34" spans="1:17" x14ac:dyDescent="0.25">
      <c r="B34" t="s">
        <v>16</v>
      </c>
      <c r="C34" t="s">
        <v>417</v>
      </c>
      <c r="D34" t="s">
        <v>418</v>
      </c>
      <c r="E34" t="s">
        <v>419</v>
      </c>
      <c r="F34" s="6">
        <v>3</v>
      </c>
      <c r="G34" s="6">
        <v>0</v>
      </c>
      <c r="H34" s="6">
        <v>25</v>
      </c>
      <c r="I34" s="6">
        <f t="shared" si="0"/>
        <v>-25</v>
      </c>
      <c r="J34" t="s">
        <v>165</v>
      </c>
      <c r="K34" t="s">
        <v>21</v>
      </c>
      <c r="L34" t="s">
        <v>328</v>
      </c>
      <c r="Q34">
        <v>1</v>
      </c>
    </row>
    <row r="35" spans="1:17" x14ac:dyDescent="0.25">
      <c r="B35" t="s">
        <v>16</v>
      </c>
      <c r="C35" t="s">
        <v>420</v>
      </c>
      <c r="D35" t="s">
        <v>421</v>
      </c>
      <c r="E35" t="s">
        <v>422</v>
      </c>
      <c r="F35" s="6">
        <v>1</v>
      </c>
      <c r="G35" s="6">
        <v>885</v>
      </c>
      <c r="H35" s="6">
        <v>25</v>
      </c>
      <c r="I35" s="6">
        <f t="shared" si="0"/>
        <v>860</v>
      </c>
      <c r="J35" t="s">
        <v>165</v>
      </c>
      <c r="K35" t="s">
        <v>21</v>
      </c>
      <c r="L35" t="s">
        <v>328</v>
      </c>
      <c r="Q35">
        <v>1</v>
      </c>
    </row>
    <row r="36" spans="1:17" x14ac:dyDescent="0.25">
      <c r="B36" t="s">
        <v>16</v>
      </c>
      <c r="C36" t="s">
        <v>423</v>
      </c>
      <c r="D36" t="s">
        <v>424</v>
      </c>
      <c r="E36" t="s">
        <v>425</v>
      </c>
      <c r="F36" s="6">
        <v>4</v>
      </c>
      <c r="G36" s="6">
        <v>375</v>
      </c>
      <c r="H36" s="6">
        <v>25</v>
      </c>
      <c r="I36" s="6">
        <f t="shared" si="0"/>
        <v>350</v>
      </c>
      <c r="J36" t="s">
        <v>165</v>
      </c>
      <c r="K36" t="s">
        <v>21</v>
      </c>
      <c r="L36" t="s">
        <v>328</v>
      </c>
      <c r="Q36">
        <v>1</v>
      </c>
    </row>
    <row r="37" spans="1:17" x14ac:dyDescent="0.25">
      <c r="B37" t="s">
        <v>16</v>
      </c>
      <c r="C37" t="s">
        <v>426</v>
      </c>
      <c r="D37" t="s">
        <v>427</v>
      </c>
      <c r="E37" t="s">
        <v>428</v>
      </c>
      <c r="F37" s="6">
        <v>10</v>
      </c>
      <c r="G37" s="6">
        <v>815</v>
      </c>
      <c r="H37" s="6">
        <v>25</v>
      </c>
      <c r="I37" s="6">
        <f t="shared" si="0"/>
        <v>790</v>
      </c>
      <c r="J37" t="s">
        <v>165</v>
      </c>
      <c r="K37" t="s">
        <v>21</v>
      </c>
      <c r="L37" t="s">
        <v>328</v>
      </c>
      <c r="Q37">
        <v>1</v>
      </c>
    </row>
    <row r="38" spans="1:17" x14ac:dyDescent="0.25">
      <c r="B38" t="s">
        <v>16</v>
      </c>
      <c r="C38" t="s">
        <v>429</v>
      </c>
      <c r="D38" t="s">
        <v>430</v>
      </c>
      <c r="E38" t="s">
        <v>431</v>
      </c>
      <c r="F38" s="6">
        <v>4</v>
      </c>
      <c r="G38" s="6">
        <v>775</v>
      </c>
      <c r="H38" s="6">
        <v>25</v>
      </c>
      <c r="I38" s="6">
        <f t="shared" si="0"/>
        <v>750</v>
      </c>
      <c r="J38" t="s">
        <v>165</v>
      </c>
      <c r="K38" t="s">
        <v>21</v>
      </c>
      <c r="L38" t="s">
        <v>328</v>
      </c>
      <c r="Q38">
        <v>1</v>
      </c>
    </row>
    <row r="39" spans="1:17" x14ac:dyDescent="0.25">
      <c r="B39" t="s">
        <v>16</v>
      </c>
      <c r="C39" t="s">
        <v>432</v>
      </c>
      <c r="D39" t="s">
        <v>433</v>
      </c>
      <c r="E39" t="s">
        <v>434</v>
      </c>
      <c r="F39" t="s">
        <v>88</v>
      </c>
      <c r="G39" s="6">
        <v>885</v>
      </c>
      <c r="H39" s="6">
        <v>25</v>
      </c>
      <c r="I39" s="6">
        <f t="shared" si="0"/>
        <v>860</v>
      </c>
      <c r="J39" t="s">
        <v>165</v>
      </c>
      <c r="K39" t="s">
        <v>21</v>
      </c>
      <c r="L39" t="s">
        <v>328</v>
      </c>
      <c r="Q39">
        <v>1</v>
      </c>
    </row>
    <row r="40" spans="1:17" x14ac:dyDescent="0.25">
      <c r="B40" t="s">
        <v>16</v>
      </c>
      <c r="C40" t="s">
        <v>435</v>
      </c>
      <c r="D40" t="s">
        <v>436</v>
      </c>
      <c r="E40" t="s">
        <v>437</v>
      </c>
      <c r="F40" t="s">
        <v>85</v>
      </c>
      <c r="G40" s="6">
        <v>680</v>
      </c>
      <c r="H40" s="6">
        <v>20</v>
      </c>
      <c r="I40" s="6">
        <f t="shared" si="0"/>
        <v>660</v>
      </c>
      <c r="J40" t="s">
        <v>165</v>
      </c>
      <c r="K40" t="s">
        <v>21</v>
      </c>
      <c r="L40" t="s">
        <v>328</v>
      </c>
      <c r="Q40">
        <v>1</v>
      </c>
    </row>
    <row r="41" spans="1:17" x14ac:dyDescent="0.25">
      <c r="B41" t="s">
        <v>16</v>
      </c>
      <c r="C41" t="s">
        <v>438</v>
      </c>
      <c r="D41" t="s">
        <v>439</v>
      </c>
      <c r="E41" t="s">
        <v>440</v>
      </c>
      <c r="F41" s="6">
        <v>1</v>
      </c>
      <c r="G41" s="6">
        <v>0</v>
      </c>
      <c r="H41" s="6">
        <v>25</v>
      </c>
      <c r="I41" s="6">
        <f t="shared" si="0"/>
        <v>-25</v>
      </c>
      <c r="J41" t="s">
        <v>165</v>
      </c>
      <c r="K41" t="s">
        <v>21</v>
      </c>
      <c r="L41" t="s">
        <v>328</v>
      </c>
      <c r="Q41">
        <v>1</v>
      </c>
    </row>
    <row r="42" spans="1:17" x14ac:dyDescent="0.25">
      <c r="A42" t="s">
        <v>62</v>
      </c>
      <c r="B42" t="s">
        <v>16</v>
      </c>
      <c r="C42" t="s">
        <v>441</v>
      </c>
      <c r="E42" t="s">
        <v>442</v>
      </c>
      <c r="F42" t="s">
        <v>88</v>
      </c>
      <c r="G42" s="6">
        <v>30</v>
      </c>
      <c r="H42" s="6">
        <v>30</v>
      </c>
      <c r="I42" s="6">
        <f t="shared" si="0"/>
        <v>0</v>
      </c>
      <c r="J42" t="s">
        <v>165</v>
      </c>
      <c r="K42" t="s">
        <v>21</v>
      </c>
      <c r="L42" t="s">
        <v>328</v>
      </c>
      <c r="Q42">
        <v>1</v>
      </c>
    </row>
    <row r="43" spans="1:17" s="2" customFormat="1" x14ac:dyDescent="0.25">
      <c r="B43" s="2" t="s">
        <v>16</v>
      </c>
      <c r="C43" s="2" t="s">
        <v>443</v>
      </c>
      <c r="D43" s="2" t="s">
        <v>444</v>
      </c>
      <c r="E43" s="2" t="s">
        <v>445</v>
      </c>
      <c r="F43" s="2" t="s">
        <v>85</v>
      </c>
      <c r="G43" s="12">
        <v>370</v>
      </c>
      <c r="H43" s="12">
        <v>20</v>
      </c>
      <c r="I43" s="12">
        <f t="shared" si="0"/>
        <v>350</v>
      </c>
      <c r="J43" s="2" t="s">
        <v>446</v>
      </c>
      <c r="K43" s="2" t="s">
        <v>21</v>
      </c>
      <c r="L43" s="2" t="s">
        <v>447</v>
      </c>
      <c r="M43" s="2" t="s">
        <v>102</v>
      </c>
      <c r="N43" s="2" t="s">
        <v>448</v>
      </c>
      <c r="O43" s="2" t="s">
        <v>448</v>
      </c>
      <c r="P43" s="2" t="s">
        <v>449</v>
      </c>
      <c r="Q43" s="12">
        <v>1</v>
      </c>
    </row>
    <row r="44" spans="1:17" s="2" customFormat="1" x14ac:dyDescent="0.25">
      <c r="B44" s="2" t="s">
        <v>16</v>
      </c>
      <c r="C44" s="2" t="s">
        <v>122</v>
      </c>
      <c r="D44" s="2" t="s">
        <v>123</v>
      </c>
      <c r="E44" s="2" t="s">
        <v>124</v>
      </c>
      <c r="F44" s="12">
        <v>7</v>
      </c>
      <c r="G44" s="12">
        <v>650</v>
      </c>
      <c r="H44" s="12">
        <v>30</v>
      </c>
      <c r="I44" s="12">
        <f t="shared" si="0"/>
        <v>620</v>
      </c>
      <c r="J44" s="2" t="s">
        <v>446</v>
      </c>
      <c r="K44" s="2" t="s">
        <v>21</v>
      </c>
      <c r="L44" s="2" t="s">
        <v>115</v>
      </c>
      <c r="M44" s="2" t="s">
        <v>102</v>
      </c>
      <c r="N44" s="2" t="s">
        <v>448</v>
      </c>
      <c r="O44" s="2" t="s">
        <v>448</v>
      </c>
      <c r="P44" s="2" t="s">
        <v>449</v>
      </c>
      <c r="Q44" s="12">
        <v>1</v>
      </c>
    </row>
    <row r="46" spans="1:17" x14ac:dyDescent="0.25">
      <c r="D46" s="1">
        <f>COUNTA(D3:D44)</f>
        <v>38</v>
      </c>
      <c r="G46" s="1">
        <f t="shared" ref="G46:Q46" si="1">SUBTOTAL(9,G3:G44)</f>
        <v>22895</v>
      </c>
      <c r="H46" s="1">
        <f t="shared" si="1"/>
        <v>1180</v>
      </c>
      <c r="I46" s="1">
        <f t="shared" si="1"/>
        <v>21715</v>
      </c>
      <c r="J46" s="1">
        <f t="shared" si="1"/>
        <v>0</v>
      </c>
      <c r="K46" s="1">
        <f t="shared" si="1"/>
        <v>0</v>
      </c>
      <c r="L46" s="1">
        <f t="shared" si="1"/>
        <v>0</v>
      </c>
      <c r="M46" s="1">
        <f t="shared" si="1"/>
        <v>0</v>
      </c>
      <c r="N46" s="1">
        <f t="shared" si="1"/>
        <v>0</v>
      </c>
      <c r="O46" s="1">
        <f t="shared" si="1"/>
        <v>0</v>
      </c>
      <c r="P46" s="1">
        <f t="shared" si="1"/>
        <v>0</v>
      </c>
      <c r="Q46" s="1">
        <f t="shared" si="1"/>
        <v>42</v>
      </c>
    </row>
    <row r="47" spans="1:17" x14ac:dyDescent="0.25">
      <c r="H47">
        <f>-8*17</f>
        <v>-136</v>
      </c>
    </row>
    <row r="48" spans="1:17" x14ac:dyDescent="0.25">
      <c r="A48" s="1" t="s">
        <v>16</v>
      </c>
      <c r="C48" s="42" t="s">
        <v>89</v>
      </c>
      <c r="D48" s="42"/>
      <c r="E48" s="4" t="s">
        <v>90</v>
      </c>
      <c r="H48">
        <f>-5*25</f>
        <v>-125</v>
      </c>
      <c r="K48" s="7" t="s">
        <v>333</v>
      </c>
      <c r="L48" s="7" t="s">
        <v>91</v>
      </c>
      <c r="M48" s="7" t="s">
        <v>90</v>
      </c>
      <c r="O48" s="4" t="s">
        <v>92</v>
      </c>
    </row>
    <row r="49" spans="1:16" x14ac:dyDescent="0.25">
      <c r="A49" t="s">
        <v>328</v>
      </c>
      <c r="B49" s="3" t="s">
        <v>93</v>
      </c>
      <c r="C49" s="43">
        <f>SUMIFS(I$3:I$44,B$3:B$44,A$48,L$3:L$44,A$49)</f>
        <v>20745</v>
      </c>
      <c r="D49" s="43"/>
      <c r="E49" s="3">
        <f>SUMIFS(Q$3:Q$44,B$3:B$44,A$48,L$3:L$44,A$49)</f>
        <v>40</v>
      </c>
      <c r="F49" t="s">
        <v>94</v>
      </c>
      <c r="H49">
        <f>-2*30</f>
        <v>-60</v>
      </c>
      <c r="K49" t="s">
        <v>95</v>
      </c>
      <c r="L49">
        <f>SUMIFS(G$3:G$44,J$3:J$44,K$48)</f>
        <v>9680</v>
      </c>
      <c r="M49">
        <f>SUMIFS(Q$3:Q$44,J$3:J$44,K$48)</f>
        <v>15</v>
      </c>
      <c r="O49" t="s">
        <v>450</v>
      </c>
      <c r="P49">
        <f>L54</f>
        <v>8722</v>
      </c>
    </row>
    <row r="50" spans="1:16" x14ac:dyDescent="0.25">
      <c r="B50" s="2" t="s">
        <v>97</v>
      </c>
      <c r="C50" s="44">
        <v>0</v>
      </c>
      <c r="D50" s="44"/>
      <c r="K50" t="s">
        <v>98</v>
      </c>
      <c r="L50">
        <f>SUM(H47:H49)</f>
        <v>-321</v>
      </c>
      <c r="M50">
        <f>SUMIFS(Q$3:Q$44,J$3:J$44,K$48)</f>
        <v>15</v>
      </c>
      <c r="O50" t="s">
        <v>21</v>
      </c>
      <c r="P50">
        <f>L62</f>
        <v>6635</v>
      </c>
    </row>
    <row r="51" spans="1:16" x14ac:dyDescent="0.25">
      <c r="B51" s="2" t="s">
        <v>99</v>
      </c>
      <c r="C51" s="44">
        <f>-SUMIFS(I$3:I$44,B$3:B$44,A$48,P$3:P$44,"xx",N$3:N$44,"x")</f>
        <v>-970</v>
      </c>
      <c r="D51" s="44"/>
      <c r="E51" s="2">
        <f>SUMIFS(Q$3:Q$44,B$3:B$44,A$48,P$3:P$44,"xx",N$3:N$44,"x")</f>
        <v>2</v>
      </c>
      <c r="K51" t="s">
        <v>100</v>
      </c>
      <c r="O51" t="s">
        <v>165</v>
      </c>
      <c r="P51">
        <f>L70</f>
        <v>3910</v>
      </c>
    </row>
    <row r="52" spans="1:16" x14ac:dyDescent="0.25">
      <c r="B52" s="4" t="s">
        <v>101</v>
      </c>
      <c r="C52" s="42">
        <f>SUBTOTAL(9,C49:C51)</f>
        <v>19775</v>
      </c>
      <c r="D52" s="42"/>
      <c r="E52">
        <f>E49</f>
        <v>40</v>
      </c>
      <c r="K52" s="2" t="s">
        <v>102</v>
      </c>
      <c r="L52" s="2">
        <v>-637</v>
      </c>
      <c r="M52" s="13" t="s">
        <v>451</v>
      </c>
      <c r="O52" t="s">
        <v>20</v>
      </c>
      <c r="P52">
        <f>L78</f>
        <v>670</v>
      </c>
    </row>
    <row r="53" spans="1:16" x14ac:dyDescent="0.25">
      <c r="B53" s="2" t="s">
        <v>104</v>
      </c>
      <c r="C53" s="40"/>
      <c r="D53" s="40"/>
      <c r="K53" s="2" t="s">
        <v>105</v>
      </c>
      <c r="O53" t="s">
        <v>103</v>
      </c>
      <c r="P53">
        <f>-C56</f>
        <v>-19775</v>
      </c>
    </row>
    <row r="54" spans="1:16" x14ac:dyDescent="0.25">
      <c r="B54" s="8" t="s">
        <v>107</v>
      </c>
      <c r="C54" s="40"/>
      <c r="D54" s="40"/>
      <c r="L54" s="9">
        <f>SUBTOTAL(9,L49:L53)</f>
        <v>8722</v>
      </c>
      <c r="M54" s="9">
        <f>M49</f>
        <v>15</v>
      </c>
      <c r="O54" s="4" t="s">
        <v>106</v>
      </c>
      <c r="P54" s="4">
        <f>SUBTOTAL(9,P49:P53)</f>
        <v>162</v>
      </c>
    </row>
    <row r="56" spans="1:16" x14ac:dyDescent="0.25">
      <c r="B56" s="1" t="s">
        <v>108</v>
      </c>
      <c r="C56" s="41">
        <f>C52+C53+C54</f>
        <v>19775</v>
      </c>
      <c r="D56" s="41"/>
      <c r="E56" s="1" t="s">
        <v>109</v>
      </c>
      <c r="K56" s="7" t="s">
        <v>21</v>
      </c>
      <c r="L56" s="7" t="s">
        <v>91</v>
      </c>
      <c r="M56" s="7" t="s">
        <v>90</v>
      </c>
    </row>
    <row r="57" spans="1:16" x14ac:dyDescent="0.25">
      <c r="K57" t="s">
        <v>95</v>
      </c>
      <c r="L57">
        <f>SUMIFS(G$3:G$44,J$3:J$44,K$56)</f>
        <v>7025</v>
      </c>
      <c r="M57">
        <f>SUMIFS(Q$3:Q$44,J$3:J$44,K$56)</f>
        <v>14</v>
      </c>
    </row>
    <row r="58" spans="1:16" x14ac:dyDescent="0.25">
      <c r="K58" t="s">
        <v>98</v>
      </c>
      <c r="L58">
        <f>-SUMIFS(H$3:H$44,J$3:J$44,K$56)+M58*5</f>
        <v>-310</v>
      </c>
      <c r="M58">
        <f>SUMIFS(Q$3:Q$44,J$3:J$44,K$56)-COUNTIFS(J$3:J$44,K$56,M$3:M$44,"*gộp*")</f>
        <v>14</v>
      </c>
    </row>
    <row r="59" spans="1:16" x14ac:dyDescent="0.25">
      <c r="K59" t="s">
        <v>100</v>
      </c>
      <c r="L59">
        <f>-M59*2</f>
        <v>-80</v>
      </c>
      <c r="M59">
        <f>Q46-(COUNTIFS(M$3:M$44,"*gộp*")/2)-COUNTIFS(P$3:P$44,"*xx*")</f>
        <v>40</v>
      </c>
    </row>
    <row r="60" spans="1:16" x14ac:dyDescent="0.25">
      <c r="K60" s="2" t="s">
        <v>102</v>
      </c>
    </row>
    <row r="61" spans="1:16" x14ac:dyDescent="0.25">
      <c r="K61" s="2" t="s">
        <v>105</v>
      </c>
    </row>
    <row r="62" spans="1:16" x14ac:dyDescent="0.25">
      <c r="L62" s="9">
        <f>SUBTOTAL(9,L57:L61)</f>
        <v>6635</v>
      </c>
      <c r="M62" s="9">
        <f>M57</f>
        <v>14</v>
      </c>
    </row>
    <row r="64" spans="1:16" x14ac:dyDescent="0.25"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SUMIFS(G$3:G$44,J$3:J$44,K$64)</f>
        <v>4445</v>
      </c>
      <c r="M65">
        <f>SUMIFS(Q$3:Q$44,J$3:J$44,K$64)</f>
        <v>9</v>
      </c>
    </row>
    <row r="66" spans="11:13" x14ac:dyDescent="0.25">
      <c r="K66" t="s">
        <v>98</v>
      </c>
      <c r="L66">
        <f>-SUMIFS(H$3:H$44,J$3:J$44,K$64)+M66*5</f>
        <v>-180</v>
      </c>
      <c r="M66">
        <f>SUMIFS(Q$3:Q$44,J$3:J$44,K$64)-COUNTIFS(J$3:J$44,K$64,M$3:M$44,"*gộp*")</f>
        <v>9</v>
      </c>
    </row>
    <row r="67" spans="11:13" x14ac:dyDescent="0.25">
      <c r="K67" t="s">
        <v>100</v>
      </c>
    </row>
    <row r="68" spans="11:13" x14ac:dyDescent="0.25">
      <c r="K68" s="2" t="s">
        <v>102</v>
      </c>
      <c r="L68" s="2">
        <v>-355</v>
      </c>
      <c r="M68" s="13" t="s">
        <v>451</v>
      </c>
    </row>
    <row r="69" spans="11:13" x14ac:dyDescent="0.25">
      <c r="K69" s="2" t="s">
        <v>105</v>
      </c>
    </row>
    <row r="70" spans="11:13" x14ac:dyDescent="0.25">
      <c r="L70" s="9">
        <f>SUBTOTAL(9,L65:L69)</f>
        <v>3910</v>
      </c>
      <c r="M70" s="9">
        <f>M65</f>
        <v>9</v>
      </c>
    </row>
    <row r="72" spans="11:13" x14ac:dyDescent="0.25">
      <c r="K72" s="7" t="s">
        <v>20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SUMIFS(G$3:G$44,J$3:J$44,K$72)</f>
        <v>725</v>
      </c>
      <c r="M73">
        <f>SUMIFS(Q$3:Q$44,J$3:J$44,K$72)</f>
        <v>2</v>
      </c>
    </row>
    <row r="74" spans="11:13" x14ac:dyDescent="0.25">
      <c r="K74" t="s">
        <v>98</v>
      </c>
      <c r="L74">
        <f>-SUMIFS(H$3:H$44,J$3:J$44,K$72)+M74*5</f>
        <v>-55</v>
      </c>
      <c r="M74">
        <f>SUMIFS(Q$3:Q$44,J$3:J$44,K$72)-COUNTIFS(J$3:J$44,K$72,M$3:M$44,"*gộp*")</f>
        <v>2</v>
      </c>
    </row>
    <row r="75" spans="11:13" x14ac:dyDescent="0.25">
      <c r="K75" t="s">
        <v>100</v>
      </c>
    </row>
    <row r="76" spans="11:13" x14ac:dyDescent="0.25">
      <c r="K76" s="2" t="s">
        <v>102</v>
      </c>
    </row>
    <row r="77" spans="11:13" x14ac:dyDescent="0.25">
      <c r="K77" s="2" t="s">
        <v>105</v>
      </c>
    </row>
    <row r="78" spans="11:13" x14ac:dyDescent="0.25">
      <c r="L78" s="9">
        <f>SUBTOTAL(9,L73:L77)</f>
        <v>670</v>
      </c>
      <c r="M78" s="9">
        <f>M73</f>
        <v>2</v>
      </c>
    </row>
  </sheetData>
  <autoFilter ref="A2:P44" xr:uid="{00000000-0009-0000-0000-000003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81"/>
  <sheetViews>
    <sheetView workbookViewId="0">
      <selection activeCell="E17" sqref="E17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9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452</v>
      </c>
      <c r="D3" t="s">
        <v>453</v>
      </c>
      <c r="E3" t="s">
        <v>454</v>
      </c>
      <c r="F3" t="s">
        <v>88</v>
      </c>
      <c r="G3" s="6">
        <v>0</v>
      </c>
      <c r="H3" s="6">
        <v>25</v>
      </c>
      <c r="I3" s="6">
        <f>G3-H3</f>
        <v>-25</v>
      </c>
      <c r="J3" t="s">
        <v>21</v>
      </c>
      <c r="K3" t="s">
        <v>21</v>
      </c>
      <c r="L3" t="s">
        <v>455</v>
      </c>
      <c r="M3" t="s">
        <v>398</v>
      </c>
      <c r="Q3" s="6">
        <v>1</v>
      </c>
    </row>
    <row r="4" spans="1:17" x14ac:dyDescent="0.25">
      <c r="B4" t="s">
        <v>16</v>
      </c>
      <c r="C4" t="s">
        <v>456</v>
      </c>
      <c r="D4" t="s">
        <v>457</v>
      </c>
      <c r="E4" t="s">
        <v>458</v>
      </c>
      <c r="F4" s="6">
        <v>7</v>
      </c>
      <c r="G4" s="6">
        <v>470</v>
      </c>
      <c r="H4" s="6">
        <v>30</v>
      </c>
      <c r="I4" s="6">
        <f>G4-H4</f>
        <v>440</v>
      </c>
      <c r="J4" t="s">
        <v>459</v>
      </c>
      <c r="K4" t="s">
        <v>21</v>
      </c>
      <c r="L4" t="s">
        <v>455</v>
      </c>
      <c r="Q4" s="6">
        <v>1</v>
      </c>
    </row>
    <row r="5" spans="1:17" x14ac:dyDescent="0.25">
      <c r="B5" t="s">
        <v>16</v>
      </c>
      <c r="C5" t="s">
        <v>460</v>
      </c>
      <c r="D5" t="s">
        <v>461</v>
      </c>
      <c r="E5" t="s">
        <v>462</v>
      </c>
      <c r="F5" t="s">
        <v>153</v>
      </c>
      <c r="G5" s="6">
        <v>1710</v>
      </c>
      <c r="H5" s="6">
        <v>30</v>
      </c>
      <c r="I5" s="6">
        <f>G5-H5</f>
        <v>1680</v>
      </c>
      <c r="J5" t="s">
        <v>21</v>
      </c>
      <c r="K5" t="s">
        <v>21</v>
      </c>
      <c r="L5" t="s">
        <v>455</v>
      </c>
      <c r="Q5" s="6">
        <v>1</v>
      </c>
    </row>
    <row r="6" spans="1:17" x14ac:dyDescent="0.25">
      <c r="B6" t="s">
        <v>16</v>
      </c>
      <c r="C6" t="s">
        <v>463</v>
      </c>
      <c r="D6" t="s">
        <v>464</v>
      </c>
      <c r="E6" t="s">
        <v>465</v>
      </c>
      <c r="F6" t="s">
        <v>26</v>
      </c>
      <c r="G6" s="6">
        <v>820</v>
      </c>
      <c r="H6" s="6">
        <v>30</v>
      </c>
      <c r="I6" s="6">
        <f>G6-H6</f>
        <v>790</v>
      </c>
      <c r="J6" t="s">
        <v>459</v>
      </c>
      <c r="K6" t="s">
        <v>21</v>
      </c>
      <c r="L6" t="s">
        <v>455</v>
      </c>
      <c r="Q6" s="6">
        <v>1</v>
      </c>
    </row>
    <row r="7" spans="1:17" x14ac:dyDescent="0.25">
      <c r="B7" t="s">
        <v>16</v>
      </c>
      <c r="C7" t="s">
        <v>466</v>
      </c>
      <c r="D7" t="s">
        <v>467</v>
      </c>
      <c r="E7" t="s">
        <v>468</v>
      </c>
      <c r="F7" s="6">
        <v>8</v>
      </c>
      <c r="G7" s="6">
        <v>0</v>
      </c>
      <c r="H7" s="6">
        <v>25</v>
      </c>
      <c r="I7" s="6">
        <f>-H7</f>
        <v>-25</v>
      </c>
      <c r="J7" t="s">
        <v>459</v>
      </c>
      <c r="K7" t="s">
        <v>21</v>
      </c>
      <c r="L7" t="s">
        <v>455</v>
      </c>
      <c r="Q7" s="6">
        <v>1</v>
      </c>
    </row>
    <row r="8" spans="1:17" x14ac:dyDescent="0.25">
      <c r="B8" t="s">
        <v>16</v>
      </c>
      <c r="C8" t="s">
        <v>469</v>
      </c>
      <c r="D8" t="s">
        <v>470</v>
      </c>
      <c r="E8" t="s">
        <v>471</v>
      </c>
      <c r="F8" s="6">
        <v>6</v>
      </c>
      <c r="G8" s="6">
        <v>1515</v>
      </c>
      <c r="H8" s="6">
        <v>25</v>
      </c>
      <c r="I8" s="6">
        <f t="shared" ref="I8:I16" si="0">G8-H8</f>
        <v>1490</v>
      </c>
      <c r="J8" t="s">
        <v>459</v>
      </c>
      <c r="K8" t="s">
        <v>21</v>
      </c>
      <c r="L8" t="s">
        <v>455</v>
      </c>
      <c r="Q8" s="6">
        <v>1</v>
      </c>
    </row>
    <row r="9" spans="1:17" x14ac:dyDescent="0.25">
      <c r="B9" t="s">
        <v>16</v>
      </c>
      <c r="C9" t="s">
        <v>472</v>
      </c>
      <c r="D9" t="s">
        <v>473</v>
      </c>
      <c r="E9" t="s">
        <v>474</v>
      </c>
      <c r="F9" t="s">
        <v>26</v>
      </c>
      <c r="G9" s="6">
        <v>890</v>
      </c>
      <c r="H9" s="6">
        <v>30</v>
      </c>
      <c r="I9" s="6">
        <f t="shared" si="0"/>
        <v>860</v>
      </c>
      <c r="J9" t="s">
        <v>459</v>
      </c>
      <c r="K9" t="s">
        <v>21</v>
      </c>
      <c r="L9" t="s">
        <v>455</v>
      </c>
      <c r="Q9" s="6">
        <v>1</v>
      </c>
    </row>
    <row r="10" spans="1:17" x14ac:dyDescent="0.25">
      <c r="B10" t="s">
        <v>16</v>
      </c>
      <c r="C10" t="s">
        <v>475</v>
      </c>
      <c r="D10" t="s">
        <v>476</v>
      </c>
      <c r="E10" t="s">
        <v>477</v>
      </c>
      <c r="F10" t="s">
        <v>26</v>
      </c>
      <c r="G10" s="6">
        <v>470</v>
      </c>
      <c r="H10" s="6">
        <v>30</v>
      </c>
      <c r="I10" s="6">
        <f t="shared" si="0"/>
        <v>440</v>
      </c>
      <c r="J10" t="s">
        <v>459</v>
      </c>
      <c r="K10" t="s">
        <v>21</v>
      </c>
      <c r="L10" t="s">
        <v>455</v>
      </c>
      <c r="Q10" s="6">
        <v>1</v>
      </c>
    </row>
    <row r="11" spans="1:17" x14ac:dyDescent="0.25">
      <c r="B11" t="s">
        <v>16</v>
      </c>
      <c r="C11" t="s">
        <v>478</v>
      </c>
      <c r="D11" t="s">
        <v>479</v>
      </c>
      <c r="E11" t="s">
        <v>480</v>
      </c>
      <c r="F11" s="6">
        <v>10</v>
      </c>
      <c r="G11" s="6">
        <v>1505</v>
      </c>
      <c r="H11" s="6">
        <v>25</v>
      </c>
      <c r="I11" s="6">
        <f t="shared" si="0"/>
        <v>1480</v>
      </c>
      <c r="J11" t="s">
        <v>165</v>
      </c>
      <c r="K11" t="s">
        <v>21</v>
      </c>
      <c r="L11" t="s">
        <v>455</v>
      </c>
      <c r="Q11" s="6">
        <v>1</v>
      </c>
    </row>
    <row r="12" spans="1:17" x14ac:dyDescent="0.25">
      <c r="B12" t="s">
        <v>16</v>
      </c>
      <c r="C12" t="s">
        <v>481</v>
      </c>
      <c r="D12" t="s">
        <v>482</v>
      </c>
      <c r="E12" t="s">
        <v>483</v>
      </c>
      <c r="F12" s="6">
        <v>4</v>
      </c>
      <c r="G12" s="6">
        <v>815</v>
      </c>
      <c r="H12" s="6">
        <v>25</v>
      </c>
      <c r="I12" s="6">
        <f t="shared" si="0"/>
        <v>790</v>
      </c>
      <c r="J12" t="s">
        <v>165</v>
      </c>
      <c r="K12" t="s">
        <v>21</v>
      </c>
      <c r="L12" t="s">
        <v>455</v>
      </c>
      <c r="Q12" s="6">
        <v>1</v>
      </c>
    </row>
    <row r="13" spans="1:17" x14ac:dyDescent="0.25">
      <c r="B13" t="s">
        <v>16</v>
      </c>
      <c r="C13" t="s">
        <v>484</v>
      </c>
      <c r="D13" t="s">
        <v>485</v>
      </c>
      <c r="E13" t="s">
        <v>486</v>
      </c>
      <c r="F13" s="6">
        <v>2</v>
      </c>
      <c r="G13" s="6">
        <v>1510</v>
      </c>
      <c r="H13" s="6">
        <v>30</v>
      </c>
      <c r="I13" s="6">
        <f t="shared" si="0"/>
        <v>1480</v>
      </c>
      <c r="J13" t="s">
        <v>21</v>
      </c>
      <c r="K13" t="s">
        <v>21</v>
      </c>
      <c r="L13" t="s">
        <v>455</v>
      </c>
      <c r="Q13" s="6">
        <v>1</v>
      </c>
    </row>
    <row r="14" spans="1:17" x14ac:dyDescent="0.25">
      <c r="B14" t="s">
        <v>16</v>
      </c>
      <c r="C14" t="s">
        <v>487</v>
      </c>
      <c r="D14" t="s">
        <v>488</v>
      </c>
      <c r="E14" t="s">
        <v>489</v>
      </c>
      <c r="F14" t="s">
        <v>26</v>
      </c>
      <c r="G14" s="6">
        <v>920</v>
      </c>
      <c r="H14" s="6">
        <v>30</v>
      </c>
      <c r="I14" s="6">
        <f t="shared" si="0"/>
        <v>890</v>
      </c>
      <c r="J14" t="s">
        <v>459</v>
      </c>
      <c r="K14" t="s">
        <v>21</v>
      </c>
      <c r="L14" t="s">
        <v>455</v>
      </c>
      <c r="Q14" s="6">
        <v>1</v>
      </c>
    </row>
    <row r="15" spans="1:17" x14ac:dyDescent="0.25">
      <c r="B15" t="s">
        <v>16</v>
      </c>
      <c r="C15" t="s">
        <v>147</v>
      </c>
      <c r="D15" t="s">
        <v>490</v>
      </c>
      <c r="E15" t="s">
        <v>149</v>
      </c>
      <c r="F15" t="s">
        <v>68</v>
      </c>
      <c r="G15" s="6">
        <v>680</v>
      </c>
      <c r="H15" s="6">
        <v>20</v>
      </c>
      <c r="I15" s="6">
        <f t="shared" si="0"/>
        <v>660</v>
      </c>
      <c r="J15" t="s">
        <v>21</v>
      </c>
      <c r="K15" t="s">
        <v>21</v>
      </c>
      <c r="L15" t="s">
        <v>455</v>
      </c>
      <c r="Q15" s="6">
        <v>1</v>
      </c>
    </row>
    <row r="16" spans="1:17" x14ac:dyDescent="0.25">
      <c r="B16" t="s">
        <v>16</v>
      </c>
      <c r="C16" t="s">
        <v>491</v>
      </c>
      <c r="D16" t="s">
        <v>492</v>
      </c>
      <c r="E16" t="s">
        <v>493</v>
      </c>
      <c r="F16" t="s">
        <v>153</v>
      </c>
      <c r="G16" s="6">
        <v>1020</v>
      </c>
      <c r="H16" s="6">
        <v>30</v>
      </c>
      <c r="I16" s="6">
        <f t="shared" si="0"/>
        <v>990</v>
      </c>
      <c r="J16" t="s">
        <v>21</v>
      </c>
      <c r="K16" t="s">
        <v>21</v>
      </c>
      <c r="L16" t="s">
        <v>455</v>
      </c>
      <c r="Q16" s="6">
        <v>1</v>
      </c>
    </row>
    <row r="17" spans="2:17" x14ac:dyDescent="0.25">
      <c r="B17" t="s">
        <v>16</v>
      </c>
      <c r="C17" t="s">
        <v>494</v>
      </c>
      <c r="D17" t="s">
        <v>495</v>
      </c>
      <c r="E17" t="s">
        <v>496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21</v>
      </c>
      <c r="K17" t="s">
        <v>21</v>
      </c>
      <c r="L17" t="s">
        <v>455</v>
      </c>
      <c r="Q17" s="6">
        <v>1</v>
      </c>
    </row>
    <row r="18" spans="2:17" x14ac:dyDescent="0.25">
      <c r="B18" t="s">
        <v>16</v>
      </c>
      <c r="C18" t="s">
        <v>497</v>
      </c>
      <c r="D18" t="s">
        <v>498</v>
      </c>
      <c r="E18" t="s">
        <v>499</v>
      </c>
      <c r="F18" s="6">
        <v>8</v>
      </c>
      <c r="G18" s="6">
        <v>820</v>
      </c>
      <c r="H18" s="6">
        <v>30</v>
      </c>
      <c r="I18" s="6">
        <f t="shared" ref="I18:I24" si="1">G18-H18</f>
        <v>790</v>
      </c>
      <c r="J18" t="s">
        <v>165</v>
      </c>
      <c r="K18" t="s">
        <v>21</v>
      </c>
      <c r="L18" t="s">
        <v>455</v>
      </c>
      <c r="Q18" s="6">
        <v>1</v>
      </c>
    </row>
    <row r="19" spans="2:17" x14ac:dyDescent="0.25">
      <c r="B19" t="s">
        <v>16</v>
      </c>
      <c r="C19" t="s">
        <v>500</v>
      </c>
      <c r="D19" t="s">
        <v>501</v>
      </c>
      <c r="E19" t="s">
        <v>502</v>
      </c>
      <c r="F19" t="s">
        <v>88</v>
      </c>
      <c r="G19" s="6">
        <v>845</v>
      </c>
      <c r="H19" s="6">
        <v>25</v>
      </c>
      <c r="I19" s="6">
        <f t="shared" si="1"/>
        <v>820</v>
      </c>
      <c r="J19" t="s">
        <v>165</v>
      </c>
      <c r="K19" t="s">
        <v>21</v>
      </c>
      <c r="L19" t="s">
        <v>455</v>
      </c>
      <c r="Q19" s="6">
        <v>1</v>
      </c>
    </row>
    <row r="20" spans="2:17" x14ac:dyDescent="0.25">
      <c r="B20" t="s">
        <v>16</v>
      </c>
      <c r="C20" t="s">
        <v>503</v>
      </c>
      <c r="D20" t="s">
        <v>504</v>
      </c>
      <c r="E20" t="s">
        <v>505</v>
      </c>
      <c r="F20" s="6">
        <v>6</v>
      </c>
      <c r="G20" s="6">
        <v>695</v>
      </c>
      <c r="H20" s="6">
        <v>25</v>
      </c>
      <c r="I20" s="6">
        <f t="shared" si="1"/>
        <v>670</v>
      </c>
      <c r="J20" t="s">
        <v>459</v>
      </c>
      <c r="K20" t="s">
        <v>21</v>
      </c>
      <c r="L20" t="s">
        <v>455</v>
      </c>
      <c r="Q20" s="6">
        <v>1</v>
      </c>
    </row>
    <row r="21" spans="2:17" x14ac:dyDescent="0.25">
      <c r="B21" t="s">
        <v>16</v>
      </c>
      <c r="C21" t="s">
        <v>506</v>
      </c>
      <c r="D21" t="s">
        <v>507</v>
      </c>
      <c r="E21" t="s">
        <v>508</v>
      </c>
      <c r="F21" s="6">
        <v>7</v>
      </c>
      <c r="G21" s="6">
        <v>700</v>
      </c>
      <c r="H21" s="6">
        <v>30</v>
      </c>
      <c r="I21" s="6">
        <f t="shared" si="1"/>
        <v>670</v>
      </c>
      <c r="J21" t="s">
        <v>459</v>
      </c>
      <c r="K21" t="s">
        <v>21</v>
      </c>
      <c r="L21" t="s">
        <v>455</v>
      </c>
      <c r="Q21" s="6">
        <v>1</v>
      </c>
    </row>
    <row r="22" spans="2:17" x14ac:dyDescent="0.25">
      <c r="B22" t="s">
        <v>16</v>
      </c>
      <c r="C22" t="s">
        <v>509</v>
      </c>
      <c r="D22" t="s">
        <v>510</v>
      </c>
      <c r="E22" t="s">
        <v>511</v>
      </c>
      <c r="F22" s="6">
        <v>4</v>
      </c>
      <c r="G22" s="6">
        <v>735</v>
      </c>
      <c r="H22" s="6">
        <v>25</v>
      </c>
      <c r="I22" s="6">
        <f t="shared" si="1"/>
        <v>710</v>
      </c>
      <c r="J22" t="s">
        <v>165</v>
      </c>
      <c r="K22" t="s">
        <v>21</v>
      </c>
      <c r="L22" t="s">
        <v>455</v>
      </c>
      <c r="Q22" s="6">
        <v>1</v>
      </c>
    </row>
    <row r="23" spans="2:17" x14ac:dyDescent="0.25">
      <c r="B23" t="s">
        <v>16</v>
      </c>
      <c r="C23" t="s">
        <v>512</v>
      </c>
      <c r="D23" t="s">
        <v>513</v>
      </c>
      <c r="E23" t="s">
        <v>514</v>
      </c>
      <c r="F23" s="6">
        <v>4</v>
      </c>
      <c r="G23" s="6">
        <v>75</v>
      </c>
      <c r="H23" s="6">
        <v>25</v>
      </c>
      <c r="I23" s="6">
        <f t="shared" si="1"/>
        <v>50</v>
      </c>
      <c r="J23" t="s">
        <v>165</v>
      </c>
      <c r="K23" t="s">
        <v>21</v>
      </c>
      <c r="L23" t="s">
        <v>455</v>
      </c>
      <c r="M23" t="s">
        <v>49</v>
      </c>
      <c r="Q23" s="6">
        <v>1</v>
      </c>
    </row>
    <row r="24" spans="2:17" x14ac:dyDescent="0.25">
      <c r="B24" t="s">
        <v>16</v>
      </c>
      <c r="C24" t="s">
        <v>515</v>
      </c>
      <c r="D24" t="s">
        <v>516</v>
      </c>
      <c r="E24" t="s">
        <v>517</v>
      </c>
      <c r="F24" s="6">
        <v>4</v>
      </c>
      <c r="G24" s="6">
        <v>715</v>
      </c>
      <c r="H24" s="6">
        <v>25</v>
      </c>
      <c r="I24" s="6">
        <f t="shared" si="1"/>
        <v>690</v>
      </c>
      <c r="J24" t="s">
        <v>165</v>
      </c>
      <c r="K24" t="s">
        <v>21</v>
      </c>
      <c r="L24" t="s">
        <v>455</v>
      </c>
      <c r="Q24" s="6">
        <v>1</v>
      </c>
    </row>
    <row r="25" spans="2:17" x14ac:dyDescent="0.25">
      <c r="B25" t="s">
        <v>16</v>
      </c>
      <c r="C25" t="s">
        <v>518</v>
      </c>
      <c r="D25" t="s">
        <v>519</v>
      </c>
      <c r="E25" t="s">
        <v>520</v>
      </c>
      <c r="F25" s="6">
        <v>7</v>
      </c>
      <c r="G25" s="6">
        <v>0</v>
      </c>
      <c r="H25" s="6">
        <v>30</v>
      </c>
      <c r="I25" s="6">
        <f>-H25</f>
        <v>-30</v>
      </c>
      <c r="J25" t="s">
        <v>459</v>
      </c>
      <c r="K25" t="s">
        <v>21</v>
      </c>
      <c r="L25" t="s">
        <v>455</v>
      </c>
      <c r="Q25" s="6">
        <v>1</v>
      </c>
    </row>
    <row r="26" spans="2:17" x14ac:dyDescent="0.25">
      <c r="B26" t="s">
        <v>16</v>
      </c>
      <c r="C26" t="s">
        <v>521</v>
      </c>
      <c r="D26" t="s">
        <v>522</v>
      </c>
      <c r="E26" t="s">
        <v>523</v>
      </c>
      <c r="F26" s="6">
        <v>5</v>
      </c>
      <c r="G26" s="6">
        <v>685</v>
      </c>
      <c r="H26" s="6">
        <v>25</v>
      </c>
      <c r="I26" s="6">
        <f>G26-H26</f>
        <v>660</v>
      </c>
      <c r="J26" t="s">
        <v>165</v>
      </c>
      <c r="K26" t="s">
        <v>21</v>
      </c>
      <c r="L26" t="s">
        <v>455</v>
      </c>
      <c r="Q26" s="6">
        <v>1</v>
      </c>
    </row>
    <row r="27" spans="2:17" x14ac:dyDescent="0.25">
      <c r="B27" t="s">
        <v>16</v>
      </c>
      <c r="C27" t="s">
        <v>524</v>
      </c>
      <c r="D27" t="s">
        <v>525</v>
      </c>
      <c r="E27" t="s">
        <v>526</v>
      </c>
      <c r="F27" t="s">
        <v>26</v>
      </c>
      <c r="G27" s="6">
        <v>1020</v>
      </c>
      <c r="H27" s="6">
        <v>30</v>
      </c>
      <c r="I27" s="6">
        <f>G27-H27</f>
        <v>990</v>
      </c>
      <c r="J27" t="s">
        <v>459</v>
      </c>
      <c r="K27" t="s">
        <v>21</v>
      </c>
      <c r="L27" t="s">
        <v>455</v>
      </c>
      <c r="Q27" s="6">
        <v>1</v>
      </c>
    </row>
    <row r="28" spans="2:17" x14ac:dyDescent="0.25">
      <c r="B28" t="s">
        <v>16</v>
      </c>
      <c r="C28" t="s">
        <v>527</v>
      </c>
      <c r="D28" t="s">
        <v>528</v>
      </c>
      <c r="E28" t="s">
        <v>529</v>
      </c>
      <c r="F28" s="6">
        <v>5</v>
      </c>
      <c r="G28" s="6">
        <v>1185</v>
      </c>
      <c r="H28" s="6">
        <v>25</v>
      </c>
      <c r="I28" s="6">
        <f>G28-H28</f>
        <v>1160</v>
      </c>
      <c r="J28" t="s">
        <v>165</v>
      </c>
      <c r="K28" t="s">
        <v>21</v>
      </c>
      <c r="L28" t="s">
        <v>455</v>
      </c>
      <c r="Q28" s="6">
        <v>1</v>
      </c>
    </row>
    <row r="29" spans="2:17" x14ac:dyDescent="0.25">
      <c r="B29" t="s">
        <v>16</v>
      </c>
      <c r="C29" t="s">
        <v>530</v>
      </c>
      <c r="D29" t="s">
        <v>531</v>
      </c>
      <c r="E29" t="s">
        <v>532</v>
      </c>
      <c r="F29" s="6">
        <v>1</v>
      </c>
      <c r="G29" s="6">
        <v>745</v>
      </c>
      <c r="H29" s="6">
        <v>25</v>
      </c>
      <c r="I29" s="6">
        <f>G29-H29</f>
        <v>720</v>
      </c>
      <c r="J29" t="s">
        <v>165</v>
      </c>
      <c r="K29" t="s">
        <v>21</v>
      </c>
      <c r="L29" t="s">
        <v>455</v>
      </c>
      <c r="Q29" s="6">
        <v>1</v>
      </c>
    </row>
    <row r="30" spans="2:17" x14ac:dyDescent="0.25">
      <c r="B30" t="s">
        <v>16</v>
      </c>
      <c r="C30" t="s">
        <v>533</v>
      </c>
      <c r="D30" t="s">
        <v>534</v>
      </c>
      <c r="E30" t="s">
        <v>535</v>
      </c>
      <c r="F30" s="6">
        <v>10</v>
      </c>
      <c r="G30" s="6">
        <v>1255</v>
      </c>
      <c r="H30" s="6">
        <v>25</v>
      </c>
      <c r="I30" s="6">
        <f>G30-H30</f>
        <v>1230</v>
      </c>
      <c r="J30" t="s">
        <v>165</v>
      </c>
      <c r="K30" t="s">
        <v>21</v>
      </c>
      <c r="L30" t="s">
        <v>455</v>
      </c>
      <c r="Q30" s="6">
        <v>1</v>
      </c>
    </row>
    <row r="31" spans="2:17" x14ac:dyDescent="0.25">
      <c r="B31" t="s">
        <v>16</v>
      </c>
      <c r="C31" t="s">
        <v>536</v>
      </c>
      <c r="D31" t="s">
        <v>537</v>
      </c>
      <c r="E31" t="s">
        <v>538</v>
      </c>
      <c r="F31" t="s">
        <v>88</v>
      </c>
      <c r="G31" s="6">
        <v>0</v>
      </c>
      <c r="H31" s="6">
        <v>25</v>
      </c>
      <c r="I31" s="6">
        <f>-H31</f>
        <v>-25</v>
      </c>
      <c r="J31" t="s">
        <v>21</v>
      </c>
      <c r="K31" t="s">
        <v>21</v>
      </c>
      <c r="L31" t="s">
        <v>455</v>
      </c>
      <c r="Q31" s="6">
        <v>1</v>
      </c>
    </row>
    <row r="32" spans="2:17" x14ac:dyDescent="0.25">
      <c r="B32" t="s">
        <v>16</v>
      </c>
      <c r="C32" t="s">
        <v>443</v>
      </c>
      <c r="D32" t="s">
        <v>444</v>
      </c>
      <c r="E32" t="s">
        <v>445</v>
      </c>
      <c r="F32" t="s">
        <v>85</v>
      </c>
      <c r="G32" s="6">
        <v>370</v>
      </c>
      <c r="H32" s="6">
        <v>20</v>
      </c>
      <c r="I32" s="6">
        <f t="shared" ref="I32:I38" si="2">G32-H32</f>
        <v>350</v>
      </c>
      <c r="J32" t="s">
        <v>165</v>
      </c>
      <c r="K32" t="s">
        <v>21</v>
      </c>
      <c r="L32" t="s">
        <v>455</v>
      </c>
      <c r="Q32" s="6">
        <v>1</v>
      </c>
    </row>
    <row r="33" spans="1:17" x14ac:dyDescent="0.25">
      <c r="B33" t="s">
        <v>16</v>
      </c>
      <c r="C33" t="s">
        <v>539</v>
      </c>
      <c r="D33" t="s">
        <v>540</v>
      </c>
      <c r="E33" t="s">
        <v>541</v>
      </c>
      <c r="F33" s="6">
        <v>1</v>
      </c>
      <c r="G33" s="6">
        <v>915</v>
      </c>
      <c r="H33" s="6">
        <v>25</v>
      </c>
      <c r="I33" s="6">
        <f t="shared" si="2"/>
        <v>890</v>
      </c>
      <c r="J33" t="s">
        <v>165</v>
      </c>
      <c r="K33" t="s">
        <v>21</v>
      </c>
      <c r="L33" t="s">
        <v>455</v>
      </c>
      <c r="Q33" s="6">
        <v>1</v>
      </c>
    </row>
    <row r="34" spans="1:17" x14ac:dyDescent="0.25">
      <c r="B34" t="s">
        <v>16</v>
      </c>
      <c r="C34" t="s">
        <v>542</v>
      </c>
      <c r="D34" t="s">
        <v>543</v>
      </c>
      <c r="E34" t="s">
        <v>544</v>
      </c>
      <c r="F34" s="6">
        <v>1</v>
      </c>
      <c r="G34" s="6">
        <v>1635</v>
      </c>
      <c r="H34" s="6">
        <v>25</v>
      </c>
      <c r="I34" s="6">
        <f t="shared" si="2"/>
        <v>1610</v>
      </c>
      <c r="J34" t="s">
        <v>165</v>
      </c>
      <c r="K34" t="s">
        <v>21</v>
      </c>
      <c r="L34" t="s">
        <v>455</v>
      </c>
      <c r="Q34" s="6">
        <v>1</v>
      </c>
    </row>
    <row r="35" spans="1:17" x14ac:dyDescent="0.25">
      <c r="B35" t="s">
        <v>16</v>
      </c>
      <c r="C35" t="s">
        <v>545</v>
      </c>
      <c r="D35" t="s">
        <v>546</v>
      </c>
      <c r="E35" t="s">
        <v>547</v>
      </c>
      <c r="F35" t="s">
        <v>128</v>
      </c>
      <c r="G35" s="6">
        <v>475</v>
      </c>
      <c r="H35" s="6">
        <v>35</v>
      </c>
      <c r="I35" s="6">
        <f t="shared" si="2"/>
        <v>440</v>
      </c>
      <c r="J35" t="s">
        <v>459</v>
      </c>
      <c r="K35" t="s">
        <v>21</v>
      </c>
      <c r="L35" t="s">
        <v>455</v>
      </c>
      <c r="Q35" s="6">
        <v>1</v>
      </c>
    </row>
    <row r="36" spans="1:17" x14ac:dyDescent="0.25">
      <c r="B36" t="s">
        <v>16</v>
      </c>
      <c r="C36" t="s">
        <v>548</v>
      </c>
      <c r="D36" t="s">
        <v>549</v>
      </c>
      <c r="E36" t="s">
        <v>550</v>
      </c>
      <c r="F36" s="6">
        <v>2</v>
      </c>
      <c r="G36" s="6">
        <v>820</v>
      </c>
      <c r="H36" s="6">
        <v>30</v>
      </c>
      <c r="I36" s="6">
        <f t="shared" si="2"/>
        <v>790</v>
      </c>
      <c r="J36" t="s">
        <v>21</v>
      </c>
      <c r="K36" t="s">
        <v>21</v>
      </c>
      <c r="L36" t="s">
        <v>455</v>
      </c>
      <c r="Q36" s="6">
        <v>1</v>
      </c>
    </row>
    <row r="37" spans="1:17" x14ac:dyDescent="0.25">
      <c r="B37" t="s">
        <v>16</v>
      </c>
      <c r="C37" t="s">
        <v>551</v>
      </c>
      <c r="D37" t="s">
        <v>552</v>
      </c>
      <c r="E37" t="s">
        <v>553</v>
      </c>
      <c r="F37" s="6">
        <v>10</v>
      </c>
      <c r="G37" s="6">
        <v>465</v>
      </c>
      <c r="H37" s="6">
        <v>25</v>
      </c>
      <c r="I37" s="6">
        <f t="shared" si="2"/>
        <v>440</v>
      </c>
      <c r="J37" t="s">
        <v>165</v>
      </c>
      <c r="K37" t="s">
        <v>21</v>
      </c>
      <c r="L37" t="s">
        <v>455</v>
      </c>
      <c r="Q37" s="6">
        <v>1</v>
      </c>
    </row>
    <row r="38" spans="1:17" x14ac:dyDescent="0.25">
      <c r="B38" t="s">
        <v>16</v>
      </c>
      <c r="C38" t="s">
        <v>554</v>
      </c>
      <c r="D38" t="s">
        <v>555</v>
      </c>
      <c r="E38" t="s">
        <v>556</v>
      </c>
      <c r="F38" s="6">
        <v>6</v>
      </c>
      <c r="G38" s="6">
        <v>2220</v>
      </c>
      <c r="H38" s="6">
        <v>30</v>
      </c>
      <c r="I38" s="6">
        <f t="shared" si="2"/>
        <v>2190</v>
      </c>
      <c r="J38" t="s">
        <v>459</v>
      </c>
      <c r="K38" t="s">
        <v>21</v>
      </c>
      <c r="L38" t="s">
        <v>455</v>
      </c>
      <c r="M38" t="s">
        <v>398</v>
      </c>
      <c r="Q38" s="6">
        <v>1</v>
      </c>
    </row>
    <row r="39" spans="1:17" x14ac:dyDescent="0.25">
      <c r="B39" t="s">
        <v>16</v>
      </c>
      <c r="C39" t="s">
        <v>557</v>
      </c>
      <c r="D39" t="s">
        <v>558</v>
      </c>
      <c r="E39" t="s">
        <v>559</v>
      </c>
      <c r="F39" t="s">
        <v>88</v>
      </c>
      <c r="G39" s="6">
        <v>0</v>
      </c>
      <c r="H39" s="6">
        <v>25</v>
      </c>
      <c r="I39" s="6">
        <f>-H39</f>
        <v>-25</v>
      </c>
      <c r="J39" t="s">
        <v>21</v>
      </c>
      <c r="K39" t="s">
        <v>21</v>
      </c>
      <c r="L39" t="s">
        <v>455</v>
      </c>
      <c r="Q39" s="6">
        <v>1</v>
      </c>
    </row>
    <row r="40" spans="1:17" x14ac:dyDescent="0.25">
      <c r="B40" t="s">
        <v>16</v>
      </c>
      <c r="C40" t="s">
        <v>560</v>
      </c>
      <c r="D40" t="s">
        <v>561</v>
      </c>
      <c r="E40" t="s">
        <v>562</v>
      </c>
      <c r="F40" s="6">
        <v>4</v>
      </c>
      <c r="G40" s="6">
        <v>0</v>
      </c>
      <c r="H40" s="6">
        <v>25</v>
      </c>
      <c r="I40" s="6">
        <f>-H40</f>
        <v>-25</v>
      </c>
      <c r="J40" t="s">
        <v>165</v>
      </c>
      <c r="K40" t="s">
        <v>21</v>
      </c>
      <c r="L40" t="s">
        <v>455</v>
      </c>
      <c r="Q40" s="6">
        <v>1</v>
      </c>
    </row>
    <row r="41" spans="1:17" x14ac:dyDescent="0.25">
      <c r="B41" t="s">
        <v>16</v>
      </c>
      <c r="C41" t="s">
        <v>563</v>
      </c>
      <c r="D41" t="s">
        <v>564</v>
      </c>
      <c r="E41" t="s">
        <v>366</v>
      </c>
      <c r="F41" t="s">
        <v>26</v>
      </c>
      <c r="G41" s="6">
        <v>720</v>
      </c>
      <c r="H41" s="6">
        <v>30</v>
      </c>
      <c r="I41" s="6">
        <f t="shared" ref="I41:I49" si="3">G41-H41</f>
        <v>690</v>
      </c>
      <c r="J41" t="s">
        <v>459</v>
      </c>
      <c r="K41" t="s">
        <v>21</v>
      </c>
      <c r="L41" t="s">
        <v>455</v>
      </c>
      <c r="Q41" s="6">
        <v>1</v>
      </c>
    </row>
    <row r="42" spans="1:17" x14ac:dyDescent="0.25">
      <c r="B42" t="s">
        <v>16</v>
      </c>
      <c r="C42" t="s">
        <v>565</v>
      </c>
      <c r="D42" t="s">
        <v>566</v>
      </c>
      <c r="E42" t="s">
        <v>567</v>
      </c>
      <c r="F42" t="s">
        <v>26</v>
      </c>
      <c r="G42" s="6">
        <v>750</v>
      </c>
      <c r="H42" s="6">
        <v>30</v>
      </c>
      <c r="I42" s="6">
        <f t="shared" si="3"/>
        <v>720</v>
      </c>
      <c r="J42" t="s">
        <v>459</v>
      </c>
      <c r="K42" t="s">
        <v>21</v>
      </c>
      <c r="L42" t="s">
        <v>455</v>
      </c>
      <c r="Q42" s="6">
        <v>1</v>
      </c>
    </row>
    <row r="43" spans="1:17" x14ac:dyDescent="0.25">
      <c r="B43" t="s">
        <v>16</v>
      </c>
      <c r="C43" t="s">
        <v>568</v>
      </c>
      <c r="D43" t="s">
        <v>569</v>
      </c>
      <c r="E43" t="s">
        <v>570</v>
      </c>
      <c r="F43" s="6">
        <v>8</v>
      </c>
      <c r="G43" s="6">
        <v>390</v>
      </c>
      <c r="H43" s="6">
        <v>30</v>
      </c>
      <c r="I43" s="6">
        <f t="shared" si="3"/>
        <v>360</v>
      </c>
      <c r="J43" t="s">
        <v>459</v>
      </c>
      <c r="K43" t="s">
        <v>21</v>
      </c>
      <c r="L43" t="s">
        <v>455</v>
      </c>
      <c r="Q43" s="6">
        <v>1</v>
      </c>
    </row>
    <row r="44" spans="1:17" x14ac:dyDescent="0.25">
      <c r="B44" t="s">
        <v>16</v>
      </c>
      <c r="C44" t="s">
        <v>571</v>
      </c>
      <c r="D44" t="s">
        <v>572</v>
      </c>
      <c r="E44" t="s">
        <v>573</v>
      </c>
      <c r="F44" s="6">
        <v>2</v>
      </c>
      <c r="G44" s="6">
        <v>1020</v>
      </c>
      <c r="H44" s="6">
        <v>30</v>
      </c>
      <c r="I44" s="6">
        <f t="shared" si="3"/>
        <v>990</v>
      </c>
      <c r="J44" t="s">
        <v>21</v>
      </c>
      <c r="K44" t="s">
        <v>21</v>
      </c>
      <c r="L44" t="s">
        <v>455</v>
      </c>
      <c r="Q44" s="6">
        <v>1</v>
      </c>
    </row>
    <row r="45" spans="1:17" x14ac:dyDescent="0.25">
      <c r="B45" t="s">
        <v>16</v>
      </c>
      <c r="C45" t="s">
        <v>374</v>
      </c>
      <c r="D45" t="s">
        <v>574</v>
      </c>
      <c r="E45" t="s">
        <v>575</v>
      </c>
      <c r="F45" s="6">
        <v>2</v>
      </c>
      <c r="G45" s="6">
        <v>380</v>
      </c>
      <c r="H45" s="6">
        <v>30</v>
      </c>
      <c r="I45" s="6">
        <f t="shared" si="3"/>
        <v>350</v>
      </c>
      <c r="J45" t="s">
        <v>21</v>
      </c>
      <c r="K45" t="s">
        <v>21</v>
      </c>
      <c r="L45" t="s">
        <v>455</v>
      </c>
      <c r="Q45" s="6">
        <v>1</v>
      </c>
    </row>
    <row r="46" spans="1:17" x14ac:dyDescent="0.25">
      <c r="B46" t="s">
        <v>16</v>
      </c>
      <c r="C46" t="s">
        <v>576</v>
      </c>
      <c r="D46" t="s">
        <v>577</v>
      </c>
      <c r="E46" t="s">
        <v>578</v>
      </c>
      <c r="F46" s="6">
        <v>12</v>
      </c>
      <c r="G46" s="6">
        <v>1020</v>
      </c>
      <c r="H46" s="6">
        <v>30</v>
      </c>
      <c r="I46" s="6">
        <f t="shared" si="3"/>
        <v>990</v>
      </c>
      <c r="J46" t="s">
        <v>21</v>
      </c>
      <c r="K46" t="s">
        <v>21</v>
      </c>
      <c r="L46" t="s">
        <v>455</v>
      </c>
      <c r="Q46" s="6">
        <v>1</v>
      </c>
    </row>
    <row r="47" spans="1:17" x14ac:dyDescent="0.25">
      <c r="B47" t="s">
        <v>16</v>
      </c>
      <c r="C47" t="s">
        <v>579</v>
      </c>
      <c r="D47" t="s">
        <v>580</v>
      </c>
      <c r="E47" t="s">
        <v>581</v>
      </c>
      <c r="F47" t="s">
        <v>26</v>
      </c>
      <c r="G47" s="6">
        <v>820</v>
      </c>
      <c r="H47" s="6">
        <v>30</v>
      </c>
      <c r="I47" s="6">
        <f t="shared" si="3"/>
        <v>790</v>
      </c>
      <c r="J47" t="s">
        <v>459</v>
      </c>
      <c r="K47" t="s">
        <v>21</v>
      </c>
      <c r="L47" t="s">
        <v>455</v>
      </c>
      <c r="Q47" s="6">
        <v>1</v>
      </c>
    </row>
    <row r="48" spans="1:17" x14ac:dyDescent="0.25">
      <c r="A48" t="s">
        <v>62</v>
      </c>
      <c r="B48" t="s">
        <v>16</v>
      </c>
      <c r="C48" t="s">
        <v>582</v>
      </c>
      <c r="E48" t="s">
        <v>583</v>
      </c>
      <c r="F48" t="s">
        <v>72</v>
      </c>
      <c r="G48" s="6">
        <v>30</v>
      </c>
      <c r="H48" s="6">
        <v>30</v>
      </c>
      <c r="I48" s="6">
        <f t="shared" si="3"/>
        <v>0</v>
      </c>
      <c r="J48" t="s">
        <v>21</v>
      </c>
      <c r="K48" t="s">
        <v>21</v>
      </c>
      <c r="L48" t="s">
        <v>455</v>
      </c>
      <c r="Q48" s="6">
        <v>1</v>
      </c>
    </row>
    <row r="49" spans="1:17" x14ac:dyDescent="0.25">
      <c r="A49" t="s">
        <v>62</v>
      </c>
      <c r="B49" t="s">
        <v>16</v>
      </c>
      <c r="C49" t="s">
        <v>584</v>
      </c>
      <c r="E49" t="s">
        <v>585</v>
      </c>
      <c r="F49" s="6">
        <v>4</v>
      </c>
      <c r="G49" s="6">
        <v>30</v>
      </c>
      <c r="H49" s="6">
        <v>30</v>
      </c>
      <c r="I49" s="6">
        <f t="shared" si="3"/>
        <v>0</v>
      </c>
      <c r="J49" t="s">
        <v>165</v>
      </c>
      <c r="K49" t="s">
        <v>21</v>
      </c>
      <c r="L49" t="s">
        <v>455</v>
      </c>
      <c r="Q49" s="6">
        <v>1</v>
      </c>
    </row>
    <row r="50" spans="1:17" x14ac:dyDescent="0.25">
      <c r="A50" t="s">
        <v>62</v>
      </c>
      <c r="B50" t="s">
        <v>16</v>
      </c>
      <c r="C50" t="s">
        <v>586</v>
      </c>
      <c r="E50" t="s">
        <v>587</v>
      </c>
      <c r="F50" s="6">
        <v>12</v>
      </c>
      <c r="G50" s="6">
        <v>0</v>
      </c>
      <c r="H50" s="6">
        <v>35</v>
      </c>
      <c r="I50" s="6">
        <f>-H50</f>
        <v>-35</v>
      </c>
      <c r="J50" t="s">
        <v>21</v>
      </c>
      <c r="K50" t="s">
        <v>21</v>
      </c>
      <c r="L50" t="s">
        <v>455</v>
      </c>
      <c r="Q50" s="6">
        <v>1</v>
      </c>
    </row>
    <row r="51" spans="1:17" x14ac:dyDescent="0.25">
      <c r="A51" t="s">
        <v>62</v>
      </c>
      <c r="B51" t="s">
        <v>16</v>
      </c>
      <c r="C51" t="s">
        <v>588</v>
      </c>
      <c r="E51" t="s">
        <v>589</v>
      </c>
      <c r="F51" t="s">
        <v>217</v>
      </c>
      <c r="G51" s="6">
        <v>30</v>
      </c>
      <c r="H51" s="6">
        <v>30</v>
      </c>
      <c r="I51" s="6">
        <f>G51-H51</f>
        <v>0</v>
      </c>
      <c r="J51" t="s">
        <v>459</v>
      </c>
      <c r="K51" t="s">
        <v>21</v>
      </c>
      <c r="L51" t="s">
        <v>455</v>
      </c>
      <c r="Q51" s="6">
        <v>1</v>
      </c>
    </row>
    <row r="52" spans="1:17" x14ac:dyDescent="0.25">
      <c r="A52" t="s">
        <v>62</v>
      </c>
      <c r="B52" t="s">
        <v>16</v>
      </c>
      <c r="C52" t="s">
        <v>265</v>
      </c>
      <c r="E52" t="s">
        <v>590</v>
      </c>
      <c r="F52" s="6">
        <v>6</v>
      </c>
      <c r="G52" s="6">
        <v>30</v>
      </c>
      <c r="H52" s="6">
        <v>30</v>
      </c>
      <c r="I52" s="6">
        <f>G52-H52</f>
        <v>0</v>
      </c>
      <c r="J52" t="s">
        <v>459</v>
      </c>
      <c r="K52" t="s">
        <v>21</v>
      </c>
      <c r="L52" t="s">
        <v>455</v>
      </c>
      <c r="Q52" s="6">
        <v>1</v>
      </c>
    </row>
    <row r="53" spans="1:17" x14ac:dyDescent="0.25">
      <c r="A53" t="s">
        <v>62</v>
      </c>
      <c r="B53" t="s">
        <v>16</v>
      </c>
      <c r="C53" t="s">
        <v>320</v>
      </c>
      <c r="E53" t="s">
        <v>321</v>
      </c>
      <c r="F53" t="s">
        <v>72</v>
      </c>
      <c r="G53" s="6">
        <v>30</v>
      </c>
      <c r="H53" s="6">
        <v>30</v>
      </c>
      <c r="I53" s="6">
        <f>G53-H53</f>
        <v>0</v>
      </c>
      <c r="J53" t="s">
        <v>21</v>
      </c>
      <c r="K53" t="s">
        <v>21</v>
      </c>
      <c r="L53" t="s">
        <v>455</v>
      </c>
      <c r="Q53" s="6">
        <v>1</v>
      </c>
    </row>
    <row r="54" spans="1:17" x14ac:dyDescent="0.25">
      <c r="A54" t="s">
        <v>62</v>
      </c>
      <c r="B54" t="s">
        <v>16</v>
      </c>
      <c r="C54" t="s">
        <v>591</v>
      </c>
      <c r="E54" t="s">
        <v>592</v>
      </c>
      <c r="F54" t="s">
        <v>153</v>
      </c>
      <c r="G54" s="6">
        <v>1015</v>
      </c>
      <c r="H54" s="6">
        <v>35</v>
      </c>
      <c r="I54" s="6">
        <f>G54-H54</f>
        <v>980</v>
      </c>
      <c r="J54" t="s">
        <v>21</v>
      </c>
      <c r="K54" t="s">
        <v>21</v>
      </c>
      <c r="L54" t="s">
        <v>455</v>
      </c>
      <c r="Q54" s="6">
        <v>1</v>
      </c>
    </row>
    <row r="55" spans="1:17" s="2" customFormat="1" x14ac:dyDescent="0.25">
      <c r="B55" s="2" t="s">
        <v>16</v>
      </c>
      <c r="C55" s="2" t="s">
        <v>420</v>
      </c>
      <c r="D55" s="2" t="s">
        <v>421</v>
      </c>
      <c r="E55" s="2" t="s">
        <v>422</v>
      </c>
      <c r="F55" s="12">
        <v>1</v>
      </c>
      <c r="G55" s="12">
        <v>885</v>
      </c>
      <c r="H55" s="12">
        <v>25</v>
      </c>
      <c r="I55" s="12">
        <f>G55-H55</f>
        <v>860</v>
      </c>
      <c r="J55" s="2" t="s">
        <v>446</v>
      </c>
      <c r="K55" s="2" t="s">
        <v>21</v>
      </c>
      <c r="L55" s="2" t="s">
        <v>328</v>
      </c>
      <c r="M55" s="2" t="s">
        <v>102</v>
      </c>
      <c r="N55" s="2" t="s">
        <v>448</v>
      </c>
      <c r="O55" s="2" t="s">
        <v>448</v>
      </c>
      <c r="P55" s="2" t="s">
        <v>449</v>
      </c>
      <c r="Q55" s="12">
        <v>1</v>
      </c>
    </row>
    <row r="57" spans="1:17" x14ac:dyDescent="0.25">
      <c r="D57" s="1">
        <f>COUNTA(D3:D55)</f>
        <v>46</v>
      </c>
      <c r="G57" s="1">
        <f t="shared" ref="G57:Q57" si="4">SUBTOTAL(9,G3:G55)</f>
        <v>35850</v>
      </c>
      <c r="H57" s="1">
        <f t="shared" si="4"/>
        <v>1480</v>
      </c>
      <c r="I57" s="1">
        <f t="shared" si="4"/>
        <v>34370</v>
      </c>
      <c r="J57" s="1">
        <f t="shared" si="4"/>
        <v>0</v>
      </c>
      <c r="K57" s="1">
        <f t="shared" si="4"/>
        <v>0</v>
      </c>
      <c r="L57" s="1">
        <f t="shared" si="4"/>
        <v>0</v>
      </c>
      <c r="M57" s="1">
        <f t="shared" si="4"/>
        <v>0</v>
      </c>
      <c r="N57" s="1">
        <f t="shared" si="4"/>
        <v>0</v>
      </c>
      <c r="O57" s="1">
        <f t="shared" si="4"/>
        <v>0</v>
      </c>
      <c r="P57" s="1">
        <f t="shared" si="4"/>
        <v>0</v>
      </c>
      <c r="Q57" s="1">
        <f t="shared" si="4"/>
        <v>53</v>
      </c>
    </row>
    <row r="58" spans="1:17" x14ac:dyDescent="0.25">
      <c r="H58">
        <f>-10*17</f>
        <v>-170</v>
      </c>
    </row>
    <row r="59" spans="1:17" x14ac:dyDescent="0.25">
      <c r="A59" s="1" t="s">
        <v>16</v>
      </c>
      <c r="C59" s="42" t="s">
        <v>89</v>
      </c>
      <c r="D59" s="42"/>
      <c r="E59" s="4" t="s">
        <v>90</v>
      </c>
      <c r="H59">
        <f>-8*25</f>
        <v>-200</v>
      </c>
      <c r="K59" s="7" t="s">
        <v>21</v>
      </c>
      <c r="L59" s="7" t="s">
        <v>91</v>
      </c>
      <c r="M59" s="7" t="s">
        <v>90</v>
      </c>
      <c r="O59" s="4" t="s">
        <v>92</v>
      </c>
    </row>
    <row r="60" spans="1:17" x14ac:dyDescent="0.25">
      <c r="A60" t="s">
        <v>455</v>
      </c>
      <c r="B60" s="3" t="s">
        <v>93</v>
      </c>
      <c r="C60" s="43">
        <f>SUMIFS(I$3:I$55,B$3:B$55,A$59,L$3:L$55,A$60)</f>
        <v>33510</v>
      </c>
      <c r="D60" s="43"/>
      <c r="E60" s="3">
        <f>SUMIFS(Q$3:Q$55,B$3:B$55,A$59,L$3:L$55,A$60)</f>
        <v>52</v>
      </c>
      <c r="F60" t="s">
        <v>94</v>
      </c>
      <c r="H60">
        <f>-1*30</f>
        <v>-30</v>
      </c>
      <c r="K60" t="s">
        <v>95</v>
      </c>
      <c r="L60">
        <f>SUMIFS(G$3:G$55,J$3:J$55,K$59)</f>
        <v>9235</v>
      </c>
      <c r="M60">
        <f>SUMIFS(Q$3:Q$55,J$3:J$55,K$59)</f>
        <v>16</v>
      </c>
      <c r="O60" t="s">
        <v>21</v>
      </c>
      <c r="P60">
        <f>L65</f>
        <v>8748</v>
      </c>
    </row>
    <row r="61" spans="1:17" x14ac:dyDescent="0.25">
      <c r="B61" s="2" t="s">
        <v>97</v>
      </c>
      <c r="C61" s="44">
        <v>0</v>
      </c>
      <c r="D61" s="44"/>
      <c r="K61" t="s">
        <v>98</v>
      </c>
      <c r="L61">
        <f>-SUMIFS(H$3:H$55,J$3:J$55,K$59)+M61*5</f>
        <v>-385</v>
      </c>
      <c r="M61">
        <f>SUMIFS(Q$3:Q$55,J$3:J$55,K$59)-COUNTIFS(J$3:J$55,K$59,M$3:M$55,"*gộp*")</f>
        <v>16</v>
      </c>
      <c r="O61" t="s">
        <v>593</v>
      </c>
      <c r="P61">
        <f>L73</f>
        <v>12535</v>
      </c>
    </row>
    <row r="62" spans="1:17" x14ac:dyDescent="0.25">
      <c r="B62" s="2" t="s">
        <v>99</v>
      </c>
      <c r="C62" s="44">
        <f>-SUMIFS(I$3:I$55,B$3:B$55,A$59,P$3:P$55,"xx",N$3:N$55,"x")</f>
        <v>-860</v>
      </c>
      <c r="D62" s="44"/>
      <c r="E62" s="2">
        <f>SUMIFS(Q$3:Q$55,B$3:B$55,A$59,P$3:P$55,"xx",N$3:N$55,"x")</f>
        <v>1</v>
      </c>
      <c r="K62" t="s">
        <v>100</v>
      </c>
      <c r="L62">
        <f>-M62*2</f>
        <v>-102</v>
      </c>
      <c r="M62">
        <f>Q57-(COUNTIFS(M$3:M$55,"*gộp*")/2)-COUNTIFS(P$3:P$55,"*xx*")*2</f>
        <v>51</v>
      </c>
      <c r="O62" t="s">
        <v>165</v>
      </c>
      <c r="P62">
        <f>L81</f>
        <v>11585</v>
      </c>
    </row>
    <row r="63" spans="1:17" x14ac:dyDescent="0.25">
      <c r="B63" s="4" t="s">
        <v>101</v>
      </c>
      <c r="C63" s="42">
        <f>SUBTOTAL(9,C60:C62)</f>
        <v>32650</v>
      </c>
      <c r="D63" s="42"/>
      <c r="E63">
        <f>E60</f>
        <v>52</v>
      </c>
      <c r="K63" s="2" t="s">
        <v>102</v>
      </c>
      <c r="O63" t="s">
        <v>103</v>
      </c>
      <c r="P63">
        <f>-C67</f>
        <v>-32650</v>
      </c>
    </row>
    <row r="64" spans="1:17" x14ac:dyDescent="0.25">
      <c r="B64" s="2" t="s">
        <v>104</v>
      </c>
      <c r="C64" s="40"/>
      <c r="D64" s="40"/>
      <c r="K64" s="2" t="s">
        <v>105</v>
      </c>
      <c r="O64" s="4" t="s">
        <v>106</v>
      </c>
      <c r="P64" s="4">
        <f>SUBTOTAL(9,P60:P63)</f>
        <v>218</v>
      </c>
    </row>
    <row r="65" spans="2:13" x14ac:dyDescent="0.25">
      <c r="B65" s="8" t="s">
        <v>107</v>
      </c>
      <c r="C65" s="40"/>
      <c r="D65" s="40"/>
      <c r="L65" s="9">
        <f>SUBTOTAL(9,L60:L64)</f>
        <v>8748</v>
      </c>
      <c r="M65" s="9">
        <f>M60</f>
        <v>16</v>
      </c>
    </row>
    <row r="67" spans="2:13" x14ac:dyDescent="0.25">
      <c r="B67" s="1" t="s">
        <v>108</v>
      </c>
      <c r="C67" s="41">
        <f>C63+C64+C65</f>
        <v>32650</v>
      </c>
      <c r="D67" s="41"/>
      <c r="E67" s="1" t="s">
        <v>109</v>
      </c>
      <c r="K67" s="7" t="s">
        <v>459</v>
      </c>
      <c r="L67" s="7" t="s">
        <v>91</v>
      </c>
      <c r="M67" s="7" t="s">
        <v>90</v>
      </c>
    </row>
    <row r="68" spans="2:13" x14ac:dyDescent="0.25">
      <c r="K68" t="s">
        <v>95</v>
      </c>
      <c r="L68">
        <f>SUMIFS(G$3:G$55,J$3:J$55,K$67)</f>
        <v>12935</v>
      </c>
      <c r="M68">
        <f>SUMIFS(Q$3:Q$55,J$3:J$55,K$67)</f>
        <v>19</v>
      </c>
    </row>
    <row r="69" spans="2:13" x14ac:dyDescent="0.25">
      <c r="K69" t="s">
        <v>98</v>
      </c>
      <c r="L69">
        <f>SUM(H58:H60)</f>
        <v>-400</v>
      </c>
      <c r="M69">
        <f>SUMIFS(Q$3:Q$55,J$3:J$55,K$67)</f>
        <v>19</v>
      </c>
    </row>
    <row r="70" spans="2:13" x14ac:dyDescent="0.25">
      <c r="K70" t="s">
        <v>100</v>
      </c>
    </row>
    <row r="71" spans="2:13" x14ac:dyDescent="0.25">
      <c r="K71" s="2" t="s">
        <v>102</v>
      </c>
    </row>
    <row r="72" spans="2:13" x14ac:dyDescent="0.25">
      <c r="K72" s="2" t="s">
        <v>105</v>
      </c>
    </row>
    <row r="73" spans="2:13" x14ac:dyDescent="0.25">
      <c r="L73" s="9">
        <f>SUBTOTAL(9,L68:L72)</f>
        <v>12535</v>
      </c>
      <c r="M73" s="9">
        <f>M68</f>
        <v>19</v>
      </c>
    </row>
    <row r="75" spans="2:13" x14ac:dyDescent="0.25">
      <c r="K75" s="7" t="s">
        <v>165</v>
      </c>
      <c r="L75" s="7" t="s">
        <v>91</v>
      </c>
      <c r="M75" s="7" t="s">
        <v>90</v>
      </c>
    </row>
    <row r="76" spans="2:13" x14ac:dyDescent="0.25">
      <c r="K76" t="s">
        <v>95</v>
      </c>
      <c r="L76">
        <f>SUMIFS(G$3:G$55,J$3:J$55,K$75)</f>
        <v>12795</v>
      </c>
      <c r="M76">
        <f>SUMIFS(Q$3:Q$55,J$3:J$55,K$75)</f>
        <v>17</v>
      </c>
    </row>
    <row r="77" spans="2:13" x14ac:dyDescent="0.25">
      <c r="K77" t="s">
        <v>98</v>
      </c>
      <c r="L77">
        <f>-SUMIFS(H$3:H$55,J$3:J$55,K$75)+M77*5</f>
        <v>-345</v>
      </c>
      <c r="M77">
        <f>SUMIFS(Q$3:Q$55,J$3:J$55,K$75)-COUNTIFS(J$3:J$55,K$75,M$3:M$55,"*gộp*")</f>
        <v>17</v>
      </c>
    </row>
    <row r="78" spans="2:13" x14ac:dyDescent="0.25">
      <c r="K78" t="s">
        <v>100</v>
      </c>
    </row>
    <row r="79" spans="2:13" x14ac:dyDescent="0.25">
      <c r="K79" s="2" t="s">
        <v>102</v>
      </c>
      <c r="L79" s="2">
        <v>-865</v>
      </c>
      <c r="M79" s="13" t="s">
        <v>451</v>
      </c>
    </row>
    <row r="80" spans="2:13" x14ac:dyDescent="0.25">
      <c r="K80" s="2" t="s">
        <v>105</v>
      </c>
    </row>
    <row r="81" spans="12:13" x14ac:dyDescent="0.25">
      <c r="L81" s="9">
        <f>SUBTOTAL(9,L76:L80)</f>
        <v>11585</v>
      </c>
      <c r="M81" s="9">
        <f>M76</f>
        <v>17</v>
      </c>
    </row>
  </sheetData>
  <autoFilter ref="A2:P55" xr:uid="{00000000-0009-0000-0000-000004000000}"/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56"/>
  <sheetViews>
    <sheetView topLeftCell="A25" workbookViewId="0">
      <selection activeCell="P40" sqref="P40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9.85546875" customWidth="1"/>
    <col min="5" max="5" width="58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8.2851562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594</v>
      </c>
      <c r="D3" t="s">
        <v>595</v>
      </c>
      <c r="E3" t="s">
        <v>596</v>
      </c>
      <c r="F3" t="s">
        <v>217</v>
      </c>
      <c r="G3" s="6">
        <v>1035</v>
      </c>
      <c r="H3" s="6">
        <v>25</v>
      </c>
      <c r="I3" s="6">
        <f t="shared" ref="I3:I15" si="0">G3-H3</f>
        <v>1010</v>
      </c>
      <c r="J3" t="s">
        <v>597</v>
      </c>
      <c r="K3" t="s">
        <v>21</v>
      </c>
      <c r="L3" t="s">
        <v>598</v>
      </c>
      <c r="Q3">
        <v>1</v>
      </c>
    </row>
    <row r="4" spans="1:17" x14ac:dyDescent="0.25">
      <c r="B4" t="s">
        <v>16</v>
      </c>
      <c r="C4" t="s">
        <v>599</v>
      </c>
      <c r="D4" t="s">
        <v>600</v>
      </c>
      <c r="E4" t="s">
        <v>601</v>
      </c>
      <c r="F4" t="s">
        <v>26</v>
      </c>
      <c r="G4" s="6">
        <v>820</v>
      </c>
      <c r="H4" s="6">
        <v>30</v>
      </c>
      <c r="I4" s="6">
        <f t="shared" si="0"/>
        <v>790</v>
      </c>
      <c r="J4" t="s">
        <v>597</v>
      </c>
      <c r="K4" t="s">
        <v>21</v>
      </c>
      <c r="L4" t="s">
        <v>598</v>
      </c>
      <c r="Q4">
        <v>1</v>
      </c>
    </row>
    <row r="5" spans="1:17" x14ac:dyDescent="0.25">
      <c r="B5" t="s">
        <v>16</v>
      </c>
      <c r="C5" t="s">
        <v>602</v>
      </c>
      <c r="D5" t="s">
        <v>603</v>
      </c>
      <c r="E5" t="s">
        <v>604</v>
      </c>
      <c r="F5" s="6">
        <v>7</v>
      </c>
      <c r="G5" s="6">
        <v>780</v>
      </c>
      <c r="H5" s="6">
        <v>30</v>
      </c>
      <c r="I5" s="6">
        <f t="shared" si="0"/>
        <v>750</v>
      </c>
      <c r="J5" t="s">
        <v>597</v>
      </c>
      <c r="K5" t="s">
        <v>21</v>
      </c>
      <c r="L5" t="s">
        <v>598</v>
      </c>
      <c r="Q5">
        <v>1</v>
      </c>
    </row>
    <row r="6" spans="1:17" x14ac:dyDescent="0.25">
      <c r="B6" t="s">
        <v>16</v>
      </c>
      <c r="C6" t="s">
        <v>605</v>
      </c>
      <c r="D6" t="s">
        <v>606</v>
      </c>
      <c r="E6" t="s">
        <v>607</v>
      </c>
      <c r="F6" t="s">
        <v>26</v>
      </c>
      <c r="G6" s="6">
        <v>2500</v>
      </c>
      <c r="H6" s="6">
        <v>35</v>
      </c>
      <c r="I6" s="6">
        <f t="shared" si="0"/>
        <v>2465</v>
      </c>
      <c r="J6" t="s">
        <v>597</v>
      </c>
      <c r="K6" t="s">
        <v>21</v>
      </c>
      <c r="L6" t="s">
        <v>598</v>
      </c>
      <c r="M6" t="s">
        <v>398</v>
      </c>
      <c r="Q6">
        <v>1</v>
      </c>
    </row>
    <row r="7" spans="1:17" x14ac:dyDescent="0.25">
      <c r="B7" t="s">
        <v>16</v>
      </c>
      <c r="C7" t="s">
        <v>608</v>
      </c>
      <c r="D7" t="s">
        <v>609</v>
      </c>
      <c r="E7" t="s">
        <v>610</v>
      </c>
      <c r="F7" s="6">
        <v>6</v>
      </c>
      <c r="G7" s="6">
        <v>845</v>
      </c>
      <c r="H7" s="6">
        <v>25</v>
      </c>
      <c r="I7" s="6">
        <f t="shared" si="0"/>
        <v>820</v>
      </c>
      <c r="J7" t="s">
        <v>597</v>
      </c>
      <c r="K7" t="s">
        <v>21</v>
      </c>
      <c r="L7" t="s">
        <v>598</v>
      </c>
      <c r="Q7">
        <v>1</v>
      </c>
    </row>
    <row r="8" spans="1:17" x14ac:dyDescent="0.25">
      <c r="B8" t="s">
        <v>16</v>
      </c>
      <c r="C8" t="s">
        <v>611</v>
      </c>
      <c r="D8" t="s">
        <v>612</v>
      </c>
      <c r="E8" t="s">
        <v>613</v>
      </c>
      <c r="F8" s="6">
        <v>8</v>
      </c>
      <c r="G8" s="6">
        <v>620</v>
      </c>
      <c r="H8" s="6">
        <v>30</v>
      </c>
      <c r="I8" s="6">
        <f t="shared" si="0"/>
        <v>590</v>
      </c>
      <c r="J8" t="s">
        <v>597</v>
      </c>
      <c r="K8" t="s">
        <v>21</v>
      </c>
      <c r="L8" t="s">
        <v>598</v>
      </c>
      <c r="Q8">
        <v>1</v>
      </c>
    </row>
    <row r="9" spans="1:17" x14ac:dyDescent="0.25">
      <c r="B9" t="s">
        <v>16</v>
      </c>
      <c r="C9" t="s">
        <v>28</v>
      </c>
      <c r="D9" t="s">
        <v>614</v>
      </c>
      <c r="E9" t="s">
        <v>30</v>
      </c>
      <c r="F9" s="6">
        <v>7</v>
      </c>
      <c r="G9" s="6">
        <v>820</v>
      </c>
      <c r="H9" s="6">
        <v>30</v>
      </c>
      <c r="I9" s="6">
        <f t="shared" si="0"/>
        <v>790</v>
      </c>
      <c r="J9" t="s">
        <v>597</v>
      </c>
      <c r="K9" t="s">
        <v>21</v>
      </c>
      <c r="L9" t="s">
        <v>598</v>
      </c>
      <c r="Q9">
        <v>1</v>
      </c>
    </row>
    <row r="10" spans="1:17" x14ac:dyDescent="0.25">
      <c r="A10" t="s">
        <v>62</v>
      </c>
      <c r="B10" t="s">
        <v>16</v>
      </c>
      <c r="C10" t="s">
        <v>615</v>
      </c>
      <c r="E10" t="s">
        <v>616</v>
      </c>
      <c r="F10" s="6">
        <v>6</v>
      </c>
      <c r="G10" s="6">
        <v>1110</v>
      </c>
      <c r="H10" s="6">
        <v>30</v>
      </c>
      <c r="I10" s="6">
        <f t="shared" si="0"/>
        <v>1080</v>
      </c>
      <c r="J10" t="s">
        <v>597</v>
      </c>
      <c r="K10" t="s">
        <v>21</v>
      </c>
      <c r="L10" t="s">
        <v>598</v>
      </c>
      <c r="Q10">
        <v>1</v>
      </c>
    </row>
    <row r="11" spans="1:17" x14ac:dyDescent="0.25">
      <c r="A11" t="s">
        <v>62</v>
      </c>
      <c r="B11" t="s">
        <v>16</v>
      </c>
      <c r="C11" t="s">
        <v>617</v>
      </c>
      <c r="E11" t="s">
        <v>618</v>
      </c>
      <c r="F11" t="s">
        <v>259</v>
      </c>
      <c r="G11" s="6">
        <v>45</v>
      </c>
      <c r="H11" s="6">
        <v>45</v>
      </c>
      <c r="I11" s="6">
        <f t="shared" si="0"/>
        <v>0</v>
      </c>
      <c r="J11" t="s">
        <v>597</v>
      </c>
      <c r="K11" t="s">
        <v>21</v>
      </c>
      <c r="L11" t="s">
        <v>598</v>
      </c>
      <c r="Q11">
        <v>1</v>
      </c>
    </row>
    <row r="12" spans="1:17" x14ac:dyDescent="0.25">
      <c r="B12" t="s">
        <v>16</v>
      </c>
      <c r="C12" t="s">
        <v>619</v>
      </c>
      <c r="D12" t="s">
        <v>620</v>
      </c>
      <c r="E12" t="s">
        <v>621</v>
      </c>
      <c r="F12" s="6">
        <v>2</v>
      </c>
      <c r="G12" s="6">
        <v>850</v>
      </c>
      <c r="H12" s="6">
        <v>30</v>
      </c>
      <c r="I12" s="6">
        <f t="shared" si="0"/>
        <v>820</v>
      </c>
      <c r="J12" t="s">
        <v>21</v>
      </c>
      <c r="K12" t="s">
        <v>21</v>
      </c>
      <c r="L12" t="s">
        <v>598</v>
      </c>
      <c r="Q12">
        <v>1</v>
      </c>
    </row>
    <row r="13" spans="1:17" x14ac:dyDescent="0.25">
      <c r="B13" t="s">
        <v>16</v>
      </c>
      <c r="C13" t="s">
        <v>622</v>
      </c>
      <c r="D13" t="s">
        <v>623</v>
      </c>
      <c r="E13" t="s">
        <v>624</v>
      </c>
      <c r="F13" t="s">
        <v>153</v>
      </c>
      <c r="G13" s="6">
        <v>1840</v>
      </c>
      <c r="H13" s="6">
        <v>30</v>
      </c>
      <c r="I13" s="6">
        <f t="shared" si="0"/>
        <v>1810</v>
      </c>
      <c r="J13" t="s">
        <v>21</v>
      </c>
      <c r="K13" t="s">
        <v>21</v>
      </c>
      <c r="L13" t="s">
        <v>598</v>
      </c>
      <c r="Q13">
        <v>1</v>
      </c>
    </row>
    <row r="14" spans="1:17" x14ac:dyDescent="0.25">
      <c r="B14" t="s">
        <v>16</v>
      </c>
      <c r="C14" t="s">
        <v>625</v>
      </c>
      <c r="D14" t="s">
        <v>626</v>
      </c>
      <c r="E14" t="s">
        <v>627</v>
      </c>
      <c r="F14" t="s">
        <v>68</v>
      </c>
      <c r="G14" s="6">
        <v>815</v>
      </c>
      <c r="H14" s="6">
        <v>25</v>
      </c>
      <c r="I14" s="6">
        <f t="shared" si="0"/>
        <v>790</v>
      </c>
      <c r="J14" t="s">
        <v>21</v>
      </c>
      <c r="K14" t="s">
        <v>21</v>
      </c>
      <c r="L14" t="s">
        <v>598</v>
      </c>
      <c r="Q14">
        <v>1</v>
      </c>
    </row>
    <row r="15" spans="1:17" x14ac:dyDescent="0.25">
      <c r="B15" t="s">
        <v>16</v>
      </c>
      <c r="C15" t="s">
        <v>628</v>
      </c>
      <c r="D15" t="s">
        <v>629</v>
      </c>
      <c r="E15" t="s">
        <v>630</v>
      </c>
      <c r="F15" t="s">
        <v>72</v>
      </c>
      <c r="G15" s="6">
        <v>815</v>
      </c>
      <c r="H15" s="6">
        <v>25</v>
      </c>
      <c r="I15" s="6">
        <f t="shared" si="0"/>
        <v>790</v>
      </c>
      <c r="J15" t="s">
        <v>21</v>
      </c>
      <c r="K15" t="s">
        <v>21</v>
      </c>
      <c r="L15" t="s">
        <v>598</v>
      </c>
      <c r="Q15">
        <v>1</v>
      </c>
    </row>
    <row r="16" spans="1:17" x14ac:dyDescent="0.25">
      <c r="B16" t="s">
        <v>16</v>
      </c>
      <c r="C16" t="s">
        <v>631</v>
      </c>
      <c r="D16" t="s">
        <v>632</v>
      </c>
      <c r="E16" t="s">
        <v>633</v>
      </c>
      <c r="F16" s="6">
        <v>12</v>
      </c>
      <c r="G16" s="6">
        <v>0</v>
      </c>
      <c r="H16" s="6">
        <v>30</v>
      </c>
      <c r="I16" s="6">
        <f>-H16</f>
        <v>-30</v>
      </c>
      <c r="J16" t="s">
        <v>21</v>
      </c>
      <c r="K16" t="s">
        <v>21</v>
      </c>
      <c r="L16" t="s">
        <v>598</v>
      </c>
      <c r="Q16">
        <v>1</v>
      </c>
    </row>
    <row r="17" spans="1:17" x14ac:dyDescent="0.25">
      <c r="B17" t="s">
        <v>16</v>
      </c>
      <c r="C17" t="s">
        <v>634</v>
      </c>
      <c r="D17" t="s">
        <v>635</v>
      </c>
      <c r="E17" t="s">
        <v>636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21</v>
      </c>
      <c r="K17" t="s">
        <v>21</v>
      </c>
      <c r="L17" t="s">
        <v>598</v>
      </c>
      <c r="Q17">
        <v>1</v>
      </c>
    </row>
    <row r="18" spans="1:17" x14ac:dyDescent="0.25">
      <c r="B18" t="s">
        <v>16</v>
      </c>
      <c r="C18" t="s">
        <v>637</v>
      </c>
      <c r="D18" t="s">
        <v>638</v>
      </c>
      <c r="E18" t="s">
        <v>639</v>
      </c>
      <c r="F18" t="s">
        <v>72</v>
      </c>
      <c r="G18" s="6">
        <v>695</v>
      </c>
      <c r="H18" s="6">
        <v>25</v>
      </c>
      <c r="I18" s="6">
        <f>G18-H18</f>
        <v>670</v>
      </c>
      <c r="J18" t="s">
        <v>21</v>
      </c>
      <c r="K18" t="s">
        <v>21</v>
      </c>
      <c r="L18" t="s">
        <v>598</v>
      </c>
      <c r="Q18">
        <v>1</v>
      </c>
    </row>
    <row r="19" spans="1:17" x14ac:dyDescent="0.25">
      <c r="A19" t="s">
        <v>62</v>
      </c>
      <c r="B19" t="s">
        <v>16</v>
      </c>
      <c r="C19" t="s">
        <v>640</v>
      </c>
      <c r="E19" t="s">
        <v>641</v>
      </c>
      <c r="F19" t="s">
        <v>72</v>
      </c>
      <c r="G19" s="6">
        <v>4895</v>
      </c>
      <c r="H19" s="6">
        <v>35</v>
      </c>
      <c r="I19" s="6">
        <f>G19-H19</f>
        <v>4860</v>
      </c>
      <c r="J19" t="s">
        <v>21</v>
      </c>
      <c r="K19" t="s">
        <v>21</v>
      </c>
      <c r="L19" t="s">
        <v>598</v>
      </c>
      <c r="Q19">
        <v>1</v>
      </c>
    </row>
    <row r="20" spans="1:17" x14ac:dyDescent="0.25">
      <c r="A20" t="s">
        <v>62</v>
      </c>
      <c r="B20" t="s">
        <v>16</v>
      </c>
      <c r="C20" t="s">
        <v>642</v>
      </c>
      <c r="E20" t="s">
        <v>643</v>
      </c>
      <c r="F20" s="6">
        <v>12</v>
      </c>
      <c r="G20" s="6">
        <v>0</v>
      </c>
      <c r="H20" s="6">
        <v>35</v>
      </c>
      <c r="I20" s="6">
        <f>-H20</f>
        <v>-35</v>
      </c>
      <c r="J20" t="s">
        <v>21</v>
      </c>
      <c r="K20" t="s">
        <v>21</v>
      </c>
      <c r="L20" t="s">
        <v>598</v>
      </c>
      <c r="Q20">
        <v>1</v>
      </c>
    </row>
    <row r="21" spans="1:17" x14ac:dyDescent="0.25">
      <c r="A21" t="s">
        <v>62</v>
      </c>
      <c r="B21" t="s">
        <v>16</v>
      </c>
      <c r="C21" t="s">
        <v>644</v>
      </c>
      <c r="E21" t="s">
        <v>416</v>
      </c>
      <c r="F21" s="6">
        <v>12</v>
      </c>
      <c r="G21" s="6">
        <v>0</v>
      </c>
      <c r="H21" s="6">
        <v>35</v>
      </c>
      <c r="I21" s="6">
        <f>-H21</f>
        <v>-35</v>
      </c>
      <c r="J21" t="s">
        <v>21</v>
      </c>
      <c r="K21" t="s">
        <v>21</v>
      </c>
      <c r="L21" t="s">
        <v>598</v>
      </c>
      <c r="Q21">
        <v>1</v>
      </c>
    </row>
    <row r="22" spans="1:17" x14ac:dyDescent="0.25">
      <c r="B22" t="s">
        <v>16</v>
      </c>
      <c r="C22" t="s">
        <v>645</v>
      </c>
      <c r="D22" t="s">
        <v>646</v>
      </c>
      <c r="E22" t="s">
        <v>647</v>
      </c>
      <c r="F22" s="6">
        <v>1</v>
      </c>
      <c r="G22" s="6">
        <v>745</v>
      </c>
      <c r="H22" s="6">
        <v>25</v>
      </c>
      <c r="I22" s="6">
        <f t="shared" ref="I22:I29" si="1">G22-H22</f>
        <v>720</v>
      </c>
      <c r="J22" t="s">
        <v>165</v>
      </c>
      <c r="K22" t="s">
        <v>21</v>
      </c>
      <c r="L22" t="s">
        <v>598</v>
      </c>
      <c r="Q22">
        <v>1</v>
      </c>
    </row>
    <row r="23" spans="1:17" x14ac:dyDescent="0.25">
      <c r="B23" t="s">
        <v>16</v>
      </c>
      <c r="C23" t="s">
        <v>648</v>
      </c>
      <c r="D23" t="s">
        <v>649</v>
      </c>
      <c r="E23" t="s">
        <v>650</v>
      </c>
      <c r="F23" s="6">
        <v>3</v>
      </c>
      <c r="G23" s="6">
        <v>1025</v>
      </c>
      <c r="H23" s="6">
        <v>25</v>
      </c>
      <c r="I23" s="6">
        <f t="shared" si="1"/>
        <v>1000</v>
      </c>
      <c r="J23" t="s">
        <v>165</v>
      </c>
      <c r="K23" t="s">
        <v>21</v>
      </c>
      <c r="L23" t="s">
        <v>598</v>
      </c>
      <c r="Q23">
        <v>1</v>
      </c>
    </row>
    <row r="24" spans="1:17" x14ac:dyDescent="0.25">
      <c r="B24" t="s">
        <v>16</v>
      </c>
      <c r="C24" t="s">
        <v>651</v>
      </c>
      <c r="D24" t="s">
        <v>652</v>
      </c>
      <c r="E24" t="s">
        <v>653</v>
      </c>
      <c r="F24" t="s">
        <v>88</v>
      </c>
      <c r="G24" s="6">
        <v>115</v>
      </c>
      <c r="H24" s="6">
        <v>25</v>
      </c>
      <c r="I24" s="6">
        <f t="shared" si="1"/>
        <v>90</v>
      </c>
      <c r="J24" t="s">
        <v>165</v>
      </c>
      <c r="K24" t="s">
        <v>21</v>
      </c>
      <c r="L24" t="s">
        <v>598</v>
      </c>
      <c r="Q24">
        <v>1</v>
      </c>
    </row>
    <row r="25" spans="1:17" x14ac:dyDescent="0.25">
      <c r="B25" t="s">
        <v>16</v>
      </c>
      <c r="C25" t="s">
        <v>654</v>
      </c>
      <c r="D25" t="s">
        <v>655</v>
      </c>
      <c r="E25" t="s">
        <v>656</v>
      </c>
      <c r="F25" t="s">
        <v>88</v>
      </c>
      <c r="G25" s="6">
        <v>1325</v>
      </c>
      <c r="H25" s="6">
        <v>25</v>
      </c>
      <c r="I25" s="6">
        <f t="shared" si="1"/>
        <v>1300</v>
      </c>
      <c r="J25" t="s">
        <v>165</v>
      </c>
      <c r="K25" t="s">
        <v>21</v>
      </c>
      <c r="L25" t="s">
        <v>598</v>
      </c>
      <c r="Q25">
        <v>1</v>
      </c>
    </row>
    <row r="26" spans="1:17" x14ac:dyDescent="0.25">
      <c r="A26" t="s">
        <v>62</v>
      </c>
      <c r="B26" t="s">
        <v>16</v>
      </c>
      <c r="C26" t="s">
        <v>657</v>
      </c>
      <c r="E26" t="s">
        <v>658</v>
      </c>
      <c r="F26" s="6">
        <v>5</v>
      </c>
      <c r="G26" s="6">
        <v>30</v>
      </c>
      <c r="H26" s="6">
        <v>30</v>
      </c>
      <c r="I26" s="6">
        <f t="shared" si="1"/>
        <v>0</v>
      </c>
      <c r="J26" t="s">
        <v>165</v>
      </c>
      <c r="K26" t="s">
        <v>21</v>
      </c>
      <c r="L26" t="s">
        <v>598</v>
      </c>
      <c r="Q26">
        <v>1</v>
      </c>
    </row>
    <row r="27" spans="1:17" x14ac:dyDescent="0.25">
      <c r="B27" t="s">
        <v>16</v>
      </c>
      <c r="C27" t="s">
        <v>659</v>
      </c>
      <c r="D27" t="s">
        <v>660</v>
      </c>
      <c r="E27" t="s">
        <v>661</v>
      </c>
      <c r="F27" t="s">
        <v>88</v>
      </c>
      <c r="G27" s="6">
        <v>765</v>
      </c>
      <c r="H27" s="6">
        <v>25</v>
      </c>
      <c r="I27" s="6">
        <f t="shared" si="1"/>
        <v>740</v>
      </c>
      <c r="J27" t="s">
        <v>165</v>
      </c>
      <c r="K27" t="s">
        <v>21</v>
      </c>
      <c r="L27" s="14" t="s">
        <v>598</v>
      </c>
      <c r="Q27">
        <v>1</v>
      </c>
    </row>
    <row r="28" spans="1:17" s="2" customFormat="1" x14ac:dyDescent="0.25">
      <c r="B28" s="2" t="s">
        <v>16</v>
      </c>
      <c r="C28" s="2" t="s">
        <v>233</v>
      </c>
      <c r="D28" s="2" t="s">
        <v>234</v>
      </c>
      <c r="E28" s="2" t="s">
        <v>235</v>
      </c>
      <c r="F28" s="12" t="s">
        <v>128</v>
      </c>
      <c r="G28" s="12">
        <v>695</v>
      </c>
      <c r="H28" s="12">
        <v>0</v>
      </c>
      <c r="I28" s="12">
        <f t="shared" si="1"/>
        <v>695</v>
      </c>
      <c r="J28" s="2" t="s">
        <v>446</v>
      </c>
      <c r="K28" s="2" t="s">
        <v>21</v>
      </c>
      <c r="L28" s="15" t="s">
        <v>182</v>
      </c>
      <c r="N28" s="2" t="s">
        <v>448</v>
      </c>
      <c r="O28" s="2" t="s">
        <v>448</v>
      </c>
      <c r="P28" s="2" t="s">
        <v>449</v>
      </c>
      <c r="Q28" s="12">
        <v>1</v>
      </c>
    </row>
    <row r="29" spans="1:17" s="2" customFormat="1" x14ac:dyDescent="0.25">
      <c r="B29" s="2" t="s">
        <v>16</v>
      </c>
      <c r="C29" s="2" t="s">
        <v>571</v>
      </c>
      <c r="D29" s="2" t="s">
        <v>572</v>
      </c>
      <c r="E29" s="2" t="s">
        <v>573</v>
      </c>
      <c r="F29" s="12">
        <v>2</v>
      </c>
      <c r="G29" s="12">
        <v>1020</v>
      </c>
      <c r="H29" s="12">
        <v>0</v>
      </c>
      <c r="I29" s="12">
        <f t="shared" si="1"/>
        <v>1020</v>
      </c>
      <c r="J29" s="2" t="s">
        <v>446</v>
      </c>
      <c r="K29" s="2" t="s">
        <v>21</v>
      </c>
      <c r="L29" s="2" t="s">
        <v>455</v>
      </c>
      <c r="N29" s="2" t="s">
        <v>448</v>
      </c>
      <c r="O29" s="2" t="s">
        <v>448</v>
      </c>
      <c r="P29" s="2" t="s">
        <v>449</v>
      </c>
      <c r="Q29" s="12">
        <v>1</v>
      </c>
    </row>
    <row r="31" spans="1:17" x14ac:dyDescent="0.25">
      <c r="D31" s="1">
        <f>COUNTA(D3:D29)</f>
        <v>21</v>
      </c>
      <c r="G31" s="1">
        <f t="shared" ref="G31:Q31" si="2">SUBTOTAL(9,G3:G29)</f>
        <v>24205</v>
      </c>
      <c r="H31" s="1">
        <f t="shared" si="2"/>
        <v>735</v>
      </c>
      <c r="I31" s="1">
        <f t="shared" si="2"/>
        <v>23470</v>
      </c>
      <c r="J31" s="1">
        <f t="shared" si="2"/>
        <v>0</v>
      </c>
      <c r="K31" s="1">
        <f t="shared" si="2"/>
        <v>0</v>
      </c>
      <c r="L31" s="1">
        <f t="shared" si="2"/>
        <v>0</v>
      </c>
      <c r="M31" s="1">
        <f t="shared" si="2"/>
        <v>0</v>
      </c>
      <c r="N31" s="1">
        <f t="shared" si="2"/>
        <v>0</v>
      </c>
      <c r="O31" s="1">
        <f t="shared" si="2"/>
        <v>0</v>
      </c>
      <c r="P31" s="1">
        <f t="shared" si="2"/>
        <v>0</v>
      </c>
      <c r="Q31" s="1">
        <f t="shared" si="2"/>
        <v>27</v>
      </c>
    </row>
    <row r="32" spans="1:17" x14ac:dyDescent="0.25">
      <c r="H32">
        <f>-6*17</f>
        <v>-102</v>
      </c>
      <c r="I32">
        <v>2390</v>
      </c>
      <c r="J32" t="s">
        <v>662</v>
      </c>
    </row>
    <row r="33" spans="1:16" x14ac:dyDescent="0.25">
      <c r="A33" s="1" t="s">
        <v>16</v>
      </c>
      <c r="C33" s="42" t="s">
        <v>89</v>
      </c>
      <c r="D33" s="42"/>
      <c r="E33" s="4" t="s">
        <v>90</v>
      </c>
      <c r="H33">
        <f>-2*25</f>
        <v>-50</v>
      </c>
      <c r="K33" s="7" t="s">
        <v>21</v>
      </c>
      <c r="L33" s="7" t="s">
        <v>91</v>
      </c>
      <c r="M33" s="7" t="s">
        <v>90</v>
      </c>
      <c r="O33" s="4" t="s">
        <v>92</v>
      </c>
    </row>
    <row r="34" spans="1:16" x14ac:dyDescent="0.25">
      <c r="A34" t="s">
        <v>598</v>
      </c>
      <c r="B34" s="3" t="s">
        <v>93</v>
      </c>
      <c r="C34" s="45">
        <f>SUMIFS(I$3:I$29,B$3:B$29,A$33,L$3:L$29,A$34)+I32</f>
        <v>24145</v>
      </c>
      <c r="D34" s="43"/>
      <c r="E34" s="3">
        <f>SUMIFS(Q$3:Q$29,B$3:B$29,A$33,L$3:L$29,A$34)</f>
        <v>25</v>
      </c>
      <c r="F34" t="s">
        <v>94</v>
      </c>
      <c r="H34">
        <f>-1*30</f>
        <v>-30</v>
      </c>
      <c r="K34" t="s">
        <v>95</v>
      </c>
      <c r="L34">
        <f>SUMIFS(G$3:G$29,J$3:J$29,K$33)</f>
        <v>9910</v>
      </c>
      <c r="M34">
        <f>SUMIFS(Q$3:Q$29,J$3:J$29,K$33)</f>
        <v>10</v>
      </c>
      <c r="O34" t="s">
        <v>21</v>
      </c>
      <c r="P34">
        <f>L41</f>
        <v>8612</v>
      </c>
    </row>
    <row r="35" spans="1:16" x14ac:dyDescent="0.25">
      <c r="B35" s="2" t="s">
        <v>97</v>
      </c>
      <c r="C35" s="44">
        <v>0</v>
      </c>
      <c r="D35" s="44"/>
      <c r="K35" t="s">
        <v>98</v>
      </c>
      <c r="L35">
        <f>-SUMIFS(H$3:H$29,J$3:J$29,K$33)+M35*5</f>
        <v>-250</v>
      </c>
      <c r="M35">
        <f>SUMIFS(Q$3:Q$29,J$3:J$29,K$33)-COUNTIFS(J$3:J$29,K$33,M$3:M$29,"*gộp*")</f>
        <v>10</v>
      </c>
      <c r="O35" t="s">
        <v>165</v>
      </c>
      <c r="P35">
        <f>L48</f>
        <v>3880</v>
      </c>
    </row>
    <row r="36" spans="1:16" x14ac:dyDescent="0.25">
      <c r="B36" s="2" t="s">
        <v>99</v>
      </c>
      <c r="C36" s="44">
        <f>-SUMIFS(I$3:I$29,B$3:B$29,A$33,P$3:P$29,"xx",N$3:N$29,"x")</f>
        <v>-1715</v>
      </c>
      <c r="D36" s="44"/>
      <c r="E36" s="2">
        <f>SUMIFS(Q$3:Q$29,B$3:B$29,A$33,P$3:P$29,"xx",N$3:N$29,"x")</f>
        <v>2</v>
      </c>
      <c r="K36" t="s">
        <v>100</v>
      </c>
      <c r="L36">
        <f>-M36*2</f>
        <v>-50</v>
      </c>
      <c r="M36">
        <f>Q31-(COUNTIFS(M$3:M$29,"*gộp*")/2)-COUNTIFS(P$3:P$29,"*xx*")</f>
        <v>25</v>
      </c>
      <c r="O36" t="s">
        <v>663</v>
      </c>
      <c r="P36">
        <f>L56</f>
        <v>7698</v>
      </c>
    </row>
    <row r="37" spans="1:16" x14ac:dyDescent="0.25">
      <c r="B37" s="4" t="s">
        <v>101</v>
      </c>
      <c r="C37" s="42">
        <f>SUBTOTAL(9,C34:C36)</f>
        <v>22430</v>
      </c>
      <c r="D37" s="42"/>
      <c r="E37">
        <f>E34</f>
        <v>25</v>
      </c>
      <c r="K37" s="2" t="s">
        <v>102</v>
      </c>
      <c r="O37" t="s">
        <v>662</v>
      </c>
      <c r="P37">
        <v>2390</v>
      </c>
    </row>
    <row r="38" spans="1:16" x14ac:dyDescent="0.25">
      <c r="B38" s="2" t="s">
        <v>104</v>
      </c>
      <c r="C38" s="40">
        <v>-70</v>
      </c>
      <c r="D38" s="40"/>
      <c r="K38" s="2" t="s">
        <v>105</v>
      </c>
      <c r="L38" s="2">
        <v>-1020</v>
      </c>
      <c r="O38" t="s">
        <v>103</v>
      </c>
      <c r="P38">
        <f>-C42</f>
        <v>-22360</v>
      </c>
    </row>
    <row r="39" spans="1:16" x14ac:dyDescent="0.25">
      <c r="B39" s="8" t="s">
        <v>107</v>
      </c>
      <c r="C39" s="40"/>
      <c r="D39" s="40"/>
      <c r="K39" s="10" t="s">
        <v>664</v>
      </c>
      <c r="L39" s="10">
        <v>2</v>
      </c>
      <c r="O39" s="4" t="s">
        <v>106</v>
      </c>
      <c r="P39" s="4">
        <f>SUBTOTAL(9,P34:P38)</f>
        <v>220</v>
      </c>
    </row>
    <row r="40" spans="1:16" x14ac:dyDescent="0.25">
      <c r="K40" s="16" t="s">
        <v>662</v>
      </c>
      <c r="L40" s="10">
        <v>20</v>
      </c>
    </row>
    <row r="41" spans="1:16" x14ac:dyDescent="0.25">
      <c r="L41" s="9">
        <f>SUBTOTAL(9,L34:L40)</f>
        <v>8612</v>
      </c>
      <c r="M41" s="9">
        <f>M36</f>
        <v>25</v>
      </c>
    </row>
    <row r="42" spans="1:16" x14ac:dyDescent="0.25">
      <c r="B42" s="1" t="s">
        <v>108</v>
      </c>
      <c r="C42" s="41">
        <f>C37+C38+C39</f>
        <v>22360</v>
      </c>
      <c r="D42" s="41"/>
      <c r="E42" s="1" t="s">
        <v>109</v>
      </c>
      <c r="K42" s="7" t="s">
        <v>165</v>
      </c>
      <c r="L42" s="7" t="s">
        <v>91</v>
      </c>
      <c r="M42" s="7" t="s">
        <v>90</v>
      </c>
    </row>
    <row r="43" spans="1:16" x14ac:dyDescent="0.25">
      <c r="K43" t="s">
        <v>95</v>
      </c>
      <c r="L43">
        <f>SUMIFS(G$3:G$29,J$3:J$29,K$42)</f>
        <v>4005</v>
      </c>
      <c r="M43">
        <f>SUMIFS(Q$3:Q$29,J$3:J$29,K$42)</f>
        <v>6</v>
      </c>
    </row>
    <row r="44" spans="1:16" x14ac:dyDescent="0.25">
      <c r="K44" t="s">
        <v>98</v>
      </c>
      <c r="L44">
        <f>-SUMIFS(H$3:H$29,J$3:J$29,K$42)+M44*5</f>
        <v>-125</v>
      </c>
      <c r="M44">
        <f>SUMIFS(Q$3:Q$29,J$3:J$29,K$42)-COUNTIFS(J$3:J$29,K$42,M$3:M$29,"*gộp*")</f>
        <v>6</v>
      </c>
    </row>
    <row r="45" spans="1:16" x14ac:dyDescent="0.25">
      <c r="K45" t="s">
        <v>100</v>
      </c>
    </row>
    <row r="46" spans="1:16" x14ac:dyDescent="0.25">
      <c r="K46" s="2" t="s">
        <v>102</v>
      </c>
    </row>
    <row r="47" spans="1:16" x14ac:dyDescent="0.25">
      <c r="K47" s="2" t="s">
        <v>105</v>
      </c>
    </row>
    <row r="48" spans="1:16" x14ac:dyDescent="0.25">
      <c r="L48" s="9">
        <f>SUBTOTAL(9,L43:L47)</f>
        <v>3880</v>
      </c>
      <c r="M48" s="9">
        <f>M43</f>
        <v>6</v>
      </c>
    </row>
    <row r="50" spans="11:13" x14ac:dyDescent="0.25">
      <c r="K50" s="7" t="s">
        <v>597</v>
      </c>
      <c r="L50" s="7" t="s">
        <v>91</v>
      </c>
      <c r="M50" s="7" t="s">
        <v>90</v>
      </c>
    </row>
    <row r="51" spans="11:13" x14ac:dyDescent="0.25">
      <c r="K51" t="s">
        <v>95</v>
      </c>
      <c r="L51">
        <f>SUMIFS(G$3:G$29,J$3:J$29,K$50)</f>
        <v>8575</v>
      </c>
      <c r="M51">
        <f>SUMIFS(Q$3:Q$29,J$3:J$29,K$50)</f>
        <v>9</v>
      </c>
    </row>
    <row r="52" spans="11:13" x14ac:dyDescent="0.25">
      <c r="K52" t="s">
        <v>98</v>
      </c>
      <c r="L52">
        <f>SUM(H32:H34)</f>
        <v>-182</v>
      </c>
      <c r="M52">
        <f>SUMIFS(Q$3:Q$29,J$3:J$29,K$50)</f>
        <v>9</v>
      </c>
    </row>
    <row r="53" spans="11:13" x14ac:dyDescent="0.25">
      <c r="K53" t="s">
        <v>100</v>
      </c>
    </row>
    <row r="54" spans="11:13" x14ac:dyDescent="0.25">
      <c r="K54" s="2" t="s">
        <v>102</v>
      </c>
    </row>
    <row r="55" spans="11:13" x14ac:dyDescent="0.25">
      <c r="K55" s="2" t="s">
        <v>105</v>
      </c>
      <c r="L55" s="2">
        <v>-695</v>
      </c>
    </row>
    <row r="56" spans="11:13" x14ac:dyDescent="0.25">
      <c r="L56" s="9">
        <f>SUBTOTAL(9,L51:L55)</f>
        <v>7698</v>
      </c>
      <c r="M56" s="9">
        <f>M51</f>
        <v>9</v>
      </c>
    </row>
  </sheetData>
  <autoFilter ref="A2:P29" xr:uid="{00000000-0009-0000-0000-000005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2:D42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81"/>
  <sheetViews>
    <sheetView workbookViewId="0">
      <selection activeCell="I58" sqref="I58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10.85546875" customWidth="1"/>
    <col min="5" max="5" width="71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665</v>
      </c>
      <c r="D3" s="18" t="s">
        <v>666</v>
      </c>
      <c r="E3" s="18" t="s">
        <v>667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20</v>
      </c>
      <c r="K3" s="18" t="s">
        <v>21</v>
      </c>
      <c r="L3" s="18" t="s">
        <v>668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179</v>
      </c>
      <c r="D4" s="18" t="s">
        <v>669</v>
      </c>
      <c r="E4" s="18" t="s">
        <v>181</v>
      </c>
      <c r="F4" s="19">
        <v>9</v>
      </c>
      <c r="G4" s="19">
        <v>30</v>
      </c>
      <c r="H4" s="19">
        <v>30</v>
      </c>
      <c r="I4" s="19">
        <f t="shared" si="0"/>
        <v>0</v>
      </c>
      <c r="J4" s="18" t="s">
        <v>20</v>
      </c>
      <c r="K4" s="18" t="s">
        <v>21</v>
      </c>
      <c r="L4" s="18" t="s">
        <v>668</v>
      </c>
      <c r="M4" s="18" t="s">
        <v>49</v>
      </c>
      <c r="N4" s="18"/>
      <c r="O4" s="18"/>
      <c r="P4" s="18"/>
      <c r="Q4" s="18">
        <v>1</v>
      </c>
    </row>
    <row r="5" spans="1:17" x14ac:dyDescent="0.25">
      <c r="A5" s="18" t="s">
        <v>62</v>
      </c>
      <c r="B5" s="18" t="s">
        <v>16</v>
      </c>
      <c r="C5" s="18" t="s">
        <v>670</v>
      </c>
      <c r="D5" s="18"/>
      <c r="E5" s="18" t="s">
        <v>671</v>
      </c>
      <c r="F5" s="18" t="s">
        <v>259</v>
      </c>
      <c r="G5" s="19">
        <v>3660</v>
      </c>
      <c r="H5" s="19">
        <v>40</v>
      </c>
      <c r="I5" s="19">
        <f t="shared" si="0"/>
        <v>3620</v>
      </c>
      <c r="J5" s="18" t="s">
        <v>672</v>
      </c>
      <c r="K5" s="18" t="s">
        <v>21</v>
      </c>
      <c r="L5" s="18" t="s">
        <v>668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673</v>
      </c>
      <c r="D6" s="18" t="s">
        <v>674</v>
      </c>
      <c r="E6" s="18" t="s">
        <v>675</v>
      </c>
      <c r="F6" s="18" t="s">
        <v>113</v>
      </c>
      <c r="G6" s="19">
        <v>475</v>
      </c>
      <c r="H6" s="19">
        <v>35</v>
      </c>
      <c r="I6" s="19">
        <f t="shared" si="0"/>
        <v>440</v>
      </c>
      <c r="J6" s="18" t="s">
        <v>672</v>
      </c>
      <c r="K6" s="18" t="s">
        <v>21</v>
      </c>
      <c r="L6" s="18" t="s">
        <v>668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676</v>
      </c>
      <c r="D7" s="18" t="s">
        <v>677</v>
      </c>
      <c r="E7" s="18" t="s">
        <v>678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672</v>
      </c>
      <c r="K7" s="18" t="s">
        <v>21</v>
      </c>
      <c r="L7" s="18" t="s">
        <v>668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679</v>
      </c>
      <c r="D8" s="18" t="s">
        <v>680</v>
      </c>
      <c r="E8" s="18" t="s">
        <v>681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672</v>
      </c>
      <c r="K8" s="18" t="s">
        <v>21</v>
      </c>
      <c r="L8" s="18" t="s">
        <v>668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196</v>
      </c>
      <c r="D9" s="18" t="s">
        <v>682</v>
      </c>
      <c r="E9" s="18" t="s">
        <v>683</v>
      </c>
      <c r="F9" s="18" t="s">
        <v>72</v>
      </c>
      <c r="G9" s="19">
        <v>0</v>
      </c>
      <c r="H9" s="19">
        <v>25</v>
      </c>
      <c r="I9" s="19">
        <f>-H9</f>
        <v>-25</v>
      </c>
      <c r="J9" s="18" t="s">
        <v>672</v>
      </c>
      <c r="K9" s="18" t="s">
        <v>21</v>
      </c>
      <c r="L9" s="18" t="s">
        <v>668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684</v>
      </c>
      <c r="D10" s="18" t="s">
        <v>685</v>
      </c>
      <c r="E10" s="18" t="s">
        <v>686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672</v>
      </c>
      <c r="K10" s="18" t="s">
        <v>21</v>
      </c>
      <c r="L10" s="18" t="s">
        <v>668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687</v>
      </c>
      <c r="D11" s="18" t="s">
        <v>688</v>
      </c>
      <c r="E11" s="18" t="s">
        <v>689</v>
      </c>
      <c r="F11" s="18" t="s">
        <v>26</v>
      </c>
      <c r="G11" s="19">
        <v>1170</v>
      </c>
      <c r="H11" s="19">
        <v>30</v>
      </c>
      <c r="I11" s="19">
        <f>G11-H11</f>
        <v>1140</v>
      </c>
      <c r="J11" s="18" t="s">
        <v>672</v>
      </c>
      <c r="K11" s="18" t="s">
        <v>21</v>
      </c>
      <c r="L11" s="18" t="s">
        <v>668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690</v>
      </c>
      <c r="D12" s="18" t="s">
        <v>691</v>
      </c>
      <c r="E12" s="18" t="s">
        <v>692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672</v>
      </c>
      <c r="K12" s="18" t="s">
        <v>21</v>
      </c>
      <c r="L12" s="18" t="s">
        <v>668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233</v>
      </c>
      <c r="D13" s="18" t="s">
        <v>693</v>
      </c>
      <c r="E13" s="18" t="s">
        <v>694</v>
      </c>
      <c r="F13" s="18" t="s">
        <v>259</v>
      </c>
      <c r="G13" s="19">
        <v>785</v>
      </c>
      <c r="H13" s="19">
        <v>35</v>
      </c>
      <c r="I13" s="19">
        <f>G13-H13</f>
        <v>750</v>
      </c>
      <c r="J13" s="18" t="s">
        <v>672</v>
      </c>
      <c r="K13" s="18" t="s">
        <v>21</v>
      </c>
      <c r="L13" s="18" t="s">
        <v>668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695</v>
      </c>
      <c r="D14" s="18" t="s">
        <v>696</v>
      </c>
      <c r="E14" s="18" t="s">
        <v>697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672</v>
      </c>
      <c r="K14" s="18" t="s">
        <v>21</v>
      </c>
      <c r="L14" s="18" t="s">
        <v>668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698</v>
      </c>
      <c r="D15" s="18" t="s">
        <v>699</v>
      </c>
      <c r="E15" s="18" t="s">
        <v>700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672</v>
      </c>
      <c r="K15" s="18" t="s">
        <v>21</v>
      </c>
      <c r="L15" s="18" t="s">
        <v>668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701</v>
      </c>
      <c r="D16" s="18" t="s">
        <v>702</v>
      </c>
      <c r="E16" s="18" t="s">
        <v>703</v>
      </c>
      <c r="F16" s="18" t="s">
        <v>217</v>
      </c>
      <c r="G16" s="19">
        <v>725</v>
      </c>
      <c r="H16" s="19">
        <v>25</v>
      </c>
      <c r="I16" s="19">
        <f t="shared" si="1"/>
        <v>700</v>
      </c>
      <c r="J16" s="18" t="s">
        <v>672</v>
      </c>
      <c r="K16" s="18" t="s">
        <v>21</v>
      </c>
      <c r="L16" s="18" t="s">
        <v>668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704</v>
      </c>
      <c r="D17" s="18" t="s">
        <v>705</v>
      </c>
      <c r="E17" s="18" t="s">
        <v>706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672</v>
      </c>
      <c r="K17" s="18" t="s">
        <v>21</v>
      </c>
      <c r="L17" s="18" t="s">
        <v>668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707</v>
      </c>
      <c r="D18" s="18" t="s">
        <v>708</v>
      </c>
      <c r="E18" s="18" t="s">
        <v>709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672</v>
      </c>
      <c r="K18" s="18" t="s">
        <v>21</v>
      </c>
      <c r="L18" s="18" t="s">
        <v>668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524</v>
      </c>
      <c r="D19" s="18" t="s">
        <v>710</v>
      </c>
      <c r="E19" s="18" t="s">
        <v>526</v>
      </c>
      <c r="F19" s="18" t="s">
        <v>26</v>
      </c>
      <c r="G19" s="19">
        <v>2010</v>
      </c>
      <c r="H19" s="19">
        <v>30</v>
      </c>
      <c r="I19" s="19">
        <f t="shared" si="1"/>
        <v>1980</v>
      </c>
      <c r="J19" s="18" t="s">
        <v>672</v>
      </c>
      <c r="K19" s="18" t="s">
        <v>21</v>
      </c>
      <c r="L19" s="18" t="s">
        <v>668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711</v>
      </c>
      <c r="D20" s="18" t="s">
        <v>712</v>
      </c>
      <c r="E20" s="18" t="s">
        <v>713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672</v>
      </c>
      <c r="K20" s="18" t="s">
        <v>21</v>
      </c>
      <c r="L20" s="18" t="s">
        <v>668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714</v>
      </c>
      <c r="D21" s="18"/>
      <c r="E21" s="18" t="s">
        <v>715</v>
      </c>
      <c r="F21" s="18" t="s">
        <v>153</v>
      </c>
      <c r="G21" s="19">
        <v>0</v>
      </c>
      <c r="H21" s="19">
        <v>35</v>
      </c>
      <c r="I21" s="19">
        <f>-H21</f>
        <v>-35</v>
      </c>
      <c r="J21" s="18" t="s">
        <v>21</v>
      </c>
      <c r="K21" s="18" t="s">
        <v>21</v>
      </c>
      <c r="L21" s="18" t="s">
        <v>668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318</v>
      </c>
      <c r="D22" s="18"/>
      <c r="E22" s="18" t="s">
        <v>319</v>
      </c>
      <c r="F22" s="18" t="s">
        <v>72</v>
      </c>
      <c r="G22" s="19">
        <v>30</v>
      </c>
      <c r="H22" s="19">
        <v>30</v>
      </c>
      <c r="I22" s="19">
        <f>G22-H22</f>
        <v>0</v>
      </c>
      <c r="J22" s="18" t="s">
        <v>21</v>
      </c>
      <c r="K22" s="18" t="s">
        <v>21</v>
      </c>
      <c r="L22" s="18" t="s">
        <v>668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716</v>
      </c>
      <c r="D23" s="18" t="s">
        <v>717</v>
      </c>
      <c r="E23" s="18" t="s">
        <v>718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21</v>
      </c>
      <c r="K23" s="18" t="s">
        <v>21</v>
      </c>
      <c r="L23" s="18" t="s">
        <v>668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136</v>
      </c>
      <c r="D24" s="18" t="s">
        <v>719</v>
      </c>
      <c r="E24" s="18" t="s">
        <v>138</v>
      </c>
      <c r="F24" s="18" t="s">
        <v>68</v>
      </c>
      <c r="G24" s="19">
        <v>0</v>
      </c>
      <c r="H24" s="19">
        <v>20</v>
      </c>
      <c r="I24" s="19">
        <f>-H24</f>
        <v>-20</v>
      </c>
      <c r="J24" s="18" t="s">
        <v>21</v>
      </c>
      <c r="K24" s="18" t="s">
        <v>21</v>
      </c>
      <c r="L24" s="18" t="s">
        <v>668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720</v>
      </c>
      <c r="D25" s="18" t="s">
        <v>721</v>
      </c>
      <c r="E25" s="18" t="s">
        <v>722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21</v>
      </c>
      <c r="K25" s="18" t="s">
        <v>21</v>
      </c>
      <c r="L25" s="18" t="s">
        <v>668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723</v>
      </c>
      <c r="D26" s="18" t="s">
        <v>724</v>
      </c>
      <c r="E26" s="18" t="s">
        <v>725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21</v>
      </c>
      <c r="K26" s="18" t="s">
        <v>21</v>
      </c>
      <c r="L26" s="18" t="s">
        <v>668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726</v>
      </c>
      <c r="D27" s="18" t="s">
        <v>727</v>
      </c>
      <c r="E27" s="18" t="s">
        <v>728</v>
      </c>
      <c r="F27" s="18" t="s">
        <v>68</v>
      </c>
      <c r="G27" s="19">
        <v>460</v>
      </c>
      <c r="H27" s="19">
        <v>20</v>
      </c>
      <c r="I27" s="19">
        <f>G27-H27</f>
        <v>440</v>
      </c>
      <c r="J27" s="18" t="s">
        <v>21</v>
      </c>
      <c r="K27" s="18" t="s">
        <v>21</v>
      </c>
      <c r="L27" s="18" t="s">
        <v>668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729</v>
      </c>
      <c r="D28" s="18" t="s">
        <v>730</v>
      </c>
      <c r="E28" s="18" t="s">
        <v>731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21</v>
      </c>
      <c r="K28" s="18" t="s">
        <v>21</v>
      </c>
      <c r="L28" s="18" t="s">
        <v>668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732</v>
      </c>
      <c r="D29" s="18" t="s">
        <v>733</v>
      </c>
      <c r="E29" s="18" t="s">
        <v>734</v>
      </c>
      <c r="F29" s="18" t="s">
        <v>72</v>
      </c>
      <c r="G29" s="19">
        <v>1115</v>
      </c>
      <c r="H29" s="19">
        <v>25</v>
      </c>
      <c r="I29" s="19">
        <f>G29-H29</f>
        <v>1090</v>
      </c>
      <c r="J29" s="18" t="s">
        <v>21</v>
      </c>
      <c r="K29" s="18" t="s">
        <v>21</v>
      </c>
      <c r="L29" s="18" t="s">
        <v>668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735</v>
      </c>
      <c r="D30" s="18" t="s">
        <v>736</v>
      </c>
      <c r="E30" s="18" t="s">
        <v>737</v>
      </c>
      <c r="F30" s="18" t="s">
        <v>153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668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738</v>
      </c>
      <c r="D31" s="18" t="s">
        <v>739</v>
      </c>
      <c r="E31" s="18" t="s">
        <v>740</v>
      </c>
      <c r="F31" s="18" t="s">
        <v>153</v>
      </c>
      <c r="G31" s="19">
        <v>820</v>
      </c>
      <c r="H31" s="19">
        <v>30</v>
      </c>
      <c r="I31" s="19">
        <f>G31-H31</f>
        <v>790</v>
      </c>
      <c r="J31" s="18" t="s">
        <v>21</v>
      </c>
      <c r="K31" s="18" t="s">
        <v>21</v>
      </c>
      <c r="L31" s="18" t="s">
        <v>668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741</v>
      </c>
      <c r="D32" s="18" t="s">
        <v>742</v>
      </c>
      <c r="E32" s="18" t="s">
        <v>743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21</v>
      </c>
      <c r="K32" s="18" t="s">
        <v>21</v>
      </c>
      <c r="L32" s="18" t="s">
        <v>668</v>
      </c>
      <c r="M32" s="18"/>
      <c r="N32" s="18"/>
      <c r="O32" s="18"/>
      <c r="P32" s="18"/>
      <c r="Q32" s="18">
        <v>1</v>
      </c>
    </row>
    <row r="33" spans="1:18" x14ac:dyDescent="0.25">
      <c r="A33" s="18"/>
      <c r="B33" s="18" t="s">
        <v>16</v>
      </c>
      <c r="C33" s="18" t="s">
        <v>744</v>
      </c>
      <c r="D33" s="18" t="s">
        <v>745</v>
      </c>
      <c r="E33" s="18" t="s">
        <v>746</v>
      </c>
      <c r="F33" s="18" t="s">
        <v>85</v>
      </c>
      <c r="G33" s="19">
        <v>370</v>
      </c>
      <c r="H33" s="19">
        <v>20</v>
      </c>
      <c r="I33" s="19">
        <f>G33-H33</f>
        <v>350</v>
      </c>
      <c r="J33" s="18" t="s">
        <v>165</v>
      </c>
      <c r="K33" s="18" t="s">
        <v>21</v>
      </c>
      <c r="L33" s="18" t="s">
        <v>668</v>
      </c>
      <c r="M33" s="18"/>
      <c r="N33" s="18"/>
      <c r="O33" s="18"/>
      <c r="P33" s="18"/>
      <c r="Q33" s="18">
        <v>1</v>
      </c>
    </row>
    <row r="34" spans="1:18" x14ac:dyDescent="0.25">
      <c r="A34" s="18"/>
      <c r="B34" s="18" t="s">
        <v>16</v>
      </c>
      <c r="C34" s="18" t="s">
        <v>429</v>
      </c>
      <c r="D34" s="18" t="s">
        <v>747</v>
      </c>
      <c r="E34" s="18" t="s">
        <v>431</v>
      </c>
      <c r="F34" s="19">
        <v>4</v>
      </c>
      <c r="G34" s="19">
        <v>935</v>
      </c>
      <c r="H34" s="19">
        <v>25</v>
      </c>
      <c r="I34" s="19">
        <f>G34-H34</f>
        <v>910</v>
      </c>
      <c r="J34" s="18" t="s">
        <v>165</v>
      </c>
      <c r="K34" s="18" t="s">
        <v>21</v>
      </c>
      <c r="L34" s="18" t="s">
        <v>668</v>
      </c>
      <c r="M34" s="18" t="s">
        <v>49</v>
      </c>
      <c r="N34" s="18"/>
      <c r="O34" s="18"/>
      <c r="P34" s="18"/>
      <c r="Q34" s="18">
        <v>1</v>
      </c>
    </row>
    <row r="35" spans="1:18" x14ac:dyDescent="0.25">
      <c r="A35" s="18"/>
      <c r="B35" s="18" t="s">
        <v>16</v>
      </c>
      <c r="C35" s="18" t="s">
        <v>748</v>
      </c>
      <c r="D35" s="18" t="s">
        <v>749</v>
      </c>
      <c r="E35" s="18" t="s">
        <v>750</v>
      </c>
      <c r="F35" s="18" t="s">
        <v>85</v>
      </c>
      <c r="G35" s="19">
        <v>0</v>
      </c>
      <c r="H35" s="19">
        <v>20</v>
      </c>
      <c r="I35" s="19">
        <f>-H35</f>
        <v>-20</v>
      </c>
      <c r="J35" s="18" t="s">
        <v>165</v>
      </c>
      <c r="K35" s="18" t="s">
        <v>21</v>
      </c>
      <c r="L35" s="18" t="s">
        <v>668</v>
      </c>
      <c r="M35" s="18"/>
      <c r="N35" s="18"/>
      <c r="O35" s="18"/>
      <c r="P35" s="18"/>
      <c r="Q35" s="18">
        <v>1</v>
      </c>
    </row>
    <row r="36" spans="1:18" x14ac:dyDescent="0.25">
      <c r="A36" s="18"/>
      <c r="B36" s="18" t="s">
        <v>16</v>
      </c>
      <c r="C36" s="18" t="s">
        <v>751</v>
      </c>
      <c r="D36" s="18" t="s">
        <v>752</v>
      </c>
      <c r="E36" s="18" t="s">
        <v>753</v>
      </c>
      <c r="F36" s="19">
        <v>1</v>
      </c>
      <c r="G36" s="19">
        <v>2010</v>
      </c>
      <c r="H36" s="19">
        <v>30</v>
      </c>
      <c r="I36" s="19">
        <f t="shared" ref="I36:I47" si="2">G36-H36</f>
        <v>1980</v>
      </c>
      <c r="J36" s="18" t="s">
        <v>165</v>
      </c>
      <c r="K36" s="18" t="s">
        <v>21</v>
      </c>
      <c r="L36" s="18" t="s">
        <v>668</v>
      </c>
      <c r="M36" s="18" t="s">
        <v>398</v>
      </c>
      <c r="N36" s="18"/>
      <c r="O36" s="18"/>
      <c r="P36" s="18"/>
      <c r="Q36" s="18">
        <v>1</v>
      </c>
    </row>
    <row r="37" spans="1:18" x14ac:dyDescent="0.25">
      <c r="A37" s="18"/>
      <c r="B37" s="18" t="s">
        <v>16</v>
      </c>
      <c r="C37" s="18" t="s">
        <v>754</v>
      </c>
      <c r="D37" s="18" t="s">
        <v>755</v>
      </c>
      <c r="E37" s="18" t="s">
        <v>756</v>
      </c>
      <c r="F37" s="18" t="s">
        <v>88</v>
      </c>
      <c r="G37" s="19">
        <v>725</v>
      </c>
      <c r="H37" s="19">
        <v>25</v>
      </c>
      <c r="I37" s="19">
        <f t="shared" si="2"/>
        <v>700</v>
      </c>
      <c r="J37" s="18" t="s">
        <v>165</v>
      </c>
      <c r="K37" s="18" t="s">
        <v>21</v>
      </c>
      <c r="L37" s="18" t="s">
        <v>668</v>
      </c>
      <c r="M37" s="18"/>
      <c r="N37" s="18"/>
      <c r="O37" s="18"/>
      <c r="P37" s="18"/>
      <c r="Q37" s="18">
        <v>1</v>
      </c>
    </row>
    <row r="38" spans="1:18" x14ac:dyDescent="0.25">
      <c r="A38" s="18"/>
      <c r="B38" s="18" t="s">
        <v>16</v>
      </c>
      <c r="C38" s="18" t="s">
        <v>757</v>
      </c>
      <c r="D38" s="18" t="s">
        <v>758</v>
      </c>
      <c r="E38" s="18" t="s">
        <v>759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165</v>
      </c>
      <c r="K38" s="18" t="s">
        <v>21</v>
      </c>
      <c r="L38" s="18" t="s">
        <v>668</v>
      </c>
      <c r="M38" s="18"/>
      <c r="N38" s="18"/>
      <c r="O38" s="18"/>
      <c r="P38" s="18"/>
      <c r="Q38" s="18">
        <v>1</v>
      </c>
    </row>
    <row r="39" spans="1:18" x14ac:dyDescent="0.25">
      <c r="A39" s="18"/>
      <c r="B39" s="18" t="s">
        <v>16</v>
      </c>
      <c r="C39" s="18" t="s">
        <v>269</v>
      </c>
      <c r="D39" s="18" t="s">
        <v>760</v>
      </c>
      <c r="E39" s="18" t="s">
        <v>271</v>
      </c>
      <c r="F39" s="18" t="s">
        <v>85</v>
      </c>
      <c r="G39" s="19">
        <v>810</v>
      </c>
      <c r="H39" s="19">
        <v>20</v>
      </c>
      <c r="I39" s="19">
        <f t="shared" si="2"/>
        <v>790</v>
      </c>
      <c r="J39" s="18" t="s">
        <v>165</v>
      </c>
      <c r="K39" s="18" t="s">
        <v>21</v>
      </c>
      <c r="L39" s="18" t="s">
        <v>668</v>
      </c>
      <c r="M39" s="18"/>
      <c r="N39" s="18"/>
      <c r="O39" s="18"/>
      <c r="P39" s="18"/>
      <c r="Q39" s="18">
        <v>1</v>
      </c>
    </row>
    <row r="40" spans="1:18" x14ac:dyDescent="0.25">
      <c r="A40" s="18"/>
      <c r="B40" s="18" t="s">
        <v>16</v>
      </c>
      <c r="C40" s="18" t="s">
        <v>761</v>
      </c>
      <c r="D40" s="18" t="s">
        <v>762</v>
      </c>
      <c r="E40" s="18" t="s">
        <v>763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165</v>
      </c>
      <c r="K40" s="18" t="s">
        <v>21</v>
      </c>
      <c r="L40" s="18" t="s">
        <v>668</v>
      </c>
      <c r="M40" s="18" t="s">
        <v>764</v>
      </c>
      <c r="N40" s="18"/>
      <c r="O40" s="18"/>
      <c r="P40" s="18"/>
      <c r="Q40" s="18">
        <v>1</v>
      </c>
    </row>
    <row r="41" spans="1:18" x14ac:dyDescent="0.25">
      <c r="A41" s="18"/>
      <c r="B41" s="18" t="s">
        <v>16</v>
      </c>
      <c r="C41" s="18" t="s">
        <v>765</v>
      </c>
      <c r="D41" s="18" t="s">
        <v>766</v>
      </c>
      <c r="E41" s="18" t="s">
        <v>767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165</v>
      </c>
      <c r="K41" s="18" t="s">
        <v>21</v>
      </c>
      <c r="L41" s="18" t="s">
        <v>668</v>
      </c>
      <c r="M41" s="18"/>
      <c r="N41" s="18"/>
      <c r="O41" s="18"/>
      <c r="P41" s="18"/>
      <c r="Q41" s="18">
        <v>1</v>
      </c>
    </row>
    <row r="42" spans="1:18" x14ac:dyDescent="0.25">
      <c r="A42" s="18"/>
      <c r="B42" s="18" t="s">
        <v>16</v>
      </c>
      <c r="C42" s="18" t="s">
        <v>768</v>
      </c>
      <c r="D42" s="18" t="s">
        <v>769</v>
      </c>
      <c r="E42" s="18" t="s">
        <v>770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165</v>
      </c>
      <c r="K42" s="18" t="s">
        <v>21</v>
      </c>
      <c r="L42" s="18" t="s">
        <v>668</v>
      </c>
      <c r="M42" s="18"/>
      <c r="N42" s="18"/>
      <c r="O42" s="18"/>
      <c r="P42" s="18"/>
      <c r="Q42" s="18">
        <v>1</v>
      </c>
    </row>
    <row r="43" spans="1:18" x14ac:dyDescent="0.25">
      <c r="A43" s="18"/>
      <c r="B43" s="18" t="s">
        <v>16</v>
      </c>
      <c r="C43" s="18" t="s">
        <v>771</v>
      </c>
      <c r="D43" s="18" t="s">
        <v>772</v>
      </c>
      <c r="E43" s="18" t="s">
        <v>773</v>
      </c>
      <c r="F43" s="18" t="s">
        <v>85</v>
      </c>
      <c r="G43" s="19">
        <v>710</v>
      </c>
      <c r="H43" s="19">
        <v>20</v>
      </c>
      <c r="I43" s="19">
        <f t="shared" si="2"/>
        <v>690</v>
      </c>
      <c r="J43" s="18" t="s">
        <v>165</v>
      </c>
      <c r="K43" s="18" t="s">
        <v>21</v>
      </c>
      <c r="L43" s="18" t="s">
        <v>668</v>
      </c>
      <c r="M43" s="18"/>
      <c r="N43" s="18"/>
      <c r="O43" s="18"/>
      <c r="P43" s="18"/>
      <c r="Q43" s="18">
        <v>1</v>
      </c>
    </row>
    <row r="44" spans="1:18" s="2" customFormat="1" x14ac:dyDescent="0.25">
      <c r="A44" s="18"/>
      <c r="B44" s="18" t="s">
        <v>16</v>
      </c>
      <c r="C44" s="18" t="s">
        <v>774</v>
      </c>
      <c r="D44" s="18" t="s">
        <v>775</v>
      </c>
      <c r="E44" s="18" t="s">
        <v>776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165</v>
      </c>
      <c r="K44" s="18" t="s">
        <v>21</v>
      </c>
      <c r="L44" s="18" t="s">
        <v>668</v>
      </c>
      <c r="M44" s="18"/>
      <c r="N44" s="18"/>
      <c r="O44" s="18"/>
      <c r="P44" s="18"/>
      <c r="Q44" s="19">
        <v>1</v>
      </c>
    </row>
    <row r="45" spans="1:18" s="22" customFormat="1" x14ac:dyDescent="0.25">
      <c r="A45" s="23"/>
      <c r="B45" s="23" t="s">
        <v>16</v>
      </c>
      <c r="C45" s="23" t="s">
        <v>777</v>
      </c>
      <c r="D45" s="23" t="s">
        <v>778</v>
      </c>
      <c r="E45" s="23" t="s">
        <v>779</v>
      </c>
      <c r="F45" s="23" t="s">
        <v>780</v>
      </c>
      <c r="G45" s="24">
        <v>360</v>
      </c>
      <c r="H45" s="24">
        <v>0</v>
      </c>
      <c r="I45" s="24">
        <f t="shared" si="2"/>
        <v>360</v>
      </c>
      <c r="J45" s="23" t="s">
        <v>446</v>
      </c>
      <c r="K45" s="23" t="s">
        <v>21</v>
      </c>
      <c r="L45" s="23" t="s">
        <v>668</v>
      </c>
      <c r="M45" s="25" t="s">
        <v>781</v>
      </c>
      <c r="N45" s="23" t="s">
        <v>448</v>
      </c>
      <c r="O45" s="23"/>
      <c r="P45" s="23" t="s">
        <v>449</v>
      </c>
      <c r="Q45" s="24">
        <v>1</v>
      </c>
      <c r="R45" s="26"/>
    </row>
    <row r="46" spans="1:18" x14ac:dyDescent="0.25">
      <c r="A46" s="20"/>
      <c r="B46" s="20" t="s">
        <v>16</v>
      </c>
      <c r="C46" s="20" t="s">
        <v>782</v>
      </c>
      <c r="D46" s="20" t="s">
        <v>783</v>
      </c>
      <c r="E46" s="20" t="s">
        <v>784</v>
      </c>
      <c r="F46" s="21">
        <v>8</v>
      </c>
      <c r="G46" s="21">
        <v>0</v>
      </c>
      <c r="H46" s="21">
        <v>0</v>
      </c>
      <c r="I46" s="21">
        <f t="shared" si="2"/>
        <v>0</v>
      </c>
      <c r="J46" s="20" t="s">
        <v>446</v>
      </c>
      <c r="K46" s="20" t="s">
        <v>21</v>
      </c>
      <c r="L46" s="20" t="s">
        <v>447</v>
      </c>
      <c r="M46" s="20" t="s">
        <v>102</v>
      </c>
      <c r="N46" s="20" t="s">
        <v>448</v>
      </c>
      <c r="O46" s="20" t="s">
        <v>448</v>
      </c>
      <c r="P46" s="20" t="s">
        <v>449</v>
      </c>
      <c r="Q46" s="20">
        <v>1</v>
      </c>
    </row>
    <row r="47" spans="1:18" s="2" customFormat="1" x14ac:dyDescent="0.25">
      <c r="A47" s="20"/>
      <c r="B47" s="20" t="s">
        <v>16</v>
      </c>
      <c r="C47" s="20" t="s">
        <v>443</v>
      </c>
      <c r="D47" s="20" t="s">
        <v>444</v>
      </c>
      <c r="E47" s="20" t="s">
        <v>445</v>
      </c>
      <c r="F47" s="20" t="s">
        <v>85</v>
      </c>
      <c r="G47" s="21">
        <v>370</v>
      </c>
      <c r="H47" s="21">
        <v>20</v>
      </c>
      <c r="I47" s="21">
        <f t="shared" si="2"/>
        <v>350</v>
      </c>
      <c r="J47" s="20" t="s">
        <v>446</v>
      </c>
      <c r="K47" s="20" t="s">
        <v>21</v>
      </c>
      <c r="L47" s="20" t="s">
        <v>447</v>
      </c>
      <c r="M47" s="20" t="s">
        <v>102</v>
      </c>
      <c r="N47" s="20" t="s">
        <v>448</v>
      </c>
      <c r="O47" s="20" t="s">
        <v>448</v>
      </c>
      <c r="P47" s="20" t="s">
        <v>449</v>
      </c>
      <c r="Q47" s="21">
        <v>1</v>
      </c>
    </row>
    <row r="49" spans="1:17" x14ac:dyDescent="0.25">
      <c r="D49" s="1">
        <f>COUNTA(D3:D47)</f>
        <v>42</v>
      </c>
      <c r="G49" s="1">
        <f t="shared" ref="G49:Q49" si="3">SUBTOTAL(9,G3:G47)</f>
        <v>26915</v>
      </c>
      <c r="H49" s="1">
        <f t="shared" si="3"/>
        <v>1185</v>
      </c>
      <c r="I49" s="1">
        <f t="shared" si="3"/>
        <v>25730</v>
      </c>
      <c r="J49" s="1">
        <f t="shared" si="3"/>
        <v>0</v>
      </c>
      <c r="K49" s="1">
        <f t="shared" si="3"/>
        <v>0</v>
      </c>
      <c r="L49" s="1">
        <f t="shared" si="3"/>
        <v>0</v>
      </c>
      <c r="M49" s="1">
        <f t="shared" si="3"/>
        <v>0</v>
      </c>
      <c r="N49" s="1">
        <f t="shared" si="3"/>
        <v>0</v>
      </c>
      <c r="O49" s="1">
        <f t="shared" si="3"/>
        <v>0</v>
      </c>
      <c r="P49" s="1">
        <f t="shared" si="3"/>
        <v>0</v>
      </c>
      <c r="Q49" s="1">
        <f t="shared" si="3"/>
        <v>45</v>
      </c>
    </row>
    <row r="50" spans="1:17" x14ac:dyDescent="0.25">
      <c r="H50">
        <f>-10*17</f>
        <v>-170</v>
      </c>
    </row>
    <row r="51" spans="1:17" x14ac:dyDescent="0.25">
      <c r="A51" s="1" t="s">
        <v>16</v>
      </c>
      <c r="C51" s="42" t="s">
        <v>89</v>
      </c>
      <c r="D51" s="42"/>
      <c r="E51" s="4" t="s">
        <v>90</v>
      </c>
      <c r="H51">
        <f>-4*25</f>
        <v>-100</v>
      </c>
      <c r="K51" s="7" t="s">
        <v>21</v>
      </c>
      <c r="L51" s="7" t="s">
        <v>91</v>
      </c>
      <c r="M51" s="7" t="s">
        <v>90</v>
      </c>
      <c r="O51" s="4" t="s">
        <v>92</v>
      </c>
    </row>
    <row r="52" spans="1:17" x14ac:dyDescent="0.25">
      <c r="A52" t="s">
        <v>668</v>
      </c>
      <c r="B52" s="3" t="s">
        <v>93</v>
      </c>
      <c r="C52" s="43">
        <f>SUMIFS(I$3:I$47,B$3:B$47,A$51,L$3:L$47,A$52)</f>
        <v>25380</v>
      </c>
      <c r="D52" s="43"/>
      <c r="E52" s="3">
        <f>SUMIFS(Q$3:Q$47,B$3:B$47,A$51,L$3:L$47,A$52)</f>
        <v>43</v>
      </c>
      <c r="F52" t="s">
        <v>94</v>
      </c>
      <c r="H52">
        <f>-3*30</f>
        <v>-90</v>
      </c>
      <c r="K52" t="s">
        <v>95</v>
      </c>
      <c r="L52">
        <f>SUMIFS(G$3:G$47,J$3:J$47,K$51)</f>
        <v>5205</v>
      </c>
      <c r="M52">
        <f>SUMIFS(Q$3:Q$47,J$3:J$47,K$51)</f>
        <v>12</v>
      </c>
      <c r="O52" t="s">
        <v>21</v>
      </c>
      <c r="P52">
        <f>L57</f>
        <v>4847</v>
      </c>
    </row>
    <row r="53" spans="1:17" x14ac:dyDescent="0.25">
      <c r="B53" s="2" t="s">
        <v>97</v>
      </c>
      <c r="C53" s="44">
        <v>0</v>
      </c>
      <c r="D53" s="44"/>
      <c r="K53" t="s">
        <v>98</v>
      </c>
      <c r="L53">
        <f>-SUMIFS(H$3:H$47,J$3:J$47,K$51)+M53*5</f>
        <v>-280</v>
      </c>
      <c r="M53">
        <f>SUMIFS(Q$3:Q$47,J$3:J$47,K$51)-COUNTIFS(J$3:J$47,K$51,M$3:M$47,"*gộp*")</f>
        <v>12</v>
      </c>
      <c r="O53" t="s">
        <v>785</v>
      </c>
      <c r="P53">
        <f>L65</f>
        <v>12828</v>
      </c>
    </row>
    <row r="54" spans="1:17" x14ac:dyDescent="0.25">
      <c r="B54" s="2" t="s">
        <v>99</v>
      </c>
      <c r="C54" s="44">
        <f>-SUMIFS(I$3:I$47,B$3:B$47,A$51,P$3:P$47,"xx",N$3:N$47,"x")</f>
        <v>-710</v>
      </c>
      <c r="D54" s="44"/>
      <c r="E54" s="2">
        <f>SUMIFS(Q$3:Q$47,B$3:B$47,A$51,P$3:P$47,"xx",N$3:N$47,"x")</f>
        <v>3</v>
      </c>
      <c r="K54" t="s">
        <v>100</v>
      </c>
      <c r="L54">
        <f>-M54*2</f>
        <v>-78</v>
      </c>
      <c r="M54">
        <f>Q49-(COUNTIFS(M$3:M$47,"*gộp*")/2)-COUNTIFS(P$3:P$47,"*xx*")*2</f>
        <v>39</v>
      </c>
      <c r="O54" t="s">
        <v>165</v>
      </c>
      <c r="P54">
        <f>L73</f>
        <v>7130</v>
      </c>
    </row>
    <row r="55" spans="1:17" x14ac:dyDescent="0.25">
      <c r="B55" s="4" t="s">
        <v>101</v>
      </c>
      <c r="C55" s="42">
        <f>SUBTOTAL(9,C52:C54)</f>
        <v>24670</v>
      </c>
      <c r="D55" s="42"/>
      <c r="E55">
        <f>E52</f>
        <v>43</v>
      </c>
      <c r="K55" s="2" t="s">
        <v>102</v>
      </c>
      <c r="O55" t="s">
        <v>20</v>
      </c>
      <c r="P55">
        <f>L81</f>
        <v>10</v>
      </c>
    </row>
    <row r="56" spans="1:17" x14ac:dyDescent="0.25">
      <c r="B56" s="2" t="s">
        <v>104</v>
      </c>
      <c r="C56" s="40"/>
      <c r="D56" s="40"/>
      <c r="K56" s="2" t="s">
        <v>105</v>
      </c>
      <c r="O56" t="s">
        <v>103</v>
      </c>
      <c r="P56">
        <f>-C59</f>
        <v>-24670</v>
      </c>
    </row>
    <row r="57" spans="1:17" x14ac:dyDescent="0.25">
      <c r="B57" s="8" t="s">
        <v>107</v>
      </c>
      <c r="C57" s="40"/>
      <c r="D57" s="40"/>
      <c r="L57" s="9">
        <f>SUBTOTAL(9,L52:L56)</f>
        <v>4847</v>
      </c>
      <c r="M57" s="9">
        <f>M52</f>
        <v>12</v>
      </c>
      <c r="O57" s="4" t="s">
        <v>106</v>
      </c>
      <c r="P57" s="4">
        <f>SUBTOTAL(9,P52:P56)</f>
        <v>145</v>
      </c>
    </row>
    <row r="59" spans="1:17" x14ac:dyDescent="0.25">
      <c r="B59" s="1" t="s">
        <v>108</v>
      </c>
      <c r="C59" s="41">
        <f>C55+C56+C57</f>
        <v>24670</v>
      </c>
      <c r="D59" s="41"/>
      <c r="E59" s="1" t="s">
        <v>109</v>
      </c>
      <c r="K59" s="7" t="s">
        <v>672</v>
      </c>
      <c r="L59" s="7" t="s">
        <v>91</v>
      </c>
      <c r="M59" s="7" t="s">
        <v>90</v>
      </c>
    </row>
    <row r="60" spans="1:17" x14ac:dyDescent="0.25">
      <c r="K60" t="s">
        <v>95</v>
      </c>
      <c r="L60">
        <f>SUMIFS(G$3:G$47,J$3:J$47,K$59)</f>
        <v>13205</v>
      </c>
      <c r="M60">
        <f>SUMIFS(Q$3:Q$47,J$3:J$47,K$59)</f>
        <v>16</v>
      </c>
    </row>
    <row r="61" spans="1:17" x14ac:dyDescent="0.25">
      <c r="K61" t="s">
        <v>98</v>
      </c>
      <c r="L61">
        <f>SUM(H50:H52)</f>
        <v>-360</v>
      </c>
      <c r="M61">
        <f>SUMIFS(Q$3:Q$47,J$3:J$47,K$59)</f>
        <v>16</v>
      </c>
    </row>
    <row r="62" spans="1:17" x14ac:dyDescent="0.25">
      <c r="K62" t="s">
        <v>100</v>
      </c>
    </row>
    <row r="63" spans="1:17" x14ac:dyDescent="0.25">
      <c r="K63" s="2" t="s">
        <v>102</v>
      </c>
      <c r="L63" s="2">
        <v>-17</v>
      </c>
      <c r="M63" s="13" t="s">
        <v>451</v>
      </c>
    </row>
    <row r="64" spans="1:17" x14ac:dyDescent="0.25">
      <c r="K64" s="2" t="s">
        <v>105</v>
      </c>
    </row>
    <row r="65" spans="11:13" x14ac:dyDescent="0.25">
      <c r="L65" s="9">
        <f>SUBTOTAL(9,L60:L64)</f>
        <v>12828</v>
      </c>
      <c r="M65" s="9">
        <f>M60</f>
        <v>16</v>
      </c>
    </row>
    <row r="67" spans="11:13" x14ac:dyDescent="0.25">
      <c r="K67" s="7" t="s">
        <v>165</v>
      </c>
      <c r="L67" s="7" t="s">
        <v>91</v>
      </c>
      <c r="M67" s="7" t="s">
        <v>90</v>
      </c>
    </row>
    <row r="68" spans="11:13" x14ac:dyDescent="0.25">
      <c r="K68" t="s">
        <v>95</v>
      </c>
      <c r="L68">
        <f>SUMIFS(G$3:G$47,J$3:J$47,K$67)</f>
        <v>7710</v>
      </c>
      <c r="M68">
        <f>SUMIFS(Q$3:Q$47,J$3:J$47,K$67)</f>
        <v>12</v>
      </c>
    </row>
    <row r="69" spans="11:13" x14ac:dyDescent="0.25">
      <c r="K69" t="s">
        <v>98</v>
      </c>
      <c r="L69">
        <f>-SUMIFS(H$3:H$47,J$3:J$47,K$67)+M69*5</f>
        <v>-225</v>
      </c>
      <c r="M69">
        <f>SUMIFS(Q$3:Q$47,J$3:J$47,K$67)-COUNTIFS(J$3:J$47,K$67,M$3:M$47,"*gộp*")</f>
        <v>12</v>
      </c>
    </row>
    <row r="70" spans="11:13" x14ac:dyDescent="0.25">
      <c r="K70" t="s">
        <v>100</v>
      </c>
    </row>
    <row r="71" spans="11:13" x14ac:dyDescent="0.25">
      <c r="K71" s="2" t="s">
        <v>102</v>
      </c>
      <c r="L71" s="2">
        <v>-355</v>
      </c>
      <c r="M71" s="13" t="s">
        <v>451</v>
      </c>
    </row>
    <row r="72" spans="11:13" x14ac:dyDescent="0.25">
      <c r="K72" s="2" t="s">
        <v>105</v>
      </c>
    </row>
    <row r="73" spans="11:13" x14ac:dyDescent="0.25">
      <c r="L73" s="9">
        <f>SUBTOTAL(9,L68:L72)</f>
        <v>7130</v>
      </c>
      <c r="M73" s="9">
        <f>M68</f>
        <v>12</v>
      </c>
    </row>
    <row r="75" spans="11:13" x14ac:dyDescent="0.25">
      <c r="K75" s="7" t="s">
        <v>20</v>
      </c>
      <c r="L75" s="7" t="s">
        <v>91</v>
      </c>
      <c r="M75" s="7" t="s">
        <v>90</v>
      </c>
    </row>
    <row r="76" spans="11:13" x14ac:dyDescent="0.25">
      <c r="K76" t="s">
        <v>95</v>
      </c>
      <c r="L76">
        <f>SUMIFS(G$3:G$47,J$3:J$47,K$75)</f>
        <v>65</v>
      </c>
      <c r="M76">
        <f>SUMIFS(Q$3:Q$47,J$3:J$47,K$75)</f>
        <v>2</v>
      </c>
    </row>
    <row r="77" spans="11:13" x14ac:dyDescent="0.25">
      <c r="K77" t="s">
        <v>98</v>
      </c>
      <c r="L77">
        <f>-SUMIFS(H$3:H$47,J$3:J$47,K$75)+M77*5</f>
        <v>-55</v>
      </c>
      <c r="M77">
        <f>SUMIFS(Q$3:Q$47,J$3:J$47,K$75)-COUNTIFS(J$3:J$47,K$75,M$3:M$47,"*gộp*")</f>
        <v>2</v>
      </c>
    </row>
    <row r="78" spans="11:13" x14ac:dyDescent="0.25">
      <c r="K78" t="s">
        <v>100</v>
      </c>
    </row>
    <row r="79" spans="11:13" x14ac:dyDescent="0.25">
      <c r="K79" s="2" t="s">
        <v>102</v>
      </c>
    </row>
    <row r="80" spans="11:13" x14ac:dyDescent="0.25">
      <c r="K80" s="2" t="s">
        <v>105</v>
      </c>
    </row>
    <row r="81" spans="12:13" x14ac:dyDescent="0.25">
      <c r="L81" s="9">
        <f>SUBTOTAL(9,L76:L80)</f>
        <v>10</v>
      </c>
      <c r="M81" s="9">
        <f>M76</f>
        <v>2</v>
      </c>
    </row>
  </sheetData>
  <autoFilter ref="A2:P47" xr:uid="{00000000-0009-0000-0000-000006000000}">
    <sortState xmlns:xlrd2="http://schemas.microsoft.com/office/spreadsheetml/2017/richdata2" ref="A3:P47">
      <sortCondition ref="J2:J47"/>
    </sortState>
  </autoFilter>
  <mergeCells count="8">
    <mergeCell ref="C56:D56"/>
    <mergeCell ref="C57:D57"/>
    <mergeCell ref="C59:D59"/>
    <mergeCell ref="C51:D51"/>
    <mergeCell ref="C52:D52"/>
    <mergeCell ref="C53:D53"/>
    <mergeCell ref="C54:D54"/>
    <mergeCell ref="C55:D55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Q65"/>
  <sheetViews>
    <sheetView workbookViewId="0">
      <selection activeCell="I7" sqref="I7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10.85546875" customWidth="1"/>
    <col min="5" max="5" width="7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265</v>
      </c>
      <c r="D3" s="18"/>
      <c r="E3" s="18" t="s">
        <v>266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786</v>
      </c>
      <c r="K3" s="18" t="s">
        <v>21</v>
      </c>
      <c r="L3" s="18" t="s">
        <v>787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788</v>
      </c>
      <c r="D4" s="18" t="s">
        <v>789</v>
      </c>
      <c r="E4" s="18" t="s">
        <v>790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786</v>
      </c>
      <c r="K4" s="18" t="s">
        <v>21</v>
      </c>
      <c r="L4" s="18" t="s">
        <v>787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791</v>
      </c>
      <c r="D5" s="18" t="s">
        <v>792</v>
      </c>
      <c r="E5" s="18" t="s">
        <v>793</v>
      </c>
      <c r="F5" s="18" t="s">
        <v>217</v>
      </c>
      <c r="G5" s="19">
        <v>0</v>
      </c>
      <c r="H5" s="19">
        <v>25</v>
      </c>
      <c r="I5" s="19">
        <f>-H5</f>
        <v>-25</v>
      </c>
      <c r="J5" s="18" t="s">
        <v>786</v>
      </c>
      <c r="K5" s="18" t="s">
        <v>21</v>
      </c>
      <c r="L5" s="18" t="s">
        <v>787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794</v>
      </c>
      <c r="D6" s="18" t="s">
        <v>795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786</v>
      </c>
      <c r="K6" s="18" t="s">
        <v>21</v>
      </c>
      <c r="L6" s="18" t="s">
        <v>787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796</v>
      </c>
      <c r="D7" s="18" t="s">
        <v>797</v>
      </c>
      <c r="E7" s="18" t="s">
        <v>798</v>
      </c>
      <c r="F7" s="18" t="s">
        <v>217</v>
      </c>
      <c r="G7" s="19">
        <v>1260</v>
      </c>
      <c r="H7" s="19">
        <v>30</v>
      </c>
      <c r="I7" s="19">
        <f t="shared" si="0"/>
        <v>1230</v>
      </c>
      <c r="J7" s="18" t="s">
        <v>786</v>
      </c>
      <c r="K7" s="18" t="s">
        <v>21</v>
      </c>
      <c r="L7" s="18" t="s">
        <v>787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799</v>
      </c>
      <c r="D8" s="18" t="s">
        <v>800</v>
      </c>
      <c r="E8" s="18" t="s">
        <v>801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786</v>
      </c>
      <c r="K8" s="18" t="s">
        <v>21</v>
      </c>
      <c r="L8" s="18" t="s">
        <v>787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802</v>
      </c>
      <c r="D9" s="18" t="s">
        <v>803</v>
      </c>
      <c r="E9" s="18" t="s">
        <v>804</v>
      </c>
      <c r="F9" s="18" t="s">
        <v>26</v>
      </c>
      <c r="G9" s="19">
        <v>820</v>
      </c>
      <c r="H9" s="19">
        <v>30</v>
      </c>
      <c r="I9" s="19">
        <f t="shared" si="0"/>
        <v>790</v>
      </c>
      <c r="J9" s="18" t="s">
        <v>786</v>
      </c>
      <c r="K9" s="18" t="s">
        <v>21</v>
      </c>
      <c r="L9" s="18" t="s">
        <v>787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805</v>
      </c>
      <c r="D10" s="18" t="s">
        <v>806</v>
      </c>
      <c r="E10" s="18" t="s">
        <v>807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786</v>
      </c>
      <c r="K10" s="18" t="s">
        <v>21</v>
      </c>
      <c r="L10" s="18" t="s">
        <v>787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808</v>
      </c>
      <c r="D11" s="18" t="s">
        <v>809</v>
      </c>
      <c r="E11" s="18" t="s">
        <v>810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786</v>
      </c>
      <c r="K11" s="18" t="s">
        <v>21</v>
      </c>
      <c r="L11" s="18" t="s">
        <v>787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811</v>
      </c>
      <c r="D12" s="18" t="s">
        <v>812</v>
      </c>
      <c r="E12" s="18" t="s">
        <v>813</v>
      </c>
      <c r="F12" s="18" t="s">
        <v>88</v>
      </c>
      <c r="G12" s="19">
        <v>0</v>
      </c>
      <c r="H12" s="19">
        <v>25</v>
      </c>
      <c r="I12" s="19">
        <f>-H12</f>
        <v>-25</v>
      </c>
      <c r="J12" s="18" t="s">
        <v>786</v>
      </c>
      <c r="K12" s="18" t="s">
        <v>21</v>
      </c>
      <c r="L12" s="18" t="s">
        <v>787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814</v>
      </c>
      <c r="D13" s="18" t="s">
        <v>815</v>
      </c>
      <c r="E13" s="18" t="s">
        <v>816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786</v>
      </c>
      <c r="K13" s="18" t="s">
        <v>21</v>
      </c>
      <c r="L13" s="18" t="s">
        <v>787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817</v>
      </c>
      <c r="D14" s="18" t="s">
        <v>818</v>
      </c>
      <c r="E14" s="18" t="s">
        <v>819</v>
      </c>
      <c r="F14" s="18" t="s">
        <v>26</v>
      </c>
      <c r="G14" s="19">
        <v>470</v>
      </c>
      <c r="H14" s="19">
        <v>30</v>
      </c>
      <c r="I14" s="19">
        <f>G14-H14</f>
        <v>440</v>
      </c>
      <c r="J14" s="18" t="s">
        <v>786</v>
      </c>
      <c r="K14" s="18" t="s">
        <v>21</v>
      </c>
      <c r="L14" s="18" t="s">
        <v>787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820</v>
      </c>
      <c r="D15" s="18" t="s">
        <v>821</v>
      </c>
      <c r="E15" s="18" t="s">
        <v>822</v>
      </c>
      <c r="F15" s="18" t="s">
        <v>88</v>
      </c>
      <c r="G15" s="19">
        <v>0</v>
      </c>
      <c r="H15" s="19">
        <v>25</v>
      </c>
      <c r="I15" s="19">
        <f>-H15</f>
        <v>-25</v>
      </c>
      <c r="J15" s="18" t="s">
        <v>786</v>
      </c>
      <c r="K15" s="18" t="s">
        <v>21</v>
      </c>
      <c r="L15" s="18" t="s">
        <v>787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823</v>
      </c>
      <c r="D16" s="18" t="s">
        <v>824</v>
      </c>
      <c r="E16" s="18" t="s">
        <v>825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786</v>
      </c>
      <c r="K16" s="18" t="s">
        <v>21</v>
      </c>
      <c r="L16" s="18" t="s">
        <v>787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826</v>
      </c>
      <c r="D17" s="18" t="s">
        <v>827</v>
      </c>
      <c r="E17" s="18" t="s">
        <v>828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786</v>
      </c>
      <c r="K17" s="18" t="s">
        <v>21</v>
      </c>
      <c r="L17" s="18" t="s">
        <v>787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591</v>
      </c>
      <c r="D18" s="18"/>
      <c r="E18" s="18" t="s">
        <v>592</v>
      </c>
      <c r="F18" s="18" t="s">
        <v>153</v>
      </c>
      <c r="G18" s="19">
        <v>2135</v>
      </c>
      <c r="H18" s="19">
        <v>35</v>
      </c>
      <c r="I18" s="19">
        <f>G18-H18</f>
        <v>2100</v>
      </c>
      <c r="J18" s="18" t="s">
        <v>21</v>
      </c>
      <c r="K18" s="18" t="s">
        <v>21</v>
      </c>
      <c r="L18" s="18" t="s">
        <v>787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829</v>
      </c>
      <c r="D19" s="18" t="s">
        <v>830</v>
      </c>
      <c r="E19" s="18" t="s">
        <v>831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21</v>
      </c>
      <c r="K19" s="18" t="s">
        <v>21</v>
      </c>
      <c r="L19" s="18" t="s">
        <v>787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832</v>
      </c>
      <c r="D20" s="18" t="s">
        <v>833</v>
      </c>
      <c r="E20" s="18" t="s">
        <v>834</v>
      </c>
      <c r="F20" s="18" t="s">
        <v>72</v>
      </c>
      <c r="G20" s="19">
        <v>815</v>
      </c>
      <c r="H20" s="19">
        <v>25</v>
      </c>
      <c r="I20" s="19">
        <f>G20-H20</f>
        <v>790</v>
      </c>
      <c r="J20" s="18" t="s">
        <v>21</v>
      </c>
      <c r="K20" s="18" t="s">
        <v>21</v>
      </c>
      <c r="L20" s="18" t="s">
        <v>787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835</v>
      </c>
      <c r="D21" s="18" t="s">
        <v>836</v>
      </c>
      <c r="E21" s="18" t="s">
        <v>837</v>
      </c>
      <c r="F21" s="18" t="s">
        <v>88</v>
      </c>
      <c r="G21" s="19">
        <v>0</v>
      </c>
      <c r="H21" s="19">
        <v>25</v>
      </c>
      <c r="I21" s="19">
        <f>-H21</f>
        <v>-25</v>
      </c>
      <c r="J21" s="18" t="s">
        <v>21</v>
      </c>
      <c r="K21" s="18" t="s">
        <v>21</v>
      </c>
      <c r="L21" s="18" t="s">
        <v>787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838</v>
      </c>
      <c r="D22" s="18" t="s">
        <v>839</v>
      </c>
      <c r="E22" s="18" t="s">
        <v>840</v>
      </c>
      <c r="F22" s="18" t="s">
        <v>153</v>
      </c>
      <c r="G22" s="19">
        <v>730</v>
      </c>
      <c r="H22" s="19">
        <v>30</v>
      </c>
      <c r="I22" s="19">
        <f>G22-H22</f>
        <v>700</v>
      </c>
      <c r="J22" s="18" t="s">
        <v>21</v>
      </c>
      <c r="K22" s="18" t="s">
        <v>21</v>
      </c>
      <c r="L22" s="18" t="s">
        <v>787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841</v>
      </c>
      <c r="D23" s="18" t="s">
        <v>842</v>
      </c>
      <c r="E23" s="18" t="s">
        <v>843</v>
      </c>
      <c r="F23" s="18" t="s">
        <v>72</v>
      </c>
      <c r="G23" s="19">
        <v>1345</v>
      </c>
      <c r="H23" s="19">
        <v>25</v>
      </c>
      <c r="I23" s="19">
        <f>G23-H23</f>
        <v>1320</v>
      </c>
      <c r="J23" s="18" t="s">
        <v>21</v>
      </c>
      <c r="K23" s="18" t="s">
        <v>21</v>
      </c>
      <c r="L23" s="18" t="s">
        <v>787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844</v>
      </c>
      <c r="D24" s="18" t="s">
        <v>845</v>
      </c>
      <c r="E24" s="18" t="s">
        <v>846</v>
      </c>
      <c r="F24" s="18" t="s">
        <v>88</v>
      </c>
      <c r="G24" s="19">
        <v>0</v>
      </c>
      <c r="H24" s="19">
        <v>25</v>
      </c>
      <c r="I24" s="19">
        <f>-H24</f>
        <v>-25</v>
      </c>
      <c r="J24" s="18" t="s">
        <v>21</v>
      </c>
      <c r="K24" s="18" t="s">
        <v>21</v>
      </c>
      <c r="L24" s="18" t="s">
        <v>787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847</v>
      </c>
      <c r="D25" s="18" t="s">
        <v>848</v>
      </c>
      <c r="E25" s="18" t="s">
        <v>849</v>
      </c>
      <c r="F25" s="18" t="s">
        <v>72</v>
      </c>
      <c r="G25" s="19">
        <v>0</v>
      </c>
      <c r="H25" s="19">
        <v>25</v>
      </c>
      <c r="I25" s="19">
        <f>-H25</f>
        <v>-25</v>
      </c>
      <c r="J25" s="18" t="s">
        <v>21</v>
      </c>
      <c r="K25" s="18" t="s">
        <v>21</v>
      </c>
      <c r="L25" s="18" t="s">
        <v>787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850</v>
      </c>
      <c r="D26" s="18" t="s">
        <v>851</v>
      </c>
      <c r="E26" s="18" t="s">
        <v>852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21</v>
      </c>
      <c r="K26" s="18" t="s">
        <v>21</v>
      </c>
      <c r="L26" s="18" t="s">
        <v>787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853</v>
      </c>
      <c r="D27" s="18" t="s">
        <v>854</v>
      </c>
      <c r="E27" s="18" t="s">
        <v>855</v>
      </c>
      <c r="F27" s="18" t="s">
        <v>68</v>
      </c>
      <c r="G27" s="19">
        <v>1110</v>
      </c>
      <c r="H27" s="19">
        <v>20</v>
      </c>
      <c r="I27" s="19">
        <f>G27-H27</f>
        <v>1090</v>
      </c>
      <c r="J27" s="18" t="s">
        <v>21</v>
      </c>
      <c r="K27" s="18" t="s">
        <v>21</v>
      </c>
      <c r="L27" s="18" t="s">
        <v>787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452</v>
      </c>
      <c r="D28" s="18" t="s">
        <v>856</v>
      </c>
      <c r="E28" s="18" t="s">
        <v>454</v>
      </c>
      <c r="F28" s="18" t="s">
        <v>88</v>
      </c>
      <c r="G28" s="19">
        <v>815</v>
      </c>
      <c r="H28" s="19">
        <v>25</v>
      </c>
      <c r="I28" s="19">
        <f>G28-H28</f>
        <v>790</v>
      </c>
      <c r="J28" s="18" t="s">
        <v>21</v>
      </c>
      <c r="K28" s="18" t="s">
        <v>21</v>
      </c>
      <c r="L28" s="18" t="s">
        <v>787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857</v>
      </c>
      <c r="D29" s="18" t="s">
        <v>858</v>
      </c>
      <c r="E29" s="18" t="s">
        <v>859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165</v>
      </c>
      <c r="K29" s="18" t="s">
        <v>21</v>
      </c>
      <c r="L29" s="18" t="s">
        <v>787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860</v>
      </c>
      <c r="D30" s="18" t="s">
        <v>861</v>
      </c>
      <c r="E30" s="18" t="s">
        <v>862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165</v>
      </c>
      <c r="K30" s="18" t="s">
        <v>21</v>
      </c>
      <c r="L30" s="18" t="s">
        <v>787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863</v>
      </c>
      <c r="D31" s="18" t="s">
        <v>864</v>
      </c>
      <c r="E31" s="18" t="s">
        <v>865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165</v>
      </c>
      <c r="K31" s="18" t="s">
        <v>21</v>
      </c>
      <c r="L31" s="18" t="s">
        <v>787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866</v>
      </c>
      <c r="D32" s="18" t="s">
        <v>867</v>
      </c>
      <c r="E32" s="18" t="s">
        <v>868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165</v>
      </c>
      <c r="K32" s="18" t="s">
        <v>21</v>
      </c>
      <c r="L32" s="18" t="s">
        <v>787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869</v>
      </c>
      <c r="D33" s="18" t="s">
        <v>870</v>
      </c>
      <c r="E33" s="18" t="s">
        <v>871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165</v>
      </c>
      <c r="K33" s="18" t="s">
        <v>21</v>
      </c>
      <c r="L33" s="18" t="s">
        <v>787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872</v>
      </c>
      <c r="D34" s="18" t="s">
        <v>873</v>
      </c>
      <c r="E34" s="18" t="s">
        <v>874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165</v>
      </c>
      <c r="K34" s="18" t="s">
        <v>21</v>
      </c>
      <c r="L34" s="18" t="s">
        <v>787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875</v>
      </c>
      <c r="D35" s="18" t="s">
        <v>876</v>
      </c>
      <c r="E35" s="18" t="s">
        <v>877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165</v>
      </c>
      <c r="K35" s="18" t="s">
        <v>21</v>
      </c>
      <c r="L35" s="18" t="s">
        <v>787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878</v>
      </c>
      <c r="D36" s="18" t="s">
        <v>879</v>
      </c>
      <c r="E36" s="18" t="s">
        <v>880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165</v>
      </c>
      <c r="K36" s="18" t="s">
        <v>21</v>
      </c>
      <c r="L36" s="18" t="s">
        <v>787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881</v>
      </c>
      <c r="D37" s="18" t="s">
        <v>882</v>
      </c>
      <c r="E37" s="18" t="s">
        <v>883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165</v>
      </c>
      <c r="K37" s="18" t="s">
        <v>21</v>
      </c>
      <c r="L37" s="18" t="s">
        <v>787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884</v>
      </c>
      <c r="D38" s="18" t="s">
        <v>885</v>
      </c>
      <c r="E38" s="18" t="s">
        <v>886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165</v>
      </c>
      <c r="K38" s="18" t="s">
        <v>21</v>
      </c>
      <c r="L38" s="18" t="s">
        <v>787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887</v>
      </c>
      <c r="D39" s="18" t="s">
        <v>888</v>
      </c>
      <c r="E39" s="18" t="s">
        <v>889</v>
      </c>
      <c r="F39" s="18" t="s">
        <v>85</v>
      </c>
      <c r="G39" s="19">
        <v>530</v>
      </c>
      <c r="H39" s="19">
        <v>20</v>
      </c>
      <c r="I39" s="19">
        <f>G39-H39</f>
        <v>510</v>
      </c>
      <c r="J39" s="18" t="s">
        <v>165</v>
      </c>
      <c r="K39" s="18" t="s">
        <v>21</v>
      </c>
      <c r="L39" s="18" t="s">
        <v>787</v>
      </c>
      <c r="M39" s="18"/>
      <c r="N39" s="18"/>
      <c r="O39" s="18"/>
      <c r="P39" s="18"/>
      <c r="Q39" s="18">
        <v>1</v>
      </c>
    </row>
    <row r="41" spans="1:17" x14ac:dyDescent="0.25">
      <c r="D41" s="1">
        <f>COUNTA(D3:D39)</f>
        <v>35</v>
      </c>
      <c r="G41" s="1">
        <f t="shared" ref="G41:Q41" si="1">SUBTOTAL(9,G3:G39)</f>
        <v>24970</v>
      </c>
      <c r="H41" s="1">
        <f t="shared" si="1"/>
        <v>985</v>
      </c>
      <c r="I41" s="1">
        <f t="shared" si="1"/>
        <v>23985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7" x14ac:dyDescent="0.25">
      <c r="H42">
        <f>-12*17</f>
        <v>-204</v>
      </c>
    </row>
    <row r="43" spans="1:17" x14ac:dyDescent="0.25">
      <c r="A43" s="1" t="s">
        <v>16</v>
      </c>
      <c r="C43" s="42" t="s">
        <v>89</v>
      </c>
      <c r="D43" s="42"/>
      <c r="E43" s="4" t="s">
        <v>90</v>
      </c>
      <c r="H43">
        <f>-3*25</f>
        <v>-75</v>
      </c>
      <c r="K43" s="7" t="s">
        <v>21</v>
      </c>
      <c r="L43" s="7" t="s">
        <v>91</v>
      </c>
      <c r="M43" s="7" t="s">
        <v>90</v>
      </c>
      <c r="O43" s="4" t="s">
        <v>92</v>
      </c>
    </row>
    <row r="44" spans="1:17" x14ac:dyDescent="0.25">
      <c r="A44" t="s">
        <v>787</v>
      </c>
      <c r="B44" s="3" t="s">
        <v>93</v>
      </c>
      <c r="C44" s="43">
        <f>SUMIFS(I$3:I$39,B$3:B$39,A$43,L$3:L$39,A$44)</f>
        <v>23985</v>
      </c>
      <c r="D44" s="43"/>
      <c r="E44" s="3">
        <f>SUMIFS(Q$3:Q$39,B$3:B$39,A$43,L$3:L$39,A$44)</f>
        <v>37</v>
      </c>
      <c r="F44" t="s">
        <v>94</v>
      </c>
      <c r="K44" t="s">
        <v>95</v>
      </c>
      <c r="L44">
        <f>SUMIFS(G$3:G$39,J$3:J$39,K$43)</f>
        <v>7870</v>
      </c>
      <c r="M44">
        <f>SUMIFS(Q$3:Q$39,J$3:J$39,K$43)</f>
        <v>11</v>
      </c>
      <c r="O44" t="s">
        <v>21</v>
      </c>
      <c r="P44">
        <f>L49</f>
        <v>7556</v>
      </c>
    </row>
    <row r="45" spans="1:17" x14ac:dyDescent="0.25">
      <c r="B45" s="2" t="s">
        <v>97</v>
      </c>
      <c r="C45" s="44">
        <v>0</v>
      </c>
      <c r="D45" s="44"/>
      <c r="K45" t="s">
        <v>98</v>
      </c>
      <c r="L45">
        <f>-SUMIFS(H$3:H$39,J$3:J$39,K$43)+M45*5</f>
        <v>-240</v>
      </c>
      <c r="M45">
        <f>SUMIFS(Q$3:Q$39,J$3:J$39,K$43)-COUNTIFS(J$3:J$39,K$43,M$3:M$39,"*gộp*")</f>
        <v>11</v>
      </c>
      <c r="O45" t="s">
        <v>890</v>
      </c>
      <c r="P45">
        <f>L57</f>
        <v>10246</v>
      </c>
    </row>
    <row r="46" spans="1:17" x14ac:dyDescent="0.25">
      <c r="B46" s="2" t="s">
        <v>99</v>
      </c>
      <c r="C46" s="44">
        <f>-SUMIFS(I$3:I$39,B$3:B$39,A$43,P$3:P$39,"xx",N$3:N$39,"x")</f>
        <v>0</v>
      </c>
      <c r="D46" s="44"/>
      <c r="E46" s="2">
        <f>SUMIFS(Q$3:Q$39,B$3:B$39,A$43,P$3:P$39,"xx",N$3:N$39,"x")</f>
        <v>0</v>
      </c>
      <c r="K46" t="s">
        <v>100</v>
      </c>
      <c r="L46">
        <f>-M46*2</f>
        <v>-74</v>
      </c>
      <c r="M46">
        <f>Q41-(COUNTIFS(M$3:M$39,"*gộp*")/2)-COUNTIFS(P$3:P$39,"*xx*")*2</f>
        <v>37</v>
      </c>
      <c r="O46" t="s">
        <v>165</v>
      </c>
      <c r="P46">
        <f>L65</f>
        <v>6360</v>
      </c>
    </row>
    <row r="47" spans="1:17" x14ac:dyDescent="0.25">
      <c r="B47" s="4" t="s">
        <v>101</v>
      </c>
      <c r="C47" s="42">
        <f>SUBTOTAL(9,C44:C46)</f>
        <v>23985</v>
      </c>
      <c r="D47" s="42"/>
      <c r="E47">
        <f>E44</f>
        <v>37</v>
      </c>
      <c r="K47" s="2" t="s">
        <v>102</v>
      </c>
      <c r="O47" t="s">
        <v>103</v>
      </c>
      <c r="P47">
        <f>-C51</f>
        <v>-23985</v>
      </c>
    </row>
    <row r="48" spans="1:17" x14ac:dyDescent="0.25">
      <c r="B48" s="2" t="s">
        <v>104</v>
      </c>
      <c r="C48" s="40"/>
      <c r="D48" s="40"/>
      <c r="K48" s="2" t="s">
        <v>105</v>
      </c>
      <c r="O48" s="4" t="s">
        <v>106</v>
      </c>
      <c r="P48" s="4">
        <f>SUBTOTAL(9,P44:P47)</f>
        <v>177</v>
      </c>
    </row>
    <row r="49" spans="2:13" x14ac:dyDescent="0.25">
      <c r="B49" s="8" t="s">
        <v>107</v>
      </c>
      <c r="C49" s="40"/>
      <c r="D49" s="40"/>
      <c r="L49" s="9">
        <f>SUBTOTAL(9,L44:L48)</f>
        <v>7556</v>
      </c>
      <c r="M49" s="9">
        <f>M44</f>
        <v>11</v>
      </c>
    </row>
    <row r="51" spans="2:13" x14ac:dyDescent="0.25">
      <c r="B51" s="1" t="s">
        <v>108</v>
      </c>
      <c r="C51" s="41">
        <f>C47+C48+C49</f>
        <v>23985</v>
      </c>
      <c r="D51" s="41"/>
      <c r="E51" s="1" t="s">
        <v>109</v>
      </c>
      <c r="K51" s="7" t="s">
        <v>786</v>
      </c>
      <c r="L51" s="7" t="s">
        <v>91</v>
      </c>
      <c r="M51" s="7" t="s">
        <v>90</v>
      </c>
    </row>
    <row r="52" spans="2:13" x14ac:dyDescent="0.25">
      <c r="K52" t="s">
        <v>95</v>
      </c>
      <c r="L52">
        <f>SUMIFS(G$3:G$39,J$3:J$39,K$51)</f>
        <v>10525</v>
      </c>
      <c r="M52">
        <f>SUMIFS(Q$3:Q$39,J$3:J$39,K$51)</f>
        <v>15</v>
      </c>
    </row>
    <row r="53" spans="2:13" x14ac:dyDescent="0.25">
      <c r="K53" t="s">
        <v>98</v>
      </c>
      <c r="L53">
        <f>SUM(H42:H43)</f>
        <v>-279</v>
      </c>
      <c r="M53">
        <f>SUMIFS(Q$3:Q$39,J$3:J$39,K$51)</f>
        <v>15</v>
      </c>
    </row>
    <row r="54" spans="2:13" x14ac:dyDescent="0.25">
      <c r="K54" t="s">
        <v>100</v>
      </c>
    </row>
    <row r="55" spans="2:13" x14ac:dyDescent="0.25">
      <c r="K55" s="2" t="s">
        <v>102</v>
      </c>
    </row>
    <row r="56" spans="2:13" x14ac:dyDescent="0.25">
      <c r="K56" s="2" t="s">
        <v>105</v>
      </c>
    </row>
    <row r="57" spans="2:13" x14ac:dyDescent="0.25">
      <c r="L57" s="9">
        <f>SUBTOTAL(9,L52:L56)</f>
        <v>10246</v>
      </c>
      <c r="M57" s="9">
        <f>M52</f>
        <v>15</v>
      </c>
    </row>
    <row r="59" spans="2:13" x14ac:dyDescent="0.25">
      <c r="K59" s="7" t="s">
        <v>165</v>
      </c>
      <c r="L59" s="7" t="s">
        <v>91</v>
      </c>
      <c r="M59" s="7" t="s">
        <v>90</v>
      </c>
    </row>
    <row r="60" spans="2:13" x14ac:dyDescent="0.25">
      <c r="K60" t="s">
        <v>95</v>
      </c>
      <c r="L60">
        <f>SUMIFS(G$3:G$39,J$3:J$39,K$59)</f>
        <v>6575</v>
      </c>
      <c r="M60">
        <f>SUMIFS(Q$3:Q$39,J$3:J$39,K$59)</f>
        <v>11</v>
      </c>
    </row>
    <row r="61" spans="2:13" x14ac:dyDescent="0.25">
      <c r="K61" t="s">
        <v>98</v>
      </c>
      <c r="L61">
        <f>-SUMIFS(H$3:H$39,J$3:J$39,K$59)+M61*5</f>
        <v>-215</v>
      </c>
      <c r="M61">
        <f>SUMIFS(Q$3:Q$39,J$3:J$39,K$59)-COUNTIFS(J$3:J$39,K$59,M$3:M$39,"*gộp*")</f>
        <v>11</v>
      </c>
    </row>
    <row r="62" spans="2:13" x14ac:dyDescent="0.25">
      <c r="K62" t="s">
        <v>100</v>
      </c>
    </row>
    <row r="63" spans="2:13" x14ac:dyDescent="0.25">
      <c r="K63" s="2" t="s">
        <v>102</v>
      </c>
    </row>
    <row r="64" spans="2:13" x14ac:dyDescent="0.25">
      <c r="K64" s="2" t="s">
        <v>105</v>
      </c>
    </row>
    <row r="65" spans="12:13" x14ac:dyDescent="0.25">
      <c r="L65" s="9">
        <f>SUBTOTAL(9,L60:L64)</f>
        <v>6360</v>
      </c>
      <c r="M65" s="9">
        <f>M60</f>
        <v>11</v>
      </c>
    </row>
  </sheetData>
  <autoFilter ref="A2:P39" xr:uid="{00000000-0009-0000-0000-000007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0"/>
  <sheetViews>
    <sheetView topLeftCell="C22" zoomScale="90" zoomScaleNormal="90" workbookViewId="0">
      <selection activeCell="M27" sqref="M27"/>
    </sheetView>
  </sheetViews>
  <sheetFormatPr defaultRowHeight="15" x14ac:dyDescent="0.25"/>
  <cols>
    <col min="1" max="1" width="12.7109375" customWidth="1"/>
    <col min="2" max="2" width="17.7109375" customWidth="1"/>
    <col min="3" max="3" width="56.7109375" customWidth="1"/>
    <col min="4" max="4" width="9.85546875" customWidth="1"/>
    <col min="5" max="5" width="83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23.855468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891</v>
      </c>
      <c r="D3" s="18" t="s">
        <v>892</v>
      </c>
      <c r="E3" s="18" t="s">
        <v>893</v>
      </c>
      <c r="F3" s="18" t="s">
        <v>26</v>
      </c>
      <c r="G3" s="19">
        <v>720</v>
      </c>
      <c r="H3" s="19">
        <v>30</v>
      </c>
      <c r="I3" s="19">
        <f t="shared" ref="I3:I26" si="0">G3-H3</f>
        <v>690</v>
      </c>
      <c r="J3" s="18" t="s">
        <v>894</v>
      </c>
      <c r="K3" s="18" t="s">
        <v>21</v>
      </c>
      <c r="L3" s="18" t="s">
        <v>895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896</v>
      </c>
      <c r="D4" s="18" t="s">
        <v>897</v>
      </c>
      <c r="E4" s="18" t="s">
        <v>898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894</v>
      </c>
      <c r="K4" s="18" t="s">
        <v>21</v>
      </c>
      <c r="L4" s="18" t="s">
        <v>895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899</v>
      </c>
      <c r="D5" s="18" t="s">
        <v>900</v>
      </c>
      <c r="E5" s="18" t="s">
        <v>901</v>
      </c>
      <c r="F5" s="18" t="s">
        <v>88</v>
      </c>
      <c r="G5" s="19">
        <v>25</v>
      </c>
      <c r="H5" s="19">
        <v>25</v>
      </c>
      <c r="I5" s="19">
        <f t="shared" si="0"/>
        <v>0</v>
      </c>
      <c r="J5" s="18" t="s">
        <v>894</v>
      </c>
      <c r="K5" s="18" t="s">
        <v>21</v>
      </c>
      <c r="L5" s="18" t="s">
        <v>895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902</v>
      </c>
      <c r="D6" s="18" t="s">
        <v>903</v>
      </c>
      <c r="E6" s="18" t="s">
        <v>904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894</v>
      </c>
      <c r="K6" s="18" t="s">
        <v>21</v>
      </c>
      <c r="L6" s="18" t="s">
        <v>895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905</v>
      </c>
      <c r="D7" s="18" t="s">
        <v>906</v>
      </c>
      <c r="E7" s="18" t="s">
        <v>907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894</v>
      </c>
      <c r="K7" s="18" t="s">
        <v>21</v>
      </c>
      <c r="L7" s="18" t="s">
        <v>895</v>
      </c>
      <c r="M7" s="18" t="s">
        <v>398</v>
      </c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908</v>
      </c>
      <c r="D8" s="18" t="s">
        <v>909</v>
      </c>
      <c r="E8" s="18" t="s">
        <v>910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894</v>
      </c>
      <c r="K8" s="18" t="s">
        <v>21</v>
      </c>
      <c r="L8" s="18" t="s">
        <v>895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911</v>
      </c>
      <c r="D9" s="18" t="s">
        <v>912</v>
      </c>
      <c r="E9" s="18" t="s">
        <v>913</v>
      </c>
      <c r="F9" s="18" t="s">
        <v>217</v>
      </c>
      <c r="G9" s="19">
        <v>1535</v>
      </c>
      <c r="H9" s="19">
        <v>25</v>
      </c>
      <c r="I9" s="19">
        <f t="shared" si="0"/>
        <v>1510</v>
      </c>
      <c r="J9" s="18" t="s">
        <v>894</v>
      </c>
      <c r="K9" s="18" t="s">
        <v>21</v>
      </c>
      <c r="L9" s="18" t="s">
        <v>895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914</v>
      </c>
      <c r="D10" s="18" t="s">
        <v>915</v>
      </c>
      <c r="E10" s="18" t="s">
        <v>916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894</v>
      </c>
      <c r="K10" s="18" t="s">
        <v>21</v>
      </c>
      <c r="L10" s="18" t="s">
        <v>895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247</v>
      </c>
      <c r="D11" s="18" t="s">
        <v>917</v>
      </c>
      <c r="E11" s="18" t="s">
        <v>918</v>
      </c>
      <c r="F11" s="18" t="s">
        <v>26</v>
      </c>
      <c r="G11" s="19">
        <v>820</v>
      </c>
      <c r="H11" s="19">
        <v>30</v>
      </c>
      <c r="I11" s="19">
        <f t="shared" si="0"/>
        <v>790</v>
      </c>
      <c r="J11" s="18" t="s">
        <v>894</v>
      </c>
      <c r="K11" s="18" t="s">
        <v>21</v>
      </c>
      <c r="L11" s="18" t="s">
        <v>895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919</v>
      </c>
      <c r="D12" s="18" t="s">
        <v>920</v>
      </c>
      <c r="E12" s="18" t="s">
        <v>921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894</v>
      </c>
      <c r="K12" s="18" t="s">
        <v>21</v>
      </c>
      <c r="L12" s="18" t="s">
        <v>895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922</v>
      </c>
      <c r="D13" s="18" t="s">
        <v>923</v>
      </c>
      <c r="E13" s="18" t="s">
        <v>924</v>
      </c>
      <c r="F13" s="18" t="s">
        <v>88</v>
      </c>
      <c r="G13" s="19">
        <v>705</v>
      </c>
      <c r="H13" s="19">
        <v>25</v>
      </c>
      <c r="I13" s="19">
        <f t="shared" si="0"/>
        <v>680</v>
      </c>
      <c r="J13" s="18" t="s">
        <v>894</v>
      </c>
      <c r="K13" s="18" t="s">
        <v>21</v>
      </c>
      <c r="L13" s="18" t="s">
        <v>895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925</v>
      </c>
      <c r="D14" s="18" t="s">
        <v>926</v>
      </c>
      <c r="E14" s="18" t="s">
        <v>927</v>
      </c>
      <c r="F14" s="18" t="s">
        <v>26</v>
      </c>
      <c r="G14" s="19">
        <v>850</v>
      </c>
      <c r="H14" s="19">
        <v>30</v>
      </c>
      <c r="I14" s="19">
        <f t="shared" si="0"/>
        <v>820</v>
      </c>
      <c r="J14" s="18" t="s">
        <v>894</v>
      </c>
      <c r="K14" s="18" t="s">
        <v>21</v>
      </c>
      <c r="L14" s="18" t="s">
        <v>895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928</v>
      </c>
      <c r="D15" s="18" t="s">
        <v>929</v>
      </c>
      <c r="E15" s="18" t="s">
        <v>930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894</v>
      </c>
      <c r="K15" s="18" t="s">
        <v>21</v>
      </c>
      <c r="L15" s="18" t="s">
        <v>895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931</v>
      </c>
      <c r="D16" s="18" t="s">
        <v>932</v>
      </c>
      <c r="E16" s="18" t="s">
        <v>933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894</v>
      </c>
      <c r="K16" s="18" t="s">
        <v>21</v>
      </c>
      <c r="L16" s="18" t="s">
        <v>895</v>
      </c>
      <c r="M16" s="18"/>
      <c r="N16" s="18"/>
      <c r="O16" s="18"/>
      <c r="P16" s="18"/>
      <c r="Q16" s="18">
        <v>1</v>
      </c>
    </row>
    <row r="17" spans="1:17" x14ac:dyDescent="0.25">
      <c r="A17" s="18" t="s">
        <v>62</v>
      </c>
      <c r="B17" s="18" t="s">
        <v>16</v>
      </c>
      <c r="C17" s="18" t="s">
        <v>934</v>
      </c>
      <c r="D17" s="18"/>
      <c r="E17" s="18" t="s">
        <v>935</v>
      </c>
      <c r="F17" s="18" t="s">
        <v>88</v>
      </c>
      <c r="G17" s="19">
        <v>30</v>
      </c>
      <c r="H17" s="19">
        <v>30</v>
      </c>
      <c r="I17" s="19">
        <f t="shared" si="0"/>
        <v>0</v>
      </c>
      <c r="J17" s="18" t="s">
        <v>21</v>
      </c>
      <c r="K17" s="18" t="s">
        <v>21</v>
      </c>
      <c r="L17" s="18" t="s">
        <v>895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640</v>
      </c>
      <c r="D18" s="18"/>
      <c r="E18" s="18" t="s">
        <v>641</v>
      </c>
      <c r="F18" s="18" t="s">
        <v>72</v>
      </c>
      <c r="G18" s="19">
        <v>3050</v>
      </c>
      <c r="H18" s="19">
        <v>30</v>
      </c>
      <c r="I18" s="19">
        <f t="shared" si="0"/>
        <v>3020</v>
      </c>
      <c r="J18" s="18" t="s">
        <v>21</v>
      </c>
      <c r="K18" s="18" t="s">
        <v>21</v>
      </c>
      <c r="L18" s="18" t="s">
        <v>895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936</v>
      </c>
      <c r="D19" s="18"/>
      <c r="E19" s="18" t="s">
        <v>937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21</v>
      </c>
      <c r="K19" s="18" t="s">
        <v>21</v>
      </c>
      <c r="L19" s="18" t="s">
        <v>895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343</v>
      </c>
      <c r="D20" s="18"/>
      <c r="E20" s="18" t="s">
        <v>938</v>
      </c>
      <c r="F20" s="18" t="s">
        <v>72</v>
      </c>
      <c r="G20" s="19">
        <v>845</v>
      </c>
      <c r="H20" s="19">
        <v>25</v>
      </c>
      <c r="I20" s="19">
        <f t="shared" si="0"/>
        <v>820</v>
      </c>
      <c r="J20" s="18" t="s">
        <v>21</v>
      </c>
      <c r="K20" s="18" t="s">
        <v>21</v>
      </c>
      <c r="L20" s="18" t="s">
        <v>895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939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21</v>
      </c>
      <c r="K21" s="18" t="s">
        <v>21</v>
      </c>
      <c r="L21" s="18" t="s">
        <v>895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940</v>
      </c>
      <c r="D22" s="18" t="s">
        <v>941</v>
      </c>
      <c r="E22" s="18" t="s">
        <v>942</v>
      </c>
      <c r="F22" s="18" t="s">
        <v>68</v>
      </c>
      <c r="G22" s="19">
        <v>1570</v>
      </c>
      <c r="H22" s="19">
        <v>20</v>
      </c>
      <c r="I22" s="19">
        <f t="shared" si="0"/>
        <v>1550</v>
      </c>
      <c r="J22" s="18" t="s">
        <v>21</v>
      </c>
      <c r="K22" s="18" t="s">
        <v>21</v>
      </c>
      <c r="L22" s="18" t="s">
        <v>895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943</v>
      </c>
      <c r="D23" s="18" t="s">
        <v>944</v>
      </c>
      <c r="E23" s="18" t="s">
        <v>945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21</v>
      </c>
      <c r="K23" s="18" t="s">
        <v>21</v>
      </c>
      <c r="L23" s="18" t="s">
        <v>895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850</v>
      </c>
      <c r="D24" s="18" t="s">
        <v>946</v>
      </c>
      <c r="E24" s="18" t="s">
        <v>852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21</v>
      </c>
      <c r="K24" s="18" t="s">
        <v>21</v>
      </c>
      <c r="L24" s="18" t="s">
        <v>895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147</v>
      </c>
      <c r="D25" s="18" t="s">
        <v>947</v>
      </c>
      <c r="E25" s="18" t="s">
        <v>149</v>
      </c>
      <c r="F25" s="18" t="s">
        <v>68</v>
      </c>
      <c r="G25" s="19">
        <v>2670</v>
      </c>
      <c r="H25" s="19">
        <v>25</v>
      </c>
      <c r="I25" s="19">
        <f t="shared" si="0"/>
        <v>2645</v>
      </c>
      <c r="J25" s="18" t="s">
        <v>21</v>
      </c>
      <c r="K25" s="18" t="s">
        <v>21</v>
      </c>
      <c r="L25" s="18" t="s">
        <v>895</v>
      </c>
      <c r="M25" s="18" t="s">
        <v>398</v>
      </c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349</v>
      </c>
      <c r="D26" s="18" t="s">
        <v>948</v>
      </c>
      <c r="E26" s="18" t="s">
        <v>949</v>
      </c>
      <c r="F26" s="18" t="s">
        <v>72</v>
      </c>
      <c r="G26" s="19">
        <v>865</v>
      </c>
      <c r="H26" s="19">
        <v>25</v>
      </c>
      <c r="I26" s="19">
        <f t="shared" si="0"/>
        <v>840</v>
      </c>
      <c r="J26" s="18" t="s">
        <v>21</v>
      </c>
      <c r="K26" s="18" t="s">
        <v>21</v>
      </c>
      <c r="L26" s="18" t="s">
        <v>895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950</v>
      </c>
      <c r="D27" s="18" t="s">
        <v>951</v>
      </c>
      <c r="E27" s="18" t="s">
        <v>952</v>
      </c>
      <c r="F27" s="18" t="s">
        <v>72</v>
      </c>
      <c r="G27" s="19">
        <v>0</v>
      </c>
      <c r="H27" s="19">
        <v>25</v>
      </c>
      <c r="I27" s="19">
        <f>-H27</f>
        <v>-25</v>
      </c>
      <c r="J27" s="18" t="s">
        <v>21</v>
      </c>
      <c r="K27" s="18" t="s">
        <v>21</v>
      </c>
      <c r="L27" s="18" t="s">
        <v>895</v>
      </c>
      <c r="M27" s="18" t="s">
        <v>953</v>
      </c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954</v>
      </c>
      <c r="D28" s="18" t="s">
        <v>955</v>
      </c>
      <c r="E28" s="18" t="s">
        <v>956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21</v>
      </c>
      <c r="K28" s="18" t="s">
        <v>21</v>
      </c>
      <c r="L28" s="18" t="s">
        <v>895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957</v>
      </c>
      <c r="D29" s="18" t="s">
        <v>958</v>
      </c>
      <c r="E29" s="18" t="s">
        <v>959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21</v>
      </c>
      <c r="K29" s="18" t="s">
        <v>21</v>
      </c>
      <c r="L29" s="18" t="s">
        <v>895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960</v>
      </c>
      <c r="D30" s="18" t="s">
        <v>961</v>
      </c>
      <c r="E30" s="18" t="s">
        <v>962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21</v>
      </c>
      <c r="K30" s="18" t="s">
        <v>21</v>
      </c>
      <c r="L30" s="18" t="s">
        <v>895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963</v>
      </c>
      <c r="D31" s="18" t="s">
        <v>964</v>
      </c>
      <c r="E31" s="18" t="s">
        <v>965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21</v>
      </c>
      <c r="K31" s="18" t="s">
        <v>21</v>
      </c>
      <c r="L31" s="18" t="s">
        <v>895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966</v>
      </c>
      <c r="D32" s="18" t="s">
        <v>967</v>
      </c>
      <c r="E32" s="18" t="s">
        <v>968</v>
      </c>
      <c r="F32" s="18" t="s">
        <v>88</v>
      </c>
      <c r="G32" s="19">
        <v>845</v>
      </c>
      <c r="H32" s="19">
        <v>25</v>
      </c>
      <c r="I32" s="19">
        <f t="shared" si="1"/>
        <v>820</v>
      </c>
      <c r="J32" s="18" t="s">
        <v>21</v>
      </c>
      <c r="K32" s="18" t="s">
        <v>21</v>
      </c>
      <c r="L32" s="18" t="s">
        <v>895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969</v>
      </c>
      <c r="D33" s="18" t="s">
        <v>970</v>
      </c>
      <c r="E33" s="18" t="s">
        <v>971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21</v>
      </c>
      <c r="K33" s="18" t="s">
        <v>21</v>
      </c>
      <c r="L33" s="18" t="s">
        <v>895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972</v>
      </c>
      <c r="D34" s="18" t="s">
        <v>973</v>
      </c>
      <c r="E34" s="18" t="s">
        <v>974</v>
      </c>
      <c r="F34" s="18" t="s">
        <v>72</v>
      </c>
      <c r="G34" s="19">
        <v>0</v>
      </c>
      <c r="H34" s="19">
        <v>25</v>
      </c>
      <c r="I34" s="19">
        <f t="shared" si="1"/>
        <v>-25</v>
      </c>
      <c r="J34" s="18" t="s">
        <v>21</v>
      </c>
      <c r="K34" s="18" t="s">
        <v>21</v>
      </c>
      <c r="L34" s="18" t="s">
        <v>895</v>
      </c>
      <c r="M34" s="18" t="s">
        <v>975</v>
      </c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976</v>
      </c>
      <c r="D35" s="18" t="s">
        <v>977</v>
      </c>
      <c r="E35" s="18" t="s">
        <v>978</v>
      </c>
      <c r="F35" s="18" t="s">
        <v>68</v>
      </c>
      <c r="G35" s="19">
        <v>0</v>
      </c>
      <c r="H35" s="19">
        <v>20</v>
      </c>
      <c r="I35" s="19">
        <f>-H35</f>
        <v>-20</v>
      </c>
      <c r="J35" s="18" t="s">
        <v>21</v>
      </c>
      <c r="K35" s="18" t="s">
        <v>21</v>
      </c>
      <c r="L35" s="18" t="s">
        <v>895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979</v>
      </c>
      <c r="D36" s="18" t="s">
        <v>980</v>
      </c>
      <c r="E36" s="18" t="s">
        <v>981</v>
      </c>
      <c r="F36" s="18" t="s">
        <v>88</v>
      </c>
      <c r="G36" s="19">
        <v>2030</v>
      </c>
      <c r="H36" s="19">
        <v>30</v>
      </c>
      <c r="I36" s="19">
        <f t="shared" ref="I36:I43" si="2">G36-H36</f>
        <v>2000</v>
      </c>
      <c r="J36" s="18" t="s">
        <v>21</v>
      </c>
      <c r="K36" s="18" t="s">
        <v>21</v>
      </c>
      <c r="L36" s="18" t="s">
        <v>895</v>
      </c>
      <c r="M36" s="18" t="s">
        <v>398</v>
      </c>
      <c r="N36" s="18"/>
      <c r="O36" s="18"/>
      <c r="P36" s="18"/>
      <c r="Q36" s="18">
        <v>1</v>
      </c>
    </row>
    <row r="37" spans="1:17" x14ac:dyDescent="0.25">
      <c r="A37" s="18" t="s">
        <v>62</v>
      </c>
      <c r="B37" s="18" t="s">
        <v>16</v>
      </c>
      <c r="C37" s="18" t="s">
        <v>584</v>
      </c>
      <c r="D37" s="18"/>
      <c r="E37" s="18" t="s">
        <v>585</v>
      </c>
      <c r="F37" s="19">
        <v>4</v>
      </c>
      <c r="G37" s="19">
        <v>30</v>
      </c>
      <c r="H37" s="19">
        <v>30</v>
      </c>
      <c r="I37" s="19">
        <f t="shared" si="2"/>
        <v>0</v>
      </c>
      <c r="J37" s="18" t="s">
        <v>165</v>
      </c>
      <c r="K37" s="18" t="s">
        <v>21</v>
      </c>
      <c r="L37" s="18" t="s">
        <v>895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982</v>
      </c>
      <c r="D38" s="18" t="s">
        <v>983</v>
      </c>
      <c r="E38" s="18" t="s">
        <v>984</v>
      </c>
      <c r="F38" s="19">
        <v>10</v>
      </c>
      <c r="G38" s="19">
        <v>1025</v>
      </c>
      <c r="H38" s="19">
        <v>25</v>
      </c>
      <c r="I38" s="19">
        <f t="shared" si="2"/>
        <v>1000</v>
      </c>
      <c r="J38" s="18" t="s">
        <v>165</v>
      </c>
      <c r="K38" s="18" t="s">
        <v>21</v>
      </c>
      <c r="L38" s="18" t="s">
        <v>895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985</v>
      </c>
      <c r="D39" s="18" t="s">
        <v>986</v>
      </c>
      <c r="E39" s="18" t="s">
        <v>987</v>
      </c>
      <c r="F39" s="18" t="s">
        <v>85</v>
      </c>
      <c r="G39" s="19">
        <v>1110</v>
      </c>
      <c r="H39" s="19">
        <v>20</v>
      </c>
      <c r="I39" s="19">
        <f t="shared" si="2"/>
        <v>1090</v>
      </c>
      <c r="J39" s="18" t="s">
        <v>165</v>
      </c>
      <c r="K39" s="18" t="s">
        <v>21</v>
      </c>
      <c r="L39" s="18" t="s">
        <v>895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988</v>
      </c>
      <c r="D40" s="18" t="s">
        <v>989</v>
      </c>
      <c r="E40" s="18" t="s">
        <v>990</v>
      </c>
      <c r="F40" s="19">
        <v>1</v>
      </c>
      <c r="G40" s="19">
        <v>1355</v>
      </c>
      <c r="H40" s="19">
        <v>25</v>
      </c>
      <c r="I40" s="19">
        <f t="shared" si="2"/>
        <v>1330</v>
      </c>
      <c r="J40" s="18" t="s">
        <v>165</v>
      </c>
      <c r="K40" s="18" t="s">
        <v>21</v>
      </c>
      <c r="L40" s="18" t="s">
        <v>895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991</v>
      </c>
      <c r="D41" s="18" t="s">
        <v>992</v>
      </c>
      <c r="E41" s="18" t="s">
        <v>993</v>
      </c>
      <c r="F41" s="18" t="s">
        <v>88</v>
      </c>
      <c r="G41" s="19">
        <v>945</v>
      </c>
      <c r="H41" s="19">
        <v>25</v>
      </c>
      <c r="I41" s="19">
        <f t="shared" si="2"/>
        <v>920</v>
      </c>
      <c r="J41" s="18" t="s">
        <v>165</v>
      </c>
      <c r="K41" s="18" t="s">
        <v>21</v>
      </c>
      <c r="L41" s="18" t="s">
        <v>895</v>
      </c>
      <c r="M41" s="18" t="s">
        <v>312</v>
      </c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994</v>
      </c>
      <c r="D42" s="18" t="s">
        <v>995</v>
      </c>
      <c r="E42" s="18" t="s">
        <v>996</v>
      </c>
      <c r="F42" s="18" t="s">
        <v>85</v>
      </c>
      <c r="G42" s="19">
        <v>560</v>
      </c>
      <c r="H42" s="19">
        <v>20</v>
      </c>
      <c r="I42" s="19">
        <f t="shared" si="2"/>
        <v>540</v>
      </c>
      <c r="J42" s="18" t="s">
        <v>165</v>
      </c>
      <c r="K42" s="18" t="s">
        <v>21</v>
      </c>
      <c r="L42" s="18" t="s">
        <v>895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997</v>
      </c>
      <c r="D43" s="18" t="s">
        <v>998</v>
      </c>
      <c r="E43" s="18" t="s">
        <v>999</v>
      </c>
      <c r="F43" s="19">
        <v>1</v>
      </c>
      <c r="G43" s="19">
        <v>790</v>
      </c>
      <c r="H43" s="19">
        <v>30</v>
      </c>
      <c r="I43" s="19">
        <f t="shared" si="2"/>
        <v>760</v>
      </c>
      <c r="J43" s="18" t="s">
        <v>165</v>
      </c>
      <c r="K43" s="18" t="s">
        <v>21</v>
      </c>
      <c r="L43" s="18" t="s">
        <v>895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417</v>
      </c>
      <c r="D44" s="18" t="s">
        <v>1000</v>
      </c>
      <c r="E44" s="18" t="s">
        <v>419</v>
      </c>
      <c r="F44" s="19">
        <v>3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895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1001</v>
      </c>
      <c r="D45" s="18" t="s">
        <v>1002</v>
      </c>
      <c r="E45" s="18" t="s">
        <v>1003</v>
      </c>
      <c r="F45" s="18" t="s">
        <v>88</v>
      </c>
      <c r="G45" s="19">
        <v>0</v>
      </c>
      <c r="H45" s="19">
        <v>25</v>
      </c>
      <c r="I45" s="19">
        <f>-H45</f>
        <v>-25</v>
      </c>
      <c r="J45" s="18" t="s">
        <v>165</v>
      </c>
      <c r="K45" s="18" t="s">
        <v>21</v>
      </c>
      <c r="L45" s="18" t="s">
        <v>895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1004</v>
      </c>
      <c r="D46" s="18" t="s">
        <v>1005</v>
      </c>
      <c r="E46" s="18" t="s">
        <v>1006</v>
      </c>
      <c r="F46" s="19">
        <v>3</v>
      </c>
      <c r="G46" s="19">
        <v>0</v>
      </c>
      <c r="H46" s="19">
        <v>25</v>
      </c>
      <c r="I46" s="19">
        <f>G46-H46</f>
        <v>-25</v>
      </c>
      <c r="J46" s="18" t="s">
        <v>165</v>
      </c>
      <c r="K46" s="18" t="s">
        <v>21</v>
      </c>
      <c r="L46" s="18" t="s">
        <v>895</v>
      </c>
      <c r="M46" s="18" t="s">
        <v>1007</v>
      </c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1008</v>
      </c>
      <c r="D47" s="18" t="s">
        <v>1009</v>
      </c>
      <c r="E47" s="18" t="s">
        <v>1010</v>
      </c>
      <c r="F47" s="19">
        <v>3</v>
      </c>
      <c r="G47" s="19">
        <v>1601</v>
      </c>
      <c r="H47" s="19">
        <v>25</v>
      </c>
      <c r="I47" s="19">
        <f>G47-H47</f>
        <v>1576</v>
      </c>
      <c r="J47" s="18" t="s">
        <v>165</v>
      </c>
      <c r="K47" s="18" t="s">
        <v>21</v>
      </c>
      <c r="L47" s="18" t="s">
        <v>895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1011</v>
      </c>
      <c r="D48" s="18" t="s">
        <v>1012</v>
      </c>
      <c r="E48" s="18" t="s">
        <v>1013</v>
      </c>
      <c r="F48" s="19">
        <v>1</v>
      </c>
      <c r="G48" s="19">
        <v>0</v>
      </c>
      <c r="H48" s="19">
        <v>25</v>
      </c>
      <c r="I48" s="19">
        <f>-H48</f>
        <v>-25</v>
      </c>
      <c r="J48" s="18" t="s">
        <v>165</v>
      </c>
      <c r="K48" s="18" t="s">
        <v>21</v>
      </c>
      <c r="L48" s="18" t="s">
        <v>895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1014</v>
      </c>
      <c r="D49" s="18" t="s">
        <v>1015</v>
      </c>
      <c r="E49" s="18" t="s">
        <v>1016</v>
      </c>
      <c r="F49" s="18" t="s">
        <v>88</v>
      </c>
      <c r="G49" s="19">
        <v>0</v>
      </c>
      <c r="H49" s="19">
        <v>25</v>
      </c>
      <c r="I49" s="19">
        <f t="shared" ref="I49:I55" si="3">G49-H49</f>
        <v>-25</v>
      </c>
      <c r="J49" s="18" t="s">
        <v>165</v>
      </c>
      <c r="K49" s="18" t="s">
        <v>21</v>
      </c>
      <c r="L49" s="18" t="s">
        <v>895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997</v>
      </c>
      <c r="D50" s="18" t="s">
        <v>1017</v>
      </c>
      <c r="E50" s="18" t="s">
        <v>999</v>
      </c>
      <c r="F50" s="19">
        <v>1</v>
      </c>
      <c r="G50" s="19">
        <v>1330</v>
      </c>
      <c r="H50" s="19">
        <v>0</v>
      </c>
      <c r="I50" s="19">
        <f t="shared" si="3"/>
        <v>1330</v>
      </c>
      <c r="J50" s="18" t="s">
        <v>165</v>
      </c>
      <c r="K50" s="18" t="s">
        <v>21</v>
      </c>
      <c r="L50" s="18" t="s">
        <v>895</v>
      </c>
      <c r="M50" s="18" t="s">
        <v>312</v>
      </c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991</v>
      </c>
      <c r="D51" s="18" t="s">
        <v>1018</v>
      </c>
      <c r="E51" s="18" t="s">
        <v>993</v>
      </c>
      <c r="F51" s="18" t="s">
        <v>88</v>
      </c>
      <c r="G51" s="19">
        <v>760</v>
      </c>
      <c r="H51" s="19">
        <v>0</v>
      </c>
      <c r="I51" s="19">
        <f t="shared" si="3"/>
        <v>760</v>
      </c>
      <c r="J51" s="18" t="s">
        <v>165</v>
      </c>
      <c r="K51" s="18" t="s">
        <v>21</v>
      </c>
      <c r="L51" s="18" t="s">
        <v>895</v>
      </c>
      <c r="M51" s="18" t="s">
        <v>312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1019</v>
      </c>
      <c r="D52" s="18" t="s">
        <v>1020</v>
      </c>
      <c r="E52" s="18" t="s">
        <v>1021</v>
      </c>
      <c r="F52" s="19">
        <v>10</v>
      </c>
      <c r="G52" s="19">
        <v>845</v>
      </c>
      <c r="H52" s="19">
        <v>25</v>
      </c>
      <c r="I52" s="19">
        <f t="shared" si="3"/>
        <v>820</v>
      </c>
      <c r="J52" s="18" t="s">
        <v>165</v>
      </c>
      <c r="K52" s="18" t="s">
        <v>21</v>
      </c>
      <c r="L52" s="18" t="s">
        <v>895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1022</v>
      </c>
      <c r="D53" s="18" t="s">
        <v>1023</v>
      </c>
      <c r="E53" s="18" t="s">
        <v>1024</v>
      </c>
      <c r="F53" s="19">
        <v>3</v>
      </c>
      <c r="G53" s="19">
        <v>515</v>
      </c>
      <c r="H53" s="19">
        <v>25</v>
      </c>
      <c r="I53" s="19">
        <f t="shared" si="3"/>
        <v>490</v>
      </c>
      <c r="J53" s="18" t="s">
        <v>165</v>
      </c>
      <c r="K53" s="18" t="s">
        <v>21</v>
      </c>
      <c r="L53" s="18" t="s">
        <v>895</v>
      </c>
      <c r="M53" s="18"/>
      <c r="N53" s="18"/>
      <c r="O53" s="18"/>
      <c r="P53" s="18"/>
      <c r="Q53" s="18">
        <v>1</v>
      </c>
    </row>
    <row r="54" spans="1:17" s="2" customFormat="1" x14ac:dyDescent="0.25">
      <c r="A54" s="20"/>
      <c r="B54" s="20" t="s">
        <v>16</v>
      </c>
      <c r="C54" s="20" t="s">
        <v>659</v>
      </c>
      <c r="D54" s="20" t="s">
        <v>660</v>
      </c>
      <c r="E54" s="20" t="s">
        <v>661</v>
      </c>
      <c r="F54" s="20" t="s">
        <v>88</v>
      </c>
      <c r="G54" s="21">
        <v>765</v>
      </c>
      <c r="H54" s="21">
        <v>0</v>
      </c>
      <c r="I54" s="21">
        <f t="shared" si="3"/>
        <v>765</v>
      </c>
      <c r="J54" s="20" t="s">
        <v>446</v>
      </c>
      <c r="K54" s="20" t="s">
        <v>21</v>
      </c>
      <c r="L54" s="28" t="s">
        <v>598</v>
      </c>
      <c r="M54" s="20" t="s">
        <v>102</v>
      </c>
      <c r="N54" s="20" t="s">
        <v>448</v>
      </c>
      <c r="O54" s="20" t="s">
        <v>448</v>
      </c>
      <c r="P54" s="20" t="s">
        <v>449</v>
      </c>
      <c r="Q54" s="27">
        <v>1</v>
      </c>
    </row>
    <row r="55" spans="1:17" s="2" customFormat="1" x14ac:dyDescent="0.25">
      <c r="A55" s="20"/>
      <c r="B55" s="20" t="s">
        <v>16</v>
      </c>
      <c r="C55" s="20" t="s">
        <v>1025</v>
      </c>
      <c r="D55" s="20"/>
      <c r="E55" s="20" t="s">
        <v>1026</v>
      </c>
      <c r="F55" s="20" t="s">
        <v>85</v>
      </c>
      <c r="G55" s="21">
        <v>210</v>
      </c>
      <c r="H55" s="21">
        <v>0</v>
      </c>
      <c r="I55" s="21">
        <f t="shared" si="3"/>
        <v>210</v>
      </c>
      <c r="J55" s="20" t="s">
        <v>446</v>
      </c>
      <c r="K55" s="20" t="s">
        <v>21</v>
      </c>
      <c r="L55" s="20"/>
      <c r="M55" s="20" t="s">
        <v>1027</v>
      </c>
      <c r="N55" s="20" t="s">
        <v>448</v>
      </c>
      <c r="O55" s="20" t="s">
        <v>448</v>
      </c>
      <c r="P55" s="20" t="s">
        <v>449</v>
      </c>
      <c r="Q55" s="21">
        <v>1</v>
      </c>
    </row>
    <row r="56" spans="1:17" x14ac:dyDescent="0.25">
      <c r="D56" s="1">
        <f>COUNTA(D3:D55)</f>
        <v>46</v>
      </c>
      <c r="G56" s="1">
        <f t="shared" ref="G56:Q56" si="4">SUBTOTAL(9,G3:G55)</f>
        <v>45986</v>
      </c>
      <c r="H56" s="1">
        <f t="shared" si="4"/>
        <v>1335</v>
      </c>
      <c r="I56" s="1">
        <f t="shared" si="4"/>
        <v>44651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53</v>
      </c>
    </row>
    <row r="57" spans="1:17" x14ac:dyDescent="0.25">
      <c r="H57">
        <f>-11*17</f>
        <v>-187</v>
      </c>
    </row>
    <row r="58" spans="1:17" x14ac:dyDescent="0.25">
      <c r="A58" s="1" t="s">
        <v>16</v>
      </c>
      <c r="C58" s="42" t="s">
        <v>89</v>
      </c>
      <c r="D58" s="42"/>
      <c r="E58" s="4" t="s">
        <v>90</v>
      </c>
      <c r="H58">
        <f>-3*25</f>
        <v>-75</v>
      </c>
      <c r="K58" s="7" t="s">
        <v>165</v>
      </c>
      <c r="L58" s="7" t="s">
        <v>91</v>
      </c>
      <c r="M58" s="7" t="s">
        <v>90</v>
      </c>
      <c r="O58" s="4" t="s">
        <v>92</v>
      </c>
    </row>
    <row r="59" spans="1:17" x14ac:dyDescent="0.25">
      <c r="A59" t="s">
        <v>895</v>
      </c>
      <c r="B59" s="3" t="s">
        <v>93</v>
      </c>
      <c r="C59" s="43">
        <f>SUMIFS(I$3:I$55,B$3:B$55,A$58,L$3:L$55,A$59)</f>
        <v>43676</v>
      </c>
      <c r="D59" s="43"/>
      <c r="E59" s="3">
        <f>SUMIFS(Q$3:Q$55,B$3:B$55,A$58,L$3:L$55,A$59)</f>
        <v>51</v>
      </c>
      <c r="F59" t="s">
        <v>94</v>
      </c>
      <c r="K59" t="s">
        <v>95</v>
      </c>
      <c r="L59">
        <f>SUMIFS(G$3:G$55,J$3:J$55,K$58)</f>
        <v>10866</v>
      </c>
      <c r="M59">
        <f>SUMIFS(Q$3:Q$55,J$3:J$55,K$58)</f>
        <v>17</v>
      </c>
      <c r="O59" t="s">
        <v>165</v>
      </c>
      <c r="P59">
        <f>L64</f>
        <v>9811</v>
      </c>
    </row>
    <row r="60" spans="1:17" x14ac:dyDescent="0.25">
      <c r="B60" s="2" t="s">
        <v>97</v>
      </c>
      <c r="C60" s="44">
        <v>0</v>
      </c>
      <c r="D60" s="44"/>
      <c r="K60" t="s">
        <v>98</v>
      </c>
      <c r="L60">
        <f>-SUMIFS(H$3:H$55,J$3:J$55,K$58)+M60*5</f>
        <v>-310</v>
      </c>
      <c r="M60">
        <f>SUMIFS(Q$3:Q$55,J$3:J$55,K$58)-COUNTIFS(J$3:J$55,K$58,M$3:M$55,"*gộp*")</f>
        <v>13</v>
      </c>
      <c r="O60" t="s">
        <v>21</v>
      </c>
      <c r="P60">
        <f>L72</f>
        <v>17129</v>
      </c>
    </row>
    <row r="61" spans="1:17" x14ac:dyDescent="0.25">
      <c r="B61" s="2" t="s">
        <v>99</v>
      </c>
      <c r="C61" s="44">
        <f>-SUMIFS(I$3:I$55,B$3:B$55,A$58,P$3:P$55,"xx",N$3:N$55,"x")</f>
        <v>-975</v>
      </c>
      <c r="D61" s="44"/>
      <c r="E61" s="2">
        <f>SUMIFS(Q$3:Q$55,B$3:B$55,A$58,P$3:P$55,"xx",N$3:N$55,"x")</f>
        <v>2</v>
      </c>
      <c r="K61" t="s">
        <v>100</v>
      </c>
      <c r="O61" t="s">
        <v>1028</v>
      </c>
      <c r="P61">
        <f>L80</f>
        <v>16198</v>
      </c>
    </row>
    <row r="62" spans="1:17" x14ac:dyDescent="0.25">
      <c r="B62" s="4" t="s">
        <v>101</v>
      </c>
      <c r="C62" s="42">
        <f>SUBTOTAL(9,C59:C61)</f>
        <v>42701</v>
      </c>
      <c r="D62" s="42"/>
      <c r="E62">
        <f>E59</f>
        <v>51</v>
      </c>
      <c r="K62" s="2" t="s">
        <v>102</v>
      </c>
      <c r="L62" s="29">
        <v>-745</v>
      </c>
      <c r="M62" s="29" t="s">
        <v>451</v>
      </c>
      <c r="O62" t="s">
        <v>103</v>
      </c>
      <c r="P62">
        <f>-C66</f>
        <v>-42701</v>
      </c>
    </row>
    <row r="63" spans="1:17" x14ac:dyDescent="0.25">
      <c r="B63" s="2" t="s">
        <v>104</v>
      </c>
      <c r="C63" s="40"/>
      <c r="D63" s="40"/>
      <c r="K63" s="2" t="s">
        <v>105</v>
      </c>
      <c r="O63" s="4" t="s">
        <v>106</v>
      </c>
      <c r="P63" s="4">
        <f>SUBTOTAL(9,P59:P62)</f>
        <v>437</v>
      </c>
    </row>
    <row r="64" spans="1:17" x14ac:dyDescent="0.25">
      <c r="B64" s="8" t="s">
        <v>107</v>
      </c>
      <c r="C64" s="40"/>
      <c r="D64" s="40"/>
      <c r="L64" s="9">
        <f>SUBTOTAL(9,L59:L63)</f>
        <v>9811</v>
      </c>
      <c r="M64" s="9">
        <f>M59</f>
        <v>17</v>
      </c>
    </row>
    <row r="66" spans="2:13" x14ac:dyDescent="0.25">
      <c r="B66" s="1" t="s">
        <v>108</v>
      </c>
      <c r="C66" s="41">
        <f>C62+C63+C64</f>
        <v>42701</v>
      </c>
      <c r="D66" s="41"/>
      <c r="E66" s="1" t="s">
        <v>109</v>
      </c>
      <c r="K66" s="7" t="s">
        <v>21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SUMIFS(G$3:G$55,J$3:J$55,K$66)</f>
        <v>17685</v>
      </c>
      <c r="M67">
        <f>SUMIFS(Q$3:Q$55,J$3:J$55,K$66)</f>
        <v>20</v>
      </c>
    </row>
    <row r="68" spans="2:13" x14ac:dyDescent="0.25">
      <c r="K68" t="s">
        <v>98</v>
      </c>
      <c r="L68">
        <f>-SUMIFS(H$3:H$55,J$3:J$55,K$66)+M68*5</f>
        <v>-460</v>
      </c>
      <c r="M68">
        <f>SUMIFS(Q$3:Q$55,J$3:J$55,K$66)-COUNTIFS(J$3:J$55,K$66,M$3:M$55,"*gộp*")</f>
        <v>20</v>
      </c>
    </row>
    <row r="69" spans="2:13" x14ac:dyDescent="0.25">
      <c r="K69" t="s">
        <v>100</v>
      </c>
      <c r="L69">
        <f>-M69*2</f>
        <v>-96</v>
      </c>
      <c r="M69">
        <v>48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17129</v>
      </c>
      <c r="M72" s="9">
        <f>M67</f>
        <v>20</v>
      </c>
    </row>
    <row r="74" spans="2:13" x14ac:dyDescent="0.25">
      <c r="K74" s="7" t="s">
        <v>894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SUMIFS(G$3:G$55,J$3:J$55,K$74)</f>
        <v>16460</v>
      </c>
      <c r="M75">
        <f>SUMIFS(Q$3:Q$55,J$3:J$55,K$74)</f>
        <v>14</v>
      </c>
    </row>
    <row r="76" spans="2:13" x14ac:dyDescent="0.25">
      <c r="K76" t="s">
        <v>98</v>
      </c>
      <c r="L76">
        <f>SUM(H57:H58)</f>
        <v>-262</v>
      </c>
      <c r="M76">
        <f>SUMIFS(Q$3:Q$55,J$3:J$55,K$74)</f>
        <v>14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16198</v>
      </c>
      <c r="M80" s="9">
        <f>M75</f>
        <v>14</v>
      </c>
    </row>
  </sheetData>
  <autoFilter ref="A2:P55" xr:uid="{00000000-0009-0000-0000-000008000000}">
    <sortState xmlns:xlrd2="http://schemas.microsoft.com/office/spreadsheetml/2017/richdata2" ref="A3:P55">
      <sortCondition ref="J2:J55"/>
    </sortState>
  </autoFilter>
  <mergeCells count="8">
    <mergeCell ref="C63:D63"/>
    <mergeCell ref="C64:D64"/>
    <mergeCell ref="C66:D66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Q77"/>
  <sheetViews>
    <sheetView topLeftCell="A19" workbookViewId="0">
      <selection activeCell="K20" sqref="K20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10.28515625" customWidth="1"/>
    <col min="5" max="5" width="54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1029</v>
      </c>
      <c r="D3" s="18" t="s">
        <v>1030</v>
      </c>
      <c r="E3" s="18" t="s">
        <v>1031</v>
      </c>
      <c r="F3" s="19">
        <v>9</v>
      </c>
      <c r="G3" s="19">
        <v>1520</v>
      </c>
      <c r="H3" s="19">
        <v>30</v>
      </c>
      <c r="I3" s="19">
        <f>G3-H3</f>
        <v>1490</v>
      </c>
      <c r="J3" s="18" t="s">
        <v>20</v>
      </c>
      <c r="K3" s="18" t="s">
        <v>21</v>
      </c>
      <c r="L3" s="18" t="s">
        <v>1032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676</v>
      </c>
      <c r="D4" s="18" t="s">
        <v>1033</v>
      </c>
      <c r="E4" s="18" t="s">
        <v>678</v>
      </c>
      <c r="F4" s="19">
        <v>6</v>
      </c>
      <c r="G4" s="19">
        <v>0</v>
      </c>
      <c r="H4" s="19">
        <v>25</v>
      </c>
      <c r="I4" s="19">
        <f>-H4</f>
        <v>-25</v>
      </c>
      <c r="J4" s="18" t="s">
        <v>1034</v>
      </c>
      <c r="K4" s="18" t="s">
        <v>21</v>
      </c>
      <c r="L4" s="18" t="s">
        <v>1032</v>
      </c>
      <c r="M4" s="18" t="s">
        <v>49</v>
      </c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1035</v>
      </c>
      <c r="D5" s="18" t="s">
        <v>1036</v>
      </c>
      <c r="E5" s="18" t="s">
        <v>1037</v>
      </c>
      <c r="F5" s="18" t="s">
        <v>26</v>
      </c>
      <c r="G5" s="19">
        <v>390</v>
      </c>
      <c r="H5" s="19">
        <v>30</v>
      </c>
      <c r="I5" s="19">
        <f>G5-H5</f>
        <v>360</v>
      </c>
      <c r="J5" s="18" t="s">
        <v>1034</v>
      </c>
      <c r="K5" s="18" t="s">
        <v>21</v>
      </c>
      <c r="L5" s="18" t="s">
        <v>1032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1038</v>
      </c>
      <c r="D6" s="18" t="s">
        <v>1039</v>
      </c>
      <c r="E6" s="18" t="s">
        <v>1040</v>
      </c>
      <c r="F6" s="19">
        <v>7</v>
      </c>
      <c r="G6" s="19">
        <v>0</v>
      </c>
      <c r="H6" s="19">
        <v>30</v>
      </c>
      <c r="I6" s="19">
        <f>-H6</f>
        <v>-30</v>
      </c>
      <c r="J6" s="18" t="s">
        <v>1034</v>
      </c>
      <c r="K6" s="18" t="s">
        <v>21</v>
      </c>
      <c r="L6" s="18" t="s">
        <v>1032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1041</v>
      </c>
      <c r="D7" s="18" t="s">
        <v>1042</v>
      </c>
      <c r="E7" s="18" t="s">
        <v>1043</v>
      </c>
      <c r="F7" s="18" t="s">
        <v>153</v>
      </c>
      <c r="G7" s="19">
        <v>0</v>
      </c>
      <c r="H7" s="19">
        <v>30</v>
      </c>
      <c r="I7" s="19">
        <f>-H7</f>
        <v>-30</v>
      </c>
      <c r="J7" s="18" t="s">
        <v>1034</v>
      </c>
      <c r="K7" s="18" t="s">
        <v>21</v>
      </c>
      <c r="L7" s="18" t="s">
        <v>1032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1044</v>
      </c>
      <c r="D8" s="18" t="s">
        <v>1045</v>
      </c>
      <c r="E8" s="18" t="s">
        <v>1046</v>
      </c>
      <c r="F8" s="18" t="s">
        <v>88</v>
      </c>
      <c r="G8" s="19">
        <v>0</v>
      </c>
      <c r="H8" s="19">
        <v>25</v>
      </c>
      <c r="I8" s="19">
        <f>-H8</f>
        <v>-25</v>
      </c>
      <c r="J8" s="18" t="s">
        <v>1034</v>
      </c>
      <c r="K8" s="18" t="s">
        <v>21</v>
      </c>
      <c r="L8" s="18" t="s">
        <v>1032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1047</v>
      </c>
      <c r="D9" s="18" t="s">
        <v>1048</v>
      </c>
      <c r="E9" s="18" t="s">
        <v>1049</v>
      </c>
      <c r="F9" s="19">
        <v>6</v>
      </c>
      <c r="G9" s="19">
        <v>915</v>
      </c>
      <c r="H9" s="19">
        <v>25</v>
      </c>
      <c r="I9" s="19">
        <f t="shared" ref="I9:I14" si="0">G9-H9</f>
        <v>890</v>
      </c>
      <c r="J9" s="18" t="s">
        <v>1034</v>
      </c>
      <c r="K9" s="18" t="s">
        <v>21</v>
      </c>
      <c r="L9" s="18" t="s">
        <v>1032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1050</v>
      </c>
      <c r="D10" s="18" t="s">
        <v>1051</v>
      </c>
      <c r="E10" s="18" t="s">
        <v>1052</v>
      </c>
      <c r="F10" s="18" t="s">
        <v>113</v>
      </c>
      <c r="G10" s="19">
        <v>1365</v>
      </c>
      <c r="H10" s="19">
        <v>35</v>
      </c>
      <c r="I10" s="19">
        <f t="shared" si="0"/>
        <v>1330</v>
      </c>
      <c r="J10" s="18" t="s">
        <v>1034</v>
      </c>
      <c r="K10" s="18" t="s">
        <v>21</v>
      </c>
      <c r="L10" s="18" t="s">
        <v>1032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1053</v>
      </c>
      <c r="D11" s="18" t="s">
        <v>1054</v>
      </c>
      <c r="E11" s="18" t="s">
        <v>1055</v>
      </c>
      <c r="F11" s="18" t="s">
        <v>217</v>
      </c>
      <c r="G11" s="19">
        <v>2970</v>
      </c>
      <c r="H11" s="19">
        <v>30</v>
      </c>
      <c r="I11" s="19">
        <f t="shared" si="0"/>
        <v>2940</v>
      </c>
      <c r="J11" s="18" t="s">
        <v>1034</v>
      </c>
      <c r="K11" s="18" t="s">
        <v>21</v>
      </c>
      <c r="L11" s="18" t="s">
        <v>1032</v>
      </c>
      <c r="M11" s="18" t="s">
        <v>398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1056</v>
      </c>
      <c r="D12" s="18" t="s">
        <v>1057</v>
      </c>
      <c r="E12" s="18" t="s">
        <v>1058</v>
      </c>
      <c r="F12" s="19">
        <v>7</v>
      </c>
      <c r="G12" s="19">
        <v>1390</v>
      </c>
      <c r="H12" s="19">
        <v>30</v>
      </c>
      <c r="I12" s="19">
        <f t="shared" si="0"/>
        <v>1360</v>
      </c>
      <c r="J12" s="18" t="s">
        <v>1034</v>
      </c>
      <c r="K12" s="18" t="s">
        <v>21</v>
      </c>
      <c r="L12" s="18" t="s">
        <v>1032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1059</v>
      </c>
      <c r="D13" s="18" t="s">
        <v>1060</v>
      </c>
      <c r="E13" s="18" t="s">
        <v>1061</v>
      </c>
      <c r="F13" s="19">
        <v>12</v>
      </c>
      <c r="G13" s="19">
        <v>890</v>
      </c>
      <c r="H13" s="19">
        <v>30</v>
      </c>
      <c r="I13" s="19">
        <f t="shared" si="0"/>
        <v>860</v>
      </c>
      <c r="J13" s="18" t="s">
        <v>1034</v>
      </c>
      <c r="K13" s="18" t="s">
        <v>21</v>
      </c>
      <c r="L13" s="18" t="s">
        <v>1032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1062</v>
      </c>
      <c r="D14" s="18" t="s">
        <v>1063</v>
      </c>
      <c r="E14" s="18" t="s">
        <v>1064</v>
      </c>
      <c r="F14" s="18" t="s">
        <v>26</v>
      </c>
      <c r="G14" s="19">
        <v>1450</v>
      </c>
      <c r="H14" s="19">
        <v>30</v>
      </c>
      <c r="I14" s="19">
        <f t="shared" si="0"/>
        <v>1420</v>
      </c>
      <c r="J14" s="18" t="s">
        <v>1034</v>
      </c>
      <c r="K14" s="18" t="s">
        <v>21</v>
      </c>
      <c r="L14" s="18" t="s">
        <v>1032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1065</v>
      </c>
      <c r="D15" s="18" t="s">
        <v>1066</v>
      </c>
      <c r="E15" s="18" t="s">
        <v>1067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1034</v>
      </c>
      <c r="K15" s="18" t="s">
        <v>21</v>
      </c>
      <c r="L15" s="18" t="s">
        <v>1032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1068</v>
      </c>
      <c r="D16" s="18" t="s">
        <v>1069</v>
      </c>
      <c r="E16" s="18" t="s">
        <v>1070</v>
      </c>
      <c r="F16" s="19">
        <v>7</v>
      </c>
      <c r="G16" s="19">
        <v>1120</v>
      </c>
      <c r="H16" s="19">
        <v>30</v>
      </c>
      <c r="I16" s="19">
        <f t="shared" ref="I16:I26" si="1">G16-H16</f>
        <v>1090</v>
      </c>
      <c r="J16" s="18" t="s">
        <v>1034</v>
      </c>
      <c r="K16" s="18" t="s">
        <v>21</v>
      </c>
      <c r="L16" s="18" t="s">
        <v>1032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1071</v>
      </c>
      <c r="D17" s="18" t="s">
        <v>1072</v>
      </c>
      <c r="E17" s="18" t="s">
        <v>1073</v>
      </c>
      <c r="F17" s="18" t="s">
        <v>128</v>
      </c>
      <c r="G17" s="19">
        <v>925</v>
      </c>
      <c r="H17" s="19">
        <v>35</v>
      </c>
      <c r="I17" s="19">
        <f t="shared" si="1"/>
        <v>890</v>
      </c>
      <c r="J17" s="18" t="s">
        <v>1034</v>
      </c>
      <c r="K17" s="18" t="s">
        <v>21</v>
      </c>
      <c r="L17" s="18" t="s">
        <v>1032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247</v>
      </c>
      <c r="D18" s="18" t="s">
        <v>1074</v>
      </c>
      <c r="E18" s="18" t="s">
        <v>918</v>
      </c>
      <c r="F18" s="18" t="s">
        <v>26</v>
      </c>
      <c r="G18" s="19">
        <v>3250</v>
      </c>
      <c r="H18" s="19">
        <v>35</v>
      </c>
      <c r="I18" s="19">
        <f t="shared" si="1"/>
        <v>3215</v>
      </c>
      <c r="J18" s="18" t="s">
        <v>1034</v>
      </c>
      <c r="K18" s="18" t="s">
        <v>21</v>
      </c>
      <c r="L18" s="18" t="s">
        <v>1032</v>
      </c>
      <c r="M18" s="18" t="s">
        <v>398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1075</v>
      </c>
      <c r="D19" s="18" t="s">
        <v>1076</v>
      </c>
      <c r="E19" s="18" t="s">
        <v>1077</v>
      </c>
      <c r="F19" s="19">
        <v>7</v>
      </c>
      <c r="G19" s="19">
        <v>380</v>
      </c>
      <c r="H19" s="19">
        <v>30</v>
      </c>
      <c r="I19" s="19">
        <f t="shared" si="1"/>
        <v>350</v>
      </c>
      <c r="J19" s="18" t="s">
        <v>1034</v>
      </c>
      <c r="K19" s="18" t="s">
        <v>21</v>
      </c>
      <c r="L19" s="18" t="s">
        <v>1032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1078</v>
      </c>
      <c r="D20" s="18" t="s">
        <v>1079</v>
      </c>
      <c r="E20" s="18" t="s">
        <v>1080</v>
      </c>
      <c r="F20" s="19">
        <v>6</v>
      </c>
      <c r="G20" s="19">
        <v>815</v>
      </c>
      <c r="H20" s="19">
        <v>25</v>
      </c>
      <c r="I20" s="19">
        <f t="shared" si="1"/>
        <v>790</v>
      </c>
      <c r="J20" s="18" t="s">
        <v>1034</v>
      </c>
      <c r="K20" s="18" t="s">
        <v>21</v>
      </c>
      <c r="L20" s="18" t="s">
        <v>1032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936</v>
      </c>
      <c r="D21" s="18"/>
      <c r="E21" s="18" t="s">
        <v>1081</v>
      </c>
      <c r="F21" s="19">
        <v>2</v>
      </c>
      <c r="G21" s="19">
        <v>35</v>
      </c>
      <c r="H21" s="19">
        <v>35</v>
      </c>
      <c r="I21" s="19">
        <f t="shared" si="1"/>
        <v>0</v>
      </c>
      <c r="J21" s="18" t="s">
        <v>21</v>
      </c>
      <c r="K21" s="18" t="s">
        <v>21</v>
      </c>
      <c r="L21" s="18" t="s">
        <v>1032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318</v>
      </c>
      <c r="D22" s="18"/>
      <c r="E22" s="18" t="s">
        <v>319</v>
      </c>
      <c r="F22" s="18" t="s">
        <v>72</v>
      </c>
      <c r="G22" s="19">
        <v>30</v>
      </c>
      <c r="H22" s="19">
        <v>30</v>
      </c>
      <c r="I22" s="19">
        <f t="shared" si="1"/>
        <v>0</v>
      </c>
      <c r="J22" s="18" t="s">
        <v>21</v>
      </c>
      <c r="K22" s="18" t="s">
        <v>21</v>
      </c>
      <c r="L22" s="18" t="s">
        <v>1032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1082</v>
      </c>
      <c r="D23" s="18" t="s">
        <v>1083</v>
      </c>
      <c r="E23" s="18" t="s">
        <v>1084</v>
      </c>
      <c r="F23" s="18" t="s">
        <v>68</v>
      </c>
      <c r="G23" s="19">
        <v>510</v>
      </c>
      <c r="H23" s="19">
        <v>20</v>
      </c>
      <c r="I23" s="19">
        <f t="shared" si="1"/>
        <v>490</v>
      </c>
      <c r="J23" s="18" t="s">
        <v>21</v>
      </c>
      <c r="K23" s="18" t="s">
        <v>21</v>
      </c>
      <c r="L23" s="18" t="s">
        <v>1032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1085</v>
      </c>
      <c r="D24" s="18" t="s">
        <v>1086</v>
      </c>
      <c r="E24" s="18" t="s">
        <v>1087</v>
      </c>
      <c r="F24" s="19">
        <v>2</v>
      </c>
      <c r="G24" s="19">
        <v>520</v>
      </c>
      <c r="H24" s="19">
        <v>30</v>
      </c>
      <c r="I24" s="19">
        <f t="shared" si="1"/>
        <v>490</v>
      </c>
      <c r="J24" s="18" t="s">
        <v>21</v>
      </c>
      <c r="K24" s="18" t="s">
        <v>21</v>
      </c>
      <c r="L24" s="18" t="s">
        <v>1032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1088</v>
      </c>
      <c r="D25" s="18" t="s">
        <v>1089</v>
      </c>
      <c r="E25" s="18" t="s">
        <v>1090</v>
      </c>
      <c r="F25" s="18" t="s">
        <v>68</v>
      </c>
      <c r="G25" s="19">
        <v>510</v>
      </c>
      <c r="H25" s="19">
        <v>20</v>
      </c>
      <c r="I25" s="19">
        <f t="shared" si="1"/>
        <v>490</v>
      </c>
      <c r="J25" s="18" t="s">
        <v>21</v>
      </c>
      <c r="K25" s="18" t="s">
        <v>21</v>
      </c>
      <c r="L25" s="18" t="s">
        <v>1032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1091</v>
      </c>
      <c r="D26" s="18" t="s">
        <v>1092</v>
      </c>
      <c r="E26" s="18" t="s">
        <v>1093</v>
      </c>
      <c r="F26" s="18" t="s">
        <v>153</v>
      </c>
      <c r="G26" s="19">
        <v>470</v>
      </c>
      <c r="H26" s="19">
        <v>30</v>
      </c>
      <c r="I26" s="19">
        <f t="shared" si="1"/>
        <v>440</v>
      </c>
      <c r="J26" s="18" t="s">
        <v>21</v>
      </c>
      <c r="K26" s="18" t="s">
        <v>21</v>
      </c>
      <c r="L26" s="18" t="s">
        <v>1032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1094</v>
      </c>
      <c r="D27" s="18" t="s">
        <v>1095</v>
      </c>
      <c r="E27" s="18" t="s">
        <v>1096</v>
      </c>
      <c r="F27" s="18" t="s">
        <v>72</v>
      </c>
      <c r="G27" s="19">
        <v>0</v>
      </c>
      <c r="H27" s="19">
        <v>25</v>
      </c>
      <c r="I27" s="19">
        <f>-H27</f>
        <v>-25</v>
      </c>
      <c r="J27" s="18" t="s">
        <v>21</v>
      </c>
      <c r="K27" s="18" t="s">
        <v>21</v>
      </c>
      <c r="L27" s="18" t="s">
        <v>1032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1097</v>
      </c>
      <c r="D28" s="18" t="s">
        <v>1098</v>
      </c>
      <c r="E28" s="18" t="s">
        <v>1099</v>
      </c>
      <c r="F28" s="19">
        <v>2</v>
      </c>
      <c r="G28" s="19">
        <v>790</v>
      </c>
      <c r="H28" s="19">
        <v>30</v>
      </c>
      <c r="I28" s="19">
        <f t="shared" ref="I28:I33" si="2">G28-H28</f>
        <v>760</v>
      </c>
      <c r="J28" s="18" t="s">
        <v>21</v>
      </c>
      <c r="K28" s="18" t="s">
        <v>21</v>
      </c>
      <c r="L28" s="18" t="s">
        <v>1032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1100</v>
      </c>
      <c r="D29" s="18" t="s">
        <v>1101</v>
      </c>
      <c r="E29" s="18" t="s">
        <v>1102</v>
      </c>
      <c r="F29" s="18" t="s">
        <v>68</v>
      </c>
      <c r="G29" s="19">
        <v>910</v>
      </c>
      <c r="H29" s="19">
        <v>20</v>
      </c>
      <c r="I29" s="19">
        <f t="shared" si="2"/>
        <v>890</v>
      </c>
      <c r="J29" s="18" t="s">
        <v>21</v>
      </c>
      <c r="K29" s="18" t="s">
        <v>21</v>
      </c>
      <c r="L29" s="18" t="s">
        <v>1032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1103</v>
      </c>
      <c r="D30" s="18" t="s">
        <v>1104</v>
      </c>
      <c r="E30" s="18" t="s">
        <v>1105</v>
      </c>
      <c r="F30" s="19">
        <v>3</v>
      </c>
      <c r="G30" s="19">
        <v>535</v>
      </c>
      <c r="H30" s="19">
        <v>25</v>
      </c>
      <c r="I30" s="19">
        <f t="shared" si="2"/>
        <v>510</v>
      </c>
      <c r="J30" s="18" t="s">
        <v>165</v>
      </c>
      <c r="K30" s="18" t="s">
        <v>21</v>
      </c>
      <c r="L30" s="18" t="s">
        <v>1032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1106</v>
      </c>
      <c r="D31" s="18" t="s">
        <v>1107</v>
      </c>
      <c r="E31" s="18" t="s">
        <v>1108</v>
      </c>
      <c r="F31" s="19">
        <v>3</v>
      </c>
      <c r="G31" s="19">
        <v>1005</v>
      </c>
      <c r="H31" s="19">
        <v>25</v>
      </c>
      <c r="I31" s="19">
        <f t="shared" si="2"/>
        <v>980</v>
      </c>
      <c r="J31" s="18" t="s">
        <v>165</v>
      </c>
      <c r="K31" s="18" t="s">
        <v>21</v>
      </c>
      <c r="L31" s="18" t="s">
        <v>1032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1109</v>
      </c>
      <c r="D32" s="18" t="s">
        <v>1110</v>
      </c>
      <c r="E32" s="18" t="s">
        <v>1111</v>
      </c>
      <c r="F32" s="19">
        <v>1</v>
      </c>
      <c r="G32" s="19">
        <v>375</v>
      </c>
      <c r="H32" s="19">
        <v>25</v>
      </c>
      <c r="I32" s="19">
        <f t="shared" si="2"/>
        <v>350</v>
      </c>
      <c r="J32" s="18" t="s">
        <v>165</v>
      </c>
      <c r="K32" s="18" t="s">
        <v>21</v>
      </c>
      <c r="L32" s="18" t="s">
        <v>1032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1112</v>
      </c>
      <c r="D33" s="18" t="s">
        <v>1113</v>
      </c>
      <c r="E33" s="18" t="s">
        <v>1114</v>
      </c>
      <c r="F33" s="19">
        <v>4</v>
      </c>
      <c r="G33" s="19">
        <v>845</v>
      </c>
      <c r="H33" s="19">
        <v>25</v>
      </c>
      <c r="I33" s="19">
        <f t="shared" si="2"/>
        <v>820</v>
      </c>
      <c r="J33" s="18" t="s">
        <v>165</v>
      </c>
      <c r="K33" s="18" t="s">
        <v>21</v>
      </c>
      <c r="L33" s="18" t="s">
        <v>1032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1115</v>
      </c>
      <c r="D34" s="18" t="s">
        <v>1116</v>
      </c>
      <c r="E34" s="18" t="s">
        <v>1117</v>
      </c>
      <c r="F34" s="18" t="s">
        <v>88</v>
      </c>
      <c r="G34" s="19">
        <v>0</v>
      </c>
      <c r="H34" s="19">
        <v>25</v>
      </c>
      <c r="I34" s="19">
        <f>-H34</f>
        <v>-25</v>
      </c>
      <c r="J34" s="18" t="s">
        <v>165</v>
      </c>
      <c r="K34" s="18" t="s">
        <v>21</v>
      </c>
      <c r="L34" s="18" t="s">
        <v>1032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1118</v>
      </c>
      <c r="D35" s="18" t="s">
        <v>1119</v>
      </c>
      <c r="E35" s="18" t="s">
        <v>1120</v>
      </c>
      <c r="F35" s="18" t="s">
        <v>85</v>
      </c>
      <c r="G35" s="19">
        <v>560</v>
      </c>
      <c r="H35" s="19">
        <v>20</v>
      </c>
      <c r="I35" s="19">
        <f t="shared" ref="I35:I40" si="3">G35-H35</f>
        <v>540</v>
      </c>
      <c r="J35" s="18" t="s">
        <v>165</v>
      </c>
      <c r="K35" s="18" t="s">
        <v>21</v>
      </c>
      <c r="L35" s="18" t="s">
        <v>1032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1121</v>
      </c>
      <c r="D36" s="18" t="s">
        <v>1122</v>
      </c>
      <c r="E36" s="18" t="s">
        <v>1123</v>
      </c>
      <c r="F36" s="19">
        <v>10</v>
      </c>
      <c r="G36" s="19">
        <v>445</v>
      </c>
      <c r="H36" s="19">
        <v>25</v>
      </c>
      <c r="I36" s="19">
        <f t="shared" si="3"/>
        <v>420</v>
      </c>
      <c r="J36" s="18" t="s">
        <v>165</v>
      </c>
      <c r="K36" s="18" t="s">
        <v>21</v>
      </c>
      <c r="L36" s="18" t="s">
        <v>1032</v>
      </c>
      <c r="M36" s="18" t="s">
        <v>49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1124</v>
      </c>
      <c r="D37" s="18" t="s">
        <v>1125</v>
      </c>
      <c r="E37" s="18" t="s">
        <v>1126</v>
      </c>
      <c r="F37" s="19">
        <v>5</v>
      </c>
      <c r="G37" s="19">
        <v>515</v>
      </c>
      <c r="H37" s="19">
        <v>25</v>
      </c>
      <c r="I37" s="19">
        <f t="shared" si="3"/>
        <v>490</v>
      </c>
      <c r="J37" s="18" t="s">
        <v>165</v>
      </c>
      <c r="K37" s="18" t="s">
        <v>21</v>
      </c>
      <c r="L37" s="18" t="s">
        <v>1032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1127</v>
      </c>
      <c r="D38" s="18" t="s">
        <v>1128</v>
      </c>
      <c r="E38" s="18" t="s">
        <v>1129</v>
      </c>
      <c r="F38" s="18" t="s">
        <v>85</v>
      </c>
      <c r="G38" s="19">
        <v>1350</v>
      </c>
      <c r="H38" s="19">
        <v>20</v>
      </c>
      <c r="I38" s="19">
        <f t="shared" si="3"/>
        <v>1330</v>
      </c>
      <c r="J38" s="18" t="s">
        <v>165</v>
      </c>
      <c r="K38" s="18" t="s">
        <v>21</v>
      </c>
      <c r="L38" s="18" t="s">
        <v>1032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1130</v>
      </c>
      <c r="D39" s="18" t="s">
        <v>1131</v>
      </c>
      <c r="E39" s="18" t="s">
        <v>1132</v>
      </c>
      <c r="F39" s="19">
        <v>4</v>
      </c>
      <c r="G39" s="19">
        <v>785</v>
      </c>
      <c r="H39" s="19">
        <v>25</v>
      </c>
      <c r="I39" s="19">
        <f t="shared" si="3"/>
        <v>760</v>
      </c>
      <c r="J39" s="18" t="s">
        <v>165</v>
      </c>
      <c r="K39" s="18" t="s">
        <v>21</v>
      </c>
      <c r="L39" s="18" t="s">
        <v>1032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1133</v>
      </c>
      <c r="D40" s="18" t="s">
        <v>1134</v>
      </c>
      <c r="E40" s="18" t="s">
        <v>1135</v>
      </c>
      <c r="F40" s="19">
        <v>1</v>
      </c>
      <c r="G40" s="19">
        <v>515</v>
      </c>
      <c r="H40" s="19">
        <v>25</v>
      </c>
      <c r="I40" s="19">
        <f t="shared" si="3"/>
        <v>490</v>
      </c>
      <c r="J40" s="18" t="s">
        <v>165</v>
      </c>
      <c r="K40" s="18" t="s">
        <v>21</v>
      </c>
      <c r="L40" s="18" t="s">
        <v>1032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1136</v>
      </c>
      <c r="D41" s="18" t="s">
        <v>1137</v>
      </c>
      <c r="E41" s="18" t="s">
        <v>1138</v>
      </c>
      <c r="F41" s="19">
        <v>3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1032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985</v>
      </c>
      <c r="D42" s="18" t="s">
        <v>1139</v>
      </c>
      <c r="E42" s="18" t="s">
        <v>1140</v>
      </c>
      <c r="F42" s="18" t="s">
        <v>85</v>
      </c>
      <c r="G42" s="19">
        <v>1110</v>
      </c>
      <c r="H42" s="19">
        <v>20</v>
      </c>
      <c r="I42" s="19">
        <f>G42-H42</f>
        <v>1090</v>
      </c>
      <c r="J42" s="18" t="s">
        <v>165</v>
      </c>
      <c r="K42" s="18" t="s">
        <v>21</v>
      </c>
      <c r="L42" s="18" t="s">
        <v>1032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1141</v>
      </c>
      <c r="D43" s="18" t="s">
        <v>1142</v>
      </c>
      <c r="E43" s="18" t="s">
        <v>1143</v>
      </c>
      <c r="F43" s="19">
        <v>4</v>
      </c>
      <c r="G43" s="19">
        <v>715</v>
      </c>
      <c r="H43" s="19">
        <v>25</v>
      </c>
      <c r="I43" s="19">
        <f>G43-H43</f>
        <v>690</v>
      </c>
      <c r="J43" s="18" t="s">
        <v>165</v>
      </c>
      <c r="K43" s="18" t="s">
        <v>21</v>
      </c>
      <c r="L43" s="18" t="s">
        <v>1032</v>
      </c>
      <c r="M43" s="18"/>
      <c r="N43" s="18"/>
      <c r="O43" s="18"/>
      <c r="P43" s="18"/>
      <c r="Q43" s="18">
        <v>1</v>
      </c>
    </row>
    <row r="45" spans="1:17" x14ac:dyDescent="0.25">
      <c r="D45" s="1">
        <f>COUNTA(D3:D43)</f>
        <v>39</v>
      </c>
      <c r="G45" s="1">
        <f t="shared" ref="G45:Q45" si="4">SUBTOTAL(9,G3:G43)</f>
        <v>29910</v>
      </c>
      <c r="H45" s="1">
        <f t="shared" si="4"/>
        <v>1110</v>
      </c>
      <c r="I45" s="1">
        <f t="shared" si="4"/>
        <v>28800</v>
      </c>
      <c r="J45" s="1">
        <f t="shared" si="4"/>
        <v>0</v>
      </c>
      <c r="K45" s="1">
        <f t="shared" si="4"/>
        <v>0</v>
      </c>
      <c r="L45" s="1">
        <f t="shared" si="4"/>
        <v>0</v>
      </c>
      <c r="M45" s="1">
        <f t="shared" si="4"/>
        <v>0</v>
      </c>
      <c r="N45" s="1">
        <f t="shared" si="4"/>
        <v>0</v>
      </c>
      <c r="O45" s="1">
        <f t="shared" si="4"/>
        <v>0</v>
      </c>
      <c r="P45" s="1">
        <f t="shared" si="4"/>
        <v>0</v>
      </c>
      <c r="Q45" s="1">
        <f t="shared" si="4"/>
        <v>41</v>
      </c>
    </row>
    <row r="46" spans="1:17" x14ac:dyDescent="0.25">
      <c r="H46">
        <f>-9*17</f>
        <v>-153</v>
      </c>
    </row>
    <row r="47" spans="1:17" x14ac:dyDescent="0.25">
      <c r="A47" s="1" t="s">
        <v>16</v>
      </c>
      <c r="C47" s="42" t="s">
        <v>89</v>
      </c>
      <c r="D47" s="42"/>
      <c r="E47" s="4" t="s">
        <v>90</v>
      </c>
      <c r="H47">
        <f>-6*25</f>
        <v>-150</v>
      </c>
      <c r="K47" s="7" t="s">
        <v>21</v>
      </c>
      <c r="L47" s="7" t="s">
        <v>91</v>
      </c>
      <c r="M47" s="7" t="s">
        <v>90</v>
      </c>
      <c r="O47" s="4" t="s">
        <v>92</v>
      </c>
    </row>
    <row r="48" spans="1:17" x14ac:dyDescent="0.25">
      <c r="A48" t="s">
        <v>1032</v>
      </c>
      <c r="B48" s="3" t="s">
        <v>93</v>
      </c>
      <c r="C48" s="43">
        <f>SUMIFS(I$3:I$43,B$3:B$43,A$47,L$3:L$43,A$48)</f>
        <v>28800</v>
      </c>
      <c r="D48" s="43"/>
      <c r="E48" s="3">
        <f>SUMIFS(Q$3:Q$43,B$3:B$43,A$47,L$3:L$43,A$48)</f>
        <v>41</v>
      </c>
      <c r="F48" t="s">
        <v>94</v>
      </c>
      <c r="H48">
        <f>-2*30</f>
        <v>-60</v>
      </c>
      <c r="K48" t="s">
        <v>95</v>
      </c>
      <c r="L48">
        <f>SUMIFS(G$3:G$43,J$3:J$43,K$47)</f>
        <v>3775</v>
      </c>
      <c r="M48">
        <f>SUMIFS(Q$3:Q$43,J$3:J$43,K$47)</f>
        <v>9</v>
      </c>
      <c r="O48" t="s">
        <v>21</v>
      </c>
      <c r="P48">
        <f>L53</f>
        <v>3498</v>
      </c>
    </row>
    <row r="49" spans="2:16" x14ac:dyDescent="0.25">
      <c r="B49" s="2" t="s">
        <v>97</v>
      </c>
      <c r="C49" s="44">
        <v>0</v>
      </c>
      <c r="D49" s="44"/>
      <c r="K49" t="s">
        <v>98</v>
      </c>
      <c r="L49">
        <f>-SUMIFS(H$3:H$43,J$3:J$43,K$47)+M49*5</f>
        <v>-195</v>
      </c>
      <c r="M49">
        <f>SUMIFS(Q$3:Q$43,J$3:J$43,K$47)-COUNTIFS(J$3:J$43,K$47,M$3:M$43,"*gộp*")</f>
        <v>9</v>
      </c>
      <c r="O49" t="s">
        <v>1144</v>
      </c>
      <c r="P49">
        <f>L61</f>
        <v>15497</v>
      </c>
    </row>
    <row r="50" spans="2:16" x14ac:dyDescent="0.25">
      <c r="B50" s="2" t="s">
        <v>99</v>
      </c>
      <c r="C50" s="44">
        <f>-SUMIFS(I$3:I$43,B$3:B$43,A$47,P$3:P$43,"xx",N$3:N$43,"x")</f>
        <v>0</v>
      </c>
      <c r="D50" s="44"/>
      <c r="E50" s="2">
        <f>SUMIFS(Q$3:Q$43,B$3:B$43,A$47,P$3:P$43,"xx",N$3:N$43,"x")</f>
        <v>0</v>
      </c>
      <c r="K50" t="s">
        <v>100</v>
      </c>
      <c r="L50">
        <f>-M50*2</f>
        <v>-82</v>
      </c>
      <c r="M50">
        <f>Q45-(COUNTIFS(M$3:M$43,"*gộp*")/2)-COUNTIFS(P$3:P$43,"*xx*")*2</f>
        <v>41</v>
      </c>
      <c r="O50" t="s">
        <v>165</v>
      </c>
      <c r="P50">
        <f>L69</f>
        <v>8490</v>
      </c>
    </row>
    <row r="51" spans="2:16" x14ac:dyDescent="0.25">
      <c r="B51" s="4" t="s">
        <v>101</v>
      </c>
      <c r="C51" s="42">
        <f>SUBTOTAL(9,C48:C50)</f>
        <v>28800</v>
      </c>
      <c r="D51" s="42"/>
      <c r="E51">
        <f>E48</f>
        <v>41</v>
      </c>
      <c r="K51" s="2" t="s">
        <v>102</v>
      </c>
      <c r="O51" t="s">
        <v>20</v>
      </c>
      <c r="P51">
        <f>L77</f>
        <v>1495</v>
      </c>
    </row>
    <row r="52" spans="2:16" x14ac:dyDescent="0.25">
      <c r="B52" s="2" t="s">
        <v>104</v>
      </c>
      <c r="C52" s="40"/>
      <c r="D52" s="40"/>
      <c r="K52" s="2" t="s">
        <v>105</v>
      </c>
      <c r="O52" t="s">
        <v>103</v>
      </c>
      <c r="P52">
        <f>-C55</f>
        <v>-28800</v>
      </c>
    </row>
    <row r="53" spans="2:16" x14ac:dyDescent="0.25">
      <c r="B53" s="8" t="s">
        <v>107</v>
      </c>
      <c r="C53" s="40"/>
      <c r="D53" s="40"/>
      <c r="L53" s="9">
        <f>SUBTOTAL(9,L48:L52)</f>
        <v>3498</v>
      </c>
      <c r="M53" s="9">
        <f>M48</f>
        <v>9</v>
      </c>
      <c r="O53" s="4" t="s">
        <v>106</v>
      </c>
      <c r="P53" s="4">
        <f>SUBTOTAL(9,P48:P52)</f>
        <v>180</v>
      </c>
    </row>
    <row r="55" spans="2:16" x14ac:dyDescent="0.25">
      <c r="B55" s="1" t="s">
        <v>108</v>
      </c>
      <c r="C55" s="41">
        <f>C51+C52+C53</f>
        <v>28800</v>
      </c>
      <c r="D55" s="41"/>
      <c r="E55" s="1" t="s">
        <v>109</v>
      </c>
      <c r="K55" s="7" t="s">
        <v>1034</v>
      </c>
      <c r="L55" s="7" t="s">
        <v>91</v>
      </c>
      <c r="M55" s="7" t="s">
        <v>90</v>
      </c>
    </row>
    <row r="56" spans="2:16" x14ac:dyDescent="0.25">
      <c r="K56" t="s">
        <v>95</v>
      </c>
      <c r="L56">
        <f>SUMIFS(G$3:G$43,J$3:J$43,K$55)</f>
        <v>15860</v>
      </c>
      <c r="M56">
        <f>SUMIFS(Q$3:Q$43,J$3:J$43,K$55)</f>
        <v>17</v>
      </c>
    </row>
    <row r="57" spans="2:16" x14ac:dyDescent="0.25">
      <c r="K57" t="s">
        <v>98</v>
      </c>
      <c r="L57">
        <f>SUM(H46:H48)</f>
        <v>-363</v>
      </c>
      <c r="M57">
        <f>SUMIFS(Q$3:Q$43,J$3:J$43,K$55)</f>
        <v>17</v>
      </c>
    </row>
    <row r="58" spans="2:16" x14ac:dyDescent="0.25">
      <c r="K58" t="s">
        <v>100</v>
      </c>
    </row>
    <row r="59" spans="2:16" x14ac:dyDescent="0.25">
      <c r="K59" s="2" t="s">
        <v>102</v>
      </c>
    </row>
    <row r="60" spans="2:16" x14ac:dyDescent="0.25">
      <c r="K60" s="2" t="s">
        <v>105</v>
      </c>
    </row>
    <row r="61" spans="2:16" x14ac:dyDescent="0.25">
      <c r="L61" s="9">
        <f>SUBTOTAL(9,L56:L60)</f>
        <v>15497</v>
      </c>
      <c r="M61" s="9">
        <f>M56</f>
        <v>17</v>
      </c>
    </row>
    <row r="63" spans="2:16" x14ac:dyDescent="0.25">
      <c r="K63" s="7" t="s">
        <v>165</v>
      </c>
      <c r="L63" s="7" t="s">
        <v>91</v>
      </c>
      <c r="M63" s="7" t="s">
        <v>90</v>
      </c>
    </row>
    <row r="64" spans="2:16" x14ac:dyDescent="0.25">
      <c r="K64" t="s">
        <v>95</v>
      </c>
      <c r="L64">
        <f>SUMIFS(G$3:G$43,J$3:J$43,K$63)</f>
        <v>8755</v>
      </c>
      <c r="M64">
        <f>SUMIFS(Q$3:Q$43,J$3:J$43,K$63)</f>
        <v>14</v>
      </c>
    </row>
    <row r="65" spans="11:13" x14ac:dyDescent="0.25">
      <c r="K65" t="s">
        <v>98</v>
      </c>
      <c r="L65">
        <f>-SUMIFS(H$3:H$43,J$3:J$43,K$63)+M65*5</f>
        <v>-265</v>
      </c>
      <c r="M65">
        <f>SUMIFS(Q$3:Q$43,J$3:J$43,K$63)-COUNTIFS(J$3:J$43,K$63,M$3:M$43,"*gộp*")</f>
        <v>14</v>
      </c>
    </row>
    <row r="66" spans="11:13" x14ac:dyDescent="0.25">
      <c r="K66" t="s">
        <v>100</v>
      </c>
    </row>
    <row r="67" spans="11:13" x14ac:dyDescent="0.25">
      <c r="K67" s="2" t="s">
        <v>102</v>
      </c>
    </row>
    <row r="68" spans="11:13" x14ac:dyDescent="0.25">
      <c r="K68" s="2" t="s">
        <v>105</v>
      </c>
    </row>
    <row r="69" spans="11:13" x14ac:dyDescent="0.25">
      <c r="L69" s="9">
        <f>SUBTOTAL(9,L64:L68)</f>
        <v>8490</v>
      </c>
      <c r="M69" s="9">
        <f>M64</f>
        <v>14</v>
      </c>
    </row>
    <row r="71" spans="11:13" x14ac:dyDescent="0.25">
      <c r="K71" s="7" t="s">
        <v>20</v>
      </c>
      <c r="L71" s="7" t="s">
        <v>91</v>
      </c>
      <c r="M71" s="7" t="s">
        <v>90</v>
      </c>
    </row>
    <row r="72" spans="11:13" x14ac:dyDescent="0.25">
      <c r="K72" t="s">
        <v>95</v>
      </c>
      <c r="L72">
        <f>SUMIFS(G$3:G$43,J$3:J$43,K$71)</f>
        <v>1520</v>
      </c>
      <c r="M72">
        <f>SUMIFS(Q$3:Q$43,J$3:J$43,K$71)</f>
        <v>1</v>
      </c>
    </row>
    <row r="73" spans="11:13" x14ac:dyDescent="0.25">
      <c r="K73" t="s">
        <v>98</v>
      </c>
      <c r="L73">
        <f>-SUMIFS(H$3:H$43,J$3:J$43,K$71)+M73*5</f>
        <v>-25</v>
      </c>
      <c r="M73">
        <f>SUMIFS(Q$3:Q$43,J$3:J$43,K$71)-COUNTIFS(J$3:J$43,K$71,M$3:M$43,"*gộp*")</f>
        <v>1</v>
      </c>
    </row>
    <row r="74" spans="11:13" x14ac:dyDescent="0.25">
      <c r="K74" t="s">
        <v>100</v>
      </c>
    </row>
    <row r="75" spans="11:13" x14ac:dyDescent="0.25">
      <c r="K75" s="2" t="s">
        <v>102</v>
      </c>
    </row>
    <row r="76" spans="11:13" x14ac:dyDescent="0.25">
      <c r="K76" s="2" t="s">
        <v>105</v>
      </c>
    </row>
    <row r="77" spans="11:13" x14ac:dyDescent="0.25">
      <c r="L77" s="9">
        <f>SUBTOTAL(9,L72:L76)</f>
        <v>1495</v>
      </c>
      <c r="M77" s="9">
        <f>M72</f>
        <v>1</v>
      </c>
    </row>
  </sheetData>
  <autoFilter ref="A2:P43" xr:uid="{00000000-0009-0000-0000-000009000000}">
    <sortState xmlns:xlrd2="http://schemas.microsoft.com/office/spreadsheetml/2017/richdata2" ref="A3:P43">
      <sortCondition ref="J2:J43"/>
    </sortState>
  </autoFilter>
  <mergeCells count="8">
    <mergeCell ref="C52:D52"/>
    <mergeCell ref="C53:D53"/>
    <mergeCell ref="C55:D55"/>
    <mergeCell ref="C47:D47"/>
    <mergeCell ref="C48:D48"/>
    <mergeCell ref="C49:D49"/>
    <mergeCell ref="C50:D50"/>
    <mergeCell ref="C51:D51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00"/>
  <sheetViews>
    <sheetView topLeftCell="A37" workbookViewId="0">
      <selection activeCell="K23" sqref="K23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1145</v>
      </c>
      <c r="D3" s="18" t="s">
        <v>1146</v>
      </c>
      <c r="E3" s="18" t="s">
        <v>1147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20</v>
      </c>
      <c r="K3" s="18" t="s">
        <v>21</v>
      </c>
      <c r="L3" s="18" t="s">
        <v>1148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1149</v>
      </c>
      <c r="D4" s="18" t="s">
        <v>1150</v>
      </c>
      <c r="E4" s="18" t="s">
        <v>1151</v>
      </c>
      <c r="F4" s="19">
        <v>9</v>
      </c>
      <c r="G4" s="19">
        <v>1370</v>
      </c>
      <c r="H4" s="19">
        <v>30</v>
      </c>
      <c r="I4" s="19">
        <f>G4-H4</f>
        <v>1340</v>
      </c>
      <c r="J4" s="18" t="s">
        <v>20</v>
      </c>
      <c r="K4" s="18" t="s">
        <v>21</v>
      </c>
      <c r="L4" s="18" t="s">
        <v>1148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1152</v>
      </c>
      <c r="D5" s="18" t="s">
        <v>1153</v>
      </c>
      <c r="E5" s="18" t="s">
        <v>1154</v>
      </c>
      <c r="F5" s="18" t="s">
        <v>128</v>
      </c>
      <c r="G5" s="19">
        <v>825</v>
      </c>
      <c r="H5" s="19">
        <v>35</v>
      </c>
      <c r="I5" s="19">
        <f>G5-H5</f>
        <v>790</v>
      </c>
      <c r="J5" s="18" t="s">
        <v>1155</v>
      </c>
      <c r="K5" s="18" t="s">
        <v>21</v>
      </c>
      <c r="L5" s="18" t="s">
        <v>1148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1156</v>
      </c>
      <c r="D6" s="18" t="s">
        <v>1157</v>
      </c>
      <c r="E6" s="18" t="s">
        <v>1158</v>
      </c>
      <c r="F6" s="19">
        <v>12</v>
      </c>
      <c r="G6" s="19">
        <v>0</v>
      </c>
      <c r="H6" s="19">
        <v>30</v>
      </c>
      <c r="I6" s="19">
        <f>-H6</f>
        <v>-30</v>
      </c>
      <c r="J6" s="18" t="s">
        <v>1155</v>
      </c>
      <c r="K6" s="18" t="s">
        <v>21</v>
      </c>
      <c r="L6" s="18" t="s">
        <v>1148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1159</v>
      </c>
      <c r="D7" s="18" t="s">
        <v>1160</v>
      </c>
      <c r="E7" s="18" t="s">
        <v>1161</v>
      </c>
      <c r="F7" s="19">
        <v>7</v>
      </c>
      <c r="G7" s="19">
        <v>0</v>
      </c>
      <c r="H7" s="19">
        <v>30</v>
      </c>
      <c r="I7" s="19">
        <f>-H7</f>
        <v>-30</v>
      </c>
      <c r="J7" s="18" t="s">
        <v>1155</v>
      </c>
      <c r="K7" s="18" t="s">
        <v>21</v>
      </c>
      <c r="L7" s="18" t="s">
        <v>1148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1162</v>
      </c>
      <c r="D8" s="18" t="s">
        <v>1163</v>
      </c>
      <c r="E8" s="18" t="s">
        <v>1164</v>
      </c>
      <c r="F8" s="18" t="s">
        <v>217</v>
      </c>
      <c r="G8" s="19">
        <v>795</v>
      </c>
      <c r="H8" s="19">
        <v>25</v>
      </c>
      <c r="I8" s="19">
        <f t="shared" ref="I8:I13" si="0">G8-H8</f>
        <v>770</v>
      </c>
      <c r="J8" s="18" t="s">
        <v>1155</v>
      </c>
      <c r="K8" s="18" t="s">
        <v>21</v>
      </c>
      <c r="L8" s="18" t="s">
        <v>1148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1165</v>
      </c>
      <c r="D9" s="18" t="s">
        <v>1166</v>
      </c>
      <c r="E9" s="18" t="s">
        <v>1167</v>
      </c>
      <c r="F9" s="18" t="s">
        <v>26</v>
      </c>
      <c r="G9" s="19">
        <v>830</v>
      </c>
      <c r="H9" s="19">
        <v>30</v>
      </c>
      <c r="I9" s="19">
        <f t="shared" si="0"/>
        <v>800</v>
      </c>
      <c r="J9" s="18" t="s">
        <v>1155</v>
      </c>
      <c r="K9" s="18" t="s">
        <v>21</v>
      </c>
      <c r="L9" s="18" t="s">
        <v>1148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1168</v>
      </c>
      <c r="D10" s="18" t="s">
        <v>1169</v>
      </c>
      <c r="E10" s="18" t="s">
        <v>1170</v>
      </c>
      <c r="F10" s="18" t="s">
        <v>128</v>
      </c>
      <c r="G10" s="19">
        <v>875</v>
      </c>
      <c r="H10" s="19">
        <v>35</v>
      </c>
      <c r="I10" s="19">
        <f t="shared" si="0"/>
        <v>840</v>
      </c>
      <c r="J10" s="18" t="s">
        <v>1155</v>
      </c>
      <c r="K10" s="18" t="s">
        <v>21</v>
      </c>
      <c r="L10" s="18" t="s">
        <v>1148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1171</v>
      </c>
      <c r="D11" s="18" t="s">
        <v>1172</v>
      </c>
      <c r="E11" s="18" t="s">
        <v>1173</v>
      </c>
      <c r="F11" s="18" t="s">
        <v>217</v>
      </c>
      <c r="G11" s="19">
        <v>715</v>
      </c>
      <c r="H11" s="19">
        <v>25</v>
      </c>
      <c r="I11" s="19">
        <f t="shared" si="0"/>
        <v>690</v>
      </c>
      <c r="J11" s="18" t="s">
        <v>1155</v>
      </c>
      <c r="K11" s="18" t="s">
        <v>21</v>
      </c>
      <c r="L11" s="18" t="s">
        <v>1148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1174</v>
      </c>
      <c r="D12" s="18" t="s">
        <v>1175</v>
      </c>
      <c r="E12" s="18" t="s">
        <v>1176</v>
      </c>
      <c r="F12" s="19">
        <v>6</v>
      </c>
      <c r="G12" s="19">
        <v>845</v>
      </c>
      <c r="H12" s="19">
        <v>25</v>
      </c>
      <c r="I12" s="19">
        <f t="shared" si="0"/>
        <v>820</v>
      </c>
      <c r="J12" s="18" t="s">
        <v>1155</v>
      </c>
      <c r="K12" s="18" t="s">
        <v>21</v>
      </c>
      <c r="L12" s="18" t="s">
        <v>1148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1177</v>
      </c>
      <c r="D13" s="18" t="s">
        <v>1178</v>
      </c>
      <c r="E13" s="18" t="s">
        <v>610</v>
      </c>
      <c r="F13" s="19">
        <v>6</v>
      </c>
      <c r="G13" s="19">
        <v>815</v>
      </c>
      <c r="H13" s="19">
        <v>25</v>
      </c>
      <c r="I13" s="19">
        <f t="shared" si="0"/>
        <v>790</v>
      </c>
      <c r="J13" s="18" t="s">
        <v>1155</v>
      </c>
      <c r="K13" s="18" t="s">
        <v>21</v>
      </c>
      <c r="L13" s="18" t="s">
        <v>1148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1179</v>
      </c>
      <c r="D14" s="18" t="s">
        <v>1180</v>
      </c>
      <c r="E14" s="18" t="s">
        <v>1181</v>
      </c>
      <c r="F14" s="18" t="s">
        <v>88</v>
      </c>
      <c r="G14" s="19">
        <v>0</v>
      </c>
      <c r="H14" s="19">
        <v>25</v>
      </c>
      <c r="I14" s="19">
        <f>-H14</f>
        <v>-25</v>
      </c>
      <c r="J14" s="18" t="s">
        <v>1155</v>
      </c>
      <c r="K14" s="18" t="s">
        <v>21</v>
      </c>
      <c r="L14" s="18" t="s">
        <v>1148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221</v>
      </c>
      <c r="D15" s="18" t="s">
        <v>1182</v>
      </c>
      <c r="E15" s="18" t="s">
        <v>223</v>
      </c>
      <c r="F15" s="19">
        <v>8</v>
      </c>
      <c r="G15" s="19">
        <v>2030</v>
      </c>
      <c r="H15" s="19">
        <v>30</v>
      </c>
      <c r="I15" s="19">
        <f>G15-H15</f>
        <v>2000</v>
      </c>
      <c r="J15" s="18" t="s">
        <v>1155</v>
      </c>
      <c r="K15" s="18" t="s">
        <v>21</v>
      </c>
      <c r="L15" s="18" t="s">
        <v>1148</v>
      </c>
      <c r="M15" s="18" t="s">
        <v>398</v>
      </c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1183</v>
      </c>
      <c r="D16" s="18" t="s">
        <v>1184</v>
      </c>
      <c r="E16" s="18" t="s">
        <v>1185</v>
      </c>
      <c r="F16" s="19">
        <v>6</v>
      </c>
      <c r="G16" s="19">
        <v>895</v>
      </c>
      <c r="H16" s="19">
        <v>25</v>
      </c>
      <c r="I16" s="19">
        <f>G16-H16</f>
        <v>870</v>
      </c>
      <c r="J16" s="18" t="s">
        <v>1155</v>
      </c>
      <c r="K16" s="18" t="s">
        <v>21</v>
      </c>
      <c r="L16" s="18" t="s">
        <v>1148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1186</v>
      </c>
      <c r="D17" s="18" t="s">
        <v>1187</v>
      </c>
      <c r="E17" s="18" t="s">
        <v>1188</v>
      </c>
      <c r="F17" s="19">
        <v>6</v>
      </c>
      <c r="G17" s="19">
        <v>815</v>
      </c>
      <c r="H17" s="19">
        <v>25</v>
      </c>
      <c r="I17" s="19">
        <f>G17-H17</f>
        <v>790</v>
      </c>
      <c r="J17" s="18" t="s">
        <v>1155</v>
      </c>
      <c r="K17" s="18" t="s">
        <v>21</v>
      </c>
      <c r="L17" s="18" t="s">
        <v>1148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1056</v>
      </c>
      <c r="D18" s="18" t="s">
        <v>1189</v>
      </c>
      <c r="E18" s="18" t="s">
        <v>1190</v>
      </c>
      <c r="F18" s="19">
        <v>7</v>
      </c>
      <c r="G18" s="19">
        <v>0</v>
      </c>
      <c r="H18" s="19">
        <v>30</v>
      </c>
      <c r="I18" s="19">
        <f>-H18</f>
        <v>-30</v>
      </c>
      <c r="J18" s="18" t="s">
        <v>1155</v>
      </c>
      <c r="K18" s="18" t="s">
        <v>21</v>
      </c>
      <c r="L18" s="18" t="s">
        <v>1148</v>
      </c>
      <c r="M18" s="18" t="s">
        <v>49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1191</v>
      </c>
      <c r="D19" s="18" t="s">
        <v>1192</v>
      </c>
      <c r="E19" s="18" t="s">
        <v>1193</v>
      </c>
      <c r="F19" s="19">
        <v>7</v>
      </c>
      <c r="G19" s="19">
        <v>1990</v>
      </c>
      <c r="H19" s="19">
        <v>30</v>
      </c>
      <c r="I19" s="19">
        <f>G19-H19</f>
        <v>1960</v>
      </c>
      <c r="J19" s="18" t="s">
        <v>1155</v>
      </c>
      <c r="K19" s="18" t="s">
        <v>21</v>
      </c>
      <c r="L19" s="18" t="s">
        <v>1148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1194</v>
      </c>
      <c r="D20" s="18" t="s">
        <v>1195</v>
      </c>
      <c r="E20" s="18" t="s">
        <v>1196</v>
      </c>
      <c r="F20" s="19">
        <v>8</v>
      </c>
      <c r="G20" s="19">
        <v>380</v>
      </c>
      <c r="H20" s="19">
        <v>30</v>
      </c>
      <c r="I20" s="19">
        <f>G20-H20</f>
        <v>350</v>
      </c>
      <c r="J20" s="18" t="s">
        <v>1155</v>
      </c>
      <c r="K20" s="18" t="s">
        <v>21</v>
      </c>
      <c r="L20" s="18" t="s">
        <v>1148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1197</v>
      </c>
      <c r="D21" s="18" t="s">
        <v>1198</v>
      </c>
      <c r="E21" s="18" t="s">
        <v>1199</v>
      </c>
      <c r="F21" s="18" t="s">
        <v>26</v>
      </c>
      <c r="G21" s="19">
        <v>870</v>
      </c>
      <c r="H21" s="19">
        <v>30</v>
      </c>
      <c r="I21" s="19">
        <f>G21-H21</f>
        <v>840</v>
      </c>
      <c r="J21" s="18" t="s">
        <v>1155</v>
      </c>
      <c r="K21" s="18" t="s">
        <v>21</v>
      </c>
      <c r="L21" s="18" t="s">
        <v>1148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1200</v>
      </c>
      <c r="D22" s="18" t="s">
        <v>1201</v>
      </c>
      <c r="E22" s="18" t="s">
        <v>1202</v>
      </c>
      <c r="F22" s="18" t="s">
        <v>26</v>
      </c>
      <c r="G22" s="19">
        <v>0</v>
      </c>
      <c r="H22" s="19">
        <v>30</v>
      </c>
      <c r="I22" s="19">
        <f>-H22</f>
        <v>-30</v>
      </c>
      <c r="J22" s="18" t="s">
        <v>1155</v>
      </c>
      <c r="K22" s="18" t="s">
        <v>21</v>
      </c>
      <c r="L22" s="18" t="s">
        <v>1148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202</v>
      </c>
      <c r="D23" s="18" t="s">
        <v>1203</v>
      </c>
      <c r="E23" s="18" t="s">
        <v>1204</v>
      </c>
      <c r="F23" s="18" t="s">
        <v>88</v>
      </c>
      <c r="G23" s="19">
        <v>815</v>
      </c>
      <c r="H23" s="19">
        <v>25</v>
      </c>
      <c r="I23" s="19">
        <f>G23-H23</f>
        <v>790</v>
      </c>
      <c r="J23" s="18" t="s">
        <v>1155</v>
      </c>
      <c r="K23" s="18" t="s">
        <v>21</v>
      </c>
      <c r="L23" s="18" t="s">
        <v>1148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1205</v>
      </c>
      <c r="D24" s="18" t="s">
        <v>1206</v>
      </c>
      <c r="E24" s="18" t="s">
        <v>1207</v>
      </c>
      <c r="F24" s="18" t="s">
        <v>26</v>
      </c>
      <c r="G24" s="19">
        <v>0</v>
      </c>
      <c r="H24" s="19">
        <v>30</v>
      </c>
      <c r="I24" s="19">
        <f>-H24</f>
        <v>-30</v>
      </c>
      <c r="J24" s="18" t="s">
        <v>1155</v>
      </c>
      <c r="K24" s="18" t="s">
        <v>21</v>
      </c>
      <c r="L24" s="18" t="s">
        <v>1148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1208</v>
      </c>
      <c r="D25" s="18" t="s">
        <v>1209</v>
      </c>
      <c r="E25" s="18" t="s">
        <v>1210</v>
      </c>
      <c r="F25" s="19">
        <v>6</v>
      </c>
      <c r="G25" s="19">
        <v>515</v>
      </c>
      <c r="H25" s="19">
        <v>25</v>
      </c>
      <c r="I25" s="19">
        <f>G25-H25</f>
        <v>490</v>
      </c>
      <c r="J25" s="18" t="s">
        <v>1155</v>
      </c>
      <c r="K25" s="18" t="s">
        <v>21</v>
      </c>
      <c r="L25" s="18" t="s">
        <v>1148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1211</v>
      </c>
      <c r="D26" s="18" t="s">
        <v>1212</v>
      </c>
      <c r="E26" s="18" t="s">
        <v>1213</v>
      </c>
      <c r="F26" s="18" t="s">
        <v>26</v>
      </c>
      <c r="G26" s="19">
        <v>0</v>
      </c>
      <c r="H26" s="19">
        <v>30</v>
      </c>
      <c r="I26" s="19">
        <f>-H26</f>
        <v>-30</v>
      </c>
      <c r="J26" s="18" t="s">
        <v>1155</v>
      </c>
      <c r="K26" s="18" t="s">
        <v>21</v>
      </c>
      <c r="L26" s="18" t="s">
        <v>1148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1214</v>
      </c>
      <c r="D27" s="18" t="s">
        <v>1215</v>
      </c>
      <c r="E27" s="18" t="s">
        <v>1216</v>
      </c>
      <c r="F27" s="19">
        <v>12</v>
      </c>
      <c r="G27" s="19">
        <v>870</v>
      </c>
      <c r="H27" s="19">
        <v>30</v>
      </c>
      <c r="I27" s="19">
        <f>G27-H27</f>
        <v>840</v>
      </c>
      <c r="J27" s="18" t="s">
        <v>1155</v>
      </c>
      <c r="K27" s="18" t="s">
        <v>21</v>
      </c>
      <c r="L27" s="18" t="s">
        <v>1148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1217</v>
      </c>
      <c r="D28" s="18" t="s">
        <v>1218</v>
      </c>
      <c r="E28" s="18" t="s">
        <v>1219</v>
      </c>
      <c r="F28" s="19">
        <v>7</v>
      </c>
      <c r="G28" s="19">
        <v>570</v>
      </c>
      <c r="H28" s="19">
        <v>30</v>
      </c>
      <c r="I28" s="19">
        <f>G28-H28</f>
        <v>540</v>
      </c>
      <c r="J28" s="18" t="s">
        <v>1155</v>
      </c>
      <c r="K28" s="18" t="s">
        <v>21</v>
      </c>
      <c r="L28" s="18" t="s">
        <v>1148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1220</v>
      </c>
      <c r="D29" s="18" t="s">
        <v>1221</v>
      </c>
      <c r="E29" s="18" t="s">
        <v>1222</v>
      </c>
      <c r="F29" s="18" t="s">
        <v>88</v>
      </c>
      <c r="G29" s="19">
        <v>915</v>
      </c>
      <c r="H29" s="19">
        <v>25</v>
      </c>
      <c r="I29" s="19">
        <f>G29-H29</f>
        <v>890</v>
      </c>
      <c r="J29" s="18" t="s">
        <v>1155</v>
      </c>
      <c r="K29" s="18" t="s">
        <v>21</v>
      </c>
      <c r="L29" s="18" t="s">
        <v>1148</v>
      </c>
      <c r="M29" s="18"/>
      <c r="N29" s="18"/>
      <c r="O29" s="18"/>
      <c r="P29" s="18"/>
      <c r="Q29" s="18">
        <v>1</v>
      </c>
    </row>
    <row r="30" spans="1:17" x14ac:dyDescent="0.25">
      <c r="A30" s="18" t="s">
        <v>62</v>
      </c>
      <c r="B30" s="18" t="s">
        <v>16</v>
      </c>
      <c r="C30" s="18"/>
      <c r="D30" s="18"/>
      <c r="E30" s="18" t="s">
        <v>1223</v>
      </c>
      <c r="F30" s="18" t="s">
        <v>26</v>
      </c>
      <c r="G30" s="19">
        <v>0</v>
      </c>
      <c r="H30" s="19">
        <v>35</v>
      </c>
      <c r="I30" s="19">
        <f>-H30</f>
        <v>-35</v>
      </c>
      <c r="J30" s="18" t="s">
        <v>1155</v>
      </c>
      <c r="K30" s="18" t="s">
        <v>21</v>
      </c>
      <c r="L30" s="18" t="s">
        <v>1148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1224</v>
      </c>
      <c r="D31" s="18" t="s">
        <v>1225</v>
      </c>
      <c r="E31" s="18" t="s">
        <v>1226</v>
      </c>
      <c r="F31" s="19">
        <v>2</v>
      </c>
      <c r="G31" s="19">
        <v>1940</v>
      </c>
      <c r="H31" s="19">
        <v>30</v>
      </c>
      <c r="I31" s="19">
        <f>G31-H31</f>
        <v>1910</v>
      </c>
      <c r="J31" s="18" t="s">
        <v>21</v>
      </c>
      <c r="K31" s="18" t="s">
        <v>21</v>
      </c>
      <c r="L31" s="18" t="s">
        <v>1148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136</v>
      </c>
      <c r="D32" s="18" t="s">
        <v>1227</v>
      </c>
      <c r="E32" s="18" t="s">
        <v>138</v>
      </c>
      <c r="F32" s="18" t="s">
        <v>68</v>
      </c>
      <c r="G32" s="19">
        <v>0</v>
      </c>
      <c r="H32" s="19">
        <v>20</v>
      </c>
      <c r="I32" s="19">
        <f>-H32</f>
        <v>-20</v>
      </c>
      <c r="J32" s="18" t="s">
        <v>21</v>
      </c>
      <c r="K32" s="18" t="s">
        <v>21</v>
      </c>
      <c r="L32" s="18" t="s">
        <v>1148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741</v>
      </c>
      <c r="D33" s="18" t="s">
        <v>1228</v>
      </c>
      <c r="E33" s="18" t="s">
        <v>1229</v>
      </c>
      <c r="F33" s="19">
        <v>2</v>
      </c>
      <c r="G33" s="19">
        <v>820</v>
      </c>
      <c r="H33" s="19">
        <v>30</v>
      </c>
      <c r="I33" s="19">
        <f>G33-H33</f>
        <v>790</v>
      </c>
      <c r="J33" s="18" t="s">
        <v>21</v>
      </c>
      <c r="K33" s="18" t="s">
        <v>21</v>
      </c>
      <c r="L33" s="18" t="s">
        <v>1148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1230</v>
      </c>
      <c r="D34" s="18" t="s">
        <v>1231</v>
      </c>
      <c r="E34" s="18" t="s">
        <v>1232</v>
      </c>
      <c r="F34" s="18" t="s">
        <v>153</v>
      </c>
      <c r="G34" s="19">
        <v>820</v>
      </c>
      <c r="H34" s="19">
        <v>30</v>
      </c>
      <c r="I34" s="19">
        <f>G34-H34</f>
        <v>790</v>
      </c>
      <c r="J34" s="18" t="s">
        <v>21</v>
      </c>
      <c r="K34" s="18" t="s">
        <v>21</v>
      </c>
      <c r="L34" s="18" t="s">
        <v>1148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1233</v>
      </c>
      <c r="D35" s="18" t="s">
        <v>1234</v>
      </c>
      <c r="E35" s="18" t="s">
        <v>1235</v>
      </c>
      <c r="F35" s="18" t="s">
        <v>72</v>
      </c>
      <c r="G35" s="19">
        <v>1455</v>
      </c>
      <c r="H35" s="19">
        <v>25</v>
      </c>
      <c r="I35" s="19">
        <f>G35-H35</f>
        <v>1430</v>
      </c>
      <c r="J35" s="18" t="s">
        <v>21</v>
      </c>
      <c r="K35" s="18" t="s">
        <v>21</v>
      </c>
      <c r="L35" s="18" t="s">
        <v>1148</v>
      </c>
      <c r="M35" s="18"/>
      <c r="N35" s="18"/>
      <c r="O35" s="18"/>
      <c r="P35" s="18"/>
      <c r="Q35" s="18">
        <v>1</v>
      </c>
    </row>
    <row r="36" spans="1:17" x14ac:dyDescent="0.25">
      <c r="A36" s="18" t="s">
        <v>62</v>
      </c>
      <c r="B36" s="18" t="s">
        <v>16</v>
      </c>
      <c r="C36" s="18" t="s">
        <v>1236</v>
      </c>
      <c r="D36" s="18"/>
      <c r="E36" s="18" t="s">
        <v>1237</v>
      </c>
      <c r="F36" s="18" t="s">
        <v>68</v>
      </c>
      <c r="G36" s="19">
        <v>0</v>
      </c>
      <c r="H36" s="19">
        <v>25</v>
      </c>
      <c r="I36" s="19">
        <f>-H36</f>
        <v>-25</v>
      </c>
      <c r="J36" s="18" t="s">
        <v>21</v>
      </c>
      <c r="K36" s="18" t="s">
        <v>21</v>
      </c>
      <c r="L36" s="18" t="s">
        <v>1148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484</v>
      </c>
      <c r="D37" s="18" t="s">
        <v>1238</v>
      </c>
      <c r="E37" s="18" t="s">
        <v>486</v>
      </c>
      <c r="F37" s="19">
        <v>2</v>
      </c>
      <c r="G37" s="19">
        <v>1310</v>
      </c>
      <c r="H37" s="19">
        <v>30</v>
      </c>
      <c r="I37" s="19">
        <f>G37-H37</f>
        <v>1280</v>
      </c>
      <c r="J37" s="18" t="s">
        <v>21</v>
      </c>
      <c r="K37" s="18" t="s">
        <v>21</v>
      </c>
      <c r="L37" s="18" t="s">
        <v>1148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1239</v>
      </c>
      <c r="D38" s="18" t="s">
        <v>1240</v>
      </c>
      <c r="E38" s="18" t="s">
        <v>1241</v>
      </c>
      <c r="F38" s="19">
        <v>2</v>
      </c>
      <c r="G38" s="19">
        <v>0</v>
      </c>
      <c r="H38" s="19">
        <v>30</v>
      </c>
      <c r="I38" s="19">
        <f>-H38</f>
        <v>-30</v>
      </c>
      <c r="J38" s="18" t="s">
        <v>21</v>
      </c>
      <c r="K38" s="18" t="s">
        <v>21</v>
      </c>
      <c r="L38" s="18" t="s">
        <v>1148</v>
      </c>
      <c r="M38" s="18" t="s">
        <v>1242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1239</v>
      </c>
      <c r="D39" s="18" t="s">
        <v>1243</v>
      </c>
      <c r="E39" s="18" t="s">
        <v>1244</v>
      </c>
      <c r="F39" s="19">
        <v>2</v>
      </c>
      <c r="G39" s="19">
        <v>0</v>
      </c>
      <c r="H39" s="19">
        <v>0</v>
      </c>
      <c r="I39" s="19">
        <f>H39</f>
        <v>0</v>
      </c>
      <c r="J39" s="18" t="s">
        <v>21</v>
      </c>
      <c r="K39" s="18" t="s">
        <v>21</v>
      </c>
      <c r="L39" s="18" t="s">
        <v>1148</v>
      </c>
      <c r="M39" s="18" t="s">
        <v>312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1245</v>
      </c>
      <c r="D40" s="18" t="s">
        <v>1246</v>
      </c>
      <c r="E40" s="18" t="s">
        <v>1247</v>
      </c>
      <c r="F40" s="19">
        <v>2</v>
      </c>
      <c r="G40" s="19">
        <v>0</v>
      </c>
      <c r="H40" s="19">
        <v>30</v>
      </c>
      <c r="I40" s="19">
        <f>-H40</f>
        <v>-30</v>
      </c>
      <c r="J40" s="18" t="s">
        <v>21</v>
      </c>
      <c r="K40" s="18" t="s">
        <v>21</v>
      </c>
      <c r="L40" s="18" t="s">
        <v>1148</v>
      </c>
      <c r="M40" s="18" t="s">
        <v>49</v>
      </c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1248</v>
      </c>
      <c r="D41" s="18" t="s">
        <v>1249</v>
      </c>
      <c r="E41" s="18" t="s">
        <v>1250</v>
      </c>
      <c r="F41" s="18" t="s">
        <v>68</v>
      </c>
      <c r="G41" s="19">
        <v>810</v>
      </c>
      <c r="H41" s="19">
        <v>20</v>
      </c>
      <c r="I41" s="19">
        <f t="shared" ref="I41:I46" si="1">G41-H41</f>
        <v>790</v>
      </c>
      <c r="J41" s="18" t="s">
        <v>21</v>
      </c>
      <c r="K41" s="18" t="s">
        <v>21</v>
      </c>
      <c r="L41" s="18" t="s">
        <v>1148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17</v>
      </c>
      <c r="D42" s="18" t="s">
        <v>1251</v>
      </c>
      <c r="E42" s="18" t="s">
        <v>1252</v>
      </c>
      <c r="F42" s="19">
        <v>2</v>
      </c>
      <c r="G42" s="19">
        <v>410</v>
      </c>
      <c r="H42" s="19">
        <v>30</v>
      </c>
      <c r="I42" s="19">
        <f t="shared" si="1"/>
        <v>380</v>
      </c>
      <c r="J42" s="18" t="s">
        <v>21</v>
      </c>
      <c r="K42" s="18" t="s">
        <v>21</v>
      </c>
      <c r="L42" s="18" t="s">
        <v>1148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1253</v>
      </c>
      <c r="D43" s="18" t="s">
        <v>1254</v>
      </c>
      <c r="E43" s="18" t="s">
        <v>1255</v>
      </c>
      <c r="F43" s="18" t="s">
        <v>72</v>
      </c>
      <c r="G43" s="19">
        <v>515</v>
      </c>
      <c r="H43" s="19">
        <v>25</v>
      </c>
      <c r="I43" s="19">
        <f t="shared" si="1"/>
        <v>490</v>
      </c>
      <c r="J43" s="18" t="s">
        <v>21</v>
      </c>
      <c r="K43" s="18" t="s">
        <v>21</v>
      </c>
      <c r="L43" s="18" t="s">
        <v>1148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1253</v>
      </c>
      <c r="D44" s="18" t="s">
        <v>1256</v>
      </c>
      <c r="E44" s="18" t="s">
        <v>1255</v>
      </c>
      <c r="F44" s="18" t="s">
        <v>72</v>
      </c>
      <c r="G44" s="19">
        <v>450</v>
      </c>
      <c r="H44" s="19">
        <v>0</v>
      </c>
      <c r="I44" s="19">
        <f t="shared" si="1"/>
        <v>450</v>
      </c>
      <c r="J44" s="18" t="s">
        <v>21</v>
      </c>
      <c r="K44" s="18" t="s">
        <v>21</v>
      </c>
      <c r="L44" s="18" t="s">
        <v>1148</v>
      </c>
      <c r="M44" s="18" t="s">
        <v>312</v>
      </c>
      <c r="N44" s="18"/>
      <c r="O44" s="18"/>
      <c r="P44" s="18"/>
      <c r="Q44" s="18">
        <v>1</v>
      </c>
    </row>
    <row r="45" spans="1:17" x14ac:dyDescent="0.25">
      <c r="A45" s="18" t="s">
        <v>62</v>
      </c>
      <c r="B45" s="18" t="s">
        <v>16</v>
      </c>
      <c r="C45" s="18" t="s">
        <v>640</v>
      </c>
      <c r="D45" s="18"/>
      <c r="E45" s="18" t="s">
        <v>1257</v>
      </c>
      <c r="F45" s="18" t="s">
        <v>72</v>
      </c>
      <c r="G45" s="19">
        <v>4015</v>
      </c>
      <c r="H45" s="19">
        <v>35</v>
      </c>
      <c r="I45" s="19">
        <f t="shared" si="1"/>
        <v>3980</v>
      </c>
      <c r="J45" s="18" t="s">
        <v>21</v>
      </c>
      <c r="K45" s="18" t="s">
        <v>21</v>
      </c>
      <c r="L45" s="18" t="s">
        <v>1148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1258</v>
      </c>
      <c r="D46" s="18" t="s">
        <v>1259</v>
      </c>
      <c r="E46" s="18" t="s">
        <v>1260</v>
      </c>
      <c r="F46" s="19">
        <v>10</v>
      </c>
      <c r="G46" s="19">
        <v>765</v>
      </c>
      <c r="H46" s="19">
        <v>25</v>
      </c>
      <c r="I46" s="19">
        <f t="shared" si="1"/>
        <v>740</v>
      </c>
      <c r="J46" s="18" t="s">
        <v>165</v>
      </c>
      <c r="K46" s="18" t="s">
        <v>21</v>
      </c>
      <c r="L46" s="18" t="s">
        <v>1148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1261</v>
      </c>
      <c r="D47" s="18" t="s">
        <v>1262</v>
      </c>
      <c r="E47" s="18" t="s">
        <v>1263</v>
      </c>
      <c r="F47" s="19">
        <v>3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1148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1264</v>
      </c>
      <c r="D48" s="18" t="s">
        <v>1265</v>
      </c>
      <c r="E48" s="18" t="s">
        <v>1266</v>
      </c>
      <c r="F48" s="18" t="s">
        <v>88</v>
      </c>
      <c r="G48" s="19">
        <v>695</v>
      </c>
      <c r="H48" s="19">
        <v>25</v>
      </c>
      <c r="I48" s="19">
        <f t="shared" ref="I48:I53" si="2">G48-H48</f>
        <v>670</v>
      </c>
      <c r="J48" s="18" t="s">
        <v>165</v>
      </c>
      <c r="K48" s="18" t="s">
        <v>21</v>
      </c>
      <c r="L48" s="18" t="s">
        <v>1148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1267</v>
      </c>
      <c r="D49" s="18" t="s">
        <v>1268</v>
      </c>
      <c r="E49" s="18" t="s">
        <v>1269</v>
      </c>
      <c r="F49" s="19">
        <v>4</v>
      </c>
      <c r="G49" s="19">
        <v>375</v>
      </c>
      <c r="H49" s="19">
        <v>25</v>
      </c>
      <c r="I49" s="19">
        <f t="shared" si="2"/>
        <v>350</v>
      </c>
      <c r="J49" s="18" t="s">
        <v>165</v>
      </c>
      <c r="K49" s="18" t="s">
        <v>21</v>
      </c>
      <c r="L49" s="18" t="s">
        <v>1148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1270</v>
      </c>
      <c r="D50" s="18" t="s">
        <v>1271</v>
      </c>
      <c r="E50" s="18" t="s">
        <v>1272</v>
      </c>
      <c r="F50" s="18" t="s">
        <v>88</v>
      </c>
      <c r="G50" s="19">
        <v>1005</v>
      </c>
      <c r="H50" s="19">
        <v>25</v>
      </c>
      <c r="I50" s="19">
        <f t="shared" si="2"/>
        <v>980</v>
      </c>
      <c r="J50" s="18" t="s">
        <v>165</v>
      </c>
      <c r="K50" s="18" t="s">
        <v>21</v>
      </c>
      <c r="L50" s="18" t="s">
        <v>1148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1273</v>
      </c>
      <c r="D51" s="18" t="s">
        <v>1274</v>
      </c>
      <c r="E51" s="18" t="s">
        <v>1275</v>
      </c>
      <c r="F51" s="19">
        <v>3</v>
      </c>
      <c r="G51" s="19">
        <v>565</v>
      </c>
      <c r="H51" s="19">
        <v>25</v>
      </c>
      <c r="I51" s="19">
        <f t="shared" si="2"/>
        <v>540</v>
      </c>
      <c r="J51" s="18" t="s">
        <v>165</v>
      </c>
      <c r="K51" s="18" t="s">
        <v>21</v>
      </c>
      <c r="L51" s="18" t="s">
        <v>1148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1276</v>
      </c>
      <c r="D52" s="18" t="s">
        <v>1277</v>
      </c>
      <c r="E52" s="18" t="s">
        <v>1278</v>
      </c>
      <c r="F52" s="18" t="s">
        <v>88</v>
      </c>
      <c r="G52" s="19">
        <v>475</v>
      </c>
      <c r="H52" s="19">
        <v>25</v>
      </c>
      <c r="I52" s="19">
        <f t="shared" si="2"/>
        <v>450</v>
      </c>
      <c r="J52" s="18" t="s">
        <v>165</v>
      </c>
      <c r="K52" s="18" t="s">
        <v>21</v>
      </c>
      <c r="L52" s="18" t="s">
        <v>1148</v>
      </c>
      <c r="M52" s="18" t="s">
        <v>312</v>
      </c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1276</v>
      </c>
      <c r="D53" s="18" t="s">
        <v>1279</v>
      </c>
      <c r="E53" s="18" t="s">
        <v>1278</v>
      </c>
      <c r="F53" s="18" t="s">
        <v>88</v>
      </c>
      <c r="G53" s="19">
        <v>920</v>
      </c>
      <c r="H53" s="19">
        <v>0</v>
      </c>
      <c r="I53" s="19">
        <f t="shared" si="2"/>
        <v>920</v>
      </c>
      <c r="J53" s="18" t="s">
        <v>165</v>
      </c>
      <c r="K53" s="18" t="s">
        <v>21</v>
      </c>
      <c r="L53" s="18" t="s">
        <v>1148</v>
      </c>
      <c r="M53" s="18" t="s">
        <v>312</v>
      </c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1280</v>
      </c>
      <c r="D54" s="18" t="s">
        <v>1281</v>
      </c>
      <c r="E54" s="18" t="s">
        <v>1282</v>
      </c>
      <c r="F54" s="19">
        <v>4</v>
      </c>
      <c r="G54" s="19">
        <v>0</v>
      </c>
      <c r="H54" s="19">
        <v>25</v>
      </c>
      <c r="I54" s="19">
        <f>-H54</f>
        <v>-25</v>
      </c>
      <c r="J54" s="18" t="s">
        <v>165</v>
      </c>
      <c r="K54" s="18" t="s">
        <v>21</v>
      </c>
      <c r="L54" s="18" t="s">
        <v>1148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1283</v>
      </c>
      <c r="D55" s="18" t="s">
        <v>1284</v>
      </c>
      <c r="E55" s="18" t="s">
        <v>1285</v>
      </c>
      <c r="F55" s="18" t="s">
        <v>85</v>
      </c>
      <c r="G55" s="19">
        <v>2220</v>
      </c>
      <c r="H55" s="19">
        <v>25</v>
      </c>
      <c r="I55" s="19">
        <f>G55-H55</f>
        <v>2195</v>
      </c>
      <c r="J55" s="18" t="s">
        <v>165</v>
      </c>
      <c r="K55" s="18" t="s">
        <v>21</v>
      </c>
      <c r="L55" s="18" t="s">
        <v>1148</v>
      </c>
      <c r="M55" s="18" t="s">
        <v>398</v>
      </c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1286</v>
      </c>
      <c r="D56" s="18" t="s">
        <v>1287</v>
      </c>
      <c r="E56" s="18" t="s">
        <v>1288</v>
      </c>
      <c r="F56" s="19">
        <v>4</v>
      </c>
      <c r="G56" s="19">
        <v>845</v>
      </c>
      <c r="H56" s="19">
        <v>25</v>
      </c>
      <c r="I56" s="19">
        <f>G56-H56</f>
        <v>820</v>
      </c>
      <c r="J56" s="18" t="s">
        <v>165</v>
      </c>
      <c r="K56" s="18" t="s">
        <v>21</v>
      </c>
      <c r="L56" s="18" t="s">
        <v>1148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1289</v>
      </c>
      <c r="D57" s="18" t="s">
        <v>1290</v>
      </c>
      <c r="E57" s="18" t="s">
        <v>1291</v>
      </c>
      <c r="F57" s="19">
        <v>4</v>
      </c>
      <c r="G57" s="19">
        <v>815</v>
      </c>
      <c r="H57" s="19">
        <v>25</v>
      </c>
      <c r="I57" s="19">
        <f>G57-H57</f>
        <v>790</v>
      </c>
      <c r="J57" s="18" t="s">
        <v>165</v>
      </c>
      <c r="K57" s="18" t="s">
        <v>21</v>
      </c>
      <c r="L57" s="18" t="s">
        <v>1148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1292</v>
      </c>
      <c r="D58" s="18" t="s">
        <v>1293</v>
      </c>
      <c r="E58" s="18" t="s">
        <v>1294</v>
      </c>
      <c r="F58" s="19">
        <v>10</v>
      </c>
      <c r="G58" s="19">
        <v>515</v>
      </c>
      <c r="H58" s="19">
        <v>25</v>
      </c>
      <c r="I58" s="19">
        <f>G58-H58</f>
        <v>490</v>
      </c>
      <c r="J58" s="18" t="s">
        <v>165</v>
      </c>
      <c r="K58" s="18" t="s">
        <v>21</v>
      </c>
      <c r="L58" s="18" t="s">
        <v>1148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1295</v>
      </c>
      <c r="D59" s="18" t="s">
        <v>1296</v>
      </c>
      <c r="E59" s="18" t="s">
        <v>1297</v>
      </c>
      <c r="F59" s="19">
        <v>5</v>
      </c>
      <c r="G59" s="19">
        <v>0</v>
      </c>
      <c r="H59" s="19">
        <v>25</v>
      </c>
      <c r="I59" s="19">
        <f>-H59</f>
        <v>-25</v>
      </c>
      <c r="J59" s="18" t="s">
        <v>165</v>
      </c>
      <c r="K59" s="18" t="s">
        <v>21</v>
      </c>
      <c r="L59" s="18" t="s">
        <v>1148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1298</v>
      </c>
      <c r="D60" s="18" t="s">
        <v>1299</v>
      </c>
      <c r="E60" s="18" t="s">
        <v>1300</v>
      </c>
      <c r="F60" s="19">
        <v>4</v>
      </c>
      <c r="G60" s="19">
        <v>25</v>
      </c>
      <c r="H60" s="19">
        <v>25</v>
      </c>
      <c r="I60" s="19">
        <f t="shared" ref="I60:I66" si="3">G60-H60</f>
        <v>0</v>
      </c>
      <c r="J60" s="18" t="s">
        <v>165</v>
      </c>
      <c r="K60" s="18" t="s">
        <v>21</v>
      </c>
      <c r="L60" s="18" t="s">
        <v>1148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313</v>
      </c>
      <c r="D61" s="18" t="s">
        <v>1301</v>
      </c>
      <c r="E61" s="18" t="s">
        <v>315</v>
      </c>
      <c r="F61" s="18" t="s">
        <v>88</v>
      </c>
      <c r="G61" s="19">
        <v>1185</v>
      </c>
      <c r="H61" s="19">
        <v>25</v>
      </c>
      <c r="I61" s="19">
        <f t="shared" si="3"/>
        <v>1160</v>
      </c>
      <c r="J61" s="18" t="s">
        <v>165</v>
      </c>
      <c r="K61" s="18" t="s">
        <v>21</v>
      </c>
      <c r="L61" s="18" t="s">
        <v>1148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1302</v>
      </c>
      <c r="D62" s="18" t="s">
        <v>1303</v>
      </c>
      <c r="E62" s="18" t="s">
        <v>1304</v>
      </c>
      <c r="F62" s="18" t="s">
        <v>88</v>
      </c>
      <c r="G62" s="19">
        <v>535</v>
      </c>
      <c r="H62" s="19">
        <v>25</v>
      </c>
      <c r="I62" s="19">
        <f t="shared" si="3"/>
        <v>510</v>
      </c>
      <c r="J62" s="18" t="s">
        <v>165</v>
      </c>
      <c r="K62" s="18" t="s">
        <v>21</v>
      </c>
      <c r="L62" s="18" t="s">
        <v>1148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1141</v>
      </c>
      <c r="D63" s="18" t="s">
        <v>1305</v>
      </c>
      <c r="E63" s="18" t="s">
        <v>1143</v>
      </c>
      <c r="F63" s="19">
        <v>4</v>
      </c>
      <c r="G63" s="19">
        <v>615</v>
      </c>
      <c r="H63" s="19">
        <v>25</v>
      </c>
      <c r="I63" s="19">
        <f t="shared" si="3"/>
        <v>590</v>
      </c>
      <c r="J63" s="18" t="s">
        <v>165</v>
      </c>
      <c r="K63" s="18" t="s">
        <v>21</v>
      </c>
      <c r="L63" s="18" t="s">
        <v>1148</v>
      </c>
      <c r="M63" s="18"/>
      <c r="N63" s="18"/>
      <c r="O63" s="18"/>
      <c r="P63" s="18"/>
      <c r="Q63" s="18">
        <v>1</v>
      </c>
    </row>
    <row r="64" spans="1:17" x14ac:dyDescent="0.25">
      <c r="A64" s="18" t="s">
        <v>62</v>
      </c>
      <c r="B64" s="18" t="s">
        <v>16</v>
      </c>
      <c r="C64" s="18" t="s">
        <v>1008</v>
      </c>
      <c r="D64" s="18"/>
      <c r="E64" s="18" t="s">
        <v>1010</v>
      </c>
      <c r="F64" s="19">
        <v>3</v>
      </c>
      <c r="G64" s="19">
        <v>25</v>
      </c>
      <c r="H64" s="19">
        <v>25</v>
      </c>
      <c r="I64" s="19">
        <f t="shared" si="3"/>
        <v>0</v>
      </c>
      <c r="J64" s="18" t="s">
        <v>165</v>
      </c>
      <c r="K64" s="18" t="s">
        <v>21</v>
      </c>
      <c r="L64" s="18" t="s">
        <v>1148</v>
      </c>
      <c r="M64" s="18"/>
      <c r="N64" s="18"/>
      <c r="O64" s="18"/>
      <c r="P64" s="18"/>
      <c r="Q64" s="18">
        <v>1</v>
      </c>
    </row>
    <row r="65" spans="1:17" x14ac:dyDescent="0.25">
      <c r="A65" s="18" t="s">
        <v>62</v>
      </c>
      <c r="B65" s="18" t="s">
        <v>16</v>
      </c>
      <c r="C65" s="18" t="s">
        <v>441</v>
      </c>
      <c r="D65" s="18"/>
      <c r="E65" s="18" t="s">
        <v>442</v>
      </c>
      <c r="F65" s="18" t="s">
        <v>88</v>
      </c>
      <c r="G65" s="19">
        <v>30</v>
      </c>
      <c r="H65" s="19">
        <v>30</v>
      </c>
      <c r="I65" s="19">
        <f t="shared" si="3"/>
        <v>0</v>
      </c>
      <c r="J65" s="18" t="s">
        <v>165</v>
      </c>
      <c r="K65" s="18" t="s">
        <v>21</v>
      </c>
      <c r="L65" s="18" t="s">
        <v>1148</v>
      </c>
      <c r="M65" s="18"/>
      <c r="N65" s="18"/>
      <c r="O65" s="18"/>
      <c r="P65" s="18"/>
      <c r="Q65" s="18">
        <v>1</v>
      </c>
    </row>
    <row r="66" spans="1:17" s="2" customFormat="1" x14ac:dyDescent="0.25">
      <c r="A66" s="20"/>
      <c r="B66" s="20" t="s">
        <v>16</v>
      </c>
      <c r="C66" s="20" t="s">
        <v>997</v>
      </c>
      <c r="D66" s="20" t="s">
        <v>998</v>
      </c>
      <c r="E66" s="20" t="s">
        <v>999</v>
      </c>
      <c r="F66" s="21">
        <v>1</v>
      </c>
      <c r="G66" s="21">
        <v>815</v>
      </c>
      <c r="H66" s="21">
        <v>25</v>
      </c>
      <c r="I66" s="21">
        <f t="shared" si="3"/>
        <v>790</v>
      </c>
      <c r="J66" s="20" t="s">
        <v>446</v>
      </c>
      <c r="K66" s="20" t="s">
        <v>21</v>
      </c>
      <c r="L66" s="20" t="s">
        <v>895</v>
      </c>
      <c r="M66" s="20" t="s">
        <v>1306</v>
      </c>
      <c r="N66" s="20" t="s">
        <v>448</v>
      </c>
      <c r="O66" s="20" t="s">
        <v>448</v>
      </c>
      <c r="P66" s="20" t="s">
        <v>449</v>
      </c>
      <c r="Q66" s="20">
        <v>1</v>
      </c>
    </row>
    <row r="68" spans="1:17" x14ac:dyDescent="0.25">
      <c r="D68" s="1">
        <f>COUNTA(D3:D66)</f>
        <v>59</v>
      </c>
      <c r="G68" s="1">
        <f t="shared" ref="G68:Q68" si="4">SUBTOTAL(9,G3:G66)</f>
        <v>42735</v>
      </c>
      <c r="H68" s="1">
        <f t="shared" si="4"/>
        <v>1670</v>
      </c>
      <c r="I68" s="1">
        <f t="shared" si="4"/>
        <v>41065</v>
      </c>
      <c r="J68" s="1">
        <f t="shared" si="4"/>
        <v>0</v>
      </c>
      <c r="K68" s="1">
        <f t="shared" si="4"/>
        <v>0</v>
      </c>
      <c r="L68" s="1">
        <f t="shared" si="4"/>
        <v>0</v>
      </c>
      <c r="M68" s="1">
        <f t="shared" si="4"/>
        <v>0</v>
      </c>
      <c r="N68" s="1">
        <f t="shared" si="4"/>
        <v>0</v>
      </c>
      <c r="O68" s="1">
        <f t="shared" si="4"/>
        <v>0</v>
      </c>
      <c r="P68" s="1">
        <f t="shared" si="4"/>
        <v>0</v>
      </c>
      <c r="Q68" s="1">
        <f t="shared" si="4"/>
        <v>64</v>
      </c>
    </row>
    <row r="69" spans="1:17" x14ac:dyDescent="0.25">
      <c r="H69">
        <f>-16*17</f>
        <v>-272</v>
      </c>
    </row>
    <row r="70" spans="1:17" x14ac:dyDescent="0.25">
      <c r="A70" s="1" t="s">
        <v>16</v>
      </c>
      <c r="C70" s="42" t="s">
        <v>89</v>
      </c>
      <c r="D70" s="42"/>
      <c r="E70" s="4" t="s">
        <v>90</v>
      </c>
      <c r="H70">
        <f>-8*25</f>
        <v>-200</v>
      </c>
      <c r="K70" s="7" t="s">
        <v>1155</v>
      </c>
      <c r="L70" s="7" t="s">
        <v>91</v>
      </c>
      <c r="M70" s="7" t="s">
        <v>90</v>
      </c>
      <c r="O70" s="4" t="s">
        <v>92</v>
      </c>
    </row>
    <row r="71" spans="1:17" x14ac:dyDescent="0.25">
      <c r="A71" t="s">
        <v>1148</v>
      </c>
      <c r="B71" s="3" t="s">
        <v>93</v>
      </c>
      <c r="C71" s="43">
        <f>SUMIFS(I$3:I$66,B$3:B$66,A$70,L$3:L$66,A$71)</f>
        <v>40275</v>
      </c>
      <c r="D71" s="43"/>
      <c r="E71" s="3">
        <f>SUMIFS(Q$3:Q$66,B$3:B$66,A$70,L$3:L$66,A$71)</f>
        <v>63</v>
      </c>
      <c r="F71" t="s">
        <v>94</v>
      </c>
      <c r="H71">
        <f>-2*30</f>
        <v>-60</v>
      </c>
      <c r="K71" t="s">
        <v>95</v>
      </c>
      <c r="L71">
        <f>SUMIFS(G$3:G$66,J$3:J$66,K$70)</f>
        <v>16365</v>
      </c>
      <c r="M71">
        <f>SUMIFS(Q$3:Q$66,J$3:J$66,K$70)</f>
        <v>26</v>
      </c>
      <c r="O71" t="s">
        <v>1307</v>
      </c>
      <c r="P71">
        <f>L76</f>
        <v>15833</v>
      </c>
    </row>
    <row r="72" spans="1:17" x14ac:dyDescent="0.25">
      <c r="B72" s="2" t="s">
        <v>97</v>
      </c>
      <c r="C72" s="44">
        <v>0</v>
      </c>
      <c r="D72" s="44"/>
      <c r="K72" t="s">
        <v>98</v>
      </c>
      <c r="L72">
        <f>SUM(H69:H71)</f>
        <v>-532</v>
      </c>
      <c r="M72">
        <f>SUMIFS(Q$3:Q$66,J$3:J$66,K$70)</f>
        <v>26</v>
      </c>
      <c r="O72" t="s">
        <v>21</v>
      </c>
      <c r="P72">
        <f>L84</f>
        <v>12122</v>
      </c>
    </row>
    <row r="73" spans="1:17" x14ac:dyDescent="0.25">
      <c r="B73" s="2" t="s">
        <v>99</v>
      </c>
      <c r="C73" s="44">
        <f>-SUMIFS(I$3:I$66,B$3:B$66,A$70,P$3:P$66,"xx",N$3:N$66,"x")</f>
        <v>-790</v>
      </c>
      <c r="D73" s="44"/>
      <c r="E73" s="2">
        <f>SUMIFS(Q$3:Q$66,B$3:B$66,A$70,P$3:P$66,"xx",N$3:N$66,"x")</f>
        <v>1</v>
      </c>
      <c r="K73" t="s">
        <v>100</v>
      </c>
      <c r="O73" t="s">
        <v>20</v>
      </c>
      <c r="P73">
        <f>L92</f>
        <v>1350</v>
      </c>
    </row>
    <row r="74" spans="1:17" x14ac:dyDescent="0.25">
      <c r="B74" s="4" t="s">
        <v>101</v>
      </c>
      <c r="C74" s="42">
        <f>SUBTOTAL(9,C71:C73)</f>
        <v>39485</v>
      </c>
      <c r="D74" s="42"/>
      <c r="E74">
        <f>E71</f>
        <v>63</v>
      </c>
      <c r="K74" s="2" t="s">
        <v>102</v>
      </c>
      <c r="O74" t="s">
        <v>165</v>
      </c>
      <c r="P74">
        <f>L100</f>
        <v>10425</v>
      </c>
    </row>
    <row r="75" spans="1:17" x14ac:dyDescent="0.25">
      <c r="B75" s="2" t="s">
        <v>104</v>
      </c>
      <c r="C75" s="40"/>
      <c r="D75" s="40"/>
      <c r="K75" s="2" t="s">
        <v>105</v>
      </c>
      <c r="O75" t="s">
        <v>103</v>
      </c>
      <c r="P75">
        <f>-C78</f>
        <v>-39485</v>
      </c>
    </row>
    <row r="76" spans="1:17" x14ac:dyDescent="0.25">
      <c r="B76" s="8" t="s">
        <v>107</v>
      </c>
      <c r="C76" s="40"/>
      <c r="D76" s="40"/>
      <c r="L76" s="9">
        <f>SUBTOTAL(9,L71:L75)</f>
        <v>15833</v>
      </c>
      <c r="M76" s="9">
        <f>M71</f>
        <v>26</v>
      </c>
      <c r="O76" s="4" t="s">
        <v>106</v>
      </c>
      <c r="P76" s="4">
        <f>SUBTOTAL(9,P71:P75)</f>
        <v>245</v>
      </c>
    </row>
    <row r="78" spans="1:17" x14ac:dyDescent="0.25">
      <c r="B78" s="1" t="s">
        <v>108</v>
      </c>
      <c r="C78" s="41">
        <f>C74+C75+C76</f>
        <v>39485</v>
      </c>
      <c r="D78" s="41"/>
      <c r="E78" s="1" t="s">
        <v>109</v>
      </c>
      <c r="K78" s="7" t="s">
        <v>21</v>
      </c>
      <c r="L78" s="7" t="s">
        <v>91</v>
      </c>
      <c r="M78" s="7" t="s">
        <v>90</v>
      </c>
    </row>
    <row r="79" spans="1:17" x14ac:dyDescent="0.25">
      <c r="K79" t="s">
        <v>95</v>
      </c>
      <c r="L79">
        <f>SUMIFS(G$3:G$66,J$3:J$66,K$78)</f>
        <v>12545</v>
      </c>
      <c r="M79">
        <f>SUMIFS(Q$3:Q$66,J$3:J$66,K$78)</f>
        <v>15</v>
      </c>
    </row>
    <row r="80" spans="1:17" x14ac:dyDescent="0.25">
      <c r="K80" t="s">
        <v>98</v>
      </c>
      <c r="L80">
        <f>-SUMIFS(H$3:H$66,J$3:J$66,K$78)+M80*5</f>
        <v>-305</v>
      </c>
      <c r="M80">
        <f>SUMIFS(Q$3:Q$66,J$3:J$66,K$78)-COUNTIFS(J$3:J$66,K$78,M$3:M$66,"*gộp*")</f>
        <v>11</v>
      </c>
    </row>
    <row r="81" spans="11:13" x14ac:dyDescent="0.25">
      <c r="K81" t="s">
        <v>100</v>
      </c>
      <c r="L81">
        <f>-M81*2</f>
        <v>-118</v>
      </c>
      <c r="M81">
        <f>Q68-(COUNTIFS(M$3:M$66,"*gộp*")/2)-COUNTIFS(P$3:P$66,"*xx*")*2</f>
        <v>59</v>
      </c>
    </row>
    <row r="82" spans="11:13" x14ac:dyDescent="0.25">
      <c r="K82" s="2" t="s">
        <v>102</v>
      </c>
    </row>
    <row r="83" spans="11:13" x14ac:dyDescent="0.25">
      <c r="K83" s="2" t="s">
        <v>105</v>
      </c>
    </row>
    <row r="84" spans="11:13" x14ac:dyDescent="0.25">
      <c r="L84" s="9">
        <f>SUBTOTAL(9,L79:L83)</f>
        <v>12122</v>
      </c>
      <c r="M84" s="9">
        <f>M79</f>
        <v>15</v>
      </c>
    </row>
    <row r="86" spans="11:13" x14ac:dyDescent="0.25">
      <c r="K86" s="7" t="s">
        <v>20</v>
      </c>
      <c r="L86" s="7" t="s">
        <v>91</v>
      </c>
      <c r="M86" s="7" t="s">
        <v>90</v>
      </c>
    </row>
    <row r="87" spans="11:13" x14ac:dyDescent="0.25">
      <c r="K87" t="s">
        <v>95</v>
      </c>
      <c r="L87">
        <f>SUMIFS(G$3:G$66,J$3:J$66,K$86)</f>
        <v>1400</v>
      </c>
      <c r="M87">
        <f>SUMIFS(Q$3:Q$66,J$3:J$66,K$86)</f>
        <v>2</v>
      </c>
    </row>
    <row r="88" spans="11:13" x14ac:dyDescent="0.25">
      <c r="K88" t="s">
        <v>98</v>
      </c>
      <c r="L88">
        <f>-SUMIFS(H$3:H$66,J$3:J$66,K$86)+M88*5</f>
        <v>-50</v>
      </c>
      <c r="M88">
        <f>SUMIFS(Q$3:Q$66,J$3:J$66,K$86)-COUNTIFS(J$3:J$66,K$86,M$3:M$66,"*gộp*")</f>
        <v>2</v>
      </c>
    </row>
    <row r="89" spans="11:13" x14ac:dyDescent="0.25">
      <c r="K89" t="s">
        <v>100</v>
      </c>
    </row>
    <row r="90" spans="11:13" x14ac:dyDescent="0.25">
      <c r="K90" s="2" t="s">
        <v>102</v>
      </c>
    </row>
    <row r="91" spans="11:13" x14ac:dyDescent="0.25">
      <c r="K91" s="2" t="s">
        <v>105</v>
      </c>
    </row>
    <row r="92" spans="11:13" x14ac:dyDescent="0.25">
      <c r="L92" s="9">
        <f>SUBTOTAL(9,L87:L91)</f>
        <v>1350</v>
      </c>
      <c r="M92" s="9">
        <f>M87</f>
        <v>2</v>
      </c>
    </row>
    <row r="94" spans="11:13" x14ac:dyDescent="0.25">
      <c r="K94" s="7" t="s">
        <v>165</v>
      </c>
      <c r="L94" s="7" t="s">
        <v>91</v>
      </c>
      <c r="M94" s="7" t="s">
        <v>90</v>
      </c>
    </row>
    <row r="95" spans="11:13" x14ac:dyDescent="0.25">
      <c r="K95" t="s">
        <v>95</v>
      </c>
      <c r="L95">
        <f>SUMIFS(G$3:G$66,J$3:J$66,K$94)</f>
        <v>11610</v>
      </c>
      <c r="M95">
        <f>SUMIFS(Q$3:Q$66,J$3:J$66,K$94)</f>
        <v>20</v>
      </c>
    </row>
    <row r="96" spans="11:13" x14ac:dyDescent="0.25">
      <c r="K96" t="s">
        <v>98</v>
      </c>
      <c r="L96">
        <f>-SUMIFS(H$3:H$66,J$3:J$66,K$94)+M96*5</f>
        <v>-390</v>
      </c>
      <c r="M96">
        <f>SUMIFS(Q$3:Q$66,J$3:J$66,K$94)-COUNTIFS(J$3:J$66,K$94,M$3:M$66,"*gộp*")</f>
        <v>18</v>
      </c>
    </row>
    <row r="97" spans="11:13" x14ac:dyDescent="0.25">
      <c r="K97" t="s">
        <v>100</v>
      </c>
    </row>
    <row r="98" spans="11:13" x14ac:dyDescent="0.25">
      <c r="K98" s="2" t="s">
        <v>102</v>
      </c>
      <c r="L98" s="2">
        <v>-795</v>
      </c>
      <c r="M98" s="13" t="s">
        <v>451</v>
      </c>
    </row>
    <row r="99" spans="11:13" x14ac:dyDescent="0.25">
      <c r="K99" s="2" t="s">
        <v>105</v>
      </c>
    </row>
    <row r="100" spans="11:13" x14ac:dyDescent="0.25">
      <c r="L100" s="9">
        <f>SUBTOTAL(9,L95:L99)</f>
        <v>10425</v>
      </c>
      <c r="M100" s="9">
        <f>M95</f>
        <v>20</v>
      </c>
    </row>
  </sheetData>
  <autoFilter ref="A2:P66" xr:uid="{00000000-0009-0000-0000-00000A000000}">
    <sortState xmlns:xlrd2="http://schemas.microsoft.com/office/spreadsheetml/2017/richdata2" ref="A3:P66">
      <sortCondition ref="J2:J66"/>
    </sortState>
  </autoFilter>
  <mergeCells count="8">
    <mergeCell ref="C75:D75"/>
    <mergeCell ref="C76:D76"/>
    <mergeCell ref="C78:D78"/>
    <mergeCell ref="C70:D70"/>
    <mergeCell ref="C71:D71"/>
    <mergeCell ref="C72:D72"/>
    <mergeCell ref="C73:D73"/>
    <mergeCell ref="C74:D74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Q60"/>
  <sheetViews>
    <sheetView workbookViewId="0">
      <selection activeCell="C26" sqref="C26"/>
    </sheetView>
  </sheetViews>
  <sheetFormatPr defaultRowHeight="15" x14ac:dyDescent="0.25"/>
  <cols>
    <col min="1" max="1" width="12.7109375" customWidth="1"/>
    <col min="2" max="2" width="17.7109375" customWidth="1"/>
    <col min="3" max="3" width="21.7109375" customWidth="1"/>
    <col min="4" max="4" width="9.85546875" customWidth="1"/>
    <col min="5" max="5" width="8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3" bestFit="1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1308</v>
      </c>
      <c r="D3" s="18" t="s">
        <v>1309</v>
      </c>
      <c r="E3" s="18" t="s">
        <v>1310</v>
      </c>
      <c r="F3" s="19">
        <v>9</v>
      </c>
      <c r="G3" s="19">
        <v>520</v>
      </c>
      <c r="H3" s="19">
        <v>30</v>
      </c>
      <c r="I3" s="19">
        <f>G3-H3</f>
        <v>490</v>
      </c>
      <c r="J3" s="18" t="s">
        <v>20</v>
      </c>
      <c r="K3" s="18" t="s">
        <v>21</v>
      </c>
      <c r="L3" s="18" t="s">
        <v>1311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1312</v>
      </c>
      <c r="D4" s="18" t="s">
        <v>1313</v>
      </c>
      <c r="E4" s="18" t="s">
        <v>1314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20</v>
      </c>
      <c r="K4" s="18" t="s">
        <v>21</v>
      </c>
      <c r="L4" s="18" t="s">
        <v>1311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1315</v>
      </c>
      <c r="D5" s="18" t="s">
        <v>1316</v>
      </c>
      <c r="E5" s="18" t="s">
        <v>1317</v>
      </c>
      <c r="F5" s="19">
        <v>5</v>
      </c>
      <c r="G5" s="19">
        <v>0</v>
      </c>
      <c r="H5" s="19">
        <v>25</v>
      </c>
      <c r="I5" s="19">
        <f>-H5</f>
        <v>-25</v>
      </c>
      <c r="J5" s="18" t="s">
        <v>20</v>
      </c>
      <c r="K5" s="18" t="s">
        <v>21</v>
      </c>
      <c r="L5" s="18" t="s">
        <v>1311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1318</v>
      </c>
      <c r="D6" s="18" t="s">
        <v>1319</v>
      </c>
      <c r="E6" s="18" t="s">
        <v>1320</v>
      </c>
      <c r="F6" s="18" t="s">
        <v>26</v>
      </c>
      <c r="G6" s="19">
        <v>740</v>
      </c>
      <c r="H6" s="19">
        <v>30</v>
      </c>
      <c r="I6" s="19">
        <f>G6-H6</f>
        <v>710</v>
      </c>
      <c r="J6" s="18" t="s">
        <v>1321</v>
      </c>
      <c r="K6" s="18" t="s">
        <v>21</v>
      </c>
      <c r="L6" s="18" t="s">
        <v>1311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982</v>
      </c>
      <c r="D7" s="18" t="s">
        <v>1322</v>
      </c>
      <c r="E7" s="18" t="s">
        <v>1323</v>
      </c>
      <c r="F7" s="19">
        <v>10</v>
      </c>
      <c r="G7" s="19">
        <v>1075</v>
      </c>
      <c r="H7" s="19">
        <v>25</v>
      </c>
      <c r="I7" s="19">
        <f>G7-H7</f>
        <v>1050</v>
      </c>
      <c r="J7" s="18" t="s">
        <v>1321</v>
      </c>
      <c r="K7" s="18" t="s">
        <v>21</v>
      </c>
      <c r="L7" s="18" t="s">
        <v>1311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1324</v>
      </c>
      <c r="D8" s="18" t="s">
        <v>1325</v>
      </c>
      <c r="E8" s="18" t="s">
        <v>1326</v>
      </c>
      <c r="F8" s="19">
        <v>1</v>
      </c>
      <c r="G8" s="19">
        <v>0</v>
      </c>
      <c r="H8" s="19">
        <v>25</v>
      </c>
      <c r="I8" s="19">
        <f>-H8</f>
        <v>-25</v>
      </c>
      <c r="J8" s="18" t="s">
        <v>1321</v>
      </c>
      <c r="K8" s="18" t="s">
        <v>21</v>
      </c>
      <c r="L8" s="18" t="s">
        <v>1311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1327</v>
      </c>
      <c r="D9" s="18" t="s">
        <v>1328</v>
      </c>
      <c r="E9" s="18" t="s">
        <v>1329</v>
      </c>
      <c r="F9" s="19">
        <v>1</v>
      </c>
      <c r="G9" s="19">
        <v>835</v>
      </c>
      <c r="H9" s="19">
        <v>25</v>
      </c>
      <c r="I9" s="19">
        <f>G9-H9</f>
        <v>810</v>
      </c>
      <c r="J9" s="18" t="s">
        <v>1321</v>
      </c>
      <c r="K9" s="18" t="s">
        <v>21</v>
      </c>
      <c r="L9" s="18" t="s">
        <v>1311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1330</v>
      </c>
      <c r="D10" s="18" t="s">
        <v>1331</v>
      </c>
      <c r="E10" s="18" t="s">
        <v>1332</v>
      </c>
      <c r="F10" s="18" t="s">
        <v>128</v>
      </c>
      <c r="G10" s="19">
        <v>135</v>
      </c>
      <c r="H10" s="19">
        <v>35</v>
      </c>
      <c r="I10" s="19">
        <f>G10-H10</f>
        <v>100</v>
      </c>
      <c r="J10" s="18" t="s">
        <v>1321</v>
      </c>
      <c r="K10" s="18" t="s">
        <v>21</v>
      </c>
      <c r="L10" s="18" t="s">
        <v>1311</v>
      </c>
      <c r="M10" s="18" t="s">
        <v>49</v>
      </c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1253</v>
      </c>
      <c r="D11" s="18" t="s">
        <v>1333</v>
      </c>
      <c r="E11" s="18" t="s">
        <v>1255</v>
      </c>
      <c r="F11" s="18" t="s">
        <v>72</v>
      </c>
      <c r="G11" s="19">
        <v>25</v>
      </c>
      <c r="H11" s="19">
        <v>25</v>
      </c>
      <c r="I11" s="19">
        <f>G11-H11</f>
        <v>0</v>
      </c>
      <c r="J11" s="18" t="s">
        <v>21</v>
      </c>
      <c r="K11" s="18" t="s">
        <v>21</v>
      </c>
      <c r="L11" s="18" t="s">
        <v>1311</v>
      </c>
      <c r="M11" s="18" t="s">
        <v>49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1334</v>
      </c>
      <c r="D12" s="18" t="s">
        <v>1335</v>
      </c>
      <c r="E12" s="18" t="s">
        <v>1158</v>
      </c>
      <c r="F12" s="19">
        <v>12</v>
      </c>
      <c r="G12" s="19">
        <v>0</v>
      </c>
      <c r="H12" s="19">
        <v>30</v>
      </c>
      <c r="I12" s="19">
        <f>-H12</f>
        <v>-30</v>
      </c>
      <c r="J12" s="18" t="s">
        <v>21</v>
      </c>
      <c r="K12" s="18" t="s">
        <v>21</v>
      </c>
      <c r="L12" s="18" t="s">
        <v>1311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943</v>
      </c>
      <c r="D13" s="18" t="s">
        <v>1336</v>
      </c>
      <c r="E13" s="18" t="s">
        <v>945</v>
      </c>
      <c r="F13" s="19">
        <v>2</v>
      </c>
      <c r="G13" s="19">
        <v>820</v>
      </c>
      <c r="H13" s="19">
        <v>30</v>
      </c>
      <c r="I13" s="19">
        <f t="shared" ref="I13:I19" si="0">G13-H13</f>
        <v>790</v>
      </c>
      <c r="J13" s="18" t="s">
        <v>21</v>
      </c>
      <c r="K13" s="18" t="s">
        <v>21</v>
      </c>
      <c r="L13" s="18" t="s">
        <v>1311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1337</v>
      </c>
      <c r="D14" s="18" t="s">
        <v>1338</v>
      </c>
      <c r="E14" s="18" t="s">
        <v>1339</v>
      </c>
      <c r="F14" s="19">
        <v>12</v>
      </c>
      <c r="G14" s="19">
        <v>720</v>
      </c>
      <c r="H14" s="19">
        <v>30</v>
      </c>
      <c r="I14" s="19">
        <f t="shared" si="0"/>
        <v>690</v>
      </c>
      <c r="J14" s="18" t="s">
        <v>21</v>
      </c>
      <c r="K14" s="18" t="s">
        <v>21</v>
      </c>
      <c r="L14" s="18" t="s">
        <v>1311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1340</v>
      </c>
      <c r="D15" s="18" t="s">
        <v>1341</v>
      </c>
      <c r="E15" s="18" t="s">
        <v>1342</v>
      </c>
      <c r="F15" s="18" t="s">
        <v>72</v>
      </c>
      <c r="G15" s="19">
        <v>1115</v>
      </c>
      <c r="H15" s="19">
        <v>25</v>
      </c>
      <c r="I15" s="19">
        <f t="shared" si="0"/>
        <v>1090</v>
      </c>
      <c r="J15" s="18" t="s">
        <v>21</v>
      </c>
      <c r="K15" s="18" t="s">
        <v>21</v>
      </c>
      <c r="L15" s="18" t="s">
        <v>1311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539</v>
      </c>
      <c r="D16" s="18" t="s">
        <v>1343</v>
      </c>
      <c r="E16" s="18" t="s">
        <v>1344</v>
      </c>
      <c r="F16" s="18" t="s">
        <v>68</v>
      </c>
      <c r="G16" s="19">
        <v>770</v>
      </c>
      <c r="H16" s="19">
        <v>20</v>
      </c>
      <c r="I16" s="19">
        <f t="shared" si="0"/>
        <v>750</v>
      </c>
      <c r="J16" s="18" t="s">
        <v>21</v>
      </c>
      <c r="K16" s="18" t="s">
        <v>21</v>
      </c>
      <c r="L16" s="18" t="s">
        <v>1311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1345</v>
      </c>
      <c r="D17" s="18" t="s">
        <v>1346</v>
      </c>
      <c r="E17" s="18" t="s">
        <v>1347</v>
      </c>
      <c r="F17" s="19">
        <v>12</v>
      </c>
      <c r="G17" s="19">
        <v>1530</v>
      </c>
      <c r="H17" s="19">
        <v>30</v>
      </c>
      <c r="I17" s="19">
        <f t="shared" si="0"/>
        <v>1500</v>
      </c>
      <c r="J17" s="18" t="s">
        <v>21</v>
      </c>
      <c r="K17" s="18" t="s">
        <v>21</v>
      </c>
      <c r="L17" s="18" t="s">
        <v>1311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1348</v>
      </c>
      <c r="D18" s="18" t="s">
        <v>1349</v>
      </c>
      <c r="E18" s="18" t="s">
        <v>1350</v>
      </c>
      <c r="F18" s="18" t="s">
        <v>68</v>
      </c>
      <c r="G18" s="19">
        <v>840</v>
      </c>
      <c r="H18" s="19">
        <v>20</v>
      </c>
      <c r="I18" s="19">
        <f t="shared" si="0"/>
        <v>820</v>
      </c>
      <c r="J18" s="18" t="s">
        <v>21</v>
      </c>
      <c r="K18" s="18" t="s">
        <v>21</v>
      </c>
      <c r="L18" s="18" t="s">
        <v>1311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838</v>
      </c>
      <c r="D19" s="18" t="s">
        <v>1351</v>
      </c>
      <c r="E19" s="18" t="s">
        <v>1352</v>
      </c>
      <c r="F19" s="18" t="s">
        <v>153</v>
      </c>
      <c r="G19" s="19">
        <v>570</v>
      </c>
      <c r="H19" s="19">
        <v>30</v>
      </c>
      <c r="I19" s="19">
        <f t="shared" si="0"/>
        <v>540</v>
      </c>
      <c r="J19" s="18" t="s">
        <v>21</v>
      </c>
      <c r="K19" s="18" t="s">
        <v>21</v>
      </c>
      <c r="L19" s="18" t="s">
        <v>1311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1353</v>
      </c>
      <c r="D20" s="18" t="s">
        <v>1354</v>
      </c>
      <c r="E20" s="18" t="s">
        <v>416</v>
      </c>
      <c r="F20" s="19">
        <v>12</v>
      </c>
      <c r="G20" s="19">
        <v>0</v>
      </c>
      <c r="H20" s="19">
        <v>30</v>
      </c>
      <c r="I20" s="19">
        <f>-H20</f>
        <v>-30</v>
      </c>
      <c r="J20" s="18" t="s">
        <v>21</v>
      </c>
      <c r="K20" s="18" t="s">
        <v>21</v>
      </c>
      <c r="L20" s="18" t="s">
        <v>1311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1355</v>
      </c>
      <c r="D21" s="18" t="s">
        <v>1356</v>
      </c>
      <c r="E21" s="18" t="s">
        <v>1357</v>
      </c>
      <c r="F21" s="18" t="s">
        <v>72</v>
      </c>
      <c r="G21" s="19">
        <v>865</v>
      </c>
      <c r="H21" s="19">
        <v>25</v>
      </c>
      <c r="I21" s="19">
        <f t="shared" ref="I21:I26" si="1">G21-H21</f>
        <v>840</v>
      </c>
      <c r="J21" s="18" t="s">
        <v>21</v>
      </c>
      <c r="K21" s="18" t="s">
        <v>21</v>
      </c>
      <c r="L21" s="18" t="s">
        <v>1311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1358</v>
      </c>
      <c r="D22" s="18"/>
      <c r="E22" s="18" t="s">
        <v>1359</v>
      </c>
      <c r="F22" s="18" t="s">
        <v>88</v>
      </c>
      <c r="G22" s="19">
        <v>30</v>
      </c>
      <c r="H22" s="19">
        <v>30</v>
      </c>
      <c r="I22" s="19">
        <f t="shared" si="1"/>
        <v>0</v>
      </c>
      <c r="J22" s="18" t="s">
        <v>165</v>
      </c>
      <c r="K22" s="18" t="s">
        <v>21</v>
      </c>
      <c r="L22" s="18" t="s">
        <v>1311</v>
      </c>
      <c r="M22" s="18"/>
      <c r="N22" s="18"/>
      <c r="O22" s="18"/>
      <c r="P22" s="18"/>
      <c r="Q22" s="18">
        <v>1</v>
      </c>
    </row>
    <row r="23" spans="1:17" s="2" customFormat="1" x14ac:dyDescent="0.25">
      <c r="A23" s="20"/>
      <c r="B23" s="20" t="s">
        <v>16</v>
      </c>
      <c r="C23" s="20" t="s">
        <v>1360</v>
      </c>
      <c r="D23" s="20" t="s">
        <v>1361</v>
      </c>
      <c r="E23" s="20" t="s">
        <v>1362</v>
      </c>
      <c r="F23" s="21">
        <v>12</v>
      </c>
      <c r="G23" s="21">
        <v>740</v>
      </c>
      <c r="H23" s="21">
        <v>30</v>
      </c>
      <c r="I23" s="21">
        <f t="shared" si="1"/>
        <v>710</v>
      </c>
      <c r="J23" s="20" t="s">
        <v>1363</v>
      </c>
      <c r="K23" s="20" t="s">
        <v>21</v>
      </c>
      <c r="L23" s="20" t="s">
        <v>447</v>
      </c>
      <c r="M23" s="20" t="s">
        <v>102</v>
      </c>
      <c r="N23" s="20" t="s">
        <v>448</v>
      </c>
      <c r="O23" s="20" t="s">
        <v>448</v>
      </c>
      <c r="P23" s="20" t="s">
        <v>449</v>
      </c>
      <c r="Q23" s="21">
        <v>1</v>
      </c>
    </row>
    <row r="24" spans="1:17" s="2" customFormat="1" x14ac:dyDescent="0.25">
      <c r="A24" s="20"/>
      <c r="B24" s="20" t="s">
        <v>16</v>
      </c>
      <c r="C24" s="20" t="s">
        <v>1364</v>
      </c>
      <c r="D24" s="20" t="s">
        <v>1365</v>
      </c>
      <c r="E24" s="20" t="s">
        <v>1366</v>
      </c>
      <c r="F24" s="21">
        <v>2</v>
      </c>
      <c r="G24" s="21">
        <v>700</v>
      </c>
      <c r="H24" s="21">
        <v>30</v>
      </c>
      <c r="I24" s="21">
        <f t="shared" si="1"/>
        <v>670</v>
      </c>
      <c r="J24" s="20" t="s">
        <v>1363</v>
      </c>
      <c r="K24" s="20" t="s">
        <v>21</v>
      </c>
      <c r="L24" s="20" t="s">
        <v>447</v>
      </c>
      <c r="M24" s="20" t="s">
        <v>102</v>
      </c>
      <c r="N24" s="20" t="s">
        <v>448</v>
      </c>
      <c r="O24" s="20" t="s">
        <v>448</v>
      </c>
      <c r="P24" s="20" t="s">
        <v>449</v>
      </c>
      <c r="Q24" s="21">
        <v>1</v>
      </c>
    </row>
    <row r="25" spans="1:17" s="2" customFormat="1" x14ac:dyDescent="0.25">
      <c r="A25" s="20"/>
      <c r="B25" s="20" t="s">
        <v>16</v>
      </c>
      <c r="C25" s="20" t="s">
        <v>56</v>
      </c>
      <c r="D25" s="20" t="s">
        <v>57</v>
      </c>
      <c r="E25" s="20" t="s">
        <v>58</v>
      </c>
      <c r="F25" s="21">
        <v>7</v>
      </c>
      <c r="G25" s="21">
        <v>850</v>
      </c>
      <c r="H25" s="21">
        <v>30</v>
      </c>
      <c r="I25" s="21">
        <f t="shared" si="1"/>
        <v>820</v>
      </c>
      <c r="J25" s="20" t="s">
        <v>1363</v>
      </c>
      <c r="K25" s="20" t="s">
        <v>21</v>
      </c>
      <c r="L25" s="20" t="s">
        <v>22</v>
      </c>
      <c r="M25" s="20" t="s">
        <v>102</v>
      </c>
      <c r="N25" s="20" t="s">
        <v>448</v>
      </c>
      <c r="O25" s="20" t="s">
        <v>448</v>
      </c>
      <c r="P25" s="20" t="s">
        <v>449</v>
      </c>
      <c r="Q25" s="21">
        <v>1</v>
      </c>
    </row>
    <row r="26" spans="1:17" s="2" customFormat="1" x14ac:dyDescent="0.25">
      <c r="A26" s="20"/>
      <c r="B26" s="20" t="s">
        <v>16</v>
      </c>
      <c r="C26" s="20" t="s">
        <v>1367</v>
      </c>
      <c r="D26" s="20" t="s">
        <v>1368</v>
      </c>
      <c r="E26" s="20" t="s">
        <v>1369</v>
      </c>
      <c r="F26" s="20" t="s">
        <v>128</v>
      </c>
      <c r="G26" s="21">
        <v>745</v>
      </c>
      <c r="H26" s="21">
        <v>35</v>
      </c>
      <c r="I26" s="21">
        <f t="shared" si="1"/>
        <v>710</v>
      </c>
      <c r="J26" s="20" t="s">
        <v>1363</v>
      </c>
      <c r="K26" s="20" t="s">
        <v>21</v>
      </c>
      <c r="L26" s="20" t="s">
        <v>1370</v>
      </c>
      <c r="M26" s="20" t="s">
        <v>102</v>
      </c>
      <c r="N26" s="20" t="s">
        <v>448</v>
      </c>
      <c r="O26" s="20" t="s">
        <v>448</v>
      </c>
      <c r="P26" s="20" t="s">
        <v>449</v>
      </c>
      <c r="Q26" s="21">
        <v>1</v>
      </c>
    </row>
    <row r="28" spans="1:17" x14ac:dyDescent="0.25">
      <c r="D28" s="1">
        <f>COUNTA(D3:D26)</f>
        <v>23</v>
      </c>
      <c r="G28" s="1">
        <f t="shared" ref="G28:Q28" si="2">SUBTOTAL(9,G3:G26)</f>
        <v>14445</v>
      </c>
      <c r="H28" s="1">
        <f t="shared" si="2"/>
        <v>675</v>
      </c>
      <c r="I28" s="1">
        <f t="shared" si="2"/>
        <v>13770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-3*17</f>
        <v>-51</v>
      </c>
    </row>
    <row r="30" spans="1:17" x14ac:dyDescent="0.25">
      <c r="A30" s="1" t="s">
        <v>16</v>
      </c>
      <c r="C30" s="42" t="s">
        <v>89</v>
      </c>
      <c r="D30" s="42"/>
      <c r="E30" s="4" t="s">
        <v>90</v>
      </c>
      <c r="H30">
        <f>-1*25</f>
        <v>-25</v>
      </c>
      <c r="K30" s="7" t="s">
        <v>1321</v>
      </c>
      <c r="L30" s="7" t="s">
        <v>91</v>
      </c>
      <c r="M30" s="7" t="s">
        <v>90</v>
      </c>
      <c r="O30" s="4" t="s">
        <v>92</v>
      </c>
    </row>
    <row r="31" spans="1:17" x14ac:dyDescent="0.25">
      <c r="A31" t="s">
        <v>1311</v>
      </c>
      <c r="B31" s="3" t="s">
        <v>93</v>
      </c>
      <c r="C31" s="43">
        <f>SUMIFS(I$3:I$26,B$3:B$26,A$30,L$3:L$26,A$31)</f>
        <v>10860</v>
      </c>
      <c r="D31" s="43"/>
      <c r="E31" s="3">
        <f>SUMIFS(Q$3:Q$26,B$3:B$26,A$30,L$3:L$26,A$31)</f>
        <v>20</v>
      </c>
      <c r="F31" t="s">
        <v>94</v>
      </c>
      <c r="H31">
        <f>-1*30</f>
        <v>-30</v>
      </c>
      <c r="K31" t="s">
        <v>95</v>
      </c>
      <c r="L31">
        <f>SUMIFS(G$3:G$26,J$3:J$26,K$30)</f>
        <v>2785</v>
      </c>
      <c r="M31">
        <f>SUMIFS(Q$3:Q$26,J$3:J$26,K$30)</f>
        <v>5</v>
      </c>
      <c r="O31" t="s">
        <v>1371</v>
      </c>
      <c r="P31">
        <f>L36</f>
        <v>-328</v>
      </c>
    </row>
    <row r="32" spans="1:17" x14ac:dyDescent="0.25">
      <c r="B32" s="2" t="s">
        <v>97</v>
      </c>
      <c r="C32" s="44">
        <v>0</v>
      </c>
      <c r="D32" s="44"/>
      <c r="K32" t="s">
        <v>98</v>
      </c>
      <c r="L32">
        <f>SUM(H29:H31)</f>
        <v>-106</v>
      </c>
      <c r="M32">
        <f>SUMIFS(Q$3:Q$26,J$3:J$26,K$30)</f>
        <v>5</v>
      </c>
      <c r="O32" t="s">
        <v>20</v>
      </c>
      <c r="P32">
        <f>L44</f>
        <v>1270</v>
      </c>
    </row>
    <row r="33" spans="2:16" x14ac:dyDescent="0.25">
      <c r="B33" s="2" t="s">
        <v>99</v>
      </c>
      <c r="C33" s="44">
        <f>-SUMIFS(I$3:I$26,B$3:B$26,A$30,P$3:P$26,"xx",N$3:N$26,"x")</f>
        <v>-2910</v>
      </c>
      <c r="D33" s="44"/>
      <c r="E33" s="2">
        <f>SUMIFS(Q$3:Q$26,B$3:B$26,A$30,P$3:P$26,"xx",N$3:N$26,"x")</f>
        <v>4</v>
      </c>
      <c r="K33" t="s">
        <v>100</v>
      </c>
      <c r="O33" t="s">
        <v>21</v>
      </c>
      <c r="P33">
        <f>L52</f>
        <v>6983</v>
      </c>
    </row>
    <row r="34" spans="2:16" x14ac:dyDescent="0.25">
      <c r="B34" s="4" t="s">
        <v>101</v>
      </c>
      <c r="C34" s="42">
        <f>SUBTOTAL(9,C31:C33)</f>
        <v>7950</v>
      </c>
      <c r="D34" s="42"/>
      <c r="E34">
        <f>E31</f>
        <v>20</v>
      </c>
      <c r="K34" s="2" t="s">
        <v>102</v>
      </c>
      <c r="L34" s="29">
        <v>-3007</v>
      </c>
      <c r="M34" s="29" t="s">
        <v>1372</v>
      </c>
      <c r="O34" t="s">
        <v>165</v>
      </c>
      <c r="P34">
        <f>L60</f>
        <v>5</v>
      </c>
    </row>
    <row r="35" spans="2:16" x14ac:dyDescent="0.25">
      <c r="B35" s="2" t="s">
        <v>104</v>
      </c>
      <c r="C35" s="40"/>
      <c r="D35" s="40"/>
      <c r="K35" s="2" t="s">
        <v>105</v>
      </c>
      <c r="O35" t="s">
        <v>103</v>
      </c>
      <c r="P35">
        <f>-C38</f>
        <v>-7950</v>
      </c>
    </row>
    <row r="36" spans="2:16" x14ac:dyDescent="0.25">
      <c r="B36" s="8" t="s">
        <v>107</v>
      </c>
      <c r="C36" s="40"/>
      <c r="D36" s="40"/>
      <c r="L36" s="9">
        <f>SUBTOTAL(9,L31:L35)</f>
        <v>-328</v>
      </c>
      <c r="M36" s="9">
        <f>M31</f>
        <v>5</v>
      </c>
      <c r="O36" s="4" t="s">
        <v>106</v>
      </c>
      <c r="P36" s="4">
        <f>SUBTOTAL(9,P31:P35)</f>
        <v>-20</v>
      </c>
    </row>
    <row r="38" spans="2:16" x14ac:dyDescent="0.25">
      <c r="B38" s="1" t="s">
        <v>108</v>
      </c>
      <c r="C38" s="41">
        <f>C34+C35+C36</f>
        <v>7950</v>
      </c>
      <c r="D38" s="41"/>
      <c r="E38" s="1" t="s">
        <v>109</v>
      </c>
      <c r="K38" s="7" t="s">
        <v>20</v>
      </c>
      <c r="L38" s="7" t="s">
        <v>91</v>
      </c>
      <c r="M38" s="7" t="s">
        <v>90</v>
      </c>
    </row>
    <row r="39" spans="2:16" x14ac:dyDescent="0.25">
      <c r="K39" t="s">
        <v>95</v>
      </c>
      <c r="L39">
        <f>SUMIFS(G$3:G$26,J$3:J$26,K$38)</f>
        <v>1340</v>
      </c>
      <c r="M39">
        <f>SUMIFS(Q$3:Q$26,J$3:J$26,K$38)</f>
        <v>3</v>
      </c>
    </row>
    <row r="40" spans="2:16" x14ac:dyDescent="0.25">
      <c r="K40" t="s">
        <v>98</v>
      </c>
      <c r="L40">
        <f>-SUMIFS(H$3:H$26,J$3:J$26,K$38)+M40*5</f>
        <v>-70</v>
      </c>
      <c r="M40">
        <f>SUMIFS(Q$3:Q$26,J$3:J$26,K$38)-COUNTIFS(J$3:J$26,K$38,M$3:M$26,"*gộp*")</f>
        <v>3</v>
      </c>
    </row>
    <row r="41" spans="2:16" x14ac:dyDescent="0.25">
      <c r="K41" t="s">
        <v>100</v>
      </c>
    </row>
    <row r="42" spans="2:16" x14ac:dyDescent="0.25">
      <c r="K42" s="2" t="s">
        <v>102</v>
      </c>
    </row>
    <row r="43" spans="2:16" x14ac:dyDescent="0.25">
      <c r="K43" s="2" t="s">
        <v>105</v>
      </c>
    </row>
    <row r="44" spans="2:16" x14ac:dyDescent="0.25">
      <c r="L44" s="9">
        <f>SUBTOTAL(9,L39:L43)</f>
        <v>1270</v>
      </c>
      <c r="M44" s="9">
        <f>M39</f>
        <v>3</v>
      </c>
    </row>
    <row r="46" spans="2:16" x14ac:dyDescent="0.25">
      <c r="K46" s="7" t="s">
        <v>21</v>
      </c>
      <c r="L46" s="7" t="s">
        <v>91</v>
      </c>
      <c r="M46" s="7" t="s">
        <v>90</v>
      </c>
    </row>
    <row r="47" spans="2:16" x14ac:dyDescent="0.25">
      <c r="K47" t="s">
        <v>95</v>
      </c>
      <c r="L47">
        <f>SUMIFS(G$3:G$26,J$3:J$26,K$46)</f>
        <v>7255</v>
      </c>
      <c r="M47">
        <f>SUMIFS(Q$3:Q$26,J$3:J$26,K$46)</f>
        <v>11</v>
      </c>
    </row>
    <row r="48" spans="2:16" x14ac:dyDescent="0.25">
      <c r="K48" t="s">
        <v>98</v>
      </c>
      <c r="L48">
        <f>-SUMIFS(H$3:H$26,J$3:J$26,K$46)+M48*5</f>
        <v>-240</v>
      </c>
      <c r="M48">
        <f>SUMIFS(Q$3:Q$26,J$3:J$26,K$46)-COUNTIFS(J$3:J$26,K$46,M$3:M$26,"*gộp*")</f>
        <v>11</v>
      </c>
    </row>
    <row r="49" spans="11:13" x14ac:dyDescent="0.25">
      <c r="K49" t="s">
        <v>100</v>
      </c>
      <c r="L49">
        <f>-M49*2</f>
        <v>-32</v>
      </c>
      <c r="M49">
        <f>Q28-(COUNTIFS(M$3:M$26,"*gộp*")/2)-COUNTIFS(P$3:P$26,"*xx*")*2</f>
        <v>16</v>
      </c>
    </row>
    <row r="50" spans="11:13" x14ac:dyDescent="0.25">
      <c r="K50" s="2" t="s">
        <v>102</v>
      </c>
    </row>
    <row r="51" spans="11:13" x14ac:dyDescent="0.25">
      <c r="K51" s="2" t="s">
        <v>105</v>
      </c>
    </row>
    <row r="52" spans="11:13" x14ac:dyDescent="0.25">
      <c r="L52" s="9">
        <f>SUBTOTAL(9,L47:L51)</f>
        <v>6983</v>
      </c>
      <c r="M52" s="9">
        <f>M47</f>
        <v>11</v>
      </c>
    </row>
    <row r="54" spans="11:13" x14ac:dyDescent="0.25">
      <c r="K54" s="7" t="s">
        <v>165</v>
      </c>
      <c r="L54" s="7" t="s">
        <v>91</v>
      </c>
      <c r="M54" s="7" t="s">
        <v>90</v>
      </c>
    </row>
    <row r="55" spans="11:13" x14ac:dyDescent="0.25">
      <c r="K55" t="s">
        <v>95</v>
      </c>
      <c r="L55">
        <f>SUMIFS(G$3:G$26,J$3:J$26,K$54)</f>
        <v>30</v>
      </c>
      <c r="M55">
        <f>SUMIFS(Q$3:Q$26,J$3:J$26,K$54)</f>
        <v>1</v>
      </c>
    </row>
    <row r="56" spans="11:13" x14ac:dyDescent="0.25">
      <c r="K56" t="s">
        <v>98</v>
      </c>
      <c r="L56">
        <f>-SUMIFS(H$3:H$26,J$3:J$26,K$54)+M56*5</f>
        <v>-25</v>
      </c>
      <c r="M56">
        <f>SUMIFS(Q$3:Q$26,J$3:J$26,K$54)-COUNTIFS(J$3:J$26,K$54,M$3:M$26,"*gộp*")</f>
        <v>1</v>
      </c>
    </row>
    <row r="57" spans="11:13" x14ac:dyDescent="0.25">
      <c r="K57" t="s">
        <v>100</v>
      </c>
    </row>
    <row r="58" spans="11:13" x14ac:dyDescent="0.25">
      <c r="K58" s="2" t="s">
        <v>102</v>
      </c>
    </row>
    <row r="59" spans="11:13" x14ac:dyDescent="0.25">
      <c r="K59" s="2" t="s">
        <v>105</v>
      </c>
    </row>
    <row r="60" spans="11:13" x14ac:dyDescent="0.25">
      <c r="L60" s="9">
        <f>SUBTOTAL(9,L55:L59)</f>
        <v>5</v>
      </c>
      <c r="M60" s="9">
        <f>M55</f>
        <v>1</v>
      </c>
    </row>
  </sheetData>
  <autoFilter ref="A2:P26" xr:uid="{00000000-0009-0000-0000-00000B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Q69"/>
  <sheetViews>
    <sheetView topLeftCell="A22" workbookViewId="0">
      <selection activeCell="E40" sqref="E40"/>
    </sheetView>
  </sheetViews>
  <sheetFormatPr defaultRowHeight="15" x14ac:dyDescent="0.25"/>
  <cols>
    <col min="1" max="1" width="12.7109375" customWidth="1"/>
    <col min="2" max="2" width="17.7109375" customWidth="1"/>
    <col min="3" max="3" width="24.85546875" customWidth="1"/>
    <col min="4" max="4" width="9.85546875" customWidth="1"/>
    <col min="5" max="5" width="4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1373</v>
      </c>
      <c r="D3" s="18" t="s">
        <v>1374</v>
      </c>
      <c r="E3" s="18" t="s">
        <v>1375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1376</v>
      </c>
      <c r="M3" s="18"/>
      <c r="N3" s="18"/>
      <c r="O3" s="18"/>
      <c r="P3" s="18"/>
      <c r="Q3" s="18">
        <v>1</v>
      </c>
    </row>
    <row r="4" spans="1:17" x14ac:dyDescent="0.25">
      <c r="A4" s="18" t="s">
        <v>62</v>
      </c>
      <c r="B4" s="18" t="s">
        <v>16</v>
      </c>
      <c r="C4" s="18" t="s">
        <v>1377</v>
      </c>
      <c r="D4" s="18"/>
      <c r="E4" s="18" t="s">
        <v>1378</v>
      </c>
      <c r="F4" s="19">
        <v>9</v>
      </c>
      <c r="G4" s="19">
        <v>35</v>
      </c>
      <c r="H4" s="19">
        <v>35</v>
      </c>
      <c r="I4" s="19">
        <f>G4-H4</f>
        <v>0</v>
      </c>
      <c r="J4" s="18" t="s">
        <v>20</v>
      </c>
      <c r="K4" s="18" t="s">
        <v>21</v>
      </c>
      <c r="L4" s="18" t="s">
        <v>1376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1200</v>
      </c>
      <c r="D5" s="18" t="s">
        <v>1379</v>
      </c>
      <c r="E5" s="18" t="s">
        <v>1202</v>
      </c>
      <c r="F5" s="18" t="s">
        <v>26</v>
      </c>
      <c r="G5" s="19">
        <v>0</v>
      </c>
      <c r="H5" s="19">
        <v>30</v>
      </c>
      <c r="I5" s="19">
        <f>-H5</f>
        <v>-30</v>
      </c>
      <c r="J5" s="18" t="s">
        <v>1380</v>
      </c>
      <c r="K5" s="18" t="s">
        <v>21</v>
      </c>
      <c r="L5" s="18" t="s">
        <v>1376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116</v>
      </c>
      <c r="D6" s="18" t="s">
        <v>1381</v>
      </c>
      <c r="E6" s="18" t="s">
        <v>1382</v>
      </c>
      <c r="F6" s="18" t="s">
        <v>26</v>
      </c>
      <c r="G6" s="19">
        <v>2420</v>
      </c>
      <c r="H6" s="19">
        <v>35</v>
      </c>
      <c r="I6" s="19">
        <f>G6-H6</f>
        <v>2385</v>
      </c>
      <c r="J6" s="18" t="s">
        <v>1380</v>
      </c>
      <c r="K6" s="18" t="s">
        <v>21</v>
      </c>
      <c r="L6" s="18" t="s">
        <v>1376</v>
      </c>
      <c r="M6" s="18" t="s">
        <v>398</v>
      </c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1383</v>
      </c>
      <c r="D7" s="18" t="s">
        <v>1384</v>
      </c>
      <c r="E7" s="18" t="s">
        <v>1385</v>
      </c>
      <c r="F7" s="19">
        <v>6</v>
      </c>
      <c r="G7" s="19">
        <v>0</v>
      </c>
      <c r="H7" s="19">
        <v>25</v>
      </c>
      <c r="I7" s="19">
        <f>-H7</f>
        <v>-25</v>
      </c>
      <c r="J7" s="18" t="s">
        <v>1380</v>
      </c>
      <c r="K7" s="18" t="s">
        <v>21</v>
      </c>
      <c r="L7" s="18" t="s">
        <v>1376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1386</v>
      </c>
      <c r="D8" s="18" t="s">
        <v>1387</v>
      </c>
      <c r="E8" s="18" t="s">
        <v>1388</v>
      </c>
      <c r="F8" s="18" t="s">
        <v>128</v>
      </c>
      <c r="G8" s="19">
        <v>1565</v>
      </c>
      <c r="H8" s="19">
        <v>35</v>
      </c>
      <c r="I8" s="19">
        <f>G8-H8</f>
        <v>1530</v>
      </c>
      <c r="J8" s="18" t="s">
        <v>1380</v>
      </c>
      <c r="K8" s="18" t="s">
        <v>21</v>
      </c>
      <c r="L8" s="18" t="s">
        <v>1376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1389</v>
      </c>
      <c r="D9" s="18" t="s">
        <v>1390</v>
      </c>
      <c r="E9" s="18" t="s">
        <v>416</v>
      </c>
      <c r="F9" s="19">
        <v>12</v>
      </c>
      <c r="G9" s="19">
        <v>0</v>
      </c>
      <c r="H9" s="19">
        <v>30</v>
      </c>
      <c r="I9" s="19">
        <f>-H9</f>
        <v>-30</v>
      </c>
      <c r="J9" s="18" t="s">
        <v>1380</v>
      </c>
      <c r="K9" s="18" t="s">
        <v>21</v>
      </c>
      <c r="L9" s="18" t="s">
        <v>1376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1391</v>
      </c>
      <c r="D10" s="18" t="s">
        <v>1392</v>
      </c>
      <c r="E10" s="18" t="s">
        <v>1393</v>
      </c>
      <c r="F10" s="18" t="s">
        <v>259</v>
      </c>
      <c r="G10" s="19">
        <v>35</v>
      </c>
      <c r="H10" s="19">
        <v>35</v>
      </c>
      <c r="I10" s="19">
        <f t="shared" ref="I10:I15" si="0">G10-H10</f>
        <v>0</v>
      </c>
      <c r="J10" s="18" t="s">
        <v>1380</v>
      </c>
      <c r="K10" s="18" t="s">
        <v>21</v>
      </c>
      <c r="L10" s="18" t="s">
        <v>1376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1394</v>
      </c>
      <c r="D11" s="18" t="s">
        <v>1395</v>
      </c>
      <c r="E11" s="18" t="s">
        <v>1396</v>
      </c>
      <c r="F11" s="19">
        <v>8</v>
      </c>
      <c r="G11" s="19">
        <v>720</v>
      </c>
      <c r="H11" s="19">
        <v>30</v>
      </c>
      <c r="I11" s="19">
        <f t="shared" si="0"/>
        <v>690</v>
      </c>
      <c r="J11" s="18" t="s">
        <v>1380</v>
      </c>
      <c r="K11" s="18" t="s">
        <v>21</v>
      </c>
      <c r="L11" s="18" t="s">
        <v>1376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1397</v>
      </c>
      <c r="D12" s="18" t="s">
        <v>1398</v>
      </c>
      <c r="E12" s="18" t="s">
        <v>1399</v>
      </c>
      <c r="F12" s="19">
        <v>8</v>
      </c>
      <c r="G12" s="19">
        <v>915</v>
      </c>
      <c r="H12" s="19">
        <v>25</v>
      </c>
      <c r="I12" s="19">
        <f t="shared" si="0"/>
        <v>890</v>
      </c>
      <c r="J12" s="18" t="s">
        <v>1380</v>
      </c>
      <c r="K12" s="18" t="s">
        <v>21</v>
      </c>
      <c r="L12" s="18" t="s">
        <v>1376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1400</v>
      </c>
      <c r="D13" s="18" t="s">
        <v>1401</v>
      </c>
      <c r="E13" s="18" t="s">
        <v>1402</v>
      </c>
      <c r="F13" s="18" t="s">
        <v>217</v>
      </c>
      <c r="G13" s="19">
        <v>895</v>
      </c>
      <c r="H13" s="19">
        <v>25</v>
      </c>
      <c r="I13" s="19">
        <f t="shared" si="0"/>
        <v>870</v>
      </c>
      <c r="J13" s="18" t="s">
        <v>1380</v>
      </c>
      <c r="K13" s="18" t="s">
        <v>21</v>
      </c>
      <c r="L13" s="18" t="s">
        <v>1376</v>
      </c>
      <c r="M13" s="18"/>
      <c r="N13" s="18"/>
      <c r="O13" s="18"/>
      <c r="P13" s="18"/>
      <c r="Q13" s="18">
        <v>1</v>
      </c>
    </row>
    <row r="14" spans="1:17" x14ac:dyDescent="0.25">
      <c r="A14" s="18" t="s">
        <v>62</v>
      </c>
      <c r="B14" s="18" t="s">
        <v>16</v>
      </c>
      <c r="C14" s="18" t="s">
        <v>588</v>
      </c>
      <c r="D14" s="18"/>
      <c r="E14" s="18" t="s">
        <v>589</v>
      </c>
      <c r="F14" s="18" t="s">
        <v>217</v>
      </c>
      <c r="G14" s="19">
        <v>30</v>
      </c>
      <c r="H14" s="19">
        <v>30</v>
      </c>
      <c r="I14" s="19">
        <f t="shared" si="0"/>
        <v>0</v>
      </c>
      <c r="J14" s="18" t="s">
        <v>1380</v>
      </c>
      <c r="K14" s="18" t="s">
        <v>21</v>
      </c>
      <c r="L14" s="18" t="s">
        <v>1376</v>
      </c>
      <c r="M14" s="18"/>
      <c r="N14" s="18"/>
      <c r="O14" s="18"/>
      <c r="P14" s="18"/>
      <c r="Q14" s="18">
        <v>1</v>
      </c>
    </row>
    <row r="15" spans="1:17" x14ac:dyDescent="0.25">
      <c r="A15" s="18" t="s">
        <v>62</v>
      </c>
      <c r="B15" s="18" t="s">
        <v>16</v>
      </c>
      <c r="C15" s="18" t="s">
        <v>670</v>
      </c>
      <c r="D15" s="18"/>
      <c r="E15" s="18" t="s">
        <v>671</v>
      </c>
      <c r="F15" s="18" t="s">
        <v>259</v>
      </c>
      <c r="G15" s="19">
        <v>1340</v>
      </c>
      <c r="H15" s="19">
        <v>40</v>
      </c>
      <c r="I15" s="19">
        <f t="shared" si="0"/>
        <v>1300</v>
      </c>
      <c r="J15" s="18" t="s">
        <v>1380</v>
      </c>
      <c r="K15" s="18" t="s">
        <v>21</v>
      </c>
      <c r="L15" s="18" t="s">
        <v>1376</v>
      </c>
      <c r="M15" s="18"/>
      <c r="N15" s="18"/>
      <c r="O15" s="18"/>
      <c r="P15" s="18"/>
      <c r="Q15" s="18">
        <v>1</v>
      </c>
    </row>
    <row r="16" spans="1:17" s="2" customFormat="1" x14ac:dyDescent="0.25">
      <c r="A16" s="18"/>
      <c r="B16" s="18" t="s">
        <v>16</v>
      </c>
      <c r="C16" s="18" t="s">
        <v>1403</v>
      </c>
      <c r="D16" s="18" t="s">
        <v>1404</v>
      </c>
      <c r="E16" s="18" t="s">
        <v>1405</v>
      </c>
      <c r="F16" s="18" t="s">
        <v>153</v>
      </c>
      <c r="G16" s="19">
        <v>0</v>
      </c>
      <c r="H16" s="19">
        <v>30</v>
      </c>
      <c r="I16" s="19">
        <f>-H16</f>
        <v>-30</v>
      </c>
      <c r="J16" s="18" t="s">
        <v>21</v>
      </c>
      <c r="K16" s="18" t="s">
        <v>21</v>
      </c>
      <c r="L16" s="18" t="s">
        <v>1376</v>
      </c>
      <c r="M16" s="18"/>
      <c r="N16" s="18"/>
      <c r="O16" s="18"/>
      <c r="P16" s="18"/>
      <c r="Q16" s="20">
        <v>1</v>
      </c>
    </row>
    <row r="17" spans="1:17" x14ac:dyDescent="0.25">
      <c r="A17" s="18"/>
      <c r="B17" s="18" t="s">
        <v>16</v>
      </c>
      <c r="C17" s="18" t="s">
        <v>726</v>
      </c>
      <c r="D17" s="18" t="s">
        <v>1406</v>
      </c>
      <c r="E17" s="18" t="s">
        <v>728</v>
      </c>
      <c r="F17" s="18" t="s">
        <v>68</v>
      </c>
      <c r="G17" s="19">
        <v>730</v>
      </c>
      <c r="H17" s="19">
        <v>20</v>
      </c>
      <c r="I17" s="19">
        <f t="shared" ref="I17:I24" si="1">G17-H17</f>
        <v>710</v>
      </c>
      <c r="J17" s="18" t="s">
        <v>21</v>
      </c>
      <c r="K17" s="18" t="s">
        <v>21</v>
      </c>
      <c r="L17" s="18" t="s">
        <v>1376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1407</v>
      </c>
      <c r="D18" s="18" t="s">
        <v>1408</v>
      </c>
      <c r="E18" s="18" t="s">
        <v>1409</v>
      </c>
      <c r="F18" s="18" t="s">
        <v>153</v>
      </c>
      <c r="G18" s="19">
        <v>900</v>
      </c>
      <c r="H18" s="19">
        <v>30</v>
      </c>
      <c r="I18" s="19">
        <f t="shared" si="1"/>
        <v>870</v>
      </c>
      <c r="J18" s="18" t="s">
        <v>21</v>
      </c>
      <c r="K18" s="18" t="s">
        <v>21</v>
      </c>
      <c r="L18" s="18" t="s">
        <v>1376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1410</v>
      </c>
      <c r="D19" s="18" t="s">
        <v>1411</v>
      </c>
      <c r="E19" s="18" t="s">
        <v>1412</v>
      </c>
      <c r="F19" s="18" t="s">
        <v>88</v>
      </c>
      <c r="G19" s="19">
        <v>1735</v>
      </c>
      <c r="H19" s="19">
        <v>25</v>
      </c>
      <c r="I19" s="19">
        <f t="shared" si="1"/>
        <v>1710</v>
      </c>
      <c r="J19" s="18" t="s">
        <v>21</v>
      </c>
      <c r="K19" s="18" t="s">
        <v>21</v>
      </c>
      <c r="L19" s="18" t="s">
        <v>1376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628</v>
      </c>
      <c r="D20" s="18" t="s">
        <v>1413</v>
      </c>
      <c r="E20" s="18" t="s">
        <v>630</v>
      </c>
      <c r="F20" s="18" t="s">
        <v>72</v>
      </c>
      <c r="G20" s="19">
        <v>775</v>
      </c>
      <c r="H20" s="19">
        <v>25</v>
      </c>
      <c r="I20" s="19">
        <f t="shared" si="1"/>
        <v>750</v>
      </c>
      <c r="J20" s="18" t="s">
        <v>21</v>
      </c>
      <c r="K20" s="18" t="s">
        <v>21</v>
      </c>
      <c r="L20" s="18" t="s">
        <v>1376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143</v>
      </c>
      <c r="D21" s="18"/>
      <c r="E21" s="18" t="s">
        <v>1414</v>
      </c>
      <c r="F21" s="18" t="s">
        <v>72</v>
      </c>
      <c r="G21" s="19">
        <v>1510</v>
      </c>
      <c r="H21" s="19">
        <v>30</v>
      </c>
      <c r="I21" s="19">
        <f t="shared" si="1"/>
        <v>1480</v>
      </c>
      <c r="J21" s="18" t="s">
        <v>21</v>
      </c>
      <c r="K21" s="18" t="s">
        <v>21</v>
      </c>
      <c r="L21" s="18" t="s">
        <v>1376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591</v>
      </c>
      <c r="D22" s="18"/>
      <c r="E22" s="18" t="s">
        <v>592</v>
      </c>
      <c r="F22" s="18" t="s">
        <v>153</v>
      </c>
      <c r="G22" s="19">
        <v>2375</v>
      </c>
      <c r="H22" s="19">
        <v>35</v>
      </c>
      <c r="I22" s="19">
        <f t="shared" si="1"/>
        <v>2340</v>
      </c>
      <c r="J22" s="18" t="s">
        <v>21</v>
      </c>
      <c r="K22" s="18" t="s">
        <v>21</v>
      </c>
      <c r="L22" s="18" t="s">
        <v>1376</v>
      </c>
      <c r="M22" s="18"/>
      <c r="N22" s="18"/>
      <c r="O22" s="18"/>
      <c r="P22" s="18"/>
      <c r="Q22" s="18">
        <v>1</v>
      </c>
    </row>
    <row r="23" spans="1:17" x14ac:dyDescent="0.25">
      <c r="A23" s="18" t="s">
        <v>62</v>
      </c>
      <c r="B23" s="18" t="s">
        <v>16</v>
      </c>
      <c r="C23" s="18" t="s">
        <v>640</v>
      </c>
      <c r="D23" s="18"/>
      <c r="E23" s="18" t="s">
        <v>641</v>
      </c>
      <c r="F23" s="18" t="s">
        <v>72</v>
      </c>
      <c r="G23" s="19">
        <v>1690</v>
      </c>
      <c r="H23" s="19">
        <v>30</v>
      </c>
      <c r="I23" s="19">
        <f t="shared" si="1"/>
        <v>1660</v>
      </c>
      <c r="J23" s="18" t="s">
        <v>21</v>
      </c>
      <c r="K23" s="18" t="s">
        <v>21</v>
      </c>
      <c r="L23" s="18" t="s">
        <v>1376</v>
      </c>
      <c r="M23" s="18"/>
      <c r="N23" s="18"/>
      <c r="O23" s="18"/>
      <c r="P23" s="18"/>
      <c r="Q23" s="18">
        <v>1</v>
      </c>
    </row>
    <row r="24" spans="1:17" x14ac:dyDescent="0.25">
      <c r="A24" s="18" t="s">
        <v>62</v>
      </c>
      <c r="B24" s="18" t="s">
        <v>16</v>
      </c>
      <c r="C24" s="18" t="s">
        <v>1415</v>
      </c>
      <c r="D24" s="18"/>
      <c r="E24" s="18" t="s">
        <v>1416</v>
      </c>
      <c r="F24" s="18" t="s">
        <v>68</v>
      </c>
      <c r="G24" s="19">
        <v>30</v>
      </c>
      <c r="H24" s="19">
        <v>30</v>
      </c>
      <c r="I24" s="19">
        <f t="shared" si="1"/>
        <v>0</v>
      </c>
      <c r="J24" s="18" t="s">
        <v>21</v>
      </c>
      <c r="K24" s="18" t="s">
        <v>21</v>
      </c>
      <c r="L24" s="18" t="s">
        <v>1376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1417</v>
      </c>
      <c r="D25" s="18" t="s">
        <v>1418</v>
      </c>
      <c r="E25" s="18" t="s">
        <v>1419</v>
      </c>
      <c r="F25" s="18" t="s">
        <v>88</v>
      </c>
      <c r="G25" s="19">
        <v>0</v>
      </c>
      <c r="H25" s="19">
        <v>25</v>
      </c>
      <c r="I25" s="19">
        <f>-H25</f>
        <v>-25</v>
      </c>
      <c r="J25" s="18" t="s">
        <v>165</v>
      </c>
      <c r="K25" s="18" t="s">
        <v>21</v>
      </c>
      <c r="L25" s="18" t="s">
        <v>1376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729</v>
      </c>
      <c r="D26" s="18" t="s">
        <v>1420</v>
      </c>
      <c r="E26" s="18" t="s">
        <v>1421</v>
      </c>
      <c r="F26" s="19">
        <v>1</v>
      </c>
      <c r="G26" s="19">
        <v>775</v>
      </c>
      <c r="H26" s="19">
        <v>25</v>
      </c>
      <c r="I26" s="19">
        <f>G26-H26</f>
        <v>750</v>
      </c>
      <c r="J26" s="18" t="s">
        <v>165</v>
      </c>
      <c r="K26" s="18" t="s">
        <v>21</v>
      </c>
      <c r="L26" s="18" t="s">
        <v>1376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1422</v>
      </c>
      <c r="D27" s="18" t="s">
        <v>1423</v>
      </c>
      <c r="E27" s="18" t="s">
        <v>868</v>
      </c>
      <c r="F27" s="19">
        <v>1</v>
      </c>
      <c r="G27" s="19">
        <v>535</v>
      </c>
      <c r="H27" s="19">
        <v>25</v>
      </c>
      <c r="I27" s="19">
        <f>G27-H27</f>
        <v>510</v>
      </c>
      <c r="J27" s="18" t="s">
        <v>165</v>
      </c>
      <c r="K27" s="18" t="s">
        <v>21</v>
      </c>
      <c r="L27" s="18" t="s">
        <v>1376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1424</v>
      </c>
      <c r="D28" s="18" t="s">
        <v>1425</v>
      </c>
      <c r="E28" s="18" t="s">
        <v>1426</v>
      </c>
      <c r="F28" s="19">
        <v>5</v>
      </c>
      <c r="G28" s="19">
        <v>535</v>
      </c>
      <c r="H28" s="19">
        <v>25</v>
      </c>
      <c r="I28" s="19">
        <f>G28-H28</f>
        <v>510</v>
      </c>
      <c r="J28" s="18" t="s">
        <v>165</v>
      </c>
      <c r="K28" s="18" t="s">
        <v>21</v>
      </c>
      <c r="L28" s="18" t="s">
        <v>1376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1427</v>
      </c>
      <c r="D29" s="18" t="s">
        <v>1428</v>
      </c>
      <c r="E29" s="18" t="s">
        <v>1429</v>
      </c>
      <c r="F29" s="19">
        <v>1</v>
      </c>
      <c r="G29" s="19">
        <v>715</v>
      </c>
      <c r="H29" s="19">
        <v>25</v>
      </c>
      <c r="I29" s="19">
        <f>G29-H29</f>
        <v>690</v>
      </c>
      <c r="J29" s="18" t="s">
        <v>165</v>
      </c>
      <c r="K29" s="18" t="s">
        <v>21</v>
      </c>
      <c r="L29" s="18" t="s">
        <v>1376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1430</v>
      </c>
      <c r="D30" s="18" t="s">
        <v>1431</v>
      </c>
      <c r="E30" s="18" t="s">
        <v>1432</v>
      </c>
      <c r="F30" s="19">
        <v>5</v>
      </c>
      <c r="G30" s="19">
        <v>1185</v>
      </c>
      <c r="H30" s="19">
        <v>25</v>
      </c>
      <c r="I30" s="19">
        <f>G30-H30</f>
        <v>1160</v>
      </c>
      <c r="J30" s="18" t="s">
        <v>165</v>
      </c>
      <c r="K30" s="18" t="s">
        <v>21</v>
      </c>
      <c r="L30" s="18" t="s">
        <v>1376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659</v>
      </c>
      <c r="D31" s="18" t="s">
        <v>660</v>
      </c>
      <c r="E31" s="18" t="s">
        <v>661</v>
      </c>
      <c r="F31" s="18" t="s">
        <v>88</v>
      </c>
      <c r="G31" s="19">
        <v>0</v>
      </c>
      <c r="H31" s="19">
        <v>25</v>
      </c>
      <c r="I31" s="19">
        <f>-H31</f>
        <v>-25</v>
      </c>
      <c r="J31" s="18" t="s">
        <v>165</v>
      </c>
      <c r="K31" s="18" t="s">
        <v>21</v>
      </c>
      <c r="L31" s="18" t="s">
        <v>1376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1433</v>
      </c>
      <c r="D32" s="18" t="s">
        <v>1434</v>
      </c>
      <c r="E32" s="18" t="s">
        <v>1435</v>
      </c>
      <c r="F32" s="18" t="s">
        <v>85</v>
      </c>
      <c r="G32" s="19">
        <v>780</v>
      </c>
      <c r="H32" s="19">
        <v>20</v>
      </c>
      <c r="I32" s="19">
        <f>G32-H32</f>
        <v>760</v>
      </c>
      <c r="J32" s="18" t="s">
        <v>165</v>
      </c>
      <c r="K32" s="18" t="s">
        <v>21</v>
      </c>
      <c r="L32" s="18" t="s">
        <v>1376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1436</v>
      </c>
      <c r="D33" s="18" t="s">
        <v>1437</v>
      </c>
      <c r="E33" s="18" t="s">
        <v>1438</v>
      </c>
      <c r="F33" s="19">
        <v>10</v>
      </c>
      <c r="G33" s="19">
        <v>695</v>
      </c>
      <c r="H33" s="19">
        <v>25</v>
      </c>
      <c r="I33" s="19">
        <f>G33-H33</f>
        <v>670</v>
      </c>
      <c r="J33" s="18" t="s">
        <v>165</v>
      </c>
      <c r="K33" s="18" t="s">
        <v>21</v>
      </c>
      <c r="L33" s="18" t="s">
        <v>1376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1439</v>
      </c>
      <c r="D34" s="18"/>
      <c r="E34" s="18" t="s">
        <v>1440</v>
      </c>
      <c r="F34" s="18" t="s">
        <v>88</v>
      </c>
      <c r="G34" s="19">
        <v>30</v>
      </c>
      <c r="H34" s="19">
        <v>30</v>
      </c>
      <c r="I34" s="19">
        <f>G34-H34</f>
        <v>0</v>
      </c>
      <c r="J34" s="18" t="s">
        <v>165</v>
      </c>
      <c r="K34" s="18" t="s">
        <v>21</v>
      </c>
      <c r="L34" s="18" t="s">
        <v>1376</v>
      </c>
      <c r="M34" s="18"/>
      <c r="N34" s="18"/>
      <c r="O34" s="18"/>
      <c r="P34" s="18"/>
      <c r="Q34" s="18">
        <v>1</v>
      </c>
    </row>
    <row r="35" spans="1:17" x14ac:dyDescent="0.25">
      <c r="A35" s="20"/>
      <c r="B35" s="20" t="s">
        <v>16</v>
      </c>
      <c r="C35" s="20" t="s">
        <v>1214</v>
      </c>
      <c r="D35" s="20" t="s">
        <v>1215</v>
      </c>
      <c r="E35" s="20" t="s">
        <v>1216</v>
      </c>
      <c r="F35" s="21">
        <v>12</v>
      </c>
      <c r="G35" s="21">
        <v>870</v>
      </c>
      <c r="H35" s="21">
        <v>0</v>
      </c>
      <c r="I35" s="21">
        <f>G35-H35</f>
        <v>870</v>
      </c>
      <c r="J35" s="20" t="s">
        <v>446</v>
      </c>
      <c r="K35" s="20" t="s">
        <v>21</v>
      </c>
      <c r="L35" s="20" t="s">
        <v>1148</v>
      </c>
      <c r="M35" s="20"/>
      <c r="N35" s="20" t="s">
        <v>448</v>
      </c>
      <c r="O35" s="20" t="s">
        <v>448</v>
      </c>
      <c r="P35" s="20" t="s">
        <v>449</v>
      </c>
      <c r="Q35" s="18">
        <v>1</v>
      </c>
    </row>
    <row r="37" spans="1:17" x14ac:dyDescent="0.25">
      <c r="D37" s="1">
        <f>COUNTA(D3:D35)</f>
        <v>25</v>
      </c>
      <c r="G37" s="1">
        <f t="shared" ref="G37:Q37" si="2">SUBTOTAL(9,G3:G35)</f>
        <v>24640</v>
      </c>
      <c r="H37" s="1">
        <f t="shared" si="2"/>
        <v>910</v>
      </c>
      <c r="I37" s="1">
        <f t="shared" si="2"/>
        <v>23730</v>
      </c>
      <c r="J37" s="1">
        <f t="shared" si="2"/>
        <v>0</v>
      </c>
      <c r="K37" s="1">
        <f t="shared" si="2"/>
        <v>0</v>
      </c>
      <c r="L37" s="1">
        <f t="shared" si="2"/>
        <v>0</v>
      </c>
      <c r="M37" s="1">
        <f t="shared" si="2"/>
        <v>0</v>
      </c>
      <c r="N37" s="1">
        <f t="shared" si="2"/>
        <v>0</v>
      </c>
      <c r="O37" s="1">
        <f t="shared" si="2"/>
        <v>0</v>
      </c>
      <c r="P37" s="1">
        <f t="shared" si="2"/>
        <v>0</v>
      </c>
      <c r="Q37" s="1">
        <f t="shared" si="2"/>
        <v>33</v>
      </c>
    </row>
    <row r="38" spans="1:17" x14ac:dyDescent="0.25">
      <c r="H38">
        <f>-5*17</f>
        <v>-85</v>
      </c>
    </row>
    <row r="39" spans="1:17" x14ac:dyDescent="0.25">
      <c r="A39" s="1" t="s">
        <v>16</v>
      </c>
      <c r="C39" s="42" t="s">
        <v>89</v>
      </c>
      <c r="D39" s="42"/>
      <c r="E39" s="4" t="s">
        <v>90</v>
      </c>
      <c r="H39">
        <f>-3*25</f>
        <v>-75</v>
      </c>
      <c r="K39" s="7" t="s">
        <v>165</v>
      </c>
      <c r="L39" s="7" t="s">
        <v>91</v>
      </c>
      <c r="M39" s="7" t="s">
        <v>90</v>
      </c>
      <c r="O39" s="4" t="s">
        <v>92</v>
      </c>
    </row>
    <row r="40" spans="1:17" x14ac:dyDescent="0.25">
      <c r="A40" t="s">
        <v>1376</v>
      </c>
      <c r="B40" s="3" t="s">
        <v>93</v>
      </c>
      <c r="C40" s="43">
        <f>SUMIFS(I$3:I$35,B$3:B$35,A$39,L$3:L$35,A$40)</f>
        <v>22860</v>
      </c>
      <c r="D40" s="43"/>
      <c r="E40" s="3">
        <f>SUMIFS(Q$3:Q$35,B$3:B$35,A$39,L$3:L$35,A$40)</f>
        <v>32</v>
      </c>
      <c r="F40" t="s">
        <v>94</v>
      </c>
      <c r="H40">
        <f>-3*30</f>
        <v>-90</v>
      </c>
      <c r="K40" t="s">
        <v>95</v>
      </c>
      <c r="L40">
        <f>SUMIFS(G$3:G$35,J$3:J$35,K$39)</f>
        <v>5250</v>
      </c>
      <c r="M40">
        <f>SUMIFS(Q$3:Q$35,J$3:J$35,K$39)</f>
        <v>10</v>
      </c>
      <c r="O40" t="s">
        <v>165</v>
      </c>
      <c r="P40">
        <f>L45</f>
        <v>5050</v>
      </c>
    </row>
    <row r="41" spans="1:17" x14ac:dyDescent="0.25">
      <c r="B41" s="2" t="s">
        <v>97</v>
      </c>
      <c r="C41" s="44">
        <v>0</v>
      </c>
      <c r="D41" s="44"/>
      <c r="K41" t="s">
        <v>98</v>
      </c>
      <c r="L41">
        <f>-SUMIFS(H$3:H$35,J$3:J$35,K$39)+M41*5</f>
        <v>-200</v>
      </c>
      <c r="M41">
        <f>SUMIFS(Q$3:Q$35,J$3:J$35,K$39)-COUNTIFS(J$3:J$35,K$39,M$3:M$35,"*gộp*")</f>
        <v>10</v>
      </c>
      <c r="O41" t="s">
        <v>1441</v>
      </c>
      <c r="P41">
        <f>L53</f>
        <v>6805</v>
      </c>
    </row>
    <row r="42" spans="1:17" x14ac:dyDescent="0.25">
      <c r="B42" s="2" t="s">
        <v>99</v>
      </c>
      <c r="C42" s="44">
        <f>-SUMIFS(I$3:I$35,B$3:B$35,A$39,P$3:P$35,"xx",N$3:N$35,"x")</f>
        <v>-870</v>
      </c>
      <c r="D42" s="44"/>
      <c r="E42" s="2">
        <f>SUMIFS(Q$3:Q$35,B$3:B$35,A$39,P$3:P$35,"xx",N$3:N$35,"x")</f>
        <v>1</v>
      </c>
      <c r="K42" t="s">
        <v>100</v>
      </c>
      <c r="O42" t="s">
        <v>20</v>
      </c>
      <c r="P42">
        <f>L61</f>
        <v>800</v>
      </c>
    </row>
    <row r="43" spans="1:17" x14ac:dyDescent="0.25">
      <c r="B43" s="4" t="s">
        <v>101</v>
      </c>
      <c r="C43" s="42">
        <f>SUBTOTAL(9,C40:C42)</f>
        <v>21990</v>
      </c>
      <c r="D43" s="42"/>
      <c r="E43">
        <f>E40</f>
        <v>32</v>
      </c>
      <c r="K43" s="2" t="s">
        <v>102</v>
      </c>
      <c r="O43" t="s">
        <v>21</v>
      </c>
      <c r="P43">
        <f>L69</f>
        <v>9471</v>
      </c>
    </row>
    <row r="44" spans="1:17" x14ac:dyDescent="0.25">
      <c r="B44" s="2" t="s">
        <v>104</v>
      </c>
      <c r="C44" s="40"/>
      <c r="D44" s="40"/>
      <c r="K44" s="2" t="s">
        <v>105</v>
      </c>
      <c r="O44" t="s">
        <v>103</v>
      </c>
      <c r="P44">
        <f>-C47</f>
        <v>-21990</v>
      </c>
    </row>
    <row r="45" spans="1:17" x14ac:dyDescent="0.25">
      <c r="B45" s="8" t="s">
        <v>107</v>
      </c>
      <c r="C45" s="40"/>
      <c r="D45" s="40"/>
      <c r="L45" s="9">
        <f>SUBTOTAL(9,L40:L44)</f>
        <v>5050</v>
      </c>
      <c r="M45" s="9">
        <f>M40</f>
        <v>10</v>
      </c>
      <c r="O45" s="4" t="s">
        <v>106</v>
      </c>
      <c r="P45" s="4">
        <f>SUBTOTAL(9,P40:P44)</f>
        <v>136</v>
      </c>
    </row>
    <row r="47" spans="1:17" x14ac:dyDescent="0.25">
      <c r="B47" s="1" t="s">
        <v>108</v>
      </c>
      <c r="C47" s="41">
        <f>C43+C44+C45</f>
        <v>21990</v>
      </c>
      <c r="D47" s="41"/>
      <c r="E47" s="1" t="s">
        <v>109</v>
      </c>
      <c r="K47" s="7" t="s">
        <v>1380</v>
      </c>
      <c r="L47" s="7" t="s">
        <v>91</v>
      </c>
      <c r="M47" s="7" t="s">
        <v>90</v>
      </c>
    </row>
    <row r="48" spans="1:17" x14ac:dyDescent="0.25">
      <c r="K48" t="s">
        <v>95</v>
      </c>
      <c r="L48">
        <f>SUMIFS(G$3:G$35,J$3:J$35,K$47)</f>
        <v>7920</v>
      </c>
      <c r="M48">
        <f>SUMIFS(Q$3:Q$35,J$3:J$35,K$47)</f>
        <v>11</v>
      </c>
    </row>
    <row r="49" spans="11:13" x14ac:dyDescent="0.25">
      <c r="K49" t="s">
        <v>98</v>
      </c>
      <c r="L49">
        <f>SUM(H38:H40)</f>
        <v>-250</v>
      </c>
      <c r="M49">
        <f>SUMIFS(Q$3:Q$35,J$3:J$35,K$47)</f>
        <v>11</v>
      </c>
    </row>
    <row r="50" spans="11:13" x14ac:dyDescent="0.25">
      <c r="K50" t="s">
        <v>100</v>
      </c>
    </row>
    <row r="51" spans="11:13" x14ac:dyDescent="0.25">
      <c r="K51" s="2" t="s">
        <v>102</v>
      </c>
    </row>
    <row r="52" spans="11:13" x14ac:dyDescent="0.25">
      <c r="K52" s="2" t="s">
        <v>105</v>
      </c>
      <c r="L52" s="2">
        <v>-865</v>
      </c>
      <c r="M52" s="29" t="s">
        <v>451</v>
      </c>
    </row>
    <row r="53" spans="11:13" x14ac:dyDescent="0.25">
      <c r="L53" s="9">
        <f>SUBTOTAL(9,L48:L52)</f>
        <v>6805</v>
      </c>
      <c r="M53" s="9">
        <f>M48</f>
        <v>11</v>
      </c>
    </row>
    <row r="55" spans="11:13" x14ac:dyDescent="0.25">
      <c r="K55" s="7" t="s">
        <v>20</v>
      </c>
      <c r="L55" s="7" t="s">
        <v>91</v>
      </c>
      <c r="M55" s="7" t="s">
        <v>90</v>
      </c>
    </row>
    <row r="56" spans="11:13" x14ac:dyDescent="0.25">
      <c r="K56" t="s">
        <v>95</v>
      </c>
      <c r="L56">
        <f>SUMIFS(G$3:G$35,J$3:J$35,K$55)</f>
        <v>855</v>
      </c>
      <c r="M56">
        <f>SUMIFS(Q$3:Q$35,J$3:J$35,K$55)</f>
        <v>2</v>
      </c>
    </row>
    <row r="57" spans="11:13" x14ac:dyDescent="0.25">
      <c r="K57" t="s">
        <v>98</v>
      </c>
      <c r="L57">
        <f>-SUMIFS(H$3:H$35,J$3:J$35,K$55)+M57*5</f>
        <v>-55</v>
      </c>
      <c r="M57">
        <f>SUMIFS(Q$3:Q$35,J$3:J$35,K$55)-COUNTIFS(J$3:J$35,K$55,M$3:M$35,"*gộp*")</f>
        <v>2</v>
      </c>
    </row>
    <row r="58" spans="11:13" x14ac:dyDescent="0.25">
      <c r="K58" t="s">
        <v>100</v>
      </c>
    </row>
    <row r="59" spans="11:13" x14ac:dyDescent="0.25">
      <c r="K59" s="2" t="s">
        <v>102</v>
      </c>
    </row>
    <row r="60" spans="11:13" x14ac:dyDescent="0.25">
      <c r="K60" s="2" t="s">
        <v>105</v>
      </c>
    </row>
    <row r="61" spans="11:13" x14ac:dyDescent="0.25">
      <c r="L61" s="9">
        <f>SUBTOTAL(9,L56:L60)</f>
        <v>800</v>
      </c>
      <c r="M61" s="9">
        <f>M56</f>
        <v>2</v>
      </c>
    </row>
    <row r="63" spans="11:13" x14ac:dyDescent="0.25">
      <c r="K63" s="7" t="s">
        <v>21</v>
      </c>
      <c r="L63" s="7" t="s">
        <v>91</v>
      </c>
      <c r="M63" s="7" t="s">
        <v>90</v>
      </c>
    </row>
    <row r="64" spans="11:13" x14ac:dyDescent="0.25">
      <c r="K64" t="s">
        <v>95</v>
      </c>
      <c r="L64">
        <f>SUMIFS(G$3:G$35,J$3:J$35,K$63)</f>
        <v>9745</v>
      </c>
      <c r="M64">
        <f>SUMIFS(Q$3:Q$35,J$3:J$35,K$63)</f>
        <v>9</v>
      </c>
    </row>
    <row r="65" spans="11:13" x14ac:dyDescent="0.25">
      <c r="K65" t="s">
        <v>98</v>
      </c>
      <c r="L65">
        <f>-SUMIFS(H$3:H$35,J$3:J$35,K$63)+M65*5</f>
        <v>-210</v>
      </c>
      <c r="M65">
        <f>SUMIFS(Q$3:Q$35,J$3:J$35,K$63)-COUNTIFS(J$3:J$35,K$63,M$3:M$35,"*gộp*")</f>
        <v>9</v>
      </c>
    </row>
    <row r="66" spans="11:13" x14ac:dyDescent="0.25">
      <c r="K66" t="s">
        <v>100</v>
      </c>
      <c r="L66">
        <f>-M66*2</f>
        <v>-64</v>
      </c>
      <c r="M66">
        <f>E40-(COUNTIFS(M$3:M$35,"*gộp*")/2)-COUNTIFS(M$3:M$35,"*đơn trả*")*2</f>
        <v>32</v>
      </c>
    </row>
    <row r="67" spans="11:13" x14ac:dyDescent="0.25">
      <c r="K67" s="2" t="s">
        <v>102</v>
      </c>
    </row>
    <row r="68" spans="11:13" x14ac:dyDescent="0.25">
      <c r="K68" s="2" t="s">
        <v>105</v>
      </c>
    </row>
    <row r="69" spans="11:13" x14ac:dyDescent="0.25">
      <c r="L69" s="9">
        <f>SUBTOTAL(9,L64:L68)</f>
        <v>9471</v>
      </c>
      <c r="M69" s="9">
        <f>M64</f>
        <v>9</v>
      </c>
    </row>
  </sheetData>
  <autoFilter ref="A2:P35" xr:uid="{00000000-0009-0000-0000-00000C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Q86"/>
  <sheetViews>
    <sheetView topLeftCell="B1" workbookViewId="0">
      <selection activeCell="E27" sqref="E27"/>
    </sheetView>
  </sheetViews>
  <sheetFormatPr defaultRowHeight="15" x14ac:dyDescent="0.25"/>
  <cols>
    <col min="1" max="1" width="12.7109375" customWidth="1"/>
    <col min="2" max="2" width="17.7109375" customWidth="1"/>
    <col min="3" max="3" width="53.85546875" customWidth="1"/>
    <col min="4" max="4" width="9.85546875" customWidth="1"/>
    <col min="5" max="5" width="71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1442</v>
      </c>
      <c r="D3" s="18" t="s">
        <v>1443</v>
      </c>
      <c r="E3" s="18" t="s">
        <v>1444</v>
      </c>
      <c r="F3" s="19">
        <v>9</v>
      </c>
      <c r="G3" s="19">
        <v>1420</v>
      </c>
      <c r="H3" s="19">
        <v>30</v>
      </c>
      <c r="I3" s="19">
        <f>G3-H3</f>
        <v>1390</v>
      </c>
      <c r="J3" s="18" t="s">
        <v>20</v>
      </c>
      <c r="K3" s="18" t="s">
        <v>21</v>
      </c>
      <c r="L3" s="18" t="s">
        <v>1445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1446</v>
      </c>
      <c r="D4" s="18" t="s">
        <v>1447</v>
      </c>
      <c r="E4" s="18" t="s">
        <v>1448</v>
      </c>
      <c r="F4" s="19">
        <v>9</v>
      </c>
      <c r="G4" s="19">
        <v>1170</v>
      </c>
      <c r="H4" s="19">
        <v>30</v>
      </c>
      <c r="I4" s="19">
        <f>G4-H4</f>
        <v>1140</v>
      </c>
      <c r="J4" s="18" t="s">
        <v>20</v>
      </c>
      <c r="K4" s="18" t="s">
        <v>21</v>
      </c>
      <c r="L4" s="18" t="s">
        <v>1445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1449</v>
      </c>
      <c r="D5" s="18" t="s">
        <v>1450</v>
      </c>
      <c r="E5" s="18" t="s">
        <v>1451</v>
      </c>
      <c r="F5" s="19">
        <v>9</v>
      </c>
      <c r="G5" s="19">
        <v>1910</v>
      </c>
      <c r="H5" s="19">
        <v>30</v>
      </c>
      <c r="I5" s="19">
        <f>G5-H5</f>
        <v>1880</v>
      </c>
      <c r="J5" s="18" t="s">
        <v>20</v>
      </c>
      <c r="K5" s="18" t="s">
        <v>21</v>
      </c>
      <c r="L5" s="18" t="s">
        <v>1445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325</v>
      </c>
      <c r="D6" s="18" t="s">
        <v>1452</v>
      </c>
      <c r="E6" s="18" t="s">
        <v>327</v>
      </c>
      <c r="F6" s="19">
        <v>9</v>
      </c>
      <c r="G6" s="19">
        <v>380</v>
      </c>
      <c r="H6" s="19">
        <v>30</v>
      </c>
      <c r="I6" s="19">
        <f>G6-H6</f>
        <v>350</v>
      </c>
      <c r="J6" s="18" t="s">
        <v>20</v>
      </c>
      <c r="K6" s="18" t="s">
        <v>21</v>
      </c>
      <c r="L6" s="18" t="s">
        <v>1445</v>
      </c>
      <c r="M6" s="18"/>
      <c r="N6" s="18"/>
      <c r="O6" s="18"/>
      <c r="P6" s="18"/>
      <c r="Q6" s="18">
        <v>1</v>
      </c>
    </row>
    <row r="7" spans="1:17" x14ac:dyDescent="0.25">
      <c r="A7" s="18" t="s">
        <v>62</v>
      </c>
      <c r="B7" s="18" t="s">
        <v>16</v>
      </c>
      <c r="C7" s="18" t="s">
        <v>1453</v>
      </c>
      <c r="D7" s="18"/>
      <c r="E7" s="18" t="s">
        <v>1454</v>
      </c>
      <c r="F7" s="19">
        <v>9</v>
      </c>
      <c r="G7" s="19">
        <v>0</v>
      </c>
      <c r="H7" s="19">
        <v>35</v>
      </c>
      <c r="I7" s="19">
        <f>-H7</f>
        <v>-35</v>
      </c>
      <c r="J7" s="18" t="s">
        <v>20</v>
      </c>
      <c r="K7" s="18" t="s">
        <v>21</v>
      </c>
      <c r="L7" s="18" t="s">
        <v>1445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1455</v>
      </c>
      <c r="D8" s="18" t="s">
        <v>1456</v>
      </c>
      <c r="E8" s="18" t="s">
        <v>1457</v>
      </c>
      <c r="F8" s="19">
        <v>9</v>
      </c>
      <c r="G8" s="19">
        <v>1120</v>
      </c>
      <c r="H8" s="19">
        <v>30</v>
      </c>
      <c r="I8" s="19">
        <f t="shared" ref="I8:I13" si="0">G8-H8</f>
        <v>1090</v>
      </c>
      <c r="J8" s="18" t="s">
        <v>20</v>
      </c>
      <c r="K8" s="18" t="s">
        <v>21</v>
      </c>
      <c r="L8" s="18" t="s">
        <v>1445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1458</v>
      </c>
      <c r="D9" s="18" t="s">
        <v>1459</v>
      </c>
      <c r="E9" s="18" t="s">
        <v>1460</v>
      </c>
      <c r="F9" s="19">
        <v>7</v>
      </c>
      <c r="G9" s="19">
        <v>950</v>
      </c>
      <c r="H9" s="19">
        <v>30</v>
      </c>
      <c r="I9" s="19">
        <f t="shared" si="0"/>
        <v>920</v>
      </c>
      <c r="J9" s="18" t="s">
        <v>1461</v>
      </c>
      <c r="K9" s="18" t="s">
        <v>21</v>
      </c>
      <c r="L9" s="18" t="s">
        <v>1445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1462</v>
      </c>
      <c r="D10" s="18" t="s">
        <v>1463</v>
      </c>
      <c r="E10" s="18" t="s">
        <v>1464</v>
      </c>
      <c r="F10" s="19">
        <v>7</v>
      </c>
      <c r="G10" s="19">
        <v>670</v>
      </c>
      <c r="H10" s="19">
        <v>30</v>
      </c>
      <c r="I10" s="19">
        <f t="shared" si="0"/>
        <v>640</v>
      </c>
      <c r="J10" s="18" t="s">
        <v>1461</v>
      </c>
      <c r="K10" s="18" t="s">
        <v>21</v>
      </c>
      <c r="L10" s="18" t="s">
        <v>1445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1465</v>
      </c>
      <c r="D11" s="18" t="s">
        <v>1466</v>
      </c>
      <c r="E11" s="18" t="s">
        <v>1467</v>
      </c>
      <c r="F11" s="18" t="s">
        <v>26</v>
      </c>
      <c r="G11" s="19">
        <v>780</v>
      </c>
      <c r="H11" s="19">
        <v>30</v>
      </c>
      <c r="I11" s="19">
        <f t="shared" si="0"/>
        <v>750</v>
      </c>
      <c r="J11" s="18" t="s">
        <v>1461</v>
      </c>
      <c r="K11" s="18" t="s">
        <v>21</v>
      </c>
      <c r="L11" s="18" t="s">
        <v>1445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1468</v>
      </c>
      <c r="D12" s="18" t="s">
        <v>1469</v>
      </c>
      <c r="E12" s="18" t="s">
        <v>1470</v>
      </c>
      <c r="F12" s="19">
        <v>7</v>
      </c>
      <c r="G12" s="19">
        <v>850</v>
      </c>
      <c r="H12" s="19">
        <v>30</v>
      </c>
      <c r="I12" s="19">
        <f t="shared" si="0"/>
        <v>820</v>
      </c>
      <c r="J12" s="18" t="s">
        <v>1461</v>
      </c>
      <c r="K12" s="18" t="s">
        <v>21</v>
      </c>
      <c r="L12" s="18" t="s">
        <v>1445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1171</v>
      </c>
      <c r="D13" s="18" t="s">
        <v>1471</v>
      </c>
      <c r="E13" s="18" t="s">
        <v>1472</v>
      </c>
      <c r="F13" s="19">
        <v>7</v>
      </c>
      <c r="G13" s="19">
        <v>520</v>
      </c>
      <c r="H13" s="19">
        <v>30</v>
      </c>
      <c r="I13" s="19">
        <f t="shared" si="0"/>
        <v>490</v>
      </c>
      <c r="J13" s="18" t="s">
        <v>1461</v>
      </c>
      <c r="K13" s="18" t="s">
        <v>21</v>
      </c>
      <c r="L13" s="18" t="s">
        <v>1445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1473</v>
      </c>
      <c r="D14" s="18" t="s">
        <v>1474</v>
      </c>
      <c r="E14" s="18" t="s">
        <v>1475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1461</v>
      </c>
      <c r="K14" s="18" t="s">
        <v>21</v>
      </c>
      <c r="L14" s="18" t="s">
        <v>1445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1476</v>
      </c>
      <c r="D15" s="18" t="s">
        <v>1477</v>
      </c>
      <c r="E15" s="18" t="s">
        <v>1478</v>
      </c>
      <c r="F15" s="19">
        <v>7</v>
      </c>
      <c r="G15" s="19">
        <v>30</v>
      </c>
      <c r="H15" s="19">
        <v>30</v>
      </c>
      <c r="I15" s="19">
        <f>G15-H15</f>
        <v>0</v>
      </c>
      <c r="J15" s="18" t="s">
        <v>1461</v>
      </c>
      <c r="K15" s="18" t="s">
        <v>21</v>
      </c>
      <c r="L15" s="18" t="s">
        <v>1445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1479</v>
      </c>
      <c r="D16" s="18" t="s">
        <v>1480</v>
      </c>
      <c r="E16" s="18" t="s">
        <v>1481</v>
      </c>
      <c r="F16" s="18" t="s">
        <v>217</v>
      </c>
      <c r="G16" s="19">
        <v>1015</v>
      </c>
      <c r="H16" s="19">
        <v>25</v>
      </c>
      <c r="I16" s="19">
        <f>G16-H16</f>
        <v>990</v>
      </c>
      <c r="J16" s="18" t="s">
        <v>1461</v>
      </c>
      <c r="K16" s="18" t="s">
        <v>21</v>
      </c>
      <c r="L16" s="18" t="s">
        <v>1445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808</v>
      </c>
      <c r="D17" s="18" t="s">
        <v>1482</v>
      </c>
      <c r="E17" s="18" t="s">
        <v>1483</v>
      </c>
      <c r="F17" s="19">
        <v>12</v>
      </c>
      <c r="G17" s="19">
        <v>0</v>
      </c>
      <c r="H17" s="19">
        <v>30</v>
      </c>
      <c r="I17" s="19">
        <f>-H17</f>
        <v>-30</v>
      </c>
      <c r="J17" s="18" t="s">
        <v>1461</v>
      </c>
      <c r="K17" s="18" t="s">
        <v>21</v>
      </c>
      <c r="L17" s="18" t="s">
        <v>1445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1484</v>
      </c>
      <c r="D18" s="18" t="s">
        <v>1485</v>
      </c>
      <c r="E18" s="18" t="s">
        <v>1486</v>
      </c>
      <c r="F18" s="19">
        <v>7</v>
      </c>
      <c r="G18" s="19">
        <v>390</v>
      </c>
      <c r="H18" s="19">
        <v>30</v>
      </c>
      <c r="I18" s="19">
        <f>G18-H18</f>
        <v>360</v>
      </c>
      <c r="J18" s="18" t="s">
        <v>1461</v>
      </c>
      <c r="K18" s="18" t="s">
        <v>21</v>
      </c>
      <c r="L18" s="18" t="s">
        <v>1445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466</v>
      </c>
      <c r="D19" s="18" t="s">
        <v>1487</v>
      </c>
      <c r="E19" s="18" t="s">
        <v>468</v>
      </c>
      <c r="F19" s="19">
        <v>8</v>
      </c>
      <c r="G19" s="19">
        <v>1300</v>
      </c>
      <c r="H19" s="19">
        <v>30</v>
      </c>
      <c r="I19" s="19">
        <f>G19-H19</f>
        <v>1270</v>
      </c>
      <c r="J19" s="18" t="s">
        <v>1461</v>
      </c>
      <c r="K19" s="18" t="s">
        <v>21</v>
      </c>
      <c r="L19" s="18" t="s">
        <v>1445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1488</v>
      </c>
      <c r="D20" s="18" t="s">
        <v>1489</v>
      </c>
      <c r="E20" s="18" t="s">
        <v>1490</v>
      </c>
      <c r="F20" s="18" t="s">
        <v>217</v>
      </c>
      <c r="G20" s="19">
        <v>0</v>
      </c>
      <c r="H20" s="19">
        <v>25</v>
      </c>
      <c r="I20" s="19">
        <f>-H20</f>
        <v>-25</v>
      </c>
      <c r="J20" s="18" t="s">
        <v>1461</v>
      </c>
      <c r="K20" s="18" t="s">
        <v>21</v>
      </c>
      <c r="L20" s="18" t="s">
        <v>1445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1491</v>
      </c>
      <c r="D21" s="18" t="s">
        <v>1492</v>
      </c>
      <c r="E21" s="18" t="s">
        <v>1493</v>
      </c>
      <c r="F21" s="19">
        <v>11</v>
      </c>
      <c r="G21" s="19">
        <v>0</v>
      </c>
      <c r="H21" s="19">
        <v>25</v>
      </c>
      <c r="I21" s="19">
        <f>-H21</f>
        <v>-25</v>
      </c>
      <c r="J21" s="18" t="s">
        <v>1461</v>
      </c>
      <c r="K21" s="18" t="s">
        <v>21</v>
      </c>
      <c r="L21" s="18" t="s">
        <v>1445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1494</v>
      </c>
      <c r="D22" s="18" t="s">
        <v>1495</v>
      </c>
      <c r="E22" s="18" t="s">
        <v>1496</v>
      </c>
      <c r="F22" s="18" t="s">
        <v>26</v>
      </c>
      <c r="G22" s="19">
        <v>900</v>
      </c>
      <c r="H22" s="19">
        <v>30</v>
      </c>
      <c r="I22" s="19">
        <f>G22-H22</f>
        <v>870</v>
      </c>
      <c r="J22" s="18" t="s">
        <v>1461</v>
      </c>
      <c r="K22" s="18" t="s">
        <v>21</v>
      </c>
      <c r="L22" s="18" t="s">
        <v>1445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1497</v>
      </c>
      <c r="D23" s="18" t="s">
        <v>1498</v>
      </c>
      <c r="E23" s="18" t="s">
        <v>1499</v>
      </c>
      <c r="F23" s="19">
        <v>6</v>
      </c>
      <c r="G23" s="19">
        <v>0</v>
      </c>
      <c r="H23" s="19">
        <v>25</v>
      </c>
      <c r="I23" s="19">
        <f>-H23</f>
        <v>-25</v>
      </c>
      <c r="J23" s="18" t="s">
        <v>1461</v>
      </c>
      <c r="K23" s="18" t="s">
        <v>21</v>
      </c>
      <c r="L23" s="18" t="s">
        <v>1445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1500</v>
      </c>
      <c r="D24" s="18" t="s">
        <v>1501</v>
      </c>
      <c r="E24" s="18" t="s">
        <v>1502</v>
      </c>
      <c r="F24" s="18" t="s">
        <v>26</v>
      </c>
      <c r="G24" s="19">
        <v>30</v>
      </c>
      <c r="H24" s="19">
        <v>30</v>
      </c>
      <c r="I24" s="19">
        <f t="shared" ref="I24:I29" si="1">G24-H24</f>
        <v>0</v>
      </c>
      <c r="J24" s="18" t="s">
        <v>1461</v>
      </c>
      <c r="K24" s="18" t="s">
        <v>21</v>
      </c>
      <c r="L24" s="18" t="s">
        <v>1445</v>
      </c>
      <c r="M24" s="18" t="s">
        <v>398</v>
      </c>
      <c r="N24" s="18"/>
      <c r="O24" s="18"/>
      <c r="P24" s="18"/>
      <c r="Q24" s="18">
        <v>1</v>
      </c>
    </row>
    <row r="25" spans="1:17" x14ac:dyDescent="0.25">
      <c r="A25" s="18" t="s">
        <v>62</v>
      </c>
      <c r="B25" s="18" t="s">
        <v>16</v>
      </c>
      <c r="C25" s="18" t="s">
        <v>1503</v>
      </c>
      <c r="D25" s="18"/>
      <c r="E25" s="18" t="s">
        <v>1504</v>
      </c>
      <c r="F25" s="18" t="s">
        <v>26</v>
      </c>
      <c r="G25" s="19">
        <v>40</v>
      </c>
      <c r="H25" s="19">
        <v>40</v>
      </c>
      <c r="I25" s="19">
        <f t="shared" si="1"/>
        <v>0</v>
      </c>
      <c r="J25" s="18" t="s">
        <v>1461</v>
      </c>
      <c r="K25" s="18" t="s">
        <v>21</v>
      </c>
      <c r="L25" s="18" t="s">
        <v>1445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1505</v>
      </c>
      <c r="D26" s="18" t="s">
        <v>1506</v>
      </c>
      <c r="E26" s="18" t="s">
        <v>1507</v>
      </c>
      <c r="F26" s="18" t="s">
        <v>68</v>
      </c>
      <c r="G26" s="19">
        <v>460</v>
      </c>
      <c r="H26" s="19">
        <v>20</v>
      </c>
      <c r="I26" s="19">
        <f t="shared" si="1"/>
        <v>440</v>
      </c>
      <c r="J26" s="18" t="s">
        <v>21</v>
      </c>
      <c r="K26" s="18" t="s">
        <v>21</v>
      </c>
      <c r="L26" s="18" t="s">
        <v>1445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1508</v>
      </c>
      <c r="D27" s="18" t="s">
        <v>1509</v>
      </c>
      <c r="E27" s="18" t="s">
        <v>1510</v>
      </c>
      <c r="F27" s="18" t="s">
        <v>72</v>
      </c>
      <c r="G27" s="19">
        <v>1855</v>
      </c>
      <c r="H27" s="19">
        <v>25</v>
      </c>
      <c r="I27" s="19">
        <f t="shared" si="1"/>
        <v>1830</v>
      </c>
      <c r="J27" s="18" t="s">
        <v>21</v>
      </c>
      <c r="K27" s="18" t="s">
        <v>21</v>
      </c>
      <c r="L27" s="18" t="s">
        <v>1445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1511</v>
      </c>
      <c r="D28" s="18" t="s">
        <v>1512</v>
      </c>
      <c r="E28" s="18" t="s">
        <v>1513</v>
      </c>
      <c r="F28" s="18" t="s">
        <v>153</v>
      </c>
      <c r="G28" s="19">
        <v>960</v>
      </c>
      <c r="H28" s="19">
        <v>30</v>
      </c>
      <c r="I28" s="19">
        <f t="shared" si="1"/>
        <v>930</v>
      </c>
      <c r="J28" s="18" t="s">
        <v>21</v>
      </c>
      <c r="K28" s="18" t="s">
        <v>21</v>
      </c>
      <c r="L28" s="18" t="s">
        <v>1445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1514</v>
      </c>
      <c r="D29" s="18" t="s">
        <v>1515</v>
      </c>
      <c r="E29" s="18" t="s">
        <v>1516</v>
      </c>
      <c r="F29" s="19">
        <v>2</v>
      </c>
      <c r="G29" s="19">
        <v>600</v>
      </c>
      <c r="H29" s="19">
        <v>30</v>
      </c>
      <c r="I29" s="19">
        <f t="shared" si="1"/>
        <v>570</v>
      </c>
      <c r="J29" s="18" t="s">
        <v>21</v>
      </c>
      <c r="K29" s="18" t="s">
        <v>21</v>
      </c>
      <c r="L29" s="18" t="s">
        <v>1445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136</v>
      </c>
      <c r="D30" s="18" t="s">
        <v>1517</v>
      </c>
      <c r="E30" s="18" t="s">
        <v>138</v>
      </c>
      <c r="F30" s="18" t="s">
        <v>68</v>
      </c>
      <c r="G30" s="19">
        <v>0</v>
      </c>
      <c r="H30" s="19">
        <v>20</v>
      </c>
      <c r="I30" s="19">
        <f>-H30</f>
        <v>-20</v>
      </c>
      <c r="J30" s="18" t="s">
        <v>21</v>
      </c>
      <c r="K30" s="18" t="s">
        <v>21</v>
      </c>
      <c r="L30" s="18" t="s">
        <v>1445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1518</v>
      </c>
      <c r="D31" s="18" t="s">
        <v>1519</v>
      </c>
      <c r="E31" s="18" t="s">
        <v>1520</v>
      </c>
      <c r="F31" s="18" t="s">
        <v>68</v>
      </c>
      <c r="G31" s="19">
        <v>840</v>
      </c>
      <c r="H31" s="19">
        <v>20</v>
      </c>
      <c r="I31" s="19">
        <f>G31-H31</f>
        <v>820</v>
      </c>
      <c r="J31" s="18" t="s">
        <v>21</v>
      </c>
      <c r="K31" s="18" t="s">
        <v>21</v>
      </c>
      <c r="L31" s="18" t="s">
        <v>1445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1521</v>
      </c>
      <c r="D32" s="18" t="s">
        <v>1522</v>
      </c>
      <c r="E32" s="18" t="s">
        <v>1523</v>
      </c>
      <c r="F32" s="18" t="s">
        <v>72</v>
      </c>
      <c r="G32" s="19">
        <v>0</v>
      </c>
      <c r="H32" s="19">
        <v>25</v>
      </c>
      <c r="I32" s="19">
        <f>-H32</f>
        <v>-25</v>
      </c>
      <c r="J32" s="18" t="s">
        <v>21</v>
      </c>
      <c r="K32" s="18" t="s">
        <v>21</v>
      </c>
      <c r="L32" s="18" t="s">
        <v>1445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1524</v>
      </c>
      <c r="D33" s="18" t="s">
        <v>1525</v>
      </c>
      <c r="E33" s="18" t="s">
        <v>1526</v>
      </c>
      <c r="F33" s="18" t="s">
        <v>68</v>
      </c>
      <c r="G33" s="19">
        <v>970</v>
      </c>
      <c r="H33" s="19">
        <v>20</v>
      </c>
      <c r="I33" s="19">
        <f>G33-H33</f>
        <v>950</v>
      </c>
      <c r="J33" s="18" t="s">
        <v>21</v>
      </c>
      <c r="K33" s="18" t="s">
        <v>21</v>
      </c>
      <c r="L33" s="18" t="s">
        <v>1445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1527</v>
      </c>
      <c r="D34" s="18" t="s">
        <v>1528</v>
      </c>
      <c r="E34" s="18" t="s">
        <v>1529</v>
      </c>
      <c r="F34" s="18" t="s">
        <v>72</v>
      </c>
      <c r="G34" s="19">
        <v>0</v>
      </c>
      <c r="H34" s="19">
        <v>25</v>
      </c>
      <c r="I34" s="19">
        <f>-H34</f>
        <v>-25</v>
      </c>
      <c r="J34" s="18" t="s">
        <v>21</v>
      </c>
      <c r="K34" s="18" t="s">
        <v>21</v>
      </c>
      <c r="L34" s="18" t="s">
        <v>1445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1530</v>
      </c>
      <c r="D35" s="18" t="s">
        <v>1531</v>
      </c>
      <c r="E35" s="18" t="s">
        <v>1532</v>
      </c>
      <c r="F35" s="18" t="s">
        <v>68</v>
      </c>
      <c r="G35" s="19">
        <v>810</v>
      </c>
      <c r="H35" s="19">
        <v>20</v>
      </c>
      <c r="I35" s="19">
        <f t="shared" ref="I35:I40" si="2">G35-H35</f>
        <v>790</v>
      </c>
      <c r="J35" s="18" t="s">
        <v>21</v>
      </c>
      <c r="K35" s="18" t="s">
        <v>21</v>
      </c>
      <c r="L35" s="18" t="s">
        <v>1445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1533</v>
      </c>
      <c r="D36" s="18" t="s">
        <v>1534</v>
      </c>
      <c r="E36" s="18" t="s">
        <v>1535</v>
      </c>
      <c r="F36" s="18" t="s">
        <v>68</v>
      </c>
      <c r="G36" s="19">
        <v>810</v>
      </c>
      <c r="H36" s="19">
        <v>20</v>
      </c>
      <c r="I36" s="19">
        <f t="shared" si="2"/>
        <v>790</v>
      </c>
      <c r="J36" s="18" t="s">
        <v>21</v>
      </c>
      <c r="K36" s="18" t="s">
        <v>21</v>
      </c>
      <c r="L36" s="18" t="s">
        <v>1445</v>
      </c>
      <c r="M36" s="18"/>
      <c r="N36" s="18"/>
      <c r="O36" s="18"/>
      <c r="P36" s="18"/>
      <c r="Q36" s="18">
        <v>1</v>
      </c>
    </row>
    <row r="37" spans="1:17" x14ac:dyDescent="0.25">
      <c r="A37" s="18" t="s">
        <v>62</v>
      </c>
      <c r="B37" s="18" t="s">
        <v>16</v>
      </c>
      <c r="C37" s="18" t="s">
        <v>1536</v>
      </c>
      <c r="D37" s="18"/>
      <c r="E37" s="18" t="s">
        <v>1537</v>
      </c>
      <c r="F37" s="18" t="s">
        <v>153</v>
      </c>
      <c r="G37" s="19">
        <v>35</v>
      </c>
      <c r="H37" s="19">
        <v>35</v>
      </c>
      <c r="I37" s="19">
        <f t="shared" si="2"/>
        <v>0</v>
      </c>
      <c r="J37" s="18" t="s">
        <v>21</v>
      </c>
      <c r="K37" s="18" t="s">
        <v>21</v>
      </c>
      <c r="L37" s="18" t="s">
        <v>1445</v>
      </c>
      <c r="M37" s="18"/>
      <c r="N37" s="18"/>
      <c r="O37" s="18"/>
      <c r="P37" s="18"/>
      <c r="Q37" s="18">
        <v>1</v>
      </c>
    </row>
    <row r="38" spans="1:17" x14ac:dyDescent="0.25">
      <c r="A38" s="18" t="s">
        <v>62</v>
      </c>
      <c r="B38" s="18" t="s">
        <v>16</v>
      </c>
      <c r="C38" s="18" t="s">
        <v>591</v>
      </c>
      <c r="D38" s="18"/>
      <c r="E38" s="18" t="s">
        <v>1538</v>
      </c>
      <c r="F38" s="18" t="s">
        <v>153</v>
      </c>
      <c r="G38" s="19">
        <v>1175</v>
      </c>
      <c r="H38" s="19">
        <v>35</v>
      </c>
      <c r="I38" s="19">
        <f t="shared" si="2"/>
        <v>1140</v>
      </c>
      <c r="J38" s="18" t="s">
        <v>21</v>
      </c>
      <c r="K38" s="18" t="s">
        <v>21</v>
      </c>
      <c r="L38" s="18" t="s">
        <v>1445</v>
      </c>
      <c r="M38" s="18"/>
      <c r="N38" s="18"/>
      <c r="O38" s="18"/>
      <c r="P38" s="18"/>
      <c r="Q38" s="18">
        <v>1</v>
      </c>
    </row>
    <row r="39" spans="1:17" s="2" customFormat="1" x14ac:dyDescent="0.25">
      <c r="A39" s="18"/>
      <c r="B39" s="18" t="s">
        <v>16</v>
      </c>
      <c r="C39" s="18" t="s">
        <v>651</v>
      </c>
      <c r="D39" s="18" t="s">
        <v>1539</v>
      </c>
      <c r="E39" s="18" t="s">
        <v>653</v>
      </c>
      <c r="F39" s="18" t="s">
        <v>88</v>
      </c>
      <c r="G39" s="19">
        <v>945</v>
      </c>
      <c r="H39" s="19">
        <v>25</v>
      </c>
      <c r="I39" s="19">
        <f t="shared" si="2"/>
        <v>920</v>
      </c>
      <c r="J39" s="18" t="s">
        <v>165</v>
      </c>
      <c r="K39" s="18" t="s">
        <v>21</v>
      </c>
      <c r="L39" s="18" t="s">
        <v>1445</v>
      </c>
      <c r="M39" s="18"/>
      <c r="N39" s="18"/>
      <c r="O39" s="18"/>
      <c r="P39" s="18"/>
      <c r="Q39" s="20">
        <v>1</v>
      </c>
    </row>
    <row r="40" spans="1:17" x14ac:dyDescent="0.25">
      <c r="A40" s="18"/>
      <c r="B40" s="18" t="s">
        <v>16</v>
      </c>
      <c r="C40" s="18" t="s">
        <v>1540</v>
      </c>
      <c r="D40" s="18" t="s">
        <v>1541</v>
      </c>
      <c r="E40" s="18" t="s">
        <v>1542</v>
      </c>
      <c r="F40" s="19">
        <v>1</v>
      </c>
      <c r="G40" s="19">
        <v>725</v>
      </c>
      <c r="H40" s="19">
        <v>25</v>
      </c>
      <c r="I40" s="19">
        <f t="shared" si="2"/>
        <v>700</v>
      </c>
      <c r="J40" s="18" t="s">
        <v>165</v>
      </c>
      <c r="K40" s="18" t="s">
        <v>21</v>
      </c>
      <c r="L40" s="18" t="s">
        <v>1445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1543</v>
      </c>
      <c r="D41" s="18" t="s">
        <v>1544</v>
      </c>
      <c r="E41" s="18" t="s">
        <v>1545</v>
      </c>
      <c r="F41" s="18" t="s">
        <v>88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1445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1546</v>
      </c>
      <c r="D42" s="18" t="s">
        <v>1547</v>
      </c>
      <c r="E42" s="18" t="s">
        <v>1548</v>
      </c>
      <c r="F42" s="19">
        <v>5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1445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991</v>
      </c>
      <c r="D43" s="18" t="s">
        <v>1549</v>
      </c>
      <c r="E43" s="18" t="s">
        <v>993</v>
      </c>
      <c r="F43" s="18" t="s">
        <v>88</v>
      </c>
      <c r="G43" s="19">
        <v>975</v>
      </c>
      <c r="H43" s="19">
        <v>25</v>
      </c>
      <c r="I43" s="19">
        <f>G43-H43</f>
        <v>950</v>
      </c>
      <c r="J43" s="18" t="s">
        <v>165</v>
      </c>
      <c r="K43" s="18" t="s">
        <v>21</v>
      </c>
      <c r="L43" s="18" t="s">
        <v>1445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774</v>
      </c>
      <c r="D44" s="18" t="s">
        <v>1550</v>
      </c>
      <c r="E44" s="18" t="s">
        <v>1551</v>
      </c>
      <c r="F44" s="19">
        <v>1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1445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1552</v>
      </c>
      <c r="D45" s="18" t="s">
        <v>1553</v>
      </c>
      <c r="E45" s="18" t="s">
        <v>1554</v>
      </c>
      <c r="F45" s="19">
        <v>10</v>
      </c>
      <c r="G45" s="19">
        <v>835</v>
      </c>
      <c r="H45" s="19">
        <v>25</v>
      </c>
      <c r="I45" s="19">
        <f>G45-H45</f>
        <v>810</v>
      </c>
      <c r="J45" s="18" t="s">
        <v>165</v>
      </c>
      <c r="K45" s="18" t="s">
        <v>21</v>
      </c>
      <c r="L45" s="18" t="s">
        <v>1445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1555</v>
      </c>
      <c r="D46" s="18" t="s">
        <v>1556</v>
      </c>
      <c r="E46" s="18" t="s">
        <v>1557</v>
      </c>
      <c r="F46" s="19">
        <v>4</v>
      </c>
      <c r="G46" s="19">
        <v>955</v>
      </c>
      <c r="H46" s="19">
        <v>25</v>
      </c>
      <c r="I46" s="19">
        <f>G46-H46</f>
        <v>930</v>
      </c>
      <c r="J46" s="18" t="s">
        <v>165</v>
      </c>
      <c r="K46" s="18" t="s">
        <v>21</v>
      </c>
      <c r="L46" s="18" t="s">
        <v>1445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1558</v>
      </c>
      <c r="D47" s="18" t="s">
        <v>1559</v>
      </c>
      <c r="E47" s="18" t="s">
        <v>1560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1445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1292</v>
      </c>
      <c r="D48" s="18" t="s">
        <v>1561</v>
      </c>
      <c r="E48" s="18" t="s">
        <v>1294</v>
      </c>
      <c r="F48" s="19">
        <v>10</v>
      </c>
      <c r="G48" s="19">
        <v>975</v>
      </c>
      <c r="H48" s="19">
        <v>25</v>
      </c>
      <c r="I48" s="19">
        <f>G48-H48</f>
        <v>950</v>
      </c>
      <c r="J48" s="18" t="s">
        <v>165</v>
      </c>
      <c r="K48" s="18" t="s">
        <v>21</v>
      </c>
      <c r="L48" s="18" t="s">
        <v>1445</v>
      </c>
      <c r="M48" s="18"/>
      <c r="N48" s="18"/>
      <c r="O48" s="18"/>
      <c r="P48" s="18"/>
      <c r="Q48" s="18">
        <v>1</v>
      </c>
    </row>
    <row r="49" spans="1:17" x14ac:dyDescent="0.25">
      <c r="A49" s="18" t="s">
        <v>62</v>
      </c>
      <c r="B49" s="18" t="s">
        <v>16</v>
      </c>
      <c r="C49" s="18" t="s">
        <v>584</v>
      </c>
      <c r="D49" s="18"/>
      <c r="E49" s="18" t="s">
        <v>585</v>
      </c>
      <c r="F49" s="19">
        <v>4</v>
      </c>
      <c r="G49" s="19">
        <v>30</v>
      </c>
      <c r="H49" s="19">
        <v>30</v>
      </c>
      <c r="I49" s="19">
        <f>G49-H49</f>
        <v>0</v>
      </c>
      <c r="J49" s="18" t="s">
        <v>165</v>
      </c>
      <c r="K49" s="18" t="s">
        <v>21</v>
      </c>
      <c r="L49" s="18" t="s">
        <v>1445</v>
      </c>
      <c r="M49" s="18"/>
      <c r="N49" s="18"/>
      <c r="O49" s="18"/>
      <c r="P49" s="18"/>
      <c r="Q49" s="18">
        <v>1</v>
      </c>
    </row>
    <row r="50" spans="1:17" x14ac:dyDescent="0.25">
      <c r="A50" s="18" t="s">
        <v>62</v>
      </c>
      <c r="B50" s="18" t="s">
        <v>16</v>
      </c>
      <c r="C50" s="18" t="s">
        <v>1562</v>
      </c>
      <c r="D50" s="18"/>
      <c r="E50" s="18" t="s">
        <v>442</v>
      </c>
      <c r="F50" s="18" t="s">
        <v>88</v>
      </c>
      <c r="G50" s="19">
        <v>0</v>
      </c>
      <c r="H50" s="19">
        <v>30</v>
      </c>
      <c r="I50" s="19">
        <f>-H50</f>
        <v>-30</v>
      </c>
      <c r="J50" s="18" t="s">
        <v>165</v>
      </c>
      <c r="K50" s="18" t="s">
        <v>21</v>
      </c>
      <c r="L50" s="18" t="s">
        <v>1445</v>
      </c>
      <c r="M50" s="18"/>
      <c r="N50" s="18"/>
      <c r="O50" s="18"/>
      <c r="P50" s="18"/>
      <c r="Q50" s="18">
        <v>1</v>
      </c>
    </row>
    <row r="51" spans="1:17" x14ac:dyDescent="0.25">
      <c r="A51" s="20"/>
      <c r="B51" s="20" t="s">
        <v>16</v>
      </c>
      <c r="C51" s="20" t="s">
        <v>1340</v>
      </c>
      <c r="D51" s="20" t="s">
        <v>1341</v>
      </c>
      <c r="E51" s="20" t="s">
        <v>1342</v>
      </c>
      <c r="F51" s="20" t="s">
        <v>72</v>
      </c>
      <c r="G51" s="21">
        <v>1115</v>
      </c>
      <c r="H51" s="21">
        <v>0</v>
      </c>
      <c r="I51" s="21">
        <f>G51-H51</f>
        <v>1115</v>
      </c>
      <c r="J51" s="20" t="s">
        <v>446</v>
      </c>
      <c r="K51" s="20" t="s">
        <v>21</v>
      </c>
      <c r="L51" s="20" t="s">
        <v>1311</v>
      </c>
      <c r="M51" s="20" t="s">
        <v>105</v>
      </c>
      <c r="N51" s="20" t="s">
        <v>448</v>
      </c>
      <c r="O51" s="20" t="s">
        <v>448</v>
      </c>
      <c r="P51" s="20" t="s">
        <v>449</v>
      </c>
      <c r="Q51" s="20">
        <v>1</v>
      </c>
    </row>
    <row r="52" spans="1:17" s="2" customFormat="1" x14ac:dyDescent="0.25">
      <c r="A52" s="20"/>
      <c r="B52" s="20" t="s">
        <v>16</v>
      </c>
      <c r="C52" s="20" t="s">
        <v>1563</v>
      </c>
      <c r="D52" s="20" t="s">
        <v>1564</v>
      </c>
      <c r="E52" s="20" t="s">
        <v>1565</v>
      </c>
      <c r="F52" s="20" t="s">
        <v>780</v>
      </c>
      <c r="G52" s="21">
        <v>2040</v>
      </c>
      <c r="H52" s="21">
        <v>0</v>
      </c>
      <c r="I52" s="21">
        <f>G52-H52</f>
        <v>2040</v>
      </c>
      <c r="J52" s="20" t="s">
        <v>446</v>
      </c>
      <c r="K52" s="20" t="s">
        <v>21</v>
      </c>
      <c r="L52" s="20" t="s">
        <v>1445</v>
      </c>
      <c r="M52" s="20" t="s">
        <v>781</v>
      </c>
      <c r="N52" s="20" t="s">
        <v>448</v>
      </c>
      <c r="O52" s="20"/>
      <c r="P52" s="20" t="s">
        <v>449</v>
      </c>
      <c r="Q52" s="21">
        <v>1</v>
      </c>
    </row>
    <row r="54" spans="1:17" x14ac:dyDescent="0.25">
      <c r="D54" s="1">
        <f>COUNTA(D3:D52)</f>
        <v>44</v>
      </c>
      <c r="G54" s="1">
        <f t="shared" ref="G54:Q54" si="3">SUBTOTAL(9,G3:G52)</f>
        <v>30585</v>
      </c>
      <c r="H54" s="1">
        <f t="shared" si="3"/>
        <v>1315</v>
      </c>
      <c r="I54" s="1">
        <f t="shared" si="3"/>
        <v>29270</v>
      </c>
      <c r="J54" s="1">
        <f t="shared" si="3"/>
        <v>0</v>
      </c>
      <c r="K54" s="1">
        <f t="shared" si="3"/>
        <v>0</v>
      </c>
      <c r="L54" s="1">
        <f t="shared" si="3"/>
        <v>0</v>
      </c>
      <c r="M54" s="1">
        <f t="shared" si="3"/>
        <v>0</v>
      </c>
      <c r="N54" s="1">
        <f t="shared" si="3"/>
        <v>0</v>
      </c>
      <c r="O54" s="1">
        <f t="shared" si="3"/>
        <v>0</v>
      </c>
      <c r="P54" s="1">
        <f t="shared" si="3"/>
        <v>0</v>
      </c>
      <c r="Q54" s="1">
        <f t="shared" si="3"/>
        <v>50</v>
      </c>
    </row>
    <row r="55" spans="1:17" x14ac:dyDescent="0.25">
      <c r="H55">
        <f>-12*17</f>
        <v>-204</v>
      </c>
    </row>
    <row r="56" spans="1:17" x14ac:dyDescent="0.25">
      <c r="A56" s="1" t="s">
        <v>16</v>
      </c>
      <c r="C56" s="42" t="s">
        <v>89</v>
      </c>
      <c r="D56" s="42"/>
      <c r="E56" s="4" t="s">
        <v>90</v>
      </c>
      <c r="H56">
        <f>-5*25</f>
        <v>-125</v>
      </c>
      <c r="K56" s="7" t="s">
        <v>1461</v>
      </c>
      <c r="L56" s="7" t="s">
        <v>91</v>
      </c>
      <c r="M56" s="7" t="s">
        <v>90</v>
      </c>
      <c r="O56" s="4" t="s">
        <v>92</v>
      </c>
    </row>
    <row r="57" spans="1:17" x14ac:dyDescent="0.25">
      <c r="A57" t="s">
        <v>1445</v>
      </c>
      <c r="B57" s="3" t="s">
        <v>93</v>
      </c>
      <c r="C57" s="43">
        <f>SUMIFS(I$3:I$52,B$3:B$52,A$56,L$3:L$52,A$57)</f>
        <v>28155</v>
      </c>
      <c r="D57" s="43"/>
      <c r="E57" s="3">
        <f>SUMIFS(Q$3:Q$52,B$3:B$52,A$56,L$3:L$52,A$57)</f>
        <v>49</v>
      </c>
      <c r="F57" t="s">
        <v>94</v>
      </c>
      <c r="K57" t="s">
        <v>95</v>
      </c>
      <c r="L57">
        <f>SUMIFS(G$3:G$52,J$3:J$52,K$56)</f>
        <v>7475</v>
      </c>
      <c r="M57">
        <f>SUMIFS(Q$3:Q$52,J$3:J$52,K$56)</f>
        <v>17</v>
      </c>
      <c r="O57" t="s">
        <v>1566</v>
      </c>
      <c r="P57">
        <f>L62</f>
        <v>7146</v>
      </c>
    </row>
    <row r="58" spans="1:17" x14ac:dyDescent="0.25">
      <c r="B58" s="2" t="s">
        <v>97</v>
      </c>
      <c r="C58" s="44">
        <v>0</v>
      </c>
      <c r="D58" s="44"/>
      <c r="K58" t="s">
        <v>98</v>
      </c>
      <c r="L58">
        <f>SUM(H55:H56)</f>
        <v>-329</v>
      </c>
      <c r="M58">
        <f>SUMIFS(Q$3:Q$52,J$3:J$52,K$56)</f>
        <v>17</v>
      </c>
      <c r="O58" t="s">
        <v>165</v>
      </c>
      <c r="P58">
        <f>L70</f>
        <v>5190</v>
      </c>
    </row>
    <row r="59" spans="1:17" x14ac:dyDescent="0.25">
      <c r="B59" s="2" t="s">
        <v>99</v>
      </c>
      <c r="C59" s="44">
        <f>-SUMIFS(I$3:I$52,B$3:B$52,A$56,P$3:P$52,"xx",N$3:N$52,"x")</f>
        <v>-3155</v>
      </c>
      <c r="D59" s="44"/>
      <c r="E59" s="2">
        <f>SUMIFS(Q$3:Q$52,B$3:B$52,A$56,P$3:P$52,"xx",N$3:N$52,"x")</f>
        <v>2</v>
      </c>
      <c r="K59" t="s">
        <v>100</v>
      </c>
      <c r="O59" t="s">
        <v>21</v>
      </c>
      <c r="P59">
        <f>L78</f>
        <v>7042</v>
      </c>
    </row>
    <row r="60" spans="1:17" x14ac:dyDescent="0.25">
      <c r="B60" s="4" t="s">
        <v>101</v>
      </c>
      <c r="C60" s="42">
        <f>SUBTOTAL(9,C57:C59)</f>
        <v>25000</v>
      </c>
      <c r="D60" s="42"/>
      <c r="E60">
        <f>E57</f>
        <v>49</v>
      </c>
      <c r="K60" s="2" t="s">
        <v>102</v>
      </c>
      <c r="O60" t="s">
        <v>20</v>
      </c>
      <c r="P60">
        <f>L86</f>
        <v>5845</v>
      </c>
    </row>
    <row r="61" spans="1:17" x14ac:dyDescent="0.25">
      <c r="B61" s="2" t="s">
        <v>104</v>
      </c>
      <c r="C61" s="40"/>
      <c r="D61" s="40"/>
      <c r="K61" s="2" t="s">
        <v>105</v>
      </c>
      <c r="O61" t="s">
        <v>103</v>
      </c>
      <c r="P61">
        <f>-C64</f>
        <v>-25000</v>
      </c>
    </row>
    <row r="62" spans="1:17" x14ac:dyDescent="0.25">
      <c r="B62" s="8" t="s">
        <v>107</v>
      </c>
      <c r="C62" s="40"/>
      <c r="D62" s="40"/>
      <c r="L62" s="9">
        <f>SUBTOTAL(9,L57:L61)</f>
        <v>7146</v>
      </c>
      <c r="M62" s="9">
        <f>M57</f>
        <v>17</v>
      </c>
      <c r="O62" s="4" t="s">
        <v>106</v>
      </c>
      <c r="P62" s="4">
        <f>SUBTOTAL(9,P57:P61)</f>
        <v>223</v>
      </c>
    </row>
    <row r="64" spans="1:17" x14ac:dyDescent="0.25">
      <c r="B64" s="1" t="s">
        <v>108</v>
      </c>
      <c r="C64" s="41">
        <f>C60+C61+C62</f>
        <v>25000</v>
      </c>
      <c r="D64" s="41"/>
      <c r="E64" s="1" t="s">
        <v>109</v>
      </c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SUMIFS(G$3:G$52,J$3:J$52,K$64)</f>
        <v>5440</v>
      </c>
      <c r="M65">
        <f>SUMIFS(Q$3:Q$52,J$3:J$52,K$64)</f>
        <v>12</v>
      </c>
    </row>
    <row r="66" spans="11:13" x14ac:dyDescent="0.25">
      <c r="K66" t="s">
        <v>98</v>
      </c>
      <c r="L66">
        <f>-SUMIFS(H$3:H$52,J$3:J$52,K$64)+M66*5</f>
        <v>-250</v>
      </c>
      <c r="M66">
        <f>SUMIFS(Q$3:Q$52,J$3:J$52,K$64)-COUNTIFS(J$3:J$52,K$64,M$3:M$52,"*gộp*")</f>
        <v>12</v>
      </c>
    </row>
    <row r="67" spans="11:13" x14ac:dyDescent="0.25">
      <c r="K67" t="s">
        <v>100</v>
      </c>
    </row>
    <row r="68" spans="11:13" x14ac:dyDescent="0.25">
      <c r="K68" s="2" t="s">
        <v>102</v>
      </c>
    </row>
    <row r="69" spans="11:13" x14ac:dyDescent="0.25">
      <c r="K69" s="2" t="s">
        <v>105</v>
      </c>
    </row>
    <row r="70" spans="11:13" x14ac:dyDescent="0.25">
      <c r="L70" s="9">
        <f>SUBTOTAL(9,L65:L69)</f>
        <v>5190</v>
      </c>
      <c r="M70" s="9">
        <f>M65</f>
        <v>12</v>
      </c>
    </row>
    <row r="72" spans="11:13" x14ac:dyDescent="0.25">
      <c r="K72" s="7" t="s">
        <v>21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SUMIFS(G$3:G$52,J$3:J$52,K$72)</f>
        <v>8515</v>
      </c>
      <c r="M73">
        <f>SUMIFS(Q$3:Q$52,J$3:J$52,K$72)</f>
        <v>13</v>
      </c>
    </row>
    <row r="74" spans="11:13" x14ac:dyDescent="0.25">
      <c r="K74" t="s">
        <v>98</v>
      </c>
      <c r="L74">
        <f>-SUMIFS(H$3:H$52,J$3:J$52,K$72)+M74*5</f>
        <v>-260</v>
      </c>
      <c r="M74">
        <f>SUMIFS(Q$3:Q$52,J$3:J$52,K$72)-COUNTIFS(J$3:J$52,K$72,M$3:M$52,"*gộp*")</f>
        <v>13</v>
      </c>
    </row>
    <row r="75" spans="11:13" x14ac:dyDescent="0.25">
      <c r="K75" t="s">
        <v>100</v>
      </c>
      <c r="L75">
        <f>-M75*2</f>
        <v>-98</v>
      </c>
      <c r="M75">
        <f>E60-(COUNTIFS(M$3:M$52,"*gộp*")/2)-COUNTIFS(M$3:M$52,"*đơn trả*")/2</f>
        <v>49</v>
      </c>
    </row>
    <row r="76" spans="11:13" x14ac:dyDescent="0.25">
      <c r="K76" s="2" t="s">
        <v>102</v>
      </c>
    </row>
    <row r="77" spans="11:13" x14ac:dyDescent="0.25">
      <c r="K77" s="2" t="s">
        <v>105</v>
      </c>
      <c r="L77" s="2">
        <v>-1115</v>
      </c>
      <c r="M77" s="29" t="s">
        <v>451</v>
      </c>
    </row>
    <row r="78" spans="11:13" x14ac:dyDescent="0.25">
      <c r="L78" s="9">
        <f>SUBTOTAL(9,L73:L77)</f>
        <v>7042</v>
      </c>
      <c r="M78" s="9">
        <f>M73</f>
        <v>13</v>
      </c>
    </row>
    <row r="80" spans="11:13" x14ac:dyDescent="0.25">
      <c r="K80" s="7" t="s">
        <v>20</v>
      </c>
      <c r="L80" s="7" t="s">
        <v>91</v>
      </c>
      <c r="M80" s="7" t="s">
        <v>90</v>
      </c>
    </row>
    <row r="81" spans="11:13" x14ac:dyDescent="0.25">
      <c r="K81" t="s">
        <v>95</v>
      </c>
      <c r="L81">
        <f>SUMIFS(G$3:G$52,J$3:J$52,K$80)</f>
        <v>6000</v>
      </c>
      <c r="M81">
        <f>SUMIFS(Q$3:Q$52,J$3:J$52,K$80)</f>
        <v>6</v>
      </c>
    </row>
    <row r="82" spans="11:13" x14ac:dyDescent="0.25">
      <c r="K82" t="s">
        <v>98</v>
      </c>
      <c r="L82">
        <f>-SUMIFS(H$3:H$52,J$3:J$52,K$80)+M82*5</f>
        <v>-155</v>
      </c>
      <c r="M82">
        <f>SUMIFS(Q$3:Q$52,J$3:J$52,K$80)-COUNTIFS(J$3:J$52,K$80,M$3:M$52,"*gộp*")</f>
        <v>6</v>
      </c>
    </row>
    <row r="83" spans="11:13" x14ac:dyDescent="0.25">
      <c r="K83" t="s">
        <v>100</v>
      </c>
    </row>
    <row r="84" spans="11:13" x14ac:dyDescent="0.25">
      <c r="K84" s="2" t="s">
        <v>102</v>
      </c>
    </row>
    <row r="85" spans="11:13" x14ac:dyDescent="0.25">
      <c r="K85" s="2" t="s">
        <v>105</v>
      </c>
    </row>
    <row r="86" spans="11:13" x14ac:dyDescent="0.25">
      <c r="L86" s="9">
        <f>SUBTOTAL(9,L81:L85)</f>
        <v>5845</v>
      </c>
      <c r="M86" s="9">
        <f>M81</f>
        <v>6</v>
      </c>
    </row>
  </sheetData>
  <autoFilter ref="A2:P52" xr:uid="{00000000-0009-0000-0000-00000D000000}">
    <sortState xmlns:xlrd2="http://schemas.microsoft.com/office/spreadsheetml/2017/richdata2" ref="A3:P52">
      <sortCondition ref="J2:J52"/>
    </sortState>
  </autoFilter>
  <mergeCells count="8">
    <mergeCell ref="C61:D61"/>
    <mergeCell ref="C62:D62"/>
    <mergeCell ref="C64:D64"/>
    <mergeCell ref="C56:D56"/>
    <mergeCell ref="C57:D57"/>
    <mergeCell ref="C58:D58"/>
    <mergeCell ref="C59:D59"/>
    <mergeCell ref="C60:D60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Q87"/>
  <sheetViews>
    <sheetView topLeftCell="A34" workbookViewId="0">
      <selection activeCell="F58" sqref="F58"/>
    </sheetView>
  </sheetViews>
  <sheetFormatPr defaultRowHeight="15" x14ac:dyDescent="0.25"/>
  <cols>
    <col min="1" max="1" width="12.7109375" customWidth="1"/>
    <col min="2" max="2" width="17.7109375" customWidth="1"/>
    <col min="3" max="3" width="46.85546875" customWidth="1"/>
    <col min="4" max="4" width="9.85546875" customWidth="1"/>
    <col min="5" max="5" width="68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1567</v>
      </c>
      <c r="D3" s="18" t="s">
        <v>1568</v>
      </c>
      <c r="E3" s="18" t="s">
        <v>1569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1570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1571</v>
      </c>
      <c r="D4" s="18" t="s">
        <v>1572</v>
      </c>
      <c r="E4" s="18" t="s">
        <v>1573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20</v>
      </c>
      <c r="K4" s="18" t="s">
        <v>21</v>
      </c>
      <c r="L4" s="18" t="s">
        <v>1570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1574</v>
      </c>
      <c r="D5" s="18" t="s">
        <v>1575</v>
      </c>
      <c r="E5" s="18" t="s">
        <v>1576</v>
      </c>
      <c r="F5" s="19">
        <v>9</v>
      </c>
      <c r="G5" s="19">
        <v>750</v>
      </c>
      <c r="H5" s="19">
        <v>30</v>
      </c>
      <c r="I5" s="19">
        <f t="shared" ref="I5:I10" si="0">G5-H5</f>
        <v>720</v>
      </c>
      <c r="J5" s="18" t="s">
        <v>20</v>
      </c>
      <c r="K5" s="18" t="s">
        <v>21</v>
      </c>
      <c r="L5" s="18" t="s">
        <v>1570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1577</v>
      </c>
      <c r="D6" s="18" t="s">
        <v>1578</v>
      </c>
      <c r="E6" s="18" t="s">
        <v>1579</v>
      </c>
      <c r="F6" s="19">
        <v>8</v>
      </c>
      <c r="G6" s="19">
        <v>870</v>
      </c>
      <c r="H6" s="19">
        <v>30</v>
      </c>
      <c r="I6" s="19">
        <f t="shared" si="0"/>
        <v>840</v>
      </c>
      <c r="J6" s="18" t="s">
        <v>1580</v>
      </c>
      <c r="K6" s="18" t="s">
        <v>21</v>
      </c>
      <c r="L6" s="18" t="s">
        <v>1570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1581</v>
      </c>
      <c r="D7" s="18" t="s">
        <v>1582</v>
      </c>
      <c r="E7" s="18" t="s">
        <v>1583</v>
      </c>
      <c r="F7" s="18" t="s">
        <v>26</v>
      </c>
      <c r="G7" s="19">
        <v>980</v>
      </c>
      <c r="H7" s="19">
        <v>30</v>
      </c>
      <c r="I7" s="19">
        <f t="shared" si="0"/>
        <v>950</v>
      </c>
      <c r="J7" s="18" t="s">
        <v>1580</v>
      </c>
      <c r="K7" s="18" t="s">
        <v>21</v>
      </c>
      <c r="L7" s="18" t="s">
        <v>1570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1584</v>
      </c>
      <c r="D8" s="18" t="s">
        <v>1585</v>
      </c>
      <c r="E8" s="18" t="s">
        <v>1586</v>
      </c>
      <c r="F8" s="18" t="s">
        <v>26</v>
      </c>
      <c r="G8" s="19">
        <v>1440</v>
      </c>
      <c r="H8" s="19">
        <v>30</v>
      </c>
      <c r="I8" s="19">
        <f t="shared" si="0"/>
        <v>1410</v>
      </c>
      <c r="J8" s="18" t="s">
        <v>1580</v>
      </c>
      <c r="K8" s="18" t="s">
        <v>21</v>
      </c>
      <c r="L8" s="18" t="s">
        <v>1570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1587</v>
      </c>
      <c r="D9" s="18" t="s">
        <v>1588</v>
      </c>
      <c r="E9" s="18" t="s">
        <v>1589</v>
      </c>
      <c r="F9" s="18" t="s">
        <v>26</v>
      </c>
      <c r="G9" s="19">
        <v>1780</v>
      </c>
      <c r="H9" s="19">
        <v>30</v>
      </c>
      <c r="I9" s="19">
        <f t="shared" si="0"/>
        <v>1750</v>
      </c>
      <c r="J9" s="18" t="s">
        <v>1580</v>
      </c>
      <c r="K9" s="18" t="s">
        <v>21</v>
      </c>
      <c r="L9" s="18" t="s">
        <v>1570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1590</v>
      </c>
      <c r="D10" s="18" t="s">
        <v>1591</v>
      </c>
      <c r="E10" s="18" t="s">
        <v>1592</v>
      </c>
      <c r="F10" s="18" t="s">
        <v>88</v>
      </c>
      <c r="G10" s="19">
        <v>915</v>
      </c>
      <c r="H10" s="19">
        <v>25</v>
      </c>
      <c r="I10" s="19">
        <f t="shared" si="0"/>
        <v>890</v>
      </c>
      <c r="J10" s="18" t="s">
        <v>1580</v>
      </c>
      <c r="K10" s="18" t="s">
        <v>21</v>
      </c>
      <c r="L10" s="18" t="s">
        <v>1570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1593</v>
      </c>
      <c r="D11" s="18" t="s">
        <v>1594</v>
      </c>
      <c r="E11" s="18" t="s">
        <v>1595</v>
      </c>
      <c r="F11" s="19">
        <v>8</v>
      </c>
      <c r="G11" s="19">
        <v>0</v>
      </c>
      <c r="H11" s="19">
        <v>25</v>
      </c>
      <c r="I11" s="19">
        <f>-H11</f>
        <v>-25</v>
      </c>
      <c r="J11" s="18" t="s">
        <v>1580</v>
      </c>
      <c r="K11" s="18" t="s">
        <v>21</v>
      </c>
      <c r="L11" s="18" t="s">
        <v>1570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1596</v>
      </c>
      <c r="D12" s="18" t="s">
        <v>1597</v>
      </c>
      <c r="E12" s="18" t="s">
        <v>1598</v>
      </c>
      <c r="F12" s="18" t="s">
        <v>217</v>
      </c>
      <c r="G12" s="19">
        <v>955</v>
      </c>
      <c r="H12" s="19">
        <v>25</v>
      </c>
      <c r="I12" s="19">
        <f>G12-H12</f>
        <v>930</v>
      </c>
      <c r="J12" s="18" t="s">
        <v>1580</v>
      </c>
      <c r="K12" s="18" t="s">
        <v>21</v>
      </c>
      <c r="L12" s="18" t="s">
        <v>1570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1599</v>
      </c>
      <c r="D13" s="18" t="s">
        <v>1600</v>
      </c>
      <c r="E13" s="18" t="s">
        <v>1601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1580</v>
      </c>
      <c r="K13" s="18" t="s">
        <v>21</v>
      </c>
      <c r="L13" s="18" t="s">
        <v>1570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1602</v>
      </c>
      <c r="D14" s="18" t="s">
        <v>1603</v>
      </c>
      <c r="E14" s="18" t="s">
        <v>1604</v>
      </c>
      <c r="F14" s="18" t="s">
        <v>128</v>
      </c>
      <c r="G14" s="19">
        <v>0</v>
      </c>
      <c r="H14" s="19">
        <v>35</v>
      </c>
      <c r="I14" s="19">
        <f>-H14</f>
        <v>-35</v>
      </c>
      <c r="J14" s="18" t="s">
        <v>1580</v>
      </c>
      <c r="K14" s="18" t="s">
        <v>21</v>
      </c>
      <c r="L14" s="18" t="s">
        <v>1570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1605</v>
      </c>
      <c r="D15" s="18" t="s">
        <v>1606</v>
      </c>
      <c r="E15" s="18" t="s">
        <v>1607</v>
      </c>
      <c r="F15" s="19">
        <v>6</v>
      </c>
      <c r="G15" s="19">
        <v>0</v>
      </c>
      <c r="H15" s="19">
        <v>25</v>
      </c>
      <c r="I15" s="19">
        <f>-H15</f>
        <v>-25</v>
      </c>
      <c r="J15" s="18" t="s">
        <v>1580</v>
      </c>
      <c r="K15" s="18" t="s">
        <v>21</v>
      </c>
      <c r="L15" s="18" t="s">
        <v>1570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1608</v>
      </c>
      <c r="D16" s="18" t="s">
        <v>1609</v>
      </c>
      <c r="E16" s="18" t="s">
        <v>1610</v>
      </c>
      <c r="F16" s="19">
        <v>11</v>
      </c>
      <c r="G16" s="19">
        <v>785</v>
      </c>
      <c r="H16" s="19">
        <v>25</v>
      </c>
      <c r="I16" s="19">
        <f t="shared" ref="I16:I21" si="1">G16-H16</f>
        <v>760</v>
      </c>
      <c r="J16" s="18" t="s">
        <v>1580</v>
      </c>
      <c r="K16" s="18" t="s">
        <v>21</v>
      </c>
      <c r="L16" s="18" t="s">
        <v>1570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1367</v>
      </c>
      <c r="D17" s="18" t="s">
        <v>1611</v>
      </c>
      <c r="E17" s="18" t="s">
        <v>1369</v>
      </c>
      <c r="F17" s="18" t="s">
        <v>128</v>
      </c>
      <c r="G17" s="19">
        <v>745</v>
      </c>
      <c r="H17" s="19">
        <v>35</v>
      </c>
      <c r="I17" s="19">
        <f t="shared" si="1"/>
        <v>710</v>
      </c>
      <c r="J17" s="18" t="s">
        <v>1580</v>
      </c>
      <c r="K17" s="18" t="s">
        <v>21</v>
      </c>
      <c r="L17" s="18" t="s">
        <v>1570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1612</v>
      </c>
      <c r="D18" s="18" t="s">
        <v>1613</v>
      </c>
      <c r="E18" s="18" t="s">
        <v>1614</v>
      </c>
      <c r="F18" s="18" t="s">
        <v>26</v>
      </c>
      <c r="G18" s="19">
        <v>920</v>
      </c>
      <c r="H18" s="19">
        <v>30</v>
      </c>
      <c r="I18" s="19">
        <f t="shared" si="1"/>
        <v>890</v>
      </c>
      <c r="J18" s="18" t="s">
        <v>1580</v>
      </c>
      <c r="K18" s="18" t="s">
        <v>21</v>
      </c>
      <c r="L18" s="18" t="s">
        <v>1570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1615</v>
      </c>
      <c r="D19" s="18"/>
      <c r="E19" s="18" t="s">
        <v>1616</v>
      </c>
      <c r="F19" s="19">
        <v>8</v>
      </c>
      <c r="G19" s="19">
        <v>40</v>
      </c>
      <c r="H19" s="19">
        <v>40</v>
      </c>
      <c r="I19" s="19">
        <f t="shared" si="1"/>
        <v>0</v>
      </c>
      <c r="J19" s="18" t="s">
        <v>1580</v>
      </c>
      <c r="K19" s="18" t="s">
        <v>21</v>
      </c>
      <c r="L19" s="18" t="s">
        <v>1570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1617</v>
      </c>
      <c r="D20" s="18"/>
      <c r="E20" s="18" t="s">
        <v>1618</v>
      </c>
      <c r="F20" s="18" t="s">
        <v>88</v>
      </c>
      <c r="G20" s="19">
        <v>30</v>
      </c>
      <c r="H20" s="19">
        <v>30</v>
      </c>
      <c r="I20" s="19">
        <f t="shared" si="1"/>
        <v>0</v>
      </c>
      <c r="J20" s="18" t="s">
        <v>1580</v>
      </c>
      <c r="K20" s="18" t="s">
        <v>21</v>
      </c>
      <c r="L20" s="18" t="s">
        <v>1570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313</v>
      </c>
      <c r="D21" s="18" t="s">
        <v>1619</v>
      </c>
      <c r="E21" s="18" t="s">
        <v>1620</v>
      </c>
      <c r="F21" s="18" t="s">
        <v>88</v>
      </c>
      <c r="G21" s="19">
        <v>0</v>
      </c>
      <c r="H21" s="19">
        <v>25</v>
      </c>
      <c r="I21" s="19">
        <f t="shared" si="1"/>
        <v>-25</v>
      </c>
      <c r="J21" s="18" t="s">
        <v>21</v>
      </c>
      <c r="K21" s="18" t="s">
        <v>21</v>
      </c>
      <c r="L21" s="18" t="s">
        <v>1570</v>
      </c>
      <c r="M21" s="35" t="s">
        <v>1621</v>
      </c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1622</v>
      </c>
      <c r="D22" s="18" t="s">
        <v>1623</v>
      </c>
      <c r="E22" s="18" t="s">
        <v>1624</v>
      </c>
      <c r="F22" s="18" t="s">
        <v>72</v>
      </c>
      <c r="G22" s="19">
        <v>0</v>
      </c>
      <c r="H22" s="19">
        <v>25</v>
      </c>
      <c r="I22" s="19">
        <f>-H22</f>
        <v>-25</v>
      </c>
      <c r="J22" s="18" t="s">
        <v>21</v>
      </c>
      <c r="K22" s="18" t="s">
        <v>21</v>
      </c>
      <c r="L22" s="18" t="s">
        <v>1570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1011</v>
      </c>
      <c r="D23" s="18" t="s">
        <v>1625</v>
      </c>
      <c r="E23" s="18" t="s">
        <v>1626</v>
      </c>
      <c r="F23" s="18" t="s">
        <v>68</v>
      </c>
      <c r="G23" s="19">
        <v>0</v>
      </c>
      <c r="H23" s="19">
        <v>20</v>
      </c>
      <c r="I23" s="19">
        <f>-H23</f>
        <v>-20</v>
      </c>
      <c r="J23" s="18" t="s">
        <v>21</v>
      </c>
      <c r="K23" s="18" t="s">
        <v>21</v>
      </c>
      <c r="L23" s="18" t="s">
        <v>1570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1627</v>
      </c>
      <c r="D24" s="18" t="s">
        <v>1628</v>
      </c>
      <c r="E24" s="18" t="s">
        <v>1629</v>
      </c>
      <c r="F24" s="18" t="s">
        <v>68</v>
      </c>
      <c r="G24" s="19">
        <v>1700</v>
      </c>
      <c r="H24" s="19">
        <v>20</v>
      </c>
      <c r="I24" s="19">
        <f>G24-H24</f>
        <v>1680</v>
      </c>
      <c r="J24" s="18" t="s">
        <v>21</v>
      </c>
      <c r="K24" s="18" t="s">
        <v>21</v>
      </c>
      <c r="L24" s="18" t="s">
        <v>1570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1630</v>
      </c>
      <c r="D25" s="18" t="s">
        <v>1631</v>
      </c>
      <c r="E25" s="18" t="s">
        <v>1632</v>
      </c>
      <c r="F25" s="19">
        <v>2</v>
      </c>
      <c r="G25" s="19">
        <v>820</v>
      </c>
      <c r="H25" s="19">
        <v>30</v>
      </c>
      <c r="I25" s="19">
        <f>G25-H25</f>
        <v>790</v>
      </c>
      <c r="J25" s="18" t="s">
        <v>21</v>
      </c>
      <c r="K25" s="18" t="s">
        <v>21</v>
      </c>
      <c r="L25" s="18" t="s">
        <v>1570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1633</v>
      </c>
      <c r="D26" s="18" t="s">
        <v>1634</v>
      </c>
      <c r="E26" s="18" t="s">
        <v>1635</v>
      </c>
      <c r="F26" s="18" t="s">
        <v>153</v>
      </c>
      <c r="G26" s="19">
        <v>1960</v>
      </c>
      <c r="H26" s="19">
        <v>30</v>
      </c>
      <c r="I26" s="19">
        <f>G26-H26</f>
        <v>1930</v>
      </c>
      <c r="J26" s="18" t="s">
        <v>21</v>
      </c>
      <c r="K26" s="18" t="s">
        <v>21</v>
      </c>
      <c r="L26" s="18" t="s">
        <v>1570</v>
      </c>
      <c r="M26" s="25" t="s">
        <v>398</v>
      </c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1636</v>
      </c>
      <c r="D27" s="18" t="s">
        <v>1637</v>
      </c>
      <c r="E27" s="18" t="s">
        <v>1638</v>
      </c>
      <c r="F27" s="18" t="s">
        <v>72</v>
      </c>
      <c r="G27" s="19">
        <v>475</v>
      </c>
      <c r="H27" s="19">
        <v>25</v>
      </c>
      <c r="I27" s="19">
        <f>G27-H27</f>
        <v>450</v>
      </c>
      <c r="J27" s="18" t="s">
        <v>21</v>
      </c>
      <c r="K27" s="18" t="s">
        <v>21</v>
      </c>
      <c r="L27" s="18" t="s">
        <v>1570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136</v>
      </c>
      <c r="D28" s="18" t="s">
        <v>1639</v>
      </c>
      <c r="E28" s="18" t="s">
        <v>138</v>
      </c>
      <c r="F28" s="18" t="s">
        <v>68</v>
      </c>
      <c r="G28" s="19">
        <v>0</v>
      </c>
      <c r="H28" s="19">
        <v>20</v>
      </c>
      <c r="I28" s="19">
        <f>-H28</f>
        <v>-20</v>
      </c>
      <c r="J28" s="18" t="s">
        <v>21</v>
      </c>
      <c r="K28" s="18" t="s">
        <v>21</v>
      </c>
      <c r="L28" s="18" t="s">
        <v>1570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1640</v>
      </c>
      <c r="D29" s="18" t="s">
        <v>1641</v>
      </c>
      <c r="E29" s="18" t="s">
        <v>1642</v>
      </c>
      <c r="F29" s="18" t="s">
        <v>72</v>
      </c>
      <c r="G29" s="19">
        <v>745</v>
      </c>
      <c r="H29" s="19">
        <v>25</v>
      </c>
      <c r="I29" s="19">
        <f>G29-H29</f>
        <v>720</v>
      </c>
      <c r="J29" s="18" t="s">
        <v>21</v>
      </c>
      <c r="K29" s="18" t="s">
        <v>21</v>
      </c>
      <c r="L29" s="18" t="s">
        <v>1570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1643</v>
      </c>
      <c r="D30" s="18" t="s">
        <v>1644</v>
      </c>
      <c r="E30" s="18" t="s">
        <v>416</v>
      </c>
      <c r="F30" s="19">
        <v>12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1570</v>
      </c>
      <c r="M30" s="18"/>
      <c r="N30" s="18"/>
      <c r="O30" s="18"/>
      <c r="P30" s="18"/>
      <c r="Q30" s="18">
        <v>1</v>
      </c>
    </row>
    <row r="31" spans="1:17" x14ac:dyDescent="0.25">
      <c r="A31" s="18" t="s">
        <v>62</v>
      </c>
      <c r="B31" s="18" t="s">
        <v>16</v>
      </c>
      <c r="C31" s="18" t="s">
        <v>1645</v>
      </c>
      <c r="D31" s="18"/>
      <c r="E31" s="18" t="s">
        <v>1646</v>
      </c>
      <c r="F31" s="18" t="s">
        <v>72</v>
      </c>
      <c r="G31" s="19">
        <v>0</v>
      </c>
      <c r="H31" s="19">
        <v>30</v>
      </c>
      <c r="I31" s="19">
        <f>-H31</f>
        <v>-30</v>
      </c>
      <c r="J31" s="18" t="s">
        <v>21</v>
      </c>
      <c r="K31" s="18" t="s">
        <v>21</v>
      </c>
      <c r="L31" s="18" t="s">
        <v>1570</v>
      </c>
      <c r="M31" s="18"/>
      <c r="N31" s="18"/>
      <c r="O31" s="18"/>
      <c r="P31" s="18"/>
      <c r="Q31" s="18">
        <v>1</v>
      </c>
    </row>
    <row r="32" spans="1:17" x14ac:dyDescent="0.25">
      <c r="A32" s="18" t="s">
        <v>62</v>
      </c>
      <c r="B32" s="18" t="s">
        <v>16</v>
      </c>
      <c r="C32" s="18" t="s">
        <v>1647</v>
      </c>
      <c r="D32" s="18"/>
      <c r="E32" s="18" t="s">
        <v>146</v>
      </c>
      <c r="F32" s="18" t="s">
        <v>88</v>
      </c>
      <c r="G32" s="19">
        <v>970</v>
      </c>
      <c r="H32" s="19">
        <v>30</v>
      </c>
      <c r="I32" s="19">
        <f t="shared" ref="I32:I41" si="2">G32-H32</f>
        <v>940</v>
      </c>
      <c r="J32" s="18" t="s">
        <v>21</v>
      </c>
      <c r="K32" s="18" t="s">
        <v>21</v>
      </c>
      <c r="L32" s="18" t="s">
        <v>1570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1648</v>
      </c>
      <c r="D33" s="18"/>
      <c r="E33" s="18" t="s">
        <v>1649</v>
      </c>
      <c r="F33" s="18" t="s">
        <v>72</v>
      </c>
      <c r="G33" s="19">
        <v>30</v>
      </c>
      <c r="H33" s="19">
        <v>30</v>
      </c>
      <c r="I33" s="19">
        <f t="shared" si="2"/>
        <v>0</v>
      </c>
      <c r="J33" s="18" t="s">
        <v>21</v>
      </c>
      <c r="K33" s="18" t="s">
        <v>21</v>
      </c>
      <c r="L33" s="18" t="s">
        <v>1570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1650</v>
      </c>
      <c r="D34" s="18"/>
      <c r="E34" s="18" t="s">
        <v>935</v>
      </c>
      <c r="F34" s="18" t="s">
        <v>88</v>
      </c>
      <c r="G34" s="19">
        <v>30</v>
      </c>
      <c r="H34" s="19">
        <v>30</v>
      </c>
      <c r="I34" s="19">
        <f t="shared" si="2"/>
        <v>0</v>
      </c>
      <c r="J34" s="18" t="s">
        <v>21</v>
      </c>
      <c r="K34" s="18" t="s">
        <v>21</v>
      </c>
      <c r="L34" s="18" t="s">
        <v>1570</v>
      </c>
      <c r="M34" s="18"/>
      <c r="N34" s="18"/>
      <c r="O34" s="18"/>
      <c r="P34" s="18"/>
      <c r="Q34" s="18">
        <v>1</v>
      </c>
    </row>
    <row r="35" spans="1:17" x14ac:dyDescent="0.25">
      <c r="A35" s="18" t="s">
        <v>62</v>
      </c>
      <c r="B35" s="18" t="s">
        <v>16</v>
      </c>
      <c r="C35" s="18" t="s">
        <v>582</v>
      </c>
      <c r="D35" s="18"/>
      <c r="E35" s="18" t="s">
        <v>583</v>
      </c>
      <c r="F35" s="18" t="s">
        <v>72</v>
      </c>
      <c r="G35" s="19">
        <v>30</v>
      </c>
      <c r="H35" s="19">
        <v>30</v>
      </c>
      <c r="I35" s="19">
        <f t="shared" si="2"/>
        <v>0</v>
      </c>
      <c r="J35" s="18" t="s">
        <v>21</v>
      </c>
      <c r="K35" s="18" t="s">
        <v>21</v>
      </c>
      <c r="L35" s="18" t="s">
        <v>1570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429</v>
      </c>
      <c r="D36" s="18" t="s">
        <v>1651</v>
      </c>
      <c r="E36" s="18" t="s">
        <v>1652</v>
      </c>
      <c r="F36" s="19">
        <v>4</v>
      </c>
      <c r="G36" s="19">
        <v>775</v>
      </c>
      <c r="H36" s="19">
        <v>25</v>
      </c>
      <c r="I36" s="19">
        <f t="shared" si="2"/>
        <v>750</v>
      </c>
      <c r="J36" s="18" t="s">
        <v>165</v>
      </c>
      <c r="K36" s="18" t="s">
        <v>21</v>
      </c>
      <c r="L36" s="18" t="s">
        <v>1570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1653</v>
      </c>
      <c r="D37" s="18" t="s">
        <v>1654</v>
      </c>
      <c r="E37" s="18" t="s">
        <v>1655</v>
      </c>
      <c r="F37" s="19">
        <v>3</v>
      </c>
      <c r="G37" s="19">
        <v>775</v>
      </c>
      <c r="H37" s="19">
        <v>25</v>
      </c>
      <c r="I37" s="19">
        <f t="shared" si="2"/>
        <v>750</v>
      </c>
      <c r="J37" s="18" t="s">
        <v>165</v>
      </c>
      <c r="K37" s="18" t="s">
        <v>21</v>
      </c>
      <c r="L37" s="18" t="s">
        <v>1570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729</v>
      </c>
      <c r="D38" s="18" t="s">
        <v>1656</v>
      </c>
      <c r="E38" s="18" t="s">
        <v>1421</v>
      </c>
      <c r="F38" s="19">
        <v>1</v>
      </c>
      <c r="G38" s="19">
        <v>895</v>
      </c>
      <c r="H38" s="19">
        <v>25</v>
      </c>
      <c r="I38" s="19">
        <f t="shared" si="2"/>
        <v>870</v>
      </c>
      <c r="J38" s="18" t="s">
        <v>165</v>
      </c>
      <c r="K38" s="18" t="s">
        <v>21</v>
      </c>
      <c r="L38" s="18" t="s">
        <v>1570</v>
      </c>
      <c r="M38" s="25" t="s">
        <v>312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729</v>
      </c>
      <c r="D39" s="18" t="s">
        <v>1657</v>
      </c>
      <c r="E39" s="18" t="s">
        <v>1421</v>
      </c>
      <c r="F39" s="19">
        <v>1</v>
      </c>
      <c r="G39" s="19">
        <v>890</v>
      </c>
      <c r="H39" s="19">
        <v>0</v>
      </c>
      <c r="I39" s="19">
        <f t="shared" si="2"/>
        <v>890</v>
      </c>
      <c r="J39" s="18" t="s">
        <v>165</v>
      </c>
      <c r="K39" s="18" t="s">
        <v>21</v>
      </c>
      <c r="L39" s="18" t="s">
        <v>1570</v>
      </c>
      <c r="M39" s="25" t="s">
        <v>312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1658</v>
      </c>
      <c r="D40" s="18" t="s">
        <v>1659</v>
      </c>
      <c r="E40" s="18" t="s">
        <v>1660</v>
      </c>
      <c r="F40" s="18" t="s">
        <v>85</v>
      </c>
      <c r="G40" s="19">
        <v>590</v>
      </c>
      <c r="H40" s="19">
        <v>20</v>
      </c>
      <c r="I40" s="19">
        <f t="shared" si="2"/>
        <v>570</v>
      </c>
      <c r="J40" s="18" t="s">
        <v>165</v>
      </c>
      <c r="K40" s="18" t="s">
        <v>21</v>
      </c>
      <c r="L40" s="18" t="s">
        <v>1570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1661</v>
      </c>
      <c r="D41" s="18" t="s">
        <v>1662</v>
      </c>
      <c r="E41" s="18" t="s">
        <v>1663</v>
      </c>
      <c r="F41" s="19">
        <v>10</v>
      </c>
      <c r="G41" s="19">
        <v>845</v>
      </c>
      <c r="H41" s="19">
        <v>25</v>
      </c>
      <c r="I41" s="19">
        <f t="shared" si="2"/>
        <v>820</v>
      </c>
      <c r="J41" s="18" t="s">
        <v>165</v>
      </c>
      <c r="K41" s="18" t="s">
        <v>21</v>
      </c>
      <c r="L41" s="18" t="s">
        <v>1570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1664</v>
      </c>
      <c r="D42" s="18" t="s">
        <v>1665</v>
      </c>
      <c r="E42" s="18" t="s">
        <v>1666</v>
      </c>
      <c r="F42" s="19">
        <v>10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1570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1667</v>
      </c>
      <c r="D43" s="18" t="s">
        <v>1668</v>
      </c>
      <c r="E43" s="18" t="s">
        <v>1669</v>
      </c>
      <c r="F43" s="18" t="s">
        <v>88</v>
      </c>
      <c r="G43" s="19">
        <v>1515</v>
      </c>
      <c r="H43" s="19">
        <v>25</v>
      </c>
      <c r="I43" s="19">
        <f t="shared" ref="I43:I53" si="3">G43-H43</f>
        <v>1490</v>
      </c>
      <c r="J43" s="18" t="s">
        <v>165</v>
      </c>
      <c r="K43" s="18" t="s">
        <v>21</v>
      </c>
      <c r="L43" s="18" t="s">
        <v>1570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1670</v>
      </c>
      <c r="D44" s="18" t="s">
        <v>1671</v>
      </c>
      <c r="E44" s="18" t="s">
        <v>1672</v>
      </c>
      <c r="F44" s="18" t="s">
        <v>88</v>
      </c>
      <c r="G44" s="19">
        <v>915</v>
      </c>
      <c r="H44" s="19">
        <v>25</v>
      </c>
      <c r="I44" s="19">
        <f t="shared" si="3"/>
        <v>890</v>
      </c>
      <c r="J44" s="18" t="s">
        <v>165</v>
      </c>
      <c r="K44" s="18" t="s">
        <v>21</v>
      </c>
      <c r="L44" s="18" t="s">
        <v>1570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1673</v>
      </c>
      <c r="D45" s="18" t="s">
        <v>1674</v>
      </c>
      <c r="E45" s="18" t="s">
        <v>1675</v>
      </c>
      <c r="F45" s="19">
        <v>1</v>
      </c>
      <c r="G45" s="19">
        <v>725</v>
      </c>
      <c r="H45" s="19">
        <v>25</v>
      </c>
      <c r="I45" s="19">
        <f t="shared" si="3"/>
        <v>700</v>
      </c>
      <c r="J45" s="18" t="s">
        <v>165</v>
      </c>
      <c r="K45" s="18" t="s">
        <v>21</v>
      </c>
      <c r="L45" s="18" t="s">
        <v>1570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1676</v>
      </c>
      <c r="D46" s="18" t="s">
        <v>1677</v>
      </c>
      <c r="E46" s="18" t="s">
        <v>1678</v>
      </c>
      <c r="F46" s="18" t="s">
        <v>85</v>
      </c>
      <c r="G46" s="19">
        <v>690</v>
      </c>
      <c r="H46" s="19">
        <v>20</v>
      </c>
      <c r="I46" s="19">
        <f t="shared" si="3"/>
        <v>670</v>
      </c>
      <c r="J46" s="18" t="s">
        <v>165</v>
      </c>
      <c r="K46" s="18" t="s">
        <v>21</v>
      </c>
      <c r="L46" s="18" t="s">
        <v>1570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1679</v>
      </c>
      <c r="D47" s="18" t="s">
        <v>1680</v>
      </c>
      <c r="E47" s="18" t="s">
        <v>1681</v>
      </c>
      <c r="F47" s="19">
        <v>10</v>
      </c>
      <c r="G47" s="19">
        <v>845</v>
      </c>
      <c r="H47" s="19">
        <v>25</v>
      </c>
      <c r="I47" s="19">
        <f t="shared" si="3"/>
        <v>820</v>
      </c>
      <c r="J47" s="18" t="s">
        <v>165</v>
      </c>
      <c r="K47" s="18" t="s">
        <v>21</v>
      </c>
      <c r="L47" s="18" t="s">
        <v>1570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1682</v>
      </c>
      <c r="D48" s="18" t="s">
        <v>1683</v>
      </c>
      <c r="E48" s="18" t="s">
        <v>1684</v>
      </c>
      <c r="F48" s="19">
        <v>5</v>
      </c>
      <c r="G48" s="19">
        <v>595</v>
      </c>
      <c r="H48" s="19">
        <v>25</v>
      </c>
      <c r="I48" s="19">
        <f t="shared" si="3"/>
        <v>570</v>
      </c>
      <c r="J48" s="18" t="s">
        <v>165</v>
      </c>
      <c r="K48" s="18" t="s">
        <v>21</v>
      </c>
      <c r="L48" s="18" t="s">
        <v>1570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481</v>
      </c>
      <c r="D49" s="18" t="s">
        <v>1685</v>
      </c>
      <c r="E49" s="18" t="s">
        <v>483</v>
      </c>
      <c r="F49" s="19">
        <v>4</v>
      </c>
      <c r="G49" s="19">
        <v>1015</v>
      </c>
      <c r="H49" s="19">
        <v>25</v>
      </c>
      <c r="I49" s="19">
        <f t="shared" si="3"/>
        <v>990</v>
      </c>
      <c r="J49" s="18" t="s">
        <v>165</v>
      </c>
      <c r="K49" s="18" t="s">
        <v>21</v>
      </c>
      <c r="L49" s="18" t="s">
        <v>1570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748</v>
      </c>
      <c r="D50" s="18" t="s">
        <v>1686</v>
      </c>
      <c r="E50" s="18" t="s">
        <v>1687</v>
      </c>
      <c r="F50" s="19">
        <v>1</v>
      </c>
      <c r="G50" s="19">
        <v>400</v>
      </c>
      <c r="H50" s="19">
        <v>20</v>
      </c>
      <c r="I50" s="19">
        <f t="shared" si="3"/>
        <v>380</v>
      </c>
      <c r="J50" s="18" t="s">
        <v>165</v>
      </c>
      <c r="K50" s="18" t="s">
        <v>21</v>
      </c>
      <c r="L50" s="18" t="s">
        <v>1570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651</v>
      </c>
      <c r="D51" s="18" t="s">
        <v>1688</v>
      </c>
      <c r="E51" s="18" t="s">
        <v>653</v>
      </c>
      <c r="F51" s="18" t="s">
        <v>88</v>
      </c>
      <c r="G51" s="19">
        <v>875</v>
      </c>
      <c r="H51" s="19">
        <v>25</v>
      </c>
      <c r="I51" s="19">
        <f t="shared" si="3"/>
        <v>850</v>
      </c>
      <c r="J51" s="18" t="s">
        <v>165</v>
      </c>
      <c r="K51" s="18" t="s">
        <v>21</v>
      </c>
      <c r="L51" s="18" t="s">
        <v>1570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1689</v>
      </c>
      <c r="D52" s="18" t="s">
        <v>1690</v>
      </c>
      <c r="E52" s="18" t="s">
        <v>1691</v>
      </c>
      <c r="F52" s="19">
        <v>1</v>
      </c>
      <c r="G52" s="19">
        <v>1665</v>
      </c>
      <c r="H52" s="19">
        <v>25</v>
      </c>
      <c r="I52" s="19">
        <f t="shared" si="3"/>
        <v>1640</v>
      </c>
      <c r="J52" s="18" t="s">
        <v>165</v>
      </c>
      <c r="K52" s="18" t="s">
        <v>21</v>
      </c>
      <c r="L52" s="18" t="s">
        <v>1570</v>
      </c>
      <c r="M52" s="18"/>
      <c r="N52" s="18"/>
      <c r="O52" s="18"/>
      <c r="P52" s="18"/>
      <c r="Q52" s="18">
        <v>1</v>
      </c>
    </row>
    <row r="53" spans="1:17" x14ac:dyDescent="0.25">
      <c r="A53" s="18" t="s">
        <v>62</v>
      </c>
      <c r="B53" s="18" t="s">
        <v>16</v>
      </c>
      <c r="C53" s="18" t="s">
        <v>1692</v>
      </c>
      <c r="D53" s="18"/>
      <c r="E53" s="18" t="s">
        <v>1693</v>
      </c>
      <c r="F53" s="18" t="s">
        <v>88</v>
      </c>
      <c r="G53" s="19">
        <v>35</v>
      </c>
      <c r="H53" s="19">
        <v>35</v>
      </c>
      <c r="I53" s="19">
        <f t="shared" si="3"/>
        <v>0</v>
      </c>
      <c r="J53" s="18" t="s">
        <v>165</v>
      </c>
      <c r="K53" s="18" t="s">
        <v>21</v>
      </c>
      <c r="L53" s="18" t="s">
        <v>1570</v>
      </c>
      <c r="M53" s="18"/>
      <c r="N53" s="18"/>
      <c r="O53" s="18"/>
      <c r="P53" s="18"/>
      <c r="Q53" s="18">
        <v>1</v>
      </c>
    </row>
    <row r="55" spans="1:17" x14ac:dyDescent="0.25">
      <c r="D55" s="1">
        <f>COUNTA(D3:D53)</f>
        <v>43</v>
      </c>
      <c r="G55" s="1">
        <f t="shared" ref="G55:Q55" si="4">SUBTOTAL(9,G3:G53)</f>
        <v>31835</v>
      </c>
      <c r="H55" s="1">
        <f t="shared" si="4"/>
        <v>1355</v>
      </c>
      <c r="I55" s="1">
        <f t="shared" si="4"/>
        <v>30480</v>
      </c>
      <c r="J55" s="1">
        <f t="shared" si="4"/>
        <v>0</v>
      </c>
      <c r="K55" s="1">
        <f t="shared" si="4"/>
        <v>0</v>
      </c>
      <c r="L55" s="1">
        <f t="shared" si="4"/>
        <v>0</v>
      </c>
      <c r="M55" s="1">
        <f t="shared" si="4"/>
        <v>0</v>
      </c>
      <c r="N55" s="1">
        <f t="shared" si="4"/>
        <v>0</v>
      </c>
      <c r="O55" s="1">
        <f t="shared" si="4"/>
        <v>0</v>
      </c>
      <c r="P55" s="1">
        <f t="shared" si="4"/>
        <v>0</v>
      </c>
      <c r="Q55" s="1">
        <f t="shared" si="4"/>
        <v>51</v>
      </c>
    </row>
    <row r="56" spans="1:17" x14ac:dyDescent="0.25">
      <c r="H56">
        <f>-9*17</f>
        <v>-153</v>
      </c>
    </row>
    <row r="57" spans="1:17" x14ac:dyDescent="0.25">
      <c r="A57" s="1" t="s">
        <v>16</v>
      </c>
      <c r="C57" s="42" t="s">
        <v>89</v>
      </c>
      <c r="D57" s="42"/>
      <c r="E57" s="4" t="s">
        <v>90</v>
      </c>
      <c r="H57">
        <f>-4*25</f>
        <v>-100</v>
      </c>
      <c r="K57" s="7" t="s">
        <v>165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1570</v>
      </c>
      <c r="B58" s="3" t="s">
        <v>93</v>
      </c>
      <c r="C58" s="43">
        <f>SUMIFS(I$3:I$53,B$3:B$53,A$57,L$3:L$53,A$58)</f>
        <v>30480</v>
      </c>
      <c r="D58" s="43"/>
      <c r="E58" s="3">
        <f>SUMIFS(Q$3:Q$53,B$3:B$53,A$57,L$3:L$53,A$58)</f>
        <v>51</v>
      </c>
      <c r="F58" t="s">
        <v>94</v>
      </c>
      <c r="H58">
        <f>-2*30</f>
        <v>-60</v>
      </c>
      <c r="K58" t="s">
        <v>95</v>
      </c>
      <c r="L58">
        <f>SUMIFS(G$3:G$53,J$3:J$53,K$57)</f>
        <v>14045</v>
      </c>
      <c r="M58">
        <f>SUMIFS(Q$3:Q$53,J$3:J$53,K$57)</f>
        <v>18</v>
      </c>
      <c r="O58" t="s">
        <v>165</v>
      </c>
      <c r="P58">
        <f>L63</f>
        <v>13705</v>
      </c>
    </row>
    <row r="59" spans="1:17" x14ac:dyDescent="0.25">
      <c r="B59" s="2" t="s">
        <v>97</v>
      </c>
      <c r="C59" s="44">
        <v>0</v>
      </c>
      <c r="D59" s="44"/>
      <c r="K59" t="s">
        <v>98</v>
      </c>
      <c r="L59">
        <f>-SUMIFS(H$3:H$53,J$3:J$53,K$57)+M59*5</f>
        <v>-340</v>
      </c>
      <c r="M59">
        <f>SUMIFS(Q$3:Q$53,J$3:J$53,K$57)-COUNTIFS(J$3:J$53,K$57,M$3:M$53,"*gộp*")</f>
        <v>16</v>
      </c>
      <c r="O59" t="s">
        <v>21</v>
      </c>
      <c r="P59">
        <f>L71</f>
        <v>6335</v>
      </c>
    </row>
    <row r="60" spans="1:17" x14ac:dyDescent="0.25">
      <c r="B60" s="2" t="s">
        <v>99</v>
      </c>
      <c r="C60" s="44">
        <f>-SUMIFS(I$3:I$53,B$3:B$53,A$57,P$3:P$53,"xx",N$3:N$53,"x")</f>
        <v>0</v>
      </c>
      <c r="D60" s="44"/>
      <c r="E60" s="2">
        <f>SUMIFS(Q$3:Q$53,B$3:B$53,A$57,P$3:P$53,"xx",N$3:N$53,"x")</f>
        <v>0</v>
      </c>
      <c r="K60" t="s">
        <v>100</v>
      </c>
      <c r="O60" t="s">
        <v>20</v>
      </c>
      <c r="P60">
        <f>L79</f>
        <v>1495</v>
      </c>
    </row>
    <row r="61" spans="1:17" x14ac:dyDescent="0.25">
      <c r="B61" s="4" t="s">
        <v>101</v>
      </c>
      <c r="C61" s="42">
        <f>SUBTOTAL(9,C58:C60)</f>
        <v>30480</v>
      </c>
      <c r="D61" s="42"/>
      <c r="E61">
        <f>E58</f>
        <v>51</v>
      </c>
      <c r="K61" s="2" t="s">
        <v>102</v>
      </c>
      <c r="O61" t="s">
        <v>1694</v>
      </c>
      <c r="P61">
        <f>L87</f>
        <v>9147</v>
      </c>
    </row>
    <row r="62" spans="1:17" x14ac:dyDescent="0.25">
      <c r="B62" s="2" t="s">
        <v>104</v>
      </c>
      <c r="C62" s="40"/>
      <c r="D62" s="40"/>
      <c r="K62" s="2" t="s">
        <v>105</v>
      </c>
      <c r="O62" t="s">
        <v>103</v>
      </c>
      <c r="P62">
        <f>-C65</f>
        <v>-30480</v>
      </c>
    </row>
    <row r="63" spans="1:17" x14ac:dyDescent="0.25">
      <c r="B63" s="8" t="s">
        <v>107</v>
      </c>
      <c r="C63" s="40"/>
      <c r="D63" s="40"/>
      <c r="L63" s="9">
        <f>SUBTOTAL(9,L58:L62)</f>
        <v>13705</v>
      </c>
      <c r="M63" s="9">
        <f>M58</f>
        <v>18</v>
      </c>
      <c r="O63" s="4" t="s">
        <v>106</v>
      </c>
      <c r="P63" s="4">
        <f>SUBTOTAL(9,P58:P62)</f>
        <v>202</v>
      </c>
    </row>
    <row r="65" spans="2:13" x14ac:dyDescent="0.25">
      <c r="B65" s="1" t="s">
        <v>108</v>
      </c>
      <c r="C65" s="41">
        <f>C61+C62+C63</f>
        <v>30480</v>
      </c>
      <c r="D65" s="41"/>
      <c r="E65" s="1" t="s">
        <v>109</v>
      </c>
      <c r="K65" s="7" t="s">
        <v>21</v>
      </c>
      <c r="L65" s="7" t="s">
        <v>91</v>
      </c>
      <c r="M65" s="7" t="s">
        <v>90</v>
      </c>
    </row>
    <row r="66" spans="2:13" x14ac:dyDescent="0.25">
      <c r="K66" t="s">
        <v>95</v>
      </c>
      <c r="L66">
        <f>SUMIFS(G$3:G$53,J$3:J$53,K$65)</f>
        <v>6760</v>
      </c>
      <c r="M66">
        <f>SUMIFS(Q$3:Q$53,J$3:J$53,K$65)</f>
        <v>15</v>
      </c>
    </row>
    <row r="67" spans="2:13" x14ac:dyDescent="0.25">
      <c r="K67" t="s">
        <v>98</v>
      </c>
      <c r="L67">
        <f>-SUMIFS(H$3:H$53,J$3:J$53,K$65)+M67*5</f>
        <v>-325</v>
      </c>
      <c r="M67">
        <f>SUMIFS(Q$3:Q$53,J$3:J$53,K$65)-COUNTIFS(J$3:J$53,K$65,M$3:M$53,"*gộp*")</f>
        <v>15</v>
      </c>
    </row>
    <row r="68" spans="2:13" x14ac:dyDescent="0.25">
      <c r="K68" t="s">
        <v>100</v>
      </c>
      <c r="L68">
        <f>-M68*2</f>
        <v>-100</v>
      </c>
      <c r="M68">
        <f>E61-(COUNTIFS(M$3:M$53,"*gộp*")/2)-COUNTIFS(M$3:M$53,"*đơn trả*")/2</f>
        <v>50</v>
      </c>
    </row>
    <row r="69" spans="2:13" x14ac:dyDescent="0.25">
      <c r="K69" s="2" t="s">
        <v>102</v>
      </c>
    </row>
    <row r="70" spans="2:13" x14ac:dyDescent="0.25">
      <c r="K70" s="2" t="s">
        <v>105</v>
      </c>
    </row>
    <row r="71" spans="2:13" x14ac:dyDescent="0.25">
      <c r="L71" s="9">
        <f>SUBTOTAL(9,L66:L70)</f>
        <v>6335</v>
      </c>
      <c r="M71" s="9">
        <f>M66</f>
        <v>15</v>
      </c>
    </row>
    <row r="73" spans="2:13" x14ac:dyDescent="0.25">
      <c r="K73" s="7" t="s">
        <v>20</v>
      </c>
      <c r="L73" s="7" t="s">
        <v>91</v>
      </c>
      <c r="M73" s="7" t="s">
        <v>90</v>
      </c>
    </row>
    <row r="74" spans="2:13" x14ac:dyDescent="0.25">
      <c r="K74" t="s">
        <v>95</v>
      </c>
      <c r="L74">
        <f>SUMIFS(G$3:G$53,J$3:J$53,K$73)</f>
        <v>1570</v>
      </c>
      <c r="M74">
        <f>SUMIFS(Q$3:Q$53,J$3:J$53,K$73)</f>
        <v>3</v>
      </c>
    </row>
    <row r="75" spans="2:13" x14ac:dyDescent="0.25">
      <c r="K75" t="s">
        <v>98</v>
      </c>
      <c r="L75">
        <f>-SUMIFS(H$3:H$53,J$3:J$53,K$73)+M75*5</f>
        <v>-75</v>
      </c>
      <c r="M75">
        <f>SUMIFS(Q$3:Q$53,J$3:J$53,K$73)-COUNTIFS(J$3:J$53,K$73,M$3:M$53,"*gộp*")</f>
        <v>3</v>
      </c>
    </row>
    <row r="76" spans="2:13" x14ac:dyDescent="0.25">
      <c r="K76" t="s">
        <v>100</v>
      </c>
    </row>
    <row r="77" spans="2:13" x14ac:dyDescent="0.25">
      <c r="K77" s="2" t="s">
        <v>102</v>
      </c>
    </row>
    <row r="78" spans="2:13" x14ac:dyDescent="0.25">
      <c r="K78" s="2" t="s">
        <v>105</v>
      </c>
    </row>
    <row r="79" spans="2:13" x14ac:dyDescent="0.25">
      <c r="L79" s="9">
        <f>SUBTOTAL(9,L74:L78)</f>
        <v>1495</v>
      </c>
      <c r="M79" s="9">
        <f>M74</f>
        <v>3</v>
      </c>
    </row>
    <row r="81" spans="11:13" x14ac:dyDescent="0.25">
      <c r="K81" s="7" t="s">
        <v>1580</v>
      </c>
      <c r="L81" s="7" t="s">
        <v>91</v>
      </c>
      <c r="M81" s="7" t="s">
        <v>90</v>
      </c>
    </row>
    <row r="82" spans="11:13" x14ac:dyDescent="0.25">
      <c r="K82" t="s">
        <v>95</v>
      </c>
      <c r="L82">
        <f>SUMIFS(G$3:G$53,J$3:J$53,K$81)</f>
        <v>9460</v>
      </c>
      <c r="M82">
        <f>SUMIFS(Q$3:Q$53,J$3:J$53,K$81)</f>
        <v>15</v>
      </c>
    </row>
    <row r="83" spans="11:13" x14ac:dyDescent="0.25">
      <c r="K83" t="s">
        <v>98</v>
      </c>
      <c r="L83">
        <f>SUM(H56:H58)</f>
        <v>-313</v>
      </c>
      <c r="M83">
        <f>SUMIFS(Q$3:Q$53,J$3:J$53,K$81)</f>
        <v>15</v>
      </c>
    </row>
    <row r="84" spans="11:13" x14ac:dyDescent="0.25">
      <c r="K84" t="s">
        <v>100</v>
      </c>
    </row>
    <row r="85" spans="11:13" x14ac:dyDescent="0.25">
      <c r="K85" s="2" t="s">
        <v>102</v>
      </c>
    </row>
    <row r="86" spans="11:13" x14ac:dyDescent="0.25">
      <c r="K86" s="2" t="s">
        <v>105</v>
      </c>
    </row>
    <row r="87" spans="11:13" x14ac:dyDescent="0.25">
      <c r="L87" s="9">
        <f>SUBTOTAL(9,L82:L86)</f>
        <v>9147</v>
      </c>
      <c r="M87" s="9">
        <f>M82</f>
        <v>15</v>
      </c>
    </row>
  </sheetData>
  <autoFilter ref="A2:P53" xr:uid="{00000000-0009-0000-0000-00000E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Q72"/>
  <sheetViews>
    <sheetView topLeftCell="A25" zoomScale="95" zoomScaleNormal="95" workbookViewId="0">
      <selection activeCell="C45" sqref="C45:D45 C45:D45"/>
    </sheetView>
  </sheetViews>
  <sheetFormatPr defaultRowHeight="15" x14ac:dyDescent="0.25"/>
  <cols>
    <col min="1" max="1" width="12.7109375" customWidth="1"/>
    <col min="2" max="2" width="17.7109375" customWidth="1"/>
    <col min="3" max="3" width="26.7109375" customWidth="1"/>
    <col min="4" max="4" width="9.85546875" customWidth="1"/>
    <col min="5" max="5" width="71.28515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34.2851562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1695</v>
      </c>
      <c r="D3" s="18" t="s">
        <v>1696</v>
      </c>
      <c r="E3" s="18" t="s">
        <v>1697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1698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1699</v>
      </c>
      <c r="D4" s="18" t="s">
        <v>1700</v>
      </c>
      <c r="E4" s="18" t="s">
        <v>1701</v>
      </c>
      <c r="F4" s="19">
        <v>9</v>
      </c>
      <c r="G4" s="19">
        <v>780</v>
      </c>
      <c r="H4" s="19">
        <v>30</v>
      </c>
      <c r="I4" s="19">
        <f t="shared" ref="I4:I14" si="0">G4-H4</f>
        <v>750</v>
      </c>
      <c r="J4" s="18" t="s">
        <v>20</v>
      </c>
      <c r="K4" s="18" t="s">
        <v>21</v>
      </c>
      <c r="L4" s="18" t="s">
        <v>1698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1702</v>
      </c>
      <c r="D5" s="18" t="s">
        <v>1703</v>
      </c>
      <c r="E5" s="18" t="s">
        <v>1704</v>
      </c>
      <c r="F5" s="18" t="s">
        <v>26</v>
      </c>
      <c r="G5" s="19">
        <v>570</v>
      </c>
      <c r="H5" s="19">
        <v>30</v>
      </c>
      <c r="I5" s="19">
        <f t="shared" si="0"/>
        <v>540</v>
      </c>
      <c r="J5" s="18" t="s">
        <v>1705</v>
      </c>
      <c r="K5" s="18" t="s">
        <v>21</v>
      </c>
      <c r="L5" s="18" t="s">
        <v>1698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1706</v>
      </c>
      <c r="D6" s="18" t="s">
        <v>1707</v>
      </c>
      <c r="E6" s="18" t="s">
        <v>1610</v>
      </c>
      <c r="F6" s="19">
        <v>11</v>
      </c>
      <c r="G6" s="19">
        <v>895</v>
      </c>
      <c r="H6" s="19">
        <v>25</v>
      </c>
      <c r="I6" s="19">
        <f t="shared" si="0"/>
        <v>870</v>
      </c>
      <c r="J6" s="18" t="s">
        <v>1705</v>
      </c>
      <c r="K6" s="18" t="s">
        <v>21</v>
      </c>
      <c r="L6" s="18" t="s">
        <v>1698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911</v>
      </c>
      <c r="D7" s="18" t="s">
        <v>1708</v>
      </c>
      <c r="E7" s="18" t="s">
        <v>1709</v>
      </c>
      <c r="F7" s="18" t="s">
        <v>217</v>
      </c>
      <c r="G7" s="19">
        <v>1015</v>
      </c>
      <c r="H7" s="19">
        <v>25</v>
      </c>
      <c r="I7" s="19">
        <f t="shared" si="0"/>
        <v>990</v>
      </c>
      <c r="J7" s="18" t="s">
        <v>1705</v>
      </c>
      <c r="K7" s="18" t="s">
        <v>21</v>
      </c>
      <c r="L7" s="18" t="s">
        <v>1698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1710</v>
      </c>
      <c r="D8" s="18" t="s">
        <v>1711</v>
      </c>
      <c r="E8" s="18" t="s">
        <v>1712</v>
      </c>
      <c r="F8" s="19">
        <v>7</v>
      </c>
      <c r="G8" s="19">
        <v>520</v>
      </c>
      <c r="H8" s="19">
        <v>30</v>
      </c>
      <c r="I8" s="19">
        <f t="shared" si="0"/>
        <v>490</v>
      </c>
      <c r="J8" s="18" t="s">
        <v>1705</v>
      </c>
      <c r="K8" s="18" t="s">
        <v>21</v>
      </c>
      <c r="L8" s="18" t="s">
        <v>1698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1713</v>
      </c>
      <c r="D9" s="18" t="s">
        <v>1714</v>
      </c>
      <c r="E9" s="18" t="s">
        <v>1715</v>
      </c>
      <c r="F9" s="19">
        <v>7</v>
      </c>
      <c r="G9" s="19">
        <v>870</v>
      </c>
      <c r="H9" s="19">
        <v>30</v>
      </c>
      <c r="I9" s="19">
        <f t="shared" si="0"/>
        <v>840</v>
      </c>
      <c r="J9" s="18" t="s">
        <v>1705</v>
      </c>
      <c r="K9" s="18" t="s">
        <v>21</v>
      </c>
      <c r="L9" s="18" t="s">
        <v>1698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1716</v>
      </c>
      <c r="D10" s="18" t="s">
        <v>1717</v>
      </c>
      <c r="E10" s="18" t="s">
        <v>1718</v>
      </c>
      <c r="F10" s="19">
        <v>12</v>
      </c>
      <c r="G10" s="19">
        <v>700</v>
      </c>
      <c r="H10" s="19">
        <v>30</v>
      </c>
      <c r="I10" s="19">
        <f t="shared" si="0"/>
        <v>670</v>
      </c>
      <c r="J10" s="18" t="s">
        <v>1705</v>
      </c>
      <c r="K10" s="18" t="s">
        <v>21</v>
      </c>
      <c r="L10" s="18" t="s">
        <v>1698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1177</v>
      </c>
      <c r="D11" s="18" t="s">
        <v>1719</v>
      </c>
      <c r="E11" s="18" t="s">
        <v>610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1705</v>
      </c>
      <c r="K11" s="18" t="s">
        <v>21</v>
      </c>
      <c r="L11" s="18" t="s">
        <v>1698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1720</v>
      </c>
      <c r="D12" s="18" t="s">
        <v>1721</v>
      </c>
      <c r="E12" s="18" t="s">
        <v>1722</v>
      </c>
      <c r="F12" s="19">
        <v>12</v>
      </c>
      <c r="G12" s="19">
        <v>570</v>
      </c>
      <c r="H12" s="19">
        <v>30</v>
      </c>
      <c r="I12" s="19">
        <f t="shared" si="0"/>
        <v>540</v>
      </c>
      <c r="J12" s="18" t="s">
        <v>1705</v>
      </c>
      <c r="K12" s="18" t="s">
        <v>21</v>
      </c>
      <c r="L12" s="18" t="s">
        <v>1698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1723</v>
      </c>
      <c r="D13" s="18" t="s">
        <v>1724</v>
      </c>
      <c r="E13" s="18" t="s">
        <v>1725</v>
      </c>
      <c r="F13" s="18" t="s">
        <v>26</v>
      </c>
      <c r="G13" s="19">
        <v>1020</v>
      </c>
      <c r="H13" s="19">
        <v>30</v>
      </c>
      <c r="I13" s="19">
        <f t="shared" si="0"/>
        <v>990</v>
      </c>
      <c r="J13" s="18" t="s">
        <v>1705</v>
      </c>
      <c r="K13" s="18" t="s">
        <v>21</v>
      </c>
      <c r="L13" s="18" t="s">
        <v>1698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1726</v>
      </c>
      <c r="D14" s="18" t="s">
        <v>1727</v>
      </c>
      <c r="E14" s="18" t="s">
        <v>1728</v>
      </c>
      <c r="F14" s="18" t="s">
        <v>217</v>
      </c>
      <c r="G14" s="19">
        <v>775</v>
      </c>
      <c r="H14" s="19">
        <v>25</v>
      </c>
      <c r="I14" s="19">
        <f t="shared" si="0"/>
        <v>750</v>
      </c>
      <c r="J14" s="18" t="s">
        <v>1705</v>
      </c>
      <c r="K14" s="18" t="s">
        <v>21</v>
      </c>
      <c r="L14" s="18" t="s">
        <v>1698</v>
      </c>
      <c r="M14" s="18"/>
      <c r="N14" s="18"/>
      <c r="O14" s="18"/>
      <c r="P14" s="18"/>
      <c r="Q14" s="18">
        <v>1</v>
      </c>
    </row>
    <row r="15" spans="1:17" x14ac:dyDescent="0.25">
      <c r="A15" s="18" t="s">
        <v>62</v>
      </c>
      <c r="B15" s="18" t="s">
        <v>16</v>
      </c>
      <c r="C15" s="18" t="s">
        <v>1729</v>
      </c>
      <c r="D15" s="18"/>
      <c r="E15" s="18" t="s">
        <v>1730</v>
      </c>
      <c r="F15" s="18" t="s">
        <v>26</v>
      </c>
      <c r="G15" s="19">
        <v>0</v>
      </c>
      <c r="H15" s="19">
        <v>30</v>
      </c>
      <c r="I15" s="19">
        <f>-H15</f>
        <v>-30</v>
      </c>
      <c r="J15" s="18" t="s">
        <v>1705</v>
      </c>
      <c r="K15" s="18" t="s">
        <v>21</v>
      </c>
      <c r="L15" s="18" t="s">
        <v>1698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1731</v>
      </c>
      <c r="D16" s="18" t="s">
        <v>1732</v>
      </c>
      <c r="E16" s="18" t="s">
        <v>1733</v>
      </c>
      <c r="F16" s="18" t="s">
        <v>68</v>
      </c>
      <c r="G16" s="19">
        <v>0</v>
      </c>
      <c r="H16" s="19">
        <v>20</v>
      </c>
      <c r="I16" s="19">
        <f>-H16</f>
        <v>-20</v>
      </c>
      <c r="J16" s="18" t="s">
        <v>21</v>
      </c>
      <c r="K16" s="18" t="s">
        <v>21</v>
      </c>
      <c r="L16" s="18" t="s">
        <v>1698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1233</v>
      </c>
      <c r="D17" s="18" t="s">
        <v>1734</v>
      </c>
      <c r="E17" s="18" t="s">
        <v>1735</v>
      </c>
      <c r="F17" s="18" t="s">
        <v>72</v>
      </c>
      <c r="G17" s="19">
        <v>615</v>
      </c>
      <c r="H17" s="19">
        <v>25</v>
      </c>
      <c r="I17" s="19">
        <f>G17-H17</f>
        <v>590</v>
      </c>
      <c r="J17" s="18" t="s">
        <v>21</v>
      </c>
      <c r="K17" s="18" t="s">
        <v>21</v>
      </c>
      <c r="L17" s="18" t="s">
        <v>1698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1736</v>
      </c>
      <c r="D18" s="18" t="s">
        <v>1737</v>
      </c>
      <c r="E18" s="18" t="s">
        <v>1738</v>
      </c>
      <c r="F18" s="18" t="s">
        <v>72</v>
      </c>
      <c r="G18" s="19">
        <v>745</v>
      </c>
      <c r="H18" s="19">
        <v>25</v>
      </c>
      <c r="I18" s="19">
        <f>G18-H18</f>
        <v>720</v>
      </c>
      <c r="J18" s="18" t="s">
        <v>21</v>
      </c>
      <c r="K18" s="18" t="s">
        <v>21</v>
      </c>
      <c r="L18" s="18" t="s">
        <v>1698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1739</v>
      </c>
      <c r="D19" s="18" t="s">
        <v>1740</v>
      </c>
      <c r="E19" s="18" t="s">
        <v>1510</v>
      </c>
      <c r="F19" s="18" t="s">
        <v>72</v>
      </c>
      <c r="G19" s="19">
        <v>935</v>
      </c>
      <c r="H19" s="19">
        <v>25</v>
      </c>
      <c r="I19" s="19">
        <f>G19-H19</f>
        <v>910</v>
      </c>
      <c r="J19" s="18" t="s">
        <v>21</v>
      </c>
      <c r="K19" s="18" t="s">
        <v>21</v>
      </c>
      <c r="L19" s="18" t="s">
        <v>1698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1741</v>
      </c>
      <c r="D20" s="18" t="s">
        <v>1742</v>
      </c>
      <c r="E20" s="18" t="s">
        <v>1743</v>
      </c>
      <c r="F20" s="18" t="s">
        <v>68</v>
      </c>
      <c r="G20" s="19">
        <v>910</v>
      </c>
      <c r="H20" s="19">
        <v>20</v>
      </c>
      <c r="I20" s="19">
        <f>G20-H20</f>
        <v>890</v>
      </c>
      <c r="J20" s="18" t="s">
        <v>21</v>
      </c>
      <c r="K20" s="18" t="s">
        <v>21</v>
      </c>
      <c r="L20" s="18" t="s">
        <v>1698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1744</v>
      </c>
      <c r="D21" s="18" t="s">
        <v>1745</v>
      </c>
      <c r="E21" s="18" t="s">
        <v>1746</v>
      </c>
      <c r="F21" s="18" t="s">
        <v>68</v>
      </c>
      <c r="G21" s="19">
        <v>0</v>
      </c>
      <c r="H21" s="19">
        <v>20</v>
      </c>
      <c r="I21" s="19">
        <f>-H21</f>
        <v>-20</v>
      </c>
      <c r="J21" s="18" t="s">
        <v>21</v>
      </c>
      <c r="K21" s="18" t="s">
        <v>21</v>
      </c>
      <c r="L21" s="18" t="s">
        <v>1698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1747</v>
      </c>
      <c r="D22" s="18" t="s">
        <v>1748</v>
      </c>
      <c r="E22" s="18" t="s">
        <v>1749</v>
      </c>
      <c r="F22" s="18" t="s">
        <v>153</v>
      </c>
      <c r="G22" s="19">
        <v>865</v>
      </c>
      <c r="H22" s="19">
        <v>25</v>
      </c>
      <c r="I22" s="19">
        <f>G22-H22</f>
        <v>840</v>
      </c>
      <c r="J22" s="18" t="s">
        <v>21</v>
      </c>
      <c r="K22" s="18" t="s">
        <v>21</v>
      </c>
      <c r="L22" s="18" t="s">
        <v>1698</v>
      </c>
      <c r="M22" s="18"/>
      <c r="N22" s="18"/>
      <c r="O22" s="18"/>
      <c r="P22" s="18"/>
      <c r="Q22" s="18">
        <v>1</v>
      </c>
    </row>
    <row r="23" spans="1:17" s="2" customFormat="1" x14ac:dyDescent="0.25">
      <c r="A23" s="18"/>
      <c r="B23" s="18" t="s">
        <v>16</v>
      </c>
      <c r="C23" s="18" t="s">
        <v>1750</v>
      </c>
      <c r="D23" s="18" t="s">
        <v>1751</v>
      </c>
      <c r="E23" s="18" t="s">
        <v>1752</v>
      </c>
      <c r="F23" s="19">
        <v>12</v>
      </c>
      <c r="G23" s="19">
        <v>0</v>
      </c>
      <c r="H23" s="19">
        <v>30</v>
      </c>
      <c r="I23" s="19">
        <f>-H23</f>
        <v>-30</v>
      </c>
      <c r="J23" s="18" t="s">
        <v>21</v>
      </c>
      <c r="K23" s="18" t="s">
        <v>21</v>
      </c>
      <c r="L23" s="18" t="s">
        <v>1698</v>
      </c>
      <c r="M23" s="18"/>
      <c r="N23" s="18"/>
      <c r="O23" s="18"/>
      <c r="P23" s="18"/>
      <c r="Q23" s="20">
        <v>1</v>
      </c>
    </row>
    <row r="24" spans="1:17" x14ac:dyDescent="0.25">
      <c r="A24" s="18"/>
      <c r="B24" s="18" t="s">
        <v>16</v>
      </c>
      <c r="C24" s="18" t="s">
        <v>1753</v>
      </c>
      <c r="D24" s="18" t="s">
        <v>1754</v>
      </c>
      <c r="E24" s="18" t="s">
        <v>1755</v>
      </c>
      <c r="F24" s="18" t="s">
        <v>153</v>
      </c>
      <c r="G24" s="19">
        <v>0</v>
      </c>
      <c r="H24" s="19">
        <v>30</v>
      </c>
      <c r="I24" s="19">
        <f>-H24</f>
        <v>-30</v>
      </c>
      <c r="J24" s="18" t="s">
        <v>21</v>
      </c>
      <c r="K24" s="18" t="s">
        <v>21</v>
      </c>
      <c r="L24" s="18" t="s">
        <v>1698</v>
      </c>
      <c r="M24" s="18"/>
      <c r="N24" s="18"/>
      <c r="O24" s="18"/>
      <c r="P24" s="18"/>
      <c r="Q24" s="18">
        <v>1</v>
      </c>
    </row>
    <row r="25" spans="1:17" x14ac:dyDescent="0.25">
      <c r="A25" s="18" t="s">
        <v>62</v>
      </c>
      <c r="B25" s="18" t="s">
        <v>16</v>
      </c>
      <c r="C25" s="18" t="s">
        <v>1756</v>
      </c>
      <c r="D25" s="18"/>
      <c r="E25" s="18" t="s">
        <v>1757</v>
      </c>
      <c r="F25" s="18" t="s">
        <v>88</v>
      </c>
      <c r="G25" s="19">
        <v>0</v>
      </c>
      <c r="H25" s="19">
        <v>30</v>
      </c>
      <c r="I25" s="19">
        <f>-H25</f>
        <v>-30</v>
      </c>
      <c r="J25" s="18" t="s">
        <v>21</v>
      </c>
      <c r="K25" s="18" t="s">
        <v>21</v>
      </c>
      <c r="L25" s="18" t="s">
        <v>1698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1758</v>
      </c>
      <c r="D26" s="18" t="s">
        <v>1759</v>
      </c>
      <c r="E26" s="18" t="s">
        <v>1760</v>
      </c>
      <c r="F26" s="18" t="s">
        <v>68</v>
      </c>
      <c r="G26" s="19">
        <v>680</v>
      </c>
      <c r="H26" s="19">
        <v>20</v>
      </c>
      <c r="I26" s="19">
        <f>G26-H26</f>
        <v>660</v>
      </c>
      <c r="J26" s="18" t="s">
        <v>21</v>
      </c>
      <c r="K26" s="18" t="s">
        <v>21</v>
      </c>
      <c r="L26" s="18" t="s">
        <v>1698</v>
      </c>
      <c r="M26" s="18"/>
      <c r="N26" s="18"/>
      <c r="O26" s="18"/>
      <c r="P26" s="18"/>
      <c r="Q26" s="18">
        <v>1</v>
      </c>
    </row>
    <row r="27" spans="1:17" x14ac:dyDescent="0.25">
      <c r="A27" s="18" t="s">
        <v>62</v>
      </c>
      <c r="B27" s="18" t="s">
        <v>16</v>
      </c>
      <c r="C27" s="18" t="s">
        <v>383</v>
      </c>
      <c r="D27" s="18"/>
      <c r="E27" s="18" t="s">
        <v>1761</v>
      </c>
      <c r="F27" s="19">
        <v>2</v>
      </c>
      <c r="G27" s="19">
        <v>35</v>
      </c>
      <c r="H27" s="19">
        <v>35</v>
      </c>
      <c r="I27" s="19">
        <f>G27-H27</f>
        <v>0</v>
      </c>
      <c r="J27" s="18" t="s">
        <v>21</v>
      </c>
      <c r="K27" s="18" t="s">
        <v>21</v>
      </c>
      <c r="L27" s="18" t="s">
        <v>1698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1762</v>
      </c>
      <c r="D28" s="18" t="s">
        <v>1763</v>
      </c>
      <c r="E28" s="18" t="s">
        <v>1764</v>
      </c>
      <c r="F28" s="19">
        <v>1</v>
      </c>
      <c r="G28" s="19">
        <v>405</v>
      </c>
      <c r="H28" s="19">
        <v>25</v>
      </c>
      <c r="I28" s="19">
        <f>G28-H28</f>
        <v>380</v>
      </c>
      <c r="J28" s="18" t="s">
        <v>165</v>
      </c>
      <c r="K28" s="18" t="s">
        <v>21</v>
      </c>
      <c r="L28" s="18" t="s">
        <v>1698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645</v>
      </c>
      <c r="D29" s="18" t="s">
        <v>1765</v>
      </c>
      <c r="E29" s="18" t="s">
        <v>1766</v>
      </c>
      <c r="F29" s="19">
        <v>1</v>
      </c>
      <c r="G29" s="19">
        <v>405</v>
      </c>
      <c r="H29" s="19">
        <v>25</v>
      </c>
      <c r="I29" s="19">
        <f>G29-H29</f>
        <v>380</v>
      </c>
      <c r="J29" s="18" t="s">
        <v>165</v>
      </c>
      <c r="K29" s="18" t="s">
        <v>21</v>
      </c>
      <c r="L29" s="18" t="s">
        <v>1698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866</v>
      </c>
      <c r="D30" s="18" t="s">
        <v>1767</v>
      </c>
      <c r="E30" s="18" t="s">
        <v>868</v>
      </c>
      <c r="F30" s="19">
        <v>1</v>
      </c>
      <c r="G30" s="19">
        <v>0</v>
      </c>
      <c r="H30" s="19">
        <v>25</v>
      </c>
      <c r="I30" s="19">
        <f>-H30</f>
        <v>-25</v>
      </c>
      <c r="J30" s="18" t="s">
        <v>165</v>
      </c>
      <c r="K30" s="18" t="s">
        <v>21</v>
      </c>
      <c r="L30" s="18" t="s">
        <v>1698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1768</v>
      </c>
      <c r="D31" s="18" t="s">
        <v>1769</v>
      </c>
      <c r="E31" s="18" t="s">
        <v>1770</v>
      </c>
      <c r="F31" s="19">
        <v>10</v>
      </c>
      <c r="G31" s="19">
        <v>0</v>
      </c>
      <c r="H31" s="19">
        <v>25</v>
      </c>
      <c r="I31" s="19">
        <f>-H31</f>
        <v>-25</v>
      </c>
      <c r="J31" s="18" t="s">
        <v>165</v>
      </c>
      <c r="K31" s="18" t="s">
        <v>21</v>
      </c>
      <c r="L31" s="18" t="s">
        <v>1698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1771</v>
      </c>
      <c r="D32" s="18" t="s">
        <v>1772</v>
      </c>
      <c r="E32" s="18" t="s">
        <v>1773</v>
      </c>
      <c r="F32" s="19">
        <v>3</v>
      </c>
      <c r="G32" s="19">
        <v>1965</v>
      </c>
      <c r="H32" s="19">
        <v>25</v>
      </c>
      <c r="I32" s="19">
        <f>G32-H32</f>
        <v>1940</v>
      </c>
      <c r="J32" s="18" t="s">
        <v>165</v>
      </c>
      <c r="K32" s="18" t="s">
        <v>21</v>
      </c>
      <c r="L32" s="18" t="s">
        <v>1698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651</v>
      </c>
      <c r="D33" s="18" t="s">
        <v>1774</v>
      </c>
      <c r="E33" s="18" t="s">
        <v>653</v>
      </c>
      <c r="F33" s="18" t="s">
        <v>88</v>
      </c>
      <c r="G33" s="19">
        <v>0</v>
      </c>
      <c r="H33" s="19">
        <v>25</v>
      </c>
      <c r="I33" s="19">
        <f>-H33</f>
        <v>-25</v>
      </c>
      <c r="J33" s="18" t="s">
        <v>165</v>
      </c>
      <c r="K33" s="18" t="s">
        <v>21</v>
      </c>
      <c r="L33" s="18" t="s">
        <v>1698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1775</v>
      </c>
      <c r="D34" s="18"/>
      <c r="E34" s="18" t="s">
        <v>1776</v>
      </c>
      <c r="F34" s="18" t="s">
        <v>88</v>
      </c>
      <c r="G34" s="19">
        <v>35</v>
      </c>
      <c r="H34" s="19">
        <v>35</v>
      </c>
      <c r="I34" s="19">
        <f>G34-H34</f>
        <v>0</v>
      </c>
      <c r="J34" s="18" t="s">
        <v>165</v>
      </c>
      <c r="K34" s="18" t="s">
        <v>21</v>
      </c>
      <c r="L34" s="18" t="s">
        <v>1698</v>
      </c>
      <c r="M34" s="18"/>
      <c r="N34" s="18"/>
      <c r="O34" s="18"/>
      <c r="P34" s="18"/>
      <c r="Q34" s="18">
        <v>1</v>
      </c>
    </row>
    <row r="35" spans="1:17" x14ac:dyDescent="0.25">
      <c r="A35" s="20"/>
      <c r="B35" s="20" t="s">
        <v>16</v>
      </c>
      <c r="C35" s="20" t="s">
        <v>1777</v>
      </c>
      <c r="D35" s="20" t="s">
        <v>1778</v>
      </c>
      <c r="E35" s="20" t="s">
        <v>1779</v>
      </c>
      <c r="F35" s="20" t="s">
        <v>780</v>
      </c>
      <c r="G35" s="21">
        <v>790</v>
      </c>
      <c r="H35" s="21">
        <v>0</v>
      </c>
      <c r="I35" s="21">
        <f>G35-H35</f>
        <v>790</v>
      </c>
      <c r="J35" s="20" t="s">
        <v>446</v>
      </c>
      <c r="K35" s="20" t="s">
        <v>21</v>
      </c>
      <c r="L35" s="20" t="s">
        <v>1698</v>
      </c>
      <c r="M35" s="20" t="s">
        <v>781</v>
      </c>
      <c r="N35" s="20" t="s">
        <v>448</v>
      </c>
      <c r="O35" s="20"/>
      <c r="P35" s="20" t="s">
        <v>449</v>
      </c>
      <c r="Q35" s="18">
        <v>1</v>
      </c>
    </row>
    <row r="36" spans="1:17" s="2" customFormat="1" x14ac:dyDescent="0.25">
      <c r="A36" s="20"/>
      <c r="B36" s="20" t="s">
        <v>16</v>
      </c>
      <c r="C36" s="20" t="s">
        <v>1780</v>
      </c>
      <c r="D36" s="20" t="s">
        <v>1781</v>
      </c>
      <c r="E36" s="20" t="s">
        <v>1782</v>
      </c>
      <c r="F36" s="21">
        <v>7</v>
      </c>
      <c r="G36" s="21">
        <v>700</v>
      </c>
      <c r="H36" s="21">
        <v>0</v>
      </c>
      <c r="I36" s="21">
        <f>G36-H36</f>
        <v>700</v>
      </c>
      <c r="J36" s="20" t="s">
        <v>446</v>
      </c>
      <c r="K36" s="20" t="s">
        <v>21</v>
      </c>
      <c r="L36" s="20" t="s">
        <v>1370</v>
      </c>
      <c r="M36" s="20" t="s">
        <v>105</v>
      </c>
      <c r="N36" s="20" t="s">
        <v>448</v>
      </c>
      <c r="O36" s="20" t="s">
        <v>448</v>
      </c>
      <c r="P36" s="20" t="s">
        <v>449</v>
      </c>
      <c r="Q36" s="21">
        <v>1</v>
      </c>
    </row>
    <row r="37" spans="1:17" s="2" customFormat="1" x14ac:dyDescent="0.25">
      <c r="A37" s="20"/>
      <c r="B37" s="20" t="s">
        <v>16</v>
      </c>
      <c r="C37" s="20" t="s">
        <v>651</v>
      </c>
      <c r="D37" s="20" t="s">
        <v>1539</v>
      </c>
      <c r="E37" s="20" t="s">
        <v>653</v>
      </c>
      <c r="F37" s="20" t="s">
        <v>88</v>
      </c>
      <c r="G37" s="21">
        <v>945</v>
      </c>
      <c r="H37" s="21">
        <v>0</v>
      </c>
      <c r="I37" s="21">
        <f>G37-H37</f>
        <v>945</v>
      </c>
      <c r="J37" s="20" t="s">
        <v>446</v>
      </c>
      <c r="K37" s="20" t="s">
        <v>21</v>
      </c>
      <c r="L37" s="20" t="s">
        <v>1445</v>
      </c>
      <c r="M37" s="20" t="s">
        <v>105</v>
      </c>
      <c r="N37" s="20" t="s">
        <v>448</v>
      </c>
      <c r="O37" s="20" t="s">
        <v>448</v>
      </c>
      <c r="P37" s="20" t="s">
        <v>449</v>
      </c>
      <c r="Q37" s="21">
        <v>1</v>
      </c>
    </row>
    <row r="38" spans="1:17" s="2" customFormat="1" x14ac:dyDescent="0.25">
      <c r="A38" s="20"/>
      <c r="B38" s="20" t="s">
        <v>16</v>
      </c>
      <c r="C38" s="20" t="s">
        <v>651</v>
      </c>
      <c r="D38" s="20" t="s">
        <v>1688</v>
      </c>
      <c r="E38" s="20" t="s">
        <v>653</v>
      </c>
      <c r="F38" s="20" t="s">
        <v>88</v>
      </c>
      <c r="G38" s="21">
        <v>875</v>
      </c>
      <c r="H38" s="21">
        <v>0</v>
      </c>
      <c r="I38" s="21">
        <f>G38-H38</f>
        <v>875</v>
      </c>
      <c r="J38" s="20" t="s">
        <v>446</v>
      </c>
      <c r="K38" s="20" t="s">
        <v>21</v>
      </c>
      <c r="L38" s="20" t="s">
        <v>1570</v>
      </c>
      <c r="M38" s="20" t="s">
        <v>105</v>
      </c>
      <c r="N38" s="20" t="s">
        <v>448</v>
      </c>
      <c r="O38" s="20" t="s">
        <v>448</v>
      </c>
      <c r="P38" s="20" t="s">
        <v>449</v>
      </c>
      <c r="Q38" s="21">
        <v>1</v>
      </c>
    </row>
    <row r="40" spans="1:17" x14ac:dyDescent="0.25">
      <c r="D40" s="1">
        <f>COUNTA(D3:D38)</f>
        <v>32</v>
      </c>
      <c r="G40" s="1">
        <f t="shared" ref="G40:Q40" si="1">SUBTOTAL(9,G3:G38)</f>
        <v>19435</v>
      </c>
      <c r="H40" s="1">
        <f t="shared" si="1"/>
        <v>860</v>
      </c>
      <c r="I40" s="1">
        <f t="shared" si="1"/>
        <v>18575</v>
      </c>
      <c r="J40" s="1">
        <f t="shared" si="1"/>
        <v>0</v>
      </c>
      <c r="K40" s="1">
        <f t="shared" si="1"/>
        <v>0</v>
      </c>
      <c r="L40" s="1">
        <f t="shared" si="1"/>
        <v>0</v>
      </c>
      <c r="M40" s="1">
        <f t="shared" si="1"/>
        <v>0</v>
      </c>
      <c r="N40" s="1">
        <f t="shared" si="1"/>
        <v>0</v>
      </c>
      <c r="O40" s="1">
        <f t="shared" si="1"/>
        <v>0</v>
      </c>
      <c r="P40" s="1">
        <f t="shared" si="1"/>
        <v>0</v>
      </c>
      <c r="Q40" s="1">
        <f t="shared" si="1"/>
        <v>36</v>
      </c>
    </row>
    <row r="41" spans="1:17" x14ac:dyDescent="0.25">
      <c r="H41">
        <f>-6*17</f>
        <v>-102</v>
      </c>
    </row>
    <row r="42" spans="1:17" x14ac:dyDescent="0.25">
      <c r="A42" s="1" t="s">
        <v>16</v>
      </c>
      <c r="C42" s="42" t="s">
        <v>89</v>
      </c>
      <c r="D42" s="42"/>
      <c r="E42" s="4" t="s">
        <v>90</v>
      </c>
      <c r="H42">
        <f>-5*25</f>
        <v>-125</v>
      </c>
      <c r="K42" s="7" t="s">
        <v>165</v>
      </c>
      <c r="L42" s="7" t="s">
        <v>91</v>
      </c>
      <c r="M42" s="7" t="s">
        <v>90</v>
      </c>
      <c r="O42" s="4" t="s">
        <v>92</v>
      </c>
    </row>
    <row r="43" spans="1:17" x14ac:dyDescent="0.25">
      <c r="A43" t="s">
        <v>1698</v>
      </c>
      <c r="B43" s="3" t="s">
        <v>93</v>
      </c>
      <c r="C43" s="43">
        <f>SUMIFS(I$3:I$38,B$3:B$38,A$42,L$3:L$38,A$43)</f>
        <v>16055</v>
      </c>
      <c r="D43" s="43"/>
      <c r="E43" s="3">
        <f>SUMIFS(Q$3:Q$38,B$3:B$38,A$42,L$3:L$38,A$43)</f>
        <v>33</v>
      </c>
      <c r="F43" t="s">
        <v>94</v>
      </c>
      <c r="K43" t="s">
        <v>95</v>
      </c>
      <c r="L43">
        <f>SUMIFS(G$3:G$38,J$3:J$38,K$42)</f>
        <v>2810</v>
      </c>
      <c r="M43">
        <f>SUMIFS(Q$3:Q$38,J$3:J$38,K$42)</f>
        <v>7</v>
      </c>
      <c r="O43" t="s">
        <v>165</v>
      </c>
      <c r="P43">
        <f>L48</f>
        <v>840</v>
      </c>
    </row>
    <row r="44" spans="1:17" x14ac:dyDescent="0.25">
      <c r="B44" s="2" t="s">
        <v>97</v>
      </c>
      <c r="C44" s="44">
        <v>0</v>
      </c>
      <c r="D44" s="44"/>
      <c r="K44" t="s">
        <v>98</v>
      </c>
      <c r="L44">
        <f>-SUMIFS(H$3:H$38,J$3:J$38,K$42)+M44*5</f>
        <v>-150</v>
      </c>
      <c r="M44">
        <f>SUMIFS(Q$3:Q$38,J$3:J$38,K$42)-COUNTIFS(J$3:J$38,K$42,M$3:M$38,"*gộp*")</f>
        <v>7</v>
      </c>
      <c r="O44" t="s">
        <v>1783</v>
      </c>
      <c r="P44">
        <f>L56</f>
        <v>6823</v>
      </c>
    </row>
    <row r="45" spans="1:17" x14ac:dyDescent="0.25">
      <c r="B45" s="2" t="s">
        <v>99</v>
      </c>
      <c r="C45" s="44">
        <f>-SUMIFS(I$3:I$38,B$3:B$38,A$42,P$3:P$38,"xx",N$3:N$38,"x")</f>
        <v>-3310</v>
      </c>
      <c r="D45" s="44"/>
      <c r="E45" s="2">
        <f>SUMIFS(Q$3:Q$38,B$3:B$38,A$42,P$3:P$38,"xx",N$3:N$38,"x")</f>
        <v>4</v>
      </c>
      <c r="K45" t="s">
        <v>100</v>
      </c>
      <c r="O45" t="s">
        <v>21</v>
      </c>
      <c r="P45">
        <f>L64</f>
        <v>4476</v>
      </c>
    </row>
    <row r="46" spans="1:17" x14ac:dyDescent="0.25">
      <c r="B46" s="4" t="s">
        <v>101</v>
      </c>
      <c r="C46" s="42">
        <f>SUBTOTAL(9,C43:C45)</f>
        <v>12745</v>
      </c>
      <c r="D46" s="42"/>
      <c r="E46">
        <f>E43</f>
        <v>33</v>
      </c>
      <c r="K46" s="2" t="s">
        <v>102</v>
      </c>
      <c r="O46" t="s">
        <v>20</v>
      </c>
      <c r="P46">
        <f>L72</f>
        <v>730</v>
      </c>
    </row>
    <row r="47" spans="1:17" x14ac:dyDescent="0.25">
      <c r="B47" s="2" t="s">
        <v>104</v>
      </c>
      <c r="C47" s="40"/>
      <c r="D47" s="40"/>
      <c r="K47" s="2" t="s">
        <v>105</v>
      </c>
      <c r="L47" s="29">
        <v>-1820</v>
      </c>
      <c r="M47" s="29" t="s">
        <v>1784</v>
      </c>
      <c r="O47" t="s">
        <v>103</v>
      </c>
      <c r="P47">
        <f>-C50</f>
        <v>-12745</v>
      </c>
    </row>
    <row r="48" spans="1:17" x14ac:dyDescent="0.25">
      <c r="B48" s="8" t="s">
        <v>107</v>
      </c>
      <c r="C48" s="40"/>
      <c r="D48" s="40"/>
      <c r="L48" s="9">
        <f>SUBTOTAL(9,L43:L47)</f>
        <v>840</v>
      </c>
      <c r="M48" s="9">
        <f>M43</f>
        <v>7</v>
      </c>
      <c r="O48" s="4" t="s">
        <v>106</v>
      </c>
      <c r="P48" s="4">
        <f>SUBTOTAL(9,P43:P47)</f>
        <v>124</v>
      </c>
    </row>
    <row r="50" spans="2:13" x14ac:dyDescent="0.25">
      <c r="B50" s="1" t="s">
        <v>108</v>
      </c>
      <c r="C50" s="41">
        <f>C46+C47+C48</f>
        <v>12745</v>
      </c>
      <c r="D50" s="41"/>
      <c r="E50" s="1" t="s">
        <v>109</v>
      </c>
      <c r="K50" s="7" t="s">
        <v>1705</v>
      </c>
      <c r="L50" s="7" t="s">
        <v>91</v>
      </c>
      <c r="M50" s="7" t="s">
        <v>90</v>
      </c>
    </row>
    <row r="51" spans="2:13" x14ac:dyDescent="0.25">
      <c r="K51" t="s">
        <v>95</v>
      </c>
      <c r="L51">
        <f>SUMIFS(G$3:G$38,J$3:J$38,K$50)</f>
        <v>7750</v>
      </c>
      <c r="M51">
        <f>SUMIFS(Q$3:Q$38,J$3:J$38,K$50)</f>
        <v>11</v>
      </c>
    </row>
    <row r="52" spans="2:13" x14ac:dyDescent="0.25">
      <c r="K52" t="s">
        <v>98</v>
      </c>
      <c r="L52">
        <f>SUM(H41:H42)</f>
        <v>-227</v>
      </c>
      <c r="M52">
        <f>SUMIFS(Q$3:Q$38,J$3:J$38,K$50)</f>
        <v>11</v>
      </c>
    </row>
    <row r="53" spans="2:13" x14ac:dyDescent="0.25">
      <c r="K53" t="s">
        <v>100</v>
      </c>
    </row>
    <row r="54" spans="2:13" x14ac:dyDescent="0.25">
      <c r="K54" s="2" t="s">
        <v>102</v>
      </c>
    </row>
    <row r="55" spans="2:13" x14ac:dyDescent="0.25">
      <c r="K55" s="2" t="s">
        <v>105</v>
      </c>
      <c r="L55" s="29">
        <v>-700</v>
      </c>
      <c r="M55" s="29" t="s">
        <v>451</v>
      </c>
    </row>
    <row r="56" spans="2:13" x14ac:dyDescent="0.25">
      <c r="L56" s="9">
        <f>SUBTOTAL(9,L51:L55)</f>
        <v>6823</v>
      </c>
      <c r="M56" s="9">
        <f>M51</f>
        <v>11</v>
      </c>
    </row>
    <row r="58" spans="2:13" x14ac:dyDescent="0.25">
      <c r="K58" s="7" t="s">
        <v>21</v>
      </c>
      <c r="L58" s="7" t="s">
        <v>91</v>
      </c>
      <c r="M58" s="7" t="s">
        <v>90</v>
      </c>
    </row>
    <row r="59" spans="2:13" x14ac:dyDescent="0.25">
      <c r="K59" t="s">
        <v>95</v>
      </c>
      <c r="L59">
        <f>SUMIFS(G$3:G$38,J$3:J$38,K$58)</f>
        <v>4785</v>
      </c>
      <c r="M59">
        <f>SUMIFS(Q$3:Q$38,J$3:J$38,K$58)</f>
        <v>12</v>
      </c>
    </row>
    <row r="60" spans="2:13" x14ac:dyDescent="0.25">
      <c r="K60" t="s">
        <v>98</v>
      </c>
      <c r="L60">
        <f>-SUMIFS(H$3:H$38,J$3:J$38,K$58)+M60*5</f>
        <v>-245</v>
      </c>
      <c r="M60">
        <f>SUMIFS(Q$3:Q$38,J$3:J$38,K$58)-COUNTIFS(J$3:J$38,K$58,M$3:M$38,"*gộp*")</f>
        <v>12</v>
      </c>
    </row>
    <row r="61" spans="2:13" x14ac:dyDescent="0.25">
      <c r="K61" t="s">
        <v>100</v>
      </c>
      <c r="L61">
        <f>-M61*2</f>
        <v>-64</v>
      </c>
      <c r="M61">
        <f>E46-(COUNTIFS(M$3:M$38,"*gộp*"))-COUNTIFS(M$3:M$38,"*đơn trả*")/2-COUNTIFS(M$3:M$38,"*hàng tỉnh*")</f>
        <v>32</v>
      </c>
    </row>
    <row r="62" spans="2:13" x14ac:dyDescent="0.25">
      <c r="K62" s="2" t="s">
        <v>102</v>
      </c>
    </row>
    <row r="63" spans="2:13" x14ac:dyDescent="0.25">
      <c r="K63" s="2" t="s">
        <v>105</v>
      </c>
    </row>
    <row r="64" spans="2:13" x14ac:dyDescent="0.25">
      <c r="L64" s="9">
        <f>SUBTOTAL(9,L59:L63)</f>
        <v>4476</v>
      </c>
      <c r="M64" s="9">
        <f>M59</f>
        <v>12</v>
      </c>
    </row>
    <row r="66" spans="11:13" x14ac:dyDescent="0.25">
      <c r="K66" s="7" t="s">
        <v>20</v>
      </c>
      <c r="L66" s="7" t="s">
        <v>91</v>
      </c>
      <c r="M66" s="7" t="s">
        <v>90</v>
      </c>
    </row>
    <row r="67" spans="11:13" x14ac:dyDescent="0.25">
      <c r="K67" t="s">
        <v>95</v>
      </c>
      <c r="L67">
        <f>SUMIFS(G$3:G$38,J$3:J$38,K$66)</f>
        <v>780</v>
      </c>
      <c r="M67">
        <f>SUMIFS(Q$3:Q$38,J$3:J$38,K$66)</f>
        <v>2</v>
      </c>
    </row>
    <row r="68" spans="11:13" x14ac:dyDescent="0.25">
      <c r="K68" t="s">
        <v>98</v>
      </c>
      <c r="L68">
        <f>-SUMIFS(H$3:H$38,J$3:J$38,K$66)+M68*5</f>
        <v>-50</v>
      </c>
      <c r="M68">
        <f>SUMIFS(Q$3:Q$38,J$3:J$38,K$66)-COUNTIFS(J$3:J$38,K$66,M$3:M$38,"*gộp*")</f>
        <v>2</v>
      </c>
    </row>
    <row r="69" spans="11:13" x14ac:dyDescent="0.25">
      <c r="K69" t="s">
        <v>100</v>
      </c>
    </row>
    <row r="70" spans="11:13" x14ac:dyDescent="0.25">
      <c r="K70" s="2" t="s">
        <v>102</v>
      </c>
    </row>
    <row r="71" spans="11:13" x14ac:dyDescent="0.25">
      <c r="K71" s="2" t="s">
        <v>105</v>
      </c>
    </row>
    <row r="72" spans="11:13" x14ac:dyDescent="0.25">
      <c r="L72" s="9">
        <f>SUBTOTAL(9,L67:L71)</f>
        <v>730</v>
      </c>
      <c r="M72" s="9">
        <f>M67</f>
        <v>2</v>
      </c>
    </row>
  </sheetData>
  <autoFilter ref="A2:P38" xr:uid="{00000000-0009-0000-0000-00000F000000}">
    <sortState xmlns:xlrd2="http://schemas.microsoft.com/office/spreadsheetml/2017/richdata2" ref="A3:P38">
      <sortCondition ref="J2:J38"/>
    </sortState>
  </autoFilter>
  <mergeCells count="8">
    <mergeCell ref="C47:D47"/>
    <mergeCell ref="C48:D48"/>
    <mergeCell ref="C50:D50"/>
    <mergeCell ref="C42:D42"/>
    <mergeCell ref="C43:D43"/>
    <mergeCell ref="C44:D44"/>
    <mergeCell ref="C45:D45"/>
    <mergeCell ref="C46:D46"/>
  </mergeCells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Q131"/>
  <sheetViews>
    <sheetView topLeftCell="C90" workbookViewId="0">
      <selection activeCell="I95" sqref="I95"/>
    </sheetView>
  </sheetViews>
  <sheetFormatPr defaultRowHeight="15" x14ac:dyDescent="0.25"/>
  <cols>
    <col min="1" max="1" width="12.7109375" customWidth="1"/>
    <col min="2" max="2" width="17.7109375" customWidth="1"/>
    <col min="3" max="3" width="45" customWidth="1"/>
    <col min="4" max="4" width="10" customWidth="1"/>
    <col min="5" max="5" width="88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285156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1785</v>
      </c>
      <c r="D3" s="18"/>
      <c r="E3" s="18" t="s">
        <v>1786</v>
      </c>
      <c r="F3" s="19">
        <v>9</v>
      </c>
      <c r="G3" s="19">
        <v>0</v>
      </c>
      <c r="H3" s="19">
        <v>35</v>
      </c>
      <c r="I3" s="19">
        <f t="shared" ref="I3:I34" si="0">G3-H3</f>
        <v>-35</v>
      </c>
      <c r="J3" s="18" t="s">
        <v>20</v>
      </c>
      <c r="K3" s="18" t="s">
        <v>21</v>
      </c>
      <c r="L3" s="18" t="s">
        <v>1787</v>
      </c>
      <c r="M3" s="18"/>
      <c r="N3" s="18"/>
      <c r="O3" s="18"/>
      <c r="P3" s="18"/>
      <c r="Q3" s="18">
        <v>1</v>
      </c>
    </row>
    <row r="4" spans="1:17" x14ac:dyDescent="0.25">
      <c r="A4" s="18" t="s">
        <v>62</v>
      </c>
      <c r="B4" s="18" t="s">
        <v>16</v>
      </c>
      <c r="C4" s="18" t="s">
        <v>1788</v>
      </c>
      <c r="D4" s="18"/>
      <c r="E4" s="18" t="s">
        <v>1378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20</v>
      </c>
      <c r="K4" s="18" t="s">
        <v>21</v>
      </c>
      <c r="L4" s="18" t="s">
        <v>1787</v>
      </c>
      <c r="M4" s="18"/>
      <c r="N4" s="18"/>
      <c r="O4" s="18"/>
      <c r="P4" s="18"/>
      <c r="Q4" s="18">
        <v>1</v>
      </c>
    </row>
    <row r="5" spans="1:17" x14ac:dyDescent="0.25">
      <c r="A5" s="18" t="s">
        <v>62</v>
      </c>
      <c r="B5" s="18" t="s">
        <v>16</v>
      </c>
      <c r="C5" s="18" t="s">
        <v>329</v>
      </c>
      <c r="D5" s="18"/>
      <c r="E5" s="18" t="s">
        <v>1789</v>
      </c>
      <c r="F5" s="19">
        <v>9</v>
      </c>
      <c r="G5" s="19">
        <v>1255</v>
      </c>
      <c r="H5" s="19">
        <v>35</v>
      </c>
      <c r="I5" s="19">
        <f t="shared" si="0"/>
        <v>1220</v>
      </c>
      <c r="J5" s="18" t="s">
        <v>20</v>
      </c>
      <c r="K5" s="18" t="s">
        <v>21</v>
      </c>
      <c r="L5" s="18" t="s">
        <v>1787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1790</v>
      </c>
      <c r="D6" s="18" t="s">
        <v>1791</v>
      </c>
      <c r="E6" s="18" t="s">
        <v>1792</v>
      </c>
      <c r="F6" s="18" t="s">
        <v>217</v>
      </c>
      <c r="G6" s="19">
        <v>1015</v>
      </c>
      <c r="H6" s="19">
        <v>25</v>
      </c>
      <c r="I6" s="19">
        <f t="shared" si="0"/>
        <v>990</v>
      </c>
      <c r="J6" s="18" t="s">
        <v>1793</v>
      </c>
      <c r="K6" s="18" t="s">
        <v>21</v>
      </c>
      <c r="L6" s="18" t="s">
        <v>1787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1794</v>
      </c>
      <c r="D7" s="18" t="s">
        <v>1795</v>
      </c>
      <c r="E7" s="18" t="s">
        <v>1796</v>
      </c>
      <c r="F7" s="18" t="s">
        <v>88</v>
      </c>
      <c r="G7" s="19">
        <v>515</v>
      </c>
      <c r="H7" s="19">
        <v>25</v>
      </c>
      <c r="I7" s="19">
        <f t="shared" si="0"/>
        <v>490</v>
      </c>
      <c r="J7" s="18" t="s">
        <v>1793</v>
      </c>
      <c r="K7" s="18" t="s">
        <v>21</v>
      </c>
      <c r="L7" s="18" t="s">
        <v>1787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1797</v>
      </c>
      <c r="D8" s="18" t="s">
        <v>1798</v>
      </c>
      <c r="E8" s="18" t="s">
        <v>1799</v>
      </c>
      <c r="F8" s="18" t="s">
        <v>26</v>
      </c>
      <c r="G8" s="19">
        <v>900</v>
      </c>
      <c r="H8" s="19">
        <v>30</v>
      </c>
      <c r="I8" s="19">
        <f t="shared" si="0"/>
        <v>870</v>
      </c>
      <c r="J8" s="18" t="s">
        <v>1793</v>
      </c>
      <c r="K8" s="18" t="s">
        <v>21</v>
      </c>
      <c r="L8" s="18" t="s">
        <v>1787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1800</v>
      </c>
      <c r="D9" s="18" t="s">
        <v>1801</v>
      </c>
      <c r="E9" s="18" t="s">
        <v>1802</v>
      </c>
      <c r="F9" s="18" t="s">
        <v>113</v>
      </c>
      <c r="G9" s="19">
        <v>415</v>
      </c>
      <c r="H9" s="19">
        <v>35</v>
      </c>
      <c r="I9" s="19">
        <f t="shared" si="0"/>
        <v>380</v>
      </c>
      <c r="J9" s="18" t="s">
        <v>1793</v>
      </c>
      <c r="K9" s="18" t="s">
        <v>21</v>
      </c>
      <c r="L9" s="18" t="s">
        <v>1787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1803</v>
      </c>
      <c r="D10" s="18" t="s">
        <v>1804</v>
      </c>
      <c r="E10" s="18" t="s">
        <v>1805</v>
      </c>
      <c r="F10" s="18" t="s">
        <v>26</v>
      </c>
      <c r="G10" s="19">
        <v>0</v>
      </c>
      <c r="H10" s="19">
        <v>30</v>
      </c>
      <c r="I10" s="19">
        <f t="shared" si="0"/>
        <v>-30</v>
      </c>
      <c r="J10" s="18" t="s">
        <v>1793</v>
      </c>
      <c r="K10" s="18" t="s">
        <v>21</v>
      </c>
      <c r="L10" s="18" t="s">
        <v>1787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1806</v>
      </c>
      <c r="D11" s="18" t="s">
        <v>1807</v>
      </c>
      <c r="E11" s="18" t="s">
        <v>1808</v>
      </c>
      <c r="F11" s="19">
        <v>12</v>
      </c>
      <c r="G11" s="19">
        <v>30</v>
      </c>
      <c r="H11" s="19">
        <v>30</v>
      </c>
      <c r="I11" s="19">
        <f t="shared" si="0"/>
        <v>0</v>
      </c>
      <c r="J11" s="18" t="s">
        <v>1793</v>
      </c>
      <c r="K11" s="18" t="s">
        <v>21</v>
      </c>
      <c r="L11" s="18" t="s">
        <v>1787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1809</v>
      </c>
      <c r="D12" s="18" t="s">
        <v>1810</v>
      </c>
      <c r="E12" s="18" t="s">
        <v>1811</v>
      </c>
      <c r="F12" s="19">
        <v>8</v>
      </c>
      <c r="G12" s="19">
        <v>690</v>
      </c>
      <c r="H12" s="19">
        <v>30</v>
      </c>
      <c r="I12" s="19">
        <f t="shared" si="0"/>
        <v>660</v>
      </c>
      <c r="J12" s="18" t="s">
        <v>1793</v>
      </c>
      <c r="K12" s="18" t="s">
        <v>21</v>
      </c>
      <c r="L12" s="18" t="s">
        <v>1787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1812</v>
      </c>
      <c r="D13" s="18" t="s">
        <v>1813</v>
      </c>
      <c r="E13" s="18" t="s">
        <v>1814</v>
      </c>
      <c r="F13" s="19">
        <v>7</v>
      </c>
      <c r="G13" s="19">
        <v>820</v>
      </c>
      <c r="H13" s="19">
        <v>30</v>
      </c>
      <c r="I13" s="19">
        <f t="shared" si="0"/>
        <v>790</v>
      </c>
      <c r="J13" s="18" t="s">
        <v>1793</v>
      </c>
      <c r="K13" s="18" t="s">
        <v>21</v>
      </c>
      <c r="L13" s="18" t="s">
        <v>1787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1815</v>
      </c>
      <c r="D14" s="18" t="s">
        <v>1816</v>
      </c>
      <c r="E14" s="18" t="s">
        <v>1817</v>
      </c>
      <c r="F14" s="19">
        <v>12</v>
      </c>
      <c r="G14" s="19">
        <v>560</v>
      </c>
      <c r="H14" s="19">
        <v>30</v>
      </c>
      <c r="I14" s="19">
        <f t="shared" si="0"/>
        <v>530</v>
      </c>
      <c r="J14" s="18" t="s">
        <v>1793</v>
      </c>
      <c r="K14" s="18" t="s">
        <v>21</v>
      </c>
      <c r="L14" s="18" t="s">
        <v>1787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1818</v>
      </c>
      <c r="D15" s="18" t="s">
        <v>1819</v>
      </c>
      <c r="E15" s="18" t="s">
        <v>1820</v>
      </c>
      <c r="F15" s="19">
        <v>7</v>
      </c>
      <c r="G15" s="19">
        <v>1610</v>
      </c>
      <c r="H15" s="19">
        <v>30</v>
      </c>
      <c r="I15" s="19">
        <f t="shared" si="0"/>
        <v>1580</v>
      </c>
      <c r="J15" s="18" t="s">
        <v>1793</v>
      </c>
      <c r="K15" s="18" t="s">
        <v>21</v>
      </c>
      <c r="L15" s="18" t="s">
        <v>1787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1821</v>
      </c>
      <c r="D16" s="18" t="s">
        <v>1822</v>
      </c>
      <c r="E16" s="18" t="s">
        <v>1823</v>
      </c>
      <c r="F16" s="18" t="s">
        <v>26</v>
      </c>
      <c r="G16" s="19">
        <v>555</v>
      </c>
      <c r="H16" s="19">
        <v>25</v>
      </c>
      <c r="I16" s="19">
        <f t="shared" si="0"/>
        <v>530</v>
      </c>
      <c r="J16" s="18" t="s">
        <v>1793</v>
      </c>
      <c r="K16" s="18" t="s">
        <v>21</v>
      </c>
      <c r="L16" s="18" t="s">
        <v>1787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1824</v>
      </c>
      <c r="D17" s="18" t="s">
        <v>1825</v>
      </c>
      <c r="E17" s="18" t="s">
        <v>1826</v>
      </c>
      <c r="F17" s="18" t="s">
        <v>217</v>
      </c>
      <c r="G17" s="19">
        <v>845</v>
      </c>
      <c r="H17" s="19">
        <v>25</v>
      </c>
      <c r="I17" s="19">
        <f t="shared" si="0"/>
        <v>820</v>
      </c>
      <c r="J17" s="18" t="s">
        <v>1793</v>
      </c>
      <c r="K17" s="18" t="s">
        <v>21</v>
      </c>
      <c r="L17" s="18" t="s">
        <v>1787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221</v>
      </c>
      <c r="D18" s="18" t="s">
        <v>1827</v>
      </c>
      <c r="E18" s="18" t="s">
        <v>223</v>
      </c>
      <c r="F18" s="19">
        <v>8</v>
      </c>
      <c r="G18" s="19">
        <v>2000</v>
      </c>
      <c r="H18" s="19">
        <v>30</v>
      </c>
      <c r="I18" s="19">
        <f t="shared" si="0"/>
        <v>1970</v>
      </c>
      <c r="J18" s="18" t="s">
        <v>1793</v>
      </c>
      <c r="K18" s="18" t="s">
        <v>21</v>
      </c>
      <c r="L18" s="18" t="s">
        <v>1787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1828</v>
      </c>
      <c r="D19" s="18" t="s">
        <v>1829</v>
      </c>
      <c r="E19" s="18" t="s">
        <v>1830</v>
      </c>
      <c r="F19" s="18" t="s">
        <v>128</v>
      </c>
      <c r="G19" s="19">
        <v>35</v>
      </c>
      <c r="H19" s="19">
        <v>35</v>
      </c>
      <c r="I19" s="19">
        <f t="shared" si="0"/>
        <v>0</v>
      </c>
      <c r="J19" s="18" t="s">
        <v>1793</v>
      </c>
      <c r="K19" s="18" t="s">
        <v>21</v>
      </c>
      <c r="L19" s="18" t="s">
        <v>1787</v>
      </c>
      <c r="M19" s="18" t="s">
        <v>49</v>
      </c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1831</v>
      </c>
      <c r="D20" s="18" t="s">
        <v>1832</v>
      </c>
      <c r="E20" s="18" t="s">
        <v>1833</v>
      </c>
      <c r="F20" s="19">
        <v>11</v>
      </c>
      <c r="G20" s="19">
        <v>955</v>
      </c>
      <c r="H20" s="19">
        <v>25</v>
      </c>
      <c r="I20" s="19">
        <f t="shared" si="0"/>
        <v>930</v>
      </c>
      <c r="J20" s="18" t="s">
        <v>1793</v>
      </c>
      <c r="K20" s="18" t="s">
        <v>21</v>
      </c>
      <c r="L20" s="18" t="s">
        <v>1787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1834</v>
      </c>
      <c r="D21" s="18" t="s">
        <v>1835</v>
      </c>
      <c r="E21" s="18" t="s">
        <v>1836</v>
      </c>
      <c r="F21" s="19">
        <v>7</v>
      </c>
      <c r="G21" s="19">
        <v>800</v>
      </c>
      <c r="H21" s="19">
        <v>30</v>
      </c>
      <c r="I21" s="19">
        <f t="shared" si="0"/>
        <v>770</v>
      </c>
      <c r="J21" s="18" t="s">
        <v>1793</v>
      </c>
      <c r="K21" s="18" t="s">
        <v>21</v>
      </c>
      <c r="L21" s="18" t="s">
        <v>1787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1837</v>
      </c>
      <c r="D22" s="18" t="s">
        <v>1838</v>
      </c>
      <c r="E22" s="18" t="s">
        <v>1839</v>
      </c>
      <c r="F22" s="18" t="s">
        <v>128</v>
      </c>
      <c r="G22" s="19">
        <v>695</v>
      </c>
      <c r="H22" s="19">
        <v>35</v>
      </c>
      <c r="I22" s="19">
        <f t="shared" si="0"/>
        <v>660</v>
      </c>
      <c r="J22" s="18" t="s">
        <v>1793</v>
      </c>
      <c r="K22" s="18" t="s">
        <v>21</v>
      </c>
      <c r="L22" s="18" t="s">
        <v>1787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1840</v>
      </c>
      <c r="D23" s="18" t="s">
        <v>1841</v>
      </c>
      <c r="E23" s="18" t="s">
        <v>1842</v>
      </c>
      <c r="F23" s="18" t="s">
        <v>217</v>
      </c>
      <c r="G23" s="19">
        <v>955</v>
      </c>
      <c r="H23" s="19">
        <v>25</v>
      </c>
      <c r="I23" s="19">
        <f t="shared" si="0"/>
        <v>930</v>
      </c>
      <c r="J23" s="18" t="s">
        <v>1793</v>
      </c>
      <c r="K23" s="18" t="s">
        <v>21</v>
      </c>
      <c r="L23" s="18" t="s">
        <v>1787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687</v>
      </c>
      <c r="D24" s="18" t="s">
        <v>1843</v>
      </c>
      <c r="E24" s="18" t="s">
        <v>1844</v>
      </c>
      <c r="F24" s="18" t="s">
        <v>26</v>
      </c>
      <c r="G24" s="19">
        <v>1450</v>
      </c>
      <c r="H24" s="19">
        <v>30</v>
      </c>
      <c r="I24" s="19">
        <f t="shared" si="0"/>
        <v>1420</v>
      </c>
      <c r="J24" s="18" t="s">
        <v>1793</v>
      </c>
      <c r="K24" s="18" t="s">
        <v>21</v>
      </c>
      <c r="L24" s="18" t="s">
        <v>1787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1845</v>
      </c>
      <c r="D25" s="18" t="s">
        <v>1846</v>
      </c>
      <c r="E25" s="18" t="s">
        <v>1847</v>
      </c>
      <c r="F25" s="19">
        <v>6</v>
      </c>
      <c r="G25" s="19">
        <v>685</v>
      </c>
      <c r="H25" s="19">
        <v>25</v>
      </c>
      <c r="I25" s="19">
        <f t="shared" si="0"/>
        <v>660</v>
      </c>
      <c r="J25" s="18" t="s">
        <v>1793</v>
      </c>
      <c r="K25" s="18" t="s">
        <v>21</v>
      </c>
      <c r="L25" s="18" t="s">
        <v>1787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1848</v>
      </c>
      <c r="D26" s="18" t="s">
        <v>1849</v>
      </c>
      <c r="E26" s="18" t="s">
        <v>1850</v>
      </c>
      <c r="F26" s="18" t="s">
        <v>259</v>
      </c>
      <c r="G26" s="19">
        <v>0</v>
      </c>
      <c r="H26" s="19">
        <v>35</v>
      </c>
      <c r="I26" s="19">
        <f t="shared" si="0"/>
        <v>-35</v>
      </c>
      <c r="J26" s="18" t="s">
        <v>1793</v>
      </c>
      <c r="K26" s="18" t="s">
        <v>21</v>
      </c>
      <c r="L26" s="18" t="s">
        <v>1787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1851</v>
      </c>
      <c r="D27" s="18" t="s">
        <v>1852</v>
      </c>
      <c r="E27" s="18" t="s">
        <v>1853</v>
      </c>
      <c r="F27" s="18" t="s">
        <v>26</v>
      </c>
      <c r="G27" s="19">
        <v>900</v>
      </c>
      <c r="H27" s="19">
        <v>30</v>
      </c>
      <c r="I27" s="19">
        <f t="shared" si="0"/>
        <v>870</v>
      </c>
      <c r="J27" s="18" t="s">
        <v>1793</v>
      </c>
      <c r="K27" s="18" t="s">
        <v>21</v>
      </c>
      <c r="L27" s="18" t="s">
        <v>1787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346</v>
      </c>
      <c r="D28" s="18" t="s">
        <v>1854</v>
      </c>
      <c r="E28" s="18" t="s">
        <v>348</v>
      </c>
      <c r="F28" s="18" t="s">
        <v>26</v>
      </c>
      <c r="G28" s="19">
        <v>720</v>
      </c>
      <c r="H28" s="19">
        <v>30</v>
      </c>
      <c r="I28" s="19">
        <f t="shared" si="0"/>
        <v>690</v>
      </c>
      <c r="J28" s="18" t="s">
        <v>1793</v>
      </c>
      <c r="K28" s="18" t="s">
        <v>21</v>
      </c>
      <c r="L28" s="18" t="s">
        <v>1787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1330</v>
      </c>
      <c r="D29" s="18" t="s">
        <v>1855</v>
      </c>
      <c r="E29" s="18" t="s">
        <v>1332</v>
      </c>
      <c r="F29" s="18" t="s">
        <v>128</v>
      </c>
      <c r="G29" s="19">
        <v>895</v>
      </c>
      <c r="H29" s="19">
        <v>35</v>
      </c>
      <c r="I29" s="19">
        <f t="shared" si="0"/>
        <v>860</v>
      </c>
      <c r="J29" s="18" t="s">
        <v>1793</v>
      </c>
      <c r="K29" s="18" t="s">
        <v>21</v>
      </c>
      <c r="L29" s="18" t="s">
        <v>1787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701</v>
      </c>
      <c r="D30" s="18" t="s">
        <v>1856</v>
      </c>
      <c r="E30" s="18" t="s">
        <v>703</v>
      </c>
      <c r="F30" s="18" t="s">
        <v>217</v>
      </c>
      <c r="G30" s="19">
        <v>825</v>
      </c>
      <c r="H30" s="19">
        <v>25</v>
      </c>
      <c r="I30" s="19">
        <f t="shared" si="0"/>
        <v>800</v>
      </c>
      <c r="J30" s="18" t="s">
        <v>1793</v>
      </c>
      <c r="K30" s="18" t="s">
        <v>21</v>
      </c>
      <c r="L30" s="18" t="s">
        <v>1787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1857</v>
      </c>
      <c r="D31" s="18" t="s">
        <v>1858</v>
      </c>
      <c r="E31" s="18" t="s">
        <v>1859</v>
      </c>
      <c r="F31" s="19">
        <v>11</v>
      </c>
      <c r="G31" s="19">
        <v>2050</v>
      </c>
      <c r="H31" s="19">
        <v>25</v>
      </c>
      <c r="I31" s="19">
        <f t="shared" si="0"/>
        <v>2025</v>
      </c>
      <c r="J31" s="18" t="s">
        <v>1793</v>
      </c>
      <c r="K31" s="18" t="s">
        <v>21</v>
      </c>
      <c r="L31" s="18" t="s">
        <v>1787</v>
      </c>
      <c r="M31" s="25" t="s">
        <v>398</v>
      </c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1860</v>
      </c>
      <c r="D32" s="18" t="s">
        <v>1861</v>
      </c>
      <c r="E32" s="18" t="s">
        <v>1862</v>
      </c>
      <c r="F32" s="18" t="s">
        <v>26</v>
      </c>
      <c r="G32" s="19">
        <v>750</v>
      </c>
      <c r="H32" s="19">
        <v>30</v>
      </c>
      <c r="I32" s="19">
        <f t="shared" si="0"/>
        <v>720</v>
      </c>
      <c r="J32" s="18" t="s">
        <v>1793</v>
      </c>
      <c r="K32" s="18" t="s">
        <v>21</v>
      </c>
      <c r="L32" s="18" t="s">
        <v>1787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1863</v>
      </c>
      <c r="D33" s="18" t="s">
        <v>1864</v>
      </c>
      <c r="E33" s="18" t="s">
        <v>1865</v>
      </c>
      <c r="F33" s="19">
        <v>8</v>
      </c>
      <c r="G33" s="19">
        <v>0</v>
      </c>
      <c r="H33" s="19">
        <v>25</v>
      </c>
      <c r="I33" s="19">
        <f t="shared" si="0"/>
        <v>-25</v>
      </c>
      <c r="J33" s="18" t="s">
        <v>1793</v>
      </c>
      <c r="K33" s="18" t="s">
        <v>21</v>
      </c>
      <c r="L33" s="18" t="s">
        <v>1787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1866</v>
      </c>
      <c r="D34" s="18" t="s">
        <v>1867</v>
      </c>
      <c r="E34" s="18" t="s">
        <v>1868</v>
      </c>
      <c r="F34" s="18" t="s">
        <v>113</v>
      </c>
      <c r="G34" s="19">
        <v>965</v>
      </c>
      <c r="H34" s="19">
        <v>35</v>
      </c>
      <c r="I34" s="19">
        <f t="shared" si="0"/>
        <v>930</v>
      </c>
      <c r="J34" s="18" t="s">
        <v>1793</v>
      </c>
      <c r="K34" s="18" t="s">
        <v>21</v>
      </c>
      <c r="L34" s="18" t="s">
        <v>1787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1869</v>
      </c>
      <c r="D35" s="18" t="s">
        <v>1870</v>
      </c>
      <c r="E35" s="18" t="s">
        <v>1871</v>
      </c>
      <c r="F35" s="18" t="s">
        <v>113</v>
      </c>
      <c r="G35" s="19">
        <v>0</v>
      </c>
      <c r="H35" s="19">
        <v>35</v>
      </c>
      <c r="I35" s="19">
        <f t="shared" ref="I35:I66" si="1">G35-H35</f>
        <v>-35</v>
      </c>
      <c r="J35" s="18" t="s">
        <v>1793</v>
      </c>
      <c r="K35" s="18" t="s">
        <v>21</v>
      </c>
      <c r="L35" s="18" t="s">
        <v>1787</v>
      </c>
      <c r="M35" s="18" t="s">
        <v>49</v>
      </c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1171</v>
      </c>
      <c r="D36" s="18" t="s">
        <v>1872</v>
      </c>
      <c r="E36" s="18" t="s">
        <v>1873</v>
      </c>
      <c r="F36" s="19">
        <v>7</v>
      </c>
      <c r="G36" s="19">
        <v>690</v>
      </c>
      <c r="H36" s="19">
        <v>30</v>
      </c>
      <c r="I36" s="19">
        <f t="shared" si="1"/>
        <v>660</v>
      </c>
      <c r="J36" s="18" t="s">
        <v>1793</v>
      </c>
      <c r="K36" s="18" t="s">
        <v>21</v>
      </c>
      <c r="L36" s="18" t="s">
        <v>1787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1874</v>
      </c>
      <c r="D37" s="18" t="s">
        <v>1875</v>
      </c>
      <c r="E37" s="18" t="s">
        <v>1876</v>
      </c>
      <c r="F37" s="18" t="s">
        <v>128</v>
      </c>
      <c r="G37" s="19">
        <v>895</v>
      </c>
      <c r="H37" s="19">
        <v>35</v>
      </c>
      <c r="I37" s="19">
        <f t="shared" si="1"/>
        <v>860</v>
      </c>
      <c r="J37" s="18" t="s">
        <v>1793</v>
      </c>
      <c r="K37" s="18" t="s">
        <v>21</v>
      </c>
      <c r="L37" s="18" t="s">
        <v>1787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247</v>
      </c>
      <c r="D38" s="18" t="s">
        <v>1877</v>
      </c>
      <c r="E38" s="18" t="s">
        <v>918</v>
      </c>
      <c r="F38" s="18" t="s">
        <v>26</v>
      </c>
      <c r="G38" s="19">
        <v>1420</v>
      </c>
      <c r="H38" s="19">
        <v>30</v>
      </c>
      <c r="I38" s="19">
        <f t="shared" si="1"/>
        <v>1390</v>
      </c>
      <c r="J38" s="18" t="s">
        <v>1793</v>
      </c>
      <c r="K38" s="18" t="s">
        <v>21</v>
      </c>
      <c r="L38" s="18" t="s">
        <v>1787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1878</v>
      </c>
      <c r="D39" s="18" t="s">
        <v>1879</v>
      </c>
      <c r="E39" s="18" t="s">
        <v>1880</v>
      </c>
      <c r="F39" s="19">
        <v>8</v>
      </c>
      <c r="G39" s="19">
        <v>890</v>
      </c>
      <c r="H39" s="19">
        <v>30</v>
      </c>
      <c r="I39" s="19">
        <f t="shared" si="1"/>
        <v>860</v>
      </c>
      <c r="J39" s="18" t="s">
        <v>1793</v>
      </c>
      <c r="K39" s="18" t="s">
        <v>21</v>
      </c>
      <c r="L39" s="18" t="s">
        <v>1787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1881</v>
      </c>
      <c r="D40" s="18" t="s">
        <v>1882</v>
      </c>
      <c r="E40" s="18" t="s">
        <v>1883</v>
      </c>
      <c r="F40" s="19">
        <v>8</v>
      </c>
      <c r="G40" s="19">
        <v>0</v>
      </c>
      <c r="H40" s="19">
        <v>25</v>
      </c>
      <c r="I40" s="19">
        <f t="shared" si="1"/>
        <v>-25</v>
      </c>
      <c r="J40" s="18" t="s">
        <v>1793</v>
      </c>
      <c r="K40" s="18" t="s">
        <v>21</v>
      </c>
      <c r="L40" s="18" t="s">
        <v>1787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1884</v>
      </c>
      <c r="D41" s="18" t="s">
        <v>1885</v>
      </c>
      <c r="E41" s="18" t="s">
        <v>1886</v>
      </c>
      <c r="F41" s="18" t="s">
        <v>88</v>
      </c>
      <c r="G41" s="19">
        <v>0</v>
      </c>
      <c r="H41" s="19">
        <v>25</v>
      </c>
      <c r="I41" s="19">
        <f t="shared" si="1"/>
        <v>-25</v>
      </c>
      <c r="J41" s="18" t="s">
        <v>1793</v>
      </c>
      <c r="K41" s="18" t="s">
        <v>21</v>
      </c>
      <c r="L41" s="18" t="s">
        <v>1787</v>
      </c>
      <c r="M41" s="18"/>
      <c r="N41" s="18"/>
      <c r="O41" s="18"/>
      <c r="P41" s="18"/>
      <c r="Q41" s="18">
        <v>1</v>
      </c>
    </row>
    <row r="42" spans="1:17" x14ac:dyDescent="0.25">
      <c r="A42" s="18" t="s">
        <v>62</v>
      </c>
      <c r="B42" s="18" t="s">
        <v>16</v>
      </c>
      <c r="C42" s="18" t="s">
        <v>63</v>
      </c>
      <c r="D42" s="18"/>
      <c r="E42" s="18" t="s">
        <v>64</v>
      </c>
      <c r="F42" s="19">
        <v>6</v>
      </c>
      <c r="G42" s="19">
        <v>0</v>
      </c>
      <c r="H42" s="19">
        <v>30</v>
      </c>
      <c r="I42" s="19">
        <f t="shared" si="1"/>
        <v>-30</v>
      </c>
      <c r="J42" s="18" t="s">
        <v>1793</v>
      </c>
      <c r="K42" s="18" t="s">
        <v>21</v>
      </c>
      <c r="L42" s="18" t="s">
        <v>1787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1887</v>
      </c>
      <c r="D43" s="18" t="s">
        <v>1888</v>
      </c>
      <c r="E43" s="18" t="s">
        <v>1889</v>
      </c>
      <c r="F43" s="18" t="s">
        <v>153</v>
      </c>
      <c r="G43" s="19">
        <v>520</v>
      </c>
      <c r="H43" s="19">
        <v>30</v>
      </c>
      <c r="I43" s="19">
        <f t="shared" si="1"/>
        <v>490</v>
      </c>
      <c r="J43" s="18" t="s">
        <v>21</v>
      </c>
      <c r="K43" s="18" t="s">
        <v>21</v>
      </c>
      <c r="L43" s="18" t="s">
        <v>1787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1890</v>
      </c>
      <c r="D44" s="18" t="s">
        <v>1891</v>
      </c>
      <c r="E44" s="18" t="s">
        <v>1892</v>
      </c>
      <c r="F44" s="18" t="s">
        <v>68</v>
      </c>
      <c r="G44" s="19">
        <v>550</v>
      </c>
      <c r="H44" s="19">
        <v>20</v>
      </c>
      <c r="I44" s="19">
        <f t="shared" si="1"/>
        <v>530</v>
      </c>
      <c r="J44" s="18" t="s">
        <v>21</v>
      </c>
      <c r="K44" s="18" t="s">
        <v>21</v>
      </c>
      <c r="L44" s="18" t="s">
        <v>1787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1893</v>
      </c>
      <c r="D45" s="18" t="s">
        <v>1894</v>
      </c>
      <c r="E45" s="18" t="s">
        <v>1895</v>
      </c>
      <c r="F45" s="18" t="s">
        <v>72</v>
      </c>
      <c r="G45" s="19">
        <v>1085</v>
      </c>
      <c r="H45" s="19">
        <v>25</v>
      </c>
      <c r="I45" s="19">
        <f t="shared" si="1"/>
        <v>1060</v>
      </c>
      <c r="J45" s="18" t="s">
        <v>21</v>
      </c>
      <c r="K45" s="18" t="s">
        <v>21</v>
      </c>
      <c r="L45" s="18" t="s">
        <v>1787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136</v>
      </c>
      <c r="D46" s="18" t="s">
        <v>1896</v>
      </c>
      <c r="E46" s="18" t="s">
        <v>138</v>
      </c>
      <c r="F46" s="18" t="s">
        <v>68</v>
      </c>
      <c r="G46" s="19">
        <v>0</v>
      </c>
      <c r="H46" s="19">
        <v>20</v>
      </c>
      <c r="I46" s="19">
        <f t="shared" si="1"/>
        <v>-20</v>
      </c>
      <c r="J46" s="18" t="s">
        <v>21</v>
      </c>
      <c r="K46" s="18" t="s">
        <v>21</v>
      </c>
      <c r="L46" s="18" t="s">
        <v>1787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1897</v>
      </c>
      <c r="D47" s="18" t="s">
        <v>1898</v>
      </c>
      <c r="E47" s="18" t="s">
        <v>1752</v>
      </c>
      <c r="F47" s="19">
        <v>12</v>
      </c>
      <c r="G47" s="19">
        <v>0</v>
      </c>
      <c r="H47" s="19">
        <v>30</v>
      </c>
      <c r="I47" s="19">
        <f t="shared" si="1"/>
        <v>-30</v>
      </c>
      <c r="J47" s="18" t="s">
        <v>21</v>
      </c>
      <c r="K47" s="18" t="s">
        <v>21</v>
      </c>
      <c r="L47" s="18" t="s">
        <v>1787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1574</v>
      </c>
      <c r="D48" s="18" t="s">
        <v>1899</v>
      </c>
      <c r="E48" s="18" t="s">
        <v>1900</v>
      </c>
      <c r="F48" s="19">
        <v>2</v>
      </c>
      <c r="G48" s="19">
        <v>100</v>
      </c>
      <c r="H48" s="19">
        <v>30</v>
      </c>
      <c r="I48" s="19">
        <f t="shared" si="1"/>
        <v>70</v>
      </c>
      <c r="J48" s="18" t="s">
        <v>21</v>
      </c>
      <c r="K48" s="18" t="s">
        <v>21</v>
      </c>
      <c r="L48" s="18" t="s">
        <v>1787</v>
      </c>
      <c r="M48" s="18" t="s">
        <v>49</v>
      </c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1901</v>
      </c>
      <c r="D49" s="18" t="s">
        <v>1902</v>
      </c>
      <c r="E49" s="18" t="s">
        <v>1903</v>
      </c>
      <c r="F49" s="18" t="s">
        <v>68</v>
      </c>
      <c r="G49" s="19">
        <v>1270</v>
      </c>
      <c r="H49" s="19">
        <v>20</v>
      </c>
      <c r="I49" s="19">
        <f t="shared" si="1"/>
        <v>1250</v>
      </c>
      <c r="J49" s="18" t="s">
        <v>21</v>
      </c>
      <c r="K49" s="18" t="s">
        <v>21</v>
      </c>
      <c r="L49" s="18" t="s">
        <v>1787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1904</v>
      </c>
      <c r="D50" s="18" t="s">
        <v>1905</v>
      </c>
      <c r="E50" s="18" t="s">
        <v>1906</v>
      </c>
      <c r="F50" s="18" t="s">
        <v>68</v>
      </c>
      <c r="G50" s="19">
        <v>0</v>
      </c>
      <c r="H50" s="19">
        <v>20</v>
      </c>
      <c r="I50" s="19">
        <f t="shared" si="1"/>
        <v>-20</v>
      </c>
      <c r="J50" s="18" t="s">
        <v>21</v>
      </c>
      <c r="K50" s="18" t="s">
        <v>21</v>
      </c>
      <c r="L50" s="18" t="s">
        <v>1787</v>
      </c>
      <c r="M50" s="25" t="s">
        <v>312</v>
      </c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1904</v>
      </c>
      <c r="D51" s="18" t="s">
        <v>1907</v>
      </c>
      <c r="E51" s="18" t="s">
        <v>1906</v>
      </c>
      <c r="F51" s="18" t="s">
        <v>68</v>
      </c>
      <c r="G51" s="19">
        <v>0</v>
      </c>
      <c r="H51" s="19">
        <v>0</v>
      </c>
      <c r="I51" s="19">
        <f t="shared" si="1"/>
        <v>0</v>
      </c>
      <c r="J51" s="18" t="s">
        <v>21</v>
      </c>
      <c r="K51" s="18" t="s">
        <v>21</v>
      </c>
      <c r="L51" s="18" t="s">
        <v>1787</v>
      </c>
      <c r="M51" s="25" t="s">
        <v>312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1908</v>
      </c>
      <c r="D52" s="18" t="s">
        <v>1909</v>
      </c>
      <c r="E52" s="18" t="s">
        <v>1910</v>
      </c>
      <c r="F52" s="18" t="s">
        <v>72</v>
      </c>
      <c r="G52" s="19">
        <v>895</v>
      </c>
      <c r="H52" s="19">
        <v>25</v>
      </c>
      <c r="I52" s="19">
        <f t="shared" si="1"/>
        <v>870</v>
      </c>
      <c r="J52" s="18" t="s">
        <v>21</v>
      </c>
      <c r="K52" s="18" t="s">
        <v>21</v>
      </c>
      <c r="L52" s="18" t="s">
        <v>1787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1911</v>
      </c>
      <c r="D53" s="18" t="s">
        <v>1912</v>
      </c>
      <c r="E53" s="18" t="s">
        <v>1913</v>
      </c>
      <c r="F53" s="18" t="s">
        <v>72</v>
      </c>
      <c r="G53" s="19">
        <v>0</v>
      </c>
      <c r="H53" s="19">
        <v>25</v>
      </c>
      <c r="I53" s="19">
        <f t="shared" si="1"/>
        <v>-25</v>
      </c>
      <c r="J53" s="18" t="s">
        <v>21</v>
      </c>
      <c r="K53" s="18" t="s">
        <v>21</v>
      </c>
      <c r="L53" s="18" t="s">
        <v>1787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1914</v>
      </c>
      <c r="D54" s="18" t="s">
        <v>1915</v>
      </c>
      <c r="E54" s="18" t="s">
        <v>1916</v>
      </c>
      <c r="F54" s="19">
        <v>2</v>
      </c>
      <c r="G54" s="19">
        <v>690</v>
      </c>
      <c r="H54" s="19">
        <v>30</v>
      </c>
      <c r="I54" s="19">
        <f t="shared" si="1"/>
        <v>660</v>
      </c>
      <c r="J54" s="18" t="s">
        <v>21</v>
      </c>
      <c r="K54" s="18" t="s">
        <v>21</v>
      </c>
      <c r="L54" s="18" t="s">
        <v>1787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36" t="s">
        <v>1917</v>
      </c>
      <c r="D55" s="18" t="s">
        <v>1918</v>
      </c>
      <c r="E55" s="18" t="s">
        <v>1919</v>
      </c>
      <c r="F55" s="19">
        <v>2</v>
      </c>
      <c r="G55" s="19">
        <v>1560</v>
      </c>
      <c r="H55" s="19">
        <v>30</v>
      </c>
      <c r="I55" s="19">
        <f t="shared" si="1"/>
        <v>1530</v>
      </c>
      <c r="J55" s="18" t="s">
        <v>21</v>
      </c>
      <c r="K55" s="18" t="s">
        <v>21</v>
      </c>
      <c r="L55" s="18" t="s">
        <v>1787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1920</v>
      </c>
      <c r="D56" s="18" t="s">
        <v>1921</v>
      </c>
      <c r="E56" s="18" t="s">
        <v>1922</v>
      </c>
      <c r="F56" s="18" t="s">
        <v>88</v>
      </c>
      <c r="G56" s="19">
        <v>685</v>
      </c>
      <c r="H56" s="19">
        <v>25</v>
      </c>
      <c r="I56" s="19">
        <f t="shared" si="1"/>
        <v>660</v>
      </c>
      <c r="J56" s="18" t="s">
        <v>21</v>
      </c>
      <c r="K56" s="18" t="s">
        <v>21</v>
      </c>
      <c r="L56" s="18" t="s">
        <v>1787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1923</v>
      </c>
      <c r="D57" s="18" t="s">
        <v>1924</v>
      </c>
      <c r="E57" s="18" t="s">
        <v>1925</v>
      </c>
      <c r="F57" s="19">
        <v>2</v>
      </c>
      <c r="G57" s="19">
        <v>1090</v>
      </c>
      <c r="H57" s="19">
        <v>30</v>
      </c>
      <c r="I57" s="19">
        <f t="shared" si="1"/>
        <v>1060</v>
      </c>
      <c r="J57" s="18" t="s">
        <v>21</v>
      </c>
      <c r="K57" s="18" t="s">
        <v>21</v>
      </c>
      <c r="L57" s="18" t="s">
        <v>1787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1926</v>
      </c>
      <c r="D58" s="18" t="s">
        <v>1927</v>
      </c>
      <c r="E58" s="18" t="s">
        <v>1928</v>
      </c>
      <c r="F58" s="18" t="s">
        <v>72</v>
      </c>
      <c r="G58" s="19">
        <v>725</v>
      </c>
      <c r="H58" s="19">
        <v>25</v>
      </c>
      <c r="I58" s="19">
        <f t="shared" si="1"/>
        <v>700</v>
      </c>
      <c r="J58" s="18" t="s">
        <v>21</v>
      </c>
      <c r="K58" s="18" t="s">
        <v>21</v>
      </c>
      <c r="L58" s="18" t="s">
        <v>1787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1514</v>
      </c>
      <c r="D59" s="18" t="s">
        <v>1929</v>
      </c>
      <c r="E59" s="18" t="s">
        <v>1930</v>
      </c>
      <c r="F59" s="19">
        <v>2</v>
      </c>
      <c r="G59" s="19">
        <v>2190</v>
      </c>
      <c r="H59" s="19">
        <v>35</v>
      </c>
      <c r="I59" s="19">
        <f t="shared" si="1"/>
        <v>2155</v>
      </c>
      <c r="J59" s="18" t="s">
        <v>21</v>
      </c>
      <c r="K59" s="18" t="s">
        <v>21</v>
      </c>
      <c r="L59" s="18" t="s">
        <v>1787</v>
      </c>
      <c r="M59" s="25" t="s">
        <v>398</v>
      </c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1931</v>
      </c>
      <c r="D60" s="18" t="s">
        <v>1932</v>
      </c>
      <c r="E60" s="18" t="s">
        <v>1933</v>
      </c>
      <c r="F60" s="18" t="s">
        <v>68</v>
      </c>
      <c r="G60" s="19">
        <v>2770</v>
      </c>
      <c r="H60" s="19">
        <v>25</v>
      </c>
      <c r="I60" s="19">
        <f t="shared" si="1"/>
        <v>2745</v>
      </c>
      <c r="J60" s="18" t="s">
        <v>21</v>
      </c>
      <c r="K60" s="18" t="s">
        <v>21</v>
      </c>
      <c r="L60" s="18" t="s">
        <v>1787</v>
      </c>
      <c r="M60" s="25" t="s">
        <v>398</v>
      </c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1934</v>
      </c>
      <c r="D61" s="18" t="s">
        <v>1935</v>
      </c>
      <c r="E61" s="18" t="s">
        <v>1936</v>
      </c>
      <c r="F61" s="18" t="s">
        <v>153</v>
      </c>
      <c r="G61" s="19">
        <v>820</v>
      </c>
      <c r="H61" s="19">
        <v>30</v>
      </c>
      <c r="I61" s="19">
        <f t="shared" si="1"/>
        <v>790</v>
      </c>
      <c r="J61" s="18" t="s">
        <v>21</v>
      </c>
      <c r="K61" s="18" t="s">
        <v>21</v>
      </c>
      <c r="L61" s="18" t="s">
        <v>1787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1937</v>
      </c>
      <c r="D62" s="18" t="s">
        <v>1938</v>
      </c>
      <c r="E62" s="18" t="s">
        <v>1939</v>
      </c>
      <c r="F62" s="19">
        <v>2</v>
      </c>
      <c r="G62" s="19">
        <v>720</v>
      </c>
      <c r="H62" s="19">
        <v>30</v>
      </c>
      <c r="I62" s="19">
        <f t="shared" si="1"/>
        <v>690</v>
      </c>
      <c r="J62" s="18" t="s">
        <v>21</v>
      </c>
      <c r="K62" s="18" t="s">
        <v>21</v>
      </c>
      <c r="L62" s="18" t="s">
        <v>1787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829</v>
      </c>
      <c r="D63" s="18" t="s">
        <v>1940</v>
      </c>
      <c r="E63" s="18" t="s">
        <v>831</v>
      </c>
      <c r="F63" s="19">
        <v>2</v>
      </c>
      <c r="G63" s="19">
        <v>0</v>
      </c>
      <c r="H63" s="19">
        <v>30</v>
      </c>
      <c r="I63" s="19">
        <f t="shared" si="1"/>
        <v>-30</v>
      </c>
      <c r="J63" s="18" t="s">
        <v>21</v>
      </c>
      <c r="K63" s="18" t="s">
        <v>21</v>
      </c>
      <c r="L63" s="18" t="s">
        <v>1787</v>
      </c>
      <c r="M63" s="18"/>
      <c r="N63" s="18"/>
      <c r="O63" s="18"/>
      <c r="P63" s="18"/>
      <c r="Q63" s="18">
        <v>1</v>
      </c>
    </row>
    <row r="64" spans="1:17" x14ac:dyDescent="0.25">
      <c r="A64" s="18"/>
      <c r="B64" s="18" t="s">
        <v>16</v>
      </c>
      <c r="C64" s="18" t="s">
        <v>1750</v>
      </c>
      <c r="D64" s="18" t="s">
        <v>1941</v>
      </c>
      <c r="E64" s="18" t="s">
        <v>1752</v>
      </c>
      <c r="F64" s="19">
        <v>12</v>
      </c>
      <c r="G64" s="19">
        <v>0</v>
      </c>
      <c r="H64" s="19">
        <v>30</v>
      </c>
      <c r="I64" s="19">
        <f t="shared" si="1"/>
        <v>-30</v>
      </c>
      <c r="J64" s="18" t="s">
        <v>21</v>
      </c>
      <c r="K64" s="18" t="s">
        <v>21</v>
      </c>
      <c r="L64" s="18" t="s">
        <v>1787</v>
      </c>
      <c r="M64" s="18"/>
      <c r="N64" s="18"/>
      <c r="O64" s="18"/>
      <c r="P64" s="18"/>
      <c r="Q64" s="18">
        <v>1</v>
      </c>
    </row>
    <row r="65" spans="1:17" x14ac:dyDescent="0.25">
      <c r="A65" s="18"/>
      <c r="B65" s="18" t="s">
        <v>16</v>
      </c>
      <c r="C65" s="18" t="s">
        <v>1942</v>
      </c>
      <c r="D65" s="18" t="s">
        <v>1943</v>
      </c>
      <c r="E65" s="18" t="s">
        <v>1944</v>
      </c>
      <c r="F65" s="18" t="s">
        <v>72</v>
      </c>
      <c r="G65" s="19">
        <v>1305</v>
      </c>
      <c r="H65" s="19">
        <v>25</v>
      </c>
      <c r="I65" s="19">
        <f t="shared" si="1"/>
        <v>1280</v>
      </c>
      <c r="J65" s="18" t="s">
        <v>21</v>
      </c>
      <c r="K65" s="18" t="s">
        <v>21</v>
      </c>
      <c r="L65" s="18" t="s">
        <v>1787</v>
      </c>
      <c r="M65" s="18"/>
      <c r="N65" s="18"/>
      <c r="O65" s="18"/>
      <c r="P65" s="18"/>
      <c r="Q65" s="18">
        <v>1</v>
      </c>
    </row>
    <row r="66" spans="1:17" x14ac:dyDescent="0.25">
      <c r="A66" s="18"/>
      <c r="B66" s="18" t="s">
        <v>16</v>
      </c>
      <c r="C66" s="18" t="s">
        <v>1945</v>
      </c>
      <c r="D66" s="18" t="s">
        <v>1946</v>
      </c>
      <c r="E66" s="18" t="s">
        <v>1947</v>
      </c>
      <c r="F66" s="19">
        <v>2</v>
      </c>
      <c r="G66" s="19">
        <v>960</v>
      </c>
      <c r="H66" s="19">
        <v>30</v>
      </c>
      <c r="I66" s="19">
        <f t="shared" si="1"/>
        <v>930</v>
      </c>
      <c r="J66" s="18" t="s">
        <v>21</v>
      </c>
      <c r="K66" s="18" t="s">
        <v>21</v>
      </c>
      <c r="L66" s="18" t="s">
        <v>1787</v>
      </c>
      <c r="M66" s="18"/>
      <c r="N66" s="18"/>
      <c r="O66" s="18"/>
      <c r="P66" s="18"/>
      <c r="Q66" s="18">
        <v>1</v>
      </c>
    </row>
    <row r="67" spans="1:17" x14ac:dyDescent="0.25">
      <c r="A67" s="18"/>
      <c r="B67" s="18" t="s">
        <v>16</v>
      </c>
      <c r="C67" s="18" t="s">
        <v>1948</v>
      </c>
      <c r="D67" s="18" t="s">
        <v>1949</v>
      </c>
      <c r="E67" s="18" t="s">
        <v>1950</v>
      </c>
      <c r="F67" s="18" t="s">
        <v>68</v>
      </c>
      <c r="G67" s="19">
        <v>550</v>
      </c>
      <c r="H67" s="19">
        <v>20</v>
      </c>
      <c r="I67" s="19">
        <f t="shared" ref="I67:I97" si="2">G67-H67</f>
        <v>530</v>
      </c>
      <c r="J67" s="18" t="s">
        <v>21</v>
      </c>
      <c r="K67" s="18" t="s">
        <v>21</v>
      </c>
      <c r="L67" s="18" t="s">
        <v>1787</v>
      </c>
      <c r="M67" s="18"/>
      <c r="N67" s="18"/>
      <c r="O67" s="18"/>
      <c r="P67" s="18"/>
      <c r="Q67" s="18">
        <v>1</v>
      </c>
    </row>
    <row r="68" spans="1:17" x14ac:dyDescent="0.25">
      <c r="A68" s="18"/>
      <c r="B68" s="18" t="s">
        <v>16</v>
      </c>
      <c r="C68" s="18" t="s">
        <v>1951</v>
      </c>
      <c r="D68" s="18" t="s">
        <v>1952</v>
      </c>
      <c r="E68" s="18" t="s">
        <v>1953</v>
      </c>
      <c r="F68" s="18" t="s">
        <v>68</v>
      </c>
      <c r="G68" s="19">
        <v>0</v>
      </c>
      <c r="H68" s="19">
        <v>20</v>
      </c>
      <c r="I68" s="19">
        <f t="shared" si="2"/>
        <v>-20</v>
      </c>
      <c r="J68" s="18" t="s">
        <v>21</v>
      </c>
      <c r="K68" s="18" t="s">
        <v>21</v>
      </c>
      <c r="L68" s="18" t="s">
        <v>1787</v>
      </c>
      <c r="M68" s="18"/>
      <c r="N68" s="18"/>
      <c r="O68" s="18"/>
      <c r="P68" s="18"/>
      <c r="Q68" s="18">
        <v>1</v>
      </c>
    </row>
    <row r="69" spans="1:17" x14ac:dyDescent="0.25">
      <c r="A69" s="18"/>
      <c r="B69" s="18" t="s">
        <v>16</v>
      </c>
      <c r="C69" s="18" t="s">
        <v>1954</v>
      </c>
      <c r="D69" s="18" t="s">
        <v>1955</v>
      </c>
      <c r="E69" s="18" t="s">
        <v>1956</v>
      </c>
      <c r="F69" s="18" t="s">
        <v>68</v>
      </c>
      <c r="G69" s="19">
        <v>890</v>
      </c>
      <c r="H69" s="19">
        <v>20</v>
      </c>
      <c r="I69" s="19">
        <f t="shared" si="2"/>
        <v>870</v>
      </c>
      <c r="J69" s="18" t="s">
        <v>21</v>
      </c>
      <c r="K69" s="18" t="s">
        <v>21</v>
      </c>
      <c r="L69" s="18" t="s">
        <v>1787</v>
      </c>
      <c r="M69" s="18"/>
      <c r="N69" s="18"/>
      <c r="O69" s="18"/>
      <c r="P69" s="18"/>
      <c r="Q69" s="18">
        <v>1</v>
      </c>
    </row>
    <row r="70" spans="1:17" x14ac:dyDescent="0.25">
      <c r="A70" s="18" t="s">
        <v>62</v>
      </c>
      <c r="B70" s="18" t="s">
        <v>16</v>
      </c>
      <c r="C70" s="18" t="s">
        <v>1957</v>
      </c>
      <c r="D70" s="18"/>
      <c r="E70" s="18" t="s">
        <v>1958</v>
      </c>
      <c r="F70" s="18" t="s">
        <v>68</v>
      </c>
      <c r="G70" s="19">
        <v>275</v>
      </c>
      <c r="H70" s="19">
        <v>25</v>
      </c>
      <c r="I70" s="19">
        <f t="shared" si="2"/>
        <v>250</v>
      </c>
      <c r="J70" s="18" t="s">
        <v>21</v>
      </c>
      <c r="K70" s="18" t="s">
        <v>21</v>
      </c>
      <c r="L70" s="18" t="s">
        <v>1787</v>
      </c>
      <c r="M70" s="18"/>
      <c r="N70" s="18"/>
      <c r="O70" s="18"/>
      <c r="P70" s="18"/>
      <c r="Q70" s="18">
        <v>1</v>
      </c>
    </row>
    <row r="71" spans="1:17" x14ac:dyDescent="0.25">
      <c r="A71" s="18" t="s">
        <v>62</v>
      </c>
      <c r="B71" s="18" t="s">
        <v>16</v>
      </c>
      <c r="C71" s="18" t="s">
        <v>1959</v>
      </c>
      <c r="D71" s="18"/>
      <c r="E71" s="18" t="s">
        <v>264</v>
      </c>
      <c r="F71" s="19">
        <v>12</v>
      </c>
      <c r="G71" s="19">
        <v>0</v>
      </c>
      <c r="H71" s="19">
        <v>35</v>
      </c>
      <c r="I71" s="19">
        <f t="shared" si="2"/>
        <v>-35</v>
      </c>
      <c r="J71" s="18" t="s">
        <v>21</v>
      </c>
      <c r="K71" s="18" t="s">
        <v>21</v>
      </c>
      <c r="L71" s="18" t="s">
        <v>1787</v>
      </c>
      <c r="M71" s="18"/>
      <c r="N71" s="18"/>
      <c r="O71" s="18"/>
      <c r="P71" s="18"/>
      <c r="Q71" s="18">
        <v>1</v>
      </c>
    </row>
    <row r="72" spans="1:17" x14ac:dyDescent="0.25">
      <c r="A72" s="18" t="s">
        <v>62</v>
      </c>
      <c r="B72" s="18" t="s">
        <v>16</v>
      </c>
      <c r="C72" s="18" t="s">
        <v>1960</v>
      </c>
      <c r="D72" s="18"/>
      <c r="E72" s="18" t="s">
        <v>264</v>
      </c>
      <c r="F72" s="19">
        <v>12</v>
      </c>
      <c r="G72" s="19">
        <v>0</v>
      </c>
      <c r="H72" s="19">
        <v>35</v>
      </c>
      <c r="I72" s="19">
        <f t="shared" si="2"/>
        <v>-35</v>
      </c>
      <c r="J72" s="18" t="s">
        <v>21</v>
      </c>
      <c r="K72" s="18" t="s">
        <v>21</v>
      </c>
      <c r="L72" s="18" t="s">
        <v>1787</v>
      </c>
      <c r="M72" s="18"/>
      <c r="N72" s="18"/>
      <c r="O72" s="18"/>
      <c r="P72" s="18"/>
      <c r="Q72" s="18">
        <v>1</v>
      </c>
    </row>
    <row r="73" spans="1:17" x14ac:dyDescent="0.25">
      <c r="A73" s="18" t="s">
        <v>62</v>
      </c>
      <c r="B73" s="18" t="s">
        <v>16</v>
      </c>
      <c r="C73" s="18" t="s">
        <v>320</v>
      </c>
      <c r="D73" s="18"/>
      <c r="E73" s="18" t="s">
        <v>321</v>
      </c>
      <c r="F73" s="18" t="s">
        <v>72</v>
      </c>
      <c r="G73" s="19">
        <v>30</v>
      </c>
      <c r="H73" s="19">
        <v>30</v>
      </c>
      <c r="I73" s="19">
        <f t="shared" si="2"/>
        <v>0</v>
      </c>
      <c r="J73" s="18" t="s">
        <v>21</v>
      </c>
      <c r="K73" s="18" t="s">
        <v>21</v>
      </c>
      <c r="L73" s="18" t="s">
        <v>1787</v>
      </c>
      <c r="M73" s="18"/>
      <c r="N73" s="18"/>
      <c r="O73" s="18"/>
      <c r="P73" s="18"/>
      <c r="Q73" s="18">
        <v>1</v>
      </c>
    </row>
    <row r="74" spans="1:17" x14ac:dyDescent="0.25">
      <c r="A74" s="18" t="s">
        <v>62</v>
      </c>
      <c r="B74" s="18" t="s">
        <v>16</v>
      </c>
      <c r="C74" s="18" t="s">
        <v>1961</v>
      </c>
      <c r="D74" s="18"/>
      <c r="E74" s="18" t="s">
        <v>1962</v>
      </c>
      <c r="F74" s="19">
        <v>12</v>
      </c>
      <c r="G74" s="19">
        <v>35</v>
      </c>
      <c r="H74" s="19">
        <v>35</v>
      </c>
      <c r="I74" s="19">
        <f t="shared" si="2"/>
        <v>0</v>
      </c>
      <c r="J74" s="18" t="s">
        <v>21</v>
      </c>
      <c r="K74" s="18" t="s">
        <v>21</v>
      </c>
      <c r="L74" s="18" t="s">
        <v>1787</v>
      </c>
      <c r="M74" s="18"/>
      <c r="N74" s="18"/>
      <c r="O74" s="18"/>
      <c r="P74" s="18"/>
      <c r="Q74" s="18">
        <v>1</v>
      </c>
    </row>
    <row r="75" spans="1:17" x14ac:dyDescent="0.25">
      <c r="A75" s="18"/>
      <c r="B75" s="18" t="s">
        <v>16</v>
      </c>
      <c r="C75" s="18" t="s">
        <v>1963</v>
      </c>
      <c r="D75" s="18" t="s">
        <v>1964</v>
      </c>
      <c r="E75" s="18" t="s">
        <v>1432</v>
      </c>
      <c r="F75" s="19">
        <v>5</v>
      </c>
      <c r="G75" s="19">
        <v>785</v>
      </c>
      <c r="H75" s="19">
        <v>25</v>
      </c>
      <c r="I75" s="19">
        <f t="shared" si="2"/>
        <v>760</v>
      </c>
      <c r="J75" s="18" t="s">
        <v>165</v>
      </c>
      <c r="K75" s="18" t="s">
        <v>21</v>
      </c>
      <c r="L75" s="18" t="s">
        <v>1787</v>
      </c>
      <c r="M75" s="18"/>
      <c r="N75" s="18"/>
      <c r="O75" s="18"/>
      <c r="P75" s="18"/>
      <c r="Q75" s="18">
        <v>1</v>
      </c>
    </row>
    <row r="76" spans="1:17" x14ac:dyDescent="0.25">
      <c r="A76" s="18"/>
      <c r="B76" s="18" t="s">
        <v>16</v>
      </c>
      <c r="C76" s="18" t="s">
        <v>1965</v>
      </c>
      <c r="D76" s="18" t="s">
        <v>1966</v>
      </c>
      <c r="E76" s="18" t="s">
        <v>1967</v>
      </c>
      <c r="F76" s="18" t="s">
        <v>88</v>
      </c>
      <c r="G76" s="19">
        <v>0</v>
      </c>
      <c r="H76" s="19">
        <v>25</v>
      </c>
      <c r="I76" s="19">
        <f t="shared" si="2"/>
        <v>-25</v>
      </c>
      <c r="J76" s="18" t="s">
        <v>165</v>
      </c>
      <c r="K76" s="18" t="s">
        <v>21</v>
      </c>
      <c r="L76" s="18" t="s">
        <v>1787</v>
      </c>
      <c r="M76" s="18"/>
      <c r="N76" s="18"/>
      <c r="O76" s="18"/>
      <c r="P76" s="18"/>
      <c r="Q76" s="18">
        <v>1</v>
      </c>
    </row>
    <row r="77" spans="1:17" x14ac:dyDescent="0.25">
      <c r="A77" s="18"/>
      <c r="B77" s="18" t="s">
        <v>16</v>
      </c>
      <c r="C77" s="18" t="s">
        <v>1968</v>
      </c>
      <c r="D77" s="18" t="s">
        <v>1969</v>
      </c>
      <c r="E77" s="18" t="s">
        <v>1970</v>
      </c>
      <c r="F77" s="19">
        <v>10</v>
      </c>
      <c r="G77" s="19">
        <v>0</v>
      </c>
      <c r="H77" s="19">
        <v>25</v>
      </c>
      <c r="I77" s="19">
        <f t="shared" si="2"/>
        <v>-25</v>
      </c>
      <c r="J77" s="18" t="s">
        <v>165</v>
      </c>
      <c r="K77" s="18" t="s">
        <v>21</v>
      </c>
      <c r="L77" s="18" t="s">
        <v>1787</v>
      </c>
      <c r="M77" s="18"/>
      <c r="N77" s="18"/>
      <c r="O77" s="18"/>
      <c r="P77" s="18"/>
      <c r="Q77" s="18">
        <v>1</v>
      </c>
    </row>
    <row r="78" spans="1:17" x14ac:dyDescent="0.25">
      <c r="A78" s="18"/>
      <c r="B78" s="18" t="s">
        <v>16</v>
      </c>
      <c r="C78" s="18" t="s">
        <v>1971</v>
      </c>
      <c r="D78" s="18" t="s">
        <v>1972</v>
      </c>
      <c r="E78" s="18" t="s">
        <v>1973</v>
      </c>
      <c r="F78" s="19">
        <v>10</v>
      </c>
      <c r="G78" s="19">
        <v>0</v>
      </c>
      <c r="H78" s="19">
        <v>25</v>
      </c>
      <c r="I78" s="19">
        <f t="shared" si="2"/>
        <v>-25</v>
      </c>
      <c r="J78" s="18" t="s">
        <v>165</v>
      </c>
      <c r="K78" s="18" t="s">
        <v>21</v>
      </c>
      <c r="L78" s="18" t="s">
        <v>1787</v>
      </c>
      <c r="M78" s="25" t="s">
        <v>1974</v>
      </c>
      <c r="N78" s="18"/>
      <c r="O78" s="18"/>
      <c r="P78" s="18"/>
      <c r="Q78" s="18">
        <v>1</v>
      </c>
    </row>
    <row r="79" spans="1:17" x14ac:dyDescent="0.25">
      <c r="A79" s="18"/>
      <c r="B79" s="18" t="s">
        <v>16</v>
      </c>
      <c r="C79" s="18" t="s">
        <v>1971</v>
      </c>
      <c r="D79" s="18" t="s">
        <v>1975</v>
      </c>
      <c r="E79" s="18" t="s">
        <v>1973</v>
      </c>
      <c r="F79" s="19">
        <v>10</v>
      </c>
      <c r="G79" s="19">
        <v>0</v>
      </c>
      <c r="H79" s="19">
        <v>0</v>
      </c>
      <c r="I79" s="19">
        <f t="shared" si="2"/>
        <v>0</v>
      </c>
      <c r="J79" s="18" t="s">
        <v>165</v>
      </c>
      <c r="K79" s="18" t="s">
        <v>21</v>
      </c>
      <c r="L79" s="18" t="s">
        <v>1787</v>
      </c>
      <c r="M79" s="25" t="s">
        <v>1976</v>
      </c>
      <c r="N79" s="18"/>
      <c r="O79" s="18"/>
      <c r="P79" s="18"/>
      <c r="Q79" s="18">
        <v>1</v>
      </c>
    </row>
    <row r="80" spans="1:17" x14ac:dyDescent="0.25">
      <c r="A80" s="18"/>
      <c r="B80" s="18" t="s">
        <v>16</v>
      </c>
      <c r="C80" s="18" t="s">
        <v>1977</v>
      </c>
      <c r="D80" s="18" t="s">
        <v>1978</v>
      </c>
      <c r="E80" s="18" t="s">
        <v>1979</v>
      </c>
      <c r="F80" s="19">
        <v>4</v>
      </c>
      <c r="G80" s="19">
        <v>895</v>
      </c>
      <c r="H80" s="19">
        <v>25</v>
      </c>
      <c r="I80" s="19">
        <f t="shared" si="2"/>
        <v>870</v>
      </c>
      <c r="J80" s="18" t="s">
        <v>165</v>
      </c>
      <c r="K80" s="18" t="s">
        <v>21</v>
      </c>
      <c r="L80" s="18" t="s">
        <v>1787</v>
      </c>
      <c r="M80" s="18"/>
      <c r="N80" s="18"/>
      <c r="O80" s="18"/>
      <c r="P80" s="18"/>
      <c r="Q80" s="18">
        <v>1</v>
      </c>
    </row>
    <row r="81" spans="1:17" x14ac:dyDescent="0.25">
      <c r="A81" s="18"/>
      <c r="B81" s="18" t="s">
        <v>16</v>
      </c>
      <c r="C81" s="18" t="s">
        <v>1980</v>
      </c>
      <c r="D81" s="18" t="s">
        <v>1981</v>
      </c>
      <c r="E81" s="18" t="s">
        <v>1982</v>
      </c>
      <c r="F81" s="19">
        <v>1</v>
      </c>
      <c r="G81" s="19">
        <v>695</v>
      </c>
      <c r="H81" s="19">
        <v>25</v>
      </c>
      <c r="I81" s="19">
        <f t="shared" si="2"/>
        <v>670</v>
      </c>
      <c r="J81" s="18" t="s">
        <v>165</v>
      </c>
      <c r="K81" s="18" t="s">
        <v>21</v>
      </c>
      <c r="L81" s="18" t="s">
        <v>1787</v>
      </c>
      <c r="M81" s="18"/>
      <c r="N81" s="18"/>
      <c r="O81" s="18"/>
      <c r="P81" s="18"/>
      <c r="Q81" s="18">
        <v>1</v>
      </c>
    </row>
    <row r="82" spans="1:17" x14ac:dyDescent="0.25">
      <c r="A82" s="18"/>
      <c r="B82" s="18" t="s">
        <v>16</v>
      </c>
      <c r="C82" s="18" t="s">
        <v>1983</v>
      </c>
      <c r="D82" s="18" t="s">
        <v>1984</v>
      </c>
      <c r="E82" s="18" t="s">
        <v>1985</v>
      </c>
      <c r="F82" s="19">
        <v>1</v>
      </c>
      <c r="G82" s="19">
        <v>595</v>
      </c>
      <c r="H82" s="19">
        <v>25</v>
      </c>
      <c r="I82" s="19">
        <f t="shared" si="2"/>
        <v>570</v>
      </c>
      <c r="J82" s="18" t="s">
        <v>165</v>
      </c>
      <c r="K82" s="18" t="s">
        <v>21</v>
      </c>
      <c r="L82" s="18" t="s">
        <v>1787</v>
      </c>
      <c r="M82" s="18"/>
      <c r="N82" s="18"/>
      <c r="O82" s="18"/>
      <c r="P82" s="18"/>
      <c r="Q82" s="18">
        <v>1</v>
      </c>
    </row>
    <row r="83" spans="1:17" x14ac:dyDescent="0.25">
      <c r="A83" s="18"/>
      <c r="B83" s="18" t="s">
        <v>16</v>
      </c>
      <c r="C83" s="18" t="s">
        <v>1986</v>
      </c>
      <c r="D83" s="18" t="s">
        <v>1987</v>
      </c>
      <c r="E83" s="18" t="s">
        <v>1988</v>
      </c>
      <c r="F83" s="19">
        <v>10</v>
      </c>
      <c r="G83" s="19">
        <v>1725</v>
      </c>
      <c r="H83" s="19">
        <v>25</v>
      </c>
      <c r="I83" s="19">
        <f t="shared" si="2"/>
        <v>1700</v>
      </c>
      <c r="J83" s="18" t="s">
        <v>165</v>
      </c>
      <c r="K83" s="18" t="s">
        <v>21</v>
      </c>
      <c r="L83" s="18" t="s">
        <v>1787</v>
      </c>
      <c r="M83" s="18"/>
      <c r="N83" s="18"/>
      <c r="O83" s="18"/>
      <c r="P83" s="18"/>
      <c r="Q83" s="18">
        <v>1</v>
      </c>
    </row>
    <row r="84" spans="1:17" x14ac:dyDescent="0.25">
      <c r="A84" s="18"/>
      <c r="B84" s="18" t="s">
        <v>16</v>
      </c>
      <c r="C84" s="18" t="s">
        <v>313</v>
      </c>
      <c r="D84" s="18" t="s">
        <v>1989</v>
      </c>
      <c r="E84" s="18" t="s">
        <v>315</v>
      </c>
      <c r="F84" s="18" t="s">
        <v>88</v>
      </c>
      <c r="G84" s="19">
        <v>1545</v>
      </c>
      <c r="H84" s="19">
        <v>25</v>
      </c>
      <c r="I84" s="19">
        <f t="shared" si="2"/>
        <v>1520</v>
      </c>
      <c r="J84" s="18" t="s">
        <v>165</v>
      </c>
      <c r="K84" s="18" t="s">
        <v>21</v>
      </c>
      <c r="L84" s="18" t="s">
        <v>1787</v>
      </c>
      <c r="M84" s="18"/>
      <c r="N84" s="18"/>
      <c r="O84" s="18"/>
      <c r="P84" s="18"/>
      <c r="Q84" s="18">
        <v>1</v>
      </c>
    </row>
    <row r="85" spans="1:17" x14ac:dyDescent="0.25">
      <c r="A85" s="18"/>
      <c r="B85" s="18" t="s">
        <v>16</v>
      </c>
      <c r="C85" s="18" t="s">
        <v>1990</v>
      </c>
      <c r="D85" s="18" t="s">
        <v>1991</v>
      </c>
      <c r="E85" s="18" t="s">
        <v>1992</v>
      </c>
      <c r="F85" s="19">
        <v>1</v>
      </c>
      <c r="G85" s="19">
        <v>0</v>
      </c>
      <c r="H85" s="19">
        <v>25</v>
      </c>
      <c r="I85" s="19">
        <f t="shared" si="2"/>
        <v>-25</v>
      </c>
      <c r="J85" s="18" t="s">
        <v>165</v>
      </c>
      <c r="K85" s="18" t="s">
        <v>21</v>
      </c>
      <c r="L85" s="18" t="s">
        <v>1787</v>
      </c>
      <c r="M85" s="18"/>
      <c r="N85" s="18"/>
      <c r="O85" s="18"/>
      <c r="P85" s="18"/>
      <c r="Q85" s="18">
        <v>1</v>
      </c>
    </row>
    <row r="86" spans="1:17" x14ac:dyDescent="0.25">
      <c r="A86" s="18"/>
      <c r="B86" s="18" t="s">
        <v>16</v>
      </c>
      <c r="C86" s="18" t="s">
        <v>1993</v>
      </c>
      <c r="D86" s="18" t="s">
        <v>1994</v>
      </c>
      <c r="E86" s="18" t="s">
        <v>1995</v>
      </c>
      <c r="F86" s="18" t="s">
        <v>88</v>
      </c>
      <c r="G86" s="19">
        <v>0</v>
      </c>
      <c r="H86" s="19">
        <v>25</v>
      </c>
      <c r="I86" s="19">
        <f t="shared" si="2"/>
        <v>-25</v>
      </c>
      <c r="J86" s="18" t="s">
        <v>165</v>
      </c>
      <c r="K86" s="18" t="s">
        <v>21</v>
      </c>
      <c r="L86" s="18" t="s">
        <v>1787</v>
      </c>
      <c r="M86" s="18"/>
      <c r="N86" s="18"/>
      <c r="O86" s="18"/>
      <c r="P86" s="18"/>
      <c r="Q86" s="18">
        <v>1</v>
      </c>
    </row>
    <row r="87" spans="1:17" x14ac:dyDescent="0.25">
      <c r="A87" s="18"/>
      <c r="B87" s="18" t="s">
        <v>16</v>
      </c>
      <c r="C87" s="18" t="s">
        <v>1996</v>
      </c>
      <c r="D87" s="18" t="s">
        <v>1997</v>
      </c>
      <c r="E87" s="18" t="s">
        <v>1998</v>
      </c>
      <c r="F87" s="19">
        <v>10</v>
      </c>
      <c r="G87" s="19">
        <v>885</v>
      </c>
      <c r="H87" s="19">
        <v>25</v>
      </c>
      <c r="I87" s="19">
        <f t="shared" si="2"/>
        <v>860</v>
      </c>
      <c r="J87" s="18" t="s">
        <v>165</v>
      </c>
      <c r="K87" s="18" t="s">
        <v>21</v>
      </c>
      <c r="L87" s="18" t="s">
        <v>1787</v>
      </c>
      <c r="M87" s="18"/>
      <c r="N87" s="18"/>
      <c r="O87" s="18"/>
      <c r="P87" s="18"/>
      <c r="Q87" s="18">
        <v>1</v>
      </c>
    </row>
    <row r="88" spans="1:17" x14ac:dyDescent="0.25">
      <c r="A88" s="18"/>
      <c r="B88" s="18" t="s">
        <v>16</v>
      </c>
      <c r="C88" s="18" t="s">
        <v>1999</v>
      </c>
      <c r="D88" s="18" t="s">
        <v>2000</v>
      </c>
      <c r="E88" s="18" t="s">
        <v>2001</v>
      </c>
      <c r="F88" s="19">
        <v>5</v>
      </c>
      <c r="G88" s="19">
        <v>0</v>
      </c>
      <c r="H88" s="19">
        <v>25</v>
      </c>
      <c r="I88" s="19">
        <f t="shared" si="2"/>
        <v>-25</v>
      </c>
      <c r="J88" s="18" t="s">
        <v>165</v>
      </c>
      <c r="K88" s="18" t="s">
        <v>21</v>
      </c>
      <c r="L88" s="18" t="s">
        <v>1787</v>
      </c>
      <c r="M88" s="18"/>
      <c r="N88" s="18"/>
      <c r="O88" s="18"/>
      <c r="P88" s="18"/>
      <c r="Q88" s="18">
        <v>1</v>
      </c>
    </row>
    <row r="89" spans="1:17" x14ac:dyDescent="0.25">
      <c r="A89" s="18"/>
      <c r="B89" s="18" t="s">
        <v>16</v>
      </c>
      <c r="C89" s="18" t="s">
        <v>2002</v>
      </c>
      <c r="D89" s="18" t="s">
        <v>2003</v>
      </c>
      <c r="E89" s="18" t="s">
        <v>2004</v>
      </c>
      <c r="F89" s="19">
        <v>3</v>
      </c>
      <c r="G89" s="19">
        <v>515</v>
      </c>
      <c r="H89" s="19">
        <v>25</v>
      </c>
      <c r="I89" s="19">
        <f t="shared" si="2"/>
        <v>490</v>
      </c>
      <c r="J89" s="18" t="s">
        <v>165</v>
      </c>
      <c r="K89" s="18" t="s">
        <v>21</v>
      </c>
      <c r="L89" s="18" t="s">
        <v>1787</v>
      </c>
      <c r="M89" s="18"/>
      <c r="N89" s="18"/>
      <c r="O89" s="18"/>
      <c r="P89" s="18"/>
      <c r="Q89" s="18">
        <v>1</v>
      </c>
    </row>
    <row r="90" spans="1:17" x14ac:dyDescent="0.25">
      <c r="A90" s="18"/>
      <c r="B90" s="18" t="s">
        <v>16</v>
      </c>
      <c r="C90" s="18" t="s">
        <v>863</v>
      </c>
      <c r="D90" s="18" t="s">
        <v>2005</v>
      </c>
      <c r="E90" s="18" t="s">
        <v>865</v>
      </c>
      <c r="F90" s="19">
        <v>4</v>
      </c>
      <c r="G90" s="19">
        <v>0</v>
      </c>
      <c r="H90" s="19">
        <v>25</v>
      </c>
      <c r="I90" s="19">
        <f t="shared" si="2"/>
        <v>-25</v>
      </c>
      <c r="J90" s="18" t="s">
        <v>165</v>
      </c>
      <c r="K90" s="18" t="s">
        <v>21</v>
      </c>
      <c r="L90" s="18" t="s">
        <v>1787</v>
      </c>
      <c r="M90" s="18"/>
      <c r="N90" s="18"/>
      <c r="O90" s="18"/>
      <c r="P90" s="18"/>
      <c r="Q90" s="18">
        <v>1</v>
      </c>
    </row>
    <row r="91" spans="1:17" x14ac:dyDescent="0.25">
      <c r="A91" s="18" t="s">
        <v>62</v>
      </c>
      <c r="B91" s="18" t="s">
        <v>16</v>
      </c>
      <c r="C91" s="18" t="s">
        <v>584</v>
      </c>
      <c r="D91" s="18"/>
      <c r="E91" s="18" t="s">
        <v>585</v>
      </c>
      <c r="F91" s="19">
        <v>4</v>
      </c>
      <c r="G91" s="19">
        <v>30</v>
      </c>
      <c r="H91" s="19">
        <v>30</v>
      </c>
      <c r="I91" s="19">
        <f t="shared" si="2"/>
        <v>0</v>
      </c>
      <c r="J91" s="18" t="s">
        <v>165</v>
      </c>
      <c r="K91" s="18" t="s">
        <v>21</v>
      </c>
      <c r="L91" s="18" t="s">
        <v>1787</v>
      </c>
      <c r="M91" s="18"/>
      <c r="N91" s="18"/>
      <c r="O91" s="18"/>
      <c r="P91" s="18"/>
      <c r="Q91" s="18">
        <v>1</v>
      </c>
    </row>
    <row r="92" spans="1:17" x14ac:dyDescent="0.25">
      <c r="A92" s="18" t="s">
        <v>62</v>
      </c>
      <c r="B92" s="18" t="s">
        <v>16</v>
      </c>
      <c r="C92" s="18" t="s">
        <v>2006</v>
      </c>
      <c r="D92" s="18"/>
      <c r="E92" s="18" t="s">
        <v>1315</v>
      </c>
      <c r="F92" s="19">
        <v>5</v>
      </c>
      <c r="G92" s="19">
        <v>40</v>
      </c>
      <c r="H92" s="19">
        <v>40</v>
      </c>
      <c r="I92" s="19">
        <f t="shared" si="2"/>
        <v>0</v>
      </c>
      <c r="J92" s="18" t="s">
        <v>165</v>
      </c>
      <c r="K92" s="18" t="s">
        <v>21</v>
      </c>
      <c r="L92" s="18" t="s">
        <v>1787</v>
      </c>
      <c r="M92" s="18"/>
      <c r="N92" s="18"/>
      <c r="O92" s="18"/>
      <c r="P92" s="18"/>
      <c r="Q92" s="18">
        <v>1</v>
      </c>
    </row>
    <row r="93" spans="1:17" x14ac:dyDescent="0.25">
      <c r="A93" s="18" t="s">
        <v>62</v>
      </c>
      <c r="B93" s="18" t="s">
        <v>16</v>
      </c>
      <c r="C93" s="18" t="s">
        <v>2007</v>
      </c>
      <c r="D93" s="18"/>
      <c r="E93" s="18" t="s">
        <v>87</v>
      </c>
      <c r="F93" s="18" t="s">
        <v>88</v>
      </c>
      <c r="G93" s="19">
        <v>0</v>
      </c>
      <c r="H93" s="19">
        <v>30</v>
      </c>
      <c r="I93" s="19">
        <f t="shared" si="2"/>
        <v>-30</v>
      </c>
      <c r="J93" s="18" t="s">
        <v>165</v>
      </c>
      <c r="K93" s="18" t="s">
        <v>21</v>
      </c>
      <c r="L93" s="18" t="s">
        <v>1787</v>
      </c>
      <c r="M93" s="18"/>
      <c r="N93" s="18"/>
      <c r="O93" s="18"/>
      <c r="P93" s="18"/>
      <c r="Q93" s="18">
        <v>1</v>
      </c>
    </row>
    <row r="94" spans="1:17" x14ac:dyDescent="0.25">
      <c r="A94" s="18" t="s">
        <v>62</v>
      </c>
      <c r="B94" s="18" t="s">
        <v>16</v>
      </c>
      <c r="C94" s="18" t="s">
        <v>2008</v>
      </c>
      <c r="D94" s="18"/>
      <c r="E94" s="18" t="s">
        <v>2009</v>
      </c>
      <c r="F94" s="19">
        <v>5</v>
      </c>
      <c r="G94" s="19">
        <v>950</v>
      </c>
      <c r="H94" s="19">
        <v>30</v>
      </c>
      <c r="I94" s="19">
        <f t="shared" si="2"/>
        <v>920</v>
      </c>
      <c r="J94" s="18" t="s">
        <v>165</v>
      </c>
      <c r="K94" s="18" t="s">
        <v>21</v>
      </c>
      <c r="L94" s="18" t="s">
        <v>1787</v>
      </c>
      <c r="M94" s="18"/>
      <c r="N94" s="18"/>
      <c r="O94" s="18"/>
      <c r="P94" s="18"/>
      <c r="Q94" s="18">
        <v>1</v>
      </c>
    </row>
    <row r="95" spans="1:17" s="2" customFormat="1" x14ac:dyDescent="0.25">
      <c r="A95" s="20"/>
      <c r="B95" s="20" t="s">
        <v>16</v>
      </c>
      <c r="C95" s="20" t="s">
        <v>2010</v>
      </c>
      <c r="D95" s="20" t="s">
        <v>2011</v>
      </c>
      <c r="E95" s="20" t="s">
        <v>2012</v>
      </c>
      <c r="F95" s="20" t="s">
        <v>780</v>
      </c>
      <c r="G95" s="21">
        <v>870</v>
      </c>
      <c r="H95" s="21">
        <v>0</v>
      </c>
      <c r="I95" s="21">
        <f t="shared" si="2"/>
        <v>870</v>
      </c>
      <c r="J95" s="20" t="s">
        <v>446</v>
      </c>
      <c r="K95" s="20" t="s">
        <v>21</v>
      </c>
      <c r="L95" s="20" t="s">
        <v>1787</v>
      </c>
      <c r="M95" s="20" t="s">
        <v>781</v>
      </c>
      <c r="N95" s="20" t="s">
        <v>448</v>
      </c>
      <c r="O95" s="20"/>
      <c r="P95" s="20" t="s">
        <v>449</v>
      </c>
      <c r="Q95" s="20">
        <v>1</v>
      </c>
    </row>
    <row r="96" spans="1:17" s="2" customFormat="1" x14ac:dyDescent="0.25">
      <c r="A96" s="20"/>
      <c r="B96" s="20" t="s">
        <v>16</v>
      </c>
      <c r="C96" s="20" t="s">
        <v>2013</v>
      </c>
      <c r="D96" s="20" t="s">
        <v>2014</v>
      </c>
      <c r="E96" s="20" t="s">
        <v>2015</v>
      </c>
      <c r="F96" s="20" t="s">
        <v>780</v>
      </c>
      <c r="G96" s="21">
        <v>450</v>
      </c>
      <c r="H96" s="21">
        <v>0</v>
      </c>
      <c r="I96" s="21">
        <f t="shared" si="2"/>
        <v>450</v>
      </c>
      <c r="J96" s="20" t="s">
        <v>446</v>
      </c>
      <c r="K96" s="20" t="s">
        <v>21</v>
      </c>
      <c r="L96" s="20" t="s">
        <v>1787</v>
      </c>
      <c r="M96" s="20" t="s">
        <v>781</v>
      </c>
      <c r="N96" s="20" t="s">
        <v>448</v>
      </c>
      <c r="O96" s="20"/>
      <c r="P96" s="20" t="s">
        <v>449</v>
      </c>
      <c r="Q96" s="20">
        <v>1</v>
      </c>
    </row>
    <row r="97" spans="1:17" s="2" customFormat="1" x14ac:dyDescent="0.25">
      <c r="A97" s="20"/>
      <c r="B97" s="20" t="s">
        <v>16</v>
      </c>
      <c r="C97" s="20" t="s">
        <v>2016</v>
      </c>
      <c r="D97" s="20" t="s">
        <v>2017</v>
      </c>
      <c r="E97" s="20" t="s">
        <v>2018</v>
      </c>
      <c r="F97" s="20" t="s">
        <v>780</v>
      </c>
      <c r="G97" s="21">
        <v>1460</v>
      </c>
      <c r="H97" s="21">
        <v>0</v>
      </c>
      <c r="I97" s="21">
        <f t="shared" si="2"/>
        <v>1460</v>
      </c>
      <c r="J97" s="20" t="s">
        <v>446</v>
      </c>
      <c r="K97" s="20" t="s">
        <v>21</v>
      </c>
      <c r="L97" s="20" t="s">
        <v>1787</v>
      </c>
      <c r="M97" s="20" t="s">
        <v>781</v>
      </c>
      <c r="N97" s="20" t="s">
        <v>448</v>
      </c>
      <c r="O97" s="20"/>
      <c r="P97" s="20" t="s">
        <v>449</v>
      </c>
      <c r="Q97" s="20">
        <v>1</v>
      </c>
    </row>
    <row r="99" spans="1:17" x14ac:dyDescent="0.25">
      <c r="D99" s="1">
        <f>COUNTA(D3:D97)</f>
        <v>82</v>
      </c>
      <c r="G99" s="1">
        <f t="shared" ref="G99:Q99" si="3">SUBTOTAL(9,G3:G97)</f>
        <v>58975</v>
      </c>
      <c r="H99" s="1">
        <f t="shared" si="3"/>
        <v>2540</v>
      </c>
      <c r="I99" s="1">
        <f t="shared" si="3"/>
        <v>56435</v>
      </c>
      <c r="J99" s="1">
        <f t="shared" si="3"/>
        <v>0</v>
      </c>
      <c r="K99" s="1">
        <f t="shared" si="3"/>
        <v>0</v>
      </c>
      <c r="L99" s="1">
        <f t="shared" si="3"/>
        <v>0</v>
      </c>
      <c r="M99" s="1">
        <f t="shared" si="3"/>
        <v>0</v>
      </c>
      <c r="N99" s="1">
        <f t="shared" si="3"/>
        <v>0</v>
      </c>
      <c r="O99" s="1">
        <f t="shared" si="3"/>
        <v>0</v>
      </c>
      <c r="P99" s="1">
        <f t="shared" si="3"/>
        <v>0</v>
      </c>
      <c r="Q99" s="1">
        <f t="shared" si="3"/>
        <v>95</v>
      </c>
    </row>
    <row r="100" spans="1:17" x14ac:dyDescent="0.25">
      <c r="H100">
        <f>-19*17</f>
        <v>-323</v>
      </c>
    </row>
    <row r="101" spans="1:17" x14ac:dyDescent="0.25">
      <c r="A101" s="1" t="s">
        <v>16</v>
      </c>
      <c r="C101" s="42" t="s">
        <v>89</v>
      </c>
      <c r="D101" s="42"/>
      <c r="E101" s="4" t="s">
        <v>90</v>
      </c>
      <c r="H101">
        <f>-10*25</f>
        <v>-250</v>
      </c>
      <c r="K101" s="7" t="s">
        <v>165</v>
      </c>
      <c r="L101" s="7" t="s">
        <v>91</v>
      </c>
      <c r="M101" s="7" t="s">
        <v>90</v>
      </c>
      <c r="O101" s="4" t="s">
        <v>92</v>
      </c>
    </row>
    <row r="102" spans="1:17" x14ac:dyDescent="0.25">
      <c r="A102" t="s">
        <v>1787</v>
      </c>
      <c r="B102" s="3" t="s">
        <v>93</v>
      </c>
      <c r="C102" s="43">
        <f>SUMIFS(I$3:I$97,B$3:B$97,A$101,L$3:L$97,A$102)</f>
        <v>56435</v>
      </c>
      <c r="D102" s="43"/>
      <c r="E102" s="3">
        <f>SUMIFS(Q$3:Q$97,B$3:B$97,A$101,L$3:L$97,A$102)</f>
        <v>95</v>
      </c>
      <c r="F102" t="s">
        <v>94</v>
      </c>
      <c r="H102">
        <f>-8*30</f>
        <v>-240</v>
      </c>
      <c r="K102" t="s">
        <v>95</v>
      </c>
      <c r="L102">
        <f>SUMIFS(G$3:G$97,J$3:J$97,K$101)</f>
        <v>8660</v>
      </c>
      <c r="M102">
        <f>SUMIFS(Q$3:Q$97,J$3:J$97,K$101)</f>
        <v>20</v>
      </c>
      <c r="O102" t="s">
        <v>165</v>
      </c>
      <c r="P102">
        <f>L107</f>
        <v>8245</v>
      </c>
    </row>
    <row r="103" spans="1:17" x14ac:dyDescent="0.25">
      <c r="B103" s="2" t="s">
        <v>97</v>
      </c>
      <c r="C103" s="44">
        <v>0</v>
      </c>
      <c r="D103" s="44"/>
      <c r="K103" t="s">
        <v>98</v>
      </c>
      <c r="L103">
        <f>-SUMIFS(H$3:H$97,J$3:J$97,K$101)+M103*5</f>
        <v>-415</v>
      </c>
      <c r="M103">
        <f>SUMIFS(Q$3:Q$97,J$3:J$97,K$101)-COUNTIFS(J$3:J$97,K$101,M$3:M$97,"*gộp*")</f>
        <v>18</v>
      </c>
      <c r="O103" t="s">
        <v>20</v>
      </c>
      <c r="P103">
        <f>L115</f>
        <v>1200</v>
      </c>
    </row>
    <row r="104" spans="1:17" x14ac:dyDescent="0.25">
      <c r="B104" s="2" t="s">
        <v>99</v>
      </c>
      <c r="C104" s="44">
        <f>-SUMIFS(I$3:I$97,B$3:B$97,A$101,P$3:P$97,"xx",N$3:N$97,"x")</f>
        <v>-2780</v>
      </c>
      <c r="D104" s="44"/>
      <c r="E104" s="2">
        <f>SUMIFS(Q$3:Q$97,B$3:B$97,A$101,P$3:P$97,"xx",N$3:N$97,"x")</f>
        <v>3</v>
      </c>
      <c r="K104" t="s">
        <v>100</v>
      </c>
      <c r="O104" t="s">
        <v>21</v>
      </c>
      <c r="P104">
        <f>L123</f>
        <v>18845</v>
      </c>
    </row>
    <row r="105" spans="1:17" x14ac:dyDescent="0.25">
      <c r="B105" s="4" t="s">
        <v>101</v>
      </c>
      <c r="C105" s="42">
        <f>SUBTOTAL(9,C102:C104)</f>
        <v>53655</v>
      </c>
      <c r="D105" s="42"/>
      <c r="E105">
        <f>E102</f>
        <v>95</v>
      </c>
      <c r="K105" s="2" t="s">
        <v>102</v>
      </c>
      <c r="O105" t="s">
        <v>2019</v>
      </c>
      <c r="P105">
        <f>L131</f>
        <v>25717</v>
      </c>
    </row>
    <row r="106" spans="1:17" x14ac:dyDescent="0.25">
      <c r="B106" s="2" t="s">
        <v>104</v>
      </c>
      <c r="C106" s="40"/>
      <c r="D106" s="40"/>
      <c r="K106" s="2" t="s">
        <v>105</v>
      </c>
      <c r="O106" t="s">
        <v>103</v>
      </c>
      <c r="P106">
        <f>-C109</f>
        <v>-53655</v>
      </c>
    </row>
    <row r="107" spans="1:17" x14ac:dyDescent="0.25">
      <c r="B107" s="8" t="s">
        <v>107</v>
      </c>
      <c r="C107" s="40"/>
      <c r="D107" s="40"/>
      <c r="L107" s="9">
        <f>SUBTOTAL(9,L102:L106)</f>
        <v>8245</v>
      </c>
      <c r="M107" s="9">
        <f>M102</f>
        <v>20</v>
      </c>
      <c r="O107" s="4" t="s">
        <v>106</v>
      </c>
      <c r="P107" s="4">
        <f>SUBTOTAL(9,P102:P106)</f>
        <v>352</v>
      </c>
    </row>
    <row r="109" spans="1:17" x14ac:dyDescent="0.25">
      <c r="B109" s="1" t="s">
        <v>108</v>
      </c>
      <c r="C109" s="41">
        <f>C105+C106+C107</f>
        <v>53655</v>
      </c>
      <c r="D109" s="41"/>
      <c r="E109" s="1" t="s">
        <v>109</v>
      </c>
      <c r="K109" s="7" t="s">
        <v>20</v>
      </c>
      <c r="L109" s="7" t="s">
        <v>91</v>
      </c>
      <c r="M109" s="7" t="s">
        <v>90</v>
      </c>
    </row>
    <row r="110" spans="1:17" x14ac:dyDescent="0.25">
      <c r="K110" t="s">
        <v>95</v>
      </c>
      <c r="L110">
        <f>SUMIFS(G$3:G$97,J$3:J$97,K$109)</f>
        <v>1290</v>
      </c>
      <c r="M110">
        <f>SUMIFS(Q$3:Q$97,J$3:J$97,K$109)</f>
        <v>3</v>
      </c>
    </row>
    <row r="111" spans="1:17" x14ac:dyDescent="0.25">
      <c r="K111" t="s">
        <v>98</v>
      </c>
      <c r="L111">
        <f>-SUMIFS(H$3:H$97,J$3:J$97,K$109)+M111*5</f>
        <v>-90</v>
      </c>
      <c r="M111">
        <f>SUMIFS(Q$3:Q$97,J$3:J$97,K$109)-COUNTIFS(J$3:J$97,K$109,M$3:M$97,"*gộp*")</f>
        <v>3</v>
      </c>
    </row>
    <row r="112" spans="1:17" x14ac:dyDescent="0.25">
      <c r="K112" t="s">
        <v>100</v>
      </c>
    </row>
    <row r="113" spans="11:13" x14ac:dyDescent="0.25">
      <c r="K113" s="2" t="s">
        <v>102</v>
      </c>
    </row>
    <row r="114" spans="11:13" x14ac:dyDescent="0.25">
      <c r="K114" s="2" t="s">
        <v>105</v>
      </c>
    </row>
    <row r="115" spans="11:13" x14ac:dyDescent="0.25">
      <c r="L115" s="9">
        <f>SUBTOTAL(9,L110:L114)</f>
        <v>1200</v>
      </c>
      <c r="M115" s="9">
        <f>M110</f>
        <v>3</v>
      </c>
    </row>
    <row r="117" spans="11:13" x14ac:dyDescent="0.25">
      <c r="K117" s="7" t="s">
        <v>21</v>
      </c>
      <c r="L117" s="7" t="s">
        <v>91</v>
      </c>
      <c r="M117" s="7" t="s">
        <v>90</v>
      </c>
    </row>
    <row r="118" spans="11:13" x14ac:dyDescent="0.25">
      <c r="K118" t="s">
        <v>95</v>
      </c>
      <c r="L118">
        <f>SUMIFS(G$3:G$97,J$3:J$97,K$117)</f>
        <v>19715</v>
      </c>
      <c r="M118">
        <f>SUMIFS(Q$3:Q$97,J$3:J$97,K$117)</f>
        <v>32</v>
      </c>
    </row>
    <row r="119" spans="11:13" x14ac:dyDescent="0.25">
      <c r="K119" t="s">
        <v>98</v>
      </c>
      <c r="L119">
        <f>-SUMIFS(H$3:H$97,J$3:J$97,K$117)+M119*5</f>
        <v>-690</v>
      </c>
      <c r="M119">
        <f>SUMIFS(Q$3:Q$97,J$3:J$97,K$117)-COUNTIFS(J$3:J$97,K$117,M$3:M$97,"*gộp*")</f>
        <v>30</v>
      </c>
    </row>
    <row r="120" spans="11:13" x14ac:dyDescent="0.25">
      <c r="K120" t="s">
        <v>100</v>
      </c>
      <c r="L120">
        <f>-M120*2</f>
        <v>-180</v>
      </c>
      <c r="M120">
        <f>E105-(COUNTIFS(M$3:M$97,"*gộp*")/2)-COUNTIFS(M$3:M$97,"*đơn trả*")/2-COUNTIFS(M$3:M$97,"*hàng tỉnh*")</f>
        <v>90</v>
      </c>
    </row>
    <row r="121" spans="11:13" x14ac:dyDescent="0.25">
      <c r="K121" s="2" t="s">
        <v>102</v>
      </c>
    </row>
    <row r="122" spans="11:13" x14ac:dyDescent="0.25">
      <c r="K122" s="2" t="s">
        <v>105</v>
      </c>
    </row>
    <row r="123" spans="11:13" x14ac:dyDescent="0.25">
      <c r="L123" s="9">
        <f>SUBTOTAL(9,L118:L122)</f>
        <v>18845</v>
      </c>
      <c r="M123" s="9">
        <f>M118</f>
        <v>32</v>
      </c>
    </row>
    <row r="125" spans="11:13" x14ac:dyDescent="0.25">
      <c r="K125" s="7" t="s">
        <v>1793</v>
      </c>
      <c r="L125" s="7" t="s">
        <v>91</v>
      </c>
      <c r="M125" s="7" t="s">
        <v>90</v>
      </c>
    </row>
    <row r="126" spans="11:13" x14ac:dyDescent="0.25">
      <c r="K126" t="s">
        <v>95</v>
      </c>
      <c r="L126">
        <f>SUMIFS(G$3:G$97,J$3:J$97,K$125)</f>
        <v>26530</v>
      </c>
      <c r="M126">
        <f>SUMIFS(Q$3:Q$97,J$3:J$97,K$125)</f>
        <v>37</v>
      </c>
    </row>
    <row r="127" spans="11:13" x14ac:dyDescent="0.25">
      <c r="K127" t="s">
        <v>98</v>
      </c>
      <c r="L127">
        <f>SUM(H100:H102)</f>
        <v>-813</v>
      </c>
      <c r="M127">
        <f>SUMIFS(Q$3:Q$97,J$3:J$97,K$125)</f>
        <v>37</v>
      </c>
    </row>
    <row r="128" spans="11:13" x14ac:dyDescent="0.25">
      <c r="K128" t="s">
        <v>100</v>
      </c>
    </row>
    <row r="129" spans="11:13" x14ac:dyDescent="0.25">
      <c r="K129" s="2" t="s">
        <v>102</v>
      </c>
    </row>
    <row r="130" spans="11:13" x14ac:dyDescent="0.25">
      <c r="K130" s="2" t="s">
        <v>105</v>
      </c>
    </row>
    <row r="131" spans="11:13" x14ac:dyDescent="0.25">
      <c r="L131" s="9">
        <f>SUBTOTAL(9,L126:L130)</f>
        <v>25717</v>
      </c>
      <c r="M131" s="9">
        <f>M126</f>
        <v>37</v>
      </c>
    </row>
  </sheetData>
  <autoFilter ref="A2:P97" xr:uid="{00000000-0009-0000-0000-000010000000}">
    <sortState xmlns:xlrd2="http://schemas.microsoft.com/office/spreadsheetml/2017/richdata2" ref="A3:P97">
      <sortCondition ref="J2:J97"/>
    </sortState>
  </autoFilter>
  <mergeCells count="8">
    <mergeCell ref="C106:D106"/>
    <mergeCell ref="C107:D107"/>
    <mergeCell ref="C109:D109"/>
    <mergeCell ref="C101:D101"/>
    <mergeCell ref="C102:D102"/>
    <mergeCell ref="C103:D103"/>
    <mergeCell ref="C104:D104"/>
    <mergeCell ref="C105:D105"/>
  </mergeCells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Q98"/>
  <sheetViews>
    <sheetView workbookViewId="0">
      <selection activeCell="L81" sqref="L81"/>
    </sheetView>
  </sheetViews>
  <sheetFormatPr defaultRowHeight="15" x14ac:dyDescent="0.25"/>
  <cols>
    <col min="1" max="1" width="12.7109375" customWidth="1"/>
    <col min="2" max="2" width="17.7109375" customWidth="1"/>
    <col min="3" max="3" width="31.85546875" customWidth="1"/>
    <col min="4" max="4" width="10.28515625" customWidth="1"/>
    <col min="5" max="5" width="66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2020</v>
      </c>
      <c r="D3" s="18" t="s">
        <v>2021</v>
      </c>
      <c r="E3" s="18" t="s">
        <v>2022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2023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2024</v>
      </c>
      <c r="D4" s="18" t="s">
        <v>2025</v>
      </c>
      <c r="E4" s="18" t="s">
        <v>2026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20</v>
      </c>
      <c r="K4" s="18" t="s">
        <v>21</v>
      </c>
      <c r="L4" s="18" t="s">
        <v>2023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2027</v>
      </c>
      <c r="D5" s="18" t="s">
        <v>2028</v>
      </c>
      <c r="E5" s="18" t="s">
        <v>2029</v>
      </c>
      <c r="F5" s="19">
        <v>9</v>
      </c>
      <c r="G5" s="19">
        <v>900</v>
      </c>
      <c r="H5" s="19">
        <v>30</v>
      </c>
      <c r="I5" s="19">
        <f t="shared" ref="I5:I14" si="0">G5-H5</f>
        <v>870</v>
      </c>
      <c r="J5" s="18" t="s">
        <v>20</v>
      </c>
      <c r="K5" s="18" t="s">
        <v>21</v>
      </c>
      <c r="L5" s="18" t="s">
        <v>2023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1446</v>
      </c>
      <c r="D6" s="18" t="s">
        <v>2030</v>
      </c>
      <c r="E6" s="18" t="s">
        <v>1448</v>
      </c>
      <c r="F6" s="19">
        <v>9</v>
      </c>
      <c r="G6" s="19">
        <v>480</v>
      </c>
      <c r="H6" s="19">
        <v>30</v>
      </c>
      <c r="I6" s="19">
        <f t="shared" si="0"/>
        <v>450</v>
      </c>
      <c r="J6" s="18" t="s">
        <v>20</v>
      </c>
      <c r="K6" s="18" t="s">
        <v>21</v>
      </c>
      <c r="L6" s="18" t="s">
        <v>2023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2031</v>
      </c>
      <c r="D7" s="18" t="s">
        <v>2032</v>
      </c>
      <c r="E7" s="18" t="s">
        <v>2033</v>
      </c>
      <c r="F7" s="19">
        <v>9</v>
      </c>
      <c r="G7" s="19">
        <v>1040</v>
      </c>
      <c r="H7" s="19">
        <v>30</v>
      </c>
      <c r="I7" s="19">
        <f t="shared" si="0"/>
        <v>1010</v>
      </c>
      <c r="J7" s="18" t="s">
        <v>20</v>
      </c>
      <c r="K7" s="18" t="s">
        <v>21</v>
      </c>
      <c r="L7" s="18" t="s">
        <v>2023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2034</v>
      </c>
      <c r="D8" s="18" t="s">
        <v>2035</v>
      </c>
      <c r="E8" s="18" t="s">
        <v>2036</v>
      </c>
      <c r="F8" s="19">
        <v>9</v>
      </c>
      <c r="G8" s="19">
        <v>3740</v>
      </c>
      <c r="H8" s="19">
        <v>35</v>
      </c>
      <c r="I8" s="19">
        <f t="shared" si="0"/>
        <v>3705</v>
      </c>
      <c r="J8" s="18" t="s">
        <v>20</v>
      </c>
      <c r="K8" s="18" t="s">
        <v>21</v>
      </c>
      <c r="L8" s="18" t="s">
        <v>2023</v>
      </c>
      <c r="M8" s="25" t="s">
        <v>398</v>
      </c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729</v>
      </c>
      <c r="D9" s="18" t="s">
        <v>2037</v>
      </c>
      <c r="E9" s="18" t="s">
        <v>2038</v>
      </c>
      <c r="F9" s="19">
        <v>9</v>
      </c>
      <c r="G9" s="19">
        <v>870</v>
      </c>
      <c r="H9" s="19">
        <v>30</v>
      </c>
      <c r="I9" s="19">
        <f t="shared" si="0"/>
        <v>840</v>
      </c>
      <c r="J9" s="18" t="s">
        <v>20</v>
      </c>
      <c r="K9" s="18" t="s">
        <v>21</v>
      </c>
      <c r="L9" s="18" t="s">
        <v>2023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466</v>
      </c>
      <c r="D10" s="18" t="s">
        <v>2039</v>
      </c>
      <c r="E10" s="18" t="s">
        <v>2040</v>
      </c>
      <c r="F10" s="19">
        <v>8</v>
      </c>
      <c r="G10" s="19">
        <v>690</v>
      </c>
      <c r="H10" s="19">
        <v>30</v>
      </c>
      <c r="I10" s="19">
        <f t="shared" si="0"/>
        <v>660</v>
      </c>
      <c r="J10" s="18" t="s">
        <v>2041</v>
      </c>
      <c r="K10" s="18" t="s">
        <v>21</v>
      </c>
      <c r="L10" s="18" t="s">
        <v>2023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2042</v>
      </c>
      <c r="D11" s="18" t="s">
        <v>2043</v>
      </c>
      <c r="E11" s="18" t="s">
        <v>2044</v>
      </c>
      <c r="F11" s="18" t="s">
        <v>217</v>
      </c>
      <c r="G11" s="19">
        <v>475</v>
      </c>
      <c r="H11" s="19">
        <v>25</v>
      </c>
      <c r="I11" s="19">
        <f t="shared" si="0"/>
        <v>450</v>
      </c>
      <c r="J11" s="18" t="s">
        <v>2041</v>
      </c>
      <c r="K11" s="18" t="s">
        <v>21</v>
      </c>
      <c r="L11" s="18" t="s">
        <v>2023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2045</v>
      </c>
      <c r="D12" s="18" t="s">
        <v>2046</v>
      </c>
      <c r="E12" s="18" t="s">
        <v>2047</v>
      </c>
      <c r="F12" s="19">
        <v>6</v>
      </c>
      <c r="G12" s="19">
        <v>1840</v>
      </c>
      <c r="H12" s="19">
        <v>25</v>
      </c>
      <c r="I12" s="19">
        <f t="shared" si="0"/>
        <v>1815</v>
      </c>
      <c r="J12" s="18" t="s">
        <v>2041</v>
      </c>
      <c r="K12" s="18" t="s">
        <v>21</v>
      </c>
      <c r="L12" s="18" t="s">
        <v>2023</v>
      </c>
      <c r="M12" s="25" t="s">
        <v>398</v>
      </c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2048</v>
      </c>
      <c r="D13" s="18" t="s">
        <v>2049</v>
      </c>
      <c r="E13" s="18" t="s">
        <v>2050</v>
      </c>
      <c r="F13" s="19">
        <v>12</v>
      </c>
      <c r="G13" s="19">
        <v>600</v>
      </c>
      <c r="H13" s="19">
        <v>30</v>
      </c>
      <c r="I13" s="19">
        <f t="shared" si="0"/>
        <v>570</v>
      </c>
      <c r="J13" s="18" t="s">
        <v>2041</v>
      </c>
      <c r="K13" s="18" t="s">
        <v>21</v>
      </c>
      <c r="L13" s="18" t="s">
        <v>2023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247</v>
      </c>
      <c r="D14" s="18" t="s">
        <v>2051</v>
      </c>
      <c r="E14" s="18" t="s">
        <v>249</v>
      </c>
      <c r="F14" s="18" t="s">
        <v>128</v>
      </c>
      <c r="G14" s="19">
        <v>385</v>
      </c>
      <c r="H14" s="19">
        <v>35</v>
      </c>
      <c r="I14" s="19">
        <f t="shared" si="0"/>
        <v>350</v>
      </c>
      <c r="J14" s="18" t="s">
        <v>2041</v>
      </c>
      <c r="K14" s="18" t="s">
        <v>21</v>
      </c>
      <c r="L14" s="18" t="s">
        <v>2023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2052</v>
      </c>
      <c r="D15" s="18" t="s">
        <v>2053</v>
      </c>
      <c r="E15" s="18" t="s">
        <v>2054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2041</v>
      </c>
      <c r="K15" s="18" t="s">
        <v>21</v>
      </c>
      <c r="L15" s="18" t="s">
        <v>2023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2055</v>
      </c>
      <c r="D16" s="18" t="s">
        <v>2056</v>
      </c>
      <c r="E16" s="18" t="s">
        <v>2057</v>
      </c>
      <c r="F16" s="18" t="s">
        <v>26</v>
      </c>
      <c r="G16" s="19">
        <v>790</v>
      </c>
      <c r="H16" s="19">
        <v>30</v>
      </c>
      <c r="I16" s="19">
        <f>G16-H16</f>
        <v>760</v>
      </c>
      <c r="J16" s="18" t="s">
        <v>2041</v>
      </c>
      <c r="K16" s="18" t="s">
        <v>21</v>
      </c>
      <c r="L16" s="18" t="s">
        <v>2023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2058</v>
      </c>
      <c r="D17" s="18" t="s">
        <v>2059</v>
      </c>
      <c r="E17" s="18" t="s">
        <v>2060</v>
      </c>
      <c r="F17" s="18" t="s">
        <v>26</v>
      </c>
      <c r="G17" s="19">
        <v>700</v>
      </c>
      <c r="H17" s="19">
        <v>30</v>
      </c>
      <c r="I17" s="19">
        <f>G17-H17</f>
        <v>670</v>
      </c>
      <c r="J17" s="18" t="s">
        <v>2041</v>
      </c>
      <c r="K17" s="18" t="s">
        <v>21</v>
      </c>
      <c r="L17" s="18" t="s">
        <v>2023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2061</v>
      </c>
      <c r="D18" s="18" t="s">
        <v>2062</v>
      </c>
      <c r="E18" s="18" t="s">
        <v>2063</v>
      </c>
      <c r="F18" s="19">
        <v>7</v>
      </c>
      <c r="G18" s="19">
        <v>470</v>
      </c>
      <c r="H18" s="19">
        <v>30</v>
      </c>
      <c r="I18" s="19">
        <f>G18-H18</f>
        <v>440</v>
      </c>
      <c r="J18" s="18" t="s">
        <v>2041</v>
      </c>
      <c r="K18" s="18" t="s">
        <v>21</v>
      </c>
      <c r="L18" s="18" t="s">
        <v>2023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2064</v>
      </c>
      <c r="D19" s="18" t="s">
        <v>2065</v>
      </c>
      <c r="E19" s="18" t="s">
        <v>2066</v>
      </c>
      <c r="F19" s="19">
        <v>12</v>
      </c>
      <c r="G19" s="19">
        <v>480</v>
      </c>
      <c r="H19" s="19">
        <v>30</v>
      </c>
      <c r="I19" s="19">
        <f>G19-H19</f>
        <v>450</v>
      </c>
      <c r="J19" s="18" t="s">
        <v>2041</v>
      </c>
      <c r="K19" s="18" t="s">
        <v>21</v>
      </c>
      <c r="L19" s="18" t="s">
        <v>2023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343</v>
      </c>
      <c r="D20" s="18" t="s">
        <v>2067</v>
      </c>
      <c r="E20" s="18" t="s">
        <v>2068</v>
      </c>
      <c r="F20" s="18" t="s">
        <v>217</v>
      </c>
      <c r="G20" s="19">
        <v>0</v>
      </c>
      <c r="H20" s="19">
        <v>25</v>
      </c>
      <c r="I20" s="19">
        <f>-H20</f>
        <v>-25</v>
      </c>
      <c r="J20" s="18" t="s">
        <v>2041</v>
      </c>
      <c r="K20" s="18" t="s">
        <v>21</v>
      </c>
      <c r="L20" s="18" t="s">
        <v>2023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2069</v>
      </c>
      <c r="D21" s="18" t="s">
        <v>2070</v>
      </c>
      <c r="E21" s="18" t="s">
        <v>2071</v>
      </c>
      <c r="F21" s="18" t="s">
        <v>26</v>
      </c>
      <c r="G21" s="19">
        <v>890</v>
      </c>
      <c r="H21" s="19">
        <v>30</v>
      </c>
      <c r="I21" s="19">
        <f t="shared" ref="I21:I30" si="1">G21-H21</f>
        <v>860</v>
      </c>
      <c r="J21" s="18" t="s">
        <v>2041</v>
      </c>
      <c r="K21" s="18" t="s">
        <v>21</v>
      </c>
      <c r="L21" s="18" t="s">
        <v>2023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28</v>
      </c>
      <c r="D22" s="18" t="s">
        <v>2072</v>
      </c>
      <c r="E22" s="18" t="s">
        <v>30</v>
      </c>
      <c r="F22" s="19">
        <v>7</v>
      </c>
      <c r="G22" s="19">
        <v>870</v>
      </c>
      <c r="H22" s="19">
        <v>30</v>
      </c>
      <c r="I22" s="19">
        <f t="shared" si="1"/>
        <v>840</v>
      </c>
      <c r="J22" s="18" t="s">
        <v>2041</v>
      </c>
      <c r="K22" s="18" t="s">
        <v>21</v>
      </c>
      <c r="L22" s="18" t="s">
        <v>2023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2073</v>
      </c>
      <c r="D23" s="18" t="s">
        <v>2074</v>
      </c>
      <c r="E23" s="18" t="s">
        <v>2075</v>
      </c>
      <c r="F23" s="19">
        <v>9</v>
      </c>
      <c r="G23" s="19">
        <v>560</v>
      </c>
      <c r="H23" s="19">
        <v>30</v>
      </c>
      <c r="I23" s="19">
        <f t="shared" si="1"/>
        <v>530</v>
      </c>
      <c r="J23" s="18" t="s">
        <v>2041</v>
      </c>
      <c r="K23" s="18" t="s">
        <v>21</v>
      </c>
      <c r="L23" s="18" t="s">
        <v>2023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1831</v>
      </c>
      <c r="D24" s="18" t="s">
        <v>2076</v>
      </c>
      <c r="E24" s="18" t="s">
        <v>2077</v>
      </c>
      <c r="F24" s="19">
        <v>11</v>
      </c>
      <c r="G24" s="19">
        <v>955</v>
      </c>
      <c r="H24" s="19">
        <v>25</v>
      </c>
      <c r="I24" s="19">
        <f t="shared" si="1"/>
        <v>930</v>
      </c>
      <c r="J24" s="18" t="s">
        <v>2041</v>
      </c>
      <c r="K24" s="18" t="s">
        <v>21</v>
      </c>
      <c r="L24" s="18" t="s">
        <v>2023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2078</v>
      </c>
      <c r="D25" s="18" t="s">
        <v>2079</v>
      </c>
      <c r="E25" s="18" t="s">
        <v>2080</v>
      </c>
      <c r="F25" s="18" t="s">
        <v>26</v>
      </c>
      <c r="G25" s="19">
        <v>900</v>
      </c>
      <c r="H25" s="19">
        <v>30</v>
      </c>
      <c r="I25" s="19">
        <f t="shared" si="1"/>
        <v>870</v>
      </c>
      <c r="J25" s="18" t="s">
        <v>2041</v>
      </c>
      <c r="K25" s="18" t="s">
        <v>21</v>
      </c>
      <c r="L25" s="18" t="s">
        <v>2023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676</v>
      </c>
      <c r="D26" s="18" t="s">
        <v>2081</v>
      </c>
      <c r="E26" s="18" t="s">
        <v>678</v>
      </c>
      <c r="F26" s="19">
        <v>6</v>
      </c>
      <c r="G26" s="19">
        <v>475</v>
      </c>
      <c r="H26" s="19">
        <v>25</v>
      </c>
      <c r="I26" s="19">
        <f t="shared" si="1"/>
        <v>450</v>
      </c>
      <c r="J26" s="18" t="s">
        <v>2041</v>
      </c>
      <c r="K26" s="18" t="s">
        <v>21</v>
      </c>
      <c r="L26" s="18" t="s">
        <v>2023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2082</v>
      </c>
      <c r="D27" s="18" t="s">
        <v>2083</v>
      </c>
      <c r="E27" s="18" t="s">
        <v>2084</v>
      </c>
      <c r="F27" s="19">
        <v>12</v>
      </c>
      <c r="G27" s="19">
        <v>480</v>
      </c>
      <c r="H27" s="19">
        <v>30</v>
      </c>
      <c r="I27" s="19">
        <f t="shared" si="1"/>
        <v>450</v>
      </c>
      <c r="J27" s="18" t="s">
        <v>2041</v>
      </c>
      <c r="K27" s="18" t="s">
        <v>21</v>
      </c>
      <c r="L27" s="18" t="s">
        <v>2023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2085</v>
      </c>
      <c r="D28" s="18" t="s">
        <v>2086</v>
      </c>
      <c r="E28" s="18" t="s">
        <v>2087</v>
      </c>
      <c r="F28" s="19">
        <v>6</v>
      </c>
      <c r="G28" s="19">
        <v>975</v>
      </c>
      <c r="H28" s="19">
        <v>25</v>
      </c>
      <c r="I28" s="19">
        <f t="shared" si="1"/>
        <v>950</v>
      </c>
      <c r="J28" s="18" t="s">
        <v>2041</v>
      </c>
      <c r="K28" s="18" t="s">
        <v>21</v>
      </c>
      <c r="L28" s="18" t="s">
        <v>2023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2088</v>
      </c>
      <c r="D29" s="18" t="s">
        <v>2089</v>
      </c>
      <c r="E29" s="18" t="s">
        <v>2090</v>
      </c>
      <c r="F29" s="19">
        <v>7</v>
      </c>
      <c r="G29" s="19">
        <v>850</v>
      </c>
      <c r="H29" s="19">
        <v>30</v>
      </c>
      <c r="I29" s="19">
        <f t="shared" si="1"/>
        <v>820</v>
      </c>
      <c r="J29" s="18" t="s">
        <v>2041</v>
      </c>
      <c r="K29" s="18" t="s">
        <v>21</v>
      </c>
      <c r="L29" s="18" t="s">
        <v>2023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2091</v>
      </c>
      <c r="D30" s="18" t="s">
        <v>2092</v>
      </c>
      <c r="E30" s="18" t="s">
        <v>2093</v>
      </c>
      <c r="F30" s="19">
        <v>7</v>
      </c>
      <c r="G30" s="19">
        <v>920</v>
      </c>
      <c r="H30" s="19">
        <v>30</v>
      </c>
      <c r="I30" s="19">
        <f t="shared" si="1"/>
        <v>890</v>
      </c>
      <c r="J30" s="18" t="s">
        <v>2041</v>
      </c>
      <c r="K30" s="18" t="s">
        <v>21</v>
      </c>
      <c r="L30" s="18" t="s">
        <v>2023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2094</v>
      </c>
      <c r="D31" s="18" t="s">
        <v>2095</v>
      </c>
      <c r="E31" s="18" t="s">
        <v>2096</v>
      </c>
      <c r="F31" s="18" t="s">
        <v>88</v>
      </c>
      <c r="G31" s="19">
        <v>0</v>
      </c>
      <c r="H31" s="19">
        <v>25</v>
      </c>
      <c r="I31" s="19">
        <f>-H31</f>
        <v>-25</v>
      </c>
      <c r="J31" s="18" t="s">
        <v>2041</v>
      </c>
      <c r="K31" s="18" t="s">
        <v>21</v>
      </c>
      <c r="L31" s="18" t="s">
        <v>2023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116</v>
      </c>
      <c r="D32" s="18" t="s">
        <v>2097</v>
      </c>
      <c r="E32" s="18" t="s">
        <v>1382</v>
      </c>
      <c r="F32" s="18" t="s">
        <v>26</v>
      </c>
      <c r="G32" s="19">
        <v>1220</v>
      </c>
      <c r="H32" s="19">
        <v>30</v>
      </c>
      <c r="I32" s="19">
        <f>G32-H32</f>
        <v>1190</v>
      </c>
      <c r="J32" s="18" t="s">
        <v>2041</v>
      </c>
      <c r="K32" s="18" t="s">
        <v>21</v>
      </c>
      <c r="L32" s="18" t="s">
        <v>2023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2098</v>
      </c>
      <c r="D33" s="18"/>
      <c r="E33" s="18" t="s">
        <v>2099</v>
      </c>
      <c r="F33" s="18" t="s">
        <v>26</v>
      </c>
      <c r="G33" s="19">
        <v>0</v>
      </c>
      <c r="H33" s="19">
        <v>35</v>
      </c>
      <c r="I33" s="19">
        <f>-H33</f>
        <v>-35</v>
      </c>
      <c r="J33" s="18" t="s">
        <v>2041</v>
      </c>
      <c r="K33" s="18" t="s">
        <v>21</v>
      </c>
      <c r="L33" s="18" t="s">
        <v>2023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2100</v>
      </c>
      <c r="D34" s="18" t="s">
        <v>2101</v>
      </c>
      <c r="E34" s="18" t="s">
        <v>2102</v>
      </c>
      <c r="F34" s="18" t="s">
        <v>68</v>
      </c>
      <c r="G34" s="19">
        <v>470</v>
      </c>
      <c r="H34" s="19">
        <v>20</v>
      </c>
      <c r="I34" s="19">
        <f>G34-H34</f>
        <v>450</v>
      </c>
      <c r="J34" s="18" t="s">
        <v>21</v>
      </c>
      <c r="K34" s="18" t="s">
        <v>21</v>
      </c>
      <c r="L34" s="18" t="s">
        <v>2023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414</v>
      </c>
      <c r="D35" s="18" t="s">
        <v>2103</v>
      </c>
      <c r="E35" s="18" t="s">
        <v>2104</v>
      </c>
      <c r="F35" s="19">
        <v>12</v>
      </c>
      <c r="G35" s="19">
        <v>0</v>
      </c>
      <c r="H35" s="19">
        <v>40</v>
      </c>
      <c r="I35" s="19">
        <f>-H35</f>
        <v>-40</v>
      </c>
      <c r="J35" s="18" t="s">
        <v>21</v>
      </c>
      <c r="K35" s="18" t="s">
        <v>21</v>
      </c>
      <c r="L35" s="18" t="s">
        <v>2023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2105</v>
      </c>
      <c r="D36" s="18" t="s">
        <v>2106</v>
      </c>
      <c r="E36" s="18" t="s">
        <v>2107</v>
      </c>
      <c r="F36" s="19">
        <v>2</v>
      </c>
      <c r="G36" s="19">
        <v>890</v>
      </c>
      <c r="H36" s="19">
        <v>30</v>
      </c>
      <c r="I36" s="19">
        <f t="shared" ref="I36:I44" si="2">G36-H36</f>
        <v>860</v>
      </c>
      <c r="J36" s="18" t="s">
        <v>21</v>
      </c>
      <c r="K36" s="18" t="s">
        <v>21</v>
      </c>
      <c r="L36" s="18" t="s">
        <v>2023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2108</v>
      </c>
      <c r="D37" s="18" t="s">
        <v>2109</v>
      </c>
      <c r="E37" s="18" t="s">
        <v>2110</v>
      </c>
      <c r="F37" s="18" t="s">
        <v>72</v>
      </c>
      <c r="G37" s="19">
        <v>2000</v>
      </c>
      <c r="H37" s="19">
        <v>25</v>
      </c>
      <c r="I37" s="19">
        <f t="shared" si="2"/>
        <v>1975</v>
      </c>
      <c r="J37" s="18" t="s">
        <v>21</v>
      </c>
      <c r="K37" s="18" t="s">
        <v>21</v>
      </c>
      <c r="L37" s="18" t="s">
        <v>2023</v>
      </c>
      <c r="M37" s="25" t="s">
        <v>398</v>
      </c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247</v>
      </c>
      <c r="D38" s="18" t="s">
        <v>2111</v>
      </c>
      <c r="E38" s="18" t="s">
        <v>2112</v>
      </c>
      <c r="F38" s="18" t="s">
        <v>72</v>
      </c>
      <c r="G38" s="19">
        <v>555</v>
      </c>
      <c r="H38" s="19">
        <v>25</v>
      </c>
      <c r="I38" s="19">
        <f t="shared" si="2"/>
        <v>530</v>
      </c>
      <c r="J38" s="18" t="s">
        <v>21</v>
      </c>
      <c r="K38" s="18" t="s">
        <v>21</v>
      </c>
      <c r="L38" s="18" t="s">
        <v>2023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2113</v>
      </c>
      <c r="D39" s="18" t="s">
        <v>2114</v>
      </c>
      <c r="E39" s="18" t="s">
        <v>2115</v>
      </c>
      <c r="F39" s="18" t="s">
        <v>68</v>
      </c>
      <c r="G39" s="19">
        <v>550</v>
      </c>
      <c r="H39" s="19">
        <v>20</v>
      </c>
      <c r="I39" s="19">
        <f t="shared" si="2"/>
        <v>530</v>
      </c>
      <c r="J39" s="18" t="s">
        <v>21</v>
      </c>
      <c r="K39" s="18" t="s">
        <v>21</v>
      </c>
      <c r="L39" s="18" t="s">
        <v>2023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147</v>
      </c>
      <c r="D40" s="18" t="s">
        <v>2116</v>
      </c>
      <c r="E40" s="18" t="s">
        <v>149</v>
      </c>
      <c r="F40" s="18" t="s">
        <v>68</v>
      </c>
      <c r="G40" s="19">
        <v>4910</v>
      </c>
      <c r="H40" s="19">
        <v>30</v>
      </c>
      <c r="I40" s="19">
        <f t="shared" si="2"/>
        <v>4880</v>
      </c>
      <c r="J40" s="18" t="s">
        <v>21</v>
      </c>
      <c r="K40" s="18" t="s">
        <v>21</v>
      </c>
      <c r="L40" s="18" t="s">
        <v>2023</v>
      </c>
      <c r="M40" s="25" t="s">
        <v>398</v>
      </c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2117</v>
      </c>
      <c r="D41" s="18" t="s">
        <v>2118</v>
      </c>
      <c r="E41" s="18" t="s">
        <v>2119</v>
      </c>
      <c r="F41" s="19">
        <v>2</v>
      </c>
      <c r="G41" s="19">
        <v>880</v>
      </c>
      <c r="H41" s="19">
        <v>30</v>
      </c>
      <c r="I41" s="19">
        <f t="shared" si="2"/>
        <v>850</v>
      </c>
      <c r="J41" s="18" t="s">
        <v>21</v>
      </c>
      <c r="K41" s="18" t="s">
        <v>21</v>
      </c>
      <c r="L41" s="18" t="s">
        <v>2023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349</v>
      </c>
      <c r="D42" s="18" t="s">
        <v>2120</v>
      </c>
      <c r="E42" s="18" t="s">
        <v>949</v>
      </c>
      <c r="F42" s="18" t="s">
        <v>72</v>
      </c>
      <c r="G42" s="19">
        <v>1395</v>
      </c>
      <c r="H42" s="19">
        <v>25</v>
      </c>
      <c r="I42" s="19">
        <f t="shared" si="2"/>
        <v>1370</v>
      </c>
      <c r="J42" s="18" t="s">
        <v>21</v>
      </c>
      <c r="K42" s="18" t="s">
        <v>21</v>
      </c>
      <c r="L42" s="18" t="s">
        <v>2023</v>
      </c>
      <c r="M42" s="18"/>
      <c r="N42" s="18"/>
      <c r="O42" s="18"/>
      <c r="P42" s="18"/>
      <c r="Q42" s="18">
        <v>1</v>
      </c>
    </row>
    <row r="43" spans="1:17" x14ac:dyDescent="0.25">
      <c r="A43" s="18" t="s">
        <v>62</v>
      </c>
      <c r="B43" s="18" t="s">
        <v>16</v>
      </c>
      <c r="C43" s="18" t="s">
        <v>2121</v>
      </c>
      <c r="D43" s="18"/>
      <c r="E43" s="18" t="s">
        <v>2122</v>
      </c>
      <c r="F43" s="18" t="s">
        <v>153</v>
      </c>
      <c r="G43" s="19">
        <v>35</v>
      </c>
      <c r="H43" s="19">
        <v>35</v>
      </c>
      <c r="I43" s="19">
        <f t="shared" si="2"/>
        <v>0</v>
      </c>
      <c r="J43" s="18" t="s">
        <v>21</v>
      </c>
      <c r="K43" s="18" t="s">
        <v>21</v>
      </c>
      <c r="L43" s="18" t="s">
        <v>2023</v>
      </c>
      <c r="M43" s="18"/>
      <c r="N43" s="18"/>
      <c r="O43" s="18"/>
      <c r="P43" s="18"/>
      <c r="Q43" s="18">
        <v>1</v>
      </c>
    </row>
    <row r="44" spans="1:17" x14ac:dyDescent="0.25">
      <c r="A44" s="18" t="s">
        <v>62</v>
      </c>
      <c r="B44" s="18" t="s">
        <v>16</v>
      </c>
      <c r="C44" s="18" t="s">
        <v>640</v>
      </c>
      <c r="D44" s="18"/>
      <c r="E44" s="18" t="s">
        <v>641</v>
      </c>
      <c r="F44" s="18" t="s">
        <v>72</v>
      </c>
      <c r="G44" s="19">
        <v>2310</v>
      </c>
      <c r="H44" s="19">
        <v>30</v>
      </c>
      <c r="I44" s="19">
        <f t="shared" si="2"/>
        <v>2280</v>
      </c>
      <c r="J44" s="18" t="s">
        <v>21</v>
      </c>
      <c r="K44" s="18" t="s">
        <v>21</v>
      </c>
      <c r="L44" s="18" t="s">
        <v>2023</v>
      </c>
      <c r="M44" s="18"/>
      <c r="N44" s="18"/>
      <c r="O44" s="18"/>
      <c r="P44" s="18"/>
      <c r="Q44" s="18">
        <v>1</v>
      </c>
    </row>
    <row r="45" spans="1:17" x14ac:dyDescent="0.25">
      <c r="A45" s="18" t="s">
        <v>62</v>
      </c>
      <c r="B45" s="18" t="s">
        <v>16</v>
      </c>
      <c r="C45" s="18" t="s">
        <v>320</v>
      </c>
      <c r="D45" s="18"/>
      <c r="E45" s="18" t="s">
        <v>321</v>
      </c>
      <c r="F45" s="18" t="s">
        <v>72</v>
      </c>
      <c r="G45" s="19">
        <v>0</v>
      </c>
      <c r="H45" s="19">
        <v>30</v>
      </c>
      <c r="I45" s="19">
        <f>-H45</f>
        <v>-30</v>
      </c>
      <c r="J45" s="18" t="s">
        <v>21</v>
      </c>
      <c r="K45" s="18" t="s">
        <v>21</v>
      </c>
      <c r="L45" s="18" t="s">
        <v>2023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2123</v>
      </c>
      <c r="D46" s="18" t="s">
        <v>2124</v>
      </c>
      <c r="E46" s="18" t="s">
        <v>2125</v>
      </c>
      <c r="F46" s="19">
        <v>3</v>
      </c>
      <c r="G46" s="19">
        <v>555</v>
      </c>
      <c r="H46" s="19">
        <v>25</v>
      </c>
      <c r="I46" s="19">
        <f>G46-H46</f>
        <v>530</v>
      </c>
      <c r="J46" s="18" t="s">
        <v>165</v>
      </c>
      <c r="K46" s="18" t="s">
        <v>21</v>
      </c>
      <c r="L46" s="18" t="s">
        <v>2023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991</v>
      </c>
      <c r="D47" s="18" t="s">
        <v>2126</v>
      </c>
      <c r="E47" s="18" t="s">
        <v>993</v>
      </c>
      <c r="F47" s="18" t="s">
        <v>88</v>
      </c>
      <c r="G47" s="19">
        <v>1925</v>
      </c>
      <c r="H47" s="19">
        <v>25</v>
      </c>
      <c r="I47" s="19">
        <f>G47-H47</f>
        <v>1900</v>
      </c>
      <c r="J47" s="18" t="s">
        <v>165</v>
      </c>
      <c r="K47" s="18" t="s">
        <v>21</v>
      </c>
      <c r="L47" s="18" t="s">
        <v>2023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645</v>
      </c>
      <c r="D48" s="18" t="s">
        <v>2127</v>
      </c>
      <c r="E48" s="18" t="s">
        <v>647</v>
      </c>
      <c r="F48" s="19">
        <v>1</v>
      </c>
      <c r="G48" s="19">
        <v>595</v>
      </c>
      <c r="H48" s="19">
        <v>25</v>
      </c>
      <c r="I48" s="19">
        <f>G48-H48</f>
        <v>570</v>
      </c>
      <c r="J48" s="18" t="s">
        <v>165</v>
      </c>
      <c r="K48" s="18" t="s">
        <v>21</v>
      </c>
      <c r="L48" s="18" t="s">
        <v>2023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2128</v>
      </c>
      <c r="D49" s="18" t="s">
        <v>2129</v>
      </c>
      <c r="E49" s="18" t="s">
        <v>2130</v>
      </c>
      <c r="F49" s="18" t="s">
        <v>88</v>
      </c>
      <c r="G49" s="19">
        <v>0</v>
      </c>
      <c r="H49" s="19">
        <v>25</v>
      </c>
      <c r="I49" s="19">
        <f>-H49</f>
        <v>-25</v>
      </c>
      <c r="J49" s="18" t="s">
        <v>165</v>
      </c>
      <c r="K49" s="18" t="s">
        <v>21</v>
      </c>
      <c r="L49" s="18" t="s">
        <v>2023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887</v>
      </c>
      <c r="D50" s="18" t="s">
        <v>2131</v>
      </c>
      <c r="E50" s="18" t="s">
        <v>889</v>
      </c>
      <c r="F50" s="18" t="s">
        <v>85</v>
      </c>
      <c r="G50" s="19">
        <v>880</v>
      </c>
      <c r="H50" s="19">
        <v>20</v>
      </c>
      <c r="I50" s="19">
        <f>G50-H50</f>
        <v>860</v>
      </c>
      <c r="J50" s="18" t="s">
        <v>165</v>
      </c>
      <c r="K50" s="18" t="s">
        <v>21</v>
      </c>
      <c r="L50" s="18" t="s">
        <v>2023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2132</v>
      </c>
      <c r="D51" s="18" t="s">
        <v>2133</v>
      </c>
      <c r="E51" s="18" t="s">
        <v>2134</v>
      </c>
      <c r="F51" s="19">
        <v>1</v>
      </c>
      <c r="G51" s="19">
        <v>275</v>
      </c>
      <c r="H51" s="19">
        <v>25</v>
      </c>
      <c r="I51" s="19">
        <f>G51-H51</f>
        <v>250</v>
      </c>
      <c r="J51" s="18" t="s">
        <v>165</v>
      </c>
      <c r="K51" s="18" t="s">
        <v>21</v>
      </c>
      <c r="L51" s="18" t="s">
        <v>2023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2135</v>
      </c>
      <c r="D52" s="18" t="s">
        <v>2136</v>
      </c>
      <c r="E52" s="18" t="s">
        <v>2137</v>
      </c>
      <c r="F52" s="19">
        <v>5</v>
      </c>
      <c r="G52" s="19">
        <v>0</v>
      </c>
      <c r="H52" s="19">
        <v>25</v>
      </c>
      <c r="I52" s="19">
        <f>G52-H52</f>
        <v>-25</v>
      </c>
      <c r="J52" s="18" t="s">
        <v>165</v>
      </c>
      <c r="K52" s="18" t="s">
        <v>21</v>
      </c>
      <c r="L52" s="18" t="s">
        <v>2023</v>
      </c>
      <c r="M52" s="25" t="s">
        <v>2138</v>
      </c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2139</v>
      </c>
      <c r="D53" s="18" t="s">
        <v>2140</v>
      </c>
      <c r="E53" s="18" t="s">
        <v>2141</v>
      </c>
      <c r="F53" s="19">
        <v>5</v>
      </c>
      <c r="G53" s="19">
        <v>755</v>
      </c>
      <c r="H53" s="19">
        <v>25</v>
      </c>
      <c r="I53" s="19">
        <f>G53-H53</f>
        <v>730</v>
      </c>
      <c r="J53" s="18" t="s">
        <v>165</v>
      </c>
      <c r="K53" s="18" t="s">
        <v>21</v>
      </c>
      <c r="L53" s="18" t="s">
        <v>2023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1276</v>
      </c>
      <c r="D54" s="18" t="s">
        <v>2142</v>
      </c>
      <c r="E54" s="18" t="s">
        <v>1278</v>
      </c>
      <c r="F54" s="18" t="s">
        <v>88</v>
      </c>
      <c r="G54" s="19">
        <v>915</v>
      </c>
      <c r="H54" s="19">
        <v>25</v>
      </c>
      <c r="I54" s="19">
        <f>G54-H54</f>
        <v>890</v>
      </c>
      <c r="J54" s="18" t="s">
        <v>165</v>
      </c>
      <c r="K54" s="18" t="s">
        <v>21</v>
      </c>
      <c r="L54" s="18" t="s">
        <v>2023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707</v>
      </c>
      <c r="D55" s="18" t="s">
        <v>2143</v>
      </c>
      <c r="E55" s="18" t="s">
        <v>2144</v>
      </c>
      <c r="F55" s="18" t="s">
        <v>85</v>
      </c>
      <c r="G55" s="19">
        <v>0</v>
      </c>
      <c r="H55" s="19">
        <v>20</v>
      </c>
      <c r="I55" s="19">
        <f>-H55</f>
        <v>-20</v>
      </c>
      <c r="J55" s="18" t="s">
        <v>165</v>
      </c>
      <c r="K55" s="18" t="s">
        <v>21</v>
      </c>
      <c r="L55" s="18" t="s">
        <v>2023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2145</v>
      </c>
      <c r="D56" s="18" t="s">
        <v>2146</v>
      </c>
      <c r="E56" s="18" t="s">
        <v>2147</v>
      </c>
      <c r="F56" s="19">
        <v>4</v>
      </c>
      <c r="G56" s="19">
        <v>3670</v>
      </c>
      <c r="H56" s="19">
        <v>30</v>
      </c>
      <c r="I56" s="19">
        <f>G56-H56</f>
        <v>3640</v>
      </c>
      <c r="J56" s="18" t="s">
        <v>165</v>
      </c>
      <c r="K56" s="18" t="s">
        <v>21</v>
      </c>
      <c r="L56" s="18" t="s">
        <v>2023</v>
      </c>
      <c r="M56" s="25" t="s">
        <v>398</v>
      </c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2148</v>
      </c>
      <c r="D57" s="18" t="s">
        <v>2149</v>
      </c>
      <c r="E57" s="18" t="s">
        <v>2150</v>
      </c>
      <c r="F57" s="18" t="s">
        <v>88</v>
      </c>
      <c r="G57" s="19">
        <v>1085</v>
      </c>
      <c r="H57" s="19">
        <v>25</v>
      </c>
      <c r="I57" s="19">
        <f>G57-H57</f>
        <v>1060</v>
      </c>
      <c r="J57" s="18" t="s">
        <v>165</v>
      </c>
      <c r="K57" s="18" t="s">
        <v>21</v>
      </c>
      <c r="L57" s="18" t="s">
        <v>2023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2151</v>
      </c>
      <c r="D58" s="18" t="s">
        <v>2152</v>
      </c>
      <c r="E58" s="18" t="s">
        <v>2153</v>
      </c>
      <c r="F58" s="18" t="s">
        <v>85</v>
      </c>
      <c r="G58" s="19">
        <v>0</v>
      </c>
      <c r="H58" s="19">
        <v>20</v>
      </c>
      <c r="I58" s="19">
        <f>-H58</f>
        <v>-20</v>
      </c>
      <c r="J58" s="18" t="s">
        <v>165</v>
      </c>
      <c r="K58" s="18" t="s">
        <v>21</v>
      </c>
      <c r="L58" s="18" t="s">
        <v>2023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2154</v>
      </c>
      <c r="D59" s="18" t="s">
        <v>2155</v>
      </c>
      <c r="E59" s="18" t="s">
        <v>2156</v>
      </c>
      <c r="F59" s="19">
        <v>4</v>
      </c>
      <c r="G59" s="19">
        <v>1485</v>
      </c>
      <c r="H59" s="19">
        <v>25</v>
      </c>
      <c r="I59" s="19">
        <f t="shared" ref="I59:I64" si="3">G59-H59</f>
        <v>1460</v>
      </c>
      <c r="J59" s="18" t="s">
        <v>165</v>
      </c>
      <c r="K59" s="18" t="s">
        <v>21</v>
      </c>
      <c r="L59" s="18" t="s">
        <v>2023</v>
      </c>
      <c r="M59" s="18"/>
      <c r="N59" s="18"/>
      <c r="O59" s="18"/>
      <c r="P59" s="18"/>
      <c r="Q59" s="18">
        <v>1</v>
      </c>
    </row>
    <row r="60" spans="1:17" s="2" customFormat="1" x14ac:dyDescent="0.25">
      <c r="A60" s="20"/>
      <c r="B60" s="20" t="s">
        <v>16</v>
      </c>
      <c r="C60" s="20" t="s">
        <v>2157</v>
      </c>
      <c r="D60" s="20" t="s">
        <v>2158</v>
      </c>
      <c r="E60" s="20" t="s">
        <v>2159</v>
      </c>
      <c r="F60" s="20" t="s">
        <v>780</v>
      </c>
      <c r="G60" s="21">
        <v>570</v>
      </c>
      <c r="H60" s="21">
        <v>0</v>
      </c>
      <c r="I60" s="21">
        <f t="shared" si="3"/>
        <v>570</v>
      </c>
      <c r="J60" s="20" t="s">
        <v>446</v>
      </c>
      <c r="K60" s="20" t="s">
        <v>21</v>
      </c>
      <c r="L60" s="20" t="s">
        <v>2023</v>
      </c>
      <c r="M60" s="20" t="s">
        <v>781</v>
      </c>
      <c r="N60" s="20" t="s">
        <v>448</v>
      </c>
      <c r="O60" s="20"/>
      <c r="P60" s="20" t="s">
        <v>449</v>
      </c>
      <c r="Q60" s="20">
        <v>1</v>
      </c>
    </row>
    <row r="61" spans="1:17" s="2" customFormat="1" x14ac:dyDescent="0.25">
      <c r="A61" s="20"/>
      <c r="B61" s="20" t="s">
        <v>16</v>
      </c>
      <c r="C61" s="20" t="s">
        <v>1194</v>
      </c>
      <c r="D61" s="20" t="s">
        <v>1195</v>
      </c>
      <c r="E61" s="20" t="s">
        <v>1196</v>
      </c>
      <c r="F61" s="21">
        <v>8</v>
      </c>
      <c r="G61" s="21">
        <v>380</v>
      </c>
      <c r="H61" s="21">
        <v>30</v>
      </c>
      <c r="I61" s="21">
        <f t="shared" si="3"/>
        <v>350</v>
      </c>
      <c r="J61" s="20" t="s">
        <v>446</v>
      </c>
      <c r="K61" s="20" t="s">
        <v>21</v>
      </c>
      <c r="L61" s="20" t="s">
        <v>1148</v>
      </c>
      <c r="M61" s="20" t="s">
        <v>102</v>
      </c>
      <c r="N61" s="20" t="s">
        <v>448</v>
      </c>
      <c r="O61" s="20" t="s">
        <v>448</v>
      </c>
      <c r="P61" s="20" t="s">
        <v>449</v>
      </c>
      <c r="Q61" s="20">
        <v>1</v>
      </c>
    </row>
    <row r="62" spans="1:17" s="2" customFormat="1" x14ac:dyDescent="0.25">
      <c r="A62" s="20"/>
      <c r="B62" s="20" t="s">
        <v>16</v>
      </c>
      <c r="C62" s="20" t="s">
        <v>1053</v>
      </c>
      <c r="D62" s="20" t="s">
        <v>1054</v>
      </c>
      <c r="E62" s="20" t="s">
        <v>1055</v>
      </c>
      <c r="F62" s="20" t="s">
        <v>217</v>
      </c>
      <c r="G62" s="21">
        <v>2970</v>
      </c>
      <c r="H62" s="21">
        <v>30</v>
      </c>
      <c r="I62" s="21">
        <f t="shared" si="3"/>
        <v>2940</v>
      </c>
      <c r="J62" s="20" t="s">
        <v>446</v>
      </c>
      <c r="K62" s="20" t="s">
        <v>21</v>
      </c>
      <c r="L62" s="20" t="s">
        <v>1032</v>
      </c>
      <c r="M62" s="20" t="s">
        <v>102</v>
      </c>
      <c r="N62" s="20" t="s">
        <v>448</v>
      </c>
      <c r="O62" s="20" t="s">
        <v>448</v>
      </c>
      <c r="P62" s="20" t="s">
        <v>449</v>
      </c>
      <c r="Q62" s="20">
        <v>1</v>
      </c>
    </row>
    <row r="63" spans="1:17" s="2" customFormat="1" x14ac:dyDescent="0.25">
      <c r="A63" s="20"/>
      <c r="B63" s="20" t="s">
        <v>16</v>
      </c>
      <c r="C63" s="20" t="s">
        <v>1367</v>
      </c>
      <c r="D63" s="20" t="s">
        <v>1611</v>
      </c>
      <c r="E63" s="20" t="s">
        <v>1369</v>
      </c>
      <c r="F63" s="20" t="s">
        <v>128</v>
      </c>
      <c r="G63" s="21">
        <v>745</v>
      </c>
      <c r="H63" s="21">
        <v>35</v>
      </c>
      <c r="I63" s="21">
        <f t="shared" si="3"/>
        <v>710</v>
      </c>
      <c r="J63" s="20" t="s">
        <v>446</v>
      </c>
      <c r="K63" s="20" t="s">
        <v>21</v>
      </c>
      <c r="L63" s="20" t="s">
        <v>1570</v>
      </c>
      <c r="M63" s="20" t="s">
        <v>102</v>
      </c>
      <c r="N63" s="20" t="s">
        <v>448</v>
      </c>
      <c r="O63" s="20" t="s">
        <v>448</v>
      </c>
      <c r="P63" s="20" t="s">
        <v>449</v>
      </c>
      <c r="Q63" s="20">
        <v>1</v>
      </c>
    </row>
    <row r="64" spans="1:17" s="2" customFormat="1" x14ac:dyDescent="0.25">
      <c r="A64" s="20"/>
      <c r="B64" s="20" t="s">
        <v>16</v>
      </c>
      <c r="C64" s="20" t="s">
        <v>202</v>
      </c>
      <c r="D64" s="20" t="s">
        <v>1203</v>
      </c>
      <c r="E64" s="20" t="s">
        <v>1204</v>
      </c>
      <c r="F64" s="20" t="s">
        <v>88</v>
      </c>
      <c r="G64" s="21">
        <v>815</v>
      </c>
      <c r="H64" s="21">
        <v>25</v>
      </c>
      <c r="I64" s="21">
        <f t="shared" si="3"/>
        <v>790</v>
      </c>
      <c r="J64" s="20" t="s">
        <v>446</v>
      </c>
      <c r="K64" s="20" t="s">
        <v>21</v>
      </c>
      <c r="L64" s="20" t="s">
        <v>1148</v>
      </c>
      <c r="M64" s="20" t="s">
        <v>102</v>
      </c>
      <c r="N64" s="20" t="s">
        <v>448</v>
      </c>
      <c r="O64" s="20" t="s">
        <v>448</v>
      </c>
      <c r="P64" s="20" t="s">
        <v>449</v>
      </c>
      <c r="Q64" s="20">
        <v>1</v>
      </c>
    </row>
    <row r="66" spans="1:17" x14ac:dyDescent="0.25">
      <c r="D66" s="1">
        <f>COUNTA(D3:D64)</f>
        <v>58</v>
      </c>
      <c r="G66" s="1">
        <f t="shared" ref="G66:Q66" si="4">SUBTOTAL(9,G3:G64)</f>
        <v>54170</v>
      </c>
      <c r="H66" s="1">
        <f t="shared" si="4"/>
        <v>1710</v>
      </c>
      <c r="I66" s="1">
        <f t="shared" si="4"/>
        <v>52460</v>
      </c>
      <c r="J66" s="1">
        <f t="shared" si="4"/>
        <v>0</v>
      </c>
      <c r="K66" s="1">
        <f t="shared" si="4"/>
        <v>0</v>
      </c>
      <c r="L66" s="1">
        <f t="shared" si="4"/>
        <v>0</v>
      </c>
      <c r="M66" s="1">
        <f t="shared" si="4"/>
        <v>0</v>
      </c>
      <c r="N66" s="1">
        <f t="shared" si="4"/>
        <v>0</v>
      </c>
      <c r="O66" s="1">
        <f t="shared" si="4"/>
        <v>0</v>
      </c>
      <c r="P66" s="1">
        <f t="shared" si="4"/>
        <v>0</v>
      </c>
      <c r="Q66" s="1">
        <f t="shared" si="4"/>
        <v>62</v>
      </c>
    </row>
    <row r="67" spans="1:17" x14ac:dyDescent="0.25">
      <c r="H67">
        <f>-12*17</f>
        <v>-204</v>
      </c>
    </row>
    <row r="68" spans="1:17" x14ac:dyDescent="0.25">
      <c r="A68" s="1" t="s">
        <v>16</v>
      </c>
      <c r="C68" s="42" t="s">
        <v>89</v>
      </c>
      <c r="D68" s="42"/>
      <c r="E68" s="4" t="s">
        <v>90</v>
      </c>
      <c r="H68">
        <f>-11*25</f>
        <v>-275</v>
      </c>
      <c r="K68" s="7" t="s">
        <v>20</v>
      </c>
      <c r="L68" s="7" t="s">
        <v>91</v>
      </c>
      <c r="M68" s="7" t="s">
        <v>90</v>
      </c>
      <c r="O68" s="4" t="s">
        <v>92</v>
      </c>
    </row>
    <row r="69" spans="1:17" x14ac:dyDescent="0.25">
      <c r="A69" t="s">
        <v>2023</v>
      </c>
      <c r="B69" s="3" t="s">
        <v>93</v>
      </c>
      <c r="C69" s="43">
        <f>SUMIFS(I$3:I$64,B$3:B$64,A$68,L$3:L$64,A$69)</f>
        <v>47670</v>
      </c>
      <c r="D69" s="43"/>
      <c r="E69" s="3">
        <f>SUMIFS(Q$3:Q$64,B$3:B$64,A$68,L$3:L$64,A$69)</f>
        <v>58</v>
      </c>
      <c r="F69" t="s">
        <v>94</v>
      </c>
      <c r="H69">
        <f>-1*30</f>
        <v>-30</v>
      </c>
      <c r="K69" t="s">
        <v>95</v>
      </c>
      <c r="L69">
        <f>SUMIFS(G$3:G$64,J$3:J$64,K$68)</f>
        <v>7030</v>
      </c>
      <c r="M69">
        <f>SUMIFS(Q$3:Q$64,J$3:J$64,K$68)</f>
        <v>7</v>
      </c>
      <c r="O69" t="s">
        <v>20</v>
      </c>
      <c r="P69">
        <f>L74</f>
        <v>6850</v>
      </c>
    </row>
    <row r="70" spans="1:17" x14ac:dyDescent="0.25">
      <c r="B70" s="2" t="s">
        <v>97</v>
      </c>
      <c r="C70" s="44">
        <v>0</v>
      </c>
      <c r="D70" s="44"/>
      <c r="K70" t="s">
        <v>98</v>
      </c>
      <c r="L70">
        <f>-SUMIFS(H$3:H$64,J$3:J$64,K$68)+M70*5</f>
        <v>-180</v>
      </c>
      <c r="M70">
        <f>SUMIFS(Q$3:Q$64,J$3:J$64,K$68)-COUNTIFS(J$3:J$64,K$68,M$3:M$64,"*gộp*")</f>
        <v>7</v>
      </c>
      <c r="O70" t="s">
        <v>2160</v>
      </c>
      <c r="P70">
        <f>L82</f>
        <v>10175</v>
      </c>
    </row>
    <row r="71" spans="1:17" x14ac:dyDescent="0.25">
      <c r="B71" s="2" t="s">
        <v>99</v>
      </c>
      <c r="C71" s="44">
        <f>-SUMIFS(I$3:I$64,B$3:B$64,A$68,P$3:P$64,"xx",N$3:N$64,"x")</f>
        <v>-5360</v>
      </c>
      <c r="D71" s="44"/>
      <c r="E71" s="2">
        <f>SUMIFS(Q$3:Q$64,B$3:B$64,A$68,P$3:P$64,"xx",N$3:N$64,"x")</f>
        <v>5</v>
      </c>
      <c r="K71" t="s">
        <v>100</v>
      </c>
      <c r="O71" t="s">
        <v>21</v>
      </c>
      <c r="P71">
        <f>L90</f>
        <v>13609</v>
      </c>
    </row>
    <row r="72" spans="1:17" x14ac:dyDescent="0.25">
      <c r="B72" s="4" t="s">
        <v>101</v>
      </c>
      <c r="C72" s="42">
        <f>SUBTOTAL(9,C69:C71)</f>
        <v>42310</v>
      </c>
      <c r="D72" s="42"/>
      <c r="E72">
        <f>E69</f>
        <v>58</v>
      </c>
      <c r="K72" s="2" t="s">
        <v>102</v>
      </c>
      <c r="O72" t="s">
        <v>165</v>
      </c>
      <c r="P72">
        <f>L98</f>
        <v>11870</v>
      </c>
    </row>
    <row r="73" spans="1:17" x14ac:dyDescent="0.25">
      <c r="B73" s="2" t="s">
        <v>104</v>
      </c>
      <c r="C73" s="40"/>
      <c r="D73" s="40"/>
      <c r="K73" s="2" t="s">
        <v>105</v>
      </c>
      <c r="O73" t="s">
        <v>103</v>
      </c>
      <c r="P73">
        <f>-C76</f>
        <v>-42310</v>
      </c>
    </row>
    <row r="74" spans="1:17" x14ac:dyDescent="0.25">
      <c r="B74" s="8" t="s">
        <v>107</v>
      </c>
      <c r="C74" s="40"/>
      <c r="D74" s="40"/>
      <c r="L74" s="9">
        <f>SUBTOTAL(9,L69:L73)</f>
        <v>6850</v>
      </c>
      <c r="M74" s="9">
        <f>M69</f>
        <v>7</v>
      </c>
      <c r="O74" s="4" t="s">
        <v>106</v>
      </c>
      <c r="P74" s="4">
        <f>SUBTOTAL(9,P69:P73)</f>
        <v>194</v>
      </c>
    </row>
    <row r="76" spans="1:17" x14ac:dyDescent="0.25">
      <c r="B76" s="1" t="s">
        <v>108</v>
      </c>
      <c r="C76" s="41">
        <f>C72+C73+C74</f>
        <v>42310</v>
      </c>
      <c r="D76" s="41"/>
      <c r="E76" s="1" t="s">
        <v>109</v>
      </c>
      <c r="K76" s="7" t="s">
        <v>2041</v>
      </c>
      <c r="L76" s="7" t="s">
        <v>91</v>
      </c>
      <c r="M76" s="7" t="s">
        <v>90</v>
      </c>
    </row>
    <row r="77" spans="1:17" x14ac:dyDescent="0.25">
      <c r="K77" t="s">
        <v>95</v>
      </c>
      <c r="L77">
        <f>SUMIFS(G$3:G$64,J$3:J$64,K$76)</f>
        <v>15525</v>
      </c>
      <c r="M77">
        <f>SUMIFS(Q$3:Q$64,J$3:J$64,K$76)</f>
        <v>24</v>
      </c>
    </row>
    <row r="78" spans="1:17" x14ac:dyDescent="0.25">
      <c r="K78" t="s">
        <v>98</v>
      </c>
      <c r="L78">
        <f>SUM(H67:H69)</f>
        <v>-509</v>
      </c>
      <c r="M78">
        <f>SUMIFS(Q$3:Q$64,J$3:J$64,K$76)</f>
        <v>24</v>
      </c>
    </row>
    <row r="79" spans="1:17" x14ac:dyDescent="0.25">
      <c r="K79" t="s">
        <v>100</v>
      </c>
    </row>
    <row r="80" spans="1:17" x14ac:dyDescent="0.25">
      <c r="K80" s="2" t="s">
        <v>102</v>
      </c>
      <c r="L80" s="29">
        <v>-4841</v>
      </c>
      <c r="M80" s="29" t="s">
        <v>1372</v>
      </c>
    </row>
    <row r="81" spans="11:13" x14ac:dyDescent="0.25">
      <c r="K81" s="2" t="s">
        <v>105</v>
      </c>
    </row>
    <row r="82" spans="11:13" x14ac:dyDescent="0.25">
      <c r="L82" s="9">
        <f>SUBTOTAL(9,L77:L81)</f>
        <v>10175</v>
      </c>
      <c r="M82" s="9">
        <f>M77</f>
        <v>24</v>
      </c>
    </row>
    <row r="84" spans="11:13" x14ac:dyDescent="0.25">
      <c r="K84" s="7" t="s">
        <v>21</v>
      </c>
      <c r="L84" s="7" t="s">
        <v>91</v>
      </c>
      <c r="M84" s="7" t="s">
        <v>90</v>
      </c>
    </row>
    <row r="85" spans="11:13" x14ac:dyDescent="0.25">
      <c r="K85" t="s">
        <v>95</v>
      </c>
      <c r="L85">
        <f>SUMIFS(G$3:G$64,J$3:J$64,K$84)</f>
        <v>13995</v>
      </c>
      <c r="M85">
        <f>SUMIFS(Q$3:Q$64,J$3:J$64,K$84)</f>
        <v>12</v>
      </c>
    </row>
    <row r="86" spans="11:13" x14ac:dyDescent="0.25">
      <c r="K86" t="s">
        <v>98</v>
      </c>
      <c r="L86">
        <f>-SUMIFS(H$3:H$64,J$3:J$64,K$84)+M86*5</f>
        <v>-280</v>
      </c>
      <c r="M86">
        <f>SUMIFS(Q$3:Q$64,J$3:J$64,K$84)-COUNTIFS(J$3:J$64,K$84,M$3:M$64,"*gộp*")</f>
        <v>12</v>
      </c>
    </row>
    <row r="87" spans="11:13" x14ac:dyDescent="0.25">
      <c r="K87" t="s">
        <v>100</v>
      </c>
      <c r="L87">
        <f>-M87*2</f>
        <v>-106</v>
      </c>
      <c r="M87">
        <f>E72-(COUNTIFS(M$3:M$64,"*gộp*")/2)-COUNTIFS(M$3:M$64,"*đơn trả*")-COUNTIFS(M$3:M$64,"*hàng tỉnh*")</f>
        <v>53</v>
      </c>
    </row>
    <row r="88" spans="11:13" x14ac:dyDescent="0.25">
      <c r="K88" s="2" t="s">
        <v>102</v>
      </c>
    </row>
    <row r="89" spans="11:13" x14ac:dyDescent="0.25">
      <c r="K89" s="2" t="s">
        <v>105</v>
      </c>
    </row>
    <row r="90" spans="11:13" x14ac:dyDescent="0.25">
      <c r="L90" s="9">
        <f>SUBTOTAL(9,L85:L89)</f>
        <v>13609</v>
      </c>
      <c r="M90" s="9">
        <f>M85</f>
        <v>12</v>
      </c>
    </row>
    <row r="92" spans="11:13" x14ac:dyDescent="0.25">
      <c r="K92" s="7" t="s">
        <v>165</v>
      </c>
      <c r="L92" s="7" t="s">
        <v>91</v>
      </c>
      <c r="M92" s="7" t="s">
        <v>90</v>
      </c>
    </row>
    <row r="93" spans="11:13" x14ac:dyDescent="0.25">
      <c r="K93" t="s">
        <v>95</v>
      </c>
      <c r="L93">
        <f>SUMIFS(G$3:G$64,J$3:J$64,K$92)</f>
        <v>12140</v>
      </c>
      <c r="M93">
        <f>SUMIFS(Q$3:Q$64,J$3:J$64,K$92)</f>
        <v>14</v>
      </c>
    </row>
    <row r="94" spans="11:13" x14ac:dyDescent="0.25">
      <c r="K94" t="s">
        <v>98</v>
      </c>
      <c r="L94">
        <f>-SUMIFS(H$3:H$64,J$3:J$64,K$92)+M94*5</f>
        <v>-270</v>
      </c>
      <c r="M94">
        <f>SUMIFS(Q$3:Q$64,J$3:J$64,K$92)-COUNTIFS(J$3:J$64,K$92,M$3:M$64,"*gộp*")</f>
        <v>14</v>
      </c>
    </row>
    <row r="95" spans="11:13" x14ac:dyDescent="0.25">
      <c r="K95" t="s">
        <v>100</v>
      </c>
    </row>
    <row r="96" spans="11:13" x14ac:dyDescent="0.25">
      <c r="K96" s="2" t="s">
        <v>102</v>
      </c>
    </row>
    <row r="97" spans="11:13" x14ac:dyDescent="0.25">
      <c r="K97" s="2" t="s">
        <v>105</v>
      </c>
    </row>
    <row r="98" spans="11:13" x14ac:dyDescent="0.25">
      <c r="L98" s="9">
        <f>SUBTOTAL(9,L93:L97)</f>
        <v>11870</v>
      </c>
      <c r="M98" s="9">
        <f>M93</f>
        <v>14</v>
      </c>
    </row>
  </sheetData>
  <autoFilter ref="A2:P64" xr:uid="{00000000-0009-0000-0000-000011000000}">
    <sortState xmlns:xlrd2="http://schemas.microsoft.com/office/spreadsheetml/2017/richdata2" ref="A3:P64">
      <sortCondition ref="J2:J64"/>
    </sortState>
  </autoFilter>
  <mergeCells count="8">
    <mergeCell ref="C73:D73"/>
    <mergeCell ref="C74:D74"/>
    <mergeCell ref="C76:D76"/>
    <mergeCell ref="C68:D68"/>
    <mergeCell ref="C69:D69"/>
    <mergeCell ref="C70:D70"/>
    <mergeCell ref="C71:D71"/>
    <mergeCell ref="C72:D72"/>
  </mergeCells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Q90"/>
  <sheetViews>
    <sheetView workbookViewId="0">
      <selection activeCell="A56" sqref="A56 A3:XFD56"/>
    </sheetView>
  </sheetViews>
  <sheetFormatPr defaultRowHeight="15" x14ac:dyDescent="0.25"/>
  <cols>
    <col min="1" max="1" width="12.7109375" customWidth="1"/>
    <col min="2" max="2" width="17.7109375" customWidth="1"/>
    <col min="3" max="3" width="36.28515625" customWidth="1"/>
    <col min="4" max="4" width="9.85546875" customWidth="1"/>
    <col min="5" max="5" width="67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2161</v>
      </c>
      <c r="D3" s="18" t="s">
        <v>2162</v>
      </c>
      <c r="E3" s="18" t="s">
        <v>2163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2164</v>
      </c>
      <c r="M3" s="18" t="s">
        <v>49</v>
      </c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2165</v>
      </c>
      <c r="D4" s="18" t="s">
        <v>2166</v>
      </c>
      <c r="E4" s="18" t="s">
        <v>2167</v>
      </c>
      <c r="F4" s="19">
        <v>9</v>
      </c>
      <c r="G4" s="19">
        <v>480</v>
      </c>
      <c r="H4" s="19">
        <v>30</v>
      </c>
      <c r="I4" s="19">
        <f>G4-H4</f>
        <v>450</v>
      </c>
      <c r="J4" s="18" t="s">
        <v>20</v>
      </c>
      <c r="K4" s="18" t="s">
        <v>21</v>
      </c>
      <c r="L4" s="18" t="s">
        <v>2164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2168</v>
      </c>
      <c r="D5" s="18" t="s">
        <v>2169</v>
      </c>
      <c r="E5" s="18" t="s">
        <v>2170</v>
      </c>
      <c r="F5" s="19">
        <v>9</v>
      </c>
      <c r="G5" s="19">
        <v>520</v>
      </c>
      <c r="H5" s="19">
        <v>30</v>
      </c>
      <c r="I5" s="19">
        <f>G5-H5</f>
        <v>490</v>
      </c>
      <c r="J5" s="18" t="s">
        <v>20</v>
      </c>
      <c r="K5" s="18" t="s">
        <v>21</v>
      </c>
      <c r="L5" s="18" t="s">
        <v>2164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2171</v>
      </c>
      <c r="D6" s="18" t="s">
        <v>2172</v>
      </c>
      <c r="E6" s="18" t="s">
        <v>2173</v>
      </c>
      <c r="F6" s="19">
        <v>9</v>
      </c>
      <c r="G6" s="19">
        <v>890</v>
      </c>
      <c r="H6" s="19">
        <v>30</v>
      </c>
      <c r="I6" s="19">
        <f>G6-H6</f>
        <v>860</v>
      </c>
      <c r="J6" s="18" t="s">
        <v>20</v>
      </c>
      <c r="K6" s="18" t="s">
        <v>21</v>
      </c>
      <c r="L6" s="18" t="s">
        <v>2164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2174</v>
      </c>
      <c r="D7" s="18" t="s">
        <v>2175</v>
      </c>
      <c r="E7" s="18" t="s">
        <v>2176</v>
      </c>
      <c r="F7" s="19">
        <v>9</v>
      </c>
      <c r="G7" s="19">
        <v>690</v>
      </c>
      <c r="H7" s="19">
        <v>30</v>
      </c>
      <c r="I7" s="19">
        <f>G7-H7</f>
        <v>660</v>
      </c>
      <c r="J7" s="18" t="s">
        <v>20</v>
      </c>
      <c r="K7" s="18" t="s">
        <v>21</v>
      </c>
      <c r="L7" s="18" t="s">
        <v>2164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2177</v>
      </c>
      <c r="D8" s="18" t="s">
        <v>2178</v>
      </c>
      <c r="E8" s="18" t="s">
        <v>2179</v>
      </c>
      <c r="F8" s="18" t="s">
        <v>26</v>
      </c>
      <c r="G8" s="19">
        <v>0</v>
      </c>
      <c r="H8" s="19">
        <v>30</v>
      </c>
      <c r="I8" s="19">
        <f>-H8</f>
        <v>-30</v>
      </c>
      <c r="J8" s="18" t="s">
        <v>2180</v>
      </c>
      <c r="K8" s="18" t="s">
        <v>21</v>
      </c>
      <c r="L8" s="18" t="s">
        <v>2164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1884</v>
      </c>
      <c r="D9" s="18" t="s">
        <v>2181</v>
      </c>
      <c r="E9" s="18" t="s">
        <v>1886</v>
      </c>
      <c r="F9" s="18" t="s">
        <v>88</v>
      </c>
      <c r="G9" s="19">
        <v>0</v>
      </c>
      <c r="H9" s="19">
        <v>25</v>
      </c>
      <c r="I9" s="19">
        <f>-H9</f>
        <v>-25</v>
      </c>
      <c r="J9" s="18" t="s">
        <v>2180</v>
      </c>
      <c r="K9" s="18" t="s">
        <v>21</v>
      </c>
      <c r="L9" s="18" t="s">
        <v>2164</v>
      </c>
      <c r="M9" s="18" t="s">
        <v>49</v>
      </c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2182</v>
      </c>
      <c r="D10" s="18" t="s">
        <v>2183</v>
      </c>
      <c r="E10" s="18" t="s">
        <v>2184</v>
      </c>
      <c r="F10" s="19">
        <v>7</v>
      </c>
      <c r="G10" s="19">
        <v>1380</v>
      </c>
      <c r="H10" s="19">
        <v>30</v>
      </c>
      <c r="I10" s="19">
        <f t="shared" ref="I10:I15" si="0">G10-H10</f>
        <v>1350</v>
      </c>
      <c r="J10" s="18" t="s">
        <v>2180</v>
      </c>
      <c r="K10" s="18" t="s">
        <v>21</v>
      </c>
      <c r="L10" s="18" t="s">
        <v>2164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2064</v>
      </c>
      <c r="D11" s="18" t="s">
        <v>2185</v>
      </c>
      <c r="E11" s="18" t="s">
        <v>2066</v>
      </c>
      <c r="F11" s="19">
        <v>12</v>
      </c>
      <c r="G11" s="19">
        <v>30</v>
      </c>
      <c r="H11" s="19">
        <v>30</v>
      </c>
      <c r="I11" s="19">
        <f t="shared" si="0"/>
        <v>0</v>
      </c>
      <c r="J11" s="18" t="s">
        <v>2180</v>
      </c>
      <c r="K11" s="18" t="s">
        <v>21</v>
      </c>
      <c r="L11" s="18" t="s">
        <v>2164</v>
      </c>
      <c r="M11" s="18" t="s">
        <v>49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46</v>
      </c>
      <c r="D12" s="18" t="s">
        <v>2186</v>
      </c>
      <c r="E12" s="18" t="s">
        <v>2187</v>
      </c>
      <c r="F12" s="19">
        <v>7</v>
      </c>
      <c r="G12" s="19">
        <v>1220</v>
      </c>
      <c r="H12" s="19">
        <v>30</v>
      </c>
      <c r="I12" s="19">
        <f t="shared" si="0"/>
        <v>1190</v>
      </c>
      <c r="J12" s="18" t="s">
        <v>2180</v>
      </c>
      <c r="K12" s="18" t="s">
        <v>21</v>
      </c>
      <c r="L12" s="18" t="s">
        <v>2164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908</v>
      </c>
      <c r="D13" s="18" t="s">
        <v>2188</v>
      </c>
      <c r="E13" s="18" t="s">
        <v>2189</v>
      </c>
      <c r="F13" s="19">
        <v>5</v>
      </c>
      <c r="G13" s="19">
        <v>595</v>
      </c>
      <c r="H13" s="19">
        <v>25</v>
      </c>
      <c r="I13" s="19">
        <f t="shared" si="0"/>
        <v>570</v>
      </c>
      <c r="J13" s="18" t="s">
        <v>2180</v>
      </c>
      <c r="K13" s="18" t="s">
        <v>21</v>
      </c>
      <c r="L13" s="18" t="s">
        <v>2164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2190</v>
      </c>
      <c r="D14" s="18" t="s">
        <v>2191</v>
      </c>
      <c r="E14" s="18" t="s">
        <v>1499</v>
      </c>
      <c r="F14" s="19">
        <v>6</v>
      </c>
      <c r="G14" s="19">
        <v>405</v>
      </c>
      <c r="H14" s="19">
        <v>25</v>
      </c>
      <c r="I14" s="19">
        <f t="shared" si="0"/>
        <v>380</v>
      </c>
      <c r="J14" s="18" t="s">
        <v>2180</v>
      </c>
      <c r="K14" s="18" t="s">
        <v>21</v>
      </c>
      <c r="L14" s="18" t="s">
        <v>2164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2192</v>
      </c>
      <c r="D15" s="18" t="s">
        <v>2193</v>
      </c>
      <c r="E15" s="18" t="s">
        <v>2194</v>
      </c>
      <c r="F15" s="18" t="s">
        <v>128</v>
      </c>
      <c r="G15" s="19">
        <v>485</v>
      </c>
      <c r="H15" s="19">
        <v>35</v>
      </c>
      <c r="I15" s="19">
        <f t="shared" si="0"/>
        <v>450</v>
      </c>
      <c r="J15" s="18" t="s">
        <v>2180</v>
      </c>
      <c r="K15" s="18" t="s">
        <v>21</v>
      </c>
      <c r="L15" s="18" t="s">
        <v>2164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221</v>
      </c>
      <c r="D16" s="18" t="s">
        <v>2195</v>
      </c>
      <c r="E16" s="18" t="s">
        <v>223</v>
      </c>
      <c r="F16" s="19">
        <v>8</v>
      </c>
      <c r="G16" s="19">
        <v>0</v>
      </c>
      <c r="H16" s="19">
        <v>25</v>
      </c>
      <c r="I16" s="19">
        <f>-H16</f>
        <v>-25</v>
      </c>
      <c r="J16" s="18" t="s">
        <v>2180</v>
      </c>
      <c r="K16" s="18" t="s">
        <v>21</v>
      </c>
      <c r="L16" s="18" t="s">
        <v>2164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2196</v>
      </c>
      <c r="D17" s="18" t="s">
        <v>2197</v>
      </c>
      <c r="E17" s="18" t="s">
        <v>2198</v>
      </c>
      <c r="F17" s="18" t="s">
        <v>113</v>
      </c>
      <c r="G17" s="19">
        <v>745</v>
      </c>
      <c r="H17" s="19">
        <v>35</v>
      </c>
      <c r="I17" s="19">
        <f>G17-H17</f>
        <v>710</v>
      </c>
      <c r="J17" s="18" t="s">
        <v>2180</v>
      </c>
      <c r="K17" s="18" t="s">
        <v>21</v>
      </c>
      <c r="L17" s="18" t="s">
        <v>2164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2199</v>
      </c>
      <c r="D18" s="18" t="s">
        <v>2200</v>
      </c>
      <c r="E18" s="18" t="s">
        <v>933</v>
      </c>
      <c r="F18" s="19">
        <v>7</v>
      </c>
      <c r="G18" s="19">
        <v>900</v>
      </c>
      <c r="H18" s="19">
        <v>30</v>
      </c>
      <c r="I18" s="19">
        <f>G18-H18</f>
        <v>870</v>
      </c>
      <c r="J18" s="18" t="s">
        <v>2180</v>
      </c>
      <c r="K18" s="18" t="s">
        <v>21</v>
      </c>
      <c r="L18" s="18" t="s">
        <v>2164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63</v>
      </c>
      <c r="D19" s="18"/>
      <c r="E19" s="18" t="s">
        <v>64</v>
      </c>
      <c r="F19" s="19">
        <v>6</v>
      </c>
      <c r="G19" s="19">
        <v>0</v>
      </c>
      <c r="H19" s="19">
        <v>30</v>
      </c>
      <c r="I19" s="19">
        <f>-H19</f>
        <v>-30</v>
      </c>
      <c r="J19" s="18" t="s">
        <v>2180</v>
      </c>
      <c r="K19" s="18" t="s">
        <v>21</v>
      </c>
      <c r="L19" s="18" t="s">
        <v>2164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2201</v>
      </c>
      <c r="D20" s="18"/>
      <c r="E20" s="18" t="s">
        <v>2202</v>
      </c>
      <c r="F20" s="18" t="s">
        <v>88</v>
      </c>
      <c r="G20" s="19">
        <v>0</v>
      </c>
      <c r="H20" s="19">
        <v>30</v>
      </c>
      <c r="I20" s="19">
        <f>-H20</f>
        <v>-30</v>
      </c>
      <c r="J20" s="18" t="s">
        <v>2180</v>
      </c>
      <c r="K20" s="18" t="s">
        <v>21</v>
      </c>
      <c r="L20" s="18" t="s">
        <v>2164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2203</v>
      </c>
      <c r="D21" s="18" t="s">
        <v>2204</v>
      </c>
      <c r="E21" s="18" t="s">
        <v>2205</v>
      </c>
      <c r="F21" s="18" t="s">
        <v>68</v>
      </c>
      <c r="G21" s="19">
        <v>470</v>
      </c>
      <c r="H21" s="19">
        <v>20</v>
      </c>
      <c r="I21" s="19">
        <f t="shared" ref="I21:I26" si="1">G21-H21</f>
        <v>450</v>
      </c>
      <c r="J21" s="18" t="s">
        <v>21</v>
      </c>
      <c r="K21" s="18" t="s">
        <v>21</v>
      </c>
      <c r="L21" s="18" t="s">
        <v>2164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1945</v>
      </c>
      <c r="D22" s="18" t="s">
        <v>2206</v>
      </c>
      <c r="E22" s="18" t="s">
        <v>1947</v>
      </c>
      <c r="F22" s="19">
        <v>2</v>
      </c>
      <c r="G22" s="19">
        <v>1490</v>
      </c>
      <c r="H22" s="19">
        <v>30</v>
      </c>
      <c r="I22" s="19">
        <f t="shared" si="1"/>
        <v>1460</v>
      </c>
      <c r="J22" s="18" t="s">
        <v>21</v>
      </c>
      <c r="K22" s="18" t="s">
        <v>21</v>
      </c>
      <c r="L22" s="18" t="s">
        <v>2164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1508</v>
      </c>
      <c r="D23" s="18" t="s">
        <v>2207</v>
      </c>
      <c r="E23" s="18" t="s">
        <v>1510</v>
      </c>
      <c r="F23" s="18" t="s">
        <v>72</v>
      </c>
      <c r="G23" s="19">
        <v>2020</v>
      </c>
      <c r="H23" s="19">
        <v>30</v>
      </c>
      <c r="I23" s="19">
        <f t="shared" si="1"/>
        <v>1990</v>
      </c>
      <c r="J23" s="18" t="s">
        <v>21</v>
      </c>
      <c r="K23" s="18" t="s">
        <v>21</v>
      </c>
      <c r="L23" s="18" t="s">
        <v>2164</v>
      </c>
      <c r="M23" s="18" t="s">
        <v>398</v>
      </c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2113</v>
      </c>
      <c r="D24" s="18" t="s">
        <v>2208</v>
      </c>
      <c r="E24" s="18" t="s">
        <v>2115</v>
      </c>
      <c r="F24" s="18" t="s">
        <v>68</v>
      </c>
      <c r="G24" s="19">
        <v>20</v>
      </c>
      <c r="H24" s="19">
        <v>20</v>
      </c>
      <c r="I24" s="19">
        <f t="shared" si="1"/>
        <v>0</v>
      </c>
      <c r="J24" s="18" t="s">
        <v>21</v>
      </c>
      <c r="K24" s="18" t="s">
        <v>21</v>
      </c>
      <c r="L24" s="18" t="s">
        <v>2164</v>
      </c>
      <c r="M24" s="18" t="s">
        <v>49</v>
      </c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2209</v>
      </c>
      <c r="D25" s="18" t="s">
        <v>2210</v>
      </c>
      <c r="E25" s="18" t="s">
        <v>2211</v>
      </c>
      <c r="F25" s="18" t="s">
        <v>68</v>
      </c>
      <c r="G25" s="19">
        <v>860</v>
      </c>
      <c r="H25" s="19">
        <v>20</v>
      </c>
      <c r="I25" s="19">
        <f t="shared" si="1"/>
        <v>840</v>
      </c>
      <c r="J25" s="18" t="s">
        <v>21</v>
      </c>
      <c r="K25" s="18" t="s">
        <v>21</v>
      </c>
      <c r="L25" s="18" t="s">
        <v>2164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1622</v>
      </c>
      <c r="D26" s="18" t="s">
        <v>2212</v>
      </c>
      <c r="E26" s="18" t="s">
        <v>1624</v>
      </c>
      <c r="F26" s="18" t="s">
        <v>72</v>
      </c>
      <c r="G26" s="19">
        <v>475</v>
      </c>
      <c r="H26" s="19">
        <v>25</v>
      </c>
      <c r="I26" s="19">
        <f t="shared" si="1"/>
        <v>450</v>
      </c>
      <c r="J26" s="18" t="s">
        <v>21</v>
      </c>
      <c r="K26" s="18" t="s">
        <v>21</v>
      </c>
      <c r="L26" s="18" t="s">
        <v>2164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2213</v>
      </c>
      <c r="D27" s="18" t="s">
        <v>2214</v>
      </c>
      <c r="E27" s="18" t="s">
        <v>2215</v>
      </c>
      <c r="F27" s="18" t="s">
        <v>153</v>
      </c>
      <c r="G27" s="19">
        <v>0</v>
      </c>
      <c r="H27" s="19">
        <v>30</v>
      </c>
      <c r="I27" s="19">
        <f>-H27</f>
        <v>-30</v>
      </c>
      <c r="J27" s="18" t="s">
        <v>21</v>
      </c>
      <c r="K27" s="18" t="s">
        <v>21</v>
      </c>
      <c r="L27" s="18" t="s">
        <v>2164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2216</v>
      </c>
      <c r="D28" s="18" t="s">
        <v>2217</v>
      </c>
      <c r="E28" s="18" t="s">
        <v>2218</v>
      </c>
      <c r="F28" s="18" t="s">
        <v>153</v>
      </c>
      <c r="G28" s="19">
        <v>890</v>
      </c>
      <c r="H28" s="19">
        <v>30</v>
      </c>
      <c r="I28" s="19">
        <f>G28-H28</f>
        <v>860</v>
      </c>
      <c r="J28" s="18" t="s">
        <v>21</v>
      </c>
      <c r="K28" s="18" t="s">
        <v>21</v>
      </c>
      <c r="L28" s="18" t="s">
        <v>2164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2219</v>
      </c>
      <c r="D29" s="18" t="s">
        <v>2220</v>
      </c>
      <c r="E29" s="18" t="s">
        <v>2221</v>
      </c>
      <c r="F29" s="18" t="s">
        <v>153</v>
      </c>
      <c r="G29" s="19">
        <v>2290</v>
      </c>
      <c r="H29" s="19">
        <v>35</v>
      </c>
      <c r="I29" s="19">
        <f>G29-H29</f>
        <v>2255</v>
      </c>
      <c r="J29" s="18" t="s">
        <v>21</v>
      </c>
      <c r="K29" s="18" t="s">
        <v>21</v>
      </c>
      <c r="L29" s="18" t="s">
        <v>2164</v>
      </c>
      <c r="M29" s="18" t="s">
        <v>398</v>
      </c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233</v>
      </c>
      <c r="D30" s="18" t="s">
        <v>2222</v>
      </c>
      <c r="E30" s="18" t="s">
        <v>2223</v>
      </c>
      <c r="F30" s="18" t="s">
        <v>153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2164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2224</v>
      </c>
      <c r="D31" s="18" t="s">
        <v>2225</v>
      </c>
      <c r="E31" s="18" t="s">
        <v>2226</v>
      </c>
      <c r="F31" s="18" t="s">
        <v>72</v>
      </c>
      <c r="G31" s="19">
        <v>0</v>
      </c>
      <c r="H31" s="19">
        <v>25</v>
      </c>
      <c r="I31" s="19">
        <f>-H31</f>
        <v>-25</v>
      </c>
      <c r="J31" s="18" t="s">
        <v>21</v>
      </c>
      <c r="K31" s="18" t="s">
        <v>21</v>
      </c>
      <c r="L31" s="18" t="s">
        <v>2164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399</v>
      </c>
      <c r="D32" s="18" t="s">
        <v>2227</v>
      </c>
      <c r="E32" s="18" t="s">
        <v>2228</v>
      </c>
      <c r="F32" s="18" t="s">
        <v>68</v>
      </c>
      <c r="G32" s="19">
        <v>1140</v>
      </c>
      <c r="H32" s="19">
        <v>20</v>
      </c>
      <c r="I32" s="19">
        <f>G32-H32</f>
        <v>1120</v>
      </c>
      <c r="J32" s="18" t="s">
        <v>21</v>
      </c>
      <c r="K32" s="18" t="s">
        <v>21</v>
      </c>
      <c r="L32" s="18" t="s">
        <v>2164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2229</v>
      </c>
      <c r="D33" s="18" t="s">
        <v>2230</v>
      </c>
      <c r="E33" s="18" t="s">
        <v>2231</v>
      </c>
      <c r="F33" s="18" t="s">
        <v>72</v>
      </c>
      <c r="G33" s="19">
        <v>885</v>
      </c>
      <c r="H33" s="19">
        <v>25</v>
      </c>
      <c r="I33" s="19">
        <f>G33-H33</f>
        <v>860</v>
      </c>
      <c r="J33" s="18" t="s">
        <v>21</v>
      </c>
      <c r="K33" s="18" t="s">
        <v>21</v>
      </c>
      <c r="L33" s="18" t="s">
        <v>2164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320</v>
      </c>
      <c r="D34" s="18"/>
      <c r="E34" s="18" t="s">
        <v>321</v>
      </c>
      <c r="F34" s="18" t="s">
        <v>72</v>
      </c>
      <c r="G34" s="19">
        <v>0</v>
      </c>
      <c r="H34" s="19">
        <v>30</v>
      </c>
      <c r="I34" s="19">
        <f>-H34</f>
        <v>-30</v>
      </c>
      <c r="J34" s="18" t="s">
        <v>21</v>
      </c>
      <c r="K34" s="18" t="s">
        <v>21</v>
      </c>
      <c r="L34" s="18" t="s">
        <v>2164</v>
      </c>
      <c r="M34" s="18"/>
      <c r="N34" s="18"/>
      <c r="O34" s="18"/>
      <c r="P34" s="18"/>
      <c r="Q34" s="18">
        <v>1</v>
      </c>
    </row>
    <row r="35" spans="1:17" x14ac:dyDescent="0.25">
      <c r="A35" s="18" t="s">
        <v>62</v>
      </c>
      <c r="B35" s="18" t="s">
        <v>16</v>
      </c>
      <c r="C35" s="18" t="s">
        <v>1645</v>
      </c>
      <c r="D35" s="18"/>
      <c r="E35" s="18" t="s">
        <v>1646</v>
      </c>
      <c r="F35" s="18" t="s">
        <v>72</v>
      </c>
      <c r="G35" s="19">
        <v>0</v>
      </c>
      <c r="H35" s="19">
        <v>30</v>
      </c>
      <c r="I35" s="19">
        <f>-H35</f>
        <v>-30</v>
      </c>
      <c r="J35" s="18" t="s">
        <v>21</v>
      </c>
      <c r="K35" s="18" t="s">
        <v>21</v>
      </c>
      <c r="L35" s="18" t="s">
        <v>2164</v>
      </c>
      <c r="M35" s="18"/>
      <c r="N35" s="18"/>
      <c r="O35" s="18"/>
      <c r="P35" s="18"/>
      <c r="Q35" s="18">
        <v>1</v>
      </c>
    </row>
    <row r="36" spans="1:17" x14ac:dyDescent="0.25">
      <c r="A36" s="18" t="s">
        <v>62</v>
      </c>
      <c r="B36" s="18" t="s">
        <v>16</v>
      </c>
      <c r="C36" s="18" t="s">
        <v>2232</v>
      </c>
      <c r="D36" s="18"/>
      <c r="E36" s="18" t="s">
        <v>2233</v>
      </c>
      <c r="F36" s="18" t="s">
        <v>217</v>
      </c>
      <c r="G36" s="19">
        <v>23400</v>
      </c>
      <c r="H36" s="19">
        <v>135</v>
      </c>
      <c r="I36" s="19">
        <f>G36-H36</f>
        <v>23265</v>
      </c>
      <c r="J36" s="18" t="s">
        <v>21</v>
      </c>
      <c r="K36" s="18" t="s">
        <v>21</v>
      </c>
      <c r="L36" s="18" t="s">
        <v>2164</v>
      </c>
      <c r="M36" s="18" t="s">
        <v>398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2234</v>
      </c>
      <c r="D37" s="18" t="s">
        <v>2235</v>
      </c>
      <c r="E37" s="18" t="s">
        <v>2236</v>
      </c>
      <c r="F37" s="19">
        <v>1</v>
      </c>
      <c r="G37" s="19">
        <v>0</v>
      </c>
      <c r="H37" s="19">
        <v>25</v>
      </c>
      <c r="I37" s="19">
        <f>-H37</f>
        <v>-25</v>
      </c>
      <c r="J37" s="18" t="s">
        <v>165</v>
      </c>
      <c r="K37" s="18" t="s">
        <v>21</v>
      </c>
      <c r="L37" s="18" t="s">
        <v>2164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2237</v>
      </c>
      <c r="D38" s="18" t="s">
        <v>2238</v>
      </c>
      <c r="E38" s="18" t="s">
        <v>2239</v>
      </c>
      <c r="F38" s="18" t="s">
        <v>85</v>
      </c>
      <c r="G38" s="19">
        <v>470</v>
      </c>
      <c r="H38" s="19">
        <v>20</v>
      </c>
      <c r="I38" s="19">
        <f>G38-H38</f>
        <v>450</v>
      </c>
      <c r="J38" s="18" t="s">
        <v>165</v>
      </c>
      <c r="K38" s="18" t="s">
        <v>21</v>
      </c>
      <c r="L38" s="18" t="s">
        <v>2164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2240</v>
      </c>
      <c r="D39" s="18" t="s">
        <v>2241</v>
      </c>
      <c r="E39" s="18" t="s">
        <v>2242</v>
      </c>
      <c r="F39" s="18" t="s">
        <v>88</v>
      </c>
      <c r="G39" s="19">
        <v>865</v>
      </c>
      <c r="H39" s="19">
        <v>25</v>
      </c>
      <c r="I39" s="19">
        <f>G39-H39</f>
        <v>840</v>
      </c>
      <c r="J39" s="18" t="s">
        <v>165</v>
      </c>
      <c r="K39" s="18" t="s">
        <v>21</v>
      </c>
      <c r="L39" s="18" t="s">
        <v>2164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2243</v>
      </c>
      <c r="D40" s="18" t="s">
        <v>2244</v>
      </c>
      <c r="E40" s="18" t="s">
        <v>1016</v>
      </c>
      <c r="F40" s="18" t="s">
        <v>88</v>
      </c>
      <c r="G40" s="19">
        <v>0</v>
      </c>
      <c r="H40" s="19">
        <v>25</v>
      </c>
      <c r="I40" s="19">
        <f>-H40</f>
        <v>-25</v>
      </c>
      <c r="J40" s="18" t="s">
        <v>165</v>
      </c>
      <c r="K40" s="18" t="s">
        <v>21</v>
      </c>
      <c r="L40" s="18" t="s">
        <v>2164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2245</v>
      </c>
      <c r="D41" s="18" t="s">
        <v>2246</v>
      </c>
      <c r="E41" s="18" t="s">
        <v>2247</v>
      </c>
      <c r="F41" s="19">
        <v>1</v>
      </c>
      <c r="G41" s="19">
        <v>475</v>
      </c>
      <c r="H41" s="19">
        <v>25</v>
      </c>
      <c r="I41" s="19">
        <f>G41-H41</f>
        <v>450</v>
      </c>
      <c r="J41" s="18" t="s">
        <v>165</v>
      </c>
      <c r="K41" s="18" t="s">
        <v>21</v>
      </c>
      <c r="L41" s="18" t="s">
        <v>2164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2248</v>
      </c>
      <c r="D42" s="18" t="s">
        <v>2249</v>
      </c>
      <c r="E42" s="18" t="s">
        <v>1016</v>
      </c>
      <c r="F42" s="18" t="s">
        <v>88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2164</v>
      </c>
      <c r="M42" s="18" t="s">
        <v>312</v>
      </c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2248</v>
      </c>
      <c r="D43" s="18" t="s">
        <v>2250</v>
      </c>
      <c r="E43" s="18" t="s">
        <v>1016</v>
      </c>
      <c r="F43" s="18" t="s">
        <v>88</v>
      </c>
      <c r="G43" s="19">
        <v>0</v>
      </c>
      <c r="H43" s="19">
        <v>0</v>
      </c>
      <c r="I43" s="19">
        <f>H43</f>
        <v>0</v>
      </c>
      <c r="J43" s="18" t="s">
        <v>165</v>
      </c>
      <c r="K43" s="18" t="s">
        <v>21</v>
      </c>
      <c r="L43" s="18" t="s">
        <v>2164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2251</v>
      </c>
      <c r="D44" s="18" t="s">
        <v>2252</v>
      </c>
      <c r="E44" s="18" t="s">
        <v>2253</v>
      </c>
      <c r="F44" s="19">
        <v>1</v>
      </c>
      <c r="G44" s="19">
        <v>405</v>
      </c>
      <c r="H44" s="19">
        <v>25</v>
      </c>
      <c r="I44" s="19">
        <f>G44-H44</f>
        <v>380</v>
      </c>
      <c r="J44" s="18" t="s">
        <v>165</v>
      </c>
      <c r="K44" s="18" t="s">
        <v>21</v>
      </c>
      <c r="L44" s="18" t="s">
        <v>2164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2254</v>
      </c>
      <c r="D45" s="18" t="s">
        <v>2255</v>
      </c>
      <c r="E45" s="18" t="s">
        <v>2256</v>
      </c>
      <c r="F45" s="19">
        <v>1</v>
      </c>
      <c r="G45" s="19">
        <v>685</v>
      </c>
      <c r="H45" s="19">
        <v>25</v>
      </c>
      <c r="I45" s="19">
        <f>G45-H45</f>
        <v>660</v>
      </c>
      <c r="J45" s="18" t="s">
        <v>165</v>
      </c>
      <c r="K45" s="18" t="s">
        <v>21</v>
      </c>
      <c r="L45" s="18" t="s">
        <v>2164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2257</v>
      </c>
      <c r="D46" s="18" t="s">
        <v>2258</v>
      </c>
      <c r="E46" s="18" t="s">
        <v>2259</v>
      </c>
      <c r="F46" s="19">
        <v>1</v>
      </c>
      <c r="G46" s="19">
        <v>795</v>
      </c>
      <c r="H46" s="19">
        <v>25</v>
      </c>
      <c r="I46" s="19">
        <f>G46-H46</f>
        <v>770</v>
      </c>
      <c r="J46" s="18" t="s">
        <v>165</v>
      </c>
      <c r="K46" s="18" t="s">
        <v>21</v>
      </c>
      <c r="L46" s="18" t="s">
        <v>2164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2260</v>
      </c>
      <c r="D47" s="18" t="s">
        <v>2261</v>
      </c>
      <c r="E47" s="18" t="s">
        <v>2262</v>
      </c>
      <c r="F47" s="19">
        <v>1</v>
      </c>
      <c r="G47" s="19">
        <v>515</v>
      </c>
      <c r="H47" s="19">
        <v>25</v>
      </c>
      <c r="I47" s="19">
        <f>G47-H47</f>
        <v>490</v>
      </c>
      <c r="J47" s="18" t="s">
        <v>165</v>
      </c>
      <c r="K47" s="18" t="s">
        <v>21</v>
      </c>
      <c r="L47" s="18" t="s">
        <v>2164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2263</v>
      </c>
      <c r="D48" s="18" t="s">
        <v>2264</v>
      </c>
      <c r="E48" s="18" t="s">
        <v>2137</v>
      </c>
      <c r="F48" s="19">
        <v>5</v>
      </c>
      <c r="G48" s="19">
        <v>0</v>
      </c>
      <c r="H48" s="19">
        <v>25</v>
      </c>
      <c r="I48" s="19">
        <f>-H48</f>
        <v>-25</v>
      </c>
      <c r="J48" s="18" t="s">
        <v>165</v>
      </c>
      <c r="K48" s="18" t="s">
        <v>21</v>
      </c>
      <c r="L48" s="18" t="s">
        <v>2164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1141</v>
      </c>
      <c r="D49" s="18" t="s">
        <v>2265</v>
      </c>
      <c r="E49" s="18" t="s">
        <v>1143</v>
      </c>
      <c r="F49" s="19">
        <v>4</v>
      </c>
      <c r="G49" s="19">
        <v>685</v>
      </c>
      <c r="H49" s="19">
        <v>25</v>
      </c>
      <c r="I49" s="19">
        <f t="shared" ref="I49:I56" si="2">G49-H49</f>
        <v>660</v>
      </c>
      <c r="J49" s="18" t="s">
        <v>165</v>
      </c>
      <c r="K49" s="18" t="s">
        <v>21</v>
      </c>
      <c r="L49" s="18" t="s">
        <v>2164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2266</v>
      </c>
      <c r="D50" s="18" t="s">
        <v>2267</v>
      </c>
      <c r="E50" s="18" t="s">
        <v>2268</v>
      </c>
      <c r="F50" s="19">
        <v>4</v>
      </c>
      <c r="G50" s="19">
        <v>1145</v>
      </c>
      <c r="H50" s="19">
        <v>25</v>
      </c>
      <c r="I50" s="19">
        <f t="shared" si="2"/>
        <v>1120</v>
      </c>
      <c r="J50" s="18" t="s">
        <v>165</v>
      </c>
      <c r="K50" s="18" t="s">
        <v>21</v>
      </c>
      <c r="L50" s="18" t="s">
        <v>2164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2269</v>
      </c>
      <c r="D51" s="18" t="s">
        <v>2270</v>
      </c>
      <c r="E51" s="18" t="s">
        <v>2271</v>
      </c>
      <c r="F51" s="19">
        <v>1</v>
      </c>
      <c r="G51" s="19">
        <v>0</v>
      </c>
      <c r="H51" s="19">
        <v>25</v>
      </c>
      <c r="I51" s="19">
        <f t="shared" si="2"/>
        <v>-25</v>
      </c>
      <c r="J51" s="18" t="s">
        <v>165</v>
      </c>
      <c r="K51" s="18" t="s">
        <v>21</v>
      </c>
      <c r="L51" s="18" t="s">
        <v>2164</v>
      </c>
      <c r="M51" s="18" t="s">
        <v>2272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2273</v>
      </c>
      <c r="D52" s="18" t="s">
        <v>2274</v>
      </c>
      <c r="E52" s="18" t="s">
        <v>2275</v>
      </c>
      <c r="F52" s="19">
        <v>1</v>
      </c>
      <c r="G52" s="19">
        <v>595</v>
      </c>
      <c r="H52" s="19">
        <v>25</v>
      </c>
      <c r="I52" s="19">
        <f t="shared" si="2"/>
        <v>570</v>
      </c>
      <c r="J52" s="18" t="s">
        <v>165</v>
      </c>
      <c r="K52" s="18" t="s">
        <v>21</v>
      </c>
      <c r="L52" s="18" t="s">
        <v>2164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2276</v>
      </c>
      <c r="D53" s="18" t="s">
        <v>2277</v>
      </c>
      <c r="E53" s="18" t="s">
        <v>2278</v>
      </c>
      <c r="F53" s="19">
        <v>10</v>
      </c>
      <c r="G53" s="19">
        <v>685</v>
      </c>
      <c r="H53" s="19">
        <v>25</v>
      </c>
      <c r="I53" s="19">
        <f t="shared" si="2"/>
        <v>660</v>
      </c>
      <c r="J53" s="18" t="s">
        <v>165</v>
      </c>
      <c r="K53" s="18" t="s">
        <v>21</v>
      </c>
      <c r="L53" s="18" t="s">
        <v>2164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2279</v>
      </c>
      <c r="D54" s="18" t="s">
        <v>2280</v>
      </c>
      <c r="E54" s="18" t="s">
        <v>2281</v>
      </c>
      <c r="F54" s="18" t="s">
        <v>85</v>
      </c>
      <c r="G54" s="19">
        <v>1140</v>
      </c>
      <c r="H54" s="19">
        <v>20</v>
      </c>
      <c r="I54" s="19">
        <f t="shared" si="2"/>
        <v>1120</v>
      </c>
      <c r="J54" s="18" t="s">
        <v>165</v>
      </c>
      <c r="K54" s="18" t="s">
        <v>21</v>
      </c>
      <c r="L54" s="18" t="s">
        <v>2164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2282</v>
      </c>
      <c r="D55" s="18" t="s">
        <v>2283</v>
      </c>
      <c r="E55" s="18" t="s">
        <v>2284</v>
      </c>
      <c r="F55" s="19">
        <v>10</v>
      </c>
      <c r="G55" s="19">
        <v>1145</v>
      </c>
      <c r="H55" s="19">
        <v>25</v>
      </c>
      <c r="I55" s="19">
        <f t="shared" si="2"/>
        <v>1120</v>
      </c>
      <c r="J55" s="18" t="s">
        <v>165</v>
      </c>
      <c r="K55" s="18" t="s">
        <v>21</v>
      </c>
      <c r="L55" s="18" t="s">
        <v>2164</v>
      </c>
      <c r="M55" s="18"/>
      <c r="N55" s="18"/>
      <c r="O55" s="18"/>
      <c r="P55" s="18"/>
      <c r="Q55" s="18">
        <v>1</v>
      </c>
    </row>
    <row r="56" spans="1:17" x14ac:dyDescent="0.25">
      <c r="A56" s="18" t="s">
        <v>62</v>
      </c>
      <c r="B56" s="18" t="s">
        <v>16</v>
      </c>
      <c r="C56" s="18" t="s">
        <v>2285</v>
      </c>
      <c r="D56" s="18"/>
      <c r="E56" s="18" t="s">
        <v>2286</v>
      </c>
      <c r="F56" s="18" t="s">
        <v>85</v>
      </c>
      <c r="G56" s="19">
        <v>30</v>
      </c>
      <c r="H56" s="19">
        <v>30</v>
      </c>
      <c r="I56" s="19">
        <f t="shared" si="2"/>
        <v>0</v>
      </c>
      <c r="J56" s="18" t="s">
        <v>165</v>
      </c>
      <c r="K56" s="18" t="s">
        <v>21</v>
      </c>
      <c r="L56" s="18" t="s">
        <v>2164</v>
      </c>
      <c r="M56" s="18"/>
      <c r="N56" s="18"/>
      <c r="O56" s="18"/>
      <c r="P56" s="18"/>
      <c r="Q56" s="18">
        <v>1</v>
      </c>
    </row>
    <row r="58" spans="1:17" x14ac:dyDescent="0.25">
      <c r="D58" s="1">
        <f>COUNTA(D3:D56)</f>
        <v>48</v>
      </c>
      <c r="G58" s="1">
        <f t="shared" ref="G58:Q58" si="3">SUBTOTAL(9,G3:G56)</f>
        <v>51915</v>
      </c>
      <c r="H58" s="1">
        <f t="shared" si="3"/>
        <v>1535</v>
      </c>
      <c r="I58" s="1">
        <f t="shared" si="3"/>
        <v>50380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</row>
    <row r="59" spans="1:17" x14ac:dyDescent="0.25">
      <c r="H59">
        <f>-9*17</f>
        <v>-153</v>
      </c>
    </row>
    <row r="60" spans="1:17" x14ac:dyDescent="0.25">
      <c r="A60" s="1" t="s">
        <v>16</v>
      </c>
      <c r="C60" s="42" t="s">
        <v>89</v>
      </c>
      <c r="D60" s="42"/>
      <c r="E60" s="4" t="s">
        <v>90</v>
      </c>
      <c r="H60">
        <f>-2*25</f>
        <v>-50</v>
      </c>
      <c r="K60" s="7" t="s">
        <v>21</v>
      </c>
      <c r="L60" s="7" t="s">
        <v>91</v>
      </c>
      <c r="M60" s="7" t="s">
        <v>90</v>
      </c>
      <c r="O60" s="4" t="s">
        <v>92</v>
      </c>
    </row>
    <row r="61" spans="1:17" x14ac:dyDescent="0.25">
      <c r="A61" t="s">
        <v>2164</v>
      </c>
      <c r="B61" s="3" t="s">
        <v>93</v>
      </c>
      <c r="C61" s="43">
        <f>SUMIFS(I$3:I$56,B$3:B$56,A$60,L$3:L$56,A$61)</f>
        <v>50380</v>
      </c>
      <c r="D61" s="43"/>
      <c r="E61" s="3">
        <f>SUMIFS(Q$3:Q$56,B$3:B$56,A$60,L$3:L$56,A$61)</f>
        <v>54</v>
      </c>
      <c r="F61" t="s">
        <v>94</v>
      </c>
      <c r="H61">
        <f>-2*30</f>
        <v>-60</v>
      </c>
      <c r="K61" t="s">
        <v>95</v>
      </c>
      <c r="L61">
        <f>SUMIFS(G$3:G$56,J$3:J$56,K$60)</f>
        <v>33940</v>
      </c>
      <c r="M61">
        <f>SUMIFS(Q$3:Q$56,J$3:J$56,K$60)</f>
        <v>16</v>
      </c>
      <c r="O61" t="s">
        <v>21</v>
      </c>
      <c r="P61">
        <f>L66</f>
        <v>33379</v>
      </c>
    </row>
    <row r="62" spans="1:17" x14ac:dyDescent="0.25">
      <c r="B62" s="2" t="s">
        <v>97</v>
      </c>
      <c r="C62" s="44">
        <v>0</v>
      </c>
      <c r="D62" s="44"/>
      <c r="K62" t="s">
        <v>98</v>
      </c>
      <c r="L62">
        <f>-SUMIFS(H$3:H$56,J$3:J$56,K$60)+M62*5</f>
        <v>-455</v>
      </c>
      <c r="M62">
        <f>SUMIFS(Q$3:Q$56,J$3:J$56,K$60)-COUNTIFS(J$3:J$56,K$60,M$3:M$56,"*gộp*")</f>
        <v>16</v>
      </c>
      <c r="O62" t="s">
        <v>165</v>
      </c>
      <c r="P62">
        <f>L74</f>
        <v>9255</v>
      </c>
    </row>
    <row r="63" spans="1:17" x14ac:dyDescent="0.25">
      <c r="B63" s="2" t="s">
        <v>99</v>
      </c>
      <c r="C63" s="44">
        <f>-SUMIFS(I$3:I$56,B$3:B$56,A$60,P$3:P$56,"xx",N$3:N$56,"x")</f>
        <v>0</v>
      </c>
      <c r="D63" s="44"/>
      <c r="E63" s="2">
        <f>SUMIFS(Q$3:Q$56,B$3:B$56,A$60,P$3:P$56,"xx",N$3:N$56,"x")</f>
        <v>0</v>
      </c>
      <c r="K63" t="s">
        <v>100</v>
      </c>
      <c r="L63">
        <f>-M63*2</f>
        <v>-106</v>
      </c>
      <c r="M63">
        <f>E64-(COUNTIFS(M$3:M$56,"*gộp*")/2)-COUNTIFS(M$3:M$56,"*đơn trả*")-COUNTIFS(M$3:M$56,"*hàng tỉnh*")</f>
        <v>53</v>
      </c>
      <c r="O63" t="s">
        <v>20</v>
      </c>
      <c r="P63">
        <f>L82</f>
        <v>2455</v>
      </c>
    </row>
    <row r="64" spans="1:17" x14ac:dyDescent="0.25">
      <c r="B64" s="4" t="s">
        <v>101</v>
      </c>
      <c r="C64" s="42">
        <f>SUBTOTAL(9,C61:C63)</f>
        <v>50380</v>
      </c>
      <c r="D64" s="42"/>
      <c r="E64">
        <f>E61</f>
        <v>54</v>
      </c>
      <c r="K64" s="2" t="s">
        <v>102</v>
      </c>
      <c r="O64" t="s">
        <v>2287</v>
      </c>
      <c r="P64">
        <f>L90</f>
        <v>5497</v>
      </c>
    </row>
    <row r="65" spans="2:16" x14ac:dyDescent="0.25">
      <c r="B65" s="2" t="s">
        <v>104</v>
      </c>
      <c r="C65" s="40"/>
      <c r="D65" s="40"/>
      <c r="K65" s="2" t="s">
        <v>105</v>
      </c>
      <c r="O65" t="s">
        <v>103</v>
      </c>
      <c r="P65">
        <f>-C68</f>
        <v>-50380</v>
      </c>
    </row>
    <row r="66" spans="2:16" x14ac:dyDescent="0.25">
      <c r="B66" s="8" t="s">
        <v>107</v>
      </c>
      <c r="C66" s="40"/>
      <c r="D66" s="40"/>
      <c r="L66" s="9">
        <f>SUBTOTAL(9,L61:L65)</f>
        <v>33379</v>
      </c>
      <c r="M66" s="9">
        <f>M61</f>
        <v>16</v>
      </c>
      <c r="O66" s="4" t="s">
        <v>106</v>
      </c>
      <c r="P66" s="4">
        <f>SUBTOTAL(9,P61:P65)</f>
        <v>206</v>
      </c>
    </row>
    <row r="68" spans="2:16" x14ac:dyDescent="0.25">
      <c r="B68" s="1" t="s">
        <v>108</v>
      </c>
      <c r="C68" s="41">
        <f>C64+C65+C66</f>
        <v>50380</v>
      </c>
      <c r="D68" s="41"/>
      <c r="E68" s="1" t="s">
        <v>109</v>
      </c>
      <c r="K68" s="7" t="s">
        <v>165</v>
      </c>
      <c r="L68" s="7" t="s">
        <v>91</v>
      </c>
      <c r="M68" s="7" t="s">
        <v>90</v>
      </c>
    </row>
    <row r="69" spans="2:16" x14ac:dyDescent="0.25">
      <c r="K69" t="s">
        <v>95</v>
      </c>
      <c r="L69">
        <f>SUMIFS(G$3:G$56,J$3:J$56,K$68)</f>
        <v>9635</v>
      </c>
      <c r="M69">
        <f>SUMIFS(Q$3:Q$56,J$3:J$56,K$68)</f>
        <v>20</v>
      </c>
    </row>
    <row r="70" spans="2:16" x14ac:dyDescent="0.25">
      <c r="K70" t="s">
        <v>98</v>
      </c>
      <c r="L70">
        <f>-SUMIFS(H$3:H$56,J$3:J$56,K$68)+M70*5</f>
        <v>-380</v>
      </c>
      <c r="M70">
        <f>SUMIFS(Q$3:Q$56,J$3:J$56,K$68)-COUNTIFS(J$3:J$56,K$68,M$3:M$56,"*gộp*")</f>
        <v>18</v>
      </c>
    </row>
    <row r="71" spans="2:16" x14ac:dyDescent="0.25">
      <c r="K71" t="s">
        <v>100</v>
      </c>
    </row>
    <row r="72" spans="2:16" x14ac:dyDescent="0.25">
      <c r="K72" s="2" t="s">
        <v>102</v>
      </c>
    </row>
    <row r="73" spans="2:16" x14ac:dyDescent="0.25">
      <c r="K73" s="2" t="s">
        <v>105</v>
      </c>
    </row>
    <row r="74" spans="2:16" x14ac:dyDescent="0.25">
      <c r="L74" s="9">
        <f>SUBTOTAL(9,L69:L73)</f>
        <v>9255</v>
      </c>
      <c r="M74" s="9">
        <f>M69</f>
        <v>20</v>
      </c>
    </row>
    <row r="76" spans="2:16" x14ac:dyDescent="0.25">
      <c r="K76" s="7" t="s">
        <v>20</v>
      </c>
      <c r="L76" s="7" t="s">
        <v>91</v>
      </c>
      <c r="M76" s="7" t="s">
        <v>90</v>
      </c>
    </row>
    <row r="77" spans="2:16" x14ac:dyDescent="0.25">
      <c r="K77" t="s">
        <v>95</v>
      </c>
      <c r="L77">
        <f>SUMIFS(G$3:G$56,J$3:J$56,K$76)</f>
        <v>2580</v>
      </c>
      <c r="M77">
        <f>SUMIFS(Q$3:Q$56,J$3:J$56,K$76)</f>
        <v>5</v>
      </c>
    </row>
    <row r="78" spans="2:16" x14ac:dyDescent="0.25">
      <c r="K78" t="s">
        <v>98</v>
      </c>
      <c r="L78">
        <f>-SUMIFS(H$3:H$56,J$3:J$56,K$76)+M78*5</f>
        <v>-125</v>
      </c>
      <c r="M78">
        <f>SUMIFS(Q$3:Q$56,J$3:J$56,K$76)-COUNTIFS(J$3:J$56,K$76,M$3:M$56,"*gộp*")</f>
        <v>5</v>
      </c>
    </row>
    <row r="79" spans="2:16" x14ac:dyDescent="0.25">
      <c r="K79" t="s">
        <v>100</v>
      </c>
    </row>
    <row r="80" spans="2:16" x14ac:dyDescent="0.25">
      <c r="K80" s="2" t="s">
        <v>102</v>
      </c>
    </row>
    <row r="81" spans="11:13" x14ac:dyDescent="0.25">
      <c r="K81" s="2" t="s">
        <v>105</v>
      </c>
    </row>
    <row r="82" spans="11:13" x14ac:dyDescent="0.25">
      <c r="L82" s="9">
        <f>SUBTOTAL(9,L77:L81)</f>
        <v>2455</v>
      </c>
      <c r="M82" s="9">
        <f>M77</f>
        <v>5</v>
      </c>
    </row>
    <row r="84" spans="11:13" x14ac:dyDescent="0.25">
      <c r="K84" s="7" t="s">
        <v>2180</v>
      </c>
      <c r="L84" s="7" t="s">
        <v>91</v>
      </c>
      <c r="M84" s="7" t="s">
        <v>90</v>
      </c>
    </row>
    <row r="85" spans="11:13" x14ac:dyDescent="0.25">
      <c r="K85" t="s">
        <v>95</v>
      </c>
      <c r="L85">
        <f>SUMIFS(G$3:G$56,J$3:J$56,K$84)</f>
        <v>5760</v>
      </c>
      <c r="M85">
        <f>SUMIFS(Q$3:Q$56,J$3:J$56,K$84)</f>
        <v>13</v>
      </c>
    </row>
    <row r="86" spans="11:13" x14ac:dyDescent="0.25">
      <c r="K86" t="s">
        <v>98</v>
      </c>
      <c r="L86">
        <f>SUM(H59:H61)</f>
        <v>-263</v>
      </c>
      <c r="M86">
        <f>SUMIFS(Q$3:Q$56,J$3:J$56,K$84)</f>
        <v>13</v>
      </c>
    </row>
    <row r="87" spans="11:13" x14ac:dyDescent="0.25">
      <c r="K87" t="s">
        <v>100</v>
      </c>
    </row>
    <row r="88" spans="11:13" x14ac:dyDescent="0.25">
      <c r="K88" s="2" t="s">
        <v>102</v>
      </c>
    </row>
    <row r="89" spans="11:13" x14ac:dyDescent="0.25">
      <c r="K89" s="2" t="s">
        <v>105</v>
      </c>
    </row>
    <row r="90" spans="11:13" x14ac:dyDescent="0.25">
      <c r="L90" s="9">
        <f>SUBTOTAL(9,L85:L89)</f>
        <v>5497</v>
      </c>
      <c r="M90" s="9">
        <f>M85</f>
        <v>13</v>
      </c>
    </row>
  </sheetData>
  <autoFilter ref="A2:P56" xr:uid="{00000000-0009-0000-0000-000012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R95"/>
  <sheetViews>
    <sheetView zoomScale="90" zoomScaleNormal="90" workbookViewId="0">
      <selection activeCell="M5" sqref="M5"/>
    </sheetView>
  </sheetViews>
  <sheetFormatPr defaultRowHeight="15" x14ac:dyDescent="0.25"/>
  <cols>
    <col min="1" max="1" width="12.7109375" customWidth="1"/>
    <col min="2" max="2" width="17.7109375" customWidth="1"/>
    <col min="3" max="3" width="44.85546875" customWidth="1"/>
    <col min="4" max="4" width="9.85546875" customWidth="1"/>
    <col min="5" max="5" width="78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3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8" x14ac:dyDescent="0.25">
      <c r="A3" s="18"/>
      <c r="B3" s="18" t="s">
        <v>16</v>
      </c>
      <c r="C3" s="18" t="s">
        <v>1075</v>
      </c>
      <c r="D3" s="18" t="s">
        <v>2288</v>
      </c>
      <c r="E3" s="18" t="s">
        <v>2289</v>
      </c>
      <c r="F3" s="19">
        <v>9</v>
      </c>
      <c r="G3" s="19">
        <v>50</v>
      </c>
      <c r="H3" s="19">
        <v>20</v>
      </c>
      <c r="I3" s="19">
        <f>G3-H3</f>
        <v>30</v>
      </c>
      <c r="J3" s="18" t="s">
        <v>20</v>
      </c>
      <c r="K3" s="18" t="s">
        <v>21</v>
      </c>
      <c r="L3" s="18" t="s">
        <v>2290</v>
      </c>
      <c r="M3" s="18"/>
      <c r="N3" s="18"/>
      <c r="O3" s="18"/>
      <c r="P3" s="18"/>
      <c r="Q3" s="18">
        <v>1</v>
      </c>
    </row>
    <row r="4" spans="1:18" s="39" customFormat="1" x14ac:dyDescent="0.25">
      <c r="A4" s="37"/>
      <c r="B4" s="37" t="s">
        <v>16</v>
      </c>
      <c r="C4" s="37" t="s">
        <v>2291</v>
      </c>
      <c r="D4" s="37" t="s">
        <v>2292</v>
      </c>
      <c r="E4" s="37" t="s">
        <v>2293</v>
      </c>
      <c r="F4" s="38">
        <v>1</v>
      </c>
      <c r="G4" s="38">
        <v>1145</v>
      </c>
      <c r="H4" s="38">
        <v>25</v>
      </c>
      <c r="I4" s="38">
        <f>G4-H4</f>
        <v>1120</v>
      </c>
      <c r="J4" s="37" t="s">
        <v>2294</v>
      </c>
      <c r="K4" s="37" t="s">
        <v>21</v>
      </c>
      <c r="L4" s="37" t="s">
        <v>2290</v>
      </c>
      <c r="M4" s="37"/>
      <c r="N4" s="37"/>
      <c r="O4" s="37"/>
      <c r="P4" s="37"/>
      <c r="Q4" s="37">
        <v>1</v>
      </c>
    </row>
    <row r="5" spans="1:18" s="39" customFormat="1" x14ac:dyDescent="0.25">
      <c r="A5" s="37"/>
      <c r="B5" s="37" t="s">
        <v>16</v>
      </c>
      <c r="C5" s="37" t="s">
        <v>1200</v>
      </c>
      <c r="D5" s="37" t="s">
        <v>2295</v>
      </c>
      <c r="E5" s="37" t="s">
        <v>1202</v>
      </c>
      <c r="F5" s="37" t="s">
        <v>26</v>
      </c>
      <c r="G5" s="38">
        <v>0</v>
      </c>
      <c r="H5" s="38">
        <v>30</v>
      </c>
      <c r="I5" s="38">
        <f>-H5</f>
        <v>-30</v>
      </c>
      <c r="J5" s="37" t="s">
        <v>2294</v>
      </c>
      <c r="K5" s="37" t="s">
        <v>21</v>
      </c>
      <c r="L5" s="37" t="s">
        <v>2290</v>
      </c>
      <c r="M5" s="18" t="s">
        <v>312</v>
      </c>
      <c r="N5" s="37"/>
      <c r="O5" s="37"/>
      <c r="P5" s="37"/>
      <c r="Q5" s="37">
        <v>1</v>
      </c>
    </row>
    <row r="6" spans="1:18" x14ac:dyDescent="0.25">
      <c r="A6" s="18"/>
      <c r="B6" s="18" t="s">
        <v>16</v>
      </c>
      <c r="C6" s="18" t="s">
        <v>1200</v>
      </c>
      <c r="D6" s="18" t="s">
        <v>2587</v>
      </c>
      <c r="E6" s="18" t="s">
        <v>1202</v>
      </c>
      <c r="F6" s="18" t="s">
        <v>26</v>
      </c>
      <c r="G6" s="19">
        <v>0</v>
      </c>
      <c r="H6" s="19">
        <v>0</v>
      </c>
      <c r="I6" s="19">
        <f>-H6</f>
        <v>0</v>
      </c>
      <c r="J6" s="18" t="s">
        <v>2294</v>
      </c>
      <c r="K6" s="18" t="s">
        <v>21</v>
      </c>
      <c r="L6" s="18" t="s">
        <v>2290</v>
      </c>
      <c r="M6" s="18" t="s">
        <v>312</v>
      </c>
      <c r="N6" s="18"/>
      <c r="O6" s="18"/>
      <c r="P6" s="18"/>
      <c r="Q6" s="18">
        <v>1</v>
      </c>
      <c r="R6" s="6">
        <f>H6</f>
        <v>0</v>
      </c>
    </row>
    <row r="7" spans="1:18" s="39" customFormat="1" x14ac:dyDescent="0.25">
      <c r="A7" s="37"/>
      <c r="B7" s="37" t="s">
        <v>16</v>
      </c>
      <c r="C7" s="37" t="s">
        <v>2296</v>
      </c>
      <c r="D7" s="37" t="s">
        <v>2297</v>
      </c>
      <c r="E7" s="37" t="s">
        <v>2298</v>
      </c>
      <c r="F7" s="38">
        <v>7</v>
      </c>
      <c r="G7" s="38">
        <v>470</v>
      </c>
      <c r="H7" s="38">
        <v>30</v>
      </c>
      <c r="I7" s="38">
        <f>G7-H7</f>
        <v>440</v>
      </c>
      <c r="J7" s="37" t="s">
        <v>2294</v>
      </c>
      <c r="K7" s="37" t="s">
        <v>21</v>
      </c>
      <c r="L7" s="37" t="s">
        <v>2290</v>
      </c>
      <c r="M7" s="37"/>
      <c r="N7" s="37"/>
      <c r="O7" s="37"/>
      <c r="P7" s="37"/>
      <c r="Q7" s="37">
        <v>1</v>
      </c>
    </row>
    <row r="8" spans="1:18" s="39" customFormat="1" x14ac:dyDescent="0.25">
      <c r="A8" s="37"/>
      <c r="B8" s="37" t="s">
        <v>16</v>
      </c>
      <c r="C8" s="37" t="s">
        <v>891</v>
      </c>
      <c r="D8" s="37" t="s">
        <v>2299</v>
      </c>
      <c r="E8" s="37" t="s">
        <v>893</v>
      </c>
      <c r="F8" s="37" t="s">
        <v>26</v>
      </c>
      <c r="G8" s="38">
        <v>380</v>
      </c>
      <c r="H8" s="38">
        <v>30</v>
      </c>
      <c r="I8" s="38">
        <f>G8-H8</f>
        <v>350</v>
      </c>
      <c r="J8" s="37" t="s">
        <v>2294</v>
      </c>
      <c r="K8" s="37" t="s">
        <v>21</v>
      </c>
      <c r="L8" s="37" t="s">
        <v>2290</v>
      </c>
      <c r="M8" s="37"/>
      <c r="N8" s="37"/>
      <c r="O8" s="37"/>
      <c r="P8" s="37"/>
      <c r="Q8" s="37">
        <v>1</v>
      </c>
    </row>
    <row r="9" spans="1:18" s="39" customFormat="1" x14ac:dyDescent="0.25">
      <c r="A9" s="37"/>
      <c r="B9" s="37" t="s">
        <v>16</v>
      </c>
      <c r="C9" s="37" t="s">
        <v>2300</v>
      </c>
      <c r="D9" s="37" t="s">
        <v>2301</v>
      </c>
      <c r="E9" s="37" t="s">
        <v>2302</v>
      </c>
      <c r="F9" s="38">
        <v>8</v>
      </c>
      <c r="G9" s="38">
        <v>560</v>
      </c>
      <c r="H9" s="38">
        <v>30</v>
      </c>
      <c r="I9" s="38">
        <f>G9-H9</f>
        <v>530</v>
      </c>
      <c r="J9" s="37" t="s">
        <v>2294</v>
      </c>
      <c r="K9" s="37" t="s">
        <v>21</v>
      </c>
      <c r="L9" s="37" t="s">
        <v>2290</v>
      </c>
      <c r="M9" s="37"/>
      <c r="N9" s="37"/>
      <c r="O9" s="37"/>
      <c r="P9" s="37"/>
      <c r="Q9" s="37">
        <v>1</v>
      </c>
    </row>
    <row r="10" spans="1:18" s="39" customFormat="1" x14ac:dyDescent="0.25">
      <c r="A10" s="37"/>
      <c r="B10" s="37" t="s">
        <v>16</v>
      </c>
      <c r="C10" s="37" t="s">
        <v>2303</v>
      </c>
      <c r="D10" s="37" t="s">
        <v>2304</v>
      </c>
      <c r="E10" s="37" t="s">
        <v>2305</v>
      </c>
      <c r="F10" s="37" t="s">
        <v>26</v>
      </c>
      <c r="G10" s="38">
        <v>0</v>
      </c>
      <c r="H10" s="38">
        <v>30</v>
      </c>
      <c r="I10" s="38">
        <f>-H10</f>
        <v>-30</v>
      </c>
      <c r="J10" s="37" t="s">
        <v>2294</v>
      </c>
      <c r="K10" s="37" t="s">
        <v>21</v>
      </c>
      <c r="L10" s="37" t="s">
        <v>2290</v>
      </c>
      <c r="M10" s="37"/>
      <c r="N10" s="37"/>
      <c r="O10" s="37"/>
      <c r="P10" s="37"/>
      <c r="Q10" s="37">
        <v>1</v>
      </c>
    </row>
    <row r="11" spans="1:18" s="39" customFormat="1" x14ac:dyDescent="0.25">
      <c r="A11" s="37"/>
      <c r="B11" s="37" t="s">
        <v>16</v>
      </c>
      <c r="C11" s="37" t="s">
        <v>594</v>
      </c>
      <c r="D11" s="37" t="s">
        <v>2306</v>
      </c>
      <c r="E11" s="37" t="s">
        <v>596</v>
      </c>
      <c r="F11" s="37" t="s">
        <v>217</v>
      </c>
      <c r="G11" s="38">
        <v>525</v>
      </c>
      <c r="H11" s="38">
        <v>25</v>
      </c>
      <c r="I11" s="38">
        <f>G11-H11</f>
        <v>500</v>
      </c>
      <c r="J11" s="37" t="s">
        <v>2294</v>
      </c>
      <c r="K11" s="37" t="s">
        <v>21</v>
      </c>
      <c r="L11" s="37" t="s">
        <v>2290</v>
      </c>
      <c r="M11" s="37"/>
      <c r="N11" s="37"/>
      <c r="O11" s="37"/>
      <c r="P11" s="37"/>
      <c r="Q11" s="37">
        <v>1</v>
      </c>
    </row>
    <row r="12" spans="1:18" s="39" customFormat="1" x14ac:dyDescent="0.25">
      <c r="A12" s="37"/>
      <c r="B12" s="37" t="s">
        <v>16</v>
      </c>
      <c r="C12" s="37" t="s">
        <v>2307</v>
      </c>
      <c r="D12" s="37" t="s">
        <v>2308</v>
      </c>
      <c r="E12" s="37" t="s">
        <v>2309</v>
      </c>
      <c r="F12" s="38">
        <v>7</v>
      </c>
      <c r="G12" s="38">
        <v>690</v>
      </c>
      <c r="H12" s="38">
        <v>30</v>
      </c>
      <c r="I12" s="38">
        <f>G12-H12</f>
        <v>660</v>
      </c>
      <c r="J12" s="37" t="s">
        <v>2294</v>
      </c>
      <c r="K12" s="37" t="s">
        <v>21</v>
      </c>
      <c r="L12" s="37" t="s">
        <v>2290</v>
      </c>
      <c r="M12" s="37"/>
      <c r="N12" s="37"/>
      <c r="O12" s="37"/>
      <c r="P12" s="37"/>
      <c r="Q12" s="37">
        <v>1</v>
      </c>
    </row>
    <row r="13" spans="1:18" s="39" customFormat="1" x14ac:dyDescent="0.25">
      <c r="A13" s="37"/>
      <c r="B13" s="37" t="s">
        <v>16</v>
      </c>
      <c r="C13" s="37" t="s">
        <v>707</v>
      </c>
      <c r="D13" s="37" t="s">
        <v>2310</v>
      </c>
      <c r="E13" s="37" t="s">
        <v>709</v>
      </c>
      <c r="F13" s="38">
        <v>6</v>
      </c>
      <c r="G13" s="38">
        <v>475</v>
      </c>
      <c r="H13" s="38">
        <v>25</v>
      </c>
      <c r="I13" s="38">
        <f>G13-H13</f>
        <v>450</v>
      </c>
      <c r="J13" s="37" t="s">
        <v>2294</v>
      </c>
      <c r="K13" s="37" t="s">
        <v>21</v>
      </c>
      <c r="L13" s="37" t="s">
        <v>2290</v>
      </c>
      <c r="M13" s="37"/>
      <c r="N13" s="37"/>
      <c r="O13" s="37"/>
      <c r="P13" s="37"/>
      <c r="Q13" s="37">
        <v>1</v>
      </c>
    </row>
    <row r="14" spans="1:18" s="39" customFormat="1" x14ac:dyDescent="0.25">
      <c r="A14" s="37"/>
      <c r="B14" s="37" t="s">
        <v>16</v>
      </c>
      <c r="C14" s="37" t="s">
        <v>2055</v>
      </c>
      <c r="D14" s="37" t="s">
        <v>2311</v>
      </c>
      <c r="E14" s="37" t="s">
        <v>2312</v>
      </c>
      <c r="F14" s="37" t="s">
        <v>88</v>
      </c>
      <c r="G14" s="38">
        <v>480</v>
      </c>
      <c r="H14" s="38">
        <v>30</v>
      </c>
      <c r="I14" s="38">
        <f>G14-H14</f>
        <v>450</v>
      </c>
      <c r="J14" s="37" t="s">
        <v>2294</v>
      </c>
      <c r="K14" s="37" t="s">
        <v>21</v>
      </c>
      <c r="L14" s="37" t="s">
        <v>2290</v>
      </c>
      <c r="M14" s="37"/>
      <c r="N14" s="37"/>
      <c r="O14" s="37"/>
      <c r="P14" s="37"/>
      <c r="Q14" s="37">
        <v>1</v>
      </c>
    </row>
    <row r="15" spans="1:18" s="39" customFormat="1" x14ac:dyDescent="0.25">
      <c r="A15" s="37"/>
      <c r="B15" s="37" t="s">
        <v>16</v>
      </c>
      <c r="C15" s="37" t="s">
        <v>2313</v>
      </c>
      <c r="D15" s="37" t="s">
        <v>2314</v>
      </c>
      <c r="E15" s="37" t="s">
        <v>2315</v>
      </c>
      <c r="F15" s="38">
        <v>4</v>
      </c>
      <c r="G15" s="38">
        <v>685</v>
      </c>
      <c r="H15" s="38">
        <v>25</v>
      </c>
      <c r="I15" s="38">
        <f>G15-H15</f>
        <v>660</v>
      </c>
      <c r="J15" s="37" t="s">
        <v>2294</v>
      </c>
      <c r="K15" s="37" t="s">
        <v>21</v>
      </c>
      <c r="L15" s="37" t="s">
        <v>2290</v>
      </c>
      <c r="M15" s="37"/>
      <c r="N15" s="37"/>
      <c r="O15" s="37"/>
      <c r="P15" s="37"/>
      <c r="Q15" s="37">
        <v>1</v>
      </c>
    </row>
    <row r="16" spans="1:18" s="39" customFormat="1" x14ac:dyDescent="0.25">
      <c r="A16" s="37"/>
      <c r="B16" s="37" t="s">
        <v>16</v>
      </c>
      <c r="C16" s="37" t="s">
        <v>2316</v>
      </c>
      <c r="D16" s="37" t="s">
        <v>2317</v>
      </c>
      <c r="E16" s="37" t="s">
        <v>1850</v>
      </c>
      <c r="F16" s="37" t="s">
        <v>259</v>
      </c>
      <c r="G16" s="38">
        <v>0</v>
      </c>
      <c r="H16" s="38">
        <v>35</v>
      </c>
      <c r="I16" s="38">
        <f>-H16</f>
        <v>-35</v>
      </c>
      <c r="J16" s="37" t="s">
        <v>2294</v>
      </c>
      <c r="K16" s="37" t="s">
        <v>21</v>
      </c>
      <c r="L16" s="37" t="s">
        <v>2290</v>
      </c>
      <c r="M16" s="37"/>
      <c r="N16" s="37"/>
      <c r="O16" s="37"/>
      <c r="P16" s="37"/>
      <c r="Q16" s="37">
        <v>1</v>
      </c>
    </row>
    <row r="17" spans="1:17" s="39" customFormat="1" x14ac:dyDescent="0.25">
      <c r="A17" s="37"/>
      <c r="B17" s="37" t="s">
        <v>16</v>
      </c>
      <c r="C17" s="37" t="s">
        <v>2318</v>
      </c>
      <c r="D17" s="37" t="s">
        <v>2319</v>
      </c>
      <c r="E17" s="37" t="s">
        <v>2320</v>
      </c>
      <c r="F17" s="38">
        <v>1</v>
      </c>
      <c r="G17" s="38">
        <v>865</v>
      </c>
      <c r="H17" s="38">
        <v>25</v>
      </c>
      <c r="I17" s="38">
        <f>G17-H17</f>
        <v>840</v>
      </c>
      <c r="J17" s="37" t="s">
        <v>2294</v>
      </c>
      <c r="K17" s="37" t="s">
        <v>21</v>
      </c>
      <c r="L17" s="37" t="s">
        <v>2290</v>
      </c>
      <c r="M17" s="37"/>
      <c r="N17" s="37"/>
      <c r="O17" s="37"/>
      <c r="P17" s="37"/>
      <c r="Q17" s="37">
        <v>1</v>
      </c>
    </row>
    <row r="18" spans="1:17" s="39" customFormat="1" x14ac:dyDescent="0.25">
      <c r="A18" s="37"/>
      <c r="B18" s="37" t="s">
        <v>16</v>
      </c>
      <c r="C18" s="37" t="s">
        <v>2321</v>
      </c>
      <c r="D18" s="37" t="s">
        <v>2322</v>
      </c>
      <c r="E18" s="37" t="s">
        <v>2323</v>
      </c>
      <c r="F18" s="38">
        <v>1</v>
      </c>
      <c r="G18" s="38">
        <v>1915</v>
      </c>
      <c r="H18" s="38">
        <v>25</v>
      </c>
      <c r="I18" s="38">
        <f>G18-H18</f>
        <v>1890</v>
      </c>
      <c r="J18" s="37" t="s">
        <v>2294</v>
      </c>
      <c r="K18" s="37" t="s">
        <v>21</v>
      </c>
      <c r="L18" s="37" t="s">
        <v>2290</v>
      </c>
      <c r="M18" s="37"/>
      <c r="N18" s="37"/>
      <c r="O18" s="37"/>
      <c r="P18" s="37"/>
      <c r="Q18" s="37">
        <v>1</v>
      </c>
    </row>
    <row r="19" spans="1:17" s="39" customFormat="1" x14ac:dyDescent="0.25">
      <c r="A19" s="37"/>
      <c r="B19" s="37" t="s">
        <v>16</v>
      </c>
      <c r="C19" s="37" t="s">
        <v>2324</v>
      </c>
      <c r="D19" s="37" t="s">
        <v>2325</v>
      </c>
      <c r="E19" s="37" t="s">
        <v>2326</v>
      </c>
      <c r="F19" s="37" t="s">
        <v>113</v>
      </c>
      <c r="G19" s="38">
        <v>1355</v>
      </c>
      <c r="H19" s="38">
        <v>35</v>
      </c>
      <c r="I19" s="38">
        <f>G19-H19</f>
        <v>1320</v>
      </c>
      <c r="J19" s="37" t="s">
        <v>2294</v>
      </c>
      <c r="K19" s="37" t="s">
        <v>21</v>
      </c>
      <c r="L19" s="37" t="s">
        <v>2290</v>
      </c>
      <c r="M19" s="37"/>
      <c r="N19" s="37"/>
      <c r="O19" s="37"/>
      <c r="P19" s="37"/>
      <c r="Q19" s="37">
        <v>1</v>
      </c>
    </row>
    <row r="20" spans="1:17" s="39" customFormat="1" x14ac:dyDescent="0.25">
      <c r="A20" s="37"/>
      <c r="B20" s="37" t="s">
        <v>16</v>
      </c>
      <c r="C20" s="37" t="s">
        <v>1056</v>
      </c>
      <c r="D20" s="37" t="s">
        <v>2327</v>
      </c>
      <c r="E20" s="37" t="s">
        <v>1190</v>
      </c>
      <c r="F20" s="38">
        <v>7</v>
      </c>
      <c r="G20" s="38">
        <v>880</v>
      </c>
      <c r="H20" s="38">
        <v>30</v>
      </c>
      <c r="I20" s="38">
        <f>G20-H20</f>
        <v>850</v>
      </c>
      <c r="J20" s="37" t="s">
        <v>2294</v>
      </c>
      <c r="K20" s="37" t="s">
        <v>21</v>
      </c>
      <c r="L20" s="37" t="s">
        <v>2290</v>
      </c>
      <c r="M20" s="37"/>
      <c r="N20" s="37"/>
      <c r="O20" s="37"/>
      <c r="P20" s="37"/>
      <c r="Q20" s="37">
        <v>1</v>
      </c>
    </row>
    <row r="21" spans="1:17" s="39" customFormat="1" x14ac:dyDescent="0.25">
      <c r="A21" s="37"/>
      <c r="B21" s="37" t="s">
        <v>16</v>
      </c>
      <c r="C21" s="37" t="s">
        <v>2328</v>
      </c>
      <c r="D21" s="37" t="s">
        <v>2329</v>
      </c>
      <c r="E21" s="37" t="s">
        <v>2330</v>
      </c>
      <c r="F21" s="38">
        <v>7</v>
      </c>
      <c r="G21" s="38">
        <v>1990</v>
      </c>
      <c r="H21" s="38">
        <v>30</v>
      </c>
      <c r="I21" s="38">
        <f>G21-H21</f>
        <v>1960</v>
      </c>
      <c r="J21" s="37" t="s">
        <v>2294</v>
      </c>
      <c r="K21" s="37" t="s">
        <v>21</v>
      </c>
      <c r="L21" s="37" t="s">
        <v>2290</v>
      </c>
      <c r="M21" s="37"/>
      <c r="N21" s="37"/>
      <c r="O21" s="37"/>
      <c r="P21" s="37"/>
      <c r="Q21" s="37">
        <v>1</v>
      </c>
    </row>
    <row r="22" spans="1:17" s="39" customFormat="1" x14ac:dyDescent="0.25">
      <c r="A22" s="37"/>
      <c r="B22" s="37" t="s">
        <v>16</v>
      </c>
      <c r="C22" s="37" t="s">
        <v>2331</v>
      </c>
      <c r="D22" s="37" t="s">
        <v>2332</v>
      </c>
      <c r="E22" s="37" t="s">
        <v>2333</v>
      </c>
      <c r="F22" s="37" t="s">
        <v>128</v>
      </c>
      <c r="G22" s="38">
        <v>0</v>
      </c>
      <c r="H22" s="38">
        <v>35</v>
      </c>
      <c r="I22" s="38">
        <f>-H22</f>
        <v>-35</v>
      </c>
      <c r="J22" s="37" t="s">
        <v>2294</v>
      </c>
      <c r="K22" s="37" t="s">
        <v>21</v>
      </c>
      <c r="L22" s="37" t="s">
        <v>2290</v>
      </c>
      <c r="M22" s="37"/>
      <c r="N22" s="37"/>
      <c r="O22" s="37"/>
      <c r="P22" s="37"/>
      <c r="Q22" s="37">
        <v>1</v>
      </c>
    </row>
    <row r="23" spans="1:17" s="39" customFormat="1" x14ac:dyDescent="0.25">
      <c r="A23" s="37"/>
      <c r="B23" s="37" t="s">
        <v>16</v>
      </c>
      <c r="C23" s="37" t="s">
        <v>2334</v>
      </c>
      <c r="D23" s="37" t="s">
        <v>2335</v>
      </c>
      <c r="E23" s="37" t="s">
        <v>2336</v>
      </c>
      <c r="F23" s="37" t="s">
        <v>217</v>
      </c>
      <c r="G23" s="38">
        <v>1545</v>
      </c>
      <c r="H23" s="38">
        <v>25</v>
      </c>
      <c r="I23" s="38">
        <f>G23-H23</f>
        <v>1520</v>
      </c>
      <c r="J23" s="37" t="s">
        <v>2294</v>
      </c>
      <c r="K23" s="37" t="s">
        <v>21</v>
      </c>
      <c r="L23" s="37" t="s">
        <v>2290</v>
      </c>
      <c r="M23" s="37"/>
      <c r="N23" s="37"/>
      <c r="O23" s="37"/>
      <c r="P23" s="37"/>
      <c r="Q23" s="37">
        <v>1</v>
      </c>
    </row>
    <row r="24" spans="1:17" s="39" customFormat="1" x14ac:dyDescent="0.25">
      <c r="A24" s="37"/>
      <c r="B24" s="37" t="s">
        <v>16</v>
      </c>
      <c r="C24" s="37" t="s">
        <v>2337</v>
      </c>
      <c r="D24" s="37" t="s">
        <v>2338</v>
      </c>
      <c r="E24" s="37" t="s">
        <v>2339</v>
      </c>
      <c r="F24" s="38">
        <v>12</v>
      </c>
      <c r="G24" s="38">
        <v>920</v>
      </c>
      <c r="H24" s="38">
        <v>30</v>
      </c>
      <c r="I24" s="38">
        <f>G24-H24</f>
        <v>890</v>
      </c>
      <c r="J24" s="37" t="s">
        <v>2294</v>
      </c>
      <c r="K24" s="37" t="s">
        <v>21</v>
      </c>
      <c r="L24" s="37" t="s">
        <v>2290</v>
      </c>
      <c r="M24" s="37"/>
      <c r="N24" s="37"/>
      <c r="O24" s="37"/>
      <c r="P24" s="37"/>
      <c r="Q24" s="37">
        <v>1</v>
      </c>
    </row>
    <row r="25" spans="1:17" s="39" customFormat="1" x14ac:dyDescent="0.25">
      <c r="A25" s="37"/>
      <c r="B25" s="37" t="s">
        <v>16</v>
      </c>
      <c r="C25" s="37" t="s">
        <v>2094</v>
      </c>
      <c r="D25" s="37" t="s">
        <v>2340</v>
      </c>
      <c r="E25" s="37" t="s">
        <v>2096</v>
      </c>
      <c r="F25" s="37" t="s">
        <v>88</v>
      </c>
      <c r="G25" s="38">
        <v>0</v>
      </c>
      <c r="H25" s="38">
        <v>25</v>
      </c>
      <c r="I25" s="38">
        <f>-H25</f>
        <v>-25</v>
      </c>
      <c r="J25" s="37" t="s">
        <v>2294</v>
      </c>
      <c r="K25" s="37" t="s">
        <v>21</v>
      </c>
      <c r="L25" s="37" t="s">
        <v>2290</v>
      </c>
      <c r="M25" s="37"/>
      <c r="N25" s="37"/>
      <c r="O25" s="37"/>
      <c r="P25" s="37"/>
      <c r="Q25" s="37">
        <v>1</v>
      </c>
    </row>
    <row r="26" spans="1:17" s="39" customFormat="1" x14ac:dyDescent="0.25">
      <c r="A26" s="37"/>
      <c r="B26" s="37" t="s">
        <v>16</v>
      </c>
      <c r="C26" s="37" t="s">
        <v>481</v>
      </c>
      <c r="D26" s="37" t="s">
        <v>2341</v>
      </c>
      <c r="E26" s="37" t="s">
        <v>2342</v>
      </c>
      <c r="F26" s="38">
        <v>4</v>
      </c>
      <c r="G26" s="38">
        <v>915</v>
      </c>
      <c r="H26" s="38">
        <v>25</v>
      </c>
      <c r="I26" s="38">
        <f t="shared" ref="I26:I31" si="0">G26-H26</f>
        <v>890</v>
      </c>
      <c r="J26" s="37" t="s">
        <v>2294</v>
      </c>
      <c r="K26" s="37" t="s">
        <v>21</v>
      </c>
      <c r="L26" s="37" t="s">
        <v>2290</v>
      </c>
      <c r="M26" s="37"/>
      <c r="N26" s="37"/>
      <c r="O26" s="37"/>
      <c r="P26" s="37"/>
      <c r="Q26" s="37">
        <v>1</v>
      </c>
    </row>
    <row r="27" spans="1:17" s="39" customFormat="1" x14ac:dyDescent="0.25">
      <c r="A27" s="37"/>
      <c r="B27" s="37" t="s">
        <v>16</v>
      </c>
      <c r="C27" s="37" t="s">
        <v>2343</v>
      </c>
      <c r="D27" s="37" t="s">
        <v>2344</v>
      </c>
      <c r="E27" s="37" t="s">
        <v>2345</v>
      </c>
      <c r="F27" s="38">
        <v>11</v>
      </c>
      <c r="G27" s="38">
        <v>1175</v>
      </c>
      <c r="H27" s="38">
        <v>25</v>
      </c>
      <c r="I27" s="38">
        <f t="shared" si="0"/>
        <v>1150</v>
      </c>
      <c r="J27" s="37" t="s">
        <v>2294</v>
      </c>
      <c r="K27" s="37" t="s">
        <v>21</v>
      </c>
      <c r="L27" s="37" t="s">
        <v>2290</v>
      </c>
      <c r="M27" s="37"/>
      <c r="N27" s="37"/>
      <c r="O27" s="37"/>
      <c r="P27" s="37"/>
      <c r="Q27" s="37">
        <v>1</v>
      </c>
    </row>
    <row r="28" spans="1:17" s="39" customFormat="1" x14ac:dyDescent="0.25">
      <c r="A28" s="37"/>
      <c r="B28" s="37" t="s">
        <v>16</v>
      </c>
      <c r="C28" s="37" t="s">
        <v>1710</v>
      </c>
      <c r="D28" s="37" t="s">
        <v>2346</v>
      </c>
      <c r="E28" s="37" t="s">
        <v>1712</v>
      </c>
      <c r="F28" s="38">
        <v>7</v>
      </c>
      <c r="G28" s="38">
        <v>390</v>
      </c>
      <c r="H28" s="38">
        <v>30</v>
      </c>
      <c r="I28" s="38">
        <f t="shared" si="0"/>
        <v>360</v>
      </c>
      <c r="J28" s="37" t="s">
        <v>2294</v>
      </c>
      <c r="K28" s="37" t="s">
        <v>21</v>
      </c>
      <c r="L28" s="37" t="s">
        <v>2290</v>
      </c>
      <c r="M28" s="37"/>
      <c r="N28" s="37"/>
      <c r="O28" s="37"/>
      <c r="P28" s="37"/>
      <c r="Q28" s="37">
        <v>1</v>
      </c>
    </row>
    <row r="29" spans="1:17" s="39" customFormat="1" x14ac:dyDescent="0.25">
      <c r="A29" s="37"/>
      <c r="B29" s="37" t="s">
        <v>16</v>
      </c>
      <c r="C29" s="37" t="s">
        <v>997</v>
      </c>
      <c r="D29" s="37" t="s">
        <v>2347</v>
      </c>
      <c r="E29" s="37" t="s">
        <v>999</v>
      </c>
      <c r="F29" s="38">
        <v>1</v>
      </c>
      <c r="G29" s="38">
        <v>65</v>
      </c>
      <c r="H29" s="38">
        <v>25</v>
      </c>
      <c r="I29" s="38">
        <f t="shared" si="0"/>
        <v>40</v>
      </c>
      <c r="J29" s="37" t="s">
        <v>2294</v>
      </c>
      <c r="K29" s="37" t="s">
        <v>21</v>
      </c>
      <c r="L29" s="37" t="s">
        <v>2290</v>
      </c>
      <c r="M29" s="37" t="s">
        <v>49</v>
      </c>
      <c r="N29" s="37"/>
      <c r="O29" s="37"/>
      <c r="P29" s="37"/>
      <c r="Q29" s="37">
        <v>1</v>
      </c>
    </row>
    <row r="30" spans="1:17" s="39" customFormat="1" x14ac:dyDescent="0.25">
      <c r="A30" s="37"/>
      <c r="B30" s="37" t="s">
        <v>16</v>
      </c>
      <c r="C30" s="37" t="s">
        <v>2348</v>
      </c>
      <c r="D30" s="37" t="s">
        <v>2349</v>
      </c>
      <c r="E30" s="37" t="s">
        <v>2350</v>
      </c>
      <c r="F30" s="38">
        <v>1</v>
      </c>
      <c r="G30" s="38">
        <v>685</v>
      </c>
      <c r="H30" s="38">
        <v>25</v>
      </c>
      <c r="I30" s="38">
        <f t="shared" si="0"/>
        <v>660</v>
      </c>
      <c r="J30" s="37" t="s">
        <v>2294</v>
      </c>
      <c r="K30" s="37" t="s">
        <v>21</v>
      </c>
      <c r="L30" s="37" t="s">
        <v>2290</v>
      </c>
      <c r="M30" s="37"/>
      <c r="N30" s="37"/>
      <c r="O30" s="37"/>
      <c r="P30" s="37"/>
      <c r="Q30" s="37">
        <v>1</v>
      </c>
    </row>
    <row r="31" spans="1:17" s="39" customFormat="1" x14ac:dyDescent="0.25">
      <c r="A31" s="37"/>
      <c r="B31" s="37" t="s">
        <v>16</v>
      </c>
      <c r="C31" s="37" t="s">
        <v>2351</v>
      </c>
      <c r="D31" s="37" t="s">
        <v>2352</v>
      </c>
      <c r="E31" s="37" t="s">
        <v>2353</v>
      </c>
      <c r="F31" s="38">
        <v>12</v>
      </c>
      <c r="G31" s="38">
        <v>1670</v>
      </c>
      <c r="H31" s="38">
        <v>30</v>
      </c>
      <c r="I31" s="38">
        <f t="shared" si="0"/>
        <v>1640</v>
      </c>
      <c r="J31" s="37" t="s">
        <v>2294</v>
      </c>
      <c r="K31" s="37" t="s">
        <v>21</v>
      </c>
      <c r="L31" s="37" t="s">
        <v>2290</v>
      </c>
      <c r="M31" s="37"/>
      <c r="N31" s="37"/>
      <c r="O31" s="37"/>
      <c r="P31" s="37"/>
      <c r="Q31" s="37">
        <v>1</v>
      </c>
    </row>
    <row r="32" spans="1:17" s="39" customFormat="1" x14ac:dyDescent="0.25">
      <c r="A32" s="37"/>
      <c r="B32" s="37" t="s">
        <v>16</v>
      </c>
      <c r="C32" s="37" t="s">
        <v>2354</v>
      </c>
      <c r="D32" s="37" t="s">
        <v>2355</v>
      </c>
      <c r="E32" s="37" t="s">
        <v>2356</v>
      </c>
      <c r="F32" s="38">
        <v>11</v>
      </c>
      <c r="G32" s="38">
        <v>0</v>
      </c>
      <c r="H32" s="38">
        <v>25</v>
      </c>
      <c r="I32" s="38">
        <f>-H32</f>
        <v>-25</v>
      </c>
      <c r="J32" s="37" t="s">
        <v>2294</v>
      </c>
      <c r="K32" s="37" t="s">
        <v>21</v>
      </c>
      <c r="L32" s="37" t="s">
        <v>2290</v>
      </c>
      <c r="M32" s="37"/>
      <c r="N32" s="37"/>
      <c r="O32" s="37"/>
      <c r="P32" s="37"/>
      <c r="Q32" s="37">
        <v>1</v>
      </c>
    </row>
    <row r="33" spans="1:17" s="39" customFormat="1" x14ac:dyDescent="0.25">
      <c r="A33" s="37"/>
      <c r="B33" s="37" t="s">
        <v>16</v>
      </c>
      <c r="C33" s="37" t="s">
        <v>2357</v>
      </c>
      <c r="D33" s="37" t="s">
        <v>2358</v>
      </c>
      <c r="E33" s="37" t="s">
        <v>2359</v>
      </c>
      <c r="F33" s="37" t="s">
        <v>217</v>
      </c>
      <c r="G33" s="38">
        <v>685</v>
      </c>
      <c r="H33" s="38">
        <v>25</v>
      </c>
      <c r="I33" s="38">
        <f>G33-H33</f>
        <v>660</v>
      </c>
      <c r="J33" s="37" t="s">
        <v>2294</v>
      </c>
      <c r="K33" s="37" t="s">
        <v>21</v>
      </c>
      <c r="L33" s="37" t="s">
        <v>2290</v>
      </c>
      <c r="M33" s="37"/>
      <c r="N33" s="37"/>
      <c r="O33" s="37"/>
      <c r="P33" s="37"/>
      <c r="Q33" s="37">
        <v>1</v>
      </c>
    </row>
    <row r="34" spans="1:17" s="39" customFormat="1" x14ac:dyDescent="0.25">
      <c r="A34" s="37"/>
      <c r="B34" s="37" t="s">
        <v>16</v>
      </c>
      <c r="C34" s="37" t="s">
        <v>2360</v>
      </c>
      <c r="D34" s="37" t="s">
        <v>2361</v>
      </c>
      <c r="E34" s="37" t="s">
        <v>2362</v>
      </c>
      <c r="F34" s="38">
        <v>7</v>
      </c>
      <c r="G34" s="38">
        <v>1530</v>
      </c>
      <c r="H34" s="38">
        <v>30</v>
      </c>
      <c r="I34" s="38">
        <f>G34-H34</f>
        <v>1500</v>
      </c>
      <c r="J34" s="37" t="s">
        <v>2294</v>
      </c>
      <c r="K34" s="37" t="s">
        <v>21</v>
      </c>
      <c r="L34" s="37" t="s">
        <v>2290</v>
      </c>
      <c r="M34" s="37"/>
      <c r="N34" s="37"/>
      <c r="O34" s="37"/>
      <c r="P34" s="37"/>
      <c r="Q34" s="37">
        <v>1</v>
      </c>
    </row>
    <row r="35" spans="1:17" s="39" customFormat="1" x14ac:dyDescent="0.25">
      <c r="A35" s="37"/>
      <c r="B35" s="37" t="s">
        <v>16</v>
      </c>
      <c r="C35" s="37" t="s">
        <v>2363</v>
      </c>
      <c r="D35" s="37" t="s">
        <v>2364</v>
      </c>
      <c r="E35" s="37" t="s">
        <v>2365</v>
      </c>
      <c r="F35" s="38">
        <v>12</v>
      </c>
      <c r="G35" s="38">
        <v>0</v>
      </c>
      <c r="H35" s="38">
        <v>35</v>
      </c>
      <c r="I35" s="38">
        <f>-H35</f>
        <v>-35</v>
      </c>
      <c r="J35" s="37" t="s">
        <v>2294</v>
      </c>
      <c r="K35" s="37" t="s">
        <v>21</v>
      </c>
      <c r="L35" s="37" t="s">
        <v>2290</v>
      </c>
      <c r="M35" s="37" t="s">
        <v>398</v>
      </c>
      <c r="N35" s="37"/>
      <c r="O35" s="37"/>
      <c r="P35" s="37"/>
      <c r="Q35" s="37">
        <v>1</v>
      </c>
    </row>
    <row r="36" spans="1:17" s="39" customFormat="1" x14ac:dyDescent="0.25">
      <c r="A36" s="37"/>
      <c r="B36" s="37" t="s">
        <v>16</v>
      </c>
      <c r="C36" s="37" t="s">
        <v>991</v>
      </c>
      <c r="D36" s="37" t="s">
        <v>2366</v>
      </c>
      <c r="E36" s="37" t="s">
        <v>993</v>
      </c>
      <c r="F36" s="37" t="s">
        <v>88</v>
      </c>
      <c r="G36" s="38">
        <v>915</v>
      </c>
      <c r="H36" s="38">
        <v>25</v>
      </c>
      <c r="I36" s="38">
        <f t="shared" ref="I36:I41" si="1">G36-H36</f>
        <v>890</v>
      </c>
      <c r="J36" s="37" t="s">
        <v>2294</v>
      </c>
      <c r="K36" s="37" t="s">
        <v>21</v>
      </c>
      <c r="L36" s="37" t="s">
        <v>2290</v>
      </c>
      <c r="M36" s="37"/>
      <c r="N36" s="37"/>
      <c r="O36" s="37"/>
      <c r="P36" s="37"/>
      <c r="Q36" s="37">
        <v>1</v>
      </c>
    </row>
    <row r="37" spans="1:17" s="39" customFormat="1" x14ac:dyDescent="0.25">
      <c r="A37" s="37"/>
      <c r="B37" s="37" t="s">
        <v>16</v>
      </c>
      <c r="C37" s="37" t="s">
        <v>2367</v>
      </c>
      <c r="D37" s="37" t="s">
        <v>2368</v>
      </c>
      <c r="E37" s="37" t="s">
        <v>2369</v>
      </c>
      <c r="F37" s="38">
        <v>11</v>
      </c>
      <c r="G37" s="38">
        <v>855</v>
      </c>
      <c r="H37" s="38">
        <v>25</v>
      </c>
      <c r="I37" s="38">
        <f t="shared" si="1"/>
        <v>830</v>
      </c>
      <c r="J37" s="37" t="s">
        <v>2294</v>
      </c>
      <c r="K37" s="37" t="s">
        <v>21</v>
      </c>
      <c r="L37" s="37" t="s">
        <v>2290</v>
      </c>
      <c r="M37" s="37"/>
      <c r="N37" s="37"/>
      <c r="O37" s="37"/>
      <c r="P37" s="37"/>
      <c r="Q37" s="37">
        <v>1</v>
      </c>
    </row>
    <row r="38" spans="1:17" s="39" customFormat="1" x14ac:dyDescent="0.25">
      <c r="A38" s="37"/>
      <c r="B38" s="37" t="s">
        <v>16</v>
      </c>
      <c r="C38" s="37" t="s">
        <v>2370</v>
      </c>
      <c r="D38" s="37" t="s">
        <v>2371</v>
      </c>
      <c r="E38" s="37" t="s">
        <v>2372</v>
      </c>
      <c r="F38" s="38">
        <v>7</v>
      </c>
      <c r="G38" s="38">
        <v>1860</v>
      </c>
      <c r="H38" s="38">
        <v>30</v>
      </c>
      <c r="I38" s="38">
        <f t="shared" si="1"/>
        <v>1830</v>
      </c>
      <c r="J38" s="37" t="s">
        <v>2294</v>
      </c>
      <c r="K38" s="37" t="s">
        <v>21</v>
      </c>
      <c r="L38" s="37" t="s">
        <v>2290</v>
      </c>
      <c r="M38" s="37"/>
      <c r="N38" s="37"/>
      <c r="O38" s="37"/>
      <c r="P38" s="37"/>
      <c r="Q38" s="37">
        <v>1</v>
      </c>
    </row>
    <row r="39" spans="1:17" s="39" customFormat="1" x14ac:dyDescent="0.25">
      <c r="A39" s="37"/>
      <c r="B39" s="37" t="s">
        <v>16</v>
      </c>
      <c r="C39" s="37" t="s">
        <v>2373</v>
      </c>
      <c r="D39" s="37" t="s">
        <v>2374</v>
      </c>
      <c r="E39" s="37" t="s">
        <v>756</v>
      </c>
      <c r="F39" s="37" t="s">
        <v>88</v>
      </c>
      <c r="G39" s="38">
        <v>685</v>
      </c>
      <c r="H39" s="38">
        <v>25</v>
      </c>
      <c r="I39" s="38">
        <f t="shared" si="1"/>
        <v>660</v>
      </c>
      <c r="J39" s="37" t="s">
        <v>2294</v>
      </c>
      <c r="K39" s="37" t="s">
        <v>21</v>
      </c>
      <c r="L39" s="37" t="s">
        <v>2290</v>
      </c>
      <c r="M39" s="37"/>
      <c r="N39" s="37"/>
      <c r="O39" s="37"/>
      <c r="P39" s="37"/>
      <c r="Q39" s="37">
        <v>1</v>
      </c>
    </row>
    <row r="40" spans="1:17" s="39" customFormat="1" x14ac:dyDescent="0.25">
      <c r="A40" s="37"/>
      <c r="B40" s="37" t="s">
        <v>16</v>
      </c>
      <c r="C40" s="37" t="s">
        <v>2375</v>
      </c>
      <c r="D40" s="37" t="s">
        <v>2376</v>
      </c>
      <c r="E40" s="37" t="s">
        <v>1985</v>
      </c>
      <c r="F40" s="38">
        <v>1</v>
      </c>
      <c r="G40" s="38">
        <v>685</v>
      </c>
      <c r="H40" s="38">
        <v>25</v>
      </c>
      <c r="I40" s="38">
        <f t="shared" si="1"/>
        <v>660</v>
      </c>
      <c r="J40" s="37" t="s">
        <v>2294</v>
      </c>
      <c r="K40" s="37" t="s">
        <v>21</v>
      </c>
      <c r="L40" s="37" t="s">
        <v>2290</v>
      </c>
      <c r="M40" s="37"/>
      <c r="N40" s="37"/>
      <c r="O40" s="37"/>
      <c r="P40" s="37"/>
      <c r="Q40" s="37">
        <v>1</v>
      </c>
    </row>
    <row r="41" spans="1:17" x14ac:dyDescent="0.25">
      <c r="A41" s="18"/>
      <c r="B41" s="18" t="s">
        <v>16</v>
      </c>
      <c r="C41" s="18" t="s">
        <v>2377</v>
      </c>
      <c r="D41" s="18" t="s">
        <v>2378</v>
      </c>
      <c r="E41" s="18" t="s">
        <v>2379</v>
      </c>
      <c r="F41" s="19">
        <v>2</v>
      </c>
      <c r="G41" s="19">
        <v>690</v>
      </c>
      <c r="H41" s="19">
        <v>30</v>
      </c>
      <c r="I41" s="19">
        <f t="shared" si="1"/>
        <v>660</v>
      </c>
      <c r="J41" s="18" t="s">
        <v>21</v>
      </c>
      <c r="K41" s="18" t="s">
        <v>21</v>
      </c>
      <c r="L41" s="18" t="s">
        <v>2290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2380</v>
      </c>
      <c r="D42" s="18" t="s">
        <v>2381</v>
      </c>
      <c r="E42" s="18" t="s">
        <v>587</v>
      </c>
      <c r="F42" s="19">
        <v>12</v>
      </c>
      <c r="G42" s="19">
        <v>0</v>
      </c>
      <c r="H42" s="19">
        <v>30</v>
      </c>
      <c r="I42" s="19">
        <f>-H42</f>
        <v>-30</v>
      </c>
      <c r="J42" s="18" t="s">
        <v>21</v>
      </c>
      <c r="K42" s="18" t="s">
        <v>21</v>
      </c>
      <c r="L42" s="18" t="s">
        <v>2290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2382</v>
      </c>
      <c r="D43" s="18" t="s">
        <v>2383</v>
      </c>
      <c r="E43" s="18" t="s">
        <v>2384</v>
      </c>
      <c r="F43" s="18" t="s">
        <v>153</v>
      </c>
      <c r="G43" s="19">
        <v>480</v>
      </c>
      <c r="H43" s="19">
        <v>30</v>
      </c>
      <c r="I43" s="19">
        <f>G43-H43</f>
        <v>450</v>
      </c>
      <c r="J43" s="18" t="s">
        <v>21</v>
      </c>
      <c r="K43" s="18" t="s">
        <v>21</v>
      </c>
      <c r="L43" s="18" t="s">
        <v>2290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2385</v>
      </c>
      <c r="D44" s="18" t="s">
        <v>2386</v>
      </c>
      <c r="E44" s="18" t="s">
        <v>2387</v>
      </c>
      <c r="F44" s="18" t="s">
        <v>68</v>
      </c>
      <c r="G44" s="19">
        <v>1140</v>
      </c>
      <c r="H44" s="19">
        <v>20</v>
      </c>
      <c r="I44" s="19">
        <f>G44-H44</f>
        <v>1120</v>
      </c>
      <c r="J44" s="18" t="s">
        <v>21</v>
      </c>
      <c r="K44" s="18" t="s">
        <v>21</v>
      </c>
      <c r="L44" s="18" t="s">
        <v>2290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2388</v>
      </c>
      <c r="D45" s="18" t="s">
        <v>2389</v>
      </c>
      <c r="E45" s="18" t="s">
        <v>2390</v>
      </c>
      <c r="F45" s="18" t="s">
        <v>68</v>
      </c>
      <c r="G45" s="19">
        <v>0</v>
      </c>
      <c r="H45" s="19">
        <v>20</v>
      </c>
      <c r="I45" s="19">
        <f>-H45</f>
        <v>-20</v>
      </c>
      <c r="J45" s="18" t="s">
        <v>21</v>
      </c>
      <c r="K45" s="18" t="s">
        <v>21</v>
      </c>
      <c r="L45" s="18" t="s">
        <v>2290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2391</v>
      </c>
      <c r="D46" s="18" t="s">
        <v>2392</v>
      </c>
      <c r="E46" s="18" t="s">
        <v>2393</v>
      </c>
      <c r="F46" s="19">
        <v>12</v>
      </c>
      <c r="G46" s="19">
        <v>0</v>
      </c>
      <c r="H46" s="19">
        <v>30</v>
      </c>
      <c r="I46" s="19">
        <f>-H46</f>
        <v>-30</v>
      </c>
      <c r="J46" s="18" t="s">
        <v>21</v>
      </c>
      <c r="K46" s="18" t="s">
        <v>21</v>
      </c>
      <c r="L46" s="18" t="s">
        <v>2290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2394</v>
      </c>
      <c r="D47" s="18" t="s">
        <v>2395</v>
      </c>
      <c r="E47" s="18" t="s">
        <v>2396</v>
      </c>
      <c r="F47" s="18" t="s">
        <v>153</v>
      </c>
      <c r="G47" s="19">
        <v>890</v>
      </c>
      <c r="H47" s="19">
        <v>30</v>
      </c>
      <c r="I47" s="19">
        <f>G47-H47</f>
        <v>860</v>
      </c>
      <c r="J47" s="18" t="s">
        <v>21</v>
      </c>
      <c r="K47" s="18" t="s">
        <v>21</v>
      </c>
      <c r="L47" s="18" t="s">
        <v>2290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2397</v>
      </c>
      <c r="D48" s="18" t="s">
        <v>2398</v>
      </c>
      <c r="E48" s="18" t="s">
        <v>1752</v>
      </c>
      <c r="F48" s="19">
        <v>12</v>
      </c>
      <c r="G48" s="19">
        <v>0</v>
      </c>
      <c r="H48" s="19">
        <v>30</v>
      </c>
      <c r="I48" s="19">
        <f>-H48</f>
        <v>-30</v>
      </c>
      <c r="J48" s="18" t="s">
        <v>21</v>
      </c>
      <c r="K48" s="18" t="s">
        <v>21</v>
      </c>
      <c r="L48" s="18" t="s">
        <v>2290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2399</v>
      </c>
      <c r="D49" s="18" t="s">
        <v>2400</v>
      </c>
      <c r="E49" s="18" t="s">
        <v>2401</v>
      </c>
      <c r="F49" s="18" t="s">
        <v>88</v>
      </c>
      <c r="G49" s="19">
        <v>1245</v>
      </c>
      <c r="H49" s="19">
        <v>25</v>
      </c>
      <c r="I49" s="19">
        <f>G49-H49</f>
        <v>1220</v>
      </c>
      <c r="J49" s="18" t="s">
        <v>21</v>
      </c>
      <c r="K49" s="18" t="s">
        <v>21</v>
      </c>
      <c r="L49" s="18" t="s">
        <v>2290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2402</v>
      </c>
      <c r="D50" s="18" t="s">
        <v>2403</v>
      </c>
      <c r="E50" s="18" t="s">
        <v>2404</v>
      </c>
      <c r="F50" s="19">
        <v>2</v>
      </c>
      <c r="G50" s="19">
        <v>0</v>
      </c>
      <c r="H50" s="19">
        <v>30</v>
      </c>
      <c r="I50" s="19">
        <f>-H50</f>
        <v>-30</v>
      </c>
      <c r="J50" s="18" t="s">
        <v>21</v>
      </c>
      <c r="K50" s="18" t="s">
        <v>21</v>
      </c>
      <c r="L50" s="18" t="s">
        <v>2290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2405</v>
      </c>
      <c r="D51" s="18" t="s">
        <v>2406</v>
      </c>
      <c r="E51" s="18" t="s">
        <v>2407</v>
      </c>
      <c r="F51" s="18" t="s">
        <v>72</v>
      </c>
      <c r="G51" s="19">
        <v>0</v>
      </c>
      <c r="H51" s="19">
        <v>25</v>
      </c>
      <c r="I51" s="19">
        <f>-H51</f>
        <v>-25</v>
      </c>
      <c r="J51" s="18" t="s">
        <v>21</v>
      </c>
      <c r="K51" s="18" t="s">
        <v>21</v>
      </c>
      <c r="L51" s="18" t="s">
        <v>2290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2408</v>
      </c>
      <c r="D52" s="18" t="s">
        <v>2409</v>
      </c>
      <c r="E52" s="18" t="s">
        <v>2410</v>
      </c>
      <c r="F52" s="18" t="s">
        <v>72</v>
      </c>
      <c r="G52" s="19">
        <v>915</v>
      </c>
      <c r="H52" s="19">
        <v>25</v>
      </c>
      <c r="I52" s="19">
        <f t="shared" ref="I52:I57" si="2">G52-H52</f>
        <v>890</v>
      </c>
      <c r="J52" s="18" t="s">
        <v>21</v>
      </c>
      <c r="K52" s="18" t="s">
        <v>21</v>
      </c>
      <c r="L52" s="18" t="s">
        <v>2290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2411</v>
      </c>
      <c r="D53" s="18" t="s">
        <v>2412</v>
      </c>
      <c r="E53" s="18" t="s">
        <v>2413</v>
      </c>
      <c r="F53" s="18" t="s">
        <v>72</v>
      </c>
      <c r="G53" s="19">
        <v>875</v>
      </c>
      <c r="H53" s="19">
        <v>25</v>
      </c>
      <c r="I53" s="19">
        <f t="shared" si="2"/>
        <v>850</v>
      </c>
      <c r="J53" s="18" t="s">
        <v>21</v>
      </c>
      <c r="K53" s="18" t="s">
        <v>21</v>
      </c>
      <c r="L53" s="18" t="s">
        <v>2290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2414</v>
      </c>
      <c r="D54" s="18" t="s">
        <v>2415</v>
      </c>
      <c r="E54" s="18" t="s">
        <v>2416</v>
      </c>
      <c r="F54" s="18" t="s">
        <v>88</v>
      </c>
      <c r="G54" s="19">
        <v>1555</v>
      </c>
      <c r="H54" s="19">
        <v>25</v>
      </c>
      <c r="I54" s="19">
        <f t="shared" si="2"/>
        <v>1530</v>
      </c>
      <c r="J54" s="18" t="s">
        <v>21</v>
      </c>
      <c r="K54" s="18" t="s">
        <v>21</v>
      </c>
      <c r="L54" s="18" t="s">
        <v>2290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2417</v>
      </c>
      <c r="D55" s="18" t="s">
        <v>2418</v>
      </c>
      <c r="E55" s="18" t="s">
        <v>2419</v>
      </c>
      <c r="F55" s="18" t="s">
        <v>68</v>
      </c>
      <c r="G55" s="19">
        <v>690</v>
      </c>
      <c r="H55" s="19">
        <v>20</v>
      </c>
      <c r="I55" s="19">
        <f t="shared" si="2"/>
        <v>670</v>
      </c>
      <c r="J55" s="18" t="s">
        <v>21</v>
      </c>
      <c r="K55" s="18" t="s">
        <v>21</v>
      </c>
      <c r="L55" s="18" t="s">
        <v>2290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2420</v>
      </c>
      <c r="D56" s="18" t="s">
        <v>2421</v>
      </c>
      <c r="E56" s="18" t="s">
        <v>2422</v>
      </c>
      <c r="F56" s="18" t="s">
        <v>153</v>
      </c>
      <c r="G56" s="19">
        <v>480</v>
      </c>
      <c r="H56" s="19">
        <v>30</v>
      </c>
      <c r="I56" s="19">
        <f t="shared" si="2"/>
        <v>450</v>
      </c>
      <c r="J56" s="18" t="s">
        <v>21</v>
      </c>
      <c r="K56" s="18" t="s">
        <v>21</v>
      </c>
      <c r="L56" s="18" t="s">
        <v>2290</v>
      </c>
      <c r="M56" s="18"/>
      <c r="N56" s="18"/>
      <c r="O56" s="18"/>
      <c r="P56" s="18"/>
      <c r="Q56" s="18">
        <v>1</v>
      </c>
    </row>
    <row r="57" spans="1:17" x14ac:dyDescent="0.25">
      <c r="A57" s="18" t="s">
        <v>62</v>
      </c>
      <c r="B57" s="18" t="s">
        <v>16</v>
      </c>
      <c r="C57" s="18" t="s">
        <v>2423</v>
      </c>
      <c r="D57" s="18"/>
      <c r="E57" s="18" t="s">
        <v>2424</v>
      </c>
      <c r="F57" s="18" t="s">
        <v>88</v>
      </c>
      <c r="G57" s="19">
        <v>30</v>
      </c>
      <c r="H57" s="19">
        <v>30</v>
      </c>
      <c r="I57" s="19">
        <f t="shared" si="2"/>
        <v>0</v>
      </c>
      <c r="J57" s="18" t="s">
        <v>21</v>
      </c>
      <c r="K57" s="18" t="s">
        <v>21</v>
      </c>
      <c r="L57" s="18" t="s">
        <v>2290</v>
      </c>
      <c r="M57" s="18"/>
      <c r="N57" s="18"/>
      <c r="O57" s="18"/>
      <c r="P57" s="18"/>
      <c r="Q57" s="18">
        <v>1</v>
      </c>
    </row>
    <row r="58" spans="1:17" x14ac:dyDescent="0.25">
      <c r="A58" s="18" t="s">
        <v>62</v>
      </c>
      <c r="B58" s="18" t="s">
        <v>16</v>
      </c>
      <c r="C58" s="18" t="s">
        <v>2425</v>
      </c>
      <c r="D58" s="18"/>
      <c r="E58" s="18" t="s">
        <v>1752</v>
      </c>
      <c r="F58" s="19">
        <v>12</v>
      </c>
      <c r="G58" s="19">
        <v>0</v>
      </c>
      <c r="H58" s="19">
        <v>35</v>
      </c>
      <c r="I58" s="19">
        <f>-H58</f>
        <v>-35</v>
      </c>
      <c r="J58" s="18" t="s">
        <v>21</v>
      </c>
      <c r="K58" s="18" t="s">
        <v>21</v>
      </c>
      <c r="L58" s="18" t="s">
        <v>2290</v>
      </c>
      <c r="M58" s="18"/>
      <c r="N58" s="18"/>
      <c r="O58" s="18"/>
      <c r="P58" s="18"/>
      <c r="Q58" s="18">
        <v>1</v>
      </c>
    </row>
    <row r="59" spans="1:17" x14ac:dyDescent="0.25">
      <c r="A59" s="18" t="s">
        <v>62</v>
      </c>
      <c r="B59" s="18" t="s">
        <v>16</v>
      </c>
      <c r="C59" s="18" t="s">
        <v>1957</v>
      </c>
      <c r="D59" s="18"/>
      <c r="E59" s="18" t="s">
        <v>2426</v>
      </c>
      <c r="F59" s="18" t="s">
        <v>68</v>
      </c>
      <c r="G59" s="19">
        <v>275</v>
      </c>
      <c r="H59" s="19">
        <v>25</v>
      </c>
      <c r="I59" s="19">
        <f>G59-H59</f>
        <v>250</v>
      </c>
      <c r="J59" s="18" t="s">
        <v>21</v>
      </c>
      <c r="K59" s="18" t="s">
        <v>21</v>
      </c>
      <c r="L59" s="18" t="s">
        <v>2290</v>
      </c>
      <c r="M59" s="18"/>
      <c r="N59" s="18"/>
      <c r="O59" s="18"/>
      <c r="P59" s="18"/>
      <c r="Q59" s="18">
        <v>1</v>
      </c>
    </row>
    <row r="60" spans="1:17" x14ac:dyDescent="0.25">
      <c r="A60" s="18" t="s">
        <v>62</v>
      </c>
      <c r="B60" s="18" t="s">
        <v>16</v>
      </c>
      <c r="C60" s="18" t="s">
        <v>318</v>
      </c>
      <c r="D60" s="18"/>
      <c r="E60" s="18" t="s">
        <v>319</v>
      </c>
      <c r="F60" s="18" t="s">
        <v>72</v>
      </c>
      <c r="G60" s="19">
        <v>30</v>
      </c>
      <c r="H60" s="19">
        <v>30</v>
      </c>
      <c r="I60" s="19">
        <f>G60-H60</f>
        <v>0</v>
      </c>
      <c r="J60" s="18" t="s">
        <v>21</v>
      </c>
      <c r="K60" s="18" t="s">
        <v>21</v>
      </c>
      <c r="L60" s="18" t="s">
        <v>2290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2427</v>
      </c>
      <c r="D61" s="18" t="s">
        <v>2428</v>
      </c>
      <c r="E61" s="18" t="s">
        <v>2429</v>
      </c>
      <c r="F61" s="19">
        <v>5</v>
      </c>
      <c r="G61" s="19">
        <v>0</v>
      </c>
      <c r="H61" s="19">
        <v>25</v>
      </c>
      <c r="I61" s="19">
        <f>-H61</f>
        <v>-25</v>
      </c>
      <c r="J61" s="18" t="s">
        <v>165</v>
      </c>
      <c r="K61" s="18" t="s">
        <v>21</v>
      </c>
      <c r="L61" s="18" t="s">
        <v>2290</v>
      </c>
      <c r="M61" s="18"/>
      <c r="N61" s="18"/>
      <c r="O61" s="18"/>
      <c r="P61" s="18"/>
      <c r="Q61" s="18">
        <v>1</v>
      </c>
    </row>
    <row r="63" spans="1:17" x14ac:dyDescent="0.25">
      <c r="D63" s="1">
        <f>COUNTA(D3:D61)</f>
        <v>55</v>
      </c>
      <c r="G63" s="1">
        <f t="shared" ref="G63:Q63" si="3">SUBTOTAL(9,G3:G61)</f>
        <v>36340</v>
      </c>
      <c r="H63" s="1">
        <f t="shared" si="3"/>
        <v>1600</v>
      </c>
      <c r="I63" s="1">
        <f t="shared" si="3"/>
        <v>34740</v>
      </c>
      <c r="J63" s="1">
        <f t="shared" si="3"/>
        <v>0</v>
      </c>
      <c r="K63" s="1">
        <f t="shared" si="3"/>
        <v>0</v>
      </c>
      <c r="L63" s="1">
        <f t="shared" si="3"/>
        <v>0</v>
      </c>
      <c r="M63" s="1">
        <f t="shared" si="3"/>
        <v>0</v>
      </c>
      <c r="N63" s="1">
        <f t="shared" si="3"/>
        <v>0</v>
      </c>
      <c r="O63" s="1">
        <f t="shared" si="3"/>
        <v>0</v>
      </c>
      <c r="P63" s="1">
        <f t="shared" si="3"/>
        <v>0</v>
      </c>
      <c r="Q63" s="1">
        <f t="shared" si="3"/>
        <v>59</v>
      </c>
    </row>
    <row r="64" spans="1:17" x14ac:dyDescent="0.25">
      <c r="H64">
        <f>-27*17</f>
        <v>-459</v>
      </c>
    </row>
    <row r="65" spans="1:16" x14ac:dyDescent="0.25">
      <c r="A65" s="1" t="s">
        <v>16</v>
      </c>
      <c r="C65" s="42" t="s">
        <v>89</v>
      </c>
      <c r="D65" s="42"/>
      <c r="E65" s="4" t="s">
        <v>90</v>
      </c>
      <c r="H65">
        <f>-6*25</f>
        <v>-150</v>
      </c>
      <c r="K65" s="7" t="s">
        <v>2294</v>
      </c>
      <c r="L65" s="7" t="s">
        <v>91</v>
      </c>
      <c r="M65" s="7" t="s">
        <v>90</v>
      </c>
      <c r="O65" s="4" t="s">
        <v>92</v>
      </c>
    </row>
    <row r="66" spans="1:16" x14ac:dyDescent="0.25">
      <c r="A66" t="s">
        <v>2290</v>
      </c>
      <c r="B66" s="3" t="s">
        <v>93</v>
      </c>
      <c r="C66" s="43">
        <f>SUMIFS(I$3:I$61,B$3:B$61,A$65,L$3:L$61,A$66)</f>
        <v>34740</v>
      </c>
      <c r="D66" s="43"/>
      <c r="E66" s="3">
        <f>SUMIFS(Q$3:Q$61,B$3:B$61,A$65,L$3:L$61,A$66)</f>
        <v>59</v>
      </c>
      <c r="F66" t="s">
        <v>94</v>
      </c>
      <c r="H66">
        <f>-3*30</f>
        <v>-90</v>
      </c>
      <c r="K66" t="s">
        <v>95</v>
      </c>
      <c r="L66">
        <f>SUMIFS(G$3:G$61,J$3:J$61,K$65)</f>
        <v>26995</v>
      </c>
      <c r="M66">
        <f>SUMIFS(Q$3:Q$61,J$3:J$61,K$65)</f>
        <v>37</v>
      </c>
      <c r="O66" t="s">
        <v>2430</v>
      </c>
      <c r="P66">
        <f>L71</f>
        <v>26296</v>
      </c>
    </row>
    <row r="67" spans="1:16" x14ac:dyDescent="0.25">
      <c r="B67" s="2" t="s">
        <v>97</v>
      </c>
      <c r="C67" s="44">
        <v>0</v>
      </c>
      <c r="D67" s="44"/>
      <c r="K67" t="s">
        <v>98</v>
      </c>
      <c r="L67">
        <f>SUM(H64:H66)</f>
        <v>-699</v>
      </c>
      <c r="M67">
        <f>SUMIFS(Q$3:Q$61,J$3:J$61,K$65)</f>
        <v>37</v>
      </c>
      <c r="O67" t="s">
        <v>21</v>
      </c>
      <c r="P67">
        <f>L79</f>
        <v>8734</v>
      </c>
    </row>
    <row r="68" spans="1:16" x14ac:dyDescent="0.25">
      <c r="B68" s="2" t="s">
        <v>99</v>
      </c>
      <c r="C68" s="44">
        <f>-SUMIFS(I$3:I$61,B$3:B$61,A$65,P$3:P$61,"xx",N$3:N$61,"x")</f>
        <v>0</v>
      </c>
      <c r="D68" s="44"/>
      <c r="E68" s="2">
        <f>SUMIFS(Q$3:Q$61,B$3:B$61,A$65,P$3:P$61,"xx",N$3:N$61,"x")</f>
        <v>0</v>
      </c>
      <c r="K68" t="s">
        <v>100</v>
      </c>
      <c r="O68" t="s">
        <v>165</v>
      </c>
      <c r="P68">
        <f>L87</f>
        <v>-20</v>
      </c>
    </row>
    <row r="69" spans="1:16" x14ac:dyDescent="0.25">
      <c r="B69" s="4" t="s">
        <v>101</v>
      </c>
      <c r="C69" s="42">
        <f>SUBTOTAL(9,C66:C68)</f>
        <v>34740</v>
      </c>
      <c r="D69" s="42"/>
      <c r="E69">
        <f>E66</f>
        <v>59</v>
      </c>
      <c r="K69" s="2" t="s">
        <v>102</v>
      </c>
      <c r="O69" t="s">
        <v>20</v>
      </c>
      <c r="P69">
        <f>L95</f>
        <v>35</v>
      </c>
    </row>
    <row r="70" spans="1:16" x14ac:dyDescent="0.25">
      <c r="B70" s="2" t="s">
        <v>104</v>
      </c>
      <c r="C70" s="40"/>
      <c r="D70" s="40"/>
      <c r="K70" s="2" t="s">
        <v>105</v>
      </c>
      <c r="O70" t="s">
        <v>103</v>
      </c>
      <c r="P70">
        <f>-C73</f>
        <v>-34740</v>
      </c>
    </row>
    <row r="71" spans="1:16" x14ac:dyDescent="0.25">
      <c r="B71" s="8" t="s">
        <v>107</v>
      </c>
      <c r="C71" s="40"/>
      <c r="D71" s="40"/>
      <c r="L71" s="9">
        <f>SUBTOTAL(9,L66:L70)</f>
        <v>26296</v>
      </c>
      <c r="M71" s="9">
        <f>M66</f>
        <v>37</v>
      </c>
      <c r="O71" s="4" t="s">
        <v>106</v>
      </c>
      <c r="P71" s="4">
        <f>SUBTOTAL(9,P66:P70)</f>
        <v>305</v>
      </c>
    </row>
    <row r="73" spans="1:16" x14ac:dyDescent="0.25">
      <c r="B73" s="1" t="s">
        <v>108</v>
      </c>
      <c r="C73" s="41">
        <f>C69+C70+C71</f>
        <v>34740</v>
      </c>
      <c r="D73" s="41"/>
      <c r="E73" s="1" t="s">
        <v>109</v>
      </c>
      <c r="K73" s="7" t="s">
        <v>21</v>
      </c>
      <c r="L73" s="7" t="s">
        <v>91</v>
      </c>
      <c r="M73" s="7" t="s">
        <v>90</v>
      </c>
    </row>
    <row r="74" spans="1:16" x14ac:dyDescent="0.25">
      <c r="K74" t="s">
        <v>95</v>
      </c>
      <c r="L74">
        <f>SUMIFS(G$3:G$61,J$3:J$61,K$73)</f>
        <v>9295</v>
      </c>
      <c r="M74">
        <f>SUMIFS(Q$3:Q$61,J$3:J$61,K$73)</f>
        <v>20</v>
      </c>
    </row>
    <row r="75" spans="1:16" x14ac:dyDescent="0.25">
      <c r="K75" t="s">
        <v>98</v>
      </c>
      <c r="L75">
        <f>-SUMIFS(H$3:H$61,J$3:J$61,K$73)+M75*5</f>
        <v>-445</v>
      </c>
      <c r="M75">
        <f>SUMIFS(Q$3:Q$61,J$3:J$61,K$73)-COUNTIFS(J$3:J$61,K$73,M$3:M$61,"*gộp*")</f>
        <v>20</v>
      </c>
    </row>
    <row r="76" spans="1:16" x14ac:dyDescent="0.25">
      <c r="K76" t="s">
        <v>100</v>
      </c>
      <c r="L76">
        <f>-M76*2</f>
        <v>-116</v>
      </c>
      <c r="M76">
        <f>E69-(COUNTIFS(M$3:M$61,"*gộp*")/2)-COUNTIFS(M$3:M$61,"*đơn trả*")-COUNTIFS(M$3:M$61,"*hàng tỉnh*")</f>
        <v>58</v>
      </c>
    </row>
    <row r="77" spans="1:16" x14ac:dyDescent="0.25">
      <c r="K77" s="2" t="s">
        <v>102</v>
      </c>
    </row>
    <row r="78" spans="1:16" x14ac:dyDescent="0.25">
      <c r="K78" s="2" t="s">
        <v>105</v>
      </c>
    </row>
    <row r="79" spans="1:16" x14ac:dyDescent="0.25">
      <c r="L79" s="9">
        <f>SUBTOTAL(9,L74:L78)</f>
        <v>8734</v>
      </c>
      <c r="M79" s="9">
        <f>M74</f>
        <v>20</v>
      </c>
    </row>
    <row r="81" spans="11:13" x14ac:dyDescent="0.25">
      <c r="K81" s="7" t="s">
        <v>165</v>
      </c>
      <c r="L81" s="7" t="s">
        <v>91</v>
      </c>
      <c r="M81" s="7" t="s">
        <v>90</v>
      </c>
    </row>
    <row r="82" spans="11:13" x14ac:dyDescent="0.25">
      <c r="K82" t="s">
        <v>95</v>
      </c>
      <c r="L82">
        <f>SUMIFS(G$3:G$61,J$3:J$61,K$81)</f>
        <v>0</v>
      </c>
      <c r="M82">
        <f>SUMIFS(Q$3:Q$61,J$3:J$61,K$81)</f>
        <v>1</v>
      </c>
    </row>
    <row r="83" spans="11:13" x14ac:dyDescent="0.25">
      <c r="K83" t="s">
        <v>98</v>
      </c>
      <c r="L83">
        <f>-SUMIFS(H$3:H$61,J$3:J$61,K$81)+M83*5</f>
        <v>-20</v>
      </c>
      <c r="M83">
        <f>SUMIFS(Q$3:Q$61,J$3:J$61,K$81)-COUNTIFS(J$3:J$61,K$81,M$3:M$61,"*gộp*")</f>
        <v>1</v>
      </c>
    </row>
    <row r="84" spans="11:13" x14ac:dyDescent="0.25">
      <c r="K84" t="s">
        <v>100</v>
      </c>
    </row>
    <row r="85" spans="11:13" x14ac:dyDescent="0.25">
      <c r="K85" s="2" t="s">
        <v>102</v>
      </c>
    </row>
    <row r="86" spans="11:13" x14ac:dyDescent="0.25">
      <c r="K86" s="2" t="s">
        <v>105</v>
      </c>
    </row>
    <row r="87" spans="11:13" x14ac:dyDescent="0.25">
      <c r="L87" s="9">
        <f>SUBTOTAL(9,L82:L86)</f>
        <v>-20</v>
      </c>
      <c r="M87" s="9">
        <f>M82</f>
        <v>1</v>
      </c>
    </row>
    <row r="89" spans="11:13" x14ac:dyDescent="0.25">
      <c r="K89" s="7" t="s">
        <v>20</v>
      </c>
      <c r="L89" s="7" t="s">
        <v>91</v>
      </c>
      <c r="M89" s="7" t="s">
        <v>90</v>
      </c>
    </row>
    <row r="90" spans="11:13" x14ac:dyDescent="0.25">
      <c r="K90" t="s">
        <v>95</v>
      </c>
      <c r="L90">
        <f>SUMIFS(G$3:G$61,J$3:J$61,K$89)</f>
        <v>50</v>
      </c>
      <c r="M90">
        <f>SUMIFS(Q$3:Q$61,J$3:J$61,K$89)</f>
        <v>1</v>
      </c>
    </row>
    <row r="91" spans="11:13" x14ac:dyDescent="0.25">
      <c r="K91" t="s">
        <v>98</v>
      </c>
      <c r="L91">
        <f>-SUMIFS(H$3:H$61,J$3:J$61,K$89)+M91*5</f>
        <v>-15</v>
      </c>
      <c r="M91">
        <f>SUMIFS(Q$3:Q$61,J$3:J$61,K$89)-COUNTIFS(J$3:J$61,K$89,M$3:M$61,"*gộp*")</f>
        <v>1</v>
      </c>
    </row>
    <row r="92" spans="11:13" x14ac:dyDescent="0.25">
      <c r="K92" t="s">
        <v>100</v>
      </c>
    </row>
    <row r="93" spans="11:13" x14ac:dyDescent="0.25">
      <c r="K93" s="2" t="s">
        <v>102</v>
      </c>
    </row>
    <row r="94" spans="11:13" x14ac:dyDescent="0.25">
      <c r="K94" s="2" t="s">
        <v>105</v>
      </c>
    </row>
    <row r="95" spans="11:13" x14ac:dyDescent="0.25">
      <c r="L95" s="9">
        <f>SUBTOTAL(9,L90:L94)</f>
        <v>35</v>
      </c>
      <c r="M95" s="9">
        <f>M90</f>
        <v>1</v>
      </c>
    </row>
  </sheetData>
  <autoFilter ref="A2:P61" xr:uid="{00000000-0009-0000-0000-000013000000}">
    <sortState xmlns:xlrd2="http://schemas.microsoft.com/office/spreadsheetml/2017/richdata2" ref="A3:P61">
      <sortCondition ref="J2:J61"/>
    </sortState>
  </autoFilter>
  <mergeCells count="8">
    <mergeCell ref="C70:D70"/>
    <mergeCell ref="C71:D71"/>
    <mergeCell ref="C73:D73"/>
    <mergeCell ref="C65:D65"/>
    <mergeCell ref="C66:D66"/>
    <mergeCell ref="C67:D67"/>
    <mergeCell ref="C68:D68"/>
    <mergeCell ref="C69:D69"/>
  </mergeCells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Q92"/>
  <sheetViews>
    <sheetView topLeftCell="A30" workbookViewId="0">
      <selection activeCell="H66" sqref="H66"/>
    </sheetView>
  </sheetViews>
  <sheetFormatPr defaultRowHeight="15" x14ac:dyDescent="0.25"/>
  <cols>
    <col min="1" max="1" width="12.7109375" customWidth="1"/>
    <col min="2" max="2" width="17.7109375" customWidth="1"/>
    <col min="3" max="3" width="29.140625" customWidth="1"/>
    <col min="4" max="4" width="9.85546875" customWidth="1"/>
    <col min="5" max="5" width="7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9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1695</v>
      </c>
      <c r="D3" s="18" t="s">
        <v>2502</v>
      </c>
      <c r="E3" s="18" t="s">
        <v>1697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2445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2441</v>
      </c>
      <c r="D4" s="18" t="s">
        <v>2442</v>
      </c>
      <c r="E4" s="18" t="s">
        <v>2443</v>
      </c>
      <c r="F4" s="19">
        <v>7</v>
      </c>
      <c r="G4" s="19">
        <v>0</v>
      </c>
      <c r="H4" s="19">
        <v>30</v>
      </c>
      <c r="I4" s="19">
        <f>-H4</f>
        <v>-30</v>
      </c>
      <c r="J4" s="18" t="s">
        <v>2444</v>
      </c>
      <c r="K4" s="18" t="s">
        <v>21</v>
      </c>
      <c r="L4" s="18" t="s">
        <v>2445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2446</v>
      </c>
      <c r="D5" s="18" t="s">
        <v>2447</v>
      </c>
      <c r="E5" s="18" t="s">
        <v>2448</v>
      </c>
      <c r="F5" s="19">
        <v>8</v>
      </c>
      <c r="G5" s="19">
        <v>690</v>
      </c>
      <c r="H5" s="19">
        <v>30</v>
      </c>
      <c r="I5" s="19">
        <f>G5-H5</f>
        <v>660</v>
      </c>
      <c r="J5" s="18" t="s">
        <v>2444</v>
      </c>
      <c r="K5" s="18" t="s">
        <v>21</v>
      </c>
      <c r="L5" s="18" t="s">
        <v>2445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1200</v>
      </c>
      <c r="D6" s="18" t="s">
        <v>2457</v>
      </c>
      <c r="E6" s="18" t="s">
        <v>1202</v>
      </c>
      <c r="F6" s="18" t="s">
        <v>26</v>
      </c>
      <c r="G6" s="19">
        <v>0</v>
      </c>
      <c r="H6" s="19">
        <v>30</v>
      </c>
      <c r="I6" s="19">
        <f>-H6</f>
        <v>-30</v>
      </c>
      <c r="J6" s="18" t="s">
        <v>2444</v>
      </c>
      <c r="K6" s="18" t="s">
        <v>21</v>
      </c>
      <c r="L6" s="18" t="s">
        <v>2445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2460</v>
      </c>
      <c r="D7" s="18" t="s">
        <v>2461</v>
      </c>
      <c r="E7" s="18" t="s">
        <v>2462</v>
      </c>
      <c r="F7" s="18" t="s">
        <v>26</v>
      </c>
      <c r="G7" s="19">
        <v>820</v>
      </c>
      <c r="H7" s="19">
        <v>30</v>
      </c>
      <c r="I7" s="19">
        <f t="shared" ref="I7:I13" si="0">G7-H7</f>
        <v>790</v>
      </c>
      <c r="J7" s="18" t="s">
        <v>2444</v>
      </c>
      <c r="K7" s="18" t="s">
        <v>21</v>
      </c>
      <c r="L7" s="18" t="s">
        <v>2445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1468</v>
      </c>
      <c r="D8" s="18" t="s">
        <v>2463</v>
      </c>
      <c r="E8" s="18" t="s">
        <v>1470</v>
      </c>
      <c r="F8" s="19">
        <v>7</v>
      </c>
      <c r="G8" s="19">
        <v>950</v>
      </c>
      <c r="H8" s="19">
        <v>30</v>
      </c>
      <c r="I8" s="19">
        <f t="shared" si="0"/>
        <v>920</v>
      </c>
      <c r="J8" s="18" t="s">
        <v>2444</v>
      </c>
      <c r="K8" s="18" t="s">
        <v>21</v>
      </c>
      <c r="L8" s="18" t="s">
        <v>2445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726</v>
      </c>
      <c r="D9" s="18" t="s">
        <v>2464</v>
      </c>
      <c r="E9" s="18" t="s">
        <v>2465</v>
      </c>
      <c r="F9" s="19">
        <v>4</v>
      </c>
      <c r="G9" s="19">
        <v>715</v>
      </c>
      <c r="H9" s="19">
        <v>25</v>
      </c>
      <c r="I9" s="19">
        <f t="shared" si="0"/>
        <v>690</v>
      </c>
      <c r="J9" s="18" t="s">
        <v>2444</v>
      </c>
      <c r="K9" s="18" t="s">
        <v>21</v>
      </c>
      <c r="L9" s="18" t="s">
        <v>2445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2472</v>
      </c>
      <c r="D10" s="18" t="s">
        <v>2473</v>
      </c>
      <c r="E10" s="18" t="s">
        <v>2474</v>
      </c>
      <c r="F10" s="19">
        <v>8</v>
      </c>
      <c r="G10" s="19">
        <v>600</v>
      </c>
      <c r="H10" s="19">
        <v>30</v>
      </c>
      <c r="I10" s="19">
        <f t="shared" si="0"/>
        <v>570</v>
      </c>
      <c r="J10" s="18" t="s">
        <v>2444</v>
      </c>
      <c r="K10" s="18" t="s">
        <v>21</v>
      </c>
      <c r="L10" s="18" t="s">
        <v>2445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2375</v>
      </c>
      <c r="D11" s="18" t="s">
        <v>2480</v>
      </c>
      <c r="E11" s="18" t="s">
        <v>1985</v>
      </c>
      <c r="F11" s="19">
        <v>1</v>
      </c>
      <c r="G11" s="19">
        <v>765</v>
      </c>
      <c r="H11" s="19">
        <v>25</v>
      </c>
      <c r="I11" s="19">
        <f t="shared" si="0"/>
        <v>740</v>
      </c>
      <c r="J11" s="18" t="s">
        <v>2444</v>
      </c>
      <c r="K11" s="18" t="s">
        <v>21</v>
      </c>
      <c r="L11" s="18" t="s">
        <v>2445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2481</v>
      </c>
      <c r="D12" s="18" t="s">
        <v>2482</v>
      </c>
      <c r="E12" s="18" t="s">
        <v>2483</v>
      </c>
      <c r="F12" s="18" t="s">
        <v>217</v>
      </c>
      <c r="G12" s="19">
        <v>865</v>
      </c>
      <c r="H12" s="19">
        <v>25</v>
      </c>
      <c r="I12" s="19">
        <f t="shared" si="0"/>
        <v>840</v>
      </c>
      <c r="J12" s="18" t="s">
        <v>2444</v>
      </c>
      <c r="K12" s="18" t="s">
        <v>21</v>
      </c>
      <c r="L12" s="18" t="s">
        <v>2445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2484</v>
      </c>
      <c r="D13" s="18" t="s">
        <v>2485</v>
      </c>
      <c r="E13" s="18" t="s">
        <v>2486</v>
      </c>
      <c r="F13" s="19">
        <v>8</v>
      </c>
      <c r="G13" s="19">
        <v>720</v>
      </c>
      <c r="H13" s="19">
        <v>30</v>
      </c>
      <c r="I13" s="19">
        <f t="shared" si="0"/>
        <v>690</v>
      </c>
      <c r="J13" s="18" t="s">
        <v>2444</v>
      </c>
      <c r="K13" s="18" t="s">
        <v>21</v>
      </c>
      <c r="L13" s="18" t="s">
        <v>2445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2487</v>
      </c>
      <c r="D14" s="18" t="s">
        <v>2488</v>
      </c>
      <c r="E14" s="18" t="s">
        <v>2489</v>
      </c>
      <c r="F14" s="19">
        <v>4</v>
      </c>
      <c r="G14" s="19">
        <v>0</v>
      </c>
      <c r="H14" s="19">
        <v>25</v>
      </c>
      <c r="I14" s="19">
        <f>-H14</f>
        <v>-25</v>
      </c>
      <c r="J14" s="18" t="s">
        <v>2444</v>
      </c>
      <c r="K14" s="18" t="s">
        <v>21</v>
      </c>
      <c r="L14" s="18" t="s">
        <v>2445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2490</v>
      </c>
      <c r="D15" s="18" t="s">
        <v>2491</v>
      </c>
      <c r="E15" s="18" t="s">
        <v>1016</v>
      </c>
      <c r="F15" s="18" t="s">
        <v>88</v>
      </c>
      <c r="G15" s="19">
        <v>0</v>
      </c>
      <c r="H15" s="19">
        <v>25</v>
      </c>
      <c r="I15" s="19">
        <f>-H15</f>
        <v>-25</v>
      </c>
      <c r="J15" s="18" t="s">
        <v>2444</v>
      </c>
      <c r="K15" s="18" t="s">
        <v>21</v>
      </c>
      <c r="L15" s="18" t="s">
        <v>2445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1558</v>
      </c>
      <c r="D16" s="18" t="s">
        <v>2492</v>
      </c>
      <c r="E16" s="18" t="s">
        <v>1560</v>
      </c>
      <c r="F16" s="19">
        <v>1</v>
      </c>
      <c r="G16" s="19">
        <v>775</v>
      </c>
      <c r="H16" s="19">
        <v>25</v>
      </c>
      <c r="I16" s="19">
        <f>G16-H16</f>
        <v>750</v>
      </c>
      <c r="J16" s="18" t="s">
        <v>2444</v>
      </c>
      <c r="K16" s="18" t="s">
        <v>21</v>
      </c>
      <c r="L16" s="18" t="s">
        <v>2445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2493</v>
      </c>
      <c r="D17" s="18" t="s">
        <v>2494</v>
      </c>
      <c r="E17" s="18" t="s">
        <v>2495</v>
      </c>
      <c r="F17" s="18" t="s">
        <v>113</v>
      </c>
      <c r="G17" s="19">
        <v>695</v>
      </c>
      <c r="H17" s="19">
        <v>35</v>
      </c>
      <c r="I17" s="19">
        <f>G17-H17</f>
        <v>660</v>
      </c>
      <c r="J17" s="18" t="s">
        <v>2444</v>
      </c>
      <c r="K17" s="18" t="s">
        <v>21</v>
      </c>
      <c r="L17" s="18" t="s">
        <v>2445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2496</v>
      </c>
      <c r="D18" s="18" t="s">
        <v>2525</v>
      </c>
      <c r="E18" s="18" t="s">
        <v>2498</v>
      </c>
      <c r="F18" s="18" t="s">
        <v>113</v>
      </c>
      <c r="G18" s="19">
        <v>0</v>
      </c>
      <c r="H18" s="19">
        <v>35</v>
      </c>
      <c r="I18" s="19">
        <f>-H18</f>
        <v>-35</v>
      </c>
      <c r="J18" s="18" t="s">
        <v>2444</v>
      </c>
      <c r="K18" s="18" t="s">
        <v>21</v>
      </c>
      <c r="L18" s="18" t="s">
        <v>2445</v>
      </c>
      <c r="M18" s="18" t="s">
        <v>2526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2496</v>
      </c>
      <c r="D19" s="18" t="s">
        <v>2497</v>
      </c>
      <c r="E19" s="18" t="s">
        <v>2498</v>
      </c>
      <c r="F19" s="18" t="s">
        <v>113</v>
      </c>
      <c r="G19" s="19">
        <v>0</v>
      </c>
      <c r="H19" s="19">
        <v>0</v>
      </c>
      <c r="I19" s="19">
        <f>H19</f>
        <v>0</v>
      </c>
      <c r="J19" s="18" t="s">
        <v>2444</v>
      </c>
      <c r="K19" s="18" t="s">
        <v>21</v>
      </c>
      <c r="L19" s="18" t="s">
        <v>2445</v>
      </c>
      <c r="M19" s="18" t="s">
        <v>312</v>
      </c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2499</v>
      </c>
      <c r="D20" s="18" t="s">
        <v>2500</v>
      </c>
      <c r="E20" s="18" t="s">
        <v>2501</v>
      </c>
      <c r="F20" s="19">
        <v>4</v>
      </c>
      <c r="G20" s="19">
        <v>815</v>
      </c>
      <c r="H20" s="19">
        <v>25</v>
      </c>
      <c r="I20" s="19">
        <f>G20-H20</f>
        <v>790</v>
      </c>
      <c r="J20" s="18" t="s">
        <v>2444</v>
      </c>
      <c r="K20" s="18" t="s">
        <v>21</v>
      </c>
      <c r="L20" s="18" t="s">
        <v>2445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2503</v>
      </c>
      <c r="D21" s="18" t="s">
        <v>2504</v>
      </c>
      <c r="E21" s="18" t="s">
        <v>2505</v>
      </c>
      <c r="F21" s="19">
        <v>3</v>
      </c>
      <c r="G21" s="19">
        <v>685</v>
      </c>
      <c r="H21" s="19">
        <v>25</v>
      </c>
      <c r="I21" s="19">
        <f>G21-H21</f>
        <v>660</v>
      </c>
      <c r="J21" s="18" t="s">
        <v>2444</v>
      </c>
      <c r="K21" s="18" t="s">
        <v>21</v>
      </c>
      <c r="L21" s="18" t="s">
        <v>2445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2506</v>
      </c>
      <c r="D22" s="18" t="s">
        <v>2507</v>
      </c>
      <c r="E22" s="18" t="s">
        <v>2508</v>
      </c>
      <c r="F22" s="18" t="s">
        <v>217</v>
      </c>
      <c r="G22" s="19">
        <v>1635</v>
      </c>
      <c r="H22" s="19">
        <v>25</v>
      </c>
      <c r="I22" s="19">
        <f>G22-H22</f>
        <v>1610</v>
      </c>
      <c r="J22" s="18" t="s">
        <v>2444</v>
      </c>
      <c r="K22" s="18" t="s">
        <v>21</v>
      </c>
      <c r="L22" s="18" t="s">
        <v>2445</v>
      </c>
      <c r="M22" s="18" t="s">
        <v>312</v>
      </c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2506</v>
      </c>
      <c r="D23" s="18" t="s">
        <v>2556</v>
      </c>
      <c r="E23" s="18" t="s">
        <v>2557</v>
      </c>
      <c r="F23" s="18" t="s">
        <v>217</v>
      </c>
      <c r="G23" s="19">
        <v>0</v>
      </c>
      <c r="H23" s="19">
        <v>0</v>
      </c>
      <c r="I23" s="19">
        <f>H23</f>
        <v>0</v>
      </c>
      <c r="J23" s="18" t="s">
        <v>2444</v>
      </c>
      <c r="K23" s="18" t="s">
        <v>21</v>
      </c>
      <c r="L23" s="18" t="s">
        <v>2445</v>
      </c>
      <c r="M23" s="18" t="s">
        <v>312</v>
      </c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2509</v>
      </c>
      <c r="D24" s="18" t="s">
        <v>2510</v>
      </c>
      <c r="E24" s="18" t="s">
        <v>2511</v>
      </c>
      <c r="F24" s="19">
        <v>12</v>
      </c>
      <c r="G24" s="19">
        <v>980</v>
      </c>
      <c r="H24" s="19">
        <v>30</v>
      </c>
      <c r="I24" s="19">
        <f t="shared" ref="I24:I29" si="1">G24-H24</f>
        <v>950</v>
      </c>
      <c r="J24" s="18" t="s">
        <v>2444</v>
      </c>
      <c r="K24" s="18" t="s">
        <v>21</v>
      </c>
      <c r="L24" s="18" t="s">
        <v>2445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2513</v>
      </c>
      <c r="D25" s="18" t="s">
        <v>2514</v>
      </c>
      <c r="E25" s="18" t="s">
        <v>2515</v>
      </c>
      <c r="F25" s="18" t="s">
        <v>26</v>
      </c>
      <c r="G25" s="19">
        <v>820</v>
      </c>
      <c r="H25" s="19">
        <v>30</v>
      </c>
      <c r="I25" s="19">
        <f t="shared" si="1"/>
        <v>790</v>
      </c>
      <c r="J25" s="18" t="s">
        <v>2444</v>
      </c>
      <c r="K25" s="18" t="s">
        <v>21</v>
      </c>
      <c r="L25" s="18" t="s">
        <v>2445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46</v>
      </c>
      <c r="D26" s="18" t="s">
        <v>2516</v>
      </c>
      <c r="E26" s="18" t="s">
        <v>1193</v>
      </c>
      <c r="F26" s="19">
        <v>7</v>
      </c>
      <c r="G26" s="19">
        <v>1090</v>
      </c>
      <c r="H26" s="19">
        <v>30</v>
      </c>
      <c r="I26" s="19">
        <f t="shared" si="1"/>
        <v>1060</v>
      </c>
      <c r="J26" s="18" t="s">
        <v>2444</v>
      </c>
      <c r="K26" s="18" t="s">
        <v>21</v>
      </c>
      <c r="L26" s="18" t="s">
        <v>2445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2517</v>
      </c>
      <c r="D27" s="18" t="s">
        <v>2518</v>
      </c>
      <c r="E27" s="18" t="s">
        <v>2519</v>
      </c>
      <c r="F27" s="19">
        <v>1</v>
      </c>
      <c r="G27" s="19">
        <v>815</v>
      </c>
      <c r="H27" s="19">
        <v>25</v>
      </c>
      <c r="I27" s="19">
        <f t="shared" si="1"/>
        <v>790</v>
      </c>
      <c r="J27" s="18" t="s">
        <v>2444</v>
      </c>
      <c r="K27" s="18" t="s">
        <v>21</v>
      </c>
      <c r="L27" s="18" t="s">
        <v>2445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2520</v>
      </c>
      <c r="D28" s="18" t="s">
        <v>2521</v>
      </c>
      <c r="E28" s="18" t="s">
        <v>2522</v>
      </c>
      <c r="F28" s="18" t="s">
        <v>128</v>
      </c>
      <c r="G28" s="19">
        <v>985</v>
      </c>
      <c r="H28" s="19">
        <v>35</v>
      </c>
      <c r="I28" s="19">
        <f t="shared" si="1"/>
        <v>950</v>
      </c>
      <c r="J28" s="18" t="s">
        <v>2444</v>
      </c>
      <c r="K28" s="18" t="s">
        <v>21</v>
      </c>
      <c r="L28" s="18" t="s">
        <v>2445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2530</v>
      </c>
      <c r="D29" s="18" t="s">
        <v>2531</v>
      </c>
      <c r="E29" s="18" t="s">
        <v>2532</v>
      </c>
      <c r="F29" s="19">
        <v>7</v>
      </c>
      <c r="G29" s="19">
        <v>720</v>
      </c>
      <c r="H29" s="19">
        <v>30</v>
      </c>
      <c r="I29" s="19">
        <f t="shared" si="1"/>
        <v>690</v>
      </c>
      <c r="J29" s="18" t="s">
        <v>2444</v>
      </c>
      <c r="K29" s="18" t="s">
        <v>21</v>
      </c>
      <c r="L29" s="18" t="s">
        <v>2445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997</v>
      </c>
      <c r="D30" s="18" t="s">
        <v>2534</v>
      </c>
      <c r="E30" s="18" t="s">
        <v>999</v>
      </c>
      <c r="F30" s="19">
        <v>1</v>
      </c>
      <c r="G30" s="19">
        <v>0</v>
      </c>
      <c r="H30" s="19">
        <v>25</v>
      </c>
      <c r="I30" s="19">
        <f>-H30</f>
        <v>-25</v>
      </c>
      <c r="J30" s="18" t="s">
        <v>2444</v>
      </c>
      <c r="K30" s="18" t="s">
        <v>21</v>
      </c>
      <c r="L30" s="18" t="s">
        <v>2445</v>
      </c>
      <c r="M30" s="18" t="s">
        <v>49</v>
      </c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2535</v>
      </c>
      <c r="D31" s="18" t="s">
        <v>2536</v>
      </c>
      <c r="E31" s="18" t="s">
        <v>2537</v>
      </c>
      <c r="F31" s="19">
        <v>7</v>
      </c>
      <c r="G31" s="19">
        <v>870</v>
      </c>
      <c r="H31" s="19">
        <v>30</v>
      </c>
      <c r="I31" s="19">
        <f>G31-H31</f>
        <v>840</v>
      </c>
      <c r="J31" s="18" t="s">
        <v>2444</v>
      </c>
      <c r="K31" s="18" t="s">
        <v>21</v>
      </c>
      <c r="L31" s="18" t="s">
        <v>2445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247</v>
      </c>
      <c r="D32" s="18" t="s">
        <v>2538</v>
      </c>
      <c r="E32" s="18" t="s">
        <v>249</v>
      </c>
      <c r="F32" s="18" t="s">
        <v>128</v>
      </c>
      <c r="G32" s="19">
        <v>885</v>
      </c>
      <c r="H32" s="19">
        <v>35</v>
      </c>
      <c r="I32" s="19">
        <f>G32-H32</f>
        <v>850</v>
      </c>
      <c r="J32" s="18" t="s">
        <v>2444</v>
      </c>
      <c r="K32" s="18" t="s">
        <v>21</v>
      </c>
      <c r="L32" s="18" t="s">
        <v>2445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1458</v>
      </c>
      <c r="D33" s="18" t="s">
        <v>2539</v>
      </c>
      <c r="E33" s="18" t="s">
        <v>2540</v>
      </c>
      <c r="F33" s="19">
        <v>7</v>
      </c>
      <c r="G33" s="19">
        <v>1610</v>
      </c>
      <c r="H33" s="19">
        <v>30</v>
      </c>
      <c r="I33" s="19">
        <f>G33-H33</f>
        <v>1580</v>
      </c>
      <c r="J33" s="18" t="s">
        <v>2444</v>
      </c>
      <c r="K33" s="18" t="s">
        <v>21</v>
      </c>
      <c r="L33" s="18" t="s">
        <v>2445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2550</v>
      </c>
      <c r="D34" s="18" t="s">
        <v>2551</v>
      </c>
      <c r="E34" s="18" t="s">
        <v>2552</v>
      </c>
      <c r="F34" s="19">
        <v>10</v>
      </c>
      <c r="G34" s="19">
        <v>815</v>
      </c>
      <c r="H34" s="19">
        <v>25</v>
      </c>
      <c r="I34" s="19">
        <f>G34-H34</f>
        <v>790</v>
      </c>
      <c r="J34" s="18" t="s">
        <v>2444</v>
      </c>
      <c r="K34" s="18" t="s">
        <v>21</v>
      </c>
      <c r="L34" s="18" t="s">
        <v>2445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2561</v>
      </c>
      <c r="D35" s="18" t="s">
        <v>2562</v>
      </c>
      <c r="E35" s="18" t="s">
        <v>2563</v>
      </c>
      <c r="F35" s="19">
        <v>7</v>
      </c>
      <c r="G35" s="19">
        <v>1610</v>
      </c>
      <c r="H35" s="19">
        <v>30</v>
      </c>
      <c r="I35" s="19">
        <f>G35-H35</f>
        <v>1580</v>
      </c>
      <c r="J35" s="18" t="s">
        <v>2444</v>
      </c>
      <c r="K35" s="18" t="s">
        <v>21</v>
      </c>
      <c r="L35" s="18" t="s">
        <v>2445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2564</v>
      </c>
      <c r="D36" s="18" t="s">
        <v>2565</v>
      </c>
      <c r="E36" s="18" t="s">
        <v>2566</v>
      </c>
      <c r="F36" s="19">
        <v>1</v>
      </c>
      <c r="G36" s="19">
        <v>0</v>
      </c>
      <c r="H36" s="19">
        <v>25</v>
      </c>
      <c r="I36" s="19">
        <f>-H36</f>
        <v>-25</v>
      </c>
      <c r="J36" s="18" t="s">
        <v>2444</v>
      </c>
      <c r="K36" s="18" t="s">
        <v>21</v>
      </c>
      <c r="L36" s="18" t="s">
        <v>2445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1834</v>
      </c>
      <c r="D37" s="18" t="s">
        <v>2572</v>
      </c>
      <c r="E37" s="18" t="s">
        <v>1836</v>
      </c>
      <c r="F37" s="19">
        <v>7</v>
      </c>
      <c r="G37" s="19">
        <v>150</v>
      </c>
      <c r="H37" s="19">
        <v>30</v>
      </c>
      <c r="I37" s="19">
        <f>G37-H37</f>
        <v>120</v>
      </c>
      <c r="J37" s="18" t="s">
        <v>2444</v>
      </c>
      <c r="K37" s="18" t="s">
        <v>21</v>
      </c>
      <c r="L37" s="18" t="s">
        <v>2445</v>
      </c>
      <c r="M37" s="18" t="s">
        <v>49</v>
      </c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2573</v>
      </c>
      <c r="D38" s="18" t="s">
        <v>2574</v>
      </c>
      <c r="E38" s="18" t="s">
        <v>2575</v>
      </c>
      <c r="F38" s="18" t="s">
        <v>26</v>
      </c>
      <c r="G38" s="19">
        <v>840</v>
      </c>
      <c r="H38" s="19">
        <v>30</v>
      </c>
      <c r="I38" s="19">
        <f>G38-H38</f>
        <v>810</v>
      </c>
      <c r="J38" s="18" t="s">
        <v>2444</v>
      </c>
      <c r="K38" s="18" t="s">
        <v>21</v>
      </c>
      <c r="L38" s="18" t="s">
        <v>2445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2576</v>
      </c>
      <c r="D39" s="18" t="s">
        <v>2577</v>
      </c>
      <c r="E39" s="18" t="s">
        <v>2578</v>
      </c>
      <c r="F39" s="19">
        <v>8</v>
      </c>
      <c r="G39" s="19">
        <v>0</v>
      </c>
      <c r="H39" s="19">
        <v>25</v>
      </c>
      <c r="I39" s="19">
        <f>-H39</f>
        <v>-25</v>
      </c>
      <c r="J39" s="18" t="s">
        <v>2444</v>
      </c>
      <c r="K39" s="18" t="s">
        <v>21</v>
      </c>
      <c r="L39" s="18" t="s">
        <v>2445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2581</v>
      </c>
      <c r="D40" s="18" t="s">
        <v>2582</v>
      </c>
      <c r="E40" s="18" t="s">
        <v>2583</v>
      </c>
      <c r="F40" s="19">
        <v>4</v>
      </c>
      <c r="G40" s="19">
        <v>2410</v>
      </c>
      <c r="H40" s="19">
        <v>25</v>
      </c>
      <c r="I40" s="19">
        <f>G40-H40</f>
        <v>2385</v>
      </c>
      <c r="J40" s="18" t="s">
        <v>2444</v>
      </c>
      <c r="K40" s="18" t="s">
        <v>21</v>
      </c>
      <c r="L40" s="18" t="s">
        <v>2445</v>
      </c>
      <c r="M40" s="18" t="s">
        <v>398</v>
      </c>
      <c r="N40" s="18"/>
      <c r="O40" s="18"/>
      <c r="P40" s="18"/>
      <c r="Q40" s="18">
        <v>1</v>
      </c>
    </row>
    <row r="41" spans="1:17" x14ac:dyDescent="0.25">
      <c r="A41" s="18" t="s">
        <v>62</v>
      </c>
      <c r="B41" s="18" t="s">
        <v>16</v>
      </c>
      <c r="C41" s="18" t="s">
        <v>63</v>
      </c>
      <c r="D41" s="18"/>
      <c r="E41" s="18" t="s">
        <v>64</v>
      </c>
      <c r="F41" s="19">
        <v>6</v>
      </c>
      <c r="G41" s="19">
        <v>0</v>
      </c>
      <c r="H41" s="19">
        <v>30</v>
      </c>
      <c r="I41" s="19">
        <f>-H41</f>
        <v>-30</v>
      </c>
      <c r="J41" s="18" t="s">
        <v>2444</v>
      </c>
      <c r="K41" s="18" t="s">
        <v>21</v>
      </c>
      <c r="L41" s="18" t="s">
        <v>2445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2449</v>
      </c>
      <c r="D42" s="18" t="s">
        <v>2450</v>
      </c>
      <c r="E42" s="18" t="s">
        <v>2451</v>
      </c>
      <c r="F42" s="18" t="s">
        <v>68</v>
      </c>
      <c r="G42" s="19">
        <v>0</v>
      </c>
      <c r="H42" s="19">
        <v>20</v>
      </c>
      <c r="I42" s="19">
        <f>-H42</f>
        <v>-20</v>
      </c>
      <c r="J42" s="18" t="s">
        <v>21</v>
      </c>
      <c r="K42" s="18" t="s">
        <v>21</v>
      </c>
      <c r="L42" s="18" t="s">
        <v>2445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2216</v>
      </c>
      <c r="D43" s="18" t="s">
        <v>2452</v>
      </c>
      <c r="E43" s="18" t="s">
        <v>2453</v>
      </c>
      <c r="F43" s="18" t="s">
        <v>153</v>
      </c>
      <c r="G43" s="19">
        <v>30</v>
      </c>
      <c r="H43" s="19">
        <v>30</v>
      </c>
      <c r="I43" s="19">
        <f t="shared" ref="I43:I48" si="2">G43-H43</f>
        <v>0</v>
      </c>
      <c r="J43" s="18" t="s">
        <v>21</v>
      </c>
      <c r="K43" s="18" t="s">
        <v>21</v>
      </c>
      <c r="L43" s="18" t="s">
        <v>2445</v>
      </c>
      <c r="M43" s="18" t="s">
        <v>49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2454</v>
      </c>
      <c r="D44" s="18" t="s">
        <v>2455</v>
      </c>
      <c r="E44" s="18" t="s">
        <v>2456</v>
      </c>
      <c r="F44" s="18" t="s">
        <v>68</v>
      </c>
      <c r="G44" s="19">
        <v>810</v>
      </c>
      <c r="H44" s="19">
        <v>20</v>
      </c>
      <c r="I44" s="19">
        <f t="shared" si="2"/>
        <v>790</v>
      </c>
      <c r="J44" s="18" t="s">
        <v>21</v>
      </c>
      <c r="K44" s="18" t="s">
        <v>21</v>
      </c>
      <c r="L44" s="18" t="s">
        <v>2445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2458</v>
      </c>
      <c r="D45" s="18" t="s">
        <v>2459</v>
      </c>
      <c r="E45" s="18" t="s">
        <v>759</v>
      </c>
      <c r="F45" s="19">
        <v>1</v>
      </c>
      <c r="G45" s="19">
        <v>815</v>
      </c>
      <c r="H45" s="19">
        <v>25</v>
      </c>
      <c r="I45" s="19">
        <f t="shared" si="2"/>
        <v>790</v>
      </c>
      <c r="J45" s="18" t="s">
        <v>21</v>
      </c>
      <c r="K45" s="18" t="s">
        <v>21</v>
      </c>
      <c r="L45" s="18" t="s">
        <v>2445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2466</v>
      </c>
      <c r="D46" s="18" t="s">
        <v>2467</v>
      </c>
      <c r="E46" s="18" t="s">
        <v>2468</v>
      </c>
      <c r="F46" s="18" t="s">
        <v>72</v>
      </c>
      <c r="G46" s="19">
        <v>1795</v>
      </c>
      <c r="H46" s="19">
        <v>25</v>
      </c>
      <c r="I46" s="19">
        <f t="shared" si="2"/>
        <v>1770</v>
      </c>
      <c r="J46" s="18" t="s">
        <v>21</v>
      </c>
      <c r="K46" s="18" t="s">
        <v>21</v>
      </c>
      <c r="L46" s="18" t="s">
        <v>2445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2469</v>
      </c>
      <c r="D47" s="18" t="s">
        <v>2470</v>
      </c>
      <c r="E47" s="18" t="s">
        <v>2471</v>
      </c>
      <c r="F47" s="19">
        <v>1</v>
      </c>
      <c r="G47" s="19">
        <v>2050</v>
      </c>
      <c r="H47" s="19">
        <v>25</v>
      </c>
      <c r="I47" s="19">
        <f t="shared" si="2"/>
        <v>2025</v>
      </c>
      <c r="J47" s="18" t="s">
        <v>21</v>
      </c>
      <c r="K47" s="18" t="s">
        <v>21</v>
      </c>
      <c r="L47" s="18" t="s">
        <v>2445</v>
      </c>
      <c r="M47" s="18" t="s">
        <v>398</v>
      </c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349</v>
      </c>
      <c r="D48" s="18" t="s">
        <v>2475</v>
      </c>
      <c r="E48" s="18" t="s">
        <v>949</v>
      </c>
      <c r="F48" s="18" t="s">
        <v>72</v>
      </c>
      <c r="G48" s="19">
        <v>1215</v>
      </c>
      <c r="H48" s="19">
        <v>25</v>
      </c>
      <c r="I48" s="19">
        <f t="shared" si="2"/>
        <v>1190</v>
      </c>
      <c r="J48" s="18" t="s">
        <v>21</v>
      </c>
      <c r="K48" s="18" t="s">
        <v>21</v>
      </c>
      <c r="L48" s="18" t="s">
        <v>2445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2476</v>
      </c>
      <c r="D49" s="18" t="s">
        <v>2477</v>
      </c>
      <c r="E49" s="18" t="s">
        <v>2478</v>
      </c>
      <c r="F49" s="19">
        <v>2</v>
      </c>
      <c r="G49" s="19">
        <v>0</v>
      </c>
      <c r="H49" s="19">
        <v>30</v>
      </c>
      <c r="I49" s="19">
        <f>-H49</f>
        <v>-30</v>
      </c>
      <c r="J49" s="18" t="s">
        <v>21</v>
      </c>
      <c r="K49" s="18" t="s">
        <v>21</v>
      </c>
      <c r="L49" s="18" t="s">
        <v>2445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991</v>
      </c>
      <c r="D50" s="18" t="s">
        <v>2479</v>
      </c>
      <c r="E50" s="18" t="s">
        <v>993</v>
      </c>
      <c r="F50" s="18" t="s">
        <v>88</v>
      </c>
      <c r="G50" s="19">
        <v>1345</v>
      </c>
      <c r="H50" s="19">
        <v>25</v>
      </c>
      <c r="I50" s="19">
        <f t="shared" ref="I50:I56" si="3">G50-H50</f>
        <v>1320</v>
      </c>
      <c r="J50" s="18" t="s">
        <v>21</v>
      </c>
      <c r="K50" s="18" t="s">
        <v>21</v>
      </c>
      <c r="L50" s="18" t="s">
        <v>2445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269</v>
      </c>
      <c r="D51" s="18" t="s">
        <v>2512</v>
      </c>
      <c r="E51" s="18" t="s">
        <v>271</v>
      </c>
      <c r="F51" s="18" t="s">
        <v>85</v>
      </c>
      <c r="G51" s="19">
        <v>710</v>
      </c>
      <c r="H51" s="19">
        <v>20</v>
      </c>
      <c r="I51" s="19">
        <f t="shared" si="3"/>
        <v>690</v>
      </c>
      <c r="J51" s="18" t="s">
        <v>21</v>
      </c>
      <c r="K51" s="18" t="s">
        <v>21</v>
      </c>
      <c r="L51" s="18" t="s">
        <v>2445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1449</v>
      </c>
      <c r="D52" s="18" t="s">
        <v>2523</v>
      </c>
      <c r="E52" s="18" t="s">
        <v>2524</v>
      </c>
      <c r="F52" s="19">
        <v>2</v>
      </c>
      <c r="G52" s="19">
        <v>920</v>
      </c>
      <c r="H52" s="19">
        <v>30</v>
      </c>
      <c r="I52" s="19">
        <f t="shared" si="3"/>
        <v>890</v>
      </c>
      <c r="J52" s="18" t="s">
        <v>21</v>
      </c>
      <c r="K52" s="18" t="s">
        <v>21</v>
      </c>
      <c r="L52" s="18" t="s">
        <v>2445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2527</v>
      </c>
      <c r="D53" s="18" t="s">
        <v>2528</v>
      </c>
      <c r="E53" s="18" t="s">
        <v>2529</v>
      </c>
      <c r="F53" s="18" t="s">
        <v>72</v>
      </c>
      <c r="G53" s="19">
        <v>865</v>
      </c>
      <c r="H53" s="19">
        <v>25</v>
      </c>
      <c r="I53" s="19">
        <f t="shared" si="3"/>
        <v>840</v>
      </c>
      <c r="J53" s="18" t="s">
        <v>21</v>
      </c>
      <c r="K53" s="18" t="s">
        <v>21</v>
      </c>
      <c r="L53" s="18" t="s">
        <v>2445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628</v>
      </c>
      <c r="D54" s="18" t="s">
        <v>2533</v>
      </c>
      <c r="E54" s="18" t="s">
        <v>630</v>
      </c>
      <c r="F54" s="18" t="s">
        <v>72</v>
      </c>
      <c r="G54" s="19">
        <v>1835</v>
      </c>
      <c r="H54" s="19">
        <v>25</v>
      </c>
      <c r="I54" s="19">
        <f t="shared" si="3"/>
        <v>1810</v>
      </c>
      <c r="J54" s="18" t="s">
        <v>21</v>
      </c>
      <c r="K54" s="18" t="s">
        <v>21</v>
      </c>
      <c r="L54" s="18" t="s">
        <v>2445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2541</v>
      </c>
      <c r="D55" s="18" t="s">
        <v>2542</v>
      </c>
      <c r="E55" s="18" t="s">
        <v>2543</v>
      </c>
      <c r="F55" s="18" t="s">
        <v>88</v>
      </c>
      <c r="G55" s="19">
        <v>715</v>
      </c>
      <c r="H55" s="19">
        <v>25</v>
      </c>
      <c r="I55" s="19">
        <f t="shared" si="3"/>
        <v>690</v>
      </c>
      <c r="J55" s="18" t="s">
        <v>21</v>
      </c>
      <c r="K55" s="18" t="s">
        <v>21</v>
      </c>
      <c r="L55" s="18" t="s">
        <v>2445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2544</v>
      </c>
      <c r="D56" s="18" t="s">
        <v>2545</v>
      </c>
      <c r="E56" s="18" t="s">
        <v>2546</v>
      </c>
      <c r="F56" s="18" t="s">
        <v>68</v>
      </c>
      <c r="G56" s="19">
        <v>680</v>
      </c>
      <c r="H56" s="19">
        <v>20</v>
      </c>
      <c r="I56" s="19">
        <f t="shared" si="3"/>
        <v>660</v>
      </c>
      <c r="J56" s="18" t="s">
        <v>21</v>
      </c>
      <c r="K56" s="18" t="s">
        <v>21</v>
      </c>
      <c r="L56" s="18" t="s">
        <v>2445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2547</v>
      </c>
      <c r="D57" s="18" t="s">
        <v>2548</v>
      </c>
      <c r="E57" s="18" t="s">
        <v>2549</v>
      </c>
      <c r="F57" s="18" t="s">
        <v>72</v>
      </c>
      <c r="G57" s="19">
        <v>0</v>
      </c>
      <c r="H57" s="19">
        <v>25</v>
      </c>
      <c r="I57" s="19">
        <f>-H57</f>
        <v>-25</v>
      </c>
      <c r="J57" s="18" t="s">
        <v>21</v>
      </c>
      <c r="K57" s="18" t="s">
        <v>21</v>
      </c>
      <c r="L57" s="18" t="s">
        <v>2445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2553</v>
      </c>
      <c r="D58" s="18" t="s">
        <v>2554</v>
      </c>
      <c r="E58" s="18" t="s">
        <v>2555</v>
      </c>
      <c r="F58" s="18" t="s">
        <v>85</v>
      </c>
      <c r="G58" s="19">
        <v>710</v>
      </c>
      <c r="H58" s="19">
        <v>20</v>
      </c>
      <c r="I58" s="19">
        <f t="shared" ref="I58:I66" si="4">G58-H58</f>
        <v>690</v>
      </c>
      <c r="J58" s="18" t="s">
        <v>21</v>
      </c>
      <c r="K58" s="18" t="s">
        <v>21</v>
      </c>
      <c r="L58" s="18" t="s">
        <v>2445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2558</v>
      </c>
      <c r="D59" s="18" t="s">
        <v>2559</v>
      </c>
      <c r="E59" s="18" t="s">
        <v>2560</v>
      </c>
      <c r="F59" s="18" t="s">
        <v>72</v>
      </c>
      <c r="G59" s="19">
        <v>1145</v>
      </c>
      <c r="H59" s="19">
        <v>25</v>
      </c>
      <c r="I59" s="19">
        <f t="shared" si="4"/>
        <v>1120</v>
      </c>
      <c r="J59" s="18" t="s">
        <v>21</v>
      </c>
      <c r="K59" s="18" t="s">
        <v>21</v>
      </c>
      <c r="L59" s="18" t="s">
        <v>2445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1739</v>
      </c>
      <c r="D60" s="18" t="s">
        <v>2567</v>
      </c>
      <c r="E60" s="18" t="s">
        <v>1510</v>
      </c>
      <c r="F60" s="18" t="s">
        <v>72</v>
      </c>
      <c r="G60" s="19">
        <v>765</v>
      </c>
      <c r="H60" s="19">
        <v>25</v>
      </c>
      <c r="I60" s="19">
        <f t="shared" si="4"/>
        <v>740</v>
      </c>
      <c r="J60" s="18" t="s">
        <v>21</v>
      </c>
      <c r="K60" s="18" t="s">
        <v>21</v>
      </c>
      <c r="L60" s="18" t="s">
        <v>2445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291</v>
      </c>
      <c r="D61" s="18" t="s">
        <v>2568</v>
      </c>
      <c r="E61" s="18" t="s">
        <v>2569</v>
      </c>
      <c r="F61" s="19">
        <v>2</v>
      </c>
      <c r="G61" s="19">
        <v>1460</v>
      </c>
      <c r="H61" s="19">
        <v>30</v>
      </c>
      <c r="I61" s="19">
        <f t="shared" si="4"/>
        <v>1430</v>
      </c>
      <c r="J61" s="18" t="s">
        <v>21</v>
      </c>
      <c r="K61" s="18" t="s">
        <v>21</v>
      </c>
      <c r="L61" s="18" t="s">
        <v>2445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1627</v>
      </c>
      <c r="D62" s="18" t="s">
        <v>2570</v>
      </c>
      <c r="E62" s="18" t="s">
        <v>2571</v>
      </c>
      <c r="F62" s="18" t="s">
        <v>68</v>
      </c>
      <c r="G62" s="19">
        <v>680</v>
      </c>
      <c r="H62" s="19">
        <v>20</v>
      </c>
      <c r="I62" s="19">
        <f t="shared" si="4"/>
        <v>660</v>
      </c>
      <c r="J62" s="18" t="s">
        <v>21</v>
      </c>
      <c r="K62" s="18" t="s">
        <v>21</v>
      </c>
      <c r="L62" s="18" t="s">
        <v>2445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125</v>
      </c>
      <c r="D63" s="18" t="s">
        <v>2579</v>
      </c>
      <c r="E63" s="18" t="s">
        <v>2580</v>
      </c>
      <c r="F63" s="19">
        <v>2</v>
      </c>
      <c r="G63" s="19">
        <v>1050</v>
      </c>
      <c r="H63" s="19">
        <v>30</v>
      </c>
      <c r="I63" s="19">
        <f t="shared" si="4"/>
        <v>1020</v>
      </c>
      <c r="J63" s="18" t="s">
        <v>21</v>
      </c>
      <c r="K63" s="18" t="s">
        <v>21</v>
      </c>
      <c r="L63" s="18" t="s">
        <v>2445</v>
      </c>
      <c r="M63" s="18"/>
      <c r="N63" s="18"/>
      <c r="O63" s="18"/>
      <c r="P63" s="18"/>
      <c r="Q63" s="18">
        <v>1</v>
      </c>
    </row>
    <row r="64" spans="1:17" x14ac:dyDescent="0.25">
      <c r="A64" s="18" t="s">
        <v>62</v>
      </c>
      <c r="B64" s="18" t="s">
        <v>16</v>
      </c>
      <c r="C64" s="18" t="s">
        <v>640</v>
      </c>
      <c r="D64" s="18"/>
      <c r="E64" s="18" t="s">
        <v>1257</v>
      </c>
      <c r="F64" s="18" t="s">
        <v>72</v>
      </c>
      <c r="G64" s="19">
        <v>7240</v>
      </c>
      <c r="H64" s="19">
        <v>45</v>
      </c>
      <c r="I64" s="19">
        <f t="shared" si="4"/>
        <v>7195</v>
      </c>
      <c r="J64" s="18" t="s">
        <v>21</v>
      </c>
      <c r="K64" s="18" t="s">
        <v>21</v>
      </c>
      <c r="L64" s="18" t="s">
        <v>2445</v>
      </c>
      <c r="M64" s="18" t="s">
        <v>398</v>
      </c>
      <c r="N64" s="18"/>
      <c r="O64" s="18"/>
      <c r="P64" s="18"/>
      <c r="Q64" s="18">
        <v>1</v>
      </c>
    </row>
    <row r="65" spans="1:17" x14ac:dyDescent="0.25">
      <c r="A65" s="18" t="s">
        <v>62</v>
      </c>
      <c r="B65" s="18" t="s">
        <v>16</v>
      </c>
      <c r="C65" s="18" t="s">
        <v>1648</v>
      </c>
      <c r="D65" s="18"/>
      <c r="E65" s="18" t="s">
        <v>1649</v>
      </c>
      <c r="F65" s="18" t="s">
        <v>72</v>
      </c>
      <c r="G65" s="19">
        <v>40</v>
      </c>
      <c r="H65" s="19">
        <v>40</v>
      </c>
      <c r="I65" s="19">
        <f t="shared" si="4"/>
        <v>0</v>
      </c>
      <c r="J65" s="18" t="s">
        <v>21</v>
      </c>
      <c r="K65" s="18" t="s">
        <v>21</v>
      </c>
      <c r="L65" s="18" t="s">
        <v>2445</v>
      </c>
      <c r="M65" s="18"/>
      <c r="N65" s="18"/>
      <c r="O65" s="18"/>
      <c r="P65" s="18"/>
      <c r="Q65" s="18">
        <v>1</v>
      </c>
    </row>
    <row r="66" spans="1:17" x14ac:dyDescent="0.25">
      <c r="A66" s="18" t="s">
        <v>62</v>
      </c>
      <c r="B66" s="18" t="s">
        <v>16</v>
      </c>
      <c r="C66" s="18" t="s">
        <v>2584</v>
      </c>
      <c r="D66" s="18"/>
      <c r="E66" s="18" t="s">
        <v>2585</v>
      </c>
      <c r="F66" s="18" t="s">
        <v>68</v>
      </c>
      <c r="G66" s="18">
        <v>0</v>
      </c>
      <c r="H66" s="18">
        <v>25</v>
      </c>
      <c r="I66" s="19">
        <f t="shared" si="4"/>
        <v>-25</v>
      </c>
      <c r="J66" s="18" t="s">
        <v>21</v>
      </c>
      <c r="K66" s="18" t="s">
        <v>21</v>
      </c>
      <c r="L66" s="18" t="s">
        <v>2445</v>
      </c>
      <c r="M66" s="18"/>
      <c r="N66" s="18"/>
      <c r="O66" s="18"/>
      <c r="P66" s="18"/>
      <c r="Q66" s="18">
        <v>1</v>
      </c>
    </row>
    <row r="68" spans="1:17" x14ac:dyDescent="0.25">
      <c r="D68" s="1">
        <f>COUNTA(D3:D66)</f>
        <v>60</v>
      </c>
      <c r="G68" s="1">
        <f t="shared" ref="G68:Q68" si="5">SUBTOTAL(9,G3:G66)</f>
        <v>52205</v>
      </c>
      <c r="H68" s="1">
        <f t="shared" si="5"/>
        <v>1710</v>
      </c>
      <c r="I68" s="1">
        <f t="shared" si="5"/>
        <v>50495</v>
      </c>
      <c r="J68" s="1">
        <f t="shared" si="5"/>
        <v>0</v>
      </c>
      <c r="K68" s="1">
        <f t="shared" si="5"/>
        <v>0</v>
      </c>
      <c r="L68" s="1">
        <f t="shared" si="5"/>
        <v>0</v>
      </c>
      <c r="M68" s="1">
        <f t="shared" si="5"/>
        <v>0</v>
      </c>
      <c r="N68" s="1">
        <f t="shared" si="5"/>
        <v>0</v>
      </c>
      <c r="O68" s="1">
        <f t="shared" si="5"/>
        <v>0</v>
      </c>
      <c r="P68" s="1">
        <f t="shared" si="5"/>
        <v>0</v>
      </c>
      <c r="Q68" s="1">
        <f t="shared" si="5"/>
        <v>64</v>
      </c>
    </row>
    <row r="69" spans="1:17" x14ac:dyDescent="0.25">
      <c r="H69">
        <f>-26*17</f>
        <v>-442</v>
      </c>
    </row>
    <row r="70" spans="1:17" x14ac:dyDescent="0.25">
      <c r="A70" s="1" t="s">
        <v>16</v>
      </c>
      <c r="C70" s="42" t="s">
        <v>89</v>
      </c>
      <c r="D70" s="42"/>
      <c r="E70" s="4" t="s">
        <v>90</v>
      </c>
      <c r="H70">
        <f>-5*25</f>
        <v>-125</v>
      </c>
      <c r="K70" s="7" t="s">
        <v>2444</v>
      </c>
      <c r="L70" s="7" t="s">
        <v>91</v>
      </c>
      <c r="M70" s="7" t="s">
        <v>90</v>
      </c>
      <c r="O70" s="4" t="s">
        <v>92</v>
      </c>
    </row>
    <row r="71" spans="1:17" x14ac:dyDescent="0.25">
      <c r="A71" t="s">
        <v>2445</v>
      </c>
      <c r="B71" s="3" t="s">
        <v>93</v>
      </c>
      <c r="C71" s="43">
        <f>SUMIFS(I$3:I$66,B$3:B$66,A$70,L$3:L$66,A$71)</f>
        <v>50495</v>
      </c>
      <c r="D71" s="43"/>
      <c r="E71" s="3">
        <f>SUMIFS(Q$3:Q$66,B$3:B$66,A$70,L$3:L$66,A$71)</f>
        <v>64</v>
      </c>
      <c r="F71" t="s">
        <v>94</v>
      </c>
      <c r="H71">
        <f>-5*30</f>
        <v>-150</v>
      </c>
      <c r="K71" t="s">
        <v>95</v>
      </c>
      <c r="L71">
        <f>SUMIFS(G$3:G$66,J$3:J$66,K$70)</f>
        <v>25330</v>
      </c>
      <c r="M71">
        <v>36</v>
      </c>
      <c r="O71" t="s">
        <v>2586</v>
      </c>
      <c r="P71">
        <f>L76</f>
        <v>24613</v>
      </c>
    </row>
    <row r="72" spans="1:17" x14ac:dyDescent="0.25">
      <c r="B72" s="2" t="s">
        <v>97</v>
      </c>
      <c r="C72" s="44">
        <v>0</v>
      </c>
      <c r="D72" s="44"/>
      <c r="K72" t="s">
        <v>98</v>
      </c>
      <c r="L72">
        <f>SUM(H69:H71)</f>
        <v>-717</v>
      </c>
      <c r="M72">
        <v>36</v>
      </c>
      <c r="O72" t="s">
        <v>21</v>
      </c>
      <c r="P72">
        <f>L84</f>
        <v>26221</v>
      </c>
    </row>
    <row r="73" spans="1:17" x14ac:dyDescent="0.25">
      <c r="B73" s="2" t="s">
        <v>99</v>
      </c>
      <c r="C73" s="44">
        <f>-SUMIFS(I$3:I$66,B$3:B$66,A$70,P$3:P$66,"xx",N$3:N$66,"x")</f>
        <v>0</v>
      </c>
      <c r="D73" s="44"/>
      <c r="E73" s="2">
        <f>SUMIFS(Q$3:Q$66,B$3:B$66,A$70,P$3:P$66,"xx",N$3:N$66,"x")</f>
        <v>0</v>
      </c>
      <c r="K73" t="s">
        <v>100</v>
      </c>
      <c r="O73" t="s">
        <v>20</v>
      </c>
      <c r="P73">
        <f>L92</f>
        <v>-25</v>
      </c>
    </row>
    <row r="74" spans="1:17" x14ac:dyDescent="0.25">
      <c r="B74" s="4" t="s">
        <v>101</v>
      </c>
      <c r="C74" s="42">
        <f>SUBTOTAL(9,C71:C73)</f>
        <v>50495</v>
      </c>
      <c r="D74" s="42"/>
      <c r="E74">
        <f>E71</f>
        <v>64</v>
      </c>
      <c r="K74" s="2" t="s">
        <v>102</v>
      </c>
      <c r="O74" t="s">
        <v>103</v>
      </c>
      <c r="P74">
        <f>-C78</f>
        <v>-50495</v>
      </c>
    </row>
    <row r="75" spans="1:17" x14ac:dyDescent="0.25">
      <c r="B75" s="2" t="s">
        <v>104</v>
      </c>
      <c r="C75" s="40"/>
      <c r="D75" s="40"/>
      <c r="K75" s="2" t="s">
        <v>105</v>
      </c>
      <c r="O75" s="4" t="s">
        <v>106</v>
      </c>
      <c r="P75" s="4">
        <f>SUBTOTAL(9,P71:P74)</f>
        <v>314</v>
      </c>
    </row>
    <row r="76" spans="1:17" x14ac:dyDescent="0.25">
      <c r="B76" s="8" t="s">
        <v>107</v>
      </c>
      <c r="C76" s="40"/>
      <c r="D76" s="40"/>
      <c r="L76" s="9">
        <f>SUBTOTAL(9,L71:L75)</f>
        <v>24613</v>
      </c>
      <c r="M76" s="9">
        <f>M71</f>
        <v>36</v>
      </c>
    </row>
    <row r="78" spans="1:17" x14ac:dyDescent="0.25">
      <c r="B78" s="1" t="s">
        <v>108</v>
      </c>
      <c r="C78" s="41">
        <f>C74+C75+C76</f>
        <v>50495</v>
      </c>
      <c r="D78" s="41"/>
      <c r="E78" s="1" t="s">
        <v>109</v>
      </c>
      <c r="K78" s="7" t="s">
        <v>21</v>
      </c>
      <c r="L78" s="7" t="s">
        <v>91</v>
      </c>
      <c r="M78" s="7" t="s">
        <v>90</v>
      </c>
    </row>
    <row r="79" spans="1:17" x14ac:dyDescent="0.25">
      <c r="K79" t="s">
        <v>95</v>
      </c>
      <c r="L79">
        <f>SUMIFS(G$3:G$66,J$3:J$66,K$78)</f>
        <v>26875</v>
      </c>
      <c r="M79">
        <f>SUMIFS(Q$3:Q$66,J$3:J$66,K$78)</f>
        <v>25</v>
      </c>
    </row>
    <row r="80" spans="1:17" x14ac:dyDescent="0.25">
      <c r="K80" t="s">
        <v>98</v>
      </c>
      <c r="L80">
        <f>-SUMIFS(H$3:H$66,J$3:J$66,K$78)+M80*5</f>
        <v>-530</v>
      </c>
      <c r="M80">
        <f>SUMIFS(Q$3:Q$66,J$3:J$66,K$78)-COUNTIFS(J$3:J$66,K$78,M$3:M$66,"*gộp*")</f>
        <v>25</v>
      </c>
    </row>
    <row r="81" spans="11:13" x14ac:dyDescent="0.25">
      <c r="K81" t="s">
        <v>100</v>
      </c>
      <c r="L81">
        <f>-M81*2</f>
        <v>-124</v>
      </c>
      <c r="M81">
        <f>E74-(COUNTIFS(M$3:M$66,"*gộp*")/2)-COUNTIFS(M$3:M$66,"*đơn trả*")-COUNTIFS(M$3:M$66,"*hàng tỉnh*")</f>
        <v>62</v>
      </c>
    </row>
    <row r="82" spans="11:13" x14ac:dyDescent="0.25">
      <c r="K82" s="2" t="s">
        <v>102</v>
      </c>
    </row>
    <row r="83" spans="11:13" x14ac:dyDescent="0.25">
      <c r="K83" s="2" t="s">
        <v>105</v>
      </c>
    </row>
    <row r="84" spans="11:13" x14ac:dyDescent="0.25">
      <c r="L84" s="9">
        <f>SUBTOTAL(9,L79:L83)</f>
        <v>26221</v>
      </c>
      <c r="M84" s="9">
        <f>M79</f>
        <v>25</v>
      </c>
    </row>
    <row r="86" spans="11:13" x14ac:dyDescent="0.25">
      <c r="K86" s="7" t="s">
        <v>20</v>
      </c>
      <c r="L86" s="7" t="s">
        <v>91</v>
      </c>
      <c r="M86" s="7" t="s">
        <v>90</v>
      </c>
    </row>
    <row r="87" spans="11:13" x14ac:dyDescent="0.25">
      <c r="K87" t="s">
        <v>95</v>
      </c>
      <c r="L87">
        <f>SUMIFS(G$3:G$66,J$3:J$66,K$86)</f>
        <v>0</v>
      </c>
      <c r="M87">
        <f>SUMIFS(Q$3:Q$66,J$3:J$66,K$86)</f>
        <v>1</v>
      </c>
    </row>
    <row r="88" spans="11:13" x14ac:dyDescent="0.25">
      <c r="K88" t="s">
        <v>98</v>
      </c>
      <c r="L88">
        <f>-SUMIFS(H$3:H$66,J$3:J$66,K$86)+M88*5</f>
        <v>-25</v>
      </c>
      <c r="M88">
        <f>SUMIFS(Q$3:Q$66,J$3:J$66,K$86)-COUNTIFS(J$3:J$66,K$86,M$3:M$66,"*gộp*")</f>
        <v>1</v>
      </c>
    </row>
    <row r="89" spans="11:13" x14ac:dyDescent="0.25">
      <c r="K89" t="s">
        <v>100</v>
      </c>
    </row>
    <row r="90" spans="11:13" x14ac:dyDescent="0.25">
      <c r="K90" s="2" t="s">
        <v>102</v>
      </c>
    </row>
    <row r="91" spans="11:13" x14ac:dyDescent="0.25">
      <c r="K91" s="2" t="s">
        <v>105</v>
      </c>
    </row>
    <row r="92" spans="11:13" x14ac:dyDescent="0.25">
      <c r="L92" s="9">
        <f>SUBTOTAL(9,L87:L91)</f>
        <v>-25</v>
      </c>
      <c r="M92" s="9">
        <f>M87</f>
        <v>1</v>
      </c>
    </row>
  </sheetData>
  <autoFilter ref="A2:P66" xr:uid="{00000000-0009-0000-0000-000015000000}">
    <sortState xmlns:xlrd2="http://schemas.microsoft.com/office/spreadsheetml/2017/richdata2" ref="A3:P66">
      <sortCondition ref="J2:J66"/>
    </sortState>
  </autoFilter>
  <mergeCells count="8">
    <mergeCell ref="C75:D75"/>
    <mergeCell ref="C76:D76"/>
    <mergeCell ref="C78:D78"/>
    <mergeCell ref="C70:D70"/>
    <mergeCell ref="C71:D71"/>
    <mergeCell ref="C72:D72"/>
    <mergeCell ref="C73:D73"/>
    <mergeCell ref="C74:D74"/>
  </mergeCells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tabSelected="1" workbookViewId="0">
      <selection activeCell="B3" sqref="B3:D28"/>
    </sheetView>
  </sheetViews>
  <sheetFormatPr defaultColWidth="9.140625" defaultRowHeight="15" x14ac:dyDescent="0.25"/>
  <cols>
    <col min="1" max="1" width="9.42578125" style="30" bestFit="1" customWidth="1"/>
    <col min="2" max="2" width="10.85546875" style="30" bestFit="1" customWidth="1"/>
    <col min="3" max="3" width="9.42578125" style="30" bestFit="1" customWidth="1"/>
    <col min="4" max="4" width="17.5703125" style="30" bestFit="1" customWidth="1"/>
    <col min="5" max="5" width="15.85546875" style="30" bestFit="1" customWidth="1"/>
    <col min="6" max="6" width="9.140625" style="30" customWidth="1"/>
    <col min="7" max="16384" width="9.140625" style="30"/>
  </cols>
  <sheetData>
    <row r="1" spans="1:5" x14ac:dyDescent="0.25">
      <c r="A1" s="30" t="s">
        <v>2431</v>
      </c>
      <c r="B1" s="30">
        <v>2026</v>
      </c>
    </row>
    <row r="2" spans="1:5" x14ac:dyDescent="0.25">
      <c r="A2" s="31" t="s">
        <v>2432</v>
      </c>
      <c r="B2" s="31" t="s">
        <v>2433</v>
      </c>
      <c r="C2" s="31" t="s">
        <v>2434</v>
      </c>
      <c r="D2" s="31" t="s">
        <v>2435</v>
      </c>
      <c r="E2" s="31" t="s">
        <v>2436</v>
      </c>
    </row>
    <row r="3" spans="1:5" x14ac:dyDescent="0.25">
      <c r="A3" s="32">
        <v>46113</v>
      </c>
      <c r="B3" s="33">
        <f ca="1">IFERROR(COUNTIF(INDIRECT("'"&amp;TEXT(A3,"dd-mm")&amp;"'!L3:L100"),TEXT(A3,"dd-mm")&amp;"-"&amp;B$1),0)</f>
        <v>21</v>
      </c>
      <c r="C3" s="33">
        <f ca="1">IFERROR(COUNTIF(INDIRECT("'"&amp;TEXT(A3,"DD-MM")&amp;"'!M3:M100"),"*gộp*")/2,0)</f>
        <v>0</v>
      </c>
      <c r="D3" s="33" cm="1">
        <f t="array" ref="D3" ca="1">IFERROR(SUM(COUNTIF(INDIRECT("'"&amp;TEXT(A3,"DD-MM")&amp;"'!M3:M100"),{"*đơn trả*","*hàng tỉnh*"})),0)</f>
        <v>0</v>
      </c>
      <c r="E3" s="33">
        <f t="shared" ref="E3:E28" ca="1" si="0">B3-C3-D3</f>
        <v>21</v>
      </c>
    </row>
    <row r="4" spans="1:5" x14ac:dyDescent="0.25">
      <c r="A4" s="32">
        <v>46114</v>
      </c>
      <c r="B4" s="33">
        <f ca="1">IFERROR(COUNTIF(INDIRECT("'"&amp;TEXT(A4,"dd-mm")&amp;"'!L3:L100"),TEXT(A4,"dd-mm")&amp;"-"&amp;B$1),0)</f>
        <v>22</v>
      </c>
      <c r="C4" s="33">
        <f ca="1">IFERROR(COUNTIF(INDIRECT("'"&amp;TEXT(A4,"DD-MM")&amp;"'!M3:M100"),"*gộp*")/2,0)</f>
        <v>0</v>
      </c>
      <c r="D4" s="33" cm="1">
        <f t="array" ref="D4" ca="1">IFERROR(SUM(COUNTIF(INDIRECT("'"&amp;TEXT(A4,"DD-MM")&amp;"'!M3:M100"),{"*đơn trả*","*hàng tỉnh*"})),0)</f>
        <v>0</v>
      </c>
      <c r="E4" s="33">
        <f t="shared" ca="1" si="0"/>
        <v>22</v>
      </c>
    </row>
    <row r="5" spans="1:5" x14ac:dyDescent="0.25">
      <c r="A5" s="32">
        <v>46115</v>
      </c>
      <c r="B5" s="33">
        <f t="shared" ref="B5:B28" ca="1" si="1">IFERROR(COUNTIF(INDIRECT("'"&amp;TEXT(A5,"dd-mm")&amp;"'!L3:L100"),TEXT(A5,"dd-mm")&amp;"-"&amp;B$1),0)</f>
        <v>51</v>
      </c>
      <c r="C5" s="33">
        <f t="shared" ref="C5:C28" ca="1" si="2">IFERROR(COUNTIF(INDIRECT("'"&amp;TEXT(A5,"DD-MM")&amp;"'!M3:M100"),"*gộp*")/2,0)</f>
        <v>2</v>
      </c>
      <c r="D5" s="33" cm="1">
        <f t="array" aca="1" ref="D5" ca="1">IFERROR(SUM(COUNTIF(INDIRECT("'"&amp;TEXT(A5,"DD-MM")&amp;"'!M3:M100"),{"*đơn trả*","*hàng tỉnh*"})),0)</f>
        <v>0</v>
      </c>
      <c r="E5" s="33">
        <f t="shared" ca="1" si="0"/>
        <v>49</v>
      </c>
    </row>
    <row r="6" spans="1:5" x14ac:dyDescent="0.25">
      <c r="A6" s="32">
        <v>46116</v>
      </c>
      <c r="B6" s="33">
        <f t="shared" ca="1" si="1"/>
        <v>40</v>
      </c>
      <c r="C6" s="33">
        <f t="shared" ca="1" si="2"/>
        <v>0</v>
      </c>
      <c r="D6" s="33" cm="1">
        <f t="array" aca="1" ref="D6" ca="1">IFERROR(SUM(COUNTIF(INDIRECT("'"&amp;TEXT(A6,"DD-MM")&amp;"'!M3:M100"),{"*đơn trả*","*hàng tỉnh*"})),0)</f>
        <v>2</v>
      </c>
      <c r="E6" s="33">
        <f t="shared" ca="1" si="0"/>
        <v>38</v>
      </c>
    </row>
    <row r="7" spans="1:5" x14ac:dyDescent="0.25">
      <c r="A7" s="32">
        <v>46118</v>
      </c>
      <c r="B7" s="33">
        <f t="shared" ca="1" si="1"/>
        <v>52</v>
      </c>
      <c r="C7" s="33">
        <f t="shared" ca="1" si="2"/>
        <v>0</v>
      </c>
      <c r="D7" s="33" cm="1">
        <f t="array" aca="1" ref="D7" ca="1">IFERROR(SUM(COUNTIF(INDIRECT("'"&amp;TEXT(A7,"DD-MM")&amp;"'!M3:M100"),{"*đơn trả*","*hàng tỉnh*"})),0)</f>
        <v>1</v>
      </c>
      <c r="E7" s="33">
        <f t="shared" ca="1" si="0"/>
        <v>51</v>
      </c>
    </row>
    <row r="8" spans="1:5" x14ac:dyDescent="0.25">
      <c r="A8" s="32">
        <v>46119</v>
      </c>
      <c r="B8" s="33">
        <f t="shared" ca="1" si="1"/>
        <v>25</v>
      </c>
      <c r="C8" s="33">
        <f t="shared" ca="1" si="2"/>
        <v>0</v>
      </c>
      <c r="D8" s="33" cm="1">
        <f t="array" aca="1" ref="D8" ca="1">IFERROR(SUM(COUNTIF(INDIRECT("'"&amp;TEXT(A8,"DD-MM")&amp;"'!M3:M100"),{"*đơn trả*","*hàng tỉnh*"})),0)</f>
        <v>0</v>
      </c>
      <c r="E8" s="33">
        <f t="shared" ca="1" si="0"/>
        <v>25</v>
      </c>
    </row>
    <row r="9" spans="1:5" x14ac:dyDescent="0.25">
      <c r="A9" s="32">
        <v>46120</v>
      </c>
      <c r="B9" s="33">
        <f t="shared" ca="1" si="1"/>
        <v>43</v>
      </c>
      <c r="C9" s="33">
        <f t="shared" ca="1" si="2"/>
        <v>0</v>
      </c>
      <c r="D9" s="33" cm="1">
        <f t="array" aca="1" ref="D9" ca="1">IFERROR(SUM(COUNTIF(INDIRECT("'"&amp;TEXT(A9,"DD-MM")&amp;"'!M3:M100"),{"*đơn trả*","*hàng tỉnh*"})),0)</f>
        <v>3</v>
      </c>
      <c r="E9" s="33">
        <f t="shared" ca="1" si="0"/>
        <v>40</v>
      </c>
    </row>
    <row r="10" spans="1:5" x14ac:dyDescent="0.25">
      <c r="A10" s="32">
        <v>46121</v>
      </c>
      <c r="B10" s="33">
        <f t="shared" ca="1" si="1"/>
        <v>37</v>
      </c>
      <c r="C10" s="33">
        <f t="shared" ca="1" si="2"/>
        <v>0</v>
      </c>
      <c r="D10" s="33" cm="1">
        <f t="array" aca="1" ref="D10" ca="1">IFERROR(SUM(COUNTIF(INDIRECT("'"&amp;TEXT(A10,"DD-MM")&amp;"'!M3:M100"),{"*đơn trả*","*hàng tỉnh*"})),0)</f>
        <v>0</v>
      </c>
      <c r="E10" s="33">
        <f t="shared" ca="1" si="0"/>
        <v>37</v>
      </c>
    </row>
    <row r="11" spans="1:5" x14ac:dyDescent="0.25">
      <c r="A11" s="32">
        <v>46122</v>
      </c>
      <c r="B11" s="33">
        <f t="shared" ca="1" si="1"/>
        <v>51</v>
      </c>
      <c r="C11" s="33">
        <f t="shared" ca="1" si="2"/>
        <v>2</v>
      </c>
      <c r="D11" s="33" cm="1">
        <f t="array" aca="1" ref="D11" ca="1">IFERROR(SUM(COUNTIF(INDIRECT("'"&amp;TEXT(A11,"DD-MM")&amp;"'!M3:M100"),{"*đơn trả*","*hàng tỉnh*"})),0)</f>
        <v>1</v>
      </c>
      <c r="E11" s="33">
        <f t="shared" ca="1" si="0"/>
        <v>48</v>
      </c>
    </row>
    <row r="12" spans="1:5" x14ac:dyDescent="0.25">
      <c r="A12" s="32">
        <v>46123</v>
      </c>
      <c r="B12" s="33">
        <f t="shared" ca="1" si="1"/>
        <v>41</v>
      </c>
      <c r="C12" s="33">
        <f t="shared" ca="1" si="2"/>
        <v>0</v>
      </c>
      <c r="D12" s="33" cm="1">
        <f t="array" aca="1" ref="D12" ca="1">IFERROR(SUM(COUNTIF(INDIRECT("'"&amp;TEXT(A12,"DD-MM")&amp;"'!M3:M100"),{"*đơn trả*","*hàng tỉnh*"})),0)</f>
        <v>0</v>
      </c>
      <c r="E12" s="33">
        <f t="shared" ca="1" si="0"/>
        <v>41</v>
      </c>
    </row>
    <row r="13" spans="1:5" x14ac:dyDescent="0.25">
      <c r="A13" s="32">
        <v>46125</v>
      </c>
      <c r="B13" s="33">
        <f t="shared" ca="1" si="1"/>
        <v>63</v>
      </c>
      <c r="C13" s="33">
        <f t="shared" ca="1" si="2"/>
        <v>3</v>
      </c>
      <c r="D13" s="33" cm="1">
        <f t="array" aca="1" ref="D13" ca="1">IFERROR(SUM(COUNTIF(INDIRECT("'"&amp;TEXT(A13,"DD-MM")&amp;"'!M3:M100"),{"*đơn trả*","*hàng tỉnh*"})),0)</f>
        <v>0</v>
      </c>
      <c r="E13" s="33">
        <f t="shared" ca="1" si="0"/>
        <v>60</v>
      </c>
    </row>
    <row r="14" spans="1:5" x14ac:dyDescent="0.25">
      <c r="A14" s="32">
        <v>46126</v>
      </c>
      <c r="B14" s="33">
        <f t="shared" ca="1" si="1"/>
        <v>20</v>
      </c>
      <c r="C14" s="33">
        <f t="shared" ca="1" si="2"/>
        <v>0</v>
      </c>
      <c r="D14" s="33" cm="1">
        <f t="array" aca="1" ref="D14" ca="1">IFERROR(SUM(COUNTIF(INDIRECT("'"&amp;TEXT(A14,"DD-MM")&amp;"'!M3:M100"),{"*đơn trả*","*hàng tỉnh*"})),0)</f>
        <v>4</v>
      </c>
      <c r="E14" s="33">
        <f t="shared" ca="1" si="0"/>
        <v>16</v>
      </c>
    </row>
    <row r="15" spans="1:5" x14ac:dyDescent="0.25">
      <c r="A15" s="32">
        <v>46127</v>
      </c>
      <c r="B15" s="33">
        <f t="shared" ca="1" si="1"/>
        <v>32</v>
      </c>
      <c r="C15" s="33">
        <f t="shared" ca="1" si="2"/>
        <v>0</v>
      </c>
      <c r="D15" s="33" cm="1">
        <f t="array" aca="1" ref="D15" ca="1">IFERROR(SUM(COUNTIF(INDIRECT("'"&amp;TEXT(A15,"DD-MM")&amp;"'!M3:M100"),{"*đơn trả*","*hàng tỉnh*"})),0)</f>
        <v>0</v>
      </c>
      <c r="E15" s="33">
        <f t="shared" ca="1" si="0"/>
        <v>32</v>
      </c>
    </row>
    <row r="16" spans="1:5" x14ac:dyDescent="0.25">
      <c r="A16" s="32">
        <v>46128</v>
      </c>
      <c r="B16" s="33">
        <f t="shared" ca="1" si="1"/>
        <v>49</v>
      </c>
      <c r="C16" s="33">
        <f t="shared" ca="1" si="2"/>
        <v>0</v>
      </c>
      <c r="D16" s="33" cm="1">
        <f t="array" aca="1" ref="D16" ca="1">IFERROR(SUM(COUNTIF(INDIRECT("'"&amp;TEXT(A16,"DD-MM")&amp;"'!M3:M100"),{"*đơn trả*","*hàng tỉnh*"})),0)</f>
        <v>1</v>
      </c>
      <c r="E16" s="33">
        <f t="shared" ca="1" si="0"/>
        <v>48</v>
      </c>
    </row>
    <row r="17" spans="1:5" x14ac:dyDescent="0.25">
      <c r="A17" s="32">
        <v>46129</v>
      </c>
      <c r="B17" s="33">
        <f t="shared" ca="1" si="1"/>
        <v>51</v>
      </c>
      <c r="C17" s="33">
        <f t="shared" ca="1" si="2"/>
        <v>1</v>
      </c>
      <c r="D17" s="33" cm="1">
        <f t="array" aca="1" ref="D17" ca="1">IFERROR(SUM(COUNTIF(INDIRECT("'"&amp;TEXT(A17,"DD-MM")&amp;"'!M3:M100"),{"*đơn trả*","*hàng tỉnh*"})),0)</f>
        <v>0</v>
      </c>
      <c r="E17" s="33">
        <f t="shared" ca="1" si="0"/>
        <v>50</v>
      </c>
    </row>
    <row r="18" spans="1:5" x14ac:dyDescent="0.25">
      <c r="A18" s="32">
        <v>46130</v>
      </c>
      <c r="B18" s="33">
        <f t="shared" ca="1" si="1"/>
        <v>33</v>
      </c>
      <c r="C18" s="33">
        <f t="shared" ca="1" si="2"/>
        <v>0</v>
      </c>
      <c r="D18" s="33" cm="1">
        <f t="array" aca="1" ref="D18" ca="1">IFERROR(SUM(COUNTIF(INDIRECT("'"&amp;TEXT(A18,"DD-MM")&amp;"'!M3:M100"),{"*đơn trả*","*hàng tỉnh*"})),0)</f>
        <v>1</v>
      </c>
      <c r="E18" s="33">
        <f t="shared" ca="1" si="0"/>
        <v>32</v>
      </c>
    </row>
    <row r="19" spans="1:5" x14ac:dyDescent="0.25">
      <c r="A19" s="32">
        <v>46132</v>
      </c>
      <c r="B19" s="33">
        <f t="shared" ca="1" si="1"/>
        <v>95</v>
      </c>
      <c r="C19" s="33">
        <f t="shared" ca="1" si="2"/>
        <v>2</v>
      </c>
      <c r="D19" s="33" cm="1">
        <f t="array" aca="1" ref="D19" ca="1">IFERROR(SUM(COUNTIF(INDIRECT("'"&amp;TEXT(A19,"DD-MM")&amp;"'!M3:M100"),{"*đơn trả*","*hàng tỉnh*"})),0)</f>
        <v>3</v>
      </c>
      <c r="E19" s="33">
        <f t="shared" ca="1" si="0"/>
        <v>90</v>
      </c>
    </row>
    <row r="20" spans="1:5" x14ac:dyDescent="0.25">
      <c r="A20" s="32">
        <v>46133</v>
      </c>
      <c r="B20" s="33">
        <f t="shared" ca="1" si="1"/>
        <v>58</v>
      </c>
      <c r="C20" s="33">
        <f t="shared" ca="1" si="2"/>
        <v>0</v>
      </c>
      <c r="D20" s="33" cm="1">
        <f t="array" aca="1" ref="D20" ca="1">IFERROR(SUM(COUNTIF(INDIRECT("'"&amp;TEXT(A20,"DD-MM")&amp;"'!M3:M100"),{"*đơn trả*","*hàng tỉnh*"})),0)</f>
        <v>5</v>
      </c>
      <c r="E20" s="33">
        <f t="shared" ca="1" si="0"/>
        <v>53</v>
      </c>
    </row>
    <row r="21" spans="1:5" x14ac:dyDescent="0.25">
      <c r="A21" s="32">
        <v>46134</v>
      </c>
      <c r="B21" s="33">
        <f t="shared" ca="1" si="1"/>
        <v>54</v>
      </c>
      <c r="C21" s="33">
        <f t="shared" ca="1" si="2"/>
        <v>1</v>
      </c>
      <c r="D21" s="33" cm="1">
        <f t="array" aca="1" ref="D21" ca="1">IFERROR(SUM(COUNTIF(INDIRECT("'"&amp;TEXT(A21,"DD-MM")&amp;"'!M3:M100"),{"*đơn trả*","*hàng tỉnh*"})),0)</f>
        <v>0</v>
      </c>
      <c r="E21" s="33">
        <f t="shared" ca="1" si="0"/>
        <v>53</v>
      </c>
    </row>
    <row r="22" spans="1:5" x14ac:dyDescent="0.25">
      <c r="A22" s="32">
        <v>46135</v>
      </c>
      <c r="B22" s="33">
        <f t="shared" ca="1" si="1"/>
        <v>59</v>
      </c>
      <c r="C22" s="33">
        <f t="shared" ca="1" si="2"/>
        <v>1</v>
      </c>
      <c r="D22" s="33" cm="1">
        <f t="array" aca="1" ref="D22" ca="1">IFERROR(SUM(COUNTIF(INDIRECT("'"&amp;TEXT(A22,"DD-MM")&amp;"'!M3:M100"),{"*đơn trả*","*hàng tỉnh*"})),0)</f>
        <v>0</v>
      </c>
      <c r="E22" s="33">
        <f t="shared" ca="1" si="0"/>
        <v>58</v>
      </c>
    </row>
    <row r="23" spans="1:5" x14ac:dyDescent="0.25">
      <c r="A23" s="32">
        <v>46136</v>
      </c>
      <c r="B23" s="33">
        <f t="shared" ca="1" si="1"/>
        <v>64</v>
      </c>
      <c r="C23" s="33">
        <f t="shared" ca="1" si="2"/>
        <v>2</v>
      </c>
      <c r="D23" s="33" cm="1">
        <f t="array" aca="1" ref="D23" ca="1">IFERROR(SUM(COUNTIF(INDIRECT("'"&amp;TEXT(A23,"DD-MM")&amp;"'!M3:M100"),{"*đơn trả*","*hàng tỉnh*"})),0)</f>
        <v>0</v>
      </c>
      <c r="E23" s="33">
        <f t="shared" ca="1" si="0"/>
        <v>62</v>
      </c>
    </row>
    <row r="24" spans="1:5" x14ac:dyDescent="0.25">
      <c r="A24" s="32">
        <v>46137</v>
      </c>
      <c r="B24" s="33">
        <f t="shared" ca="1" si="1"/>
        <v>0</v>
      </c>
      <c r="C24" s="33">
        <f t="shared" ca="1" si="2"/>
        <v>0</v>
      </c>
      <c r="D24" s="33" cm="1">
        <f t="array" aca="1" ref="D24" ca="1">IFERROR(SUM(COUNTIF(INDIRECT("'"&amp;TEXT(A24,"DD-MM")&amp;"'!M3:M100"),{"*đơn trả*","*hàng tỉnh*"})),0)</f>
        <v>0</v>
      </c>
      <c r="E24" s="33">
        <f t="shared" ca="1" si="0"/>
        <v>0</v>
      </c>
    </row>
    <row r="25" spans="1:5" x14ac:dyDescent="0.25">
      <c r="A25" s="32">
        <v>46139</v>
      </c>
      <c r="B25" s="33">
        <f t="shared" ca="1" si="1"/>
        <v>0</v>
      </c>
      <c r="C25" s="33">
        <f t="shared" ca="1" si="2"/>
        <v>0</v>
      </c>
      <c r="D25" s="33" cm="1">
        <f t="array" aca="1" ref="D25" ca="1">IFERROR(SUM(COUNTIF(INDIRECT("'"&amp;TEXT(A25,"DD-MM")&amp;"'!M3:M100"),{"*đơn trả*","*hàng tỉnh*"})),0)</f>
        <v>0</v>
      </c>
      <c r="E25" s="33">
        <f t="shared" ca="1" si="0"/>
        <v>0</v>
      </c>
    </row>
    <row r="26" spans="1:5" x14ac:dyDescent="0.25">
      <c r="A26" s="32">
        <v>46140</v>
      </c>
      <c r="B26" s="33">
        <f t="shared" ca="1" si="1"/>
        <v>0</v>
      </c>
      <c r="C26" s="33">
        <f t="shared" ca="1" si="2"/>
        <v>0</v>
      </c>
      <c r="D26" s="33" cm="1">
        <f t="array" aca="1" ref="D26" ca="1">IFERROR(SUM(COUNTIF(INDIRECT("'"&amp;TEXT(A26,"DD-MM")&amp;"'!M3:M100"),{"*đơn trả*","*hàng tỉnh*"})),0)</f>
        <v>0</v>
      </c>
      <c r="E26" s="33">
        <f t="shared" ca="1" si="0"/>
        <v>0</v>
      </c>
    </row>
    <row r="27" spans="1:5" x14ac:dyDescent="0.25">
      <c r="A27" s="32">
        <v>46141</v>
      </c>
      <c r="B27" s="33">
        <f t="shared" ca="1" si="1"/>
        <v>0</v>
      </c>
      <c r="C27" s="33">
        <f t="shared" ca="1" si="2"/>
        <v>0</v>
      </c>
      <c r="D27" s="33" cm="1">
        <f t="array" aca="1" ref="D27" ca="1">IFERROR(SUM(COUNTIF(INDIRECT("'"&amp;TEXT(A27,"DD-MM")&amp;"'!M3:M100"),{"*đơn trả*","*hàng tỉnh*"})),0)</f>
        <v>0</v>
      </c>
      <c r="E27" s="33">
        <f t="shared" ca="1" si="0"/>
        <v>0</v>
      </c>
    </row>
    <row r="28" spans="1:5" x14ac:dyDescent="0.25">
      <c r="A28" s="32">
        <v>46142</v>
      </c>
      <c r="B28" s="33">
        <f t="shared" ca="1" si="1"/>
        <v>0</v>
      </c>
      <c r="C28" s="33">
        <f t="shared" ca="1" si="2"/>
        <v>0</v>
      </c>
      <c r="D28" s="33" cm="1">
        <f t="array" aca="1" ref="D28" ca="1">IFERROR(SUM(COUNTIF(INDIRECT("'"&amp;TEXT(A28,"DD-MM")&amp;"'!M3:M100"),{"*đơn trả*","*hàng tỉnh*"})),0)</f>
        <v>0</v>
      </c>
      <c r="E28" s="33">
        <f t="shared" ca="1" si="0"/>
        <v>0</v>
      </c>
    </row>
    <row r="29" spans="1:5" x14ac:dyDescent="0.25">
      <c r="D29" s="34" t="s">
        <v>2437</v>
      </c>
      <c r="E29" s="34">
        <f ca="1">SUBTOTAL(9,E3:E28)</f>
        <v>926</v>
      </c>
    </row>
    <row r="30" spans="1:5" x14ac:dyDescent="0.25">
      <c r="D30" s="34" t="s">
        <v>2438</v>
      </c>
      <c r="E30" s="34" cm="1">
        <f t="array" ref="E30" ca="1">SUMPRODUCT(
    IFERROR(
        SUMIF(
            INDIRECT("'"&amp;TEXT(A3:A28,"dd-mm")&amp;"'!O:O"),
            "tổng",
            INDIRECT("'"&amp;TEXT(A3:A28,"dd-mm")&amp;"'!P:P")
        ),
    0)
)</f>
        <v>4296</v>
      </c>
    </row>
    <row r="31" spans="1:5" x14ac:dyDescent="0.25">
      <c r="D31" s="34" t="s">
        <v>2439</v>
      </c>
      <c r="E31" s="34">
        <f ca="1">-E29*2</f>
        <v>-1852</v>
      </c>
    </row>
    <row r="32" spans="1:5" x14ac:dyDescent="0.25">
      <c r="D32" s="34" t="s">
        <v>2440</v>
      </c>
      <c r="E32" s="34">
        <f ca="1">SUBTOTAL(9,E30:E31)</f>
        <v>2444</v>
      </c>
    </row>
  </sheetData>
  <autoFilter ref="A2:E28" xr:uid="{00000000-0009-0000-0000-000014000000}"/>
  <phoneticPr fontId="6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2026-04-24T14:57:34Z</dcterms:modified>
</cp:coreProperties>
</file>