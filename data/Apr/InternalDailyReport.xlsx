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codeName="ThisWorkbook"/>
  <mc:AlternateContent xmlns:mc="http://schemas.openxmlformats.org/markup-compatibility/2006">
    <mc:Choice Requires="x15">
      <x15ac:absPath xmlns:x15ac="http://schemas.microsoft.com/office/spreadsheetml/2010/11/ac" url="D:\Work\Freelance\TextInputter\data\Apr\"/>
    </mc:Choice>
  </mc:AlternateContent>
  <xr:revisionPtr revIDLastSave="0" documentId="13_ncr:1_{506A13AB-E286-495C-BFD0-7AB26D30326D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01-04" sheetId="2" r:id="rId1"/>
  </sheets>
  <definedNames>
    <definedName name="_xlnm._FilterDatabase" localSheetId="0" hidden="1">'01-04'!$A$2:$P$23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29" i="2" l="1"/>
  <c r="I3" i="2"/>
  <c r="I4" i="2"/>
  <c r="I5" i="2"/>
  <c r="I6" i="2"/>
  <c r="I7" i="2"/>
  <c r="I8" i="2"/>
  <c r="I9" i="2"/>
  <c r="I10" i="2"/>
  <c r="I11" i="2"/>
  <c r="I12" i="2"/>
  <c r="I13" i="2"/>
  <c r="I14" i="2"/>
  <c r="I15" i="2"/>
  <c r="I16" i="2"/>
  <c r="I17" i="2"/>
  <c r="I18" i="2"/>
  <c r="I19" i="2"/>
  <c r="I20" i="2"/>
  <c r="I21" i="2"/>
  <c r="I22" i="2"/>
  <c r="I23" i="2"/>
  <c r="D25" i="2"/>
  <c r="G25" i="2"/>
  <c r="H25" i="2"/>
  <c r="I25" i="2"/>
  <c r="J25" i="2"/>
  <c r="K25" i="2"/>
  <c r="L25" i="2"/>
  <c r="M25" i="2"/>
  <c r="N25" i="2"/>
  <c r="O25" i="2"/>
  <c r="P25" i="2"/>
  <c r="Q25" i="2"/>
  <c r="H26" i="2"/>
  <c r="H27" i="2"/>
  <c r="C28" i="2"/>
  <c r="C31" i="2" s="1"/>
  <c r="C35" i="2" s="1"/>
  <c r="P31" i="2" s="1"/>
  <c r="E28" i="2"/>
  <c r="E31" i="2" s="1"/>
  <c r="L28" i="2"/>
  <c r="L33" i="2" s="1"/>
  <c r="P28" i="2" s="1"/>
  <c r="M28" i="2"/>
  <c r="M33" i="2" s="1"/>
  <c r="M29" i="2"/>
  <c r="C30" i="2"/>
  <c r="E30" i="2"/>
  <c r="L36" i="2"/>
  <c r="M36" i="2"/>
  <c r="M37" i="2"/>
  <c r="L37" i="2" s="1"/>
  <c r="L41" i="2" s="1"/>
  <c r="P29" i="2" s="1"/>
  <c r="M38" i="2"/>
  <c r="L38" i="2" s="1"/>
  <c r="M41" i="2"/>
  <c r="L44" i="2"/>
  <c r="M44" i="2"/>
  <c r="M45" i="2"/>
  <c r="L45" i="2" s="1"/>
  <c r="L49" i="2" s="1"/>
  <c r="P30" i="2" s="1"/>
  <c r="M49" i="2"/>
  <c r="P32" i="2" l="1"/>
</calcChain>
</file>

<file path=xl/sharedStrings.xml><?xml version="1.0" encoding="utf-8"?>
<sst xmlns="http://schemas.openxmlformats.org/spreadsheetml/2006/main" count="216" uniqueCount="110">
  <si>
    <t>Tình trạng TT</t>
  </si>
  <si>
    <t>SHOP</t>
  </si>
  <si>
    <t>TÊN KH</t>
  </si>
  <si>
    <t>MÃ</t>
  </si>
  <si>
    <t>ĐỊA CHỈ</t>
  </si>
  <si>
    <t>QUẬN</t>
  </si>
  <si>
    <t>TIỀN THU</t>
  </si>
  <si>
    <t>TIỀN SHIP</t>
  </si>
  <si>
    <t>TIỀN HÀNG</t>
  </si>
  <si>
    <t>NGƯỜI ĐI</t>
  </si>
  <si>
    <t>NGƯỜI LẤY</t>
  </si>
  <si>
    <t>NGÀY LẤY</t>
  </si>
  <si>
    <t>GHI CHÚ</t>
  </si>
  <si>
    <t>ỨNG TIỀN</t>
  </si>
  <si>
    <t>HÀNG TỒN</t>
  </si>
  <si>
    <t>FAIL</t>
  </si>
  <si>
    <t>ĐOÀN NGÂN CHÂU</t>
  </si>
  <si>
    <t>Fb: quỳnh vũ( minh hải)</t>
  </si>
  <si>
    <t>HD006847</t>
  </si>
  <si>
    <t>Số 17 đường số 13 phường bình hưng hòa</t>
  </si>
  <si>
    <t>binh tan</t>
  </si>
  <si>
    <t>AT 01-04</t>
  </si>
  <si>
    <t>c.cuong</t>
  </si>
  <si>
    <t>01-04-2026</t>
  </si>
  <si>
    <t>Sun Na</t>
  </si>
  <si>
    <t>HD006628</t>
  </si>
  <si>
    <t>Chung cư cardinal court toà B</t>
  </si>
  <si>
    <t>Quỳnh Giao</t>
  </si>
  <si>
    <t>HD006869</t>
  </si>
  <si>
    <t>148 đỗ thị lời f11</t>
  </si>
  <si>
    <t>Quỳnh Thy</t>
  </si>
  <si>
    <t>HD006825</t>
  </si>
  <si>
    <t>Block D chung cư ecogreen, 107 Nguyễn Văn Linh, Tân Thuận Tây</t>
  </si>
  <si>
    <t>Thu Ba DS</t>
  </si>
  <si>
    <t>HD006743</t>
  </si>
  <si>
    <t>395 Bùi Đình Tuý, p14</t>
  </si>
  <si>
    <t>binh thanh</t>
  </si>
  <si>
    <t>Quỳnh Anh</t>
  </si>
  <si>
    <t>HD006833</t>
  </si>
  <si>
    <t>754 Nguyễn xiển p. long bình</t>
  </si>
  <si>
    <t>a.quyen</t>
  </si>
  <si>
    <t>Ngọc Mơ</t>
  </si>
  <si>
    <t>HD006858</t>
  </si>
  <si>
    <t>107/7 huỳnh an khương p5</t>
  </si>
  <si>
    <t>go vap</t>
  </si>
  <si>
    <t>Bé My</t>
  </si>
  <si>
    <t>HD006884</t>
  </si>
  <si>
    <t>304/45 đường số 8 bình hưng hoà a</t>
  </si>
  <si>
    <t>kha (yayang)</t>
  </si>
  <si>
    <t>HD006667</t>
  </si>
  <si>
    <t>Toà nhà Conic Riverside, block A Đường số 1, KDC Conic, phường 7</t>
  </si>
  <si>
    <t>Nguyễn TC Tiên</t>
  </si>
  <si>
    <t>HD006773</t>
  </si>
  <si>
    <t>6 Thạch Thị Thanh, Tân Định</t>
  </si>
  <si>
    <t>Nguyễn thị huệ fb Jannie vu</t>
  </si>
  <si>
    <t>HD006846</t>
  </si>
  <si>
    <t>136 đông hưng thuận 3 phường đông hưng</t>
  </si>
  <si>
    <t>Thuy Duong_FB: Soominate</t>
  </si>
  <si>
    <t>HD006785</t>
  </si>
  <si>
    <t>386/27/4 xo viet nghe tinh, p. 25</t>
  </si>
  <si>
    <t>Kim Thanh</t>
  </si>
  <si>
    <t>HD006722</t>
  </si>
  <si>
    <t>108/69a trần quang diệu</t>
  </si>
  <si>
    <t>Ngoc Venus</t>
  </si>
  <si>
    <t>HD006867</t>
  </si>
  <si>
    <t>69 phố tiểu nam, p Tân Phú</t>
  </si>
  <si>
    <t>đổi hàng</t>
  </si>
  <si>
    <t>Tâm Trương</t>
  </si>
  <si>
    <t>HD006794</t>
  </si>
  <si>
    <t>The Antonia, Block B, Nguyễn Lương Bằng, Đường số 19, Phường Tân Phú</t>
  </si>
  <si>
    <t>Thiên Lan</t>
  </si>
  <si>
    <t>HD006844</t>
  </si>
  <si>
    <t>132/1 TL28, phường Thạnh Lộc</t>
  </si>
  <si>
    <t>Nguyễn Thị Huyền Trân</t>
  </si>
  <si>
    <t>HD006674</t>
  </si>
  <si>
    <t>Chung cư ecogreen block D 39 b nguyễn Văn Linh, P Tân Thuận</t>
  </si>
  <si>
    <t>X.Anh</t>
  </si>
  <si>
    <t>HD006728</t>
  </si>
  <si>
    <t>Căn 603, lô B2 chung cư orchard parkview, 130-132 hồng hà, p. Đức Nhuận</t>
  </si>
  <si>
    <t>phu nhuan</t>
  </si>
  <si>
    <t>Khánh Như</t>
  </si>
  <si>
    <t>HD006868</t>
  </si>
  <si>
    <t>688/23/1c Hương Lộ 2, phường Bình Trị Đông A</t>
  </si>
  <si>
    <t>hàng sỉ</t>
  </si>
  <si>
    <t>Kim Liên</t>
  </si>
  <si>
    <t>25/17/11 CỬU LONG PHƯỜNG 2</t>
  </si>
  <si>
    <t>tan binh</t>
  </si>
  <si>
    <t>Jess-9244</t>
  </si>
  <si>
    <t>275/14B1 Đặng Nguyên Cẩn, Phường Phú Lâm</t>
  </si>
  <si>
    <t>Tiền</t>
  </si>
  <si>
    <t>Số đơn</t>
  </si>
  <si>
    <t>Tiền Thu</t>
  </si>
  <si>
    <t>lợi nhuận</t>
  </si>
  <si>
    <t>cod</t>
  </si>
  <si>
    <t>Sài Gòn</t>
  </si>
  <si>
    <t>TỔNG ĐƠN NHẬN</t>
  </si>
  <si>
    <t>at 01-04</t>
  </si>
  <si>
    <t>Trừ Ship</t>
  </si>
  <si>
    <t>tiền ship</t>
  </si>
  <si>
    <t>Đơn trả &amp; c.khoản</t>
  </si>
  <si>
    <t>tiền lấy</t>
  </si>
  <si>
    <t>Tiền Hàng Hcm</t>
  </si>
  <si>
    <t>đơn trả</t>
  </si>
  <si>
    <t>shop</t>
  </si>
  <si>
    <t>đền đơn</t>
  </si>
  <si>
    <t>đơn cũ ck</t>
  </si>
  <si>
    <t>tổng</t>
  </si>
  <si>
    <t>nợ cũ</t>
  </si>
  <si>
    <t>THANH TOÁN</t>
  </si>
  <si>
    <t>CK Đủ 100%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</si>
</sst>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rgb="FF000000"/>
      <name val="Calibri"/>
      <family val="2"/>
    </font>
    <font>
      <b/>
      <sz val="11"/>
      <color rgb="FF000000"/>
      <name val="Calibri"/>
      <family val="2"/>
    </font>
    <font>
      <sz val="11"/>
      <color rgb="FFFF0000"/>
      <name val="Calibri"/>
      <family val="2"/>
    </font>
  </fonts>
  <fills count="7">
    <fill>
      <patternFill patternType="none"/>
    </fill>
    <fill>
      <patternFill patternType="gray125"/>
    </fill>
    <fill>
      <patternFill patternType="solid">
        <fgColor rgb="FFD3D3D3"/>
      </patternFill>
    </fill>
    <fill>
      <patternFill patternType="solid">
        <fgColor rgb="FFFFFFE0"/>
      </patternFill>
    </fill>
    <fill>
      <patternFill patternType="solid">
        <fgColor rgb="FFB0C4DE"/>
      </patternFill>
    </fill>
    <fill>
      <patternFill patternType="solid">
        <fgColor rgb="FFFFC87C"/>
      </patternFill>
    </fill>
    <fill>
      <patternFill patternType="solid">
        <fgColor rgb="FFADD8E6"/>
      </patternFill>
    </fill>
  </fills>
  <borders count="1">
    <border>
      <left/>
      <right/>
      <top/>
      <bottom/>
      <diagonal/>
    </border>
  </borders>
  <cellStyleXfs count="1">
    <xf numFmtId="0" fontId="0" fillId="0" borderId="0" applyBorder="0"/>
  </cellStyleXfs>
  <cellXfs count="15">
    <xf numFmtId="0" fontId="0" fillId="0" borderId="0" xfId="0"/>
    <xf numFmtId="0" fontId="1" fillId="3" borderId="0" xfId="0" applyFont="1" applyFill="1"/>
    <xf numFmtId="0" fontId="0" fillId="0" borderId="0" xfId="0"/>
    <xf numFmtId="0" fontId="2" fillId="0" borderId="0" xfId="0" applyFont="1"/>
    <xf numFmtId="0" fontId="0" fillId="3" borderId="0" xfId="0" applyFill="1"/>
    <xf numFmtId="0" fontId="1" fillId="0" borderId="0" xfId="0" applyFont="1"/>
    <xf numFmtId="0" fontId="1" fillId="2" borderId="0" xfId="0" applyFont="1" applyFill="1"/>
    <xf numFmtId="3" fontId="0" fillId="0" borderId="0" xfId="0" applyNumberFormat="1"/>
    <xf numFmtId="0" fontId="1" fillId="3" borderId="0" xfId="0" applyFont="1" applyFill="1"/>
    <xf numFmtId="0" fontId="1" fillId="0" borderId="0" xfId="0" applyFont="1"/>
    <xf numFmtId="0" fontId="1" fillId="4" borderId="0" xfId="0" applyFont="1" applyFill="1"/>
    <xf numFmtId="0" fontId="0" fillId="3" borderId="0" xfId="0" applyFill="1"/>
    <xf numFmtId="0" fontId="2" fillId="0" borderId="0" xfId="0" applyFont="1"/>
    <xf numFmtId="0" fontId="0" fillId="5" borderId="0" xfId="0" applyFill="1"/>
    <xf numFmtId="0" fontId="1" fillId="6" borderId="0" xfId="0" applyFont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2:Q49"/>
  <sheetViews>
    <sheetView tabSelected="1" topLeftCell="A31" workbookViewId="0">
      <selection activeCell="P37" sqref="P37"/>
    </sheetView>
  </sheetViews>
  <sheetFormatPr defaultRowHeight="15" x14ac:dyDescent="0.25"/>
  <cols>
    <col min="1" max="1" width="12.7109375" customWidth="1"/>
    <col min="2" max="2" width="17.7109375" customWidth="1"/>
    <col min="3" max="3" width="26" customWidth="1"/>
    <col min="4" max="4" width="9.85546875" customWidth="1"/>
    <col min="5" max="5" width="67.85546875" customWidth="1"/>
    <col min="6" max="6" width="10.7109375" customWidth="1"/>
    <col min="7" max="7" width="9.140625" customWidth="1"/>
    <col min="8" max="8" width="9.5703125" customWidth="1"/>
    <col min="9" max="9" width="10.5703125" customWidth="1"/>
    <col min="10" max="10" width="9.7109375" customWidth="1"/>
    <col min="11" max="11" width="10.85546875" customWidth="1"/>
    <col min="12" max="12" width="10.42578125" customWidth="1"/>
    <col min="13" max="13" width="8.7109375" customWidth="1"/>
    <col min="14" max="14" width="9.7109375" customWidth="1"/>
    <col min="15" max="15" width="10.42578125" customWidth="1"/>
    <col min="16" max="16" width="7" bestFit="1" customWidth="1"/>
  </cols>
  <sheetData>
    <row r="2" spans="1:17" x14ac:dyDescent="0.25">
      <c r="A2" s="6" t="s">
        <v>0</v>
      </c>
      <c r="B2" s="6" t="s">
        <v>1</v>
      </c>
      <c r="C2" s="6" t="s">
        <v>2</v>
      </c>
      <c r="D2" s="6" t="s">
        <v>3</v>
      </c>
      <c r="E2" s="6" t="s">
        <v>4</v>
      </c>
      <c r="F2" s="6" t="s">
        <v>5</v>
      </c>
      <c r="G2" s="6" t="s">
        <v>6</v>
      </c>
      <c r="H2" s="6" t="s">
        <v>7</v>
      </c>
      <c r="I2" s="6" t="s">
        <v>8</v>
      </c>
      <c r="J2" s="6" t="s">
        <v>9</v>
      </c>
      <c r="K2" s="6" t="s">
        <v>10</v>
      </c>
      <c r="L2" s="6" t="s">
        <v>11</v>
      </c>
      <c r="M2" s="6" t="s">
        <v>12</v>
      </c>
      <c r="N2" s="6" t="s">
        <v>13</v>
      </c>
      <c r="O2" s="6" t="s">
        <v>14</v>
      </c>
      <c r="P2" s="6" t="s">
        <v>15</v>
      </c>
    </row>
    <row r="3" spans="1:17" x14ac:dyDescent="0.25">
      <c r="B3" t="s">
        <v>16</v>
      </c>
      <c r="C3" t="s">
        <v>17</v>
      </c>
      <c r="D3" t="s">
        <v>18</v>
      </c>
      <c r="E3" t="s">
        <v>19</v>
      </c>
      <c r="F3" t="s">
        <v>20</v>
      </c>
      <c r="G3" s="7">
        <v>0</v>
      </c>
      <c r="H3" s="7">
        <v>30</v>
      </c>
      <c r="I3" s="7">
        <f>-H3</f>
        <v>-30</v>
      </c>
      <c r="J3" t="s">
        <v>21</v>
      </c>
      <c r="K3" t="s">
        <v>22</v>
      </c>
      <c r="L3" t="s">
        <v>23</v>
      </c>
      <c r="Q3">
        <v>1</v>
      </c>
    </row>
    <row r="4" spans="1:17" x14ac:dyDescent="0.25">
      <c r="B4" t="s">
        <v>16</v>
      </c>
      <c r="C4" t="s">
        <v>24</v>
      </c>
      <c r="D4" t="s">
        <v>25</v>
      </c>
      <c r="E4" t="s">
        <v>26</v>
      </c>
      <c r="F4" s="7">
        <v>7</v>
      </c>
      <c r="G4" s="7">
        <v>850</v>
      </c>
      <c r="H4" s="7">
        <v>30</v>
      </c>
      <c r="I4" s="7">
        <f>G4-H4</f>
        <v>820</v>
      </c>
      <c r="J4" t="s">
        <v>21</v>
      </c>
      <c r="K4" t="s">
        <v>22</v>
      </c>
      <c r="L4" t="s">
        <v>23</v>
      </c>
      <c r="Q4">
        <v>1</v>
      </c>
    </row>
    <row r="5" spans="1:17" x14ac:dyDescent="0.25">
      <c r="B5" t="s">
        <v>16</v>
      </c>
      <c r="C5" t="s">
        <v>27</v>
      </c>
      <c r="D5" t="s">
        <v>28</v>
      </c>
      <c r="E5" t="s">
        <v>29</v>
      </c>
      <c r="F5" s="7">
        <v>3</v>
      </c>
      <c r="G5" s="7">
        <v>695</v>
      </c>
      <c r="H5" s="7">
        <v>25</v>
      </c>
      <c r="I5" s="7">
        <f>G5-H5</f>
        <v>670</v>
      </c>
      <c r="J5" t="s">
        <v>21</v>
      </c>
      <c r="K5" t="s">
        <v>22</v>
      </c>
      <c r="L5" t="s">
        <v>23</v>
      </c>
      <c r="Q5">
        <v>1</v>
      </c>
    </row>
    <row r="6" spans="1:17" x14ac:dyDescent="0.25">
      <c r="B6" t="s">
        <v>16</v>
      </c>
      <c r="C6" t="s">
        <v>30</v>
      </c>
      <c r="D6" t="s">
        <v>31</v>
      </c>
      <c r="E6" t="s">
        <v>32</v>
      </c>
      <c r="F6" s="7">
        <v>7</v>
      </c>
      <c r="G6" s="7">
        <v>740</v>
      </c>
      <c r="H6" s="7">
        <v>30</v>
      </c>
      <c r="I6" s="7">
        <f>G6-H6</f>
        <v>710</v>
      </c>
      <c r="J6" t="s">
        <v>21</v>
      </c>
      <c r="K6" t="s">
        <v>22</v>
      </c>
      <c r="L6" t="s">
        <v>23</v>
      </c>
      <c r="Q6">
        <v>1</v>
      </c>
    </row>
    <row r="7" spans="1:17" x14ac:dyDescent="0.25">
      <c r="B7" t="s">
        <v>16</v>
      </c>
      <c r="C7" t="s">
        <v>33</v>
      </c>
      <c r="D7" t="s">
        <v>34</v>
      </c>
      <c r="E7" t="s">
        <v>35</v>
      </c>
      <c r="F7" t="s">
        <v>36</v>
      </c>
      <c r="G7" s="7">
        <v>0</v>
      </c>
      <c r="H7" s="7">
        <v>20</v>
      </c>
      <c r="I7" s="7">
        <f>-H7</f>
        <v>-20</v>
      </c>
      <c r="J7" t="s">
        <v>22</v>
      </c>
      <c r="K7" t="s">
        <v>22</v>
      </c>
      <c r="L7" t="s">
        <v>23</v>
      </c>
      <c r="Q7">
        <v>1</v>
      </c>
    </row>
    <row r="8" spans="1:17" x14ac:dyDescent="0.25">
      <c r="B8" t="s">
        <v>16</v>
      </c>
      <c r="C8" t="s">
        <v>37</v>
      </c>
      <c r="D8" t="s">
        <v>38</v>
      </c>
      <c r="E8" t="s">
        <v>39</v>
      </c>
      <c r="F8" s="7">
        <v>9</v>
      </c>
      <c r="G8" s="7">
        <v>780</v>
      </c>
      <c r="H8" s="7">
        <v>30</v>
      </c>
      <c r="I8" s="7">
        <f>G8-H8</f>
        <v>750</v>
      </c>
      <c r="J8" t="s">
        <v>40</v>
      </c>
      <c r="K8" t="s">
        <v>22</v>
      </c>
      <c r="L8" t="s">
        <v>23</v>
      </c>
      <c r="Q8">
        <v>1</v>
      </c>
    </row>
    <row r="9" spans="1:17" x14ac:dyDescent="0.25">
      <c r="B9" t="s">
        <v>16</v>
      </c>
      <c r="C9" t="s">
        <v>41</v>
      </c>
      <c r="D9" t="s">
        <v>42</v>
      </c>
      <c r="E9" t="s">
        <v>43</v>
      </c>
      <c r="F9" t="s">
        <v>44</v>
      </c>
      <c r="G9" s="7">
        <v>615</v>
      </c>
      <c r="H9" s="7">
        <v>25</v>
      </c>
      <c r="I9" s="7">
        <f>G9-H9</f>
        <v>590</v>
      </c>
      <c r="J9" t="s">
        <v>22</v>
      </c>
      <c r="K9" t="s">
        <v>22</v>
      </c>
      <c r="L9" t="s">
        <v>23</v>
      </c>
      <c r="Q9">
        <v>1</v>
      </c>
    </row>
    <row r="10" spans="1:17" x14ac:dyDescent="0.25">
      <c r="B10" t="s">
        <v>16</v>
      </c>
      <c r="C10" t="s">
        <v>45</v>
      </c>
      <c r="D10" t="s">
        <v>46</v>
      </c>
      <c r="E10" t="s">
        <v>47</v>
      </c>
      <c r="F10" t="s">
        <v>20</v>
      </c>
      <c r="G10" s="7">
        <v>610</v>
      </c>
      <c r="H10" s="7">
        <v>30</v>
      </c>
      <c r="I10" s="7">
        <f>G10-H10</f>
        <v>580</v>
      </c>
      <c r="J10" t="s">
        <v>21</v>
      </c>
      <c r="K10" t="s">
        <v>22</v>
      </c>
      <c r="L10" t="s">
        <v>23</v>
      </c>
      <c r="Q10">
        <v>1</v>
      </c>
    </row>
    <row r="11" spans="1:17" x14ac:dyDescent="0.25">
      <c r="B11" t="s">
        <v>16</v>
      </c>
      <c r="C11" t="s">
        <v>48</v>
      </c>
      <c r="D11" t="s">
        <v>49</v>
      </c>
      <c r="E11" t="s">
        <v>50</v>
      </c>
      <c r="F11" s="7">
        <v>8</v>
      </c>
      <c r="G11" s="7">
        <v>0</v>
      </c>
      <c r="H11" s="7">
        <v>25</v>
      </c>
      <c r="I11" s="7">
        <f>-H11</f>
        <v>-25</v>
      </c>
      <c r="J11" t="s">
        <v>21</v>
      </c>
      <c r="K11" t="s">
        <v>22</v>
      </c>
      <c r="L11" t="s">
        <v>23</v>
      </c>
      <c r="Q11">
        <v>1</v>
      </c>
    </row>
    <row r="12" spans="1:17" x14ac:dyDescent="0.25">
      <c r="B12" t="s">
        <v>16</v>
      </c>
      <c r="C12" t="s">
        <v>51</v>
      </c>
      <c r="D12" t="s">
        <v>52</v>
      </c>
      <c r="E12" t="s">
        <v>53</v>
      </c>
      <c r="F12" s="7">
        <v>1</v>
      </c>
      <c r="G12" s="7">
        <v>845</v>
      </c>
      <c r="H12" s="7">
        <v>25</v>
      </c>
      <c r="I12" s="7">
        <f t="shared" ref="I12:I21" si="0">G12-H12</f>
        <v>820</v>
      </c>
      <c r="J12" t="s">
        <v>22</v>
      </c>
      <c r="K12" t="s">
        <v>22</v>
      </c>
      <c r="L12" t="s">
        <v>23</v>
      </c>
      <c r="Q12">
        <v>1</v>
      </c>
    </row>
    <row r="13" spans="1:17" x14ac:dyDescent="0.25">
      <c r="B13" t="s">
        <v>16</v>
      </c>
      <c r="C13" t="s">
        <v>54</v>
      </c>
      <c r="D13" t="s">
        <v>55</v>
      </c>
      <c r="E13" t="s">
        <v>56</v>
      </c>
      <c r="F13" s="7">
        <v>12</v>
      </c>
      <c r="G13" s="7">
        <v>750</v>
      </c>
      <c r="H13" s="7">
        <v>30</v>
      </c>
      <c r="I13" s="7">
        <f t="shared" si="0"/>
        <v>720</v>
      </c>
      <c r="J13" t="s">
        <v>21</v>
      </c>
      <c r="K13" t="s">
        <v>22</v>
      </c>
      <c r="L13" t="s">
        <v>23</v>
      </c>
      <c r="Q13">
        <v>1</v>
      </c>
    </row>
    <row r="14" spans="1:17" x14ac:dyDescent="0.25">
      <c r="B14" t="s">
        <v>16</v>
      </c>
      <c r="C14" t="s">
        <v>57</v>
      </c>
      <c r="D14" t="s">
        <v>58</v>
      </c>
      <c r="E14" t="s">
        <v>59</v>
      </c>
      <c r="F14" t="s">
        <v>36</v>
      </c>
      <c r="G14" s="7">
        <v>1630</v>
      </c>
      <c r="H14" s="7">
        <v>20</v>
      </c>
      <c r="I14" s="7">
        <f t="shared" si="0"/>
        <v>1610</v>
      </c>
      <c r="J14" t="s">
        <v>22</v>
      </c>
      <c r="K14" t="s">
        <v>22</v>
      </c>
      <c r="L14" t="s">
        <v>23</v>
      </c>
      <c r="Q14">
        <v>1</v>
      </c>
    </row>
    <row r="15" spans="1:17" x14ac:dyDescent="0.25">
      <c r="B15" t="s">
        <v>16</v>
      </c>
      <c r="C15" t="s">
        <v>60</v>
      </c>
      <c r="D15" t="s">
        <v>61</v>
      </c>
      <c r="E15" t="s">
        <v>62</v>
      </c>
      <c r="F15" s="7">
        <v>3</v>
      </c>
      <c r="G15" s="7">
        <v>405</v>
      </c>
      <c r="H15" s="7">
        <v>25</v>
      </c>
      <c r="I15" s="7">
        <f t="shared" si="0"/>
        <v>380</v>
      </c>
      <c r="J15" t="s">
        <v>22</v>
      </c>
      <c r="K15" t="s">
        <v>22</v>
      </c>
      <c r="L15" t="s">
        <v>23</v>
      </c>
      <c r="Q15">
        <v>1</v>
      </c>
    </row>
    <row r="16" spans="1:17" x14ac:dyDescent="0.25">
      <c r="B16" t="s">
        <v>16</v>
      </c>
      <c r="C16" t="s">
        <v>63</v>
      </c>
      <c r="D16" t="s">
        <v>64</v>
      </c>
      <c r="E16" t="s">
        <v>65</v>
      </c>
      <c r="F16" s="7">
        <v>7</v>
      </c>
      <c r="G16" s="7">
        <v>30</v>
      </c>
      <c r="H16" s="7">
        <v>30</v>
      </c>
      <c r="I16" s="7">
        <f t="shared" si="0"/>
        <v>0</v>
      </c>
      <c r="J16" t="s">
        <v>21</v>
      </c>
      <c r="K16" t="s">
        <v>22</v>
      </c>
      <c r="L16" t="s">
        <v>23</v>
      </c>
      <c r="M16" t="s">
        <v>66</v>
      </c>
      <c r="Q16">
        <v>1</v>
      </c>
    </row>
    <row r="17" spans="1:17" x14ac:dyDescent="0.25">
      <c r="B17" t="s">
        <v>16</v>
      </c>
      <c r="C17" t="s">
        <v>67</v>
      </c>
      <c r="D17" t="s">
        <v>68</v>
      </c>
      <c r="E17" t="s">
        <v>69</v>
      </c>
      <c r="F17" s="7">
        <v>7</v>
      </c>
      <c r="G17" s="7">
        <v>1640</v>
      </c>
      <c r="H17" s="7">
        <v>30</v>
      </c>
      <c r="I17" s="7">
        <f t="shared" si="0"/>
        <v>1610</v>
      </c>
      <c r="J17" t="s">
        <v>21</v>
      </c>
      <c r="K17" t="s">
        <v>22</v>
      </c>
      <c r="L17" t="s">
        <v>23</v>
      </c>
      <c r="Q17">
        <v>1</v>
      </c>
    </row>
    <row r="18" spans="1:17" x14ac:dyDescent="0.25">
      <c r="B18" t="s">
        <v>16</v>
      </c>
      <c r="C18" t="s">
        <v>70</v>
      </c>
      <c r="D18" t="s">
        <v>71</v>
      </c>
      <c r="E18" t="s">
        <v>72</v>
      </c>
      <c r="F18" s="7">
        <v>12</v>
      </c>
      <c r="G18" s="7">
        <v>590</v>
      </c>
      <c r="H18" s="7">
        <v>30</v>
      </c>
      <c r="I18" s="7">
        <f t="shared" si="0"/>
        <v>560</v>
      </c>
      <c r="J18" t="s">
        <v>21</v>
      </c>
      <c r="K18" t="s">
        <v>22</v>
      </c>
      <c r="L18" t="s">
        <v>23</v>
      </c>
      <c r="Q18">
        <v>1</v>
      </c>
    </row>
    <row r="19" spans="1:17" x14ac:dyDescent="0.25">
      <c r="B19" t="s">
        <v>16</v>
      </c>
      <c r="C19" t="s">
        <v>73</v>
      </c>
      <c r="D19" t="s">
        <v>74</v>
      </c>
      <c r="E19" t="s">
        <v>75</v>
      </c>
      <c r="F19" s="7">
        <v>7</v>
      </c>
      <c r="G19" s="7">
        <v>850</v>
      </c>
      <c r="H19" s="7">
        <v>30</v>
      </c>
      <c r="I19" s="7">
        <f t="shared" si="0"/>
        <v>820</v>
      </c>
      <c r="J19" t="s">
        <v>21</v>
      </c>
      <c r="K19" t="s">
        <v>22</v>
      </c>
      <c r="L19" t="s">
        <v>23</v>
      </c>
      <c r="Q19">
        <v>1</v>
      </c>
    </row>
    <row r="20" spans="1:17" x14ac:dyDescent="0.25">
      <c r="B20" t="s">
        <v>16</v>
      </c>
      <c r="C20" t="s">
        <v>76</v>
      </c>
      <c r="D20" t="s">
        <v>77</v>
      </c>
      <c r="E20" t="s">
        <v>78</v>
      </c>
      <c r="F20" t="s">
        <v>79</v>
      </c>
      <c r="G20" s="7">
        <v>20</v>
      </c>
      <c r="H20" s="7">
        <v>20</v>
      </c>
      <c r="I20" s="7">
        <f t="shared" si="0"/>
        <v>0</v>
      </c>
      <c r="J20" t="s">
        <v>22</v>
      </c>
      <c r="K20" t="s">
        <v>22</v>
      </c>
      <c r="L20" t="s">
        <v>23</v>
      </c>
      <c r="M20" t="s">
        <v>66</v>
      </c>
      <c r="Q20">
        <v>1</v>
      </c>
    </row>
    <row r="21" spans="1:17" x14ac:dyDescent="0.25">
      <c r="B21" t="s">
        <v>16</v>
      </c>
      <c r="C21" t="s">
        <v>80</v>
      </c>
      <c r="D21" t="s">
        <v>81</v>
      </c>
      <c r="E21" t="s">
        <v>82</v>
      </c>
      <c r="F21" t="s">
        <v>20</v>
      </c>
      <c r="G21" s="7">
        <v>820</v>
      </c>
      <c r="H21" s="7">
        <v>30</v>
      </c>
      <c r="I21" s="7">
        <f t="shared" si="0"/>
        <v>790</v>
      </c>
      <c r="J21" t="s">
        <v>21</v>
      </c>
      <c r="K21" t="s">
        <v>22</v>
      </c>
      <c r="L21" t="s">
        <v>23</v>
      </c>
      <c r="Q21">
        <v>1</v>
      </c>
    </row>
    <row r="22" spans="1:17" x14ac:dyDescent="0.25">
      <c r="A22" t="s">
        <v>83</v>
      </c>
      <c r="B22" t="s">
        <v>16</v>
      </c>
      <c r="C22" t="s">
        <v>84</v>
      </c>
      <c r="E22" t="s">
        <v>85</v>
      </c>
      <c r="F22" t="s">
        <v>86</v>
      </c>
      <c r="G22" s="7">
        <v>0</v>
      </c>
      <c r="H22" s="7">
        <v>30</v>
      </c>
      <c r="I22" s="7">
        <f>-H22</f>
        <v>-30</v>
      </c>
      <c r="J22" t="s">
        <v>22</v>
      </c>
      <c r="K22" t="s">
        <v>22</v>
      </c>
      <c r="L22" t="s">
        <v>23</v>
      </c>
      <c r="Q22">
        <v>1</v>
      </c>
    </row>
    <row r="23" spans="1:17" x14ac:dyDescent="0.25">
      <c r="A23" t="s">
        <v>83</v>
      </c>
      <c r="B23" t="s">
        <v>16</v>
      </c>
      <c r="C23" t="s">
        <v>87</v>
      </c>
      <c r="E23" t="s">
        <v>88</v>
      </c>
      <c r="F23" s="7">
        <v>6</v>
      </c>
      <c r="G23" s="7">
        <v>0</v>
      </c>
      <c r="H23" s="7">
        <v>30</v>
      </c>
      <c r="I23" s="7">
        <f>-H23</f>
        <v>-30</v>
      </c>
      <c r="J23" t="s">
        <v>21</v>
      </c>
      <c r="K23" t="s">
        <v>22</v>
      </c>
      <c r="L23" t="s">
        <v>23</v>
      </c>
      <c r="Q23">
        <v>1</v>
      </c>
    </row>
    <row r="25" spans="1:17" x14ac:dyDescent="0.25">
      <c r="D25" s="8">
        <f>COUNTA(D3:D23)</f>
        <v>19</v>
      </c>
      <c r="G25" s="8">
        <f t="shared" ref="G25:Q25" si="1">SUBTOTAL(9,G3:G23)</f>
        <v>11870</v>
      </c>
      <c r="H25" s="8">
        <f t="shared" si="1"/>
        <v>575</v>
      </c>
      <c r="I25" s="8">
        <f t="shared" si="1"/>
        <v>11295</v>
      </c>
      <c r="J25" s="8">
        <f t="shared" si="1"/>
        <v>0</v>
      </c>
      <c r="K25" s="8">
        <f t="shared" si="1"/>
        <v>0</v>
      </c>
      <c r="L25" s="8">
        <f t="shared" si="1"/>
        <v>0</v>
      </c>
      <c r="M25" s="8">
        <f t="shared" si="1"/>
        <v>0</v>
      </c>
      <c r="N25" s="8">
        <f t="shared" si="1"/>
        <v>0</v>
      </c>
      <c r="O25" s="8">
        <f t="shared" si="1"/>
        <v>0</v>
      </c>
      <c r="P25" s="8">
        <f t="shared" si="1"/>
        <v>0</v>
      </c>
      <c r="Q25" s="8">
        <f t="shared" si="1"/>
        <v>21</v>
      </c>
    </row>
    <row r="26" spans="1:17" x14ac:dyDescent="0.25">
      <c r="H26">
        <f>-8*17</f>
        <v>-136</v>
      </c>
    </row>
    <row r="27" spans="1:17" x14ac:dyDescent="0.25">
      <c r="A27" s="8" t="s">
        <v>16</v>
      </c>
      <c r="C27" s="5" t="s">
        <v>89</v>
      </c>
      <c r="D27" s="5"/>
      <c r="E27" s="9" t="s">
        <v>90</v>
      </c>
      <c r="H27">
        <f>-5*25</f>
        <v>-125</v>
      </c>
      <c r="K27" s="10" t="s">
        <v>21</v>
      </c>
      <c r="L27" s="10" t="s">
        <v>91</v>
      </c>
      <c r="M27" s="10" t="s">
        <v>90</v>
      </c>
      <c r="O27" s="9" t="s">
        <v>92</v>
      </c>
    </row>
    <row r="28" spans="1:17" x14ac:dyDescent="0.25">
      <c r="A28" t="s">
        <v>23</v>
      </c>
      <c r="B28" s="11" t="s">
        <v>93</v>
      </c>
      <c r="C28" s="4">
        <f>SUMIFS(I$3:I$23,B$3:B$23,A$27,L$3:L$23,A$28)</f>
        <v>11295</v>
      </c>
      <c r="D28" s="4"/>
      <c r="E28" s="11">
        <f>SUMIFS(Q$3:Q$23,B$3:B$23,A$27,L$3:L$23,A$28)</f>
        <v>21</v>
      </c>
      <c r="F28" t="s">
        <v>94</v>
      </c>
      <c r="K28" t="s">
        <v>95</v>
      </c>
      <c r="L28">
        <f>SUMIFS(G$3:G$23,J$3:J$23,K$27)</f>
        <v>7575</v>
      </c>
      <c r="M28">
        <f>SUMIFS(Q$3:Q$23,J$3:J$23,K$27)</f>
        <v>13</v>
      </c>
      <c r="O28" t="s">
        <v>96</v>
      </c>
      <c r="P28">
        <f>L33</f>
        <v>7314</v>
      </c>
    </row>
    <row r="29" spans="1:17" x14ac:dyDescent="0.25">
      <c r="B29" s="12" t="s">
        <v>97</v>
      </c>
      <c r="C29" s="3">
        <v>0</v>
      </c>
      <c r="D29" s="3"/>
      <c r="K29" t="s">
        <v>98</v>
      </c>
      <c r="L29">
        <f>SUM(H26:H27)</f>
        <v>-261</v>
      </c>
      <c r="M29">
        <f>SUMIFS(Q$3:Q$23,J$3:J$23,K$27)</f>
        <v>13</v>
      </c>
      <c r="O29" t="s">
        <v>22</v>
      </c>
      <c r="P29">
        <f>L41</f>
        <v>3343</v>
      </c>
    </row>
    <row r="30" spans="1:17" x14ac:dyDescent="0.25">
      <c r="B30" s="12" t="s">
        <v>99</v>
      </c>
      <c r="C30" s="3">
        <f>-SUMIFS(I$3:I$23,B$3:B$23,A$27,P$3:P$23,"xx",N$3:N$23,"x")</f>
        <v>0</v>
      </c>
      <c r="D30" s="3"/>
      <c r="E30" s="12">
        <f>SUMIFS(Q$3:Q$23,B$3:B$23,A$27,P$3:P$23,"xx",N$3:N$23,"x")</f>
        <v>0</v>
      </c>
      <c r="K30" t="s">
        <v>100</v>
      </c>
      <c r="O30" t="s">
        <v>40</v>
      </c>
      <c r="P30">
        <f>L49</f>
        <v>755</v>
      </c>
    </row>
    <row r="31" spans="1:17" x14ac:dyDescent="0.25">
      <c r="B31" s="9" t="s">
        <v>101</v>
      </c>
      <c r="C31" s="5">
        <f>SUBTOTAL(9,C28:C30)</f>
        <v>11295</v>
      </c>
      <c r="D31" s="5"/>
      <c r="E31">
        <f>E28</f>
        <v>21</v>
      </c>
      <c r="K31" s="12" t="s">
        <v>102</v>
      </c>
      <c r="O31" t="s">
        <v>103</v>
      </c>
      <c r="P31">
        <f>-C35</f>
        <v>-11295</v>
      </c>
    </row>
    <row r="32" spans="1:17" x14ac:dyDescent="0.25">
      <c r="B32" s="12" t="s">
        <v>104</v>
      </c>
      <c r="C32" s="2"/>
      <c r="D32" s="2"/>
      <c r="K32" s="12" t="s">
        <v>105</v>
      </c>
      <c r="O32" s="9" t="s">
        <v>106</v>
      </c>
      <c r="P32" s="9">
        <f>SUBTOTAL(9,P28:P31)</f>
        <v>117</v>
      </c>
    </row>
    <row r="33" spans="2:13" x14ac:dyDescent="0.25">
      <c r="B33" s="13" t="s">
        <v>107</v>
      </c>
      <c r="C33" s="2"/>
      <c r="D33" s="2"/>
      <c r="L33" s="14">
        <f>SUBTOTAL(9,L28:L32)</f>
        <v>7314</v>
      </c>
      <c r="M33" s="14">
        <f>M28</f>
        <v>13</v>
      </c>
    </row>
    <row r="35" spans="2:13" x14ac:dyDescent="0.25">
      <c r="B35" s="8" t="s">
        <v>108</v>
      </c>
      <c r="C35" s="1">
        <f>C31+C32+C33</f>
        <v>11295</v>
      </c>
      <c r="D35" s="1"/>
      <c r="E35" s="8" t="s">
        <v>109</v>
      </c>
      <c r="K35" s="10" t="s">
        <v>22</v>
      </c>
      <c r="L35" s="10" t="s">
        <v>91</v>
      </c>
      <c r="M35" s="10" t="s">
        <v>90</v>
      </c>
    </row>
    <row r="36" spans="2:13" x14ac:dyDescent="0.25">
      <c r="K36" t="s">
        <v>95</v>
      </c>
      <c r="L36">
        <f>SUMIFS(G$3:G$23,J$3:J$23,K$35)</f>
        <v>3515</v>
      </c>
      <c r="M36">
        <f>SUMIFS(Q$3:Q$23,J$3:J$23,K$35)</f>
        <v>7</v>
      </c>
    </row>
    <row r="37" spans="2:13" x14ac:dyDescent="0.25">
      <c r="K37" t="s">
        <v>98</v>
      </c>
      <c r="L37">
        <f>-SUMIFS(H$3:H$23,J$3:J$23,K$35)+M37*5</f>
        <v>-130</v>
      </c>
      <c r="M37">
        <f>SUMIFS(Q$3:Q$23,J$3:J$23,K$35)-COUNTIFS(J$3:J$23,K$35,M$3:M$23,"*gộp*")</f>
        <v>7</v>
      </c>
    </row>
    <row r="38" spans="2:13" x14ac:dyDescent="0.25">
      <c r="K38" t="s">
        <v>100</v>
      </c>
      <c r="L38">
        <f>-M38*2</f>
        <v>-42</v>
      </c>
      <c r="M38">
        <f>Q25-(COUNTIFS(M$3:M$23,"*gộp*")/2)</f>
        <v>21</v>
      </c>
    </row>
    <row r="39" spans="2:13" x14ac:dyDescent="0.25">
      <c r="K39" s="12" t="s">
        <v>102</v>
      </c>
    </row>
    <row r="40" spans="2:13" x14ac:dyDescent="0.25">
      <c r="K40" s="12" t="s">
        <v>105</v>
      </c>
    </row>
    <row r="41" spans="2:13" x14ac:dyDescent="0.25">
      <c r="L41" s="14">
        <f>SUBTOTAL(9,L36:L40)</f>
        <v>3343</v>
      </c>
      <c r="M41" s="14">
        <f>M36</f>
        <v>7</v>
      </c>
    </row>
    <row r="43" spans="2:13" x14ac:dyDescent="0.25">
      <c r="K43" s="10" t="s">
        <v>40</v>
      </c>
      <c r="L43" s="10" t="s">
        <v>91</v>
      </c>
      <c r="M43" s="10" t="s">
        <v>90</v>
      </c>
    </row>
    <row r="44" spans="2:13" x14ac:dyDescent="0.25">
      <c r="K44" t="s">
        <v>95</v>
      </c>
      <c r="L44">
        <f>SUMIFS(G$3:G$23,J$3:J$23,K$43)</f>
        <v>780</v>
      </c>
      <c r="M44">
        <f>SUMIFS(Q$3:Q$23,J$3:J$23,K$43)</f>
        <v>1</v>
      </c>
    </row>
    <row r="45" spans="2:13" x14ac:dyDescent="0.25">
      <c r="K45" t="s">
        <v>98</v>
      </c>
      <c r="L45">
        <f>-SUMIFS(H$3:H$23,J$3:J$23,K$43)+M45*5</f>
        <v>-25</v>
      </c>
      <c r="M45">
        <f>SUMIFS(Q$3:Q$23,J$3:J$23,K$43)-COUNTIFS(J$3:J$23,K$43,M$3:M$23,"*gộp*")</f>
        <v>1</v>
      </c>
    </row>
    <row r="46" spans="2:13" x14ac:dyDescent="0.25">
      <c r="K46" t="s">
        <v>100</v>
      </c>
    </row>
    <row r="47" spans="2:13" x14ac:dyDescent="0.25">
      <c r="K47" s="12" t="s">
        <v>102</v>
      </c>
    </row>
    <row r="48" spans="2:13" x14ac:dyDescent="0.25">
      <c r="K48" s="12" t="s">
        <v>105</v>
      </c>
    </row>
    <row r="49" spans="12:13" x14ac:dyDescent="0.25">
      <c r="L49" s="14">
        <f>SUBTOTAL(9,L44:L48)</f>
        <v>755</v>
      </c>
      <c r="M49" s="14">
        <f>M44</f>
        <v>1</v>
      </c>
    </row>
  </sheetData>
  <autoFilter ref="A2:P23" xr:uid="{00000000-0009-0000-0000-000000000000}"/>
  <mergeCells count="8">
    <mergeCell ref="C32:D32"/>
    <mergeCell ref="C33:D33"/>
    <mergeCell ref="C35:D35"/>
    <mergeCell ref="C27:D27"/>
    <mergeCell ref="C28:D28"/>
    <mergeCell ref="C29:D29"/>
    <mergeCell ref="C30:D30"/>
    <mergeCell ref="C31:D31"/>
  </mergeCells>
  <pageMargins left="0.75" right="0.75" top="0.75" bottom="0.5" header="0.5" footer="0.7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01-04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Sei Pham</cp:lastModifiedBy>
  <dcterms:created xsi:type="dcterms:W3CDTF">2026-04-01T06:13:00Z</dcterms:created>
  <dcterms:modified xsi:type="dcterms:W3CDTF">2026-04-01T06:18:26Z</dcterms:modified>
</cp:coreProperties>
</file>