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E8714206-4EC6-4B27-809B-E512127A59AD}" xr6:coauthVersionLast="47" xr6:coauthVersionMax="47" xr10:uidLastSave="{00000000-0000-0000-0000-000000000000}"/>
  <bookViews>
    <workbookView xWindow="-120" yWindow="-120" windowWidth="29040" windowHeight="15720" firstSheet="11" activeTab="25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25-04" sheetId="28" r:id="rId22"/>
    <sheet name="27-04" sheetId="29" r:id="rId23"/>
    <sheet name="28-04" sheetId="30" r:id="rId24"/>
    <sheet name="29-04" sheetId="31" r:id="rId25"/>
    <sheet name="Sheet1" sheetId="19" r:id="rId26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'25-04'!$A$2:$P$53</definedName>
    <definedName name="_xlnm._FilterDatabase" localSheetId="22" hidden="1">'27-04'!$A$2:$P$125</definedName>
    <definedName name="_xlnm._FilterDatabase" localSheetId="23" hidden="1">'28-04'!$A$2:$P$49</definedName>
    <definedName name="_xlnm._FilterDatabase" localSheetId="24" hidden="1">'29-04'!$A$2:$P$60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29" l="1"/>
  <c r="C54" i="30"/>
  <c r="C57" i="30" s="1"/>
  <c r="R60" i="31"/>
  <c r="R58" i="31"/>
  <c r="R57" i="31"/>
  <c r="R56" i="31"/>
  <c r="R49" i="31"/>
  <c r="R47" i="31"/>
  <c r="R40" i="31"/>
  <c r="R37" i="31"/>
  <c r="R36" i="31"/>
  <c r="R35" i="31"/>
  <c r="R28" i="31"/>
  <c r="R26" i="31"/>
  <c r="R8" i="31"/>
  <c r="R5" i="31"/>
  <c r="R52" i="31"/>
  <c r="R45" i="31"/>
  <c r="R30" i="31"/>
  <c r="I3" i="2"/>
  <c r="I4" i="2"/>
  <c r="I5" i="2"/>
  <c r="I6" i="2"/>
  <c r="I7" i="2"/>
  <c r="I8" i="2"/>
  <c r="I9" i="2"/>
  <c r="I10" i="2"/>
  <c r="I11" i="2"/>
  <c r="I12" i="2"/>
  <c r="I13" i="2"/>
  <c r="I25" i="2" s="1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H26" i="2"/>
  <c r="H27" i="2"/>
  <c r="L29" i="2" s="1"/>
  <c r="L33" i="2" s="1"/>
  <c r="P28" i="2" s="1"/>
  <c r="C28" i="2"/>
  <c r="C31" i="2" s="1"/>
  <c r="C35" i="2" s="1"/>
  <c r="P31" i="2" s="1"/>
  <c r="E28" i="2"/>
  <c r="L28" i="2"/>
  <c r="M28" i="2"/>
  <c r="M33" i="2" s="1"/>
  <c r="M29" i="2"/>
  <c r="C30" i="2"/>
  <c r="E30" i="2"/>
  <c r="E31" i="2"/>
  <c r="L36" i="2"/>
  <c r="M36" i="2"/>
  <c r="M37" i="2"/>
  <c r="L37" i="2" s="1"/>
  <c r="M38" i="2"/>
  <c r="L38" i="2" s="1"/>
  <c r="M41" i="2"/>
  <c r="L44" i="2"/>
  <c r="M44" i="2"/>
  <c r="M49" i="2" s="1"/>
  <c r="M45" i="2"/>
  <c r="L45" i="2" s="1"/>
  <c r="L49" i="2" s="1"/>
  <c r="P30" i="2" s="1"/>
  <c r="I3" i="6"/>
  <c r="I4" i="6"/>
  <c r="C29" i="6" s="1"/>
  <c r="C32" i="6" s="1"/>
  <c r="C36" i="6" s="1"/>
  <c r="P32" i="6" s="1"/>
  <c r="I5" i="6"/>
  <c r="I6" i="6"/>
  <c r="I7" i="6"/>
  <c r="I26" i="6" s="1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M31" i="6" s="1"/>
  <c r="L31" i="6" s="1"/>
  <c r="H27" i="6"/>
  <c r="L46" i="6" s="1"/>
  <c r="L50" i="6" s="1"/>
  <c r="P31" i="6" s="1"/>
  <c r="H28" i="6"/>
  <c r="E29" i="6"/>
  <c r="E32" i="6" s="1"/>
  <c r="H29" i="6"/>
  <c r="L29" i="6"/>
  <c r="M29" i="6"/>
  <c r="M30" i="6"/>
  <c r="L30" i="6" s="1"/>
  <c r="C31" i="6"/>
  <c r="E31" i="6"/>
  <c r="M34" i="6"/>
  <c r="L37" i="6"/>
  <c r="M37" i="6"/>
  <c r="M42" i="6" s="1"/>
  <c r="M38" i="6"/>
  <c r="L38" i="6" s="1"/>
  <c r="L45" i="6"/>
  <c r="M45" i="6"/>
  <c r="M50" i="6" s="1"/>
  <c r="M46" i="6"/>
  <c r="I3" i="7"/>
  <c r="I55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H56" i="7"/>
  <c r="H57" i="7"/>
  <c r="C58" i="7"/>
  <c r="C61" i="7" s="1"/>
  <c r="C65" i="7" s="1"/>
  <c r="P61" i="7" s="1"/>
  <c r="E58" i="7"/>
  <c r="E61" i="7" s="1"/>
  <c r="H58" i="7"/>
  <c r="L58" i="7"/>
  <c r="L64" i="7" s="1"/>
  <c r="P58" i="7" s="1"/>
  <c r="P62" i="7" s="1"/>
  <c r="M58" i="7"/>
  <c r="M59" i="7"/>
  <c r="L59" i="7" s="1"/>
  <c r="C60" i="7"/>
  <c r="E60" i="7"/>
  <c r="M60" i="7"/>
  <c r="L60" i="7" s="1"/>
  <c r="M64" i="7"/>
  <c r="L67" i="7"/>
  <c r="M67" i="7"/>
  <c r="L68" i="7"/>
  <c r="L72" i="7" s="1"/>
  <c r="P59" i="7" s="1"/>
  <c r="M68" i="7"/>
  <c r="M72" i="7"/>
  <c r="L75" i="7"/>
  <c r="M75" i="7"/>
  <c r="L76" i="7"/>
  <c r="M76" i="7"/>
  <c r="L80" i="7"/>
  <c r="P60" i="7" s="1"/>
  <c r="M80" i="7"/>
  <c r="I3" i="8"/>
  <c r="I46" i="8" s="1"/>
  <c r="I4" i="8"/>
  <c r="I5" i="8"/>
  <c r="C49" i="8" s="1"/>
  <c r="C52" i="8" s="1"/>
  <c r="C56" i="8" s="1"/>
  <c r="P53" i="8" s="1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M59" i="8" s="1"/>
  <c r="L59" i="8" s="1"/>
  <c r="H47" i="8"/>
  <c r="H48" i="8"/>
  <c r="E49" i="8"/>
  <c r="H49" i="8"/>
  <c r="L49" i="8"/>
  <c r="L54" i="8" s="1"/>
  <c r="P49" i="8" s="1"/>
  <c r="M49" i="8"/>
  <c r="L50" i="8"/>
  <c r="M50" i="8"/>
  <c r="C51" i="8"/>
  <c r="E51" i="8"/>
  <c r="E52" i="8"/>
  <c r="M54" i="8"/>
  <c r="L57" i="8"/>
  <c r="M57" i="8"/>
  <c r="M58" i="8"/>
  <c r="L58" i="8" s="1"/>
  <c r="L62" i="8" s="1"/>
  <c r="P50" i="8" s="1"/>
  <c r="M62" i="8"/>
  <c r="L65" i="8"/>
  <c r="M65" i="8"/>
  <c r="M66" i="8"/>
  <c r="L66" i="8" s="1"/>
  <c r="L70" i="8" s="1"/>
  <c r="P51" i="8" s="1"/>
  <c r="M70" i="8"/>
  <c r="L73" i="8"/>
  <c r="M73" i="8"/>
  <c r="L74" i="8"/>
  <c r="M74" i="8"/>
  <c r="L78" i="8"/>
  <c r="P52" i="8" s="1"/>
  <c r="M78" i="8"/>
  <c r="I3" i="10"/>
  <c r="I4" i="10"/>
  <c r="I5" i="10"/>
  <c r="C60" i="10" s="1"/>
  <c r="C63" i="10" s="1"/>
  <c r="C67" i="10" s="1"/>
  <c r="P63" i="10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L69" i="10" s="1"/>
  <c r="L73" i="10" s="1"/>
  <c r="P61" i="10" s="1"/>
  <c r="H59" i="10"/>
  <c r="E60" i="10"/>
  <c r="H60" i="10"/>
  <c r="L60" i="10"/>
  <c r="M60" i="10"/>
  <c r="M61" i="10"/>
  <c r="L61" i="10" s="1"/>
  <c r="C62" i="10"/>
  <c r="E62" i="10"/>
  <c r="M62" i="10"/>
  <c r="L62" i="10" s="1"/>
  <c r="E63" i="10"/>
  <c r="M65" i="10"/>
  <c r="L68" i="10"/>
  <c r="M68" i="10"/>
  <c r="M73" i="10" s="1"/>
  <c r="M69" i="10"/>
  <c r="L76" i="10"/>
  <c r="M76" i="10"/>
  <c r="M77" i="10"/>
  <c r="L77" i="10" s="1"/>
  <c r="L81" i="10" s="1"/>
  <c r="P62" i="10" s="1"/>
  <c r="M81" i="10"/>
  <c r="I3" i="11"/>
  <c r="I4" i="11"/>
  <c r="C34" i="11" s="1"/>
  <c r="C37" i="11" s="1"/>
  <c r="C42" i="11" s="1"/>
  <c r="P38" i="11" s="1"/>
  <c r="I5" i="11"/>
  <c r="I6" i="11"/>
  <c r="I7" i="11"/>
  <c r="I8" i="11"/>
  <c r="I9" i="11"/>
  <c r="I10" i="11"/>
  <c r="I31" i="11" s="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E37" i="11" s="1"/>
  <c r="H34" i="11"/>
  <c r="L34" i="11"/>
  <c r="M34" i="11"/>
  <c r="L35" i="11"/>
  <c r="L41" i="11" s="1"/>
  <c r="P34" i="11" s="1"/>
  <c r="M35" i="11"/>
  <c r="E36" i="11"/>
  <c r="L36" i="11"/>
  <c r="M36" i="11"/>
  <c r="M41" i="11"/>
  <c r="L43" i="11"/>
  <c r="M43" i="11"/>
  <c r="L44" i="11"/>
  <c r="M44" i="11"/>
  <c r="L48" i="11"/>
  <c r="P35" i="11" s="1"/>
  <c r="M48" i="11"/>
  <c r="L51" i="11"/>
  <c r="M51" i="11"/>
  <c r="L52" i="11"/>
  <c r="L56" i="11" s="1"/>
  <c r="P36" i="11" s="1"/>
  <c r="M52" i="11"/>
  <c r="M56" i="11"/>
  <c r="I3" i="12"/>
  <c r="I4" i="12"/>
  <c r="I49" i="12" s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L57" i="12" s="1"/>
  <c r="P52" i="12" s="1"/>
  <c r="H50" i="12"/>
  <c r="L61" i="12" s="1"/>
  <c r="H51" i="12"/>
  <c r="E52" i="12"/>
  <c r="H52" i="12"/>
  <c r="L52" i="12"/>
  <c r="M52" i="12"/>
  <c r="M57" i="12" s="1"/>
  <c r="L53" i="12"/>
  <c r="M53" i="12"/>
  <c r="C54" i="12"/>
  <c r="E54" i="12"/>
  <c r="E55" i="12"/>
  <c r="L60" i="12"/>
  <c r="L65" i="12" s="1"/>
  <c r="P53" i="12" s="1"/>
  <c r="M60" i="12"/>
  <c r="M61" i="12"/>
  <c r="M65" i="12"/>
  <c r="L68" i="12"/>
  <c r="L73" i="12" s="1"/>
  <c r="P54" i="12" s="1"/>
  <c r="M68" i="12"/>
  <c r="L69" i="12"/>
  <c r="M69" i="12"/>
  <c r="M73" i="12"/>
  <c r="L76" i="12"/>
  <c r="L81" i="12" s="1"/>
  <c r="P55" i="12" s="1"/>
  <c r="M76" i="12"/>
  <c r="M77" i="12"/>
  <c r="L77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H42" i="13"/>
  <c r="H43" i="13"/>
  <c r="L53" i="13" s="1"/>
  <c r="E44" i="13"/>
  <c r="L44" i="13"/>
  <c r="L49" i="13" s="1"/>
  <c r="P44" i="13" s="1"/>
  <c r="M44" i="13"/>
  <c r="M49" i="13" s="1"/>
  <c r="M45" i="13"/>
  <c r="L45" i="13" s="1"/>
  <c r="C46" i="13"/>
  <c r="E46" i="13"/>
  <c r="M46" i="13"/>
  <c r="L46" i="13" s="1"/>
  <c r="E47" i="13"/>
  <c r="L52" i="13"/>
  <c r="M52" i="13"/>
  <c r="M57" i="13" s="1"/>
  <c r="M53" i="13"/>
  <c r="L60" i="13"/>
  <c r="M60" i="13"/>
  <c r="M65" i="13" s="1"/>
  <c r="M61" i="13"/>
  <c r="L61" i="13" s="1"/>
  <c r="I3" i="14"/>
  <c r="I56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L76" i="14" s="1"/>
  <c r="L80" i="14" s="1"/>
  <c r="P61" i="14" s="1"/>
  <c r="C59" i="14"/>
  <c r="C62" i="14" s="1"/>
  <c r="C66" i="14" s="1"/>
  <c r="P62" i="14" s="1"/>
  <c r="E59" i="14"/>
  <c r="L59" i="14"/>
  <c r="M59" i="14"/>
  <c r="M64" i="14" s="1"/>
  <c r="L60" i="14"/>
  <c r="L64" i="14" s="1"/>
  <c r="P59" i="14" s="1"/>
  <c r="P63" i="14" s="1"/>
  <c r="M60" i="14"/>
  <c r="C61" i="14"/>
  <c r="E61" i="14"/>
  <c r="E62" i="14"/>
  <c r="L67" i="14"/>
  <c r="M67" i="14"/>
  <c r="L68" i="14"/>
  <c r="M68" i="14"/>
  <c r="L69" i="14"/>
  <c r="L72" i="14"/>
  <c r="P60" i="14" s="1"/>
  <c r="M72" i="14"/>
  <c r="L75" i="14"/>
  <c r="M75" i="14"/>
  <c r="M76" i="14"/>
  <c r="M80" i="14"/>
  <c r="I3" i="15"/>
  <c r="I45" i="15" s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L53" i="15" s="1"/>
  <c r="P48" i="15" s="1"/>
  <c r="H46" i="15"/>
  <c r="L57" i="15" s="1"/>
  <c r="H47" i="15"/>
  <c r="E48" i="15"/>
  <c r="H48" i="15"/>
  <c r="L48" i="15"/>
  <c r="M48" i="15"/>
  <c r="M53" i="15" s="1"/>
  <c r="L49" i="15"/>
  <c r="M49" i="15"/>
  <c r="C50" i="15"/>
  <c r="E50" i="15"/>
  <c r="E51" i="15"/>
  <c r="L56" i="15"/>
  <c r="L61" i="15" s="1"/>
  <c r="P49" i="15" s="1"/>
  <c r="M56" i="15"/>
  <c r="M57" i="15"/>
  <c r="M61" i="15"/>
  <c r="L64" i="15"/>
  <c r="L69" i="15" s="1"/>
  <c r="P50" i="15" s="1"/>
  <c r="M64" i="15"/>
  <c r="L65" i="15"/>
  <c r="M65" i="15"/>
  <c r="M69" i="15"/>
  <c r="L72" i="15"/>
  <c r="M72" i="15"/>
  <c r="M73" i="15"/>
  <c r="L73" i="15" s="1"/>
  <c r="M77" i="15"/>
  <c r="I3" i="16"/>
  <c r="I4" i="16"/>
  <c r="I68" i="16" s="1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L72" i="16" s="1"/>
  <c r="C71" i="16"/>
  <c r="C74" i="16" s="1"/>
  <c r="C78" i="16" s="1"/>
  <c r="P75" i="16" s="1"/>
  <c r="E71" i="16"/>
  <c r="H71" i="16"/>
  <c r="L71" i="16"/>
  <c r="M71" i="16"/>
  <c r="M72" i="16"/>
  <c r="C73" i="16"/>
  <c r="E73" i="16"/>
  <c r="E74" i="16"/>
  <c r="M76" i="16"/>
  <c r="L79" i="16"/>
  <c r="M79" i="16"/>
  <c r="M80" i="16"/>
  <c r="L80" i="16" s="1"/>
  <c r="L81" i="16"/>
  <c r="M81" i="16"/>
  <c r="M84" i="16"/>
  <c r="L87" i="16"/>
  <c r="M87" i="16"/>
  <c r="M92" i="16" s="1"/>
  <c r="M88" i="16"/>
  <c r="L88" i="16" s="1"/>
  <c r="L92" i="16" s="1"/>
  <c r="P73" i="16" s="1"/>
  <c r="L95" i="16"/>
  <c r="M95" i="16"/>
  <c r="M100" i="16" s="1"/>
  <c r="L96" i="16"/>
  <c r="L100" i="16" s="1"/>
  <c r="P74" i="16" s="1"/>
  <c r="M96" i="16"/>
  <c r="I3" i="17"/>
  <c r="I4" i="17"/>
  <c r="C31" i="17" s="1"/>
  <c r="C34" i="17" s="1"/>
  <c r="C38" i="17" s="1"/>
  <c r="P35" i="17" s="1"/>
  <c r="I5" i="17"/>
  <c r="I6" i="17"/>
  <c r="I7" i="17"/>
  <c r="I28" i="17" s="1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C33" i="17" s="1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E31" i="17"/>
  <c r="H31" i="17"/>
  <c r="L31" i="17"/>
  <c r="M31" i="17"/>
  <c r="L32" i="17"/>
  <c r="L36" i="17" s="1"/>
  <c r="P31" i="17" s="1"/>
  <c r="M32" i="17"/>
  <c r="E33" i="17"/>
  <c r="E34" i="17"/>
  <c r="M36" i="17"/>
  <c r="L39" i="17"/>
  <c r="M39" i="17"/>
  <c r="M40" i="17"/>
  <c r="L40" i="17" s="1"/>
  <c r="L44" i="17" s="1"/>
  <c r="P32" i="17" s="1"/>
  <c r="M44" i="17"/>
  <c r="L47" i="17"/>
  <c r="L52" i="17" s="1"/>
  <c r="P33" i="17" s="1"/>
  <c r="M47" i="17"/>
  <c r="M48" i="17"/>
  <c r="L48" i="17" s="1"/>
  <c r="L49" i="17"/>
  <c r="M49" i="17"/>
  <c r="M52" i="17"/>
  <c r="L55" i="17"/>
  <c r="M55" i="17"/>
  <c r="M60" i="17" s="1"/>
  <c r="M56" i="17"/>
  <c r="L56" i="17" s="1"/>
  <c r="L60" i="17" s="1"/>
  <c r="P34" i="17" s="1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L49" i="18" s="1"/>
  <c r="E40" i="18"/>
  <c r="H40" i="18"/>
  <c r="L40" i="18"/>
  <c r="L45" i="18" s="1"/>
  <c r="P40" i="18" s="1"/>
  <c r="M40" i="18"/>
  <c r="M45" i="18" s="1"/>
  <c r="L41" i="18"/>
  <c r="M41" i="18"/>
  <c r="C42" i="18"/>
  <c r="E42" i="18"/>
  <c r="E43" i="18"/>
  <c r="L48" i="18"/>
  <c r="L53" i="18" s="1"/>
  <c r="P41" i="18" s="1"/>
  <c r="M48" i="18"/>
  <c r="M53" i="18" s="1"/>
  <c r="M49" i="18"/>
  <c r="L56" i="18"/>
  <c r="L61" i="18" s="1"/>
  <c r="P42" i="18" s="1"/>
  <c r="M56" i="18"/>
  <c r="M61" i="18" s="1"/>
  <c r="L57" i="18"/>
  <c r="M57" i="18"/>
  <c r="L64" i="18"/>
  <c r="M64" i="18"/>
  <c r="M65" i="18"/>
  <c r="L65" i="18" s="1"/>
  <c r="M66" i="18"/>
  <c r="L66" i="18" s="1"/>
  <c r="M69" i="18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L62" i="20" s="1"/>
  <c r="P57" i="20" s="1"/>
  <c r="H56" i="20"/>
  <c r="E57" i="20"/>
  <c r="L57" i="20"/>
  <c r="M57" i="20"/>
  <c r="M62" i="20" s="1"/>
  <c r="M58" i="20"/>
  <c r="C59" i="20"/>
  <c r="E59" i="20"/>
  <c r="E60" i="20"/>
  <c r="L65" i="20"/>
  <c r="M65" i="20"/>
  <c r="M70" i="20" s="1"/>
  <c r="M66" i="20"/>
  <c r="L66" i="20" s="1"/>
  <c r="L73" i="20"/>
  <c r="M73" i="20"/>
  <c r="M78" i="20" s="1"/>
  <c r="L74" i="20"/>
  <c r="M74" i="20"/>
  <c r="M75" i="20"/>
  <c r="L75" i="20" s="1"/>
  <c r="L78" i="20" s="1"/>
  <c r="P59" i="20" s="1"/>
  <c r="L81" i="20"/>
  <c r="M81" i="20"/>
  <c r="M82" i="20"/>
  <c r="L82" i="20" s="1"/>
  <c r="L86" i="20" s="1"/>
  <c r="P60" i="20" s="1"/>
  <c r="M86" i="20"/>
  <c r="I3" i="21"/>
  <c r="C58" i="21" s="1"/>
  <c r="C61" i="21" s="1"/>
  <c r="C65" i="21" s="1"/>
  <c r="P62" i="21" s="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L83" i="21" s="1"/>
  <c r="H57" i="21"/>
  <c r="E58" i="21"/>
  <c r="H58" i="21"/>
  <c r="L58" i="21"/>
  <c r="M58" i="21"/>
  <c r="M63" i="21" s="1"/>
  <c r="M59" i="21"/>
  <c r="L59" i="21" s="1"/>
  <c r="L63" i="21" s="1"/>
  <c r="P58" i="21" s="1"/>
  <c r="C60" i="21"/>
  <c r="E60" i="21"/>
  <c r="E61" i="21"/>
  <c r="L66" i="21"/>
  <c r="M66" i="21"/>
  <c r="M71" i="21" s="1"/>
  <c r="M67" i="21"/>
  <c r="L67" i="21" s="1"/>
  <c r="L71" i="21" s="1"/>
  <c r="P59" i="21" s="1"/>
  <c r="L68" i="21"/>
  <c r="M68" i="21"/>
  <c r="L74" i="21"/>
  <c r="M74" i="21"/>
  <c r="M79" i="21" s="1"/>
  <c r="M75" i="21"/>
  <c r="L75" i="21" s="1"/>
  <c r="L82" i="21"/>
  <c r="L87" i="21" s="1"/>
  <c r="P61" i="21" s="1"/>
  <c r="M82" i="21"/>
  <c r="M87" i="21" s="1"/>
  <c r="M83" i="21"/>
  <c r="I3" i="22"/>
  <c r="I4" i="22"/>
  <c r="I5" i="22"/>
  <c r="I6" i="22"/>
  <c r="C43" i="22" s="1"/>
  <c r="C46" i="22" s="1"/>
  <c r="C50" i="22" s="1"/>
  <c r="P47" i="22" s="1"/>
  <c r="I7" i="22"/>
  <c r="I8" i="22"/>
  <c r="I9" i="22"/>
  <c r="I40" i="22" s="1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H42" i="22"/>
  <c r="E43" i="22"/>
  <c r="E46" i="22" s="1"/>
  <c r="M61" i="22" s="1"/>
  <c r="L61" i="22" s="1"/>
  <c r="L43" i="22"/>
  <c r="M43" i="22"/>
  <c r="L44" i="22"/>
  <c r="L48" i="22" s="1"/>
  <c r="P43" i="22" s="1"/>
  <c r="M44" i="22"/>
  <c r="E45" i="22"/>
  <c r="M48" i="22"/>
  <c r="L51" i="22"/>
  <c r="M51" i="22"/>
  <c r="M52" i="22"/>
  <c r="M56" i="22"/>
  <c r="L59" i="22"/>
  <c r="M59" i="22"/>
  <c r="M60" i="22"/>
  <c r="L60" i="22" s="1"/>
  <c r="M64" i="22"/>
  <c r="L67" i="22"/>
  <c r="M67" i="22"/>
  <c r="M72" i="22" s="1"/>
  <c r="M68" i="22"/>
  <c r="L68" i="22" s="1"/>
  <c r="L72" i="22" s="1"/>
  <c r="P46" i="22" s="1"/>
  <c r="I3" i="23"/>
  <c r="I4" i="23"/>
  <c r="I5" i="23"/>
  <c r="C102" i="23" s="1"/>
  <c r="C105" i="23" s="1"/>
  <c r="C109" i="23" s="1"/>
  <c r="P106" i="23" s="1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D99" i="23"/>
  <c r="G99" i="23"/>
  <c r="H99" i="23"/>
  <c r="I99" i="23"/>
  <c r="J99" i="23"/>
  <c r="K99" i="23"/>
  <c r="L99" i="23"/>
  <c r="M99" i="23"/>
  <c r="N99" i="23"/>
  <c r="O99" i="23"/>
  <c r="P99" i="23"/>
  <c r="Q99" i="23"/>
  <c r="H100" i="23"/>
  <c r="H101" i="23"/>
  <c r="E102" i="23"/>
  <c r="E105" i="23" s="1"/>
  <c r="M120" i="23" s="1"/>
  <c r="L120" i="23" s="1"/>
  <c r="L123" i="23" s="1"/>
  <c r="P104" i="23" s="1"/>
  <c r="H102" i="23"/>
  <c r="L102" i="23"/>
  <c r="M102" i="23"/>
  <c r="M107" i="23" s="1"/>
  <c r="L103" i="23"/>
  <c r="M103" i="23"/>
  <c r="C104" i="23"/>
  <c r="E104" i="23"/>
  <c r="L107" i="23"/>
  <c r="P102" i="23" s="1"/>
  <c r="L110" i="23"/>
  <c r="M110" i="23"/>
  <c r="M111" i="23"/>
  <c r="L111" i="23" s="1"/>
  <c r="L115" i="23" s="1"/>
  <c r="P103" i="23" s="1"/>
  <c r="M115" i="23"/>
  <c r="L118" i="23"/>
  <c r="M118" i="23"/>
  <c r="L119" i="23"/>
  <c r="M119" i="23"/>
  <c r="M123" i="23"/>
  <c r="L126" i="23"/>
  <c r="M126" i="23"/>
  <c r="L127" i="23"/>
  <c r="L131" i="23" s="1"/>
  <c r="P105" i="23" s="1"/>
  <c r="M127" i="23"/>
  <c r="M131" i="23"/>
  <c r="I3" i="24"/>
  <c r="I4" i="24"/>
  <c r="I5" i="24"/>
  <c r="I6" i="24"/>
  <c r="I7" i="24"/>
  <c r="I8" i="24"/>
  <c r="C69" i="24" s="1"/>
  <c r="I9" i="24"/>
  <c r="I10" i="24"/>
  <c r="I11" i="24"/>
  <c r="I66" i="24" s="1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C71" i="24" s="1"/>
  <c r="I61" i="24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E69" i="24"/>
  <c r="E72" i="24" s="1"/>
  <c r="M87" i="24" s="1"/>
  <c r="L87" i="24" s="1"/>
  <c r="H69" i="24"/>
  <c r="L69" i="24"/>
  <c r="M69" i="24"/>
  <c r="P69" i="24"/>
  <c r="L70" i="24"/>
  <c r="M70" i="24"/>
  <c r="E71" i="24"/>
  <c r="L74" i="24"/>
  <c r="M74" i="24"/>
  <c r="L77" i="24"/>
  <c r="M77" i="24"/>
  <c r="L78" i="24"/>
  <c r="M78" i="24"/>
  <c r="L82" i="24"/>
  <c r="P70" i="24" s="1"/>
  <c r="M82" i="24"/>
  <c r="L85" i="24"/>
  <c r="M85" i="24"/>
  <c r="M86" i="24"/>
  <c r="L86" i="24" s="1"/>
  <c r="M90" i="24"/>
  <c r="L93" i="24"/>
  <c r="M93" i="24"/>
  <c r="M94" i="24"/>
  <c r="L94" i="24" s="1"/>
  <c r="M98" i="24"/>
  <c r="I3" i="25"/>
  <c r="I58" i="25" s="1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H60" i="25"/>
  <c r="E61" i="25"/>
  <c r="E64" i="25" s="1"/>
  <c r="M63" i="25" s="1"/>
  <c r="L63" i="25" s="1"/>
  <c r="L66" i="25" s="1"/>
  <c r="P61" i="25" s="1"/>
  <c r="H61" i="25"/>
  <c r="L61" i="25"/>
  <c r="M61" i="25"/>
  <c r="M66" i="25" s="1"/>
  <c r="L62" i="25"/>
  <c r="M62" i="25"/>
  <c r="C63" i="25"/>
  <c r="E63" i="25"/>
  <c r="I67" i="25"/>
  <c r="L69" i="25"/>
  <c r="M69" i="25"/>
  <c r="L70" i="25"/>
  <c r="L74" i="25" s="1"/>
  <c r="P62" i="25" s="1"/>
  <c r="M70" i="25"/>
  <c r="M74" i="25"/>
  <c r="L77" i="25"/>
  <c r="M77" i="25"/>
  <c r="M78" i="25"/>
  <c r="L78" i="25" s="1"/>
  <c r="M82" i="25"/>
  <c r="L85" i="25"/>
  <c r="M85" i="25"/>
  <c r="L86" i="25"/>
  <c r="L90" i="25" s="1"/>
  <c r="P64" i="25" s="1"/>
  <c r="M86" i="25"/>
  <c r="M90" i="25"/>
  <c r="I3" i="26"/>
  <c r="I63" i="26" s="1"/>
  <c r="I4" i="26"/>
  <c r="I5" i="26"/>
  <c r="I6" i="26"/>
  <c r="R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J63" i="26"/>
  <c r="K63" i="26"/>
  <c r="L63" i="26"/>
  <c r="M63" i="26"/>
  <c r="N63" i="26"/>
  <c r="O63" i="26"/>
  <c r="P63" i="26"/>
  <c r="Q63" i="26"/>
  <c r="H64" i="26"/>
  <c r="L67" i="26" s="1"/>
  <c r="H65" i="26"/>
  <c r="E66" i="26"/>
  <c r="H66" i="26"/>
  <c r="L66" i="26"/>
  <c r="M66" i="26"/>
  <c r="M67" i="26"/>
  <c r="C68" i="26"/>
  <c r="E68" i="26"/>
  <c r="E69" i="26"/>
  <c r="M71" i="26"/>
  <c r="L74" i="26"/>
  <c r="M74" i="26"/>
  <c r="M79" i="26" s="1"/>
  <c r="L75" i="26"/>
  <c r="M75" i="26"/>
  <c r="M76" i="26"/>
  <c r="L76" i="26" s="1"/>
  <c r="L82" i="26"/>
  <c r="L87" i="26" s="1"/>
  <c r="P68" i="26" s="1"/>
  <c r="M82" i="26"/>
  <c r="L83" i="26"/>
  <c r="M83" i="26"/>
  <c r="M87" i="26"/>
  <c r="L90" i="26"/>
  <c r="L95" i="26" s="1"/>
  <c r="P69" i="26" s="1"/>
  <c r="M90" i="26"/>
  <c r="M91" i="26"/>
  <c r="L91" i="26" s="1"/>
  <c r="M95" i="26"/>
  <c r="I3" i="27"/>
  <c r="I4" i="27"/>
  <c r="I68" i="27" s="1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H70" i="27"/>
  <c r="L72" i="27" s="1"/>
  <c r="L76" i="27" s="1"/>
  <c r="P71" i="27" s="1"/>
  <c r="C71" i="27"/>
  <c r="C74" i="27" s="1"/>
  <c r="C78" i="27" s="1"/>
  <c r="P74" i="27" s="1"/>
  <c r="E71" i="27"/>
  <c r="H71" i="27"/>
  <c r="L71" i="27"/>
  <c r="C73" i="27"/>
  <c r="E73" i="27"/>
  <c r="E74" i="27"/>
  <c r="H75" i="27"/>
  <c r="M76" i="27"/>
  <c r="L79" i="27"/>
  <c r="M79" i="27"/>
  <c r="M84" i="27" s="1"/>
  <c r="L80" i="27"/>
  <c r="M80" i="27"/>
  <c r="M81" i="27"/>
  <c r="L81" i="27" s="1"/>
  <c r="L84" i="27" s="1"/>
  <c r="P72" i="27" s="1"/>
  <c r="L87" i="27"/>
  <c r="L92" i="27" s="1"/>
  <c r="P73" i="27" s="1"/>
  <c r="M87" i="27"/>
  <c r="M88" i="27"/>
  <c r="L88" i="27" s="1"/>
  <c r="M92" i="27"/>
  <c r="I3" i="28"/>
  <c r="C58" i="28" s="1"/>
  <c r="C61" i="28" s="1"/>
  <c r="C65" i="28" s="1"/>
  <c r="P61" i="28" s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D55" i="28"/>
  <c r="G55" i="28"/>
  <c r="H55" i="28"/>
  <c r="J55" i="28"/>
  <c r="K55" i="28"/>
  <c r="L55" i="28"/>
  <c r="M55" i="28"/>
  <c r="N55" i="28"/>
  <c r="O55" i="28"/>
  <c r="P55" i="28"/>
  <c r="Q55" i="28"/>
  <c r="H56" i="28"/>
  <c r="L59" i="28" s="1"/>
  <c r="L63" i="28" s="1"/>
  <c r="P58" i="28" s="1"/>
  <c r="H57" i="28"/>
  <c r="E58" i="28"/>
  <c r="H58" i="28"/>
  <c r="L58" i="28"/>
  <c r="M58" i="28"/>
  <c r="M63" i="28" s="1"/>
  <c r="M59" i="28"/>
  <c r="C60" i="28"/>
  <c r="E60" i="28"/>
  <c r="E61" i="28"/>
  <c r="L66" i="28"/>
  <c r="L73" i="28" s="1"/>
  <c r="P59" i="28" s="1"/>
  <c r="M66" i="28"/>
  <c r="M73" i="28" s="1"/>
  <c r="M67" i="28"/>
  <c r="L67" i="28" s="1"/>
  <c r="L68" i="28"/>
  <c r="M68" i="28"/>
  <c r="L76" i="28"/>
  <c r="M76" i="28"/>
  <c r="M81" i="28" s="1"/>
  <c r="M77" i="28"/>
  <c r="L77" i="28" s="1"/>
  <c r="L81" i="28" s="1"/>
  <c r="P60" i="28" s="1"/>
  <c r="I3" i="29"/>
  <c r="I4" i="29"/>
  <c r="I127" i="29" s="1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02" i="29"/>
  <c r="I103" i="29"/>
  <c r="I104" i="29"/>
  <c r="I105" i="29"/>
  <c r="I106" i="29"/>
  <c r="I107" i="29"/>
  <c r="I108" i="29"/>
  <c r="I109" i="29"/>
  <c r="I110" i="29"/>
  <c r="I111" i="29"/>
  <c r="I112" i="29"/>
  <c r="I113" i="29"/>
  <c r="I114" i="29"/>
  <c r="I115" i="29"/>
  <c r="I116" i="29"/>
  <c r="I117" i="29"/>
  <c r="I118" i="29"/>
  <c r="I119" i="29"/>
  <c r="I120" i="29"/>
  <c r="C132" i="29" s="1"/>
  <c r="I121" i="29"/>
  <c r="I122" i="29"/>
  <c r="I123" i="29"/>
  <c r="I124" i="29"/>
  <c r="I125" i="29"/>
  <c r="D127" i="29"/>
  <c r="G127" i="29"/>
  <c r="H127" i="29"/>
  <c r="J127" i="29"/>
  <c r="K127" i="29"/>
  <c r="L127" i="29"/>
  <c r="M127" i="29"/>
  <c r="N127" i="29"/>
  <c r="O127" i="29"/>
  <c r="P127" i="29"/>
  <c r="Q127" i="29"/>
  <c r="H128" i="29"/>
  <c r="L147" i="29" s="1"/>
  <c r="L151" i="29" s="1"/>
  <c r="P132" i="29" s="1"/>
  <c r="I128" i="29"/>
  <c r="H129" i="29"/>
  <c r="E130" i="29"/>
  <c r="E133" i="29" s="1"/>
  <c r="M140" i="29" s="1"/>
  <c r="L140" i="29" s="1"/>
  <c r="H130" i="29"/>
  <c r="L130" i="29"/>
  <c r="M130" i="29"/>
  <c r="M135" i="29" s="1"/>
  <c r="M131" i="29"/>
  <c r="L131" i="29" s="1"/>
  <c r="L135" i="29" s="1"/>
  <c r="P130" i="29" s="1"/>
  <c r="E132" i="29"/>
  <c r="L138" i="29"/>
  <c r="L143" i="29" s="1"/>
  <c r="P131" i="29" s="1"/>
  <c r="M138" i="29"/>
  <c r="M143" i="29" s="1"/>
  <c r="M139" i="29"/>
  <c r="L139" i="29" s="1"/>
  <c r="L146" i="29"/>
  <c r="M146" i="29"/>
  <c r="M147" i="29"/>
  <c r="M151" i="29"/>
  <c r="L154" i="29"/>
  <c r="M154" i="29"/>
  <c r="M155" i="29"/>
  <c r="L155" i="29" s="1"/>
  <c r="M159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D51" i="30"/>
  <c r="G51" i="30"/>
  <c r="H51" i="30"/>
  <c r="J51" i="30"/>
  <c r="K51" i="30"/>
  <c r="L51" i="30"/>
  <c r="M51" i="30"/>
  <c r="N51" i="30"/>
  <c r="O51" i="30"/>
  <c r="P51" i="30"/>
  <c r="Q51" i="30"/>
  <c r="H52" i="30"/>
  <c r="L80" i="30" s="1"/>
  <c r="H53" i="30"/>
  <c r="E54" i="30"/>
  <c r="E57" i="30" s="1"/>
  <c r="M56" i="30" s="1"/>
  <c r="L56" i="30" s="1"/>
  <c r="H54" i="30"/>
  <c r="L54" i="30"/>
  <c r="M54" i="30"/>
  <c r="M59" i="30" s="1"/>
  <c r="M55" i="30"/>
  <c r="L55" i="30" s="1"/>
  <c r="C56" i="30"/>
  <c r="E56" i="30"/>
  <c r="L62" i="30"/>
  <c r="M62" i="30"/>
  <c r="M68" i="30" s="1"/>
  <c r="M63" i="30"/>
  <c r="L63" i="30" s="1"/>
  <c r="C64" i="30"/>
  <c r="C67" i="30" s="1"/>
  <c r="C71" i="30" s="1"/>
  <c r="E64" i="30"/>
  <c r="E67" i="30" s="1"/>
  <c r="L71" i="30"/>
  <c r="M71" i="30"/>
  <c r="M76" i="30" s="1"/>
  <c r="M72" i="30"/>
  <c r="L72" i="30" s="1"/>
  <c r="L76" i="30" s="1"/>
  <c r="P56" i="30" s="1"/>
  <c r="L79" i="30"/>
  <c r="M79" i="30"/>
  <c r="M84" i="30" s="1"/>
  <c r="M80" i="30"/>
  <c r="I39" i="31"/>
  <c r="I4" i="31"/>
  <c r="I5" i="31"/>
  <c r="I6" i="31"/>
  <c r="I7" i="31"/>
  <c r="I8" i="31"/>
  <c r="I27" i="31"/>
  <c r="I9" i="31"/>
  <c r="I40" i="31"/>
  <c r="I41" i="31"/>
  <c r="I28" i="31"/>
  <c r="I42" i="31"/>
  <c r="I10" i="31"/>
  <c r="I43" i="31"/>
  <c r="I11" i="31"/>
  <c r="I12" i="31"/>
  <c r="I3" i="31"/>
  <c r="I13" i="31"/>
  <c r="I44" i="31"/>
  <c r="I45" i="31"/>
  <c r="I14" i="31"/>
  <c r="I15" i="31"/>
  <c r="I16" i="31"/>
  <c r="I46" i="31"/>
  <c r="I17" i="31"/>
  <c r="I18" i="31"/>
  <c r="I29" i="31"/>
  <c r="I47" i="31"/>
  <c r="I48" i="31"/>
  <c r="I30" i="31"/>
  <c r="I49" i="31"/>
  <c r="I50" i="31"/>
  <c r="I19" i="31"/>
  <c r="I20" i="31"/>
  <c r="I21" i="31"/>
  <c r="I22" i="31"/>
  <c r="I31" i="31"/>
  <c r="I51" i="31"/>
  <c r="I32" i="31"/>
  <c r="I23" i="31"/>
  <c r="I33" i="31"/>
  <c r="I52" i="31"/>
  <c r="I53" i="31"/>
  <c r="I24" i="31"/>
  <c r="I25" i="31"/>
  <c r="I54" i="31"/>
  <c r="I55" i="31"/>
  <c r="I34" i="31"/>
  <c r="I35" i="31"/>
  <c r="I56" i="31"/>
  <c r="I36" i="31"/>
  <c r="I26" i="31"/>
  <c r="I57" i="31"/>
  <c r="I37" i="31"/>
  <c r="I58" i="31"/>
  <c r="I59" i="31"/>
  <c r="I60" i="31"/>
  <c r="I38" i="31"/>
  <c r="D62" i="31"/>
  <c r="G62" i="31"/>
  <c r="H62" i="31"/>
  <c r="J62" i="31"/>
  <c r="K62" i="31"/>
  <c r="L62" i="31"/>
  <c r="M62" i="31"/>
  <c r="N62" i="31"/>
  <c r="O62" i="31"/>
  <c r="P62" i="31"/>
  <c r="Q62" i="31"/>
  <c r="H63" i="31"/>
  <c r="H64" i="31"/>
  <c r="L74" i="31" s="1"/>
  <c r="E65" i="31"/>
  <c r="E68" i="31" s="1"/>
  <c r="M83" i="31" s="1"/>
  <c r="L83" i="31" s="1"/>
  <c r="H65" i="31"/>
  <c r="L65" i="31"/>
  <c r="M65" i="31"/>
  <c r="M70" i="31" s="1"/>
  <c r="M66" i="31"/>
  <c r="L66" i="31" s="1"/>
  <c r="C67" i="31"/>
  <c r="E67" i="31"/>
  <c r="L73" i="31"/>
  <c r="M73" i="31"/>
  <c r="M78" i="31" s="1"/>
  <c r="M74" i="31"/>
  <c r="L81" i="31"/>
  <c r="M81" i="31"/>
  <c r="M86" i="31" s="1"/>
  <c r="M82" i="31"/>
  <c r="L82" i="31" s="1"/>
  <c r="L89" i="31"/>
  <c r="M89" i="31"/>
  <c r="M94" i="31" s="1"/>
  <c r="M90" i="31"/>
  <c r="L90" i="31" s="1"/>
  <c r="E29" i="19" a="1"/>
  <c r="D4" i="19" a="1"/>
  <c r="D3" i="19" a="1"/>
  <c r="D15" i="19" a="1"/>
  <c r="B9" i="19"/>
  <c r="C18" i="19"/>
  <c r="D19" i="19" a="1"/>
  <c r="B21" i="19"/>
  <c r="C23" i="19"/>
  <c r="C27" i="19"/>
  <c r="B23" i="19"/>
  <c r="C24" i="19"/>
  <c r="D22" i="19" a="1"/>
  <c r="B6" i="19"/>
  <c r="D14" i="19" a="1"/>
  <c r="C9" i="19"/>
  <c r="B15" i="19"/>
  <c r="D13" i="19" a="1"/>
  <c r="B25" i="19"/>
  <c r="C21" i="19"/>
  <c r="B17" i="19"/>
  <c r="C7" i="19"/>
  <c r="D21" i="19" a="1"/>
  <c r="C12" i="19"/>
  <c r="D16" i="19" a="1"/>
  <c r="B5" i="19"/>
  <c r="D9" i="19" a="1"/>
  <c r="D5" i="19" a="1"/>
  <c r="D10" i="19" a="1"/>
  <c r="C19" i="19"/>
  <c r="B13" i="19"/>
  <c r="B18" i="19"/>
  <c r="D26" i="19" a="1"/>
  <c r="C5" i="19"/>
  <c r="D7" i="19" a="1"/>
  <c r="C14" i="19"/>
  <c r="C26" i="19"/>
  <c r="B11" i="19"/>
  <c r="B12" i="19"/>
  <c r="D6" i="19" a="1"/>
  <c r="C11" i="19"/>
  <c r="D20" i="19" a="1"/>
  <c r="C3" i="19"/>
  <c r="B16" i="19"/>
  <c r="B7" i="19"/>
  <c r="B24" i="19"/>
  <c r="D11" i="19" a="1"/>
  <c r="B19" i="19"/>
  <c r="C4" i="19"/>
  <c r="B20" i="19"/>
  <c r="C8" i="19"/>
  <c r="D25" i="19" a="1"/>
  <c r="C17" i="19"/>
  <c r="D23" i="19" a="1"/>
  <c r="C20" i="19"/>
  <c r="D3" i="19"/>
  <c r="C22" i="19"/>
  <c r="D12" i="19" a="1"/>
  <c r="B10" i="19"/>
  <c r="C13" i="19"/>
  <c r="C6" i="19"/>
  <c r="D24" i="19" a="1"/>
  <c r="D4" i="19"/>
  <c r="B14" i="19"/>
  <c r="C16" i="19"/>
  <c r="D18" i="19" a="1"/>
  <c r="C10" i="19"/>
  <c r="B8" i="19"/>
  <c r="B22" i="19"/>
  <c r="C15" i="19"/>
  <c r="D8" i="19" a="1"/>
  <c r="D17" i="19" a="1"/>
  <c r="D27" i="19" a="1"/>
  <c r="C25" i="19"/>
  <c r="L68" i="30" l="1"/>
  <c r="P55" i="30" s="1"/>
  <c r="L59" i="30"/>
  <c r="C61" i="30"/>
  <c r="P58" i="30" s="1"/>
  <c r="L70" i="31"/>
  <c r="L94" i="31"/>
  <c r="P68" i="31" s="1"/>
  <c r="C65" i="31"/>
  <c r="C68" i="31" s="1"/>
  <c r="C72" i="31" s="1"/>
  <c r="P69" i="31" s="1"/>
  <c r="I62" i="3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18" i="19"/>
  <c r="E18" i="19" s="1"/>
  <c r="D15" i="19"/>
  <c r="E15" i="19" s="1"/>
  <c r="D12" i="19"/>
  <c r="E12" i="19" s="1"/>
  <c r="D9" i="19"/>
  <c r="E9" i="19" s="1"/>
  <c r="D6" i="19"/>
  <c r="E6" i="19" s="1"/>
  <c r="D27" i="19"/>
  <c r="D21" i="19"/>
  <c r="E21" i="19" s="1"/>
  <c r="D24" i="19"/>
  <c r="E24" i="19" s="1"/>
  <c r="D23" i="19"/>
  <c r="E23" i="19" s="1"/>
  <c r="D20" i="19"/>
  <c r="E20" i="19" s="1"/>
  <c r="D17" i="19"/>
  <c r="E17" i="19" s="1"/>
  <c r="D14" i="19"/>
  <c r="E14" i="19" s="1"/>
  <c r="D11" i="19"/>
  <c r="E11" i="19" s="1"/>
  <c r="D8" i="19"/>
  <c r="E8" i="19" s="1"/>
  <c r="D5" i="19"/>
  <c r="E5" i="19" s="1"/>
  <c r="D26" i="19"/>
  <c r="L42" i="6"/>
  <c r="P30" i="6" s="1"/>
  <c r="L71" i="26"/>
  <c r="P66" i="26" s="1"/>
  <c r="L82" i="25"/>
  <c r="P63" i="25" s="1"/>
  <c r="L65" i="10"/>
  <c r="P60" i="10" s="1"/>
  <c r="P64" i="10" s="1"/>
  <c r="P45" i="18"/>
  <c r="L65" i="13"/>
  <c r="P46" i="13" s="1"/>
  <c r="L84" i="30"/>
  <c r="P57" i="30" s="1"/>
  <c r="L79" i="21"/>
  <c r="P60" i="21" s="1"/>
  <c r="P63" i="21" s="1"/>
  <c r="P39" i="11"/>
  <c r="L41" i="2"/>
  <c r="L56" i="22"/>
  <c r="P44" i="22" s="1"/>
  <c r="P48" i="22" s="1"/>
  <c r="L98" i="24"/>
  <c r="P72" i="24" s="1"/>
  <c r="L159" i="29"/>
  <c r="P133" i="29" s="1"/>
  <c r="P62" i="28"/>
  <c r="L57" i="13"/>
  <c r="P45" i="13" s="1"/>
  <c r="P48" i="13" s="1"/>
  <c r="L34" i="6"/>
  <c r="P75" i="27"/>
  <c r="L84" i="16"/>
  <c r="P72" i="16" s="1"/>
  <c r="L79" i="26"/>
  <c r="P67" i="26" s="1"/>
  <c r="L90" i="24"/>
  <c r="P71" i="24" s="1"/>
  <c r="P107" i="23"/>
  <c r="P62" i="20"/>
  <c r="P74" i="24"/>
  <c r="P36" i="17"/>
  <c r="L86" i="31"/>
  <c r="P67" i="31" s="1"/>
  <c r="L76" i="16"/>
  <c r="P71" i="16" s="1"/>
  <c r="P54" i="8"/>
  <c r="L78" i="31"/>
  <c r="P66" i="31" s="1"/>
  <c r="L70" i="20"/>
  <c r="P58" i="20" s="1"/>
  <c r="L77" i="15"/>
  <c r="P51" i="15" s="1"/>
  <c r="C72" i="24"/>
  <c r="C76" i="24" s="1"/>
  <c r="P73" i="24" s="1"/>
  <c r="L64" i="22"/>
  <c r="P45" i="22" s="1"/>
  <c r="L69" i="18"/>
  <c r="P43" i="18" s="1"/>
  <c r="I55" i="28"/>
  <c r="C66" i="26"/>
  <c r="C69" i="26" s="1"/>
  <c r="C73" i="26" s="1"/>
  <c r="P70" i="26" s="1"/>
  <c r="I55" i="21"/>
  <c r="C48" i="15"/>
  <c r="C51" i="15" s="1"/>
  <c r="C55" i="15" s="1"/>
  <c r="P52" i="15" s="1"/>
  <c r="P53" i="15" s="1"/>
  <c r="C52" i="12"/>
  <c r="C55" i="12" s="1"/>
  <c r="C59" i="12" s="1"/>
  <c r="P56" i="12" s="1"/>
  <c r="P57" i="12" s="1"/>
  <c r="I51" i="30"/>
  <c r="I37" i="18"/>
  <c r="I41" i="13"/>
  <c r="C61" i="25"/>
  <c r="C64" i="25" s="1"/>
  <c r="C68" i="25" s="1"/>
  <c r="P65" i="25" s="1"/>
  <c r="P66" i="25" s="1"/>
  <c r="I54" i="20"/>
  <c r="I57" i="10"/>
  <c r="C133" i="29"/>
  <c r="B4" i="19"/>
  <c r="B26" i="19"/>
  <c r="B3" i="19"/>
  <c r="B27" i="19"/>
  <c r="C137" i="29" l="1"/>
  <c r="P134" i="29" s="1"/>
  <c r="P136" i="29" s="1"/>
  <c r="E26" i="19"/>
  <c r="P54" i="30"/>
  <c r="P59" i="30" s="1"/>
  <c r="E27" i="19"/>
  <c r="P65" i="31"/>
  <c r="P70" i="31" s="1"/>
  <c r="E4" i="19"/>
  <c r="E3" i="19"/>
  <c r="P77" i="16"/>
  <c r="P29" i="6"/>
  <c r="P33" i="6" s="1"/>
  <c r="P71" i="26"/>
  <c r="P29" i="2"/>
  <c r="P32" i="2" s="1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<sst xmlns="http://schemas.openxmlformats.org/spreadsheetml/2006/main" count="11399" uniqueCount="3251">
  <si>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</si>
  <si>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</si>
  <si>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</si>
  <si>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</si>
  <si>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</si>
  <si>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</si>
  <si>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</si>
  <si>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</si>
  <si>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</si>
  <si>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</si>
  <si>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</si>
  <si>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</si>
  <si>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</si>
  <si>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</si>
  <si>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</si>
  <si>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</si>
  <si>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</si>
  <si>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</si>
  <si>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</si>
  <si>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</si>
  <si>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</si>
  <si>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</si>
  <si>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</si>
  <si>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</si>
  <si>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</si>
  <si>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</si>
  <si>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</si>
  <si>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</si>
  <si>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</si>
  <si>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</si>
  <si>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</si>
  <si>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</si>
  <si>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</si>
  <si>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</si>
  <si>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</si>
  <si>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</si>
  <si>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</si>
  <si>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</si>
  <si>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</si>
  <si>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</si>
  <si>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</si>
  <si>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</si>
  <si>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</si>
  <si>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</si>
  <si>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</si>
  <si>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</si>
  <si>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</si>
  <si>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</si>
  <si>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</si>
  <si>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</si>
  <si>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</si>
  <si>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</si>
  <si>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</si>
  <si>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</si>
  <si>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</si>
  <si>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</si>
  <si>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</si>
  <si>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</si>
  <si>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</si>
  <si>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</si>
  <si>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</si>
  <si>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</si>
  <si>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</si>
  <si>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</si>
  <si>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</si>
  <si>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</si>
  <si>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</si>
  <si>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</si>
  <si>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</si>
  <si>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</si>
  <si>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</si>
  <si>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</si>
  <si>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</si>
  <si>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</si>
  <si>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</si>
  <si>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</si>
  <si>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</si>
  <si>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</si>
  <si>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</si>
  <si>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</si>
  <si>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</si>
  <si>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</si>
  <si>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</si>
  <si>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</si>
  <si>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</si>
  <si>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</si>
  <si>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</si>
  <si>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</si>
  <si>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</si>
  <si>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</si>
  <si>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</si>
  <si>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</si>
  <si>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</si>
  <si>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</si>
  <si>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</si>
  <si>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</si>
  <si>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</si>
  <si>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</si>
  <si>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</si>
  <si>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</si>
  <si>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</si>
  <si>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</si>
  <si>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</si>
  <si>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</si>
  <si>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</si>
  <si>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</si>
  <si>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</si>
  <si>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</si>
  <si>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</si>
  <si>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</si>
  <si>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</si>
  <si>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</si>
  <si>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</si>
  <si>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</si>
  <si>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</si>
  <si>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</si>
  <si>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</si>
  <si>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</si>
  <si>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</si>
  <si>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</si>
  <si>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</si>
  <si>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</si>
  <si>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</si>
  <si>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</si>
  <si>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</si>
  <si>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</si>
  <si>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</si>
  <si>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</si>
  <si>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</si>
  <si>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</si>
  <si>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</si>
  <si>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</si>
  <si>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</si>
  <si>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</si>
  <si>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</si>
  <si>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</si>
  <si>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</si>
  <si>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</si>
  <si>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</si>
  <si>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</si>
  <si>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</si>
  <si>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</si>
  <si>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</si>
  <si>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</si>
  <si>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</si>
  <si>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</si>
  <si>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</si>
  <si>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</si>
  <si>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</si>
  <si>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</si>
  <si>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</si>
  <si>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</si>
  <si>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</si>
  <si>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</si>
  <si>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</si>
  <si>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</si>
  <si>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</si>
  <si>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</si>
  <si>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</si>
  <si>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</si>
  <si>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</si>
  <si>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</si>
  <si>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</si>
  <si>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</si>
  <si>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</si>
  <si>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</si>
  <si>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</si>
  <si>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</si>
  <si>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</si>
  <si>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</si>
  <si>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</si>
  <si>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</si>
  <si>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</si>
  <si>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</si>
  <si>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</si>
  <si>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</si>
  <si>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</si>
  <si>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</si>
  <si>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</si>
  <si>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</si>
  <si>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</si>
  <si>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</si>
  <si>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</si>
  <si>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</si>
  <si>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</si>
  <si>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</si>
  <si>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</si>
  <si>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</si>
  <si>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</si>
  <si>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</si>
  <si>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</si>
  <si>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</si>
  <si>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</si>
  <si>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</si>
  <si>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</si>
  <si>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</si>
  <si>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</si>
  <si>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</si>
  <si>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</si>
  <si>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</si>
  <si>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</si>
  <si>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</si>
  <si>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</si>
  <si>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</si>
  <si>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</si>
  <si>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</si>
  <si>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</si>
  <si>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</si>
  <si>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</si>
  <si>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</si>
  <si>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</si>
  <si>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</si>
  <si>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</si>
  <si>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</si>
  <si>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</si>
  <si>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</si>
  <si>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</si>
  <si>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</si>
  <si>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</si>
  <si>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</si>
  <si>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</si>
  <si>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</si>
  <si>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</si>
  <si>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</si>
  <si>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</si>
  <si>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</si>
  <si>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</si>
  <si>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</si>
  <si>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</si>
  <si>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</si>
  <si>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</si>
  <si>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</si>
  <si>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</si>
  <si>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</si>
  <si>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</si>
  <si>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</si>
  <si>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</si>
  <si>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</si>
  <si>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</si>
  <si>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</si>
  <si>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</si>
  <si>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</si>
  <si>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</si>
  <si>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</si>
  <si>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</si>
  <si>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</si>
  <si>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</si>
  <si>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</si>
  <si>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</si>
  <si>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</si>
  <si>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</si>
  <si>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</si>
  <si>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</si>
  <si>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</si>
  <si>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</si>
  <si>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</si>
  <si>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</si>
  <si>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</si>
  <si>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</si>
  <si>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</si>
  <si>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</si>
  <si>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</si>
  <si>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</si>
  <si>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</si>
  <si>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</si>
  <si>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</si>
  <si>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</si>
  <si>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</si>
  <si>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</si>
  <si>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</si>
  <si>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</si>
  <si>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</si>
  <si>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</si>
  <si>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</si>
  <si>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</si>
  <si>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</si>
  <si>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</si>
  <si>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</si>
  <si>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</si>
  <si>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</si>
  <si>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</si>
  <si>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</si>
  <si>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</si>
  <si>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</si>
  <si>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</si>
  <si>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</si>
  <si>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</si>
  <si>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</si>
  <si>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</si>
  <si>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</si>
  <si>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</si>
  <si>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</si>
  <si>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</si>
  <si>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</si>
  <si>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</si>
  <si>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</si>
  <si>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</si>
  <si>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</si>
  <si>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</si>
  <si>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</si>
  <si>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</si>
  <si>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</si>
  <si>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</si>
  <si>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</si>
  <si>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</si>
  <si>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</si>
  <si>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</si>
  <si>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</si>
  <si>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</si>
  <si>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</si>
  <si>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</si>
  <si>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</si>
  <si>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</si>
  <si>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</si>
  <si>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</si>
  <si>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</si>
  <si>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</si>
  <si>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</si>
  <si>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</si>
  <si>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</si>
  <si>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</si>
  <si>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</si>
  <si>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</si>
  <si>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</si>
  <si>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</si>
  <si>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</si>
  <si>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</si>
  <si>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</si>
  <si>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</si>
  <si>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</si>
  <si>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</si>
  <si>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</si>
  <si>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</si>
  <si>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</si>
  <si>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</si>
  <si>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</si>
  <si>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</si>
  <si>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</si>
  <si>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</si>
  <si>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</si>
  <si>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</si>
  <si>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</si>
  <si>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</si>
  <si>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</si>
  <si>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</si>
  <si>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</si>
  <si>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</si>
  <si>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</si>
  <si>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</si>
  <si>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</si>
  <si>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</si>
  <si>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</si>
  <si>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</si>
  <si>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</si>
  <si>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</si>
  <si>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</si>
  <si>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</si>
  <si>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</si>
  <si>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</si>
  <si>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</si>
  <si>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</si>
  <si>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</si>
  <si>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</si>
  <si>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</si>
  <si>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</si>
  <si>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</si>
  <si>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</si>
  <si>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</si>
  <si>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</si>
  <si>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</si>
  <si>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</si>
  <si>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</si>
  <si>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</si>
  <si>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</si>
  <si>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</si>
  <si>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</si>
  <si>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</si>
  <si>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</si>
  <si>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</si>
  <si>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</si>
  <si>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</si>
  <si>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</si>
  <si>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</si>
  <si>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</si>
  <si>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</si>
  <si>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</si>
  <si>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</si>
  <si>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</si>
  <si>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</si>
  <si>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</si>
  <si>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</si>
  <si>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</si>
  <si>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</si>
  <si>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</si>
  <si>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</si>
  <si>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</si>
  <si>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</si>
  <si>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</si>
  <si>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</si>
  <si>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</si>
  <si>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</si>
  <si>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</si>
  <si>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</si>
  <si>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</si>
  <si>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</si>
  <si>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</si>
  <si>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</si>
  <si>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</si>
  <si>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</si>
  <si>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</si>
  <si>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</si>
  <si>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</si>
  <si>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</si>
  <si>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</si>
  <si>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</si>
  <si>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</si>
  <si>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</si>
  <si>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</si>
  <si>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</si>
  <si>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</si>
  <si>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</si>
  <si>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</si>
  <si>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</si>
  <si>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</si>
  <si>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</si>
  <si>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</si>
  <si>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</si>
  <si>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</si>
  <si>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</si>
  <si>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</si>
  <si>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</si>
  <si>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</si>
  <si>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</si>
  <si>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</si>
  <si>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</si>
  <si>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</si>
  <si>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</si>
  <si>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</si>
  <si>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</si>
  <si>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</si>
  <si>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</si>
  <si>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</si>
  <si>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</si>
  <si>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</si>
  <si>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</si>
  <si>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</si>
  <si>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</si>
  <si>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</si>
  <si>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</si>
  <si>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</si>
  <si>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</si>
  <si>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</si>
  <si>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</si>
  <si>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</si>
  <si>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</si>
  <si>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</si>
  <si>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</si>
  <si>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</si>
  <si>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</si>
  <si>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</si>
  <si>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</si>
  <si>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</si>
  <si>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</si>
  <si>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</si>
  <si>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</si>
  <si>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</si>
  <si>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</si>
  <si>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</si>
  <si>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</si>
  <si>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</si>
  <si>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</si>
  <si>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</si>
  <si>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</si>
  <si>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</si>
  <si>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</si>
  <si>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</si>
  <si>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</si>
  <si>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</si>
  <si>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</si>
  <si>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</si>
  <si>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</si>
  <si>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</si>
  <si>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</si>
  <si>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</si>
  <si>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</si>
  <si>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</si>
  <si>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</si>
  <si>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</si>
  <si>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</si>
  <si>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</si>
  <si>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</si>
  <si>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</si>
  <si>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</si>
  <si>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</si>
  <si>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</si>
  <si>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</si>
  <si>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</si>
  <si>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</si>
  <si>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</si>
  <si>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</si>
  <si>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</si>
  <si>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</si>
  <si>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</si>
  <si>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</si>
  <si>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</si>
  <si>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</si>
  <si>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</si>
  <si>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</si>
  <si>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</si>
  <si>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</si>
  <si>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</si>
  <si>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</si>
  <si>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</si>
  <si>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</si>
  <si>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</si>
  <si>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</si>
  <si>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</si>
  <si>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</si>
  <si>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</si>
  <si>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</si>
  <si>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</si>
  <si>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</si>
  <si>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</si>
  <si>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</si>
  <si>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</si>
  <si>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</si>
  <si>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</si>
  <si>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</si>
  <si>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</si>
  <si>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</si>
  <si>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</si>
  <si>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</si>
  <si>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</si>
  <si>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</si>
  <si>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</si>
  <si>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</si>
  <si>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</si>
  <si>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</si>
  <si>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</si>
  <si>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</si>
  <si>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</si>
  <si>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</si>
  <si>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</si>
  <si>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</si>
  <si>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</si>
  <si>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</si>
  <si>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</si>
  <si>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</si>
  <si>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</si>
  <si>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</si>
  <si>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</si>
  <si>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</si>
  <si>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</si>
  <si>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</si>
  <si>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</si>
  <si>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</si>
  <si>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</si>
  <si>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</si>
  <si>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</si>
  <si>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</si>
  <si>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</si>
  <si>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</si>
  <si>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</si>
  <si>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</si>
  <si>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</si>
  <si>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</si>
  <si>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</si>
  <si>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</si>
  <si>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</si>
  <si>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</si>
  <si>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</si>
  <si>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</si>
  <si>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</si>
  <si>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</si>
  <si>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</si>
  <si>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</si>
  <si>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</si>
  <si>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</si>
  <si>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</si>
  <si>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</si>
  <si>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</si>
  <si>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</si>
  <si>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</si>
  <si>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</si>
  <si>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</si>
  <si>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</si>
  <si>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</si>
  <si>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</si>
  <si>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</si>
  <si>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</si>
  <si>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</si>
  <si>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</si>
  <si>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</si>
  <si>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</si>
  <si>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</si>
  <si>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</si>
  <si>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</si>
  <si>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</si>
  <si>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</si>
  <si>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</si>
  <si>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</si>
  <si>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</si>
  <si>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</si>
  <si>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</si>
  <si>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</si>
  <si>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</si>
  <si>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</si>
  <si>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</si>
  <si>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</si>
  <si>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</si>
  <si>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</si>
  <si>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</si>
  <si>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</si>
  <si>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</si>
  <si>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</si>
  <si>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</si>
  <si>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</si>
  <si>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</si>
  <si>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</si>
  <si>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</si>
  <si>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</si>
  <si>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</si>
  <si>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</si>
  <si>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</si>
  <si>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</si>
  <si>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</si>
  <si>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</si>
  <si>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</si>
  <si>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</si>
  <si>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</si>
  <si>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</si>
  <si>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</si>
  <si>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</si>
  <si>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</si>
  <si>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</si>
  <si>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</si>
  <si>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</si>
  <si>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</si>
  <si>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</si>
  <si>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</si>
  <si>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</si>
  <si>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</si>
  <si>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</si>
  <si>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</si>
  <si>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</si>
  <si>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</si>
  <si>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</si>
  <si>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</si>
  <si>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</si>
  <si>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</si>
  <si>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</si>
  <si>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</si>
  <si>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</si>
  <si>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</si>
  <si>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</si>
  <si>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</si>
  <si>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</si>
  <si>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</si>
  <si>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</si>
  <si>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</si>
  <si>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</si>
  <si>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</si>
  <si>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</si>
  <si>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</si>
  <si>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</si>
  <si>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</si>
  <si>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</si>
  <si>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</si>
  <si>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</si>
  <si>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</si>
  <si>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</si>
  <si>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</si>
  <si>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</si>
  <si>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</si>
  <si>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</si>
  <si>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</si>
  <si>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</si>
  <si>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</si>
  <si>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</si>
  <si>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</si>
  <si>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</si>
  <si>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</si>
  <si>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</si>
  <si>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</si>
  <si>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</si>
  <si>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</si>
  <si>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</si>
  <si>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</si>
  <si>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</si>
  <si>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</si>
  <si>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</si>
  <si>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</si>
  <si>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</si>
  <si>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</si>
  <si>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</si>
  <si>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</si>
  <si>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</si>
  <si>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</si>
  <si>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</si>
  <si>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</si>
  <si>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</si>
  <si>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</si>
  <si>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</si>
  <si>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</si>
  <si>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</si>
  <si>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</si>
  <si>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</si>
  <si>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</si>
  <si>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</si>
  <si>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</si>
  <si>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</si>
  <si>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</si>
  <si>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</si>
  <si>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</si>
  <si>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</si>
  <si>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</si>
  <si>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</si>
  <si>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</si>
  <si>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</si>
  <si>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</si>
  <si>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</si>
  <si>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</si>
  <si>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</si>
  <si>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</si>
  <si>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</si>
  <si>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</si>
  <si>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</si>
  <si>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</si>
  <si>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</si>
  <si>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</si>
  <si>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</si>
  <si>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</si>
  <si>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</si>
  <si>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</si>
  <si>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</si>
  <si>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</si>
  <si>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</si>
  <si>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</si>
  <si>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</si>
  <si>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</si>
  <si>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</si>
  <si>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</si>
  <si>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</si>
  <si>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</si>
  <si>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</si>
  <si>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</si>
  <si>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</si>
  <si>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</si>
  <si>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</si>
  <si>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</si>
  <si>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</si>
  <si>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</si>
  <si>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</si>
  <si>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</si>
  <si>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</si>
  <si>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</si>
  <si>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</si>
  <si>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</si>
  <si>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</si>
  <si>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</si>
  <si>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</si>
  <si>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</si>
  <si>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</si>
  <si>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</si>
  <si>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</si>
  <si>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</si>
  <si>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</si>
  <si>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</si>
  <si>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</si>
  <si>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</si>
  <si>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</si>
  <si>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</si>
  <si>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</si>
  <si>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</si>
  <si>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</si>
  <si>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</si>
  <si>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</si>
  <si>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</si>
  <si>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</si>
  <si>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</si>
  <si>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</si>
  <si>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</si>
  <si>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</si>
  <si>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</si>
  <si>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</si>
  <si>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</si>
  <si>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</si>
  <si>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</si>
  <si>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</si>
  <si>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</si>
  <si>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</si>
  <si>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</si>
  <si>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</si>
  <si>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</si>
  <si>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</si>
  <si>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</si>
  <si>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</si>
  <si>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</si>
  <si>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</si>
  <si>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</si>
  <si>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</si>
  <si>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</si>
  <si>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</si>
  <si>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</si>
  <si>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</si>
  <si>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</si>
  <si>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</si>
  <si>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</si>
  <si>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</si>
  <si>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</si>
  <si>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</si>
  <si>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</si>
  <si>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</si>
  <si>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</si>
  <si>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</si>
  <si>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</si>
  <si>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</si>
  <si>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</si>
  <si>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</si>
  <si>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</si>
  <si>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</si>
  <si>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</si>
  <si>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</si>
  <si>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</si>
  <si>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</si>
  <si>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</si>
  <si>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</si>
  <si>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</si>
  <si>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</si>
  <si>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</si>
  <si>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</si>
  <si>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</si>
  <si>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</si>
  <si>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</si>
  <si>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</si>
  <si>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</si>
  <si>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</si>
  <si>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</si>
  <si>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</si>
  <si>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</si>
  <si>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</si>
  <si>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</si>
  <si>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</si>
  <si>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</si>
  <si>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</si>
  <si>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</si>
  <si>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</si>
  <si>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</si>
  <si>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</si>
  <si>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</si>
  <si>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</si>
  <si>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</si>
  <si>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</si>
  <si>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</si>
  <si>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</si>
  <si>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</si>
  <si>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</si>
  <si>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</si>
  <si>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</si>
  <si>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</si>
  <si>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</si>
  <si>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</si>
  <si>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</si>
  <si>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</si>
  <si>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</si>
  <si>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</si>
  <si>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</si>
  <si>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</si>
  <si>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</si>
  <si>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</si>
  <si>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</si>
  <si>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</si>
  <si>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</si>
  <si>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</si>
  <si>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</si>
  <si>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</si>
  <si>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</si>
  <si>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</si>
  <si>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</si>
  <si>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</si>
  <si>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</si>
  <si>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</si>
  <si>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</si>
  <si>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</si>
  <si>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</si>
  <si>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</si>
  <si>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</si>
  <si>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</si>
  <si>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</si>
  <si>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</si>
  <si>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</si>
  <si>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</si>
  <si>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</si>
  <si>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</si>
  <si>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</si>
  <si>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</si>
  <si>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</si>
  <si>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</si>
  <si>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</si>
  <si>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</si>
  <si>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</si>
  <si>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</si>
  <si>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</si>
  <si>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</si>
  <si>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</si>
  <si>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</si>
  <si>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</si>
  <si>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</si>
  <si>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</si>
  <si>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</si>
  <si>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</si>
  <si>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</si>
  <si>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</si>
  <si>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</si>
  <si>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</si>
  <si>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</si>
  <si>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</si>
  <si>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</si>
  <si>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</si>
  <si>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</si>
  <si>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</si>
  <si>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</si>
  <si>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</si>
  <si>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</si>
  <si>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</si>
  <si>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</si>
  <si>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</si>
  <si>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</si>
  <si>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</si>
  <si>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</si>
  <si>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</si>
  <si>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</si>
  <si>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</si>
  <si>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</si>
  <si>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</si>
  <si>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</si>
  <si>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</si>
  <si>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</si>
  <si>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</si>
  <si>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</si>
  <si>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</si>
  <si>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</si>
  <si>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</si>
  <si>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</si>
  <si>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</si>
  <si>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</si>
  <si>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</si>
  <si>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</si>
  <si>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</si>
  <si>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</si>
  <si>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</si>
  <si>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</si>
  <si>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</si>
  <si>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</si>
  <si>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</si>
  <si>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</si>
  <si>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</si>
  <si>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</si>
  <si>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</si>
  <si>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</si>
  <si>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</si>
  <si>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</si>
  <si>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</si>
  <si>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</si>
  <si>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</si>
  <si>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</si>
  <si>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</si>
  <si>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</si>
  <si>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</si>
  <si>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</si>
  <si>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</si>
  <si>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</si>
  <si>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</si>
  <si>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</si>
  <si>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</si>
  <si>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</si>
  <si>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</si>
  <si>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</si>
  <si>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</si>
  <si>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</si>
  <si>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</si>
  <si>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</si>
  <si>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</si>
  <si>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</si>
  <si>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</si>
  <si>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</si>
  <si>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</si>
  <si>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</si>
  <si>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</si>
  <si>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</si>
  <si>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</si>
  <si>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</si>
  <si>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</si>
  <si>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</si>
  <si>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</si>
  <si>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</si>
  <si>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</si>
  <si>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</si>
  <si>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</si>
  <si>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</si>
  <si>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</si>
  <si>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</si>
  <si>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</si>
  <si>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</si>
  <si>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</si>
  <si>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</si>
  <si>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</si>
  <si>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</si>
  <si>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</si>
  <si>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</si>
  <si>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</si>
  <si>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</si>
  <si>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</si>
  <si>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</si>
  <si>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</si>
  <si>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</si>
  <si>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</si>
  <si>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</si>
  <si>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</si>
  <si>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</si>
  <si>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</si>
  <si>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</si>
  <si>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</si>
  <si>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</si>
  <si>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</si>
  <si>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</si>
  <si>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</si>
  <si>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</si>
  <si>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</si>
  <si>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</si>
  <si>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</si>
  <si>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</si>
  <si>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</si>
  <si>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</si>
  <si>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</si>
  <si>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</si>
  <si>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</si>
  <si>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</si>
  <si>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</si>
  <si>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</si>
  <si>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</si>
  <si>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</si>
  <si>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</si>
  <si>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</si>
  <si>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</si>
  <si>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</si>
  <si>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</si>
  <si>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</si>
  <si>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</si>
  <si>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</si>
  <si>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</si>
  <si>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</si>
  <si>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</si>
  <si>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</si>
  <si>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</si>
  <si>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</si>
  <si>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</si>
  <si>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</si>
  <si>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</si>
  <si>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</si>
  <si>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</si>
  <si>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</si>
  <si>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</si>
  <si>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</si>
  <si>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</si>
  <si>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</si>
  <si>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</si>
  <si>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</si>
  <si>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</si>
  <si>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</si>
  <si>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</si>
  <si>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</si>
  <si>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</si>
  <si>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</si>
  <si>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</si>
  <si>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</si>
  <si>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</si>
  <si>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</si>
  <si>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</si>
  <si>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</si>
  <si>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</si>
  <si>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</si>
  <si>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</si>
  <si>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</si>
  <si>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</si>
  <si>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</si>
  <si>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</si>
  <si>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</si>
  <si>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</si>
  <si>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</si>
  <si>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</si>
  <si>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</si>
  <si>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</si>
  <si>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</si>
  <si>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</si>
  <si>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</si>
  <si>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</si>
  <si>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</si>
  <si>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</si>
  <si>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</si>
  <si>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</si>
  <si>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</si>
  <si>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</si>
  <si>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</si>
  <si>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</si>
  <si>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</si>
  <si>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</si>
  <si>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</si>
  <si>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</si>
  <si>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</si>
  <si>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</si>
  <si>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</si>
  <si>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</si>
  <si>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</si>
  <si>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</si>
  <si>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</si>
  <si>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</si>
  <si>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</si>
  <si>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</si>
  <si>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</si>
  <si>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</si>
  <si>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</si>
  <si>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</si>
  <si>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</si>
  <si>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</si>
  <si>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</si>
  <si>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</si>
  <si>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</si>
  <si>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</si>
  <si>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</si>
  <si>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</si>
  <si>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</si>
  <si>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</si>
  <si>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</si>
  <si>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</si>
  <si>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</si>
  <si>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</si>
  <si>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</si>
  <si>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</si>
  <si>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</si>
  <si>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</si>
  <si>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</si>
  <si>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</si>
  <si>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</si>
  <si>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</si>
  <si>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</si>
  <si>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</si>
  <si>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</si>
  <si>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</si>
  <si>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</si>
  <si>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</si>
  <si>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</si>
  <si>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</si>
  <si>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</si>
  <si>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</si>
  <si>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</si>
  <si>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</si>
  <si>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</si>
  <si>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</si>
  <si>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</si>
  <si>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</si>
  <si>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</si>
  <si>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</si>
  <si>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</si>
  <si>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</si>
  <si>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</si>
  <si>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</si>
  <si>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</si>
  <si>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</si>
  <si>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</si>
  <si>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</si>
  <si>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</si>
  <si>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</si>
  <si>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</si>
  <si>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</si>
  <si>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</si>
  <si>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</si>
  <si>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</si>
  <si>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</si>
  <si>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</si>
  <si>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</si>
  <si>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</si>
  <si>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</si>
  <si>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</si>
  <si>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</si>
  <si>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</si>
  <si>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</si>
  <si>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</si>
  <si>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</si>
  <si>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</si>
  <si>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</si>
  <si>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</si>
  <si>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</si>
  <si>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</si>
  <si>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</si>
  <si>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</si>
  <si>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</si>
  <si>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</si>
  <si>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</si>
  <si>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</si>
  <si>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</si>
  <si>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</si>
  <si>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</si>
  <si>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</si>
  <si>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</si>
  <si>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</si>
  <si>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</si>
  <si>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</si>
  <si>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</si>
  <si>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</si>
  <si>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</si>
  <si>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</si>
  <si>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</si>
  <si>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</si>
  <si>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</si>
  <si>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</si>
  <si>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</si>
  <si>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</si>
  <si>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</si>
  <si>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</si>
  <si>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</si>
  <si>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</si>
  <si>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</si>
  <si>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</si>
  <si>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</si>
  <si>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</si>
  <si>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</si>
  <si>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</si>
  <si>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</si>
  <si>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</si>
  <si>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</si>
  <si>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</si>
  <si>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</si>
  <si>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</si>
  <si>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</si>
  <si>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</si>
  <si>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</si>
  <si>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</si>
  <si>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</si>
  <si>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</si>
  <si>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</si>
  <si>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</si>
  <si>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</si>
  <si>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</si>
  <si>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</si>
  <si>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</si>
  <si>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</si>
  <si>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</si>
  <si>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</si>
  <si>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</si>
  <si>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</si>
  <si>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</si>
  <si>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</si>
  <si>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</si>
  <si>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</si>
  <si>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</si>
  <si>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</si>
  <si>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</si>
  <si>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</si>
  <si>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</si>
  <si>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</si>
  <si>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</si>
  <si>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</si>
  <si>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</si>
  <si>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</si>
  <si>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</si>
  <si>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</si>
  <si>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</si>
  <si>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</si>
  <si>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</si>
  <si>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</si>
  <si>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</si>
  <si>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</si>
  <si>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</si>
  <si>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</si>
  <si>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</si>
  <si>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</si>
  <si>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</si>
  <si>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</si>
  <si>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</si>
  <si>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</si>
  <si>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</si>
  <si>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</si>
  <si>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</si>
  <si>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</si>
  <si>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</si>
  <si>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</si>
  <si>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</si>
  <si>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</si>
  <si>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</si>
  <si>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</si>
  <si>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</si>
  <si>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</si>
  <si>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</si>
  <si>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</si>
  <si>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</si>
  <si>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</si>
  <si>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</si>
  <si>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</si>
  <si>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</si>
  <si>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</si>
  <si>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</si>
  <si>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</si>
  <si>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</si>
  <si>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</si>
  <si>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</si>
  <si>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</si>
  <si>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</si>
  <si>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đơn thiếu 13.4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</si>
  <si>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</si>
  <si>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</si>
  <si>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</si>
  <si>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</si>
  <si>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</si>
  <si>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</si>
  <si>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</si>
  <si>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</si>
  <si>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</si>
  <si>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</si>
  <si>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</si>
  <si>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</si>
  <si>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</si>
  <si>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</si>
  <si>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</si>
  <si>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</si>
  <si>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</si>
  <si>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</si>
  <si>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</si>
  <si>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</si>
  <si>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</si>
  <si>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</si>
  <si>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</si>
  <si>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</si>
  <si>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</si>
  <si>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</si>
  <si>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</si>
  <si>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</si>
  <si>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</si>
  <si>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</si>
  <si>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</si>
  <si>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</si>
  <si>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</si>
  <si>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</si>
  <si>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</si>
  <si>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</si>
  <si>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</si>
  <si>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</si>
  <si>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</si>
  <si>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</si>
  <si>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</si>
  <si>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</si>
  <si>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</si>
  <si>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</si>
  <si>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</si>
  <si>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</si>
  <si>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</si>
  <si>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</si>
  <si>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</si>
  <si>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</si>
  <si>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</si>
  <si>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</si>
  <si>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</si>
  <si>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</si>
  <si>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</si>
  <si>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</si>
  <si>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</si>
  <si>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</si>
  <si>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</si>
  <si>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</si>
  <si>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</si>
  <si>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</si>
  <si>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</si>
  <si>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</si>
  <si>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</si>
  <si>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</si>
  <si>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</si>
  <si>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</si>
  <si>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</si>
  <si>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</si>
  <si>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</si>
  <si>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</si>
  <si>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</si>
  <si>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</si>
  <si>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</si>
  <si>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</si>
  <si>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</si>
  <si>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</si>
  <si>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</si>
  <si>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</si>
  <si>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</si>
  <si>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</si>
  <si>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</si>
  <si>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</si>
  <si>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</si>
  <si>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</si>
  <si>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</si>
  <si>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</si>
  <si>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</si>
  <si>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</si>
  <si>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</si>
  <si>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</si>
  <si>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</si>
  <si>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</si>
  <si>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</si>
  <si>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</si>
  <si>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</si>
  <si>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</si>
  <si>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</si>
  <si>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</si>
  <si>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</si>
  <si>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</si>
  <si>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</si>
  <si>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</si>
  <si>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</si>
  <si>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</si>
  <si>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</si>
  <si>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</si>
  <si>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</si>
  <si>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</si>
  <si>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</si>
  <si>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</si>
  <si>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</si>
  <si>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</si>
  <si>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</si>
  <si>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</si>
  <si>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</si>
  <si>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</si>
  <si>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</si>
  <si>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</si>
  <si>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</si>
  <si>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</si>
  <si>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</si>
  <si>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</si>
  <si>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</si>
  <si>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</si>
  <si>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</si>
  <si>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</si>
  <si>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</si>
  <si>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</si>
  <si>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</si>
  <si>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</si>
  <si>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</si>
  <si>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</si>
  <si>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</si>
  <si>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</si>
  <si>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</si>
  <si>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</si>
  <si>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</si>
  <si>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</si>
  <si>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</si>
  <si>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</si>
  <si>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</si>
  <si>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</si>
  <si>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</si>
  <si>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</si>
  <si>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</si>
  <si>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</si>
  <si>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</si>
  <si>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</si>
  <si>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</si>
  <si>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</si>
  <si>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</si>
  <si>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</si>
  <si>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</si>
  <si>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</si>
  <si>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</si>
  <si>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</si>
  <si>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</si>
  <si>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</si>
  <si>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</si>
  <si>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</si>
  <si>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</si>
  <si>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</si>
  <si>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</si>
  <si>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</si>
  <si>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</si>
  <si>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</si>
  <si>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</si>
  <si>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</si>
  <si>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</si>
  <si>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</si>
  <si>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</si>
  <si>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</si>
  <si>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</si>
  <si>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</si>
  <si>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</si>
  <si>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</si>
  <si>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</si>
  <si>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</si>
  <si>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</si>
  <si>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</si>
  <si>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</si>
  <si>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</si>
  <si>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</si>
  <si>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</si>
  <si>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</si>
  <si>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</si>
  <si>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</si>
  <si>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</si>
  <si>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</si>
  <si>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</si>
  <si>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</si>
  <si>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</si>
  <si>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</si>
  <si>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</si>
  <si>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</si>
  <si>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</si>
  <si>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</si>
  <si>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</si>
  <si>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</si>
  <si>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</si>
  <si>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</si>
  <si>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</si>
  <si>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</si>
  <si>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</si>
  <si>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</si>
  <si>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</si>
  <si>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</si>
  <si>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</si>
  <si>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</si>
  <si>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</si>
  <si>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</si>
  <si>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</si>
  <si>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</si>
  <si>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</si>
  <si>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</si>
  <si>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</si>
  <si>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</si>
  <si>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</si>
  <si>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</si>
  <si>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</si>
  <si>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</si>
  <si>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</si>
  <si>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</si>
  <si>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</si>
  <si>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</si>
  <si>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</si>
  <si>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</si>
  <si>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</si>
  <si>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</si>
  <si>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</si>
  <si>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</si>
  <si>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</si>
  <si>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</si>
  <si>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</si>
  <si>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</si>
  <si>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</si>
  <si>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</si>
  <si>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</si>
  <si>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</si>
  <si>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</si>
  <si>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</si>
  <si>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</si>
  <si>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</si>
  <si>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</si>
  <si>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</si>
  <si>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</si>
  <si>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</si>
  <si>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</si>
  <si>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</si>
  <si>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</si>
  <si>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</si>
  <si>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</si>
  <si>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</si>
  <si>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</si>
  <si>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</si>
  <si>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</si>
  <si>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</si>
  <si>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</si>
  <si>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</si>
  <si>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</si>
  <si>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</si>
  <si>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</si>
  <si>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</si>
  <si>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</si>
  <si>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</si>
  <si>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</si>
  <si>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</si>
  <si>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</si>
  <si>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</si>
  <si>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</si>
  <si>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</si>
  <si>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</si>
  <si>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</si>
  <si>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</si>
  <si>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</si>
  <si>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</si>
  <si>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</si>
  <si>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</si>
  <si>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</si>
  <si>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</si>
  <si>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</si>
  <si>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</si>
  <si>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</si>
  <si>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</si>
  <si>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</si>
  <si>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</si>
  <si>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</si>
  <si>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</si>
  <si>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</si>
  <si>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</si>
  <si>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</si>
  <si>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</si>
  <si>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</si>
  <si>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</si>
  <si>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</si>
  <si>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</si>
  <si>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</si>
  <si>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</si>
  <si>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</si>
  <si>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</si>
  <si>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</si>
  <si>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</si>
  <si>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</si>
  <si>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</si>
  <si>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</si>
  <si>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</si>
  <si>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</si>
  <si>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</si>
  <si>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</si>
  <si>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</si>
  <si>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</si>
  <si>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</si>
  <si>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</si>
  <si>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</si>
  <si>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</si>
  <si>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</si>
  <si>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</si>
  <si>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</si>
  <si>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</si>
  <si>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</si>
  <si>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</si>
  <si>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</si>
  <si>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</si>
  <si>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</si>
  <si>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</si>
  <si>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</si>
  <si>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</si>
  <si>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</si>
  <si>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</si>
  <si>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</si>
  <si>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</si>
  <si>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</si>
  <si>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</si>
  <si>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</si>
  <si>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</si>
  <si>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</si>
  <si>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</si>
  <si>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</si>
  <si>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</si>
  <si>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</si>
  <si>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</si>
  <si>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</si>
  <si>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</si>
  <si>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</si>
  <si>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</si>
  <si>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</si>
  <si>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</si>
  <si>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</si>
  <si>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</si>
  <si>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</si>
  <si>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</si>
  <si>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</si>
  <si>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</si>
  <si>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</si>
  <si>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</si>
  <si>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</si>
  <si>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</si>
  <si>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</si>
  <si>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</si>
  <si>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</si>
  <si>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</si>
  <si>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</si>
  <si>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</si>
  <si>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</si>
  <si>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</si>
  <si>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</si>
  <si>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</si>
  <si>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</si>
  <si>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</si>
  <si>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</si>
  <si>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</si>
  <si>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</si>
  <si>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</si>
  <si>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</si>
  <si>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</si>
  <si>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</si>
  <si>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</si>
  <si>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</si>
  <si>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</si>
  <si>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</si>
  <si>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</si>
  <si>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</si>
  <si>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</si>
  <si>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</si>
  <si>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</si>
  <si>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</si>
  <si>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</si>
  <si>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</si>
  <si>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</si>
  <si>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</si>
  <si>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</si>
  <si>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</si>
  <si>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</si>
  <si>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</si>
  <si>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</si>
  <si>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</si>
  <si>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</si>
  <si>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</si>
  <si>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</si>
  <si>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</si>
  <si>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</si>
  <si>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</si>
  <si>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</si>
  <si>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</si>
  <si>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</si>
  <si>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</si>
  <si>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</si>
  <si>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</si>
  <si>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</si>
  <si>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</si>
  <si>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</si>
  <si>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</si>
  <si>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</si>
  <si>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</si>
  <si>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</si>
  <si>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</si>
  <si>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</si>
  <si>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</si>
  <si>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</si>
  <si>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</si>
  <si>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</si>
  <si>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</si>
  <si>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</si>
  <si>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</si>
  <si>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</si>
  <si>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</si>
  <si>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</si>
  <si>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</si>
  <si>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</si>
  <si>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</si>
  <si>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</si>
  <si>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</si>
  <si>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</si>
  <si>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</si>
  <si>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</si>
  <si>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</si>
  <si>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</si>
  <si>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</si>
  <si>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</si>
  <si>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</si>
  <si>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</si>
  <si>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</si>
  <si>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</si>
  <si>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</si>
  <si>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</si>
  <si>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</si>
  <si>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</si>
  <si>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</si>
  <si>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</si>
  <si>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</si>
  <si>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</si>
  <si>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</si>
  <si>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</si>
  <si>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</si>
  <si>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</si>
  <si>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</si>
  <si>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</si>
  <si>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</si>
  <si>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</si>
  <si>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</si>
  <si>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</si>
  <si>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</si>
  <si>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</si>
  <si>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</si>
  <si>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</si>
  <si>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</si>
  <si>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</si>
  <si>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</si>
  <si>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</si>
  <si>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</si>
  <si>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</si>
  <si>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</si>
  <si>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</si>
  <si>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</si>
  <si>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</si>
  <si>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</si>
  <si>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</si>
  <si>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</si>
  <si>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</si>
  <si>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</si>
  <si>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</si>
  <si>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</si>
  <si>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</si>
  <si>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</si>
  <si>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</si>
  <si>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</si>
  <si>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</si>
  <si>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</si>
  <si>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</si>
  <si>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</si>
  <si>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</si>
  <si>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</si>
  <si>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</si>
  <si>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</si>
  <si>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</si>
  <si>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</si>
  <si>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</si>
  <si>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</si>
  <si>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</si>
  <si>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</si>
  <si>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</si>
  <si>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</si>
  <si>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</si>
  <si>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</si>
  <si>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</si>
  <si>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</si>
  <si>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</si>
  <si>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</si>
  <si>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</si>
  <si>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</si>
  <si>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</si>
  <si>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</si>
  <si>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</si>
  <si>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</si>
  <si>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</si>
  <si>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</si>
  <si>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</si>
  <si>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</si>
  <si>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</si>
  <si>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</si>
  <si>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</si>
  <si>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</si>
  <si>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</si>
  <si>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</si>
  <si>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</si>
  <si>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</si>
  <si>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</si>
  <si>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</si>
  <si>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</si>
  <si>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</si>
  <si>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</si>
  <si>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</si>
  <si>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</si>
  <si>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</si>
  <si>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</si>
  <si>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</si>
  <si>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</si>
  <si>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</si>
  <si>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</si>
  <si>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</si>
  <si>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</si>
  <si>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</si>
  <si>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</si>
  <si>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</si>
  <si>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</si>
  <si>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</si>
  <si>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</si>
  <si>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</si>
  <si>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</si>
  <si>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</si>
  <si>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</si>
  <si>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</si>
  <si>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</si>
  <si>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</si>
  <si>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</si>
  <si>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</si>
  <si>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</si>
  <si>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</si>
  <si>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</si>
  <si>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</si>
  <si>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</si>
  <si>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</si>
  <si>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</si>
  <si>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</si>
  <si>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</si>
  <si>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</si>
  <si>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</si>
  <si>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</si>
  <si>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</si>
  <si>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</si>
  <si>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</si>
  <si>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</si>
  <si>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</si>
  <si>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</si>
  <si>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</si>
  <si>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</si>
  <si>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</si>
  <si>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</si>
  <si>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</si>
  <si>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</si>
  <si>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</si>
  <si>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</si>
  <si>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</si>
  <si>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</si>
  <si>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</si>
  <si>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</si>
  <si>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</si>
  <si>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</si>
  <si>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</si>
  <si>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</si>
  <si>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</si>
  <si>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</si>
  <si>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</si>
  <si>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</si>
  <si>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</si>
  <si>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</si>
  <si>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</si>
  <si>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</si>
  <si>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</si>
  <si>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</si>
  <si>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</si>
  <si>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</si>
  <si>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</si>
  <si>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</si>
  <si>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</si>
  <si>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</si>
  <si>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</si>
  <si>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</si>
  <si>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</si>
  <si>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</si>
  <si>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</si>
  <si>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</si>
  <si>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</si>
  <si>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</si>
  <si>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</si>
  <si>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</si>
  <si>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</si>
  <si>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</si>
  <si>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</si>
  <si>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</si>
  <si>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</si>
  <si>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</si>
  <si>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</si>
  <si>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</si>
  <si>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</si>
  <si>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</si>
  <si>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</si>
  <si>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</si>
  <si>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</si>
  <si>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</si>
  <si>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</si>
  <si>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</si>
  <si>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</si>
  <si>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</si>
  <si>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</si>
  <si>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</si>
  <si>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</si>
  <si>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</si>
  <si>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</si>
  <si>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</si>
  <si>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</si>
  <si>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</si>
  <si>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</si>
  <si>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</si>
  <si>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</si>
  <si>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</si>
  <si>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</si>
  <si>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</si>
  <si>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</si>
  <si>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</si>
  <si>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</si>
  <si>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</si>
  <si>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</si>
  <si>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</si>
  <si>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</si>
  <si>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</si>
  <si>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</si>
  <si>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</si>
  <si>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</si>
  <si>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</si>
  <si>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</si>
  <si>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</si>
  <si>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</si>
  <si>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</si>
  <si>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</si>
  <si>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</si>
  <si>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</si>
  <si>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</si>
  <si>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</si>
  <si>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</si>
  <si>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</si>
  <si>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</si>
  <si>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</si>
  <si>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</si>
  <si>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</si>
  <si>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</si>
  <si>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</si>
  <si>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</si>
  <si>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</si>
  <si>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</si>
  <si>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</si>
  <si>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</si>
  <si>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</si>
  <si>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</si>
  <si>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</si>
  <si>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</si>
  <si>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</si>
  <si>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</si>
  <si>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</si>
  <si>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</si>
  <si>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</si>
  <si>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</si>
  <si>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</si>
  <si>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</si>
  <si>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</si>
  <si>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</si>
  <si>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</si>
  <si>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</si>
  <si>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</si>
  <si>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</si>
  <si>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</si>
  <si>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</si>
  <si>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</si>
  <si>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</si>
  <si>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</si>
  <si>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</si>
  <si>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</si>
  <si>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</si>
  <si>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</si>
  <si>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</si>
  <si>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</si>
  <si>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</si>
  <si>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</si>
  <si>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</si>
  <si>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</si>
  <si>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</si>
  <si>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</si>
  <si>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</si>
  <si>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</si>
  <si>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</si>
  <si>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</si>
  <si>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</si>
  <si>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</si>
  <si>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</si>
  <si>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</si>
  <si>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</si>
  <si>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</si>
  <si>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</si>
  <si>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</si>
  <si>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</si>
  <si>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</si>
  <si>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</si>
  <si>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</si>
  <si>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</si>
  <si>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</si>
  <si>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</si>
  <si>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</si>
  <si>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</si>
  <si>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</si>
  <si>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</si>
  <si>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</si>
  <si>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</si>
  <si>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</si>
  <si>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</si>
  <si>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</si>
  <si>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</si>
  <si>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</si>
  <si>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</si>
  <si>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</si>
  <si>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</si>
  <si>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</si>
  <si>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</si>
  <si>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</si>
  <si>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</si>
  <si>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</si>
  <si>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</si>
  <si>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</si>
  <si>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</si>
  <si>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</si>
  <si>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</si>
  <si>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</si>
  <si>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</si>
  <si>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</si>
  <si>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</si>
  <si>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</si>
  <si>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</si>
  <si>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</si>
  <si>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</si>
  <si>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</si>
  <si>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</si>
  <si>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</si>
  <si>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</si>
  <si>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</si>
  <si>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</si>
  <si>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</si>
  <si>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</si>
  <si>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</si>
  <si>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</si>
  <si>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</si>
  <si>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</si>
  <si>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</si>
  <si>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</si>
  <si>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</si>
  <si>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</si>
  <si>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</si>
  <si>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</si>
  <si>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</si>
  <si>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</si>
  <si>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</si>
  <si>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</si>
  <si>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</si>
  <si>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</si>
  <si>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</si>
  <si>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</si>
  <si>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</si>
  <si>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</si>
  <si>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</si>
  <si>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</si>
  <si>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</si>
  <si>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</si>
  <si>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</si>
  <si>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</si>
  <si>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</si>
  <si>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</si>
  <si>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</si>
  <si>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</si>
  <si>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</si>
  <si>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</si>
  <si>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</si>
  <si>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</si>
  <si>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</si>
  <si>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</si>
  <si>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</si>
  <si>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</si>
  <si>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</si>
  <si>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</si>
  <si>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</si>
  <si>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</si>
  <si>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</si>
  <si>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</si>
  <si>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</si>
  <si>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</si>
  <si>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</si>
  <si>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</si>
  <si>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</si>
  <si>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</si>
  <si>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</si>
  <si>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</si>
  <si>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</si>
  <si>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</si>
  <si>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</si>
  <si>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</si>
  <si>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</si>
  <si>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</si>
  <si>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</si>
  <si>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</si>
  <si>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</si>
  <si>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</si>
  <si>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</si>
  <si>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</si>
  <si>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</si>
  <si>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</si>
  <si>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</si>
  <si>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</si>
  <si>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</si>
  <si>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</si>
  <si>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</si>
  <si>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</si>
  <si>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</si>
  <si>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</si>
  <si>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</si>
  <si>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</si>
  <si>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</si>
  <si>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</si>
  <si>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</si>
  <si>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</si>
  <si>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</si>
  <si>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</si>
  <si>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</si>
  <si>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</si>
  <si>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</si>
  <si>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</si>
  <si>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</si>
  <si>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</si>
  <si>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</si>
  <si>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</si>
  <si>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</si>
  <si>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</si>
  <si>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</si>
  <si>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</si>
  <si>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</si>
  <si>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</si>
  <si>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</si>
  <si>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</si>
  <si>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</si>
  <si>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</si>
  <si>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</si>
  <si>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</si>
  <si>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</si>
  <si>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</si>
  <si>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</si>
  <si>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</si>
  <si>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</si>
  <si>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</si>
  <si>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</si>
  <si>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</si>
  <si>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</si>
  <si>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</si>
  <si>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</si>
  <si>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</si>
  <si>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</si>
  <si>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</si>
  <si>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</si>
  <si>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</si>
  <si>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</si>
  <si>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</si>
  <si>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</si>
  <si>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</si>
  <si>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</si>
  <si>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</si>
  <si>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</si>
  <si>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</si>
  <si>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</si>
  <si>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</si>
  <si>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</si>
  <si>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</si>
  <si>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</si>
  <si>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</si>
  <si>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</si>
  <si>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</si>
  <si>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</si>
  <si>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</si>
  <si>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</si>
  <si>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</si>
  <si>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</si>
  <si>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</si>
  <si>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</si>
  <si>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</si>
  <si>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</si>
  <si>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</si>
  <si>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</si>
  <si>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</si>
  <si>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</si>
  <si>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</si>
  <si>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</si>
  <si>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</si>
  <si>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</si>
  <si>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</si>
  <si>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</si>
  <si>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</si>
  <si>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</si>
  <si>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</si>
  <si>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</si>
  <si>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</si>
  <si>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</si>
  <si>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</si>
  <si>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</si>
  <si>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</si>
  <si>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</si>
  <si>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</si>
  <si>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</si>
  <si>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</si>
  <si>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</si>
  <si>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</si>
  <si>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</si>
  <si>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</si>
  <si>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</si>
  <si>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</si>
  <si>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</si>
  <si>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</si>
  <si>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</si>
  <si>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</si>
  <si>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</si>
  <si>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</si>
  <si>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</si>
  <si>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</si>
  <si>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</si>
  <si>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</si>
  <si>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</si>
  <si>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</si>
  <si>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</si>
  <si>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</si>
  <si>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</si>
  <si>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</si>
  <si>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</si>
  <si>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</si>
  <si>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</si>
  <si>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</si>
  <si>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</si>
  <si>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</si>
  <si>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</si>
  <si>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</si>
  <si>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</si>
  <si>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</si>
  <si>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</si>
  <si>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</si>
  <si>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</si>
  <si>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</si>
  <si>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tiền ship 22.4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</si>
  <si>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</si>
  <si>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</si>
  <si>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</si>
  <si>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</si>
  <si>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</si>
  <si>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</si>
  <si>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</si>
  <si>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</si>
  <si>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HD014667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</si>
  <si>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</si>
  <si>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</si>
  <si>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</si>
  <si>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</si>
  <si>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</si>
  <si>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</si>
  <si>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</si>
  <si>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</si>
  <si>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</si>
  <si>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</si>
  <si>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</si>
  <si>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</si>
  <si>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</si>
  <si>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</si>
  <si>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</si>
  <si>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</si>
  <si>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</si>
  <si>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</si>
  <si>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</si>
  <si>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</si>
  <si>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</si>
  <si>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</si>
  <si>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</si>
  <si>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</si>
  <si>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</si>
  <si>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</si>
  <si>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</si>
  <si>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</si>
  <si>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</si>
  <si>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</si>
  <si>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</si>
  <si>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</si>
  <si>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</si>
  <si>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</si>
  <si>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</si>
  <si>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</si>
  <si>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</si>
  <si>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</si>
  <si>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</si>
  <si>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</si>
  <si>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</si>
  <si>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</si>
  <si>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</si>
  <si>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</si>
  <si>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</si>
  <si>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</si>
  <si>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</si>
  <si>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</si>
  <si>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</si>
  <si>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</si>
  <si>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</si>
  <si>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</si>
  <si>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</si>
  <si>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</si>
  <si>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</si>
  <si>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</si>
  <si>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</si>
  <si>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</si>
  <si>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</si>
  <si>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</si>
  <si>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</si>
  <si>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</si>
  <si>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</si>
  <si>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</si>
  <si>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</si>
  <si>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</si>
  <si>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</si>
  <si>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</si>
  <si>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</si>
  <si>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</si>
  <si>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</si>
  <si>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</si>
  <si>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</si>
  <si>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</si>
  <si>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</si>
  <si>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</si>
  <si>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</si>
  <si>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</si>
  <si>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</si>
  <si>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</si>
  <si>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</si>
  <si>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</si>
  <si>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</si>
  <si>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</si>
  <si>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</si>
  <si>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</si>
  <si>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</si>
  <si>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</si>
  <si>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</si>
  <si>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</si>
  <si>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</si>
  <si>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</si>
  <si>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</si>
  <si>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</si>
  <si>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</si>
  <si>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</si>
  <si>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</si>
  <si>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</si>
  <si>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</si>
  <si>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</si>
  <si>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</si>
  <si>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</si>
  <si>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</si>
  <si>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</si>
  <si>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</si>
  <si>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</si>
  <si>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</si>
  <si>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</si>
  <si>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</si>
  <si>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</si>
  <si>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</si>
  <si>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</si>
  <si>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</si>
  <si>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</si>
  <si>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</si>
  <si>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</si>
  <si>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</si>
  <si>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</si>
  <si>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</si>
  <si>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</si>
  <si>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</si>
  <si>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</si>
  <si>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</si>
  <si>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</si>
  <si>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</si>
  <si>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</si>
  <si>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</si>
  <si>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</si>
  <si>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</si>
  <si>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</si>
  <si>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</si>
  <si>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</si>
  <si>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</si>
  <si>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</si>
  <si>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</si>
  <si>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</si>
  <si>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</si>
  <si>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</si>
  <si>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</si>
  <si>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</si>
  <si>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</si>
  <si>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</si>
  <si>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</si>
  <si>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</si>
  <si>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</si>
  <si>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</si>
  <si>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</si>
  <si>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</si>
  <si>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</si>
  <si>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</si>
  <si>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</si>
  <si>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</si>
  <si>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</si>
  <si>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</si>
  <si>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</si>
  <si>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</si>
  <si>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</si>
  <si>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</si>
  <si>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</si>
  <si>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</si>
  <si>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</si>
  <si>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</si>
  <si>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</si>
  <si>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</si>
  <si>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</si>
  <si>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</si>
  <si>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</si>
  <si>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</si>
  <si>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</si>
  <si>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</si>
  <si>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</si>
  <si>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</si>
  <si>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</si>
  <si>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</si>
  <si>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</si>
  <si>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</si>
  <si>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</si>
  <si>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</si>
  <si>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</si>
  <si>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</si>
  <si>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</si>
  <si>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</si>
  <si>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</si>
  <si>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</si>
  <si>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</si>
  <si>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</si>
  <si>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</si>
  <si>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</si>
  <si>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</si>
  <si>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</si>
  <si>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</si>
  <si>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</si>
  <si>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</si>
  <si>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</si>
  <si>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</si>
  <si>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</si>
  <si>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</si>
  <si>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</si>
  <si>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</si>
  <si>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</si>
  <si>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</si>
  <si>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</si>
  <si>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</si>
  <si>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</si>
  <si>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</si>
  <si>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</si>
  <si>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</si>
  <si>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</si>
  <si>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</si>
  <si>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</si>
  <si>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</si>
  <si>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</si>
  <si>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</si>
  <si>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</si>
  <si>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</si>
  <si>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</si>
  <si>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</si>
  <si>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</si>
  <si>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</si>
  <si>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</si>
  <si>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</si>
  <si>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</si>
  <si>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</si>
  <si>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</si>
  <si>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</si>
  <si>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</si>
  <si>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</si>
  <si>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</si>
  <si>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</si>
  <si>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</si>
  <si>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</si>
  <si>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</si>
  <si>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</si>
  <si>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</si>
  <si>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</si>
  <si>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</si>
  <si>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</si>
  <si>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</si>
  <si>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</si>
  <si>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</si>
  <si>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</si>
  <si>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</si>
  <si>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</si>
  <si>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</si>
  <si>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</si>
  <si>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</si>
  <si>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</si>
  <si>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</si>
  <si>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</si>
  <si>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</si>
  <si>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</si>
  <si>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</si>
  <si>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</si>
  <si>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</si>
  <si>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</si>
  <si>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</si>
  <si>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</si>
  <si>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</si>
  <si>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</si>
  <si>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</si>
  <si>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</si>
  <si>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</si>
  <si>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</si>
  <si>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</si>
  <si>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</si>
  <si>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</si>
  <si>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</si>
  <si>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</si>
  <si>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</si>
  <si>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</si>
  <si>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</si>
  <si>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</si>
  <si>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</si>
  <si>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</si>
  <si>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</si>
  <si>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</si>
  <si>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</si>
  <si>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</si>
  <si>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</si>
  <si>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</si>
  <si>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at 24-04</t>
  </si>
  <si>
    <t>tiền ship 24.4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</si>
  <si>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</si>
  <si>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</si>
  <si>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</si>
  <si>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</si>
  <si>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</si>
  <si>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</si>
  <si>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</si>
  <si>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</si>
  <si>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</si>
  <si>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</si>
  <si>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</si>
  <si>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</si>
  <si>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</si>
  <si>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</si>
  <si>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</si>
  <si>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</si>
  <si>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</si>
  <si>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</si>
  <si>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</si>
  <si>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</si>
  <si>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</si>
  <si>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</si>
  <si>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</si>
  <si>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</si>
  <si>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</si>
  <si>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</si>
  <si>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</si>
  <si>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</si>
  <si>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</si>
  <si>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</si>
  <si>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</si>
  <si>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</si>
  <si>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</si>
  <si>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</si>
  <si>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</si>
  <si>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</si>
  <si>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</si>
  <si>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</si>
  <si>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</si>
  <si>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</si>
  <si>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</si>
  <si>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</si>
  <si>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</si>
  <si>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</si>
  <si>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</si>
  <si>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</si>
  <si>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</si>
  <si>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</si>
  <si>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</si>
  <si>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</si>
  <si>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</si>
  <si>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</si>
  <si>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</si>
  <si>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</si>
  <si>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</si>
  <si>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</si>
  <si>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</si>
  <si>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</si>
  <si>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</si>
  <si>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</si>
  <si>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</si>
  <si>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</si>
  <si>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</si>
  <si>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</si>
  <si>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</si>
  <si>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</si>
  <si>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</si>
  <si>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</si>
  <si>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</si>
  <si>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</si>
  <si>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</si>
  <si>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</si>
  <si>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</si>
  <si>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</si>
  <si>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</si>
  <si>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</si>
  <si>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</si>
  <si>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</si>
  <si>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</si>
  <si>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</si>
  <si>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</si>
  <si>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</si>
  <si>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</si>
  <si>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</si>
  <si>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</si>
  <si>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</si>
  <si>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</si>
  <si>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</si>
  <si>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</si>
  <si>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</si>
  <si>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</si>
  <si>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</si>
  <si>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</si>
  <si>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</si>
  <si>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</si>
  <si>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</si>
  <si>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</si>
  <si>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</si>
  <si>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</si>
  <si>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</si>
  <si>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</si>
  <si>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</si>
  <si>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</si>
  <si>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</si>
  <si>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</si>
  <si>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</si>
  <si>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</si>
  <si>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</si>
  <si>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</si>
  <si>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</si>
  <si>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</si>
  <si>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</si>
  <si>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</si>
  <si>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</si>
  <si>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</si>
  <si>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</si>
  <si>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</si>
  <si>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</si>
  <si>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</si>
  <si>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at 25-04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</si>
  <si>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</si>
  <si>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</si>
  <si>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</si>
  <si>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</si>
  <si>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</si>
  <si>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</si>
  <si>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</si>
  <si>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</si>
  <si>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</si>
  <si>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</si>
  <si>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</si>
  <si>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</si>
  <si>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</si>
  <si>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</si>
  <si>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</si>
  <si>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</si>
  <si>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</si>
  <si>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</si>
  <si>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</si>
  <si>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</si>
  <si>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</si>
  <si>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</si>
  <si>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</si>
  <si>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</si>
  <si>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</si>
  <si>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</si>
  <si>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</si>
  <si>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</si>
  <si>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</si>
  <si>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</si>
  <si>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</si>
  <si>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</si>
  <si>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</si>
  <si>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</si>
  <si>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</si>
  <si>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</si>
  <si>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</si>
  <si>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</si>
  <si>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</si>
  <si>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</si>
  <si>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</si>
  <si>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</si>
  <si>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</si>
  <si>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</si>
  <si>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</si>
  <si>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</si>
  <si>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</si>
  <si>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</si>
  <si>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</si>
  <si>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</si>
  <si>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</si>
  <si>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</si>
  <si>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</si>
  <si>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</si>
  <si>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</si>
  <si>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</si>
  <si>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</si>
  <si>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</si>
  <si>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</si>
  <si>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</si>
  <si>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</si>
  <si>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</si>
  <si>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</si>
  <si>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</si>
  <si>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</si>
  <si>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</si>
  <si>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</si>
  <si>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</si>
  <si>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</si>
  <si>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</si>
  <si>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</si>
  <si>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</si>
  <si>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</si>
  <si>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</si>
  <si>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</si>
  <si>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</si>
  <si>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</si>
  <si>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</si>
  <si>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</si>
  <si>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</si>
  <si>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</si>
  <si>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</si>
  <si>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</si>
  <si>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</si>
  <si>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</si>
  <si>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</si>
  <si>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</si>
  <si>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</si>
  <si>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</si>
  <si>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</si>
  <si>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</si>
  <si>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</si>
  <si>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</si>
  <si>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</si>
  <si>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</si>
  <si>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</si>
  <si>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</si>
  <si>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</si>
  <si>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</si>
  <si>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</si>
  <si>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</si>
  <si>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</si>
  <si>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</si>
  <si>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</si>
  <si>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</si>
  <si>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</si>
  <si>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</si>
  <si>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</si>
  <si>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</si>
  <si>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</si>
  <si>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</si>
  <si>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</si>
  <si>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</si>
  <si>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</si>
  <si>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</si>
  <si>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</si>
  <si>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</si>
  <si>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</si>
  <si>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</si>
  <si>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</si>
  <si>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</si>
  <si>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</si>
  <si>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</si>
  <si>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</si>
  <si>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</si>
  <si>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</si>
  <si>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</si>
  <si>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</si>
  <si>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</si>
  <si>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</si>
  <si>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</si>
  <si>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</si>
  <si>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</si>
  <si>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</si>
  <si>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</si>
  <si>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</si>
  <si>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</si>
  <si>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</si>
  <si>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</si>
  <si>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</si>
  <si>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</si>
  <si>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</si>
  <si>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</si>
  <si>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</si>
  <si>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</si>
  <si>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</si>
  <si>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</si>
  <si>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</si>
  <si>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</si>
  <si>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</si>
  <si>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</si>
  <si>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</si>
  <si>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</si>
  <si>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</si>
  <si>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</si>
  <si>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</si>
  <si>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</si>
  <si>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</si>
  <si>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</si>
  <si>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</si>
  <si>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</si>
  <si>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</si>
  <si>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</si>
  <si>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</si>
  <si>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</si>
  <si>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</si>
  <si>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</si>
  <si>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</si>
  <si>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</si>
  <si>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</si>
  <si>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</si>
  <si>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</si>
  <si>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</si>
  <si>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</si>
  <si>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</si>
  <si>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</si>
  <si>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</si>
  <si>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</si>
  <si>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</si>
  <si>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</si>
  <si>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</si>
  <si>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</si>
  <si>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</si>
  <si>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</si>
  <si>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</si>
  <si>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</si>
  <si>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</si>
  <si>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</si>
  <si>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</si>
  <si>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Hoài Yên - fb Truc Nguyen</t>
  </si>
  <si>
    <t>HD016617</t>
  </si>
  <si>
    <t>55/24/11 Thành Mỹ, P. Tân Hòa</t>
  </si>
  <si>
    <t>HD016102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</si>
  <si>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</si>
  <si>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</si>
  <si>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</si>
  <si>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</si>
  <si>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</si>
  <si>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</si>
  <si>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</si>
  <si>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</si>
  <si>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</si>
  <si>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</si>
  <si>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</si>
  <si>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</si>
  <si>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</si>
  <si>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</si>
  <si>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</si>
  <si>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</si>
  <si>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</si>
  <si>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</si>
  <si>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</si>
  <si>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</si>
  <si>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</si>
  <si>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</si>
  <si>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</si>
  <si>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</si>
  <si>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</si>
  <si>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</si>
  <si>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</si>
  <si>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</si>
  <si>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</si>
  <si>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</si>
  <si>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</si>
  <si>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</si>
  <si>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</si>
  <si>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</si>
  <si>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</si>
  <si>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</si>
  <si>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</si>
  <si>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</si>
  <si>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</si>
  <si>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</si>
  <si>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</si>
  <si>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</si>
  <si>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</si>
  <si>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</si>
  <si>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</si>
  <si>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</si>
  <si>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</si>
  <si>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</si>
  <si>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</si>
  <si>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</si>
  <si>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</si>
  <si>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</si>
  <si>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</si>
  <si>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</si>
  <si>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</si>
  <si>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</si>
  <si>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</si>
  <si>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</si>
  <si>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</si>
  <si>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</si>
  <si>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</si>
  <si>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</si>
  <si>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</si>
  <si>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</si>
  <si>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</si>
  <si>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</si>
  <si>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</si>
  <si>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</si>
  <si>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</si>
  <si>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</si>
  <si>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</si>
  <si>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</si>
  <si>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</si>
  <si>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</si>
  <si>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</si>
  <si>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</si>
  <si>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</si>
  <si>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</si>
  <si>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</si>
  <si>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</si>
  <si>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</si>
  <si>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</si>
  <si>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</si>
  <si>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</si>
  <si>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</si>
  <si>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</si>
  <si>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</si>
  <si>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</si>
  <si>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</si>
  <si>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</si>
  <si>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</si>
  <si>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</si>
  <si>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</si>
  <si>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</si>
  <si>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</si>
  <si>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</si>
  <si>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</si>
  <si>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</si>
  <si>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at 27-04</t>
  </si>
  <si>
    <t>đơn thiếu ngày 13.4</t>
  </si>
  <si>
    <t>THƯƠNG 1994</t>
  </si>
  <si>
    <t>Tòa S501, Vinhome grand park, long thạnh mỹ</t>
  </si>
  <si>
    <t>28-04-2026</t>
  </si>
  <si>
    <t>HD016989</t>
  </si>
  <si>
    <t>AT 28-04</t>
  </si>
  <si>
    <t>chi - fb Mi Na</t>
  </si>
  <si>
    <t>HD017060</t>
  </si>
  <si>
    <t>1619/29 phạm thế hiển phường 6</t>
  </si>
  <si>
    <t>Phương Phan</t>
  </si>
  <si>
    <t>HD017091</t>
  </si>
  <si>
    <t>D4/10 ấp 46, Tân Vĩnh Lộc</t>
  </si>
  <si>
    <t>HD016592</t>
  </si>
  <si>
    <t>Phạm Mỹ Tiên</t>
  </si>
  <si>
    <t>HD017135</t>
  </si>
  <si>
    <t>10/14 âu duong lân p3</t>
  </si>
  <si>
    <t>Thảo Susi</t>
  </si>
  <si>
    <t>HD016982</t>
  </si>
  <si>
    <t>10/16 đường số 8 phường Bình Hưng Hòa</t>
  </si>
  <si>
    <t>Trang Nabie</t>
  </si>
  <si>
    <t>HD016850</t>
  </si>
  <si>
    <t>V6, Sunrise city south tower 23 nguyễn hữu thọ, phường tân hưng</t>
  </si>
  <si>
    <t>HD017081</t>
  </si>
  <si>
    <t>HD017133</t>
  </si>
  <si>
    <t>Vũ Thùy Dương</t>
  </si>
  <si>
    <t>HD016977</t>
  </si>
  <si>
    <t>96/50/5 đường phạm đăng giảng, bình hưng hòa</t>
  </si>
  <si>
    <t>Bé Bờm</t>
  </si>
  <si>
    <t>HD017078</t>
  </si>
  <si>
    <t>167/10 Đào Sư Tích, Phước Kiển</t>
  </si>
  <si>
    <t>Trần Minh Thông</t>
  </si>
  <si>
    <t>H0017097</t>
  </si>
  <si>
    <t>1707 Phạm thế hiển phường bình đông</t>
  </si>
  <si>
    <t>đơn chuyển AT 28-04</t>
  </si>
  <si>
    <t>NGUYỄN MINH DUY</t>
  </si>
  <si>
    <t>90/35 Trần Văn Ơn, Phường Tân Sơn Nhì</t>
  </si>
  <si>
    <t>HƯƠNG TRẦN</t>
  </si>
  <si>
    <t>261/26c chu văn an p12</t>
  </si>
  <si>
    <t>Vy Nhật Hà note kh gọi được thì nhắn zalo</t>
  </si>
  <si>
    <t>HD016775</t>
  </si>
  <si>
    <t>Landmark 1 vinhome central park p thạnh mỹ tây</t>
  </si>
  <si>
    <t>Thiên Thiên</t>
  </si>
  <si>
    <t>HD017084</t>
  </si>
  <si>
    <t>20 đường số 6, linh chiểu</t>
  </si>
  <si>
    <t>Sunwah White House fb Mzzton</t>
  </si>
  <si>
    <t>HD017045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</si>
  <si>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</si>
  <si>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</si>
  <si>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</si>
  <si>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</si>
  <si>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</si>
  <si>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</si>
  <si>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188 Nguyễn Văn Công, P.3</t>
  </si>
  <si>
    <t>HD017134</t>
  </si>
  <si>
    <t>Diễm</t>
  </si>
  <si>
    <t>HD016967</t>
  </si>
  <si>
    <t>22/31/4 đường số 21, Phường 8 (phường Thông Tây Hội mới)</t>
  </si>
  <si>
    <t>Nick Loan</t>
  </si>
  <si>
    <t>HD016998</t>
  </si>
  <si>
    <t>536/43/40 âu cơ p. bảy hiền</t>
  </si>
  <si>
    <t>Khánh Vy Đỗ</t>
  </si>
  <si>
    <t>HD017102</t>
  </si>
  <si>
    <t>24 đường số 6 - tam phú</t>
  </si>
  <si>
    <t>BN182</t>
  </si>
  <si>
    <t>HD017028</t>
  </si>
  <si>
    <t>Truc Trieu</t>
  </si>
  <si>
    <t>HD017106</t>
  </si>
  <si>
    <t>Số nhà A6, Garden Home Thủ Đức, Đường số 3, QL13, Phường Hiệp Binh Phước</t>
  </si>
  <si>
    <t>người nhận nana - fb Oanh Tống</t>
  </si>
  <si>
    <t>HD016818</t>
  </si>
  <si>
    <t>FANG FANG</t>
  </si>
  <si>
    <t>A75/6B/2 Bạch Đằng, Phường 2</t>
  </si>
  <si>
    <t>Thanh Thanh Tô</t>
  </si>
  <si>
    <t>HD017096</t>
  </si>
  <si>
    <t>2/16 tân lập p8</t>
  </si>
  <si>
    <t>Lê Thảo</t>
  </si>
  <si>
    <t>HD016900</t>
  </si>
  <si>
    <t>3 Đặng Dung, P Tân Định</t>
  </si>
  <si>
    <t>huyền nguyễn</t>
  </si>
  <si>
    <t>HD016308</t>
  </si>
  <si>
    <t>thảo fb Nguyễn Bình Phương Trinh</t>
  </si>
  <si>
    <t>HD016407</t>
  </si>
  <si>
    <t>232/111 Vĩnh Khánh f8</t>
  </si>
  <si>
    <t>HD016824</t>
  </si>
  <si>
    <t>485 nguyễn đình chiểu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</si>
  <si>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</si>
  <si>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</si>
  <si>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</si>
  <si>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</si>
  <si>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</si>
  <si>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</si>
  <si>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</si>
  <si>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</si>
  <si>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HD016826</t>
  </si>
  <si>
    <t>Lê Ngọc Anh</t>
  </si>
  <si>
    <t>HD016990</t>
  </si>
  <si>
    <t>220/18 Hồ Văn Huê, P.9</t>
  </si>
  <si>
    <t>HD016798</t>
  </si>
  <si>
    <t>HD016728</t>
  </si>
  <si>
    <t>Duyên Huỳnh</t>
  </si>
  <si>
    <t>HD016794</t>
  </si>
  <si>
    <t>Cc tôn thất thuyết phường 1</t>
  </si>
  <si>
    <t>at 28-04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</si>
  <si>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</si>
  <si>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</si>
  <si>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</si>
  <si>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</si>
  <si>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</si>
  <si>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</si>
  <si>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</si>
  <si>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</si>
  <si>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</si>
  <si>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</si>
  <si>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HD017294</t>
  </si>
  <si>
    <t>29-04-2026</t>
  </si>
  <si>
    <t>Phương Như</t>
  </si>
  <si>
    <t>HD017191</t>
  </si>
  <si>
    <t>10 đường số 2 binh thuận tân thuận</t>
  </si>
  <si>
    <t>AT 29-04</t>
  </si>
  <si>
    <t>Như Ý Nguyễn</t>
  </si>
  <si>
    <t>HD017549</t>
  </si>
  <si>
    <t>4 đào trí phường phú thuận</t>
  </si>
  <si>
    <t>Cindy Nguyễn</t>
  </si>
  <si>
    <t>HD017482</t>
  </si>
  <si>
    <t>12/7 đường P - Khu phố Mỹ Tú 2 - P. Tân Hưng</t>
  </si>
  <si>
    <t>Võ Ngọc Đan Thanh</t>
  </si>
  <si>
    <t>HD017534</t>
  </si>
  <si>
    <t>300 Khuông Việt, phường Phú Trung</t>
  </si>
  <si>
    <t>HD017550</t>
  </si>
  <si>
    <t>HD017199</t>
  </si>
  <si>
    <t>Toà Landmark 2</t>
  </si>
  <si>
    <t>HD017210</t>
  </si>
  <si>
    <t>9 tiên lân 17, bà điểm Phòng 306</t>
  </si>
  <si>
    <t>Chanboramey 015738168</t>
  </si>
  <si>
    <t>HD016946</t>
  </si>
  <si>
    <t>157 nguyễn du</t>
  </si>
  <si>
    <t>thanh (NHẬN HÀNG CHO TRÀ LY)</t>
  </si>
  <si>
    <t>HD017493</t>
  </si>
  <si>
    <t>404 VÕ VĂN TẦN</t>
  </si>
  <si>
    <t>HD017437</t>
  </si>
  <si>
    <t>HD017518</t>
  </si>
  <si>
    <t>212 b/d11 nguyen trai</t>
  </si>
  <si>
    <t>Nguyễn Thu Hoa</t>
  </si>
  <si>
    <t>HD017198</t>
  </si>
  <si>
    <t>190C mai xuân thưởng.p2</t>
  </si>
  <si>
    <t>HD017515</t>
  </si>
  <si>
    <t>Lan Anh Nguyễn</t>
  </si>
  <si>
    <t>HD017489</t>
  </si>
  <si>
    <t>70 đường số 1 KDC nam long</t>
  </si>
  <si>
    <t>smail- huyền trang</t>
  </si>
  <si>
    <t>HD017006</t>
  </si>
  <si>
    <t>124 đường 24b p.bình trị Đông b</t>
  </si>
  <si>
    <t>Minh Nguyễn</t>
  </si>
  <si>
    <t>HD017439</t>
  </si>
  <si>
    <t>175/87/8/4 đường 2 tăng Nhơn Phú b</t>
  </si>
  <si>
    <t>Hoa Hoa</t>
  </si>
  <si>
    <t>HD017317</t>
  </si>
  <si>
    <t>Chung cư topaz elite tạ quang bửu p4 Sảnh Dragon 1B</t>
  </si>
  <si>
    <t>Thuý Stella</t>
  </si>
  <si>
    <t>HD017442</t>
  </si>
  <si>
    <t>68/25 trần quang khải p tân định</t>
  </si>
  <si>
    <t>Tran Kim</t>
  </si>
  <si>
    <t>HD017537</t>
  </si>
  <si>
    <t>77A Đường số 9, p.Khánh hội</t>
  </si>
  <si>
    <t>Chân Chân</t>
  </si>
  <si>
    <t>HD017536</t>
  </si>
  <si>
    <t>69/15 Võ Thị Liễu, An Phú Đông</t>
  </si>
  <si>
    <t>Bé Ty - fb Anh Lan</t>
  </si>
  <si>
    <t>HD017415</t>
  </si>
  <si>
    <t>532/3/6 Kinh Dương Vương, Phường An Lạc</t>
  </si>
  <si>
    <t>Lucia Nguyễn</t>
  </si>
  <si>
    <t>HD017190</t>
  </si>
  <si>
    <t>Block E eco green nguyễn văn linh</t>
  </si>
  <si>
    <t>Chí Đinh</t>
  </si>
  <si>
    <t>HD017543</t>
  </si>
  <si>
    <t>hẻm 191 cống quỳnh, nhà trọ an house</t>
  </si>
  <si>
    <t>Diệu Linh</t>
  </si>
  <si>
    <t>HD017206</t>
  </si>
  <si>
    <t>103 đường số 6, phường Bình Hưng Hòa</t>
  </si>
  <si>
    <t>Minh Hải ( Thanh Phan )</t>
  </si>
  <si>
    <t>HD017443</t>
  </si>
  <si>
    <t>Lê Tố Quyên</t>
  </si>
  <si>
    <t>HD017197</t>
  </si>
  <si>
    <t>149/1 +3 Nơ Trang Long p12</t>
  </si>
  <si>
    <t>_____lay_____</t>
  </si>
  <si>
    <t>HD017179</t>
  </si>
  <si>
    <t>164/22 Vo Thi Sau, D.3</t>
  </si>
  <si>
    <t>Loan Đặng</t>
  </si>
  <si>
    <t>HD017570</t>
  </si>
  <si>
    <t>45 Lê Anh Xuân Bến Thành</t>
  </si>
  <si>
    <t>HD016638</t>
  </si>
  <si>
    <t>Kim Phụng (inst -suicao20_12)</t>
  </si>
  <si>
    <t>HD017491</t>
  </si>
  <si>
    <t>5 Lê Quý Đôn phường Võ Thị Sáu</t>
  </si>
  <si>
    <t>HD017278</t>
  </si>
  <si>
    <t>39 hồ hảo hớn, P. cô giang</t>
  </si>
  <si>
    <t>HD017481</t>
  </si>
  <si>
    <t>Anh Lee</t>
  </si>
  <si>
    <t>HD017305</t>
  </si>
  <si>
    <t>89 lê thị chợ p. phú thuận</t>
  </si>
  <si>
    <t>Thư Mon</t>
  </si>
  <si>
    <t>HD017416</t>
  </si>
  <si>
    <t>Chung cư sài gòn mia, đường 9a, kdc trung sơn, bình hưng</t>
  </si>
  <si>
    <t>HD017205</t>
  </si>
  <si>
    <t>Jemial Vo</t>
  </si>
  <si>
    <t>HD017495</t>
  </si>
  <si>
    <t>438 phan văn trị, p. hạnh thông</t>
  </si>
  <si>
    <t>Trịnh Thảo Như</t>
  </si>
  <si>
    <t>HD017282</t>
  </si>
  <si>
    <t>7a/5/42 thành thái p14</t>
  </si>
  <si>
    <t>Yến Nhi ( chị thảo )</t>
  </si>
  <si>
    <t>HD017513</t>
  </si>
  <si>
    <t>406/8 Cộng Hoà, phường 13</t>
  </si>
  <si>
    <t>An Nghi</t>
  </si>
  <si>
    <t>HD017459</t>
  </si>
  <si>
    <t>007 Lô B, Đường C6, Cc Tây Thạnh, P. Tây Thạnh</t>
  </si>
  <si>
    <t>HD017005</t>
  </si>
  <si>
    <t>Gia Trân fb Hà Võ</t>
  </si>
  <si>
    <t>HD017164</t>
  </si>
  <si>
    <t>73 hoa sữa phường 7 cầu kiệu</t>
  </si>
  <si>
    <t>Nhung SaLin</t>
  </si>
  <si>
    <t>HD017163</t>
  </si>
  <si>
    <t>19a Trần Quang diệu p13</t>
  </si>
  <si>
    <t>HD017297</t>
  </si>
  <si>
    <t>hương</t>
  </si>
  <si>
    <t>HD017535</t>
  </si>
  <si>
    <t>97 đường 24A - bình trị đông B</t>
  </si>
  <si>
    <t>Thúy Linh</t>
  </si>
  <si>
    <t>HD017173</t>
  </si>
  <si>
    <t>132 bến Vân đồn p6</t>
  </si>
  <si>
    <t>Thiên Trang</t>
  </si>
  <si>
    <t>HD017325</t>
  </si>
  <si>
    <t>221 trần bình trọng p2</t>
  </si>
  <si>
    <t>Lương Thúy</t>
  </si>
  <si>
    <t>HD017209</t>
  </si>
  <si>
    <t>549/3 lê văn thọ</t>
  </si>
  <si>
    <t>Keo Kimyou</t>
  </si>
  <si>
    <t>HD017479</t>
  </si>
  <si>
    <t>(HLH express): Tổng kho Sài Gòn 9, Lô G2, Đường K1, KCN Cát Lái</t>
  </si>
  <si>
    <t>Cô Ngọc ( gửi Châu)</t>
  </si>
  <si>
    <t>HD017166</t>
  </si>
  <si>
    <t>481/11 Đoàn Văn Bơ, phường Xóm Chiếu</t>
  </si>
  <si>
    <t>HD017180</t>
  </si>
  <si>
    <t>Hằng</t>
  </si>
  <si>
    <t>HD017480</t>
  </si>
  <si>
    <t>Block A2 Topaz City, số 39 đường Cao Lỗ, P4</t>
  </si>
  <si>
    <t>Natalie Nguyen</t>
  </si>
  <si>
    <t>HD017387</t>
  </si>
  <si>
    <t>239/64 Trần Văn Đang, phường 11</t>
  </si>
  <si>
    <t>Minh Nguyệt + Lin Xiao + Hàng Aỉ</t>
  </si>
  <si>
    <t>HD017572</t>
  </si>
  <si>
    <t>C16-17 lô C1, đường DD5, phường Đông Hưng Thuận</t>
  </si>
  <si>
    <t>016701721-010535777</t>
  </si>
  <si>
    <t>SUMO</t>
  </si>
  <si>
    <t>487 le van sy f12</t>
  </si>
  <si>
    <t>CHỊ MYMY</t>
  </si>
  <si>
    <t>128/25 nguyễn lâm p3</t>
  </si>
  <si>
    <t>at 29-04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</si>
</sst>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51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10" borderId="1" xfId="0" applyFill="1" applyBorder="1"/>
    <xf numFmtId="3" fontId="0" fillId="10" borderId="1" xfId="0" applyNumberFormat="1" applyFill="1" applyBorder="1"/>
    <xf numFmtId="0" fontId="0" fillId="10" borderId="0" xfId="0" applyFill="1"/>
    <xf numFmtId="0" fontId="5" fillId="0" borderId="1" xfId="0" applyFont="1" applyBorder="1"/>
    <xf numFmtId="3" fontId="5" fillId="0" borderId="1" xfId="0" applyNumberFormat="1" applyFon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3" workbookViewId="0">
      <selection activeCell="K32" sqref="K32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47" t="s">
        <v>89</v>
      </c>
      <c r="D27" s="47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8">
        <f>SUMIFS(I$3:I$23,B$3:B$23,A$27,L$3:L$23,A$28)</f>
        <v>11295</v>
      </c>
      <c r="D28" s="48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9">
        <v>0</v>
      </c>
      <c r="D29" s="49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9">
        <f>-SUMIFS(I$3:I$23,B$3:B$23,A$27,P$3:P$23,"xx",N$3:N$23,"x")</f>
        <v>0</v>
      </c>
      <c r="D30" s="49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47">
        <f>SUBTOTAL(9,C28:C30)</f>
        <v>11295</v>
      </c>
      <c r="D31" s="47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45"/>
      <c r="D32" s="45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45"/>
      <c r="D33" s="45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46">
        <f>C31+C32+C33</f>
        <v>11295</v>
      </c>
      <c r="D35" s="46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47" t="s">
        <v>89</v>
      </c>
      <c r="D28" s="47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8">
        <f>SUMIFS(I$3:I$24,B$3:B$24,A$28,L$3:L$24,A$29)</f>
        <v>7205</v>
      </c>
      <c r="D29" s="48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9">
        <v>0</v>
      </c>
      <c r="D30" s="49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9">
        <f>-SUMIFS(I$3:I$24,B$3:B$24,A$28,P$3:P$24,"xx",N$3:N$24,"x")</f>
        <v>0</v>
      </c>
      <c r="D31" s="49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47">
        <f>SUBTOTAL(9,C29:C31)</f>
        <v>7205</v>
      </c>
      <c r="D32" s="47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45"/>
      <c r="D33" s="45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45"/>
      <c r="D34" s="45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46">
        <f>C32+C33+C34</f>
        <v>7205</v>
      </c>
      <c r="D36" s="46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47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8">
        <f>SUMIFS(I$3:I$53,B$3:B$53,A$57,L$3:L$53,A$58)</f>
        <v>29790</v>
      </c>
      <c r="D58" s="48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47">
        <f>SUBTOTAL(9,C58:C60)</f>
        <v>29790</v>
      </c>
      <c r="D61" s="47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45"/>
      <c r="D63" s="45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46">
        <f>C61+C62+C63</f>
        <v>29790</v>
      </c>
      <c r="D65" s="46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31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47" t="s">
        <v>89</v>
      </c>
      <c r="D48" s="47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8">
        <f>SUMIFS(I$3:I$44,B$3:B$44,A$48,L$3:L$44,A$49)</f>
        <v>20745</v>
      </c>
      <c r="D49" s="48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9">
        <v>0</v>
      </c>
      <c r="D50" s="49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9">
        <f>-SUMIFS(I$3:I$44,B$3:B$44,A$48,P$3:P$44,"xx",N$3:N$44,"x")</f>
        <v>-970</v>
      </c>
      <c r="D51" s="49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47">
        <f>SUBTOTAL(9,C49:C51)</f>
        <v>19775</v>
      </c>
      <c r="D52" s="47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45"/>
      <c r="D53" s="45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45"/>
      <c r="D54" s="45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46">
        <f>C52+C53+C54</f>
        <v>19775</v>
      </c>
      <c r="D56" s="46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46"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47" t="s">
        <v>89</v>
      </c>
      <c r="D59" s="47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8">
        <f>SUMIFS(I$3:I$55,B$3:B$55,A$59,L$3:L$55,A$60)</f>
        <v>33510</v>
      </c>
      <c r="D60" s="48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9">
        <v>0</v>
      </c>
      <c r="D61" s="49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9">
        <f>-SUMIFS(I$3:I$55,B$3:B$55,A$59,P$3:P$55,"xx",N$3:N$55,"x")</f>
        <v>-860</v>
      </c>
      <c r="D62" s="49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47">
        <f>SUBTOTAL(9,C60:C62)</f>
        <v>32650</v>
      </c>
      <c r="D63" s="47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45"/>
      <c r="D64" s="45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45"/>
      <c r="D65" s="45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46">
        <f>C63+C64+C65</f>
        <v>32650</v>
      </c>
      <c r="D67" s="46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47" t="s">
        <v>89</v>
      </c>
      <c r="D33" s="47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50">
        <f>SUMIFS(I$3:I$29,B$3:B$29,A$33,L$3:L$29,A$34)+I32</f>
        <v>24145</v>
      </c>
      <c r="D34" s="48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9">
        <v>0</v>
      </c>
      <c r="D35" s="49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9">
        <f>-SUMIFS(I$3:I$29,B$3:B$29,A$33,P$3:P$29,"xx",N$3:N$29,"x")</f>
        <v>-1715</v>
      </c>
      <c r="D36" s="49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47">
        <f>SUBTOTAL(9,C34:C36)</f>
        <v>22430</v>
      </c>
      <c r="D37" s="47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45">
        <v>-70</v>
      </c>
      <c r="D38" s="45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45"/>
      <c r="D39" s="45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46">
        <f>C37+C38+C39</f>
        <v>22360</v>
      </c>
      <c r="D42" s="46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34"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47" t="s">
        <v>89</v>
      </c>
      <c r="D51" s="47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8">
        <f>SUMIFS(I$3:I$47,B$3:B$47,A$51,L$3:L$47,A$52)</f>
        <v>25380</v>
      </c>
      <c r="D52" s="48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9">
        <v>0</v>
      </c>
      <c r="D53" s="49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9">
        <f>-SUMIFS(I$3:I$47,B$3:B$47,A$51,P$3:P$47,"xx",N$3:N$47,"x")</f>
        <v>-710</v>
      </c>
      <c r="D54" s="49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47">
        <f>SUBTOTAL(9,C52:C54)</f>
        <v>24670</v>
      </c>
      <c r="D55" s="47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45"/>
      <c r="D56" s="45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45"/>
      <c r="D57" s="45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46">
        <f>C55+C56+C57</f>
        <v>24670</v>
      </c>
      <c r="D59" s="46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31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47" t="s">
        <v>89</v>
      </c>
      <c r="D43" s="47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8">
        <f>SUMIFS(I$3:I$39,B$3:B$39,A$43,L$3:L$39,A$44)</f>
        <v>23985</v>
      </c>
      <c r="D44" s="48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9">
        <v>0</v>
      </c>
      <c r="D45" s="49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9">
        <f>-SUMIFS(I$3:I$39,B$3:B$39,A$43,P$3:P$39,"xx",N$3:N$39,"x")</f>
        <v>0</v>
      </c>
      <c r="D46" s="49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47">
        <f>SUBTOTAL(9,C44:C46)</f>
        <v>23985</v>
      </c>
      <c r="D47" s="47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45"/>
      <c r="D48" s="45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45"/>
      <c r="D49" s="45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46">
        <f>C47+C48+C49</f>
        <v>23985</v>
      </c>
      <c r="D51" s="46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40" zoomScale="90" zoomScaleNormal="90" workbookViewId="0">
      <selection activeCell="L64" sqref="L64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47" t="s">
        <v>89</v>
      </c>
      <c r="D58" s="47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8">
        <f>SUMIFS(I$3:I$55,B$3:B$55,A$58,L$3:L$55,A$59)</f>
        <v>43676</v>
      </c>
      <c r="D59" s="48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9">
        <v>0</v>
      </c>
      <c r="D60" s="49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9">
        <f>-SUMIFS(I$3:I$55,B$3:B$55,A$58,P$3:P$55,"xx",N$3:N$55,"x")</f>
        <v>-975</v>
      </c>
      <c r="D61" s="49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47">
        <f>SUBTOTAL(9,C59:C61)</f>
        <v>42701</v>
      </c>
      <c r="D62" s="47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45"/>
      <c r="D63" s="45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45"/>
      <c r="D64" s="45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46">
        <f>C62+C63+C64</f>
        <v>42701</v>
      </c>
      <c r="D66" s="46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40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47" t="s">
        <v>89</v>
      </c>
      <c r="D47" s="47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8">
        <f>SUMIFS(I$3:I$43,B$3:B$43,A$47,L$3:L$43,A$48)</f>
        <v>28800</v>
      </c>
      <c r="D48" s="48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9">
        <v>0</v>
      </c>
      <c r="D49" s="49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9">
        <f>-SUMIFS(I$3:I$43,B$3:B$43,A$47,P$3:P$43,"xx",N$3:N$43,"x")</f>
        <v>0</v>
      </c>
      <c r="D50" s="49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47">
        <f>SUBTOTAL(9,C48:C50)</f>
        <v>28800</v>
      </c>
      <c r="D51" s="47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45"/>
      <c r="D52" s="45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45"/>
      <c r="D53" s="45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46">
        <f>C51+C52+C53</f>
        <v>28800</v>
      </c>
      <c r="D55" s="46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B52" workbookViewId="0">
      <selection activeCell="P76" sqref="P76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3.85546875" bestFit="1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8">
        <f>SUMIFS(I$3:I$66,B$3:B$66,A$70,L$3:L$66,A$71)</f>
        <v>40275</v>
      </c>
      <c r="D71" s="48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9">
        <f>-SUMIFS(I$3:I$66,B$3:B$66,A$70,P$3:P$66,"xx",N$3:N$66,"x")</f>
        <v>-790</v>
      </c>
      <c r="D73" s="49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47">
        <f>SUBTOTAL(9,C71:C73)</f>
        <v>39485</v>
      </c>
      <c r="D74" s="47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45"/>
      <c r="D75" s="45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45"/>
      <c r="D76" s="45"/>
      <c r="L76" s="9">
        <f>SUBTOTAL(9,L71:L75)</f>
        <v>15833</v>
      </c>
      <c r="M76" s="9">
        <f>M71</f>
        <v>26</v>
      </c>
      <c r="O76" t="s">
        <v>1308</v>
      </c>
      <c r="P76">
        <v>790</v>
      </c>
    </row>
    <row r="77" spans="1:17" x14ac:dyDescent="0.25">
      <c r="O77" s="4" t="s">
        <v>106</v>
      </c>
      <c r="P77" s="4">
        <f>SUBTOTAL(9,P71:P76)</f>
        <v>1035</v>
      </c>
    </row>
    <row r="78" spans="1:17" x14ac:dyDescent="0.25">
      <c r="B78" s="1" t="s">
        <v>108</v>
      </c>
      <c r="C78" s="46">
        <f>C74+C75+C76</f>
        <v>39485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topLeftCell="A10"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1309</v>
      </c>
      <c r="D3" s="18" t="s">
        <v>1310</v>
      </c>
      <c r="E3" s="18" t="s">
        <v>1311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1313</v>
      </c>
      <c r="D4" s="18" t="s">
        <v>1314</v>
      </c>
      <c r="E4" s="18" t="s">
        <v>1315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1312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1316</v>
      </c>
      <c r="D5" s="18" t="s">
        <v>1317</v>
      </c>
      <c r="E5" s="18" t="s">
        <v>1318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1319</v>
      </c>
      <c r="D6" s="18" t="s">
        <v>1320</v>
      </c>
      <c r="E6" s="18" t="s">
        <v>1321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1322</v>
      </c>
      <c r="K6" s="18" t="s">
        <v>21</v>
      </c>
      <c r="L6" s="18" t="s">
        <v>1312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1323</v>
      </c>
      <c r="E7" s="18" t="s">
        <v>1324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1322</v>
      </c>
      <c r="K7" s="18" t="s">
        <v>21</v>
      </c>
      <c r="L7" s="18" t="s">
        <v>1312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1325</v>
      </c>
      <c r="D8" s="18" t="s">
        <v>1326</v>
      </c>
      <c r="E8" s="18" t="s">
        <v>1327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1322</v>
      </c>
      <c r="K8" s="18" t="s">
        <v>21</v>
      </c>
      <c r="L8" s="18" t="s">
        <v>1312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1328</v>
      </c>
      <c r="D9" s="18" t="s">
        <v>1329</v>
      </c>
      <c r="E9" s="18" t="s">
        <v>1330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1322</v>
      </c>
      <c r="K9" s="18" t="s">
        <v>21</v>
      </c>
      <c r="L9" s="18" t="s">
        <v>1312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1331</v>
      </c>
      <c r="D10" s="18" t="s">
        <v>1332</v>
      </c>
      <c r="E10" s="18" t="s">
        <v>1333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1322</v>
      </c>
      <c r="K10" s="18" t="s">
        <v>21</v>
      </c>
      <c r="L10" s="18" t="s">
        <v>1312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1334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1312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1335</v>
      </c>
      <c r="D12" s="18" t="s">
        <v>1336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1337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1338</v>
      </c>
      <c r="D14" s="18" t="s">
        <v>1339</v>
      </c>
      <c r="E14" s="18" t="s">
        <v>1340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1341</v>
      </c>
      <c r="D15" s="18" t="s">
        <v>1342</v>
      </c>
      <c r="E15" s="18" t="s">
        <v>1343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1344</v>
      </c>
      <c r="E16" s="18" t="s">
        <v>1345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1346</v>
      </c>
      <c r="D17" s="18" t="s">
        <v>1347</v>
      </c>
      <c r="E17" s="18" t="s">
        <v>1348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1349</v>
      </c>
      <c r="D18" s="18" t="s">
        <v>1350</v>
      </c>
      <c r="E18" s="18" t="s">
        <v>1351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1312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1352</v>
      </c>
      <c r="E19" s="18" t="s">
        <v>1353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1354</v>
      </c>
      <c r="D20" s="18" t="s">
        <v>1355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1312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1356</v>
      </c>
      <c r="D21" s="18" t="s">
        <v>1357</v>
      </c>
      <c r="E21" s="18" t="s">
        <v>1358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1359</v>
      </c>
      <c r="D22" s="18"/>
      <c r="E22" s="18" t="s">
        <v>1360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1312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1361</v>
      </c>
      <c r="D23" s="20" t="s">
        <v>1362</v>
      </c>
      <c r="E23" s="20" t="s">
        <v>1363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1364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1365</v>
      </c>
      <c r="D24" s="20" t="s">
        <v>1366</v>
      </c>
      <c r="E24" s="20" t="s">
        <v>1367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1364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1364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1368</v>
      </c>
      <c r="D26" s="20" t="s">
        <v>1369</v>
      </c>
      <c r="E26" s="20" t="s">
        <v>1370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1364</v>
      </c>
      <c r="K26" s="20" t="s">
        <v>21</v>
      </c>
      <c r="L26" s="20" t="s">
        <v>1371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47" t="s">
        <v>89</v>
      </c>
      <c r="D30" s="47"/>
      <c r="E30" s="4" t="s">
        <v>90</v>
      </c>
      <c r="H30">
        <f>-1*25</f>
        <v>-25</v>
      </c>
      <c r="K30" s="7" t="s">
        <v>1322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1312</v>
      </c>
      <c r="B31" s="3" t="s">
        <v>93</v>
      </c>
      <c r="C31" s="48">
        <f>SUMIFS(I$3:I$26,B$3:B$26,A$30,L$3:L$26,A$31)</f>
        <v>10860</v>
      </c>
      <c r="D31" s="48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1372</v>
      </c>
      <c r="P31">
        <f>L36</f>
        <v>-328</v>
      </c>
    </row>
    <row r="32" spans="1:17" x14ac:dyDescent="0.25">
      <c r="B32" s="2" t="s">
        <v>97</v>
      </c>
      <c r="C32" s="49">
        <v>0</v>
      </c>
      <c r="D32" s="49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9">
        <f>-SUMIFS(I$3:I$26,B$3:B$26,A$30,P$3:P$26,"xx",N$3:N$26,"x")</f>
        <v>-2910</v>
      </c>
      <c r="D33" s="49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47">
        <f>SUBTOTAL(9,C31:C33)</f>
        <v>7950</v>
      </c>
      <c r="D34" s="47"/>
      <c r="E34">
        <f>E31</f>
        <v>20</v>
      </c>
      <c r="K34" s="2" t="s">
        <v>102</v>
      </c>
      <c r="L34" s="29">
        <v>-3007</v>
      </c>
      <c r="M34" s="29" t="s">
        <v>1373</v>
      </c>
      <c r="O34" t="s">
        <v>165</v>
      </c>
      <c r="P34">
        <f>L60</f>
        <v>5</v>
      </c>
    </row>
    <row r="35" spans="2:16" x14ac:dyDescent="0.25">
      <c r="B35" s="2" t="s">
        <v>104</v>
      </c>
      <c r="C35" s="45"/>
      <c r="D35" s="45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45"/>
      <c r="D36" s="45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46">
        <f>C34+C35+C36</f>
        <v>7950</v>
      </c>
      <c r="D38" s="46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1374</v>
      </c>
      <c r="D3" s="18" t="s">
        <v>1375</v>
      </c>
      <c r="E3" s="18" t="s">
        <v>1376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1378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1380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1381</v>
      </c>
      <c r="K5" s="18" t="s">
        <v>21</v>
      </c>
      <c r="L5" s="18" t="s">
        <v>1377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1382</v>
      </c>
      <c r="E6" s="18" t="s">
        <v>1383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1381</v>
      </c>
      <c r="K6" s="18" t="s">
        <v>21</v>
      </c>
      <c r="L6" s="18" t="s">
        <v>1377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1384</v>
      </c>
      <c r="D7" s="18" t="s">
        <v>1385</v>
      </c>
      <c r="E7" s="18" t="s">
        <v>1386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1381</v>
      </c>
      <c r="K7" s="18" t="s">
        <v>21</v>
      </c>
      <c r="L7" s="18" t="s">
        <v>1377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1387</v>
      </c>
      <c r="D8" s="18" t="s">
        <v>1388</v>
      </c>
      <c r="E8" s="18" t="s">
        <v>1389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1381</v>
      </c>
      <c r="K8" s="18" t="s">
        <v>21</v>
      </c>
      <c r="L8" s="18" t="s">
        <v>1377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1390</v>
      </c>
      <c r="D9" s="18" t="s">
        <v>1391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1381</v>
      </c>
      <c r="K9" s="18" t="s">
        <v>21</v>
      </c>
      <c r="L9" s="18" t="s">
        <v>1377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1392</v>
      </c>
      <c r="D10" s="18" t="s">
        <v>1393</v>
      </c>
      <c r="E10" s="18" t="s">
        <v>1394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1381</v>
      </c>
      <c r="K10" s="18" t="s">
        <v>21</v>
      </c>
      <c r="L10" s="18" t="s">
        <v>1377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1395</v>
      </c>
      <c r="D11" s="18" t="s">
        <v>1396</v>
      </c>
      <c r="E11" s="18" t="s">
        <v>1397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1381</v>
      </c>
      <c r="K11" s="18" t="s">
        <v>21</v>
      </c>
      <c r="L11" s="18" t="s">
        <v>1377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1398</v>
      </c>
      <c r="D12" s="18" t="s">
        <v>1399</v>
      </c>
      <c r="E12" s="18" t="s">
        <v>1400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1381</v>
      </c>
      <c r="K12" s="18" t="s">
        <v>21</v>
      </c>
      <c r="L12" s="18" t="s">
        <v>1377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1401</v>
      </c>
      <c r="D13" s="18" t="s">
        <v>1402</v>
      </c>
      <c r="E13" s="18" t="s">
        <v>1403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1381</v>
      </c>
      <c r="K13" s="18" t="s">
        <v>21</v>
      </c>
      <c r="L13" s="18" t="s">
        <v>1377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1381</v>
      </c>
      <c r="K14" s="18" t="s">
        <v>21</v>
      </c>
      <c r="L14" s="18" t="s">
        <v>1377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1381</v>
      </c>
      <c r="K15" s="18" t="s">
        <v>21</v>
      </c>
      <c r="L15" s="18" t="s">
        <v>1377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1404</v>
      </c>
      <c r="D16" s="18" t="s">
        <v>1405</v>
      </c>
      <c r="E16" s="18" t="s">
        <v>1406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1377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1407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1408</v>
      </c>
      <c r="D18" s="18" t="s">
        <v>1409</v>
      </c>
      <c r="E18" s="18" t="s">
        <v>1410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1411</v>
      </c>
      <c r="D19" s="18" t="s">
        <v>1412</v>
      </c>
      <c r="E19" s="18" t="s">
        <v>1413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1414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1377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1415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1377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1377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1377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1416</v>
      </c>
      <c r="D24" s="18"/>
      <c r="E24" s="18" t="s">
        <v>1417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1418</v>
      </c>
      <c r="D25" s="18" t="s">
        <v>1419</v>
      </c>
      <c r="E25" s="18" t="s">
        <v>1420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1421</v>
      </c>
      <c r="E26" s="18" t="s">
        <v>1422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1423</v>
      </c>
      <c r="D27" s="18" t="s">
        <v>1424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1425</v>
      </c>
      <c r="D28" s="18" t="s">
        <v>1426</v>
      </c>
      <c r="E28" s="18" t="s">
        <v>1427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1428</v>
      </c>
      <c r="D29" s="18" t="s">
        <v>1429</v>
      </c>
      <c r="E29" s="18" t="s">
        <v>1430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1431</v>
      </c>
      <c r="D30" s="18" t="s">
        <v>1432</v>
      </c>
      <c r="E30" s="18" t="s">
        <v>1433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1434</v>
      </c>
      <c r="D32" s="18" t="s">
        <v>1435</v>
      </c>
      <c r="E32" s="18" t="s">
        <v>1436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1437</v>
      </c>
      <c r="D33" s="18" t="s">
        <v>1438</v>
      </c>
      <c r="E33" s="18" t="s">
        <v>1439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1377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1440</v>
      </c>
      <c r="D34" s="18"/>
      <c r="E34" s="18" t="s">
        <v>1441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1377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47" t="s">
        <v>89</v>
      </c>
      <c r="D39" s="47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1377</v>
      </c>
      <c r="B40" s="3" t="s">
        <v>93</v>
      </c>
      <c r="C40" s="48">
        <f>SUMIFS(I$3:I$35,B$3:B$35,A$39,L$3:L$35,A$40)</f>
        <v>22860</v>
      </c>
      <c r="D40" s="48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9">
        <v>0</v>
      </c>
      <c r="D41" s="49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1442</v>
      </c>
      <c r="P41">
        <f>L53</f>
        <v>6805</v>
      </c>
    </row>
    <row r="42" spans="1:17" x14ac:dyDescent="0.25">
      <c r="B42" s="2" t="s">
        <v>99</v>
      </c>
      <c r="C42" s="49">
        <f>-SUMIFS(I$3:I$35,B$3:B$35,A$39,P$3:P$35,"xx",N$3:N$35,"x")</f>
        <v>-870</v>
      </c>
      <c r="D42" s="49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47">
        <f>SUBTOTAL(9,C40:C42)</f>
        <v>21990</v>
      </c>
      <c r="D43" s="47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45"/>
      <c r="D44" s="45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45"/>
      <c r="D45" s="45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46">
        <f>C43+C44+C45</f>
        <v>21990</v>
      </c>
      <c r="D47" s="46"/>
      <c r="E47" s="1" t="s">
        <v>109</v>
      </c>
      <c r="K47" s="7" t="s">
        <v>1381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43" workbookViewId="0">
      <selection activeCell="I51" sqref="I51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1443</v>
      </c>
      <c r="D3" s="18" t="s">
        <v>1444</v>
      </c>
      <c r="E3" s="18" t="s">
        <v>1445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1447</v>
      </c>
      <c r="D4" s="18" t="s">
        <v>1448</v>
      </c>
      <c r="E4" s="18" t="s">
        <v>1449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1450</v>
      </c>
      <c r="D5" s="18" t="s">
        <v>1451</v>
      </c>
      <c r="E5" s="18" t="s">
        <v>1452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1453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1446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1454</v>
      </c>
      <c r="D7" s="18"/>
      <c r="E7" s="18" t="s">
        <v>1455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1456</v>
      </c>
      <c r="D8" s="18" t="s">
        <v>1457</v>
      </c>
      <c r="E8" s="18" t="s">
        <v>1458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1459</v>
      </c>
      <c r="D9" s="18" t="s">
        <v>1460</v>
      </c>
      <c r="E9" s="18" t="s">
        <v>1461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1462</v>
      </c>
      <c r="K9" s="18" t="s">
        <v>21</v>
      </c>
      <c r="L9" s="18" t="s">
        <v>1446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1463</v>
      </c>
      <c r="D10" s="18" t="s">
        <v>1464</v>
      </c>
      <c r="E10" s="18" t="s">
        <v>1465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1462</v>
      </c>
      <c r="K10" s="18" t="s">
        <v>21</v>
      </c>
      <c r="L10" s="18" t="s">
        <v>1446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1466</v>
      </c>
      <c r="D11" s="18" t="s">
        <v>1467</v>
      </c>
      <c r="E11" s="18" t="s">
        <v>1468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1462</v>
      </c>
      <c r="K11" s="18" t="s">
        <v>21</v>
      </c>
      <c r="L11" s="18" t="s">
        <v>1446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1469</v>
      </c>
      <c r="D12" s="18" t="s">
        <v>1470</v>
      </c>
      <c r="E12" s="18" t="s">
        <v>1471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1462</v>
      </c>
      <c r="K12" s="18" t="s">
        <v>21</v>
      </c>
      <c r="L12" s="18" t="s">
        <v>1446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1472</v>
      </c>
      <c r="E13" s="18" t="s">
        <v>1473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1462</v>
      </c>
      <c r="K13" s="18" t="s">
        <v>21</v>
      </c>
      <c r="L13" s="18" t="s">
        <v>1446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1474</v>
      </c>
      <c r="D14" s="18" t="s">
        <v>1475</v>
      </c>
      <c r="E14" s="18" t="s">
        <v>1476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1462</v>
      </c>
      <c r="K14" s="18" t="s">
        <v>21</v>
      </c>
      <c r="L14" s="18" t="s">
        <v>1446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1477</v>
      </c>
      <c r="D15" s="18" t="s">
        <v>1478</v>
      </c>
      <c r="E15" s="18" t="s">
        <v>1479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1462</v>
      </c>
      <c r="K15" s="18" t="s">
        <v>21</v>
      </c>
      <c r="L15" s="18" t="s">
        <v>1446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1480</v>
      </c>
      <c r="D16" s="18" t="s">
        <v>1481</v>
      </c>
      <c r="E16" s="18" t="s">
        <v>1482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1462</v>
      </c>
      <c r="K16" s="18" t="s">
        <v>21</v>
      </c>
      <c r="L16" s="18" t="s">
        <v>1446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1483</v>
      </c>
      <c r="E17" s="18" t="s">
        <v>1484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1462</v>
      </c>
      <c r="K17" s="18" t="s">
        <v>21</v>
      </c>
      <c r="L17" s="18" t="s">
        <v>1446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1485</v>
      </c>
      <c r="D18" s="18" t="s">
        <v>1486</v>
      </c>
      <c r="E18" s="18" t="s">
        <v>1487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1462</v>
      </c>
      <c r="K18" s="18" t="s">
        <v>21</v>
      </c>
      <c r="L18" s="18" t="s">
        <v>1446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1488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1462</v>
      </c>
      <c r="K19" s="18" t="s">
        <v>21</v>
      </c>
      <c r="L19" s="18" t="s">
        <v>1446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1489</v>
      </c>
      <c r="D20" s="18" t="s">
        <v>1490</v>
      </c>
      <c r="E20" s="18" t="s">
        <v>1491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1462</v>
      </c>
      <c r="K20" s="18" t="s">
        <v>21</v>
      </c>
      <c r="L20" s="18" t="s">
        <v>1446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1492</v>
      </c>
      <c r="D21" s="18" t="s">
        <v>1493</v>
      </c>
      <c r="E21" s="18" t="s">
        <v>1494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1462</v>
      </c>
      <c r="K21" s="18" t="s">
        <v>21</v>
      </c>
      <c r="L21" s="18" t="s">
        <v>1446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1495</v>
      </c>
      <c r="D22" s="18" t="s">
        <v>1496</v>
      </c>
      <c r="E22" s="18" t="s">
        <v>1497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1462</v>
      </c>
      <c r="K22" s="18" t="s">
        <v>21</v>
      </c>
      <c r="L22" s="18" t="s">
        <v>1446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1498</v>
      </c>
      <c r="D23" s="18" t="s">
        <v>1499</v>
      </c>
      <c r="E23" s="18" t="s">
        <v>1500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1462</v>
      </c>
      <c r="K23" s="18" t="s">
        <v>21</v>
      </c>
      <c r="L23" s="18" t="s">
        <v>1446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1501</v>
      </c>
      <c r="D24" s="18" t="s">
        <v>1502</v>
      </c>
      <c r="E24" s="18" t="s">
        <v>1503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1462</v>
      </c>
      <c r="K24" s="18" t="s">
        <v>21</v>
      </c>
      <c r="L24" s="18" t="s">
        <v>1446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1504</v>
      </c>
      <c r="D25" s="18"/>
      <c r="E25" s="18" t="s">
        <v>1505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1462</v>
      </c>
      <c r="K25" s="18" t="s">
        <v>21</v>
      </c>
      <c r="L25" s="18" t="s">
        <v>1446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1506</v>
      </c>
      <c r="D26" s="18" t="s">
        <v>1507</v>
      </c>
      <c r="E26" s="18" t="s">
        <v>1508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1509</v>
      </c>
      <c r="D27" s="18" t="s">
        <v>1510</v>
      </c>
      <c r="E27" s="18" t="s">
        <v>1511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1512</v>
      </c>
      <c r="D28" s="18" t="s">
        <v>1513</v>
      </c>
      <c r="E28" s="18" t="s">
        <v>1514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1515</v>
      </c>
      <c r="D29" s="18" t="s">
        <v>1516</v>
      </c>
      <c r="E29" s="18" t="s">
        <v>1517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1518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1519</v>
      </c>
      <c r="D31" s="18" t="s">
        <v>1520</v>
      </c>
      <c r="E31" s="18" t="s">
        <v>1521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1522</v>
      </c>
      <c r="D32" s="18" t="s">
        <v>1523</v>
      </c>
      <c r="E32" s="18" t="s">
        <v>1524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1525</v>
      </c>
      <c r="D33" s="18" t="s">
        <v>1526</v>
      </c>
      <c r="E33" s="18" t="s">
        <v>1527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1446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1528</v>
      </c>
      <c r="D34" s="18" t="s">
        <v>1529</v>
      </c>
      <c r="E34" s="18" t="s">
        <v>1530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1446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1531</v>
      </c>
      <c r="D35" s="18" t="s">
        <v>1532</v>
      </c>
      <c r="E35" s="18" t="s">
        <v>1533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1534</v>
      </c>
      <c r="D36" s="18" t="s">
        <v>1535</v>
      </c>
      <c r="E36" s="18" t="s">
        <v>1536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1446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1537</v>
      </c>
      <c r="D37" s="18"/>
      <c r="E37" s="18" t="s">
        <v>1538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1446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1539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1446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1540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1446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1541</v>
      </c>
      <c r="D40" s="18" t="s">
        <v>1542</v>
      </c>
      <c r="E40" s="18" t="s">
        <v>1543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1544</v>
      </c>
      <c r="D41" s="18" t="s">
        <v>1545</v>
      </c>
      <c r="E41" s="18" t="s">
        <v>1546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1547</v>
      </c>
      <c r="D42" s="18" t="s">
        <v>1548</v>
      </c>
      <c r="E42" s="18" t="s">
        <v>1549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1550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1551</v>
      </c>
      <c r="E44" s="18" t="s">
        <v>1552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1553</v>
      </c>
      <c r="D45" s="18" t="s">
        <v>1554</v>
      </c>
      <c r="E45" s="18" t="s">
        <v>1555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1556</v>
      </c>
      <c r="D46" s="18" t="s">
        <v>1557</v>
      </c>
      <c r="E46" s="18" t="s">
        <v>1558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1559</v>
      </c>
      <c r="D47" s="18" t="s">
        <v>1560</v>
      </c>
      <c r="E47" s="18" t="s">
        <v>1561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1562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1446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1446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1563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1446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1341</v>
      </c>
      <c r="D51" s="20" t="s">
        <v>1342</v>
      </c>
      <c r="E51" s="20" t="s">
        <v>1343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1312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1564</v>
      </c>
      <c r="D52" s="20" t="s">
        <v>1565</v>
      </c>
      <c r="E52" s="20" t="s">
        <v>1566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1446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47" t="s">
        <v>89</v>
      </c>
      <c r="D56" s="47"/>
      <c r="E56" s="4" t="s">
        <v>90</v>
      </c>
      <c r="H56">
        <f>-5*25</f>
        <v>-125</v>
      </c>
      <c r="K56" s="7" t="s">
        <v>1462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1446</v>
      </c>
      <c r="B57" s="3" t="s">
        <v>93</v>
      </c>
      <c r="C57" s="48">
        <f>SUMIFS(I$3:I$52,B$3:B$52,A$56,L$3:L$52,A$57)</f>
        <v>28155</v>
      </c>
      <c r="D57" s="48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1567</v>
      </c>
      <c r="P57">
        <f>L62</f>
        <v>7146</v>
      </c>
    </row>
    <row r="58" spans="1:17" x14ac:dyDescent="0.25">
      <c r="B58" s="2" t="s">
        <v>97</v>
      </c>
      <c r="C58" s="49">
        <v>0</v>
      </c>
      <c r="D58" s="49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9">
        <f>-SUMIFS(I$3:I$52,B$3:B$52,A$56,P$3:P$52,"xx",N$3:N$52,"x")</f>
        <v>-3155</v>
      </c>
      <c r="D59" s="49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47">
        <f>SUBTOTAL(9,C57:C59)</f>
        <v>25000</v>
      </c>
      <c r="D60" s="47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45"/>
      <c r="D61" s="45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45"/>
      <c r="D62" s="45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46">
        <f>C60+C61+C62</f>
        <v>25000</v>
      </c>
      <c r="D64" s="46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1568</v>
      </c>
      <c r="D3" s="18" t="s">
        <v>1569</v>
      </c>
      <c r="E3" s="18" t="s">
        <v>1570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1572</v>
      </c>
      <c r="D4" s="18" t="s">
        <v>1573</v>
      </c>
      <c r="E4" s="18" t="s">
        <v>1574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1575</v>
      </c>
      <c r="D5" s="18" t="s">
        <v>1576</v>
      </c>
      <c r="E5" s="18" t="s">
        <v>1577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1578</v>
      </c>
      <c r="D6" s="18" t="s">
        <v>1579</v>
      </c>
      <c r="E6" s="18" t="s">
        <v>1580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1581</v>
      </c>
      <c r="K6" s="18" t="s">
        <v>21</v>
      </c>
      <c r="L6" s="18" t="s">
        <v>1571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1582</v>
      </c>
      <c r="D7" s="18" t="s">
        <v>1583</v>
      </c>
      <c r="E7" s="18" t="s">
        <v>1584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1581</v>
      </c>
      <c r="K7" s="18" t="s">
        <v>21</v>
      </c>
      <c r="L7" s="18" t="s">
        <v>1571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1585</v>
      </c>
      <c r="D8" s="18" t="s">
        <v>1586</v>
      </c>
      <c r="E8" s="18" t="s">
        <v>1587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1581</v>
      </c>
      <c r="K8" s="18" t="s">
        <v>21</v>
      </c>
      <c r="L8" s="18" t="s">
        <v>1571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1588</v>
      </c>
      <c r="D9" s="18" t="s">
        <v>1589</v>
      </c>
      <c r="E9" s="18" t="s">
        <v>1590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1581</v>
      </c>
      <c r="K9" s="18" t="s">
        <v>21</v>
      </c>
      <c r="L9" s="18" t="s">
        <v>1571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1591</v>
      </c>
      <c r="D10" s="18" t="s">
        <v>1592</v>
      </c>
      <c r="E10" s="18" t="s">
        <v>1593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1581</v>
      </c>
      <c r="K10" s="18" t="s">
        <v>21</v>
      </c>
      <c r="L10" s="18" t="s">
        <v>1571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1594</v>
      </c>
      <c r="D11" s="18" t="s">
        <v>1595</v>
      </c>
      <c r="E11" s="18" t="s">
        <v>1596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1581</v>
      </c>
      <c r="K11" s="18" t="s">
        <v>21</v>
      </c>
      <c r="L11" s="18" t="s">
        <v>1571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1597</v>
      </c>
      <c r="D12" s="18" t="s">
        <v>1598</v>
      </c>
      <c r="E12" s="18" t="s">
        <v>1599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1581</v>
      </c>
      <c r="K12" s="18" t="s">
        <v>21</v>
      </c>
      <c r="L12" s="18" t="s">
        <v>1571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1600</v>
      </c>
      <c r="D13" s="18" t="s">
        <v>1601</v>
      </c>
      <c r="E13" s="18" t="s">
        <v>1602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1581</v>
      </c>
      <c r="K13" s="18" t="s">
        <v>21</v>
      </c>
      <c r="L13" s="18" t="s">
        <v>1571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1603</v>
      </c>
      <c r="D14" s="18" t="s">
        <v>1604</v>
      </c>
      <c r="E14" s="18" t="s">
        <v>1605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1581</v>
      </c>
      <c r="K14" s="18" t="s">
        <v>21</v>
      </c>
      <c r="L14" s="18" t="s">
        <v>1571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1606</v>
      </c>
      <c r="D15" s="18" t="s">
        <v>1607</v>
      </c>
      <c r="E15" s="18" t="s">
        <v>1608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1581</v>
      </c>
      <c r="K15" s="18" t="s">
        <v>21</v>
      </c>
      <c r="L15" s="18" t="s">
        <v>1571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1609</v>
      </c>
      <c r="D16" s="18" t="s">
        <v>1610</v>
      </c>
      <c r="E16" s="18" t="s">
        <v>1611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1581</v>
      </c>
      <c r="K16" s="18" t="s">
        <v>21</v>
      </c>
      <c r="L16" s="18" t="s">
        <v>1571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1368</v>
      </c>
      <c r="D17" s="18" t="s">
        <v>1612</v>
      </c>
      <c r="E17" s="18" t="s">
        <v>1370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1581</v>
      </c>
      <c r="K17" s="18" t="s">
        <v>21</v>
      </c>
      <c r="L17" s="18" t="s">
        <v>1571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1613</v>
      </c>
      <c r="D18" s="18" t="s">
        <v>1614</v>
      </c>
      <c r="E18" s="18" t="s">
        <v>1615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1581</v>
      </c>
      <c r="K18" s="18" t="s">
        <v>21</v>
      </c>
      <c r="L18" s="18" t="s">
        <v>1571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1616</v>
      </c>
      <c r="D19" s="18"/>
      <c r="E19" s="18" t="s">
        <v>1617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1581</v>
      </c>
      <c r="K19" s="18" t="s">
        <v>21</v>
      </c>
      <c r="L19" s="18" t="s">
        <v>1571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1618</v>
      </c>
      <c r="D20" s="18"/>
      <c r="E20" s="18" t="s">
        <v>1619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1581</v>
      </c>
      <c r="K20" s="18" t="s">
        <v>21</v>
      </c>
      <c r="L20" s="18" t="s">
        <v>1571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1620</v>
      </c>
      <c r="E21" s="18" t="s">
        <v>1621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1571</v>
      </c>
      <c r="M21" s="35" t="s">
        <v>1622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1623</v>
      </c>
      <c r="D22" s="18" t="s">
        <v>1624</v>
      </c>
      <c r="E22" s="18" t="s">
        <v>1625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1571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1626</v>
      </c>
      <c r="E23" s="18" t="s">
        <v>1627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1571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1628</v>
      </c>
      <c r="D24" s="18" t="s">
        <v>1629</v>
      </c>
      <c r="E24" s="18" t="s">
        <v>1630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1571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1631</v>
      </c>
      <c r="D25" s="18" t="s">
        <v>1632</v>
      </c>
      <c r="E25" s="18" t="s">
        <v>1633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1571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1634</v>
      </c>
      <c r="D26" s="18" t="s">
        <v>1635</v>
      </c>
      <c r="E26" s="18" t="s">
        <v>1636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1571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1637</v>
      </c>
      <c r="D27" s="18" t="s">
        <v>1638</v>
      </c>
      <c r="E27" s="18" t="s">
        <v>1639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1571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1640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1571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1641</v>
      </c>
      <c r="D29" s="18" t="s">
        <v>1642</v>
      </c>
      <c r="E29" s="18" t="s">
        <v>1643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1571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1644</v>
      </c>
      <c r="D30" s="18" t="s">
        <v>1645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1571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1646</v>
      </c>
      <c r="D31" s="18"/>
      <c r="E31" s="18" t="s">
        <v>1647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1571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1648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1571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1649</v>
      </c>
      <c r="D33" s="18"/>
      <c r="E33" s="18" t="s">
        <v>1650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1571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1651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1571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1571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1652</v>
      </c>
      <c r="E36" s="18" t="s">
        <v>1653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1571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1654</v>
      </c>
      <c r="D37" s="18" t="s">
        <v>1655</v>
      </c>
      <c r="E37" s="18" t="s">
        <v>1656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1571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1657</v>
      </c>
      <c r="E38" s="18" t="s">
        <v>1422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1571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1658</v>
      </c>
      <c r="E39" s="18" t="s">
        <v>1422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1571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1659</v>
      </c>
      <c r="D40" s="18" t="s">
        <v>1660</v>
      </c>
      <c r="E40" s="18" t="s">
        <v>1661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1571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1662</v>
      </c>
      <c r="D41" s="18" t="s">
        <v>1663</v>
      </c>
      <c r="E41" s="18" t="s">
        <v>1664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1571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1665</v>
      </c>
      <c r="D42" s="18" t="s">
        <v>1666</v>
      </c>
      <c r="E42" s="18" t="s">
        <v>1667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1571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1668</v>
      </c>
      <c r="D43" s="18" t="s">
        <v>1669</v>
      </c>
      <c r="E43" s="18" t="s">
        <v>1670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1571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1671</v>
      </c>
      <c r="D44" s="18" t="s">
        <v>1672</v>
      </c>
      <c r="E44" s="18" t="s">
        <v>1673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1571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1674</v>
      </c>
      <c r="D45" s="18" t="s">
        <v>1675</v>
      </c>
      <c r="E45" s="18" t="s">
        <v>1676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1571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1677</v>
      </c>
      <c r="D46" s="18" t="s">
        <v>1678</v>
      </c>
      <c r="E46" s="18" t="s">
        <v>1679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1571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1680</v>
      </c>
      <c r="D47" s="18" t="s">
        <v>1681</v>
      </c>
      <c r="E47" s="18" t="s">
        <v>1682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1571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1683</v>
      </c>
      <c r="D48" s="18" t="s">
        <v>1684</v>
      </c>
      <c r="E48" s="18" t="s">
        <v>1685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1571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1686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1571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1687</v>
      </c>
      <c r="E50" s="18" t="s">
        <v>1688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1571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1689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1571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1690</v>
      </c>
      <c r="D52" s="18" t="s">
        <v>1691</v>
      </c>
      <c r="E52" s="18" t="s">
        <v>1692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1571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1693</v>
      </c>
      <c r="D53" s="18"/>
      <c r="E53" s="18" t="s">
        <v>1694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1571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1571</v>
      </c>
      <c r="B58" s="3" t="s">
        <v>93</v>
      </c>
      <c r="C58" s="48">
        <f>SUMIFS(I$3:I$53,B$3:B$53,A$57,L$3:L$53,A$58)</f>
        <v>30480</v>
      </c>
      <c r="D58" s="48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47">
        <f>SUBTOTAL(9,C58:C60)</f>
        <v>30480</v>
      </c>
      <c r="D61" s="47"/>
      <c r="E61">
        <f>E58</f>
        <v>51</v>
      </c>
      <c r="K61" s="2" t="s">
        <v>102</v>
      </c>
      <c r="O61" t="s">
        <v>1695</v>
      </c>
      <c r="P61">
        <f>L87</f>
        <v>9147</v>
      </c>
    </row>
    <row r="62" spans="1:17" x14ac:dyDescent="0.25">
      <c r="B62" s="2" t="s">
        <v>104</v>
      </c>
      <c r="C62" s="45"/>
      <c r="D62" s="45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45"/>
      <c r="D63" s="45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46">
        <f>C61+C62+C63</f>
        <v>30480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1581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31" zoomScale="95" zoomScaleNormal="95" workbookViewId="0">
      <selection activeCell="I37" sqref="I37 I37:I38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1696</v>
      </c>
      <c r="D3" s="18" t="s">
        <v>1697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1699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1700</v>
      </c>
      <c r="D4" s="18" t="s">
        <v>1701</v>
      </c>
      <c r="E4" s="18" t="s">
        <v>1702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1699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1703</v>
      </c>
      <c r="D5" s="18" t="s">
        <v>1704</v>
      </c>
      <c r="E5" s="18" t="s">
        <v>1705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1706</v>
      </c>
      <c r="K5" s="18" t="s">
        <v>21</v>
      </c>
      <c r="L5" s="18" t="s">
        <v>1699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1707</v>
      </c>
      <c r="D6" s="18" t="s">
        <v>1708</v>
      </c>
      <c r="E6" s="18" t="s">
        <v>1611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1706</v>
      </c>
      <c r="K6" s="18" t="s">
        <v>21</v>
      </c>
      <c r="L6" s="18" t="s">
        <v>1699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1709</v>
      </c>
      <c r="E7" s="18" t="s">
        <v>1710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1706</v>
      </c>
      <c r="K7" s="18" t="s">
        <v>21</v>
      </c>
      <c r="L7" s="18" t="s">
        <v>1699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1711</v>
      </c>
      <c r="D8" s="18" t="s">
        <v>1712</v>
      </c>
      <c r="E8" s="18" t="s">
        <v>1713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1706</v>
      </c>
      <c r="K8" s="18" t="s">
        <v>21</v>
      </c>
      <c r="L8" s="18" t="s">
        <v>1699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1714</v>
      </c>
      <c r="D9" s="18" t="s">
        <v>1715</v>
      </c>
      <c r="E9" s="18" t="s">
        <v>1716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1706</v>
      </c>
      <c r="K9" s="18" t="s">
        <v>21</v>
      </c>
      <c r="L9" s="18" t="s">
        <v>1699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1717</v>
      </c>
      <c r="D10" s="18" t="s">
        <v>1718</v>
      </c>
      <c r="E10" s="18" t="s">
        <v>1719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1706</v>
      </c>
      <c r="K10" s="18" t="s">
        <v>21</v>
      </c>
      <c r="L10" s="18" t="s">
        <v>1699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1720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1706</v>
      </c>
      <c r="K11" s="18" t="s">
        <v>21</v>
      </c>
      <c r="L11" s="18" t="s">
        <v>1699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1721</v>
      </c>
      <c r="D12" s="18" t="s">
        <v>1722</v>
      </c>
      <c r="E12" s="18" t="s">
        <v>1723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1706</v>
      </c>
      <c r="K12" s="18" t="s">
        <v>21</v>
      </c>
      <c r="L12" s="18" t="s">
        <v>1699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1724</v>
      </c>
      <c r="D13" s="18" t="s">
        <v>1725</v>
      </c>
      <c r="E13" s="18" t="s">
        <v>1726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1706</v>
      </c>
      <c r="K13" s="18" t="s">
        <v>21</v>
      </c>
      <c r="L13" s="18" t="s">
        <v>1699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1727</v>
      </c>
      <c r="D14" s="18" t="s">
        <v>1728</v>
      </c>
      <c r="E14" s="18" t="s">
        <v>1729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1706</v>
      </c>
      <c r="K14" s="18" t="s">
        <v>21</v>
      </c>
      <c r="L14" s="18" t="s">
        <v>1699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1730</v>
      </c>
      <c r="D15" s="18"/>
      <c r="E15" s="18" t="s">
        <v>1731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1706</v>
      </c>
      <c r="K15" s="18" t="s">
        <v>21</v>
      </c>
      <c r="L15" s="18" t="s">
        <v>1699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1732</v>
      </c>
      <c r="D16" s="18" t="s">
        <v>1733</v>
      </c>
      <c r="E16" s="18" t="s">
        <v>1734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1699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1735</v>
      </c>
      <c r="E17" s="18" t="s">
        <v>1736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1699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1737</v>
      </c>
      <c r="D18" s="18" t="s">
        <v>1738</v>
      </c>
      <c r="E18" s="18" t="s">
        <v>1739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1699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1740</v>
      </c>
      <c r="D19" s="18" t="s">
        <v>1741</v>
      </c>
      <c r="E19" s="18" t="s">
        <v>1511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1699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1742</v>
      </c>
      <c r="D20" s="18" t="s">
        <v>1743</v>
      </c>
      <c r="E20" s="18" t="s">
        <v>1744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1699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1745</v>
      </c>
      <c r="D21" s="18" t="s">
        <v>1746</v>
      </c>
      <c r="E21" s="18" t="s">
        <v>1747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1699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1748</v>
      </c>
      <c r="D22" s="18" t="s">
        <v>1749</v>
      </c>
      <c r="E22" s="18" t="s">
        <v>1750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1699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1751</v>
      </c>
      <c r="D23" s="18" t="s">
        <v>1752</v>
      </c>
      <c r="E23" s="18" t="s">
        <v>1753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1699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1754</v>
      </c>
      <c r="D24" s="18" t="s">
        <v>1755</v>
      </c>
      <c r="E24" s="18" t="s">
        <v>1756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1699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1757</v>
      </c>
      <c r="D25" s="18"/>
      <c r="E25" s="18" t="s">
        <v>1758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1699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1759</v>
      </c>
      <c r="D26" s="18" t="s">
        <v>1760</v>
      </c>
      <c r="E26" s="18" t="s">
        <v>1761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1699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1762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1699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1763</v>
      </c>
      <c r="D28" s="18" t="s">
        <v>1764</v>
      </c>
      <c r="E28" s="18" t="s">
        <v>1765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1699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1766</v>
      </c>
      <c r="E29" s="18" t="s">
        <v>1767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1699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1768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1699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1769</v>
      </c>
      <c r="D31" s="18" t="s">
        <v>1770</v>
      </c>
      <c r="E31" s="18" t="s">
        <v>1771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1699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1772</v>
      </c>
      <c r="D32" s="18" t="s">
        <v>1773</v>
      </c>
      <c r="E32" s="18" t="s">
        <v>1774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1699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1775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1699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1776</v>
      </c>
      <c r="D34" s="18"/>
      <c r="E34" s="18" t="s">
        <v>1777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1699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1778</v>
      </c>
      <c r="D35" s="20" t="s">
        <v>1779</v>
      </c>
      <c r="E35" s="20" t="s">
        <v>1780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1699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1781</v>
      </c>
      <c r="D36" s="20" t="s">
        <v>1782</v>
      </c>
      <c r="E36" s="20" t="s">
        <v>1783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1371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1540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1446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1689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1571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47" t="s">
        <v>89</v>
      </c>
      <c r="D42" s="47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1699</v>
      </c>
      <c r="B43" s="3" t="s">
        <v>93</v>
      </c>
      <c r="C43" s="48">
        <f>SUMIFS(I$3:I$38,B$3:B$38,A$42,L$3:L$38,A$43)</f>
        <v>16055</v>
      </c>
      <c r="D43" s="48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9">
        <v>0</v>
      </c>
      <c r="D44" s="49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1784</v>
      </c>
      <c r="P44">
        <f>L56</f>
        <v>6823</v>
      </c>
    </row>
    <row r="45" spans="1:17" x14ac:dyDescent="0.25">
      <c r="B45" s="2" t="s">
        <v>99</v>
      </c>
      <c r="C45" s="49">
        <f>-SUMIFS(I$3:I$38,B$3:B$38,A$42,P$3:P$38,"xx",N$3:N$38,"x")</f>
        <v>-3310</v>
      </c>
      <c r="D45" s="49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47">
        <f>SUBTOTAL(9,C43:C45)</f>
        <v>12745</v>
      </c>
      <c r="D46" s="47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45"/>
      <c r="D47" s="45"/>
      <c r="K47" s="2" t="s">
        <v>105</v>
      </c>
      <c r="L47" s="29">
        <v>-1820</v>
      </c>
      <c r="M47" s="29" t="s">
        <v>1785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45"/>
      <c r="D48" s="45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46">
        <f>C46+C47+C48</f>
        <v>12745</v>
      </c>
      <c r="D50" s="46"/>
      <c r="E50" s="1" t="s">
        <v>109</v>
      </c>
      <c r="K50" s="7" t="s">
        <v>1706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79" workbookViewId="0">
      <selection activeCell="D21" sqref="D21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1786</v>
      </c>
      <c r="D3" s="18"/>
      <c r="E3" s="18" t="s">
        <v>1787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1788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1789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1788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1790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1791</v>
      </c>
      <c r="D6" s="18" t="s">
        <v>1792</v>
      </c>
      <c r="E6" s="18" t="s">
        <v>1793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1794</v>
      </c>
      <c r="K6" s="18" t="s">
        <v>21</v>
      </c>
      <c r="L6" s="18" t="s">
        <v>1788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1795</v>
      </c>
      <c r="D7" s="18" t="s">
        <v>1796</v>
      </c>
      <c r="E7" s="18" t="s">
        <v>1797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1794</v>
      </c>
      <c r="K7" s="18" t="s">
        <v>21</v>
      </c>
      <c r="L7" s="18" t="s">
        <v>1788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1798</v>
      </c>
      <c r="D8" s="18" t="s">
        <v>1799</v>
      </c>
      <c r="E8" s="18" t="s">
        <v>1800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1794</v>
      </c>
      <c r="K8" s="18" t="s">
        <v>21</v>
      </c>
      <c r="L8" s="18" t="s">
        <v>1788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1801</v>
      </c>
      <c r="D9" s="18" t="s">
        <v>1802</v>
      </c>
      <c r="E9" s="18" t="s">
        <v>1803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1794</v>
      </c>
      <c r="K9" s="18" t="s">
        <v>21</v>
      </c>
      <c r="L9" s="18" t="s">
        <v>1788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1804</v>
      </c>
      <c r="D10" s="18" t="s">
        <v>1805</v>
      </c>
      <c r="E10" s="18" t="s">
        <v>1806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1794</v>
      </c>
      <c r="K10" s="18" t="s">
        <v>21</v>
      </c>
      <c r="L10" s="18" t="s">
        <v>1788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1807</v>
      </c>
      <c r="D11" s="18" t="s">
        <v>1808</v>
      </c>
      <c r="E11" s="18" t="s">
        <v>1809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1794</v>
      </c>
      <c r="K11" s="18" t="s">
        <v>21</v>
      </c>
      <c r="L11" s="18" t="s">
        <v>1788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1810</v>
      </c>
      <c r="D12" s="18" t="s">
        <v>1811</v>
      </c>
      <c r="E12" s="18" t="s">
        <v>1812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1794</v>
      </c>
      <c r="K12" s="18" t="s">
        <v>21</v>
      </c>
      <c r="L12" s="18" t="s">
        <v>1788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1813</v>
      </c>
      <c r="D13" s="18" t="s">
        <v>1814</v>
      </c>
      <c r="E13" s="18" t="s">
        <v>1815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1794</v>
      </c>
      <c r="K13" s="18" t="s">
        <v>21</v>
      </c>
      <c r="L13" s="18" t="s">
        <v>1788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1816</v>
      </c>
      <c r="D14" s="18" t="s">
        <v>1817</v>
      </c>
      <c r="E14" s="18" t="s">
        <v>1818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1794</v>
      </c>
      <c r="K14" s="18" t="s">
        <v>21</v>
      </c>
      <c r="L14" s="18" t="s">
        <v>1788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1819</v>
      </c>
      <c r="D15" s="18" t="s">
        <v>1820</v>
      </c>
      <c r="E15" s="18" t="s">
        <v>1821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1794</v>
      </c>
      <c r="K15" s="18" t="s">
        <v>21</v>
      </c>
      <c r="L15" s="18" t="s">
        <v>1788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1822</v>
      </c>
      <c r="D16" s="18" t="s">
        <v>1823</v>
      </c>
      <c r="E16" s="18" t="s">
        <v>1824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1794</v>
      </c>
      <c r="K16" s="18" t="s">
        <v>21</v>
      </c>
      <c r="L16" s="18" t="s">
        <v>1788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1825</v>
      </c>
      <c r="D17" s="18" t="s">
        <v>1826</v>
      </c>
      <c r="E17" s="18" t="s">
        <v>1827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1794</v>
      </c>
      <c r="K17" s="18" t="s">
        <v>21</v>
      </c>
      <c r="L17" s="18" t="s">
        <v>1788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1828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1794</v>
      </c>
      <c r="K18" s="18" t="s">
        <v>21</v>
      </c>
      <c r="L18" s="18" t="s">
        <v>1788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1829</v>
      </c>
      <c r="D19" s="18" t="s">
        <v>1830</v>
      </c>
      <c r="E19" s="18" t="s">
        <v>1831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1794</v>
      </c>
      <c r="K19" s="18" t="s">
        <v>21</v>
      </c>
      <c r="L19" s="18" t="s">
        <v>1788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1832</v>
      </c>
      <c r="D20" s="18" t="s">
        <v>1833</v>
      </c>
      <c r="E20" s="18" t="s">
        <v>1834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1794</v>
      </c>
      <c r="K20" s="18" t="s">
        <v>21</v>
      </c>
      <c r="L20" s="18" t="s">
        <v>1788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1835</v>
      </c>
      <c r="D21" s="18" t="s">
        <v>1836</v>
      </c>
      <c r="E21" s="18" t="s">
        <v>1837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1794</v>
      </c>
      <c r="K21" s="18" t="s">
        <v>21</v>
      </c>
      <c r="L21" s="18" t="s">
        <v>1788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1838</v>
      </c>
      <c r="D22" s="18" t="s">
        <v>1839</v>
      </c>
      <c r="E22" s="18" t="s">
        <v>1840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1794</v>
      </c>
      <c r="K22" s="18" t="s">
        <v>21</v>
      </c>
      <c r="L22" s="18" t="s">
        <v>1788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1841</v>
      </c>
      <c r="D23" s="18" t="s">
        <v>1842</v>
      </c>
      <c r="E23" s="18" t="s">
        <v>1843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1794</v>
      </c>
      <c r="K23" s="18" t="s">
        <v>21</v>
      </c>
      <c r="L23" s="18" t="s">
        <v>1788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1844</v>
      </c>
      <c r="E24" s="18" t="s">
        <v>1845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1794</v>
      </c>
      <c r="K24" s="18" t="s">
        <v>21</v>
      </c>
      <c r="L24" s="18" t="s">
        <v>1788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1846</v>
      </c>
      <c r="D25" s="18" t="s">
        <v>1847</v>
      </c>
      <c r="E25" s="18" t="s">
        <v>1848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1794</v>
      </c>
      <c r="K25" s="18" t="s">
        <v>21</v>
      </c>
      <c r="L25" s="18" t="s">
        <v>1788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1849</v>
      </c>
      <c r="D26" s="18" t="s">
        <v>1850</v>
      </c>
      <c r="E26" s="18" t="s">
        <v>1851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1794</v>
      </c>
      <c r="K26" s="18" t="s">
        <v>21</v>
      </c>
      <c r="L26" s="18" t="s">
        <v>1788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1852</v>
      </c>
      <c r="D27" s="18" t="s">
        <v>1853</v>
      </c>
      <c r="E27" s="18" t="s">
        <v>1854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1794</v>
      </c>
      <c r="K27" s="18" t="s">
        <v>21</v>
      </c>
      <c r="L27" s="18" t="s">
        <v>1788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1855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1794</v>
      </c>
      <c r="K28" s="18" t="s">
        <v>21</v>
      </c>
      <c r="L28" s="18" t="s">
        <v>1788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1331</v>
      </c>
      <c r="D29" s="18" t="s">
        <v>1856</v>
      </c>
      <c r="E29" s="18" t="s">
        <v>1333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1794</v>
      </c>
      <c r="K29" s="18" t="s">
        <v>21</v>
      </c>
      <c r="L29" s="18" t="s">
        <v>1788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1857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1794</v>
      </c>
      <c r="K30" s="18" t="s">
        <v>21</v>
      </c>
      <c r="L30" s="18" t="s">
        <v>1788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1858</v>
      </c>
      <c r="D31" s="18" t="s">
        <v>1859</v>
      </c>
      <c r="E31" s="18" t="s">
        <v>1860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1794</v>
      </c>
      <c r="K31" s="18" t="s">
        <v>21</v>
      </c>
      <c r="L31" s="18" t="s">
        <v>1788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1861</v>
      </c>
      <c r="D32" s="18" t="s">
        <v>1862</v>
      </c>
      <c r="E32" s="18" t="s">
        <v>1863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1794</v>
      </c>
      <c r="K32" s="18" t="s">
        <v>21</v>
      </c>
      <c r="L32" s="18" t="s">
        <v>1788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1864</v>
      </c>
      <c r="D33" s="18" t="s">
        <v>1865</v>
      </c>
      <c r="E33" s="18" t="s">
        <v>1866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1794</v>
      </c>
      <c r="K33" s="18" t="s">
        <v>21</v>
      </c>
      <c r="L33" s="18" t="s">
        <v>1788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1867</v>
      </c>
      <c r="D34" s="18" t="s">
        <v>1868</v>
      </c>
      <c r="E34" s="18" t="s">
        <v>1869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1794</v>
      </c>
      <c r="K34" s="18" t="s">
        <v>21</v>
      </c>
      <c r="L34" s="18" t="s">
        <v>1788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1870</v>
      </c>
      <c r="D35" s="18" t="s">
        <v>1871</v>
      </c>
      <c r="E35" s="18" t="s">
        <v>1872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1794</v>
      </c>
      <c r="K35" s="18" t="s">
        <v>21</v>
      </c>
      <c r="L35" s="18" t="s">
        <v>1788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1873</v>
      </c>
      <c r="E36" s="18" t="s">
        <v>1874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1794</v>
      </c>
      <c r="K36" s="18" t="s">
        <v>21</v>
      </c>
      <c r="L36" s="18" t="s">
        <v>1788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1875</v>
      </c>
      <c r="D37" s="18" t="s">
        <v>1876</v>
      </c>
      <c r="E37" s="18" t="s">
        <v>1877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1794</v>
      </c>
      <c r="K37" s="18" t="s">
        <v>21</v>
      </c>
      <c r="L37" s="18" t="s">
        <v>1788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1878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1794</v>
      </c>
      <c r="K38" s="18" t="s">
        <v>21</v>
      </c>
      <c r="L38" s="18" t="s">
        <v>1788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1879</v>
      </c>
      <c r="D39" s="18" t="s">
        <v>1880</v>
      </c>
      <c r="E39" s="18" t="s">
        <v>1881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1794</v>
      </c>
      <c r="K39" s="18" t="s">
        <v>21</v>
      </c>
      <c r="L39" s="18" t="s">
        <v>1788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1882</v>
      </c>
      <c r="D40" s="18" t="s">
        <v>1883</v>
      </c>
      <c r="E40" s="18" t="s">
        <v>1884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1794</v>
      </c>
      <c r="K40" s="18" t="s">
        <v>21</v>
      </c>
      <c r="L40" s="18" t="s">
        <v>1788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1885</v>
      </c>
      <c r="D41" s="18" t="s">
        <v>1886</v>
      </c>
      <c r="E41" s="18" t="s">
        <v>1887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1794</v>
      </c>
      <c r="K41" s="18" t="s">
        <v>21</v>
      </c>
      <c r="L41" s="18" t="s">
        <v>1788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1794</v>
      </c>
      <c r="K42" s="18" t="s">
        <v>21</v>
      </c>
      <c r="L42" s="18" t="s">
        <v>1788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1888</v>
      </c>
      <c r="D43" s="18" t="s">
        <v>1889</v>
      </c>
      <c r="E43" s="18" t="s">
        <v>1890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1788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1891</v>
      </c>
      <c r="D44" s="18" t="s">
        <v>1892</v>
      </c>
      <c r="E44" s="18" t="s">
        <v>1893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1788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1894</v>
      </c>
      <c r="D45" s="18" t="s">
        <v>1895</v>
      </c>
      <c r="E45" s="18" t="s">
        <v>1896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1897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1898</v>
      </c>
      <c r="D47" s="18" t="s">
        <v>1899</v>
      </c>
      <c r="E47" s="18" t="s">
        <v>1753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1575</v>
      </c>
      <c r="D48" s="18" t="s">
        <v>1900</v>
      </c>
      <c r="E48" s="18" t="s">
        <v>1901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1788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1902</v>
      </c>
      <c r="D49" s="18" t="s">
        <v>1903</v>
      </c>
      <c r="E49" s="18" t="s">
        <v>1904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1905</v>
      </c>
      <c r="D50" s="18" t="s">
        <v>1906</v>
      </c>
      <c r="E50" s="18" t="s">
        <v>1907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1788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1905</v>
      </c>
      <c r="D51" s="18" t="s">
        <v>1908</v>
      </c>
      <c r="E51" s="18" t="s">
        <v>1907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1788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1909</v>
      </c>
      <c r="D52" s="18" t="s">
        <v>1910</v>
      </c>
      <c r="E52" s="18" t="s">
        <v>1911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1788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1912</v>
      </c>
      <c r="D53" s="18" t="s">
        <v>1913</v>
      </c>
      <c r="E53" s="18" t="s">
        <v>1914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1788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1915</v>
      </c>
      <c r="D54" s="18" t="s">
        <v>1916</v>
      </c>
      <c r="E54" s="18" t="s">
        <v>1917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1918</v>
      </c>
      <c r="D55" s="18" t="s">
        <v>1919</v>
      </c>
      <c r="E55" s="18" t="s">
        <v>1920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1788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1921</v>
      </c>
      <c r="D56" s="18" t="s">
        <v>1922</v>
      </c>
      <c r="E56" s="18" t="s">
        <v>1923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1924</v>
      </c>
      <c r="D57" s="18" t="s">
        <v>1925</v>
      </c>
      <c r="E57" s="18" t="s">
        <v>1926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1927</v>
      </c>
      <c r="D58" s="18" t="s">
        <v>1928</v>
      </c>
      <c r="E58" s="18" t="s">
        <v>1929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1515</v>
      </c>
      <c r="D59" s="18" t="s">
        <v>1930</v>
      </c>
      <c r="E59" s="18" t="s">
        <v>1931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1788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1932</v>
      </c>
      <c r="D60" s="18" t="s">
        <v>1933</v>
      </c>
      <c r="E60" s="18" t="s">
        <v>1934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1788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1935</v>
      </c>
      <c r="D61" s="18" t="s">
        <v>1936</v>
      </c>
      <c r="E61" s="18" t="s">
        <v>1937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1938</v>
      </c>
      <c r="D62" s="18" t="s">
        <v>1939</v>
      </c>
      <c r="E62" s="18" t="s">
        <v>1940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1941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1788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1751</v>
      </c>
      <c r="D64" s="18" t="s">
        <v>1942</v>
      </c>
      <c r="E64" s="18" t="s">
        <v>1753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1788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1943</v>
      </c>
      <c r="D65" s="18" t="s">
        <v>1944</v>
      </c>
      <c r="E65" s="18" t="s">
        <v>1945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1788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1946</v>
      </c>
      <c r="D66" s="18" t="s">
        <v>1947</v>
      </c>
      <c r="E66" s="18" t="s">
        <v>1948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1788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1949</v>
      </c>
      <c r="D67" s="18" t="s">
        <v>1950</v>
      </c>
      <c r="E67" s="18" t="s">
        <v>1951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1788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1952</v>
      </c>
      <c r="D68" s="18" t="s">
        <v>1953</v>
      </c>
      <c r="E68" s="18" t="s">
        <v>1954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1788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1955</v>
      </c>
      <c r="D69" s="18" t="s">
        <v>1956</v>
      </c>
      <c r="E69" s="18" t="s">
        <v>1957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1788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1958</v>
      </c>
      <c r="D70" s="18"/>
      <c r="E70" s="18" t="s">
        <v>1959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1788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1960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1788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1961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1788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1788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1962</v>
      </c>
      <c r="D74" s="18"/>
      <c r="E74" s="18" t="s">
        <v>1963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1788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1964</v>
      </c>
      <c r="D75" s="18" t="s">
        <v>1965</v>
      </c>
      <c r="E75" s="18" t="s">
        <v>1433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1788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1966</v>
      </c>
      <c r="D76" s="18" t="s">
        <v>1967</v>
      </c>
      <c r="E76" s="18" t="s">
        <v>1968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1788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1969</v>
      </c>
      <c r="D77" s="18" t="s">
        <v>1970</v>
      </c>
      <c r="E77" s="18" t="s">
        <v>1971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1788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1972</v>
      </c>
      <c r="D78" s="18" t="s">
        <v>1973</v>
      </c>
      <c r="E78" s="18" t="s">
        <v>1974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1788</v>
      </c>
      <c r="M78" s="25" t="s">
        <v>1975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1972</v>
      </c>
      <c r="D79" s="18" t="s">
        <v>1976</v>
      </c>
      <c r="E79" s="18" t="s">
        <v>1974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1788</v>
      </c>
      <c r="M79" s="25" t="s">
        <v>1977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1978</v>
      </c>
      <c r="D80" s="18" t="s">
        <v>1979</v>
      </c>
      <c r="E80" s="18" t="s">
        <v>1980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1788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1981</v>
      </c>
      <c r="D81" s="18" t="s">
        <v>1982</v>
      </c>
      <c r="E81" s="18" t="s">
        <v>1983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1788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1984</v>
      </c>
      <c r="D82" s="18" t="s">
        <v>1985</v>
      </c>
      <c r="E82" s="18" t="s">
        <v>1986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1788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1987</v>
      </c>
      <c r="D83" s="18" t="s">
        <v>1988</v>
      </c>
      <c r="E83" s="18" t="s">
        <v>1989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1788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1990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1788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1991</v>
      </c>
      <c r="D85" s="18" t="s">
        <v>1992</v>
      </c>
      <c r="E85" s="18" t="s">
        <v>1993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1788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1994</v>
      </c>
      <c r="D86" s="18" t="s">
        <v>1995</v>
      </c>
      <c r="E86" s="18" t="s">
        <v>1996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1788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1997</v>
      </c>
      <c r="D87" s="18" t="s">
        <v>1998</v>
      </c>
      <c r="E87" s="18" t="s">
        <v>1999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1788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2000</v>
      </c>
      <c r="D88" s="18" t="s">
        <v>2001</v>
      </c>
      <c r="E88" s="18" t="s">
        <v>2002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1788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2003</v>
      </c>
      <c r="D89" s="18" t="s">
        <v>2004</v>
      </c>
      <c r="E89" s="18" t="s">
        <v>2005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1788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2006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1788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1788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2007</v>
      </c>
      <c r="D92" s="18"/>
      <c r="E92" s="18" t="s">
        <v>1316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1788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2008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1788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2009</v>
      </c>
      <c r="D94" s="18"/>
      <c r="E94" s="18" t="s">
        <v>2010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1788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2011</v>
      </c>
      <c r="D95" s="20" t="s">
        <v>2012</v>
      </c>
      <c r="E95" s="20" t="s">
        <v>2013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1788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2014</v>
      </c>
      <c r="D96" s="20" t="s">
        <v>2015</v>
      </c>
      <c r="E96" s="20" t="s">
        <v>2016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1788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2017</v>
      </c>
      <c r="D97" s="20" t="s">
        <v>2018</v>
      </c>
      <c r="E97" s="20" t="s">
        <v>2019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1788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47" t="s">
        <v>89</v>
      </c>
      <c r="D101" s="47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1788</v>
      </c>
      <c r="B102" s="3" t="s">
        <v>93</v>
      </c>
      <c r="C102" s="48">
        <f>SUMIFS(I$3:I$97,B$3:B$97,A$101,L$3:L$97,A$102)</f>
        <v>56435</v>
      </c>
      <c r="D102" s="48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9">
        <v>0</v>
      </c>
      <c r="D103" s="49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9">
        <f>-SUMIFS(I$3:I$97,B$3:B$97,A$101,P$3:P$97,"xx",N$3:N$97,"x")</f>
        <v>-2780</v>
      </c>
      <c r="D104" s="49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47">
        <f>SUBTOTAL(9,C102:C104)</f>
        <v>53655</v>
      </c>
      <c r="D105" s="47"/>
      <c r="E105">
        <f>E102</f>
        <v>95</v>
      </c>
      <c r="K105" s="2" t="s">
        <v>102</v>
      </c>
      <c r="O105" t="s">
        <v>2020</v>
      </c>
      <c r="P105">
        <f>L131</f>
        <v>25717</v>
      </c>
    </row>
    <row r="106" spans="1:17" x14ac:dyDescent="0.25">
      <c r="B106" s="2" t="s">
        <v>104</v>
      </c>
      <c r="C106" s="45"/>
      <c r="D106" s="45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45"/>
      <c r="D107" s="45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46">
        <f>C105+C106+C107</f>
        <v>53655</v>
      </c>
      <c r="D109" s="46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1794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56" workbookViewId="0">
      <selection activeCell="K97" sqref="K97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2021</v>
      </c>
      <c r="D3" s="18" t="s">
        <v>2022</v>
      </c>
      <c r="E3" s="18" t="s">
        <v>2023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2025</v>
      </c>
      <c r="D4" s="18" t="s">
        <v>2026</v>
      </c>
      <c r="E4" s="18" t="s">
        <v>2027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2028</v>
      </c>
      <c r="D5" s="18" t="s">
        <v>2029</v>
      </c>
      <c r="E5" s="18" t="s">
        <v>2030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1447</v>
      </c>
      <c r="D6" s="18" t="s">
        <v>2031</v>
      </c>
      <c r="E6" s="18" t="s">
        <v>1449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2032</v>
      </c>
      <c r="D7" s="18" t="s">
        <v>2033</v>
      </c>
      <c r="E7" s="18" t="s">
        <v>2034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2035</v>
      </c>
      <c r="D8" s="18" t="s">
        <v>2036</v>
      </c>
      <c r="E8" s="18" t="s">
        <v>2037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2024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2038</v>
      </c>
      <c r="E9" s="18" t="s">
        <v>2039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2024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2040</v>
      </c>
      <c r="E10" s="18" t="s">
        <v>2041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2042</v>
      </c>
      <c r="K10" s="18" t="s">
        <v>21</v>
      </c>
      <c r="L10" s="18" t="s">
        <v>2024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2043</v>
      </c>
      <c r="D11" s="18" t="s">
        <v>2044</v>
      </c>
      <c r="E11" s="18" t="s">
        <v>2045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2042</v>
      </c>
      <c r="K11" s="18" t="s">
        <v>21</v>
      </c>
      <c r="L11" s="18" t="s">
        <v>2024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2046</v>
      </c>
      <c r="D12" s="18" t="s">
        <v>2047</v>
      </c>
      <c r="E12" s="18" t="s">
        <v>2048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2042</v>
      </c>
      <c r="K12" s="18" t="s">
        <v>21</v>
      </c>
      <c r="L12" s="18" t="s">
        <v>2024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2049</v>
      </c>
      <c r="D13" s="18" t="s">
        <v>2050</v>
      </c>
      <c r="E13" s="18" t="s">
        <v>2051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2042</v>
      </c>
      <c r="K13" s="18" t="s">
        <v>21</v>
      </c>
      <c r="L13" s="18" t="s">
        <v>2024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2052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2042</v>
      </c>
      <c r="K14" s="18" t="s">
        <v>21</v>
      </c>
      <c r="L14" s="18" t="s">
        <v>2024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2053</v>
      </c>
      <c r="D15" s="18" t="s">
        <v>2054</v>
      </c>
      <c r="E15" s="18" t="s">
        <v>2055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2042</v>
      </c>
      <c r="K15" s="18" t="s">
        <v>21</v>
      </c>
      <c r="L15" s="18" t="s">
        <v>2024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2056</v>
      </c>
      <c r="D16" s="18" t="s">
        <v>2057</v>
      </c>
      <c r="E16" s="18" t="s">
        <v>2058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2042</v>
      </c>
      <c r="K16" s="18" t="s">
        <v>21</v>
      </c>
      <c r="L16" s="18" t="s">
        <v>2024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2059</v>
      </c>
      <c r="D17" s="18" t="s">
        <v>2060</v>
      </c>
      <c r="E17" s="18" t="s">
        <v>2061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2042</v>
      </c>
      <c r="K17" s="18" t="s">
        <v>21</v>
      </c>
      <c r="L17" s="18" t="s">
        <v>2024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2062</v>
      </c>
      <c r="D18" s="18" t="s">
        <v>2063</v>
      </c>
      <c r="E18" s="18" t="s">
        <v>2064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2042</v>
      </c>
      <c r="K18" s="18" t="s">
        <v>21</v>
      </c>
      <c r="L18" s="18" t="s">
        <v>2024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2065</v>
      </c>
      <c r="D19" s="18" t="s">
        <v>2066</v>
      </c>
      <c r="E19" s="18" t="s">
        <v>2067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2042</v>
      </c>
      <c r="K19" s="18" t="s">
        <v>21</v>
      </c>
      <c r="L19" s="18" t="s">
        <v>2024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2068</v>
      </c>
      <c r="E20" s="18" t="s">
        <v>2069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2042</v>
      </c>
      <c r="K20" s="18" t="s">
        <v>21</v>
      </c>
      <c r="L20" s="18" t="s">
        <v>2024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2070</v>
      </c>
      <c r="D21" s="18" t="s">
        <v>2071</v>
      </c>
      <c r="E21" s="18" t="s">
        <v>2072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2042</v>
      </c>
      <c r="K21" s="18" t="s">
        <v>21</v>
      </c>
      <c r="L21" s="18" t="s">
        <v>2024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2073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2042</v>
      </c>
      <c r="K22" s="18" t="s">
        <v>21</v>
      </c>
      <c r="L22" s="18" t="s">
        <v>2024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2074</v>
      </c>
      <c r="D23" s="18" t="s">
        <v>2075</v>
      </c>
      <c r="E23" s="18" t="s">
        <v>2076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2042</v>
      </c>
      <c r="K23" s="18" t="s">
        <v>21</v>
      </c>
      <c r="L23" s="18" t="s">
        <v>2024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1832</v>
      </c>
      <c r="D24" s="18" t="s">
        <v>2077</v>
      </c>
      <c r="E24" s="18" t="s">
        <v>2078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2042</v>
      </c>
      <c r="K24" s="18" t="s">
        <v>21</v>
      </c>
      <c r="L24" s="18" t="s">
        <v>2024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2079</v>
      </c>
      <c r="D25" s="18" t="s">
        <v>2080</v>
      </c>
      <c r="E25" s="18" t="s">
        <v>2081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2042</v>
      </c>
      <c r="K25" s="18" t="s">
        <v>21</v>
      </c>
      <c r="L25" s="18" t="s">
        <v>2024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2082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2042</v>
      </c>
      <c r="K26" s="18" t="s">
        <v>21</v>
      </c>
      <c r="L26" s="18" t="s">
        <v>2024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2083</v>
      </c>
      <c r="D27" s="18" t="s">
        <v>2084</v>
      </c>
      <c r="E27" s="18" t="s">
        <v>2085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2042</v>
      </c>
      <c r="K27" s="18" t="s">
        <v>21</v>
      </c>
      <c r="L27" s="18" t="s">
        <v>2024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2086</v>
      </c>
      <c r="D28" s="18" t="s">
        <v>2087</v>
      </c>
      <c r="E28" s="18" t="s">
        <v>2088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2042</v>
      </c>
      <c r="K28" s="18" t="s">
        <v>21</v>
      </c>
      <c r="L28" s="18" t="s">
        <v>2024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2089</v>
      </c>
      <c r="D29" s="18" t="s">
        <v>2090</v>
      </c>
      <c r="E29" s="18" t="s">
        <v>2091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2042</v>
      </c>
      <c r="K29" s="18" t="s">
        <v>21</v>
      </c>
      <c r="L29" s="18" t="s">
        <v>2024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2092</v>
      </c>
      <c r="D30" s="18" t="s">
        <v>2093</v>
      </c>
      <c r="E30" s="18" t="s">
        <v>2094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2042</v>
      </c>
      <c r="K30" s="18" t="s">
        <v>21</v>
      </c>
      <c r="L30" s="18" t="s">
        <v>2024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2095</v>
      </c>
      <c r="D31" s="18" t="s">
        <v>2096</v>
      </c>
      <c r="E31" s="18" t="s">
        <v>2097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2042</v>
      </c>
      <c r="K31" s="18" t="s">
        <v>21</v>
      </c>
      <c r="L31" s="18" t="s">
        <v>2024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2098</v>
      </c>
      <c r="E32" s="18" t="s">
        <v>1383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2042</v>
      </c>
      <c r="K32" s="18" t="s">
        <v>21</v>
      </c>
      <c r="L32" s="18" t="s">
        <v>2024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2099</v>
      </c>
      <c r="D33" s="18"/>
      <c r="E33" s="18" t="s">
        <v>2100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2042</v>
      </c>
      <c r="K33" s="18" t="s">
        <v>21</v>
      </c>
      <c r="L33" s="18" t="s">
        <v>2024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2101</v>
      </c>
      <c r="D34" s="18" t="s">
        <v>2102</v>
      </c>
      <c r="E34" s="18" t="s">
        <v>2103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2104</v>
      </c>
      <c r="E35" s="18" t="s">
        <v>2105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2024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2106</v>
      </c>
      <c r="D36" s="18" t="s">
        <v>2107</v>
      </c>
      <c r="E36" s="18" t="s">
        <v>2108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2024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2109</v>
      </c>
      <c r="D37" s="18" t="s">
        <v>2110</v>
      </c>
      <c r="E37" s="18" t="s">
        <v>2111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2024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2112</v>
      </c>
      <c r="E38" s="18" t="s">
        <v>2113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2114</v>
      </c>
      <c r="D39" s="18" t="s">
        <v>2115</v>
      </c>
      <c r="E39" s="18" t="s">
        <v>2116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2117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2024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2118</v>
      </c>
      <c r="D41" s="18" t="s">
        <v>2119</v>
      </c>
      <c r="E41" s="18" t="s">
        <v>2120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2121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2024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2122</v>
      </c>
      <c r="D43" s="18"/>
      <c r="E43" s="18" t="s">
        <v>2123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2024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2024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2124</v>
      </c>
      <c r="D46" s="18" t="s">
        <v>2125</v>
      </c>
      <c r="E46" s="18" t="s">
        <v>2126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2127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2128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2129</v>
      </c>
      <c r="D49" s="18" t="s">
        <v>2130</v>
      </c>
      <c r="E49" s="18" t="s">
        <v>2131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2132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2133</v>
      </c>
      <c r="D51" s="18" t="s">
        <v>2134</v>
      </c>
      <c r="E51" s="18" t="s">
        <v>2135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2024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2136</v>
      </c>
      <c r="D52" s="18" t="s">
        <v>2137</v>
      </c>
      <c r="E52" s="18" t="s">
        <v>2138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2024</v>
      </c>
      <c r="M52" s="25" t="s">
        <v>2139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2140</v>
      </c>
      <c r="D53" s="18" t="s">
        <v>2141</v>
      </c>
      <c r="E53" s="18" t="s">
        <v>2142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2143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2144</v>
      </c>
      <c r="E55" s="18" t="s">
        <v>2145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2146</v>
      </c>
      <c r="D56" s="18" t="s">
        <v>2147</v>
      </c>
      <c r="E56" s="18" t="s">
        <v>2148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2024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2149</v>
      </c>
      <c r="D57" s="18" t="s">
        <v>2150</v>
      </c>
      <c r="E57" s="18" t="s">
        <v>2151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2152</v>
      </c>
      <c r="D58" s="18" t="s">
        <v>2153</v>
      </c>
      <c r="E58" s="18" t="s">
        <v>2154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2155</v>
      </c>
      <c r="D59" s="18" t="s">
        <v>2156</v>
      </c>
      <c r="E59" s="18" t="s">
        <v>2157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2024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2158</v>
      </c>
      <c r="D60" s="20" t="s">
        <v>2159</v>
      </c>
      <c r="E60" s="20" t="s">
        <v>2160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2024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1368</v>
      </c>
      <c r="D63" s="20" t="s">
        <v>1612</v>
      </c>
      <c r="E63" s="20" t="s">
        <v>1370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1571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47" t="s">
        <v>89</v>
      </c>
      <c r="D68" s="47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2024</v>
      </c>
      <c r="B69" s="3" t="s">
        <v>93</v>
      </c>
      <c r="C69" s="48">
        <f>SUMIFS(I$3:I$64,B$3:B$64,A$68,L$3:L$64,A$69)</f>
        <v>47670</v>
      </c>
      <c r="D69" s="48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9">
        <v>0</v>
      </c>
      <c r="D70" s="49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2161</v>
      </c>
      <c r="P70">
        <f>L82</f>
        <v>10175</v>
      </c>
    </row>
    <row r="71" spans="1:17" x14ac:dyDescent="0.25">
      <c r="B71" s="2" t="s">
        <v>99</v>
      </c>
      <c r="C71" s="49">
        <f>-SUMIFS(I$3:I$64,B$3:B$64,A$68,P$3:P$64,"xx",N$3:N$64,"x")</f>
        <v>-5360</v>
      </c>
      <c r="D71" s="49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47">
        <f>SUBTOTAL(9,C69:C71)</f>
        <v>42310</v>
      </c>
      <c r="D72" s="47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45"/>
      <c r="D73" s="45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45"/>
      <c r="D74" s="45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46">
        <f>C72+C73+C74</f>
        <v>42310</v>
      </c>
      <c r="D76" s="46"/>
      <c r="E76" s="1" t="s">
        <v>109</v>
      </c>
      <c r="K76" s="7" t="s">
        <v>2042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1373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45" workbookViewId="0">
      <selection activeCell="K89" sqref="K89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12.7109375" bestFit="1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2162</v>
      </c>
      <c r="D3" s="18" t="s">
        <v>2163</v>
      </c>
      <c r="E3" s="18" t="s">
        <v>2164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2165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2166</v>
      </c>
      <c r="D4" s="18" t="s">
        <v>2167</v>
      </c>
      <c r="E4" s="18" t="s">
        <v>2168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2169</v>
      </c>
      <c r="D5" s="18" t="s">
        <v>2170</v>
      </c>
      <c r="E5" s="18" t="s">
        <v>2171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2172</v>
      </c>
      <c r="D6" s="18" t="s">
        <v>2173</v>
      </c>
      <c r="E6" s="18" t="s">
        <v>2174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2175</v>
      </c>
      <c r="D7" s="18" t="s">
        <v>2176</v>
      </c>
      <c r="E7" s="18" t="s">
        <v>2177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2178</v>
      </c>
      <c r="D8" s="18" t="s">
        <v>2179</v>
      </c>
      <c r="E8" s="18" t="s">
        <v>2180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2181</v>
      </c>
      <c r="K8" s="18" t="s">
        <v>21</v>
      </c>
      <c r="L8" s="18" t="s">
        <v>2165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1885</v>
      </c>
      <c r="D9" s="18" t="s">
        <v>2182</v>
      </c>
      <c r="E9" s="18" t="s">
        <v>1887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2181</v>
      </c>
      <c r="K9" s="18" t="s">
        <v>21</v>
      </c>
      <c r="L9" s="18" t="s">
        <v>2165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2183</v>
      </c>
      <c r="D10" s="18" t="s">
        <v>2184</v>
      </c>
      <c r="E10" s="18" t="s">
        <v>2185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2181</v>
      </c>
      <c r="K10" s="18" t="s">
        <v>21</v>
      </c>
      <c r="L10" s="18" t="s">
        <v>2165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2065</v>
      </c>
      <c r="D11" s="18" t="s">
        <v>2186</v>
      </c>
      <c r="E11" s="18" t="s">
        <v>2067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2181</v>
      </c>
      <c r="K11" s="18" t="s">
        <v>21</v>
      </c>
      <c r="L11" s="18" t="s">
        <v>2165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2187</v>
      </c>
      <c r="E12" s="18" t="s">
        <v>2188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2181</v>
      </c>
      <c r="K12" s="18" t="s">
        <v>21</v>
      </c>
      <c r="L12" s="18" t="s">
        <v>2165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2189</v>
      </c>
      <c r="E13" s="18" t="s">
        <v>2190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2181</v>
      </c>
      <c r="K13" s="18" t="s">
        <v>21</v>
      </c>
      <c r="L13" s="18" t="s">
        <v>2165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2191</v>
      </c>
      <c r="D14" s="18" t="s">
        <v>2192</v>
      </c>
      <c r="E14" s="18" t="s">
        <v>1500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2181</v>
      </c>
      <c r="K14" s="18" t="s">
        <v>21</v>
      </c>
      <c r="L14" s="18" t="s">
        <v>2165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2193</v>
      </c>
      <c r="D15" s="18" t="s">
        <v>2194</v>
      </c>
      <c r="E15" s="18" t="s">
        <v>2195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2181</v>
      </c>
      <c r="K15" s="18" t="s">
        <v>21</v>
      </c>
      <c r="L15" s="18" t="s">
        <v>2165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2196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2181</v>
      </c>
      <c r="K16" s="18" t="s">
        <v>21</v>
      </c>
      <c r="L16" s="18" t="s">
        <v>2165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2197</v>
      </c>
      <c r="D17" s="18" t="s">
        <v>2198</v>
      </c>
      <c r="E17" s="18" t="s">
        <v>2199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2181</v>
      </c>
      <c r="K17" s="18" t="s">
        <v>21</v>
      </c>
      <c r="L17" s="18" t="s">
        <v>2165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2200</v>
      </c>
      <c r="D18" s="18" t="s">
        <v>2201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2181</v>
      </c>
      <c r="K18" s="18" t="s">
        <v>21</v>
      </c>
      <c r="L18" s="18" t="s">
        <v>2165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2181</v>
      </c>
      <c r="K19" s="18" t="s">
        <v>21</v>
      </c>
      <c r="L19" s="18" t="s">
        <v>2165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2202</v>
      </c>
      <c r="D20" s="18"/>
      <c r="E20" s="18" t="s">
        <v>2203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2181</v>
      </c>
      <c r="K20" s="18" t="s">
        <v>21</v>
      </c>
      <c r="L20" s="18" t="s">
        <v>2165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2204</v>
      </c>
      <c r="D21" s="18" t="s">
        <v>2205</v>
      </c>
      <c r="E21" s="18" t="s">
        <v>2206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1946</v>
      </c>
      <c r="D22" s="18" t="s">
        <v>2207</v>
      </c>
      <c r="E22" s="18" t="s">
        <v>1948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1509</v>
      </c>
      <c r="D23" s="18" t="s">
        <v>2208</v>
      </c>
      <c r="E23" s="18" t="s">
        <v>1511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2165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2114</v>
      </c>
      <c r="D24" s="18" t="s">
        <v>2209</v>
      </c>
      <c r="E24" s="18" t="s">
        <v>2116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2165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2210</v>
      </c>
      <c r="D25" s="18" t="s">
        <v>2211</v>
      </c>
      <c r="E25" s="18" t="s">
        <v>2212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1623</v>
      </c>
      <c r="D26" s="18" t="s">
        <v>2213</v>
      </c>
      <c r="E26" s="18" t="s">
        <v>1625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2214</v>
      </c>
      <c r="D27" s="18" t="s">
        <v>2215</v>
      </c>
      <c r="E27" s="18" t="s">
        <v>2216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2217</v>
      </c>
      <c r="D28" s="18" t="s">
        <v>2218</v>
      </c>
      <c r="E28" s="18" t="s">
        <v>2219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2220</v>
      </c>
      <c r="D29" s="18" t="s">
        <v>2221</v>
      </c>
      <c r="E29" s="18" t="s">
        <v>2222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2165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2223</v>
      </c>
      <c r="E30" s="18" t="s">
        <v>2224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2225</v>
      </c>
      <c r="D31" s="18" t="s">
        <v>2226</v>
      </c>
      <c r="E31" s="18" t="s">
        <v>2227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2228</v>
      </c>
      <c r="E32" s="18" t="s">
        <v>2229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2230</v>
      </c>
      <c r="D33" s="18" t="s">
        <v>2231</v>
      </c>
      <c r="E33" s="18" t="s">
        <v>2232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2165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2165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1646</v>
      </c>
      <c r="D35" s="18"/>
      <c r="E35" s="18" t="s">
        <v>1647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2165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2233</v>
      </c>
      <c r="D36" s="18"/>
      <c r="E36" s="18" t="s">
        <v>2234</v>
      </c>
      <c r="F36" s="18" t="s">
        <v>217</v>
      </c>
      <c r="G36" s="19">
        <v>23430</v>
      </c>
      <c r="H36" s="19">
        <v>30</v>
      </c>
      <c r="I36" s="19">
        <f>G36-H36</f>
        <v>23400</v>
      </c>
      <c r="J36" s="18" t="s">
        <v>21</v>
      </c>
      <c r="K36" s="18" t="s">
        <v>21</v>
      </c>
      <c r="L36" s="18" t="s">
        <v>2165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2235</v>
      </c>
      <c r="D37" s="18" t="s">
        <v>2236</v>
      </c>
      <c r="E37" s="18" t="s">
        <v>2237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2238</v>
      </c>
      <c r="D38" s="18" t="s">
        <v>2239</v>
      </c>
      <c r="E38" s="18" t="s">
        <v>2240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2241</v>
      </c>
      <c r="D39" s="18" t="s">
        <v>2242</v>
      </c>
      <c r="E39" s="18" t="s">
        <v>2243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2244</v>
      </c>
      <c r="D40" s="18" t="s">
        <v>2245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2246</v>
      </c>
      <c r="D41" s="18" t="s">
        <v>2247</v>
      </c>
      <c r="E41" s="18" t="s">
        <v>2248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2249</v>
      </c>
      <c r="D42" s="18" t="s">
        <v>2250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2165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2249</v>
      </c>
      <c r="D43" s="18" t="s">
        <v>2251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2252</v>
      </c>
      <c r="D44" s="18" t="s">
        <v>2253</v>
      </c>
      <c r="E44" s="18" t="s">
        <v>2254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2255</v>
      </c>
      <c r="D45" s="18" t="s">
        <v>2256</v>
      </c>
      <c r="E45" s="18" t="s">
        <v>2257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2258</v>
      </c>
      <c r="D46" s="18" t="s">
        <v>2259</v>
      </c>
      <c r="E46" s="18" t="s">
        <v>2260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2261</v>
      </c>
      <c r="D47" s="18" t="s">
        <v>2262</v>
      </c>
      <c r="E47" s="18" t="s">
        <v>2263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2264</v>
      </c>
      <c r="D48" s="18" t="s">
        <v>2265</v>
      </c>
      <c r="E48" s="18" t="s">
        <v>2138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2266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2267</v>
      </c>
      <c r="D50" s="18" t="s">
        <v>2268</v>
      </c>
      <c r="E50" s="18" t="s">
        <v>2269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2270</v>
      </c>
      <c r="D51" s="18" t="s">
        <v>2271</v>
      </c>
      <c r="E51" s="18" t="s">
        <v>2272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2165</v>
      </c>
      <c r="M51" s="18" t="s">
        <v>2273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2274</v>
      </c>
      <c r="D52" s="18" t="s">
        <v>2275</v>
      </c>
      <c r="E52" s="18" t="s">
        <v>2276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2277</v>
      </c>
      <c r="D53" s="18" t="s">
        <v>2278</v>
      </c>
      <c r="E53" s="18" t="s">
        <v>2279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2280</v>
      </c>
      <c r="D54" s="18" t="s">
        <v>2281</v>
      </c>
      <c r="E54" s="18" t="s">
        <v>2282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2283</v>
      </c>
      <c r="D55" s="18" t="s">
        <v>2284</v>
      </c>
      <c r="E55" s="18" t="s">
        <v>2285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2165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2286</v>
      </c>
      <c r="D56" s="18"/>
      <c r="E56" s="18" t="s">
        <v>2287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2165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47" t="s">
        <v>89</v>
      </c>
      <c r="D60" s="47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2165</v>
      </c>
      <c r="B61" s="3" t="s">
        <v>93</v>
      </c>
      <c r="C61" s="48">
        <f>SUMIFS(I$3:I$56,B$3:B$56,A$60,L$3:L$56,A$61)</f>
        <v>50515</v>
      </c>
      <c r="D61" s="48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33970</v>
      </c>
      <c r="M61">
        <f>SUMIFS(Q$3:Q$56,J$3:J$56,K$60)</f>
        <v>16</v>
      </c>
      <c r="O61" t="s">
        <v>21</v>
      </c>
      <c r="P61">
        <f>L66</f>
        <v>33514</v>
      </c>
    </row>
    <row r="62" spans="1:17" x14ac:dyDescent="0.25">
      <c r="B62" s="2" t="s">
        <v>97</v>
      </c>
      <c r="C62" s="49">
        <v>0</v>
      </c>
      <c r="D62" s="49"/>
      <c r="K62" t="s">
        <v>98</v>
      </c>
      <c r="L62">
        <f>-SUMIFS(H$3:H$56,J$3:J$56,K$60)+M62*5</f>
        <v>-350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9">
        <f>-SUMIFS(I$3:I$56,B$3:B$56,A$60,P$3:P$56,"xx",N$3:N$56,"x")</f>
        <v>0</v>
      </c>
      <c r="D63" s="49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47">
        <f>SUBTOTAL(9,C61:C63)</f>
        <v>50515</v>
      </c>
      <c r="D64" s="47"/>
      <c r="E64">
        <f>E61</f>
        <v>54</v>
      </c>
      <c r="K64" s="2" t="s">
        <v>102</v>
      </c>
      <c r="O64" t="s">
        <v>2288</v>
      </c>
      <c r="P64">
        <f>L90</f>
        <v>5497</v>
      </c>
    </row>
    <row r="65" spans="2:16" x14ac:dyDescent="0.25">
      <c r="B65" s="2" t="s">
        <v>104</v>
      </c>
      <c r="C65" s="45"/>
      <c r="D65" s="45"/>
      <c r="I65">
        <v>33514</v>
      </c>
      <c r="K65" s="2" t="s">
        <v>105</v>
      </c>
      <c r="O65" t="s">
        <v>103</v>
      </c>
      <c r="P65">
        <f>-C68</f>
        <v>-50515</v>
      </c>
    </row>
    <row r="66" spans="2:16" x14ac:dyDescent="0.25">
      <c r="B66" s="8" t="s">
        <v>107</v>
      </c>
      <c r="C66" s="45"/>
      <c r="D66" s="45"/>
      <c r="I66">
        <v>33379</v>
      </c>
      <c r="L66" s="9">
        <f>SUBTOTAL(9,L61:L65)</f>
        <v>33514</v>
      </c>
      <c r="M66" s="9">
        <f>M61</f>
        <v>16</v>
      </c>
      <c r="O66" s="4" t="s">
        <v>106</v>
      </c>
      <c r="P66" s="4">
        <f>SUBTOTAL(9,P61:P65)</f>
        <v>206</v>
      </c>
    </row>
    <row r="67" spans="2:16" x14ac:dyDescent="0.25">
      <c r="H67" s="10" t="s">
        <v>2289</v>
      </c>
      <c r="I67">
        <f>I65-I66</f>
        <v>135</v>
      </c>
    </row>
    <row r="68" spans="2:16" x14ac:dyDescent="0.25">
      <c r="B68" s="1" t="s">
        <v>108</v>
      </c>
      <c r="C68" s="46">
        <f>C64+C65+C66</f>
        <v>50515</v>
      </c>
      <c r="D68" s="46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topLeftCell="A46" zoomScale="90" zoomScaleNormal="90" workbookViewId="0">
      <selection activeCell="K94" sqref="K94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1075</v>
      </c>
      <c r="D3" s="18" t="s">
        <v>2290</v>
      </c>
      <c r="E3" s="18" t="s">
        <v>2291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2292</v>
      </c>
      <c r="M3" s="18"/>
      <c r="N3" s="18"/>
      <c r="O3" s="18"/>
      <c r="P3" s="18"/>
      <c r="Q3" s="18">
        <v>1</v>
      </c>
    </row>
    <row r="4" spans="1:18" s="39" customFormat="1" x14ac:dyDescent="0.25">
      <c r="A4" s="37"/>
      <c r="B4" s="37" t="s">
        <v>16</v>
      </c>
      <c r="C4" s="37" t="s">
        <v>2293</v>
      </c>
      <c r="D4" s="37" t="s">
        <v>2294</v>
      </c>
      <c r="E4" s="37" t="s">
        <v>2295</v>
      </c>
      <c r="F4" s="38">
        <v>1</v>
      </c>
      <c r="G4" s="38">
        <v>1145</v>
      </c>
      <c r="H4" s="38">
        <v>25</v>
      </c>
      <c r="I4" s="38">
        <f>G4-H4</f>
        <v>1120</v>
      </c>
      <c r="J4" s="37" t="s">
        <v>2296</v>
      </c>
      <c r="K4" s="37" t="s">
        <v>21</v>
      </c>
      <c r="L4" s="37" t="s">
        <v>2292</v>
      </c>
      <c r="M4" s="37"/>
      <c r="N4" s="37"/>
      <c r="O4" s="37"/>
      <c r="P4" s="37"/>
      <c r="Q4" s="37">
        <v>1</v>
      </c>
    </row>
    <row r="5" spans="1:18" s="39" customFormat="1" x14ac:dyDescent="0.25">
      <c r="A5" s="37"/>
      <c r="B5" s="37" t="s">
        <v>16</v>
      </c>
      <c r="C5" s="37" t="s">
        <v>1200</v>
      </c>
      <c r="D5" s="37" t="s">
        <v>2297</v>
      </c>
      <c r="E5" s="37" t="s">
        <v>1202</v>
      </c>
      <c r="F5" s="37" t="s">
        <v>26</v>
      </c>
      <c r="G5" s="38">
        <v>0</v>
      </c>
      <c r="H5" s="38">
        <v>30</v>
      </c>
      <c r="I5" s="38">
        <f>-H5</f>
        <v>-30</v>
      </c>
      <c r="J5" s="37" t="s">
        <v>2296</v>
      </c>
      <c r="K5" s="37" t="s">
        <v>21</v>
      </c>
      <c r="L5" s="37" t="s">
        <v>2292</v>
      </c>
      <c r="M5" s="18" t="s">
        <v>312</v>
      </c>
      <c r="N5" s="37"/>
      <c r="O5" s="37"/>
      <c r="P5" s="37"/>
      <c r="Q5" s="37">
        <v>1</v>
      </c>
    </row>
    <row r="6" spans="1:18" x14ac:dyDescent="0.25">
      <c r="A6" s="18"/>
      <c r="B6" s="18" t="s">
        <v>16</v>
      </c>
      <c r="C6" s="18" t="s">
        <v>1200</v>
      </c>
      <c r="D6" s="18" t="s">
        <v>2298</v>
      </c>
      <c r="E6" s="18" t="s">
        <v>1202</v>
      </c>
      <c r="F6" s="18" t="s">
        <v>26</v>
      </c>
      <c r="G6" s="19">
        <v>0</v>
      </c>
      <c r="H6" s="19">
        <v>0</v>
      </c>
      <c r="I6" s="19">
        <f>-H6</f>
        <v>0</v>
      </c>
      <c r="J6" s="18" t="s">
        <v>2296</v>
      </c>
      <c r="K6" s="18" t="s">
        <v>21</v>
      </c>
      <c r="L6" s="18" t="s">
        <v>2292</v>
      </c>
      <c r="M6" s="18" t="s">
        <v>312</v>
      </c>
      <c r="N6" s="18"/>
      <c r="O6" s="18"/>
      <c r="P6" s="18"/>
      <c r="Q6" s="18">
        <v>1</v>
      </c>
      <c r="R6" s="6">
        <f>H6</f>
        <v>0</v>
      </c>
    </row>
    <row r="7" spans="1:18" s="39" customFormat="1" x14ac:dyDescent="0.25">
      <c r="A7" s="37"/>
      <c r="B7" s="37" t="s">
        <v>16</v>
      </c>
      <c r="C7" s="37" t="s">
        <v>2299</v>
      </c>
      <c r="D7" s="37" t="s">
        <v>2300</v>
      </c>
      <c r="E7" s="37" t="s">
        <v>2301</v>
      </c>
      <c r="F7" s="38">
        <v>7</v>
      </c>
      <c r="G7" s="38">
        <v>470</v>
      </c>
      <c r="H7" s="38">
        <v>30</v>
      </c>
      <c r="I7" s="38">
        <f>G7-H7</f>
        <v>440</v>
      </c>
      <c r="J7" s="37" t="s">
        <v>2296</v>
      </c>
      <c r="K7" s="37" t="s">
        <v>21</v>
      </c>
      <c r="L7" s="37" t="s">
        <v>2292</v>
      </c>
      <c r="M7" s="37"/>
      <c r="N7" s="37"/>
      <c r="O7" s="37"/>
      <c r="P7" s="37"/>
      <c r="Q7" s="37">
        <v>1</v>
      </c>
    </row>
    <row r="8" spans="1:18" s="39" customFormat="1" x14ac:dyDescent="0.25">
      <c r="A8" s="37"/>
      <c r="B8" s="37" t="s">
        <v>16</v>
      </c>
      <c r="C8" s="37" t="s">
        <v>891</v>
      </c>
      <c r="D8" s="37" t="s">
        <v>2302</v>
      </c>
      <c r="E8" s="37" t="s">
        <v>893</v>
      </c>
      <c r="F8" s="37" t="s">
        <v>26</v>
      </c>
      <c r="G8" s="38">
        <v>380</v>
      </c>
      <c r="H8" s="38">
        <v>30</v>
      </c>
      <c r="I8" s="38">
        <f>G8-H8</f>
        <v>350</v>
      </c>
      <c r="J8" s="37" t="s">
        <v>2296</v>
      </c>
      <c r="K8" s="37" t="s">
        <v>21</v>
      </c>
      <c r="L8" s="37" t="s">
        <v>2292</v>
      </c>
      <c r="M8" s="37"/>
      <c r="N8" s="37"/>
      <c r="O8" s="37"/>
      <c r="P8" s="37"/>
      <c r="Q8" s="37">
        <v>1</v>
      </c>
    </row>
    <row r="9" spans="1:18" s="39" customFormat="1" x14ac:dyDescent="0.25">
      <c r="A9" s="37"/>
      <c r="B9" s="37" t="s">
        <v>16</v>
      </c>
      <c r="C9" s="37" t="s">
        <v>2303</v>
      </c>
      <c r="D9" s="37" t="s">
        <v>2304</v>
      </c>
      <c r="E9" s="37" t="s">
        <v>2305</v>
      </c>
      <c r="F9" s="38">
        <v>8</v>
      </c>
      <c r="G9" s="38">
        <v>560</v>
      </c>
      <c r="H9" s="38">
        <v>30</v>
      </c>
      <c r="I9" s="38">
        <f>G9-H9</f>
        <v>530</v>
      </c>
      <c r="J9" s="37" t="s">
        <v>2296</v>
      </c>
      <c r="K9" s="37" t="s">
        <v>21</v>
      </c>
      <c r="L9" s="37" t="s">
        <v>2292</v>
      </c>
      <c r="M9" s="37"/>
      <c r="N9" s="37"/>
      <c r="O9" s="37"/>
      <c r="P9" s="37"/>
      <c r="Q9" s="37">
        <v>1</v>
      </c>
    </row>
    <row r="10" spans="1:18" s="39" customFormat="1" x14ac:dyDescent="0.25">
      <c r="A10" s="37"/>
      <c r="B10" s="37" t="s">
        <v>16</v>
      </c>
      <c r="C10" s="37" t="s">
        <v>2306</v>
      </c>
      <c r="D10" s="37" t="s">
        <v>2307</v>
      </c>
      <c r="E10" s="37" t="s">
        <v>2308</v>
      </c>
      <c r="F10" s="37" t="s">
        <v>26</v>
      </c>
      <c r="G10" s="38">
        <v>0</v>
      </c>
      <c r="H10" s="38">
        <v>30</v>
      </c>
      <c r="I10" s="38">
        <f>-H10</f>
        <v>-30</v>
      </c>
      <c r="J10" s="37" t="s">
        <v>2296</v>
      </c>
      <c r="K10" s="37" t="s">
        <v>21</v>
      </c>
      <c r="L10" s="37" t="s">
        <v>2292</v>
      </c>
      <c r="M10" s="37"/>
      <c r="N10" s="37"/>
      <c r="O10" s="37"/>
      <c r="P10" s="37"/>
      <c r="Q10" s="37">
        <v>1</v>
      </c>
    </row>
    <row r="11" spans="1:18" s="39" customFormat="1" x14ac:dyDescent="0.25">
      <c r="A11" s="37"/>
      <c r="B11" s="37" t="s">
        <v>16</v>
      </c>
      <c r="C11" s="37" t="s">
        <v>594</v>
      </c>
      <c r="D11" s="37" t="s">
        <v>2309</v>
      </c>
      <c r="E11" s="37" t="s">
        <v>596</v>
      </c>
      <c r="F11" s="37" t="s">
        <v>217</v>
      </c>
      <c r="G11" s="38">
        <v>525</v>
      </c>
      <c r="H11" s="38">
        <v>25</v>
      </c>
      <c r="I11" s="38">
        <f>G11-H11</f>
        <v>500</v>
      </c>
      <c r="J11" s="37" t="s">
        <v>2296</v>
      </c>
      <c r="K11" s="37" t="s">
        <v>21</v>
      </c>
      <c r="L11" s="37" t="s">
        <v>2292</v>
      </c>
      <c r="M11" s="37"/>
      <c r="N11" s="37"/>
      <c r="O11" s="37"/>
      <c r="P11" s="37"/>
      <c r="Q11" s="37">
        <v>1</v>
      </c>
    </row>
    <row r="12" spans="1:18" s="39" customFormat="1" x14ac:dyDescent="0.25">
      <c r="A12" s="37"/>
      <c r="B12" s="37" t="s">
        <v>16</v>
      </c>
      <c r="C12" s="37" t="s">
        <v>2310</v>
      </c>
      <c r="D12" s="37" t="s">
        <v>2311</v>
      </c>
      <c r="E12" s="37" t="s">
        <v>2312</v>
      </c>
      <c r="F12" s="38">
        <v>7</v>
      </c>
      <c r="G12" s="38">
        <v>690</v>
      </c>
      <c r="H12" s="38">
        <v>30</v>
      </c>
      <c r="I12" s="38">
        <f>G12-H12</f>
        <v>660</v>
      </c>
      <c r="J12" s="37" t="s">
        <v>2296</v>
      </c>
      <c r="K12" s="37" t="s">
        <v>21</v>
      </c>
      <c r="L12" s="37" t="s">
        <v>2292</v>
      </c>
      <c r="M12" s="37"/>
      <c r="N12" s="37"/>
      <c r="O12" s="37"/>
      <c r="P12" s="37"/>
      <c r="Q12" s="37">
        <v>1</v>
      </c>
    </row>
    <row r="13" spans="1:18" s="39" customFormat="1" x14ac:dyDescent="0.25">
      <c r="A13" s="37"/>
      <c r="B13" s="37" t="s">
        <v>16</v>
      </c>
      <c r="C13" s="37" t="s">
        <v>707</v>
      </c>
      <c r="D13" s="37" t="s">
        <v>2313</v>
      </c>
      <c r="E13" s="37" t="s">
        <v>709</v>
      </c>
      <c r="F13" s="38">
        <v>6</v>
      </c>
      <c r="G13" s="38">
        <v>475</v>
      </c>
      <c r="H13" s="38">
        <v>25</v>
      </c>
      <c r="I13" s="38">
        <f>G13-H13</f>
        <v>450</v>
      </c>
      <c r="J13" s="37" t="s">
        <v>2296</v>
      </c>
      <c r="K13" s="37" t="s">
        <v>21</v>
      </c>
      <c r="L13" s="37" t="s">
        <v>2292</v>
      </c>
      <c r="M13" s="37"/>
      <c r="N13" s="37"/>
      <c r="O13" s="37"/>
      <c r="P13" s="37"/>
      <c r="Q13" s="37">
        <v>1</v>
      </c>
    </row>
    <row r="14" spans="1:18" s="39" customFormat="1" x14ac:dyDescent="0.25">
      <c r="A14" s="37"/>
      <c r="B14" s="37" t="s">
        <v>16</v>
      </c>
      <c r="C14" s="37" t="s">
        <v>2056</v>
      </c>
      <c r="D14" s="37" t="s">
        <v>2314</v>
      </c>
      <c r="E14" s="37" t="s">
        <v>2315</v>
      </c>
      <c r="F14" s="37" t="s">
        <v>88</v>
      </c>
      <c r="G14" s="38">
        <v>480</v>
      </c>
      <c r="H14" s="38">
        <v>30</v>
      </c>
      <c r="I14" s="38">
        <f>G14-H14</f>
        <v>450</v>
      </c>
      <c r="J14" s="37" t="s">
        <v>2296</v>
      </c>
      <c r="K14" s="37" t="s">
        <v>21</v>
      </c>
      <c r="L14" s="37" t="s">
        <v>2292</v>
      </c>
      <c r="M14" s="37"/>
      <c r="N14" s="37"/>
      <c r="O14" s="37"/>
      <c r="P14" s="37"/>
      <c r="Q14" s="37">
        <v>1</v>
      </c>
    </row>
    <row r="15" spans="1:18" s="39" customFormat="1" x14ac:dyDescent="0.25">
      <c r="A15" s="37"/>
      <c r="B15" s="37" t="s">
        <v>16</v>
      </c>
      <c r="C15" s="37" t="s">
        <v>2316</v>
      </c>
      <c r="D15" s="37" t="s">
        <v>2317</v>
      </c>
      <c r="E15" s="37" t="s">
        <v>2318</v>
      </c>
      <c r="F15" s="38">
        <v>4</v>
      </c>
      <c r="G15" s="38">
        <v>685</v>
      </c>
      <c r="H15" s="38">
        <v>25</v>
      </c>
      <c r="I15" s="38">
        <f>G15-H15</f>
        <v>660</v>
      </c>
      <c r="J15" s="37" t="s">
        <v>2296</v>
      </c>
      <c r="K15" s="37" t="s">
        <v>21</v>
      </c>
      <c r="L15" s="37" t="s">
        <v>2292</v>
      </c>
      <c r="M15" s="37"/>
      <c r="N15" s="37"/>
      <c r="O15" s="37"/>
      <c r="P15" s="37"/>
      <c r="Q15" s="37">
        <v>1</v>
      </c>
    </row>
    <row r="16" spans="1:18" s="39" customFormat="1" x14ac:dyDescent="0.25">
      <c r="A16" s="37"/>
      <c r="B16" s="37" t="s">
        <v>16</v>
      </c>
      <c r="C16" s="37" t="s">
        <v>2319</v>
      </c>
      <c r="D16" s="37" t="s">
        <v>2320</v>
      </c>
      <c r="E16" s="37" t="s">
        <v>1851</v>
      </c>
      <c r="F16" s="37" t="s">
        <v>259</v>
      </c>
      <c r="G16" s="38">
        <v>0</v>
      </c>
      <c r="H16" s="38">
        <v>35</v>
      </c>
      <c r="I16" s="38">
        <f>-H16</f>
        <v>-35</v>
      </c>
      <c r="J16" s="37" t="s">
        <v>2296</v>
      </c>
      <c r="K16" s="37" t="s">
        <v>21</v>
      </c>
      <c r="L16" s="37" t="s">
        <v>2292</v>
      </c>
      <c r="M16" s="37"/>
      <c r="N16" s="37"/>
      <c r="O16" s="37"/>
      <c r="P16" s="37"/>
      <c r="Q16" s="37">
        <v>1</v>
      </c>
    </row>
    <row r="17" spans="1:17" s="39" customFormat="1" x14ac:dyDescent="0.25">
      <c r="A17" s="37"/>
      <c r="B17" s="37" t="s">
        <v>16</v>
      </c>
      <c r="C17" s="37" t="s">
        <v>2321</v>
      </c>
      <c r="D17" s="37" t="s">
        <v>2322</v>
      </c>
      <c r="E17" s="37" t="s">
        <v>2323</v>
      </c>
      <c r="F17" s="38">
        <v>1</v>
      </c>
      <c r="G17" s="38">
        <v>865</v>
      </c>
      <c r="H17" s="38">
        <v>25</v>
      </c>
      <c r="I17" s="38">
        <f>G17-H17</f>
        <v>840</v>
      </c>
      <c r="J17" s="37" t="s">
        <v>2296</v>
      </c>
      <c r="K17" s="37" t="s">
        <v>21</v>
      </c>
      <c r="L17" s="37" t="s">
        <v>2292</v>
      </c>
      <c r="M17" s="37"/>
      <c r="N17" s="37"/>
      <c r="O17" s="37"/>
      <c r="P17" s="37"/>
      <c r="Q17" s="37">
        <v>1</v>
      </c>
    </row>
    <row r="18" spans="1:17" s="39" customFormat="1" x14ac:dyDescent="0.25">
      <c r="A18" s="37"/>
      <c r="B18" s="37" t="s">
        <v>16</v>
      </c>
      <c r="C18" s="37" t="s">
        <v>2324</v>
      </c>
      <c r="D18" s="37" t="s">
        <v>2325</v>
      </c>
      <c r="E18" s="37" t="s">
        <v>2326</v>
      </c>
      <c r="F18" s="38">
        <v>1</v>
      </c>
      <c r="G18" s="38">
        <v>1915</v>
      </c>
      <c r="H18" s="38">
        <v>25</v>
      </c>
      <c r="I18" s="38">
        <f>G18-H18</f>
        <v>1890</v>
      </c>
      <c r="J18" s="37" t="s">
        <v>2296</v>
      </c>
      <c r="K18" s="37" t="s">
        <v>21</v>
      </c>
      <c r="L18" s="37" t="s">
        <v>2292</v>
      </c>
      <c r="M18" s="37"/>
      <c r="N18" s="37"/>
      <c r="O18" s="37"/>
      <c r="P18" s="37"/>
      <c r="Q18" s="37">
        <v>1</v>
      </c>
    </row>
    <row r="19" spans="1:17" s="39" customFormat="1" x14ac:dyDescent="0.25">
      <c r="A19" s="37"/>
      <c r="B19" s="37" t="s">
        <v>16</v>
      </c>
      <c r="C19" s="37" t="s">
        <v>2327</v>
      </c>
      <c r="D19" s="37" t="s">
        <v>2328</v>
      </c>
      <c r="E19" s="37" t="s">
        <v>2329</v>
      </c>
      <c r="F19" s="37" t="s">
        <v>113</v>
      </c>
      <c r="G19" s="38">
        <v>1355</v>
      </c>
      <c r="H19" s="38">
        <v>35</v>
      </c>
      <c r="I19" s="38">
        <f>G19-H19</f>
        <v>1320</v>
      </c>
      <c r="J19" s="37" t="s">
        <v>2296</v>
      </c>
      <c r="K19" s="37" t="s">
        <v>21</v>
      </c>
      <c r="L19" s="37" t="s">
        <v>2292</v>
      </c>
      <c r="M19" s="37"/>
      <c r="N19" s="37"/>
      <c r="O19" s="37"/>
      <c r="P19" s="37"/>
      <c r="Q19" s="37">
        <v>1</v>
      </c>
    </row>
    <row r="20" spans="1:17" s="39" customFormat="1" x14ac:dyDescent="0.25">
      <c r="A20" s="37"/>
      <c r="B20" s="37" t="s">
        <v>16</v>
      </c>
      <c r="C20" s="37" t="s">
        <v>1056</v>
      </c>
      <c r="D20" s="37" t="s">
        <v>2330</v>
      </c>
      <c r="E20" s="37" t="s">
        <v>1190</v>
      </c>
      <c r="F20" s="38">
        <v>7</v>
      </c>
      <c r="G20" s="38">
        <v>880</v>
      </c>
      <c r="H20" s="38">
        <v>30</v>
      </c>
      <c r="I20" s="38">
        <f>G20-H20</f>
        <v>850</v>
      </c>
      <c r="J20" s="37" t="s">
        <v>2296</v>
      </c>
      <c r="K20" s="37" t="s">
        <v>21</v>
      </c>
      <c r="L20" s="37" t="s">
        <v>2292</v>
      </c>
      <c r="M20" s="37"/>
      <c r="N20" s="37"/>
      <c r="O20" s="37"/>
      <c r="P20" s="37"/>
      <c r="Q20" s="37">
        <v>1</v>
      </c>
    </row>
    <row r="21" spans="1:17" s="39" customFormat="1" x14ac:dyDescent="0.25">
      <c r="A21" s="37"/>
      <c r="B21" s="37" t="s">
        <v>16</v>
      </c>
      <c r="C21" s="37" t="s">
        <v>2331</v>
      </c>
      <c r="D21" s="37" t="s">
        <v>2332</v>
      </c>
      <c r="E21" s="37" t="s">
        <v>2333</v>
      </c>
      <c r="F21" s="38">
        <v>7</v>
      </c>
      <c r="G21" s="38">
        <v>1990</v>
      </c>
      <c r="H21" s="38">
        <v>30</v>
      </c>
      <c r="I21" s="38">
        <f>G21-H21</f>
        <v>1960</v>
      </c>
      <c r="J21" s="37" t="s">
        <v>2296</v>
      </c>
      <c r="K21" s="37" t="s">
        <v>21</v>
      </c>
      <c r="L21" s="37" t="s">
        <v>2292</v>
      </c>
      <c r="M21" s="37"/>
      <c r="N21" s="37"/>
      <c r="O21" s="37"/>
      <c r="P21" s="37"/>
      <c r="Q21" s="37">
        <v>1</v>
      </c>
    </row>
    <row r="22" spans="1:17" s="39" customFormat="1" x14ac:dyDescent="0.25">
      <c r="A22" s="37"/>
      <c r="B22" s="37" t="s">
        <v>16</v>
      </c>
      <c r="C22" s="37" t="s">
        <v>2334</v>
      </c>
      <c r="D22" s="37" t="s">
        <v>2335</v>
      </c>
      <c r="E22" s="37" t="s">
        <v>2336</v>
      </c>
      <c r="F22" s="37" t="s">
        <v>128</v>
      </c>
      <c r="G22" s="38">
        <v>0</v>
      </c>
      <c r="H22" s="38">
        <v>35</v>
      </c>
      <c r="I22" s="38">
        <f>-H22</f>
        <v>-35</v>
      </c>
      <c r="J22" s="37" t="s">
        <v>2296</v>
      </c>
      <c r="K22" s="37" t="s">
        <v>21</v>
      </c>
      <c r="L22" s="37" t="s">
        <v>2292</v>
      </c>
      <c r="M22" s="37"/>
      <c r="N22" s="37"/>
      <c r="O22" s="37"/>
      <c r="P22" s="37"/>
      <c r="Q22" s="37">
        <v>1</v>
      </c>
    </row>
    <row r="23" spans="1:17" s="39" customFormat="1" x14ac:dyDescent="0.25">
      <c r="A23" s="37"/>
      <c r="B23" s="37" t="s">
        <v>16</v>
      </c>
      <c r="C23" s="37" t="s">
        <v>2337</v>
      </c>
      <c r="D23" s="37" t="s">
        <v>2338</v>
      </c>
      <c r="E23" s="37" t="s">
        <v>2339</v>
      </c>
      <c r="F23" s="37" t="s">
        <v>217</v>
      </c>
      <c r="G23" s="38">
        <v>1545</v>
      </c>
      <c r="H23" s="38">
        <v>25</v>
      </c>
      <c r="I23" s="38">
        <f>G23-H23</f>
        <v>1520</v>
      </c>
      <c r="J23" s="37" t="s">
        <v>2296</v>
      </c>
      <c r="K23" s="37" t="s">
        <v>21</v>
      </c>
      <c r="L23" s="37" t="s">
        <v>2292</v>
      </c>
      <c r="M23" s="37"/>
      <c r="N23" s="37"/>
      <c r="O23" s="37"/>
      <c r="P23" s="37"/>
      <c r="Q23" s="37">
        <v>1</v>
      </c>
    </row>
    <row r="24" spans="1:17" s="39" customFormat="1" x14ac:dyDescent="0.25">
      <c r="A24" s="37"/>
      <c r="B24" s="37" t="s">
        <v>16</v>
      </c>
      <c r="C24" s="37" t="s">
        <v>2340</v>
      </c>
      <c r="D24" s="37" t="s">
        <v>2341</v>
      </c>
      <c r="E24" s="37" t="s">
        <v>2342</v>
      </c>
      <c r="F24" s="38">
        <v>12</v>
      </c>
      <c r="G24" s="38">
        <v>920</v>
      </c>
      <c r="H24" s="38">
        <v>30</v>
      </c>
      <c r="I24" s="38">
        <f>G24-H24</f>
        <v>890</v>
      </c>
      <c r="J24" s="37" t="s">
        <v>2296</v>
      </c>
      <c r="K24" s="37" t="s">
        <v>21</v>
      </c>
      <c r="L24" s="37" t="s">
        <v>2292</v>
      </c>
      <c r="M24" s="37"/>
      <c r="N24" s="37"/>
      <c r="O24" s="37"/>
      <c r="P24" s="37"/>
      <c r="Q24" s="37">
        <v>1</v>
      </c>
    </row>
    <row r="25" spans="1:17" s="39" customFormat="1" x14ac:dyDescent="0.25">
      <c r="A25" s="37"/>
      <c r="B25" s="37" t="s">
        <v>16</v>
      </c>
      <c r="C25" s="37" t="s">
        <v>2095</v>
      </c>
      <c r="D25" s="37" t="s">
        <v>2343</v>
      </c>
      <c r="E25" s="37" t="s">
        <v>2097</v>
      </c>
      <c r="F25" s="37" t="s">
        <v>88</v>
      </c>
      <c r="G25" s="38">
        <v>0</v>
      </c>
      <c r="H25" s="38">
        <v>25</v>
      </c>
      <c r="I25" s="38">
        <f>-H25</f>
        <v>-25</v>
      </c>
      <c r="J25" s="37" t="s">
        <v>2296</v>
      </c>
      <c r="K25" s="37" t="s">
        <v>21</v>
      </c>
      <c r="L25" s="37" t="s">
        <v>2292</v>
      </c>
      <c r="M25" s="37"/>
      <c r="N25" s="37"/>
      <c r="O25" s="37"/>
      <c r="P25" s="37"/>
      <c r="Q25" s="37">
        <v>1</v>
      </c>
    </row>
    <row r="26" spans="1:17" s="39" customFormat="1" x14ac:dyDescent="0.25">
      <c r="A26" s="37"/>
      <c r="B26" s="37" t="s">
        <v>16</v>
      </c>
      <c r="C26" s="37" t="s">
        <v>481</v>
      </c>
      <c r="D26" s="37" t="s">
        <v>2344</v>
      </c>
      <c r="E26" s="37" t="s">
        <v>2345</v>
      </c>
      <c r="F26" s="38">
        <v>4</v>
      </c>
      <c r="G26" s="38">
        <v>915</v>
      </c>
      <c r="H26" s="38">
        <v>25</v>
      </c>
      <c r="I26" s="38">
        <f t="shared" ref="I26:I31" si="0">G26-H26</f>
        <v>890</v>
      </c>
      <c r="J26" s="37" t="s">
        <v>2296</v>
      </c>
      <c r="K26" s="37" t="s">
        <v>21</v>
      </c>
      <c r="L26" s="37" t="s">
        <v>2292</v>
      </c>
      <c r="M26" s="37"/>
      <c r="N26" s="37"/>
      <c r="O26" s="37"/>
      <c r="P26" s="37"/>
      <c r="Q26" s="37">
        <v>1</v>
      </c>
    </row>
    <row r="27" spans="1:17" s="39" customFormat="1" x14ac:dyDescent="0.25">
      <c r="A27" s="37"/>
      <c r="B27" s="37" t="s">
        <v>16</v>
      </c>
      <c r="C27" s="37" t="s">
        <v>2346</v>
      </c>
      <c r="D27" s="37" t="s">
        <v>2347</v>
      </c>
      <c r="E27" s="37" t="s">
        <v>2348</v>
      </c>
      <c r="F27" s="38">
        <v>11</v>
      </c>
      <c r="G27" s="38">
        <v>1175</v>
      </c>
      <c r="H27" s="38">
        <v>25</v>
      </c>
      <c r="I27" s="38">
        <f t="shared" si="0"/>
        <v>1150</v>
      </c>
      <c r="J27" s="37" t="s">
        <v>2296</v>
      </c>
      <c r="K27" s="37" t="s">
        <v>21</v>
      </c>
      <c r="L27" s="37" t="s">
        <v>2292</v>
      </c>
      <c r="M27" s="37"/>
      <c r="N27" s="37"/>
      <c r="O27" s="37"/>
      <c r="P27" s="37"/>
      <c r="Q27" s="37">
        <v>1</v>
      </c>
    </row>
    <row r="28" spans="1:17" s="39" customFormat="1" x14ac:dyDescent="0.25">
      <c r="A28" s="37"/>
      <c r="B28" s="37" t="s">
        <v>16</v>
      </c>
      <c r="C28" s="37" t="s">
        <v>1711</v>
      </c>
      <c r="D28" s="37" t="s">
        <v>2349</v>
      </c>
      <c r="E28" s="37" t="s">
        <v>1713</v>
      </c>
      <c r="F28" s="38">
        <v>7</v>
      </c>
      <c r="G28" s="38">
        <v>390</v>
      </c>
      <c r="H28" s="38">
        <v>30</v>
      </c>
      <c r="I28" s="38">
        <f t="shared" si="0"/>
        <v>360</v>
      </c>
      <c r="J28" s="37" t="s">
        <v>2296</v>
      </c>
      <c r="K28" s="37" t="s">
        <v>21</v>
      </c>
      <c r="L28" s="37" t="s">
        <v>2292</v>
      </c>
      <c r="M28" s="37"/>
      <c r="N28" s="37"/>
      <c r="O28" s="37"/>
      <c r="P28" s="37"/>
      <c r="Q28" s="37">
        <v>1</v>
      </c>
    </row>
    <row r="29" spans="1:17" s="39" customFormat="1" x14ac:dyDescent="0.25">
      <c r="A29" s="37"/>
      <c r="B29" s="37" t="s">
        <v>16</v>
      </c>
      <c r="C29" s="37" t="s">
        <v>997</v>
      </c>
      <c r="D29" s="37" t="s">
        <v>2350</v>
      </c>
      <c r="E29" s="37" t="s">
        <v>999</v>
      </c>
      <c r="F29" s="38">
        <v>1</v>
      </c>
      <c r="G29" s="38">
        <v>65</v>
      </c>
      <c r="H29" s="38">
        <v>25</v>
      </c>
      <c r="I29" s="38">
        <f t="shared" si="0"/>
        <v>40</v>
      </c>
      <c r="J29" s="37" t="s">
        <v>2296</v>
      </c>
      <c r="K29" s="37" t="s">
        <v>21</v>
      </c>
      <c r="L29" s="37" t="s">
        <v>2292</v>
      </c>
      <c r="M29" s="37" t="s">
        <v>49</v>
      </c>
      <c r="N29" s="37"/>
      <c r="O29" s="37"/>
      <c r="P29" s="37"/>
      <c r="Q29" s="37">
        <v>1</v>
      </c>
    </row>
    <row r="30" spans="1:17" s="39" customFormat="1" x14ac:dyDescent="0.25">
      <c r="A30" s="37"/>
      <c r="B30" s="37" t="s">
        <v>16</v>
      </c>
      <c r="C30" s="37" t="s">
        <v>2351</v>
      </c>
      <c r="D30" s="37" t="s">
        <v>2352</v>
      </c>
      <c r="E30" s="37" t="s">
        <v>2353</v>
      </c>
      <c r="F30" s="38">
        <v>1</v>
      </c>
      <c r="G30" s="38">
        <v>685</v>
      </c>
      <c r="H30" s="38">
        <v>25</v>
      </c>
      <c r="I30" s="38">
        <f t="shared" si="0"/>
        <v>660</v>
      </c>
      <c r="J30" s="37" t="s">
        <v>2296</v>
      </c>
      <c r="K30" s="37" t="s">
        <v>21</v>
      </c>
      <c r="L30" s="37" t="s">
        <v>2292</v>
      </c>
      <c r="M30" s="37"/>
      <c r="N30" s="37"/>
      <c r="O30" s="37"/>
      <c r="P30" s="37"/>
      <c r="Q30" s="37">
        <v>1</v>
      </c>
    </row>
    <row r="31" spans="1:17" s="39" customFormat="1" x14ac:dyDescent="0.25">
      <c r="A31" s="37"/>
      <c r="B31" s="37" t="s">
        <v>16</v>
      </c>
      <c r="C31" s="37" t="s">
        <v>2354</v>
      </c>
      <c r="D31" s="37" t="s">
        <v>2355</v>
      </c>
      <c r="E31" s="37" t="s">
        <v>2356</v>
      </c>
      <c r="F31" s="38">
        <v>12</v>
      </c>
      <c r="G31" s="38">
        <v>1670</v>
      </c>
      <c r="H31" s="38">
        <v>30</v>
      </c>
      <c r="I31" s="38">
        <f t="shared" si="0"/>
        <v>1640</v>
      </c>
      <c r="J31" s="37" t="s">
        <v>2296</v>
      </c>
      <c r="K31" s="37" t="s">
        <v>21</v>
      </c>
      <c r="L31" s="37" t="s">
        <v>2292</v>
      </c>
      <c r="M31" s="37"/>
      <c r="N31" s="37"/>
      <c r="O31" s="37"/>
      <c r="P31" s="37"/>
      <c r="Q31" s="37">
        <v>1</v>
      </c>
    </row>
    <row r="32" spans="1:17" s="39" customFormat="1" x14ac:dyDescent="0.25">
      <c r="A32" s="37"/>
      <c r="B32" s="37" t="s">
        <v>16</v>
      </c>
      <c r="C32" s="37" t="s">
        <v>2357</v>
      </c>
      <c r="D32" s="37" t="s">
        <v>2358</v>
      </c>
      <c r="E32" s="37" t="s">
        <v>2359</v>
      </c>
      <c r="F32" s="38">
        <v>11</v>
      </c>
      <c r="G32" s="38">
        <v>0</v>
      </c>
      <c r="H32" s="38">
        <v>25</v>
      </c>
      <c r="I32" s="38">
        <f>-H32</f>
        <v>-25</v>
      </c>
      <c r="J32" s="37" t="s">
        <v>2296</v>
      </c>
      <c r="K32" s="37" t="s">
        <v>21</v>
      </c>
      <c r="L32" s="37" t="s">
        <v>2292</v>
      </c>
      <c r="M32" s="37"/>
      <c r="N32" s="37"/>
      <c r="O32" s="37"/>
      <c r="P32" s="37"/>
      <c r="Q32" s="37">
        <v>1</v>
      </c>
    </row>
    <row r="33" spans="1:17" s="39" customFormat="1" x14ac:dyDescent="0.25">
      <c r="A33" s="37"/>
      <c r="B33" s="37" t="s">
        <v>16</v>
      </c>
      <c r="C33" s="37" t="s">
        <v>2360</v>
      </c>
      <c r="D33" s="37" t="s">
        <v>2361</v>
      </c>
      <c r="E33" s="37" t="s">
        <v>2362</v>
      </c>
      <c r="F33" s="37" t="s">
        <v>217</v>
      </c>
      <c r="G33" s="38">
        <v>685</v>
      </c>
      <c r="H33" s="38">
        <v>25</v>
      </c>
      <c r="I33" s="38">
        <f>G33-H33</f>
        <v>660</v>
      </c>
      <c r="J33" s="37" t="s">
        <v>2296</v>
      </c>
      <c r="K33" s="37" t="s">
        <v>21</v>
      </c>
      <c r="L33" s="37" t="s">
        <v>2292</v>
      </c>
      <c r="M33" s="37"/>
      <c r="N33" s="37"/>
      <c r="O33" s="37"/>
      <c r="P33" s="37"/>
      <c r="Q33" s="37">
        <v>1</v>
      </c>
    </row>
    <row r="34" spans="1:17" s="39" customFormat="1" x14ac:dyDescent="0.25">
      <c r="A34" s="37"/>
      <c r="B34" s="37" t="s">
        <v>16</v>
      </c>
      <c r="C34" s="37" t="s">
        <v>2363</v>
      </c>
      <c r="D34" s="37" t="s">
        <v>2364</v>
      </c>
      <c r="E34" s="37" t="s">
        <v>2365</v>
      </c>
      <c r="F34" s="38">
        <v>7</v>
      </c>
      <c r="G34" s="38">
        <v>1530</v>
      </c>
      <c r="H34" s="38">
        <v>30</v>
      </c>
      <c r="I34" s="38">
        <f>G34-H34</f>
        <v>1500</v>
      </c>
      <c r="J34" s="37" t="s">
        <v>2296</v>
      </c>
      <c r="K34" s="37" t="s">
        <v>21</v>
      </c>
      <c r="L34" s="37" t="s">
        <v>2292</v>
      </c>
      <c r="M34" s="37"/>
      <c r="N34" s="37"/>
      <c r="O34" s="37"/>
      <c r="P34" s="37"/>
      <c r="Q34" s="37">
        <v>1</v>
      </c>
    </row>
    <row r="35" spans="1:17" s="39" customFormat="1" x14ac:dyDescent="0.25">
      <c r="A35" s="37"/>
      <c r="B35" s="37" t="s">
        <v>16</v>
      </c>
      <c r="C35" s="37" t="s">
        <v>2366</v>
      </c>
      <c r="D35" s="37" t="s">
        <v>2367</v>
      </c>
      <c r="E35" s="37" t="s">
        <v>2368</v>
      </c>
      <c r="F35" s="38">
        <v>12</v>
      </c>
      <c r="G35" s="38">
        <v>0</v>
      </c>
      <c r="H35" s="38">
        <v>35</v>
      </c>
      <c r="I35" s="38">
        <f>-H35</f>
        <v>-35</v>
      </c>
      <c r="J35" s="37" t="s">
        <v>2296</v>
      </c>
      <c r="K35" s="37" t="s">
        <v>21</v>
      </c>
      <c r="L35" s="37" t="s">
        <v>2292</v>
      </c>
      <c r="M35" s="37" t="s">
        <v>398</v>
      </c>
      <c r="N35" s="37"/>
      <c r="O35" s="37"/>
      <c r="P35" s="37"/>
      <c r="Q35" s="37">
        <v>1</v>
      </c>
    </row>
    <row r="36" spans="1:17" s="39" customFormat="1" x14ac:dyDescent="0.25">
      <c r="A36" s="37"/>
      <c r="B36" s="37" t="s">
        <v>16</v>
      </c>
      <c r="C36" s="37" t="s">
        <v>991</v>
      </c>
      <c r="D36" s="37" t="s">
        <v>2369</v>
      </c>
      <c r="E36" s="37" t="s">
        <v>993</v>
      </c>
      <c r="F36" s="37" t="s">
        <v>88</v>
      </c>
      <c r="G36" s="38">
        <v>915</v>
      </c>
      <c r="H36" s="38">
        <v>25</v>
      </c>
      <c r="I36" s="38">
        <f t="shared" ref="I36:I41" si="1">G36-H36</f>
        <v>890</v>
      </c>
      <c r="J36" s="37" t="s">
        <v>2296</v>
      </c>
      <c r="K36" s="37" t="s">
        <v>21</v>
      </c>
      <c r="L36" s="37" t="s">
        <v>2292</v>
      </c>
      <c r="M36" s="37"/>
      <c r="N36" s="37"/>
      <c r="O36" s="37"/>
      <c r="P36" s="37"/>
      <c r="Q36" s="37">
        <v>1</v>
      </c>
    </row>
    <row r="37" spans="1:17" s="39" customFormat="1" x14ac:dyDescent="0.25">
      <c r="A37" s="37"/>
      <c r="B37" s="37" t="s">
        <v>16</v>
      </c>
      <c r="C37" s="37" t="s">
        <v>2370</v>
      </c>
      <c r="D37" s="37" t="s">
        <v>2371</v>
      </c>
      <c r="E37" s="37" t="s">
        <v>2372</v>
      </c>
      <c r="F37" s="38">
        <v>11</v>
      </c>
      <c r="G37" s="38">
        <v>855</v>
      </c>
      <c r="H37" s="38">
        <v>25</v>
      </c>
      <c r="I37" s="38">
        <f t="shared" si="1"/>
        <v>830</v>
      </c>
      <c r="J37" s="37" t="s">
        <v>2296</v>
      </c>
      <c r="K37" s="37" t="s">
        <v>21</v>
      </c>
      <c r="L37" s="37" t="s">
        <v>2292</v>
      </c>
      <c r="M37" s="37"/>
      <c r="N37" s="37"/>
      <c r="O37" s="37"/>
      <c r="P37" s="37"/>
      <c r="Q37" s="37">
        <v>1</v>
      </c>
    </row>
    <row r="38" spans="1:17" s="39" customFormat="1" x14ac:dyDescent="0.25">
      <c r="A38" s="37"/>
      <c r="B38" s="37" t="s">
        <v>16</v>
      </c>
      <c r="C38" s="37" t="s">
        <v>2373</v>
      </c>
      <c r="D38" s="37" t="s">
        <v>2374</v>
      </c>
      <c r="E38" s="37" t="s">
        <v>2375</v>
      </c>
      <c r="F38" s="38">
        <v>7</v>
      </c>
      <c r="G38" s="38">
        <v>1860</v>
      </c>
      <c r="H38" s="38">
        <v>30</v>
      </c>
      <c r="I38" s="38">
        <f t="shared" si="1"/>
        <v>1830</v>
      </c>
      <c r="J38" s="37" t="s">
        <v>2296</v>
      </c>
      <c r="K38" s="37" t="s">
        <v>21</v>
      </c>
      <c r="L38" s="37" t="s">
        <v>2292</v>
      </c>
      <c r="M38" s="37"/>
      <c r="N38" s="37"/>
      <c r="O38" s="37"/>
      <c r="P38" s="37"/>
      <c r="Q38" s="37">
        <v>1</v>
      </c>
    </row>
    <row r="39" spans="1:17" s="39" customFormat="1" x14ac:dyDescent="0.25">
      <c r="A39" s="37"/>
      <c r="B39" s="37" t="s">
        <v>16</v>
      </c>
      <c r="C39" s="37" t="s">
        <v>2376</v>
      </c>
      <c r="D39" s="37" t="s">
        <v>2377</v>
      </c>
      <c r="E39" s="37" t="s">
        <v>756</v>
      </c>
      <c r="F39" s="37" t="s">
        <v>88</v>
      </c>
      <c r="G39" s="38">
        <v>685</v>
      </c>
      <c r="H39" s="38">
        <v>25</v>
      </c>
      <c r="I39" s="38">
        <f t="shared" si="1"/>
        <v>660</v>
      </c>
      <c r="J39" s="37" t="s">
        <v>2296</v>
      </c>
      <c r="K39" s="37" t="s">
        <v>21</v>
      </c>
      <c r="L39" s="37" t="s">
        <v>2292</v>
      </c>
      <c r="M39" s="37"/>
      <c r="N39" s="37"/>
      <c r="O39" s="37"/>
      <c r="P39" s="37"/>
      <c r="Q39" s="37">
        <v>1</v>
      </c>
    </row>
    <row r="40" spans="1:17" s="39" customFormat="1" x14ac:dyDescent="0.25">
      <c r="A40" s="37"/>
      <c r="B40" s="37" t="s">
        <v>16</v>
      </c>
      <c r="C40" s="37" t="s">
        <v>2378</v>
      </c>
      <c r="D40" s="37" t="s">
        <v>2379</v>
      </c>
      <c r="E40" s="37" t="s">
        <v>1986</v>
      </c>
      <c r="F40" s="38">
        <v>1</v>
      </c>
      <c r="G40" s="38">
        <v>685</v>
      </c>
      <c r="H40" s="38">
        <v>25</v>
      </c>
      <c r="I40" s="38">
        <f t="shared" si="1"/>
        <v>660</v>
      </c>
      <c r="J40" s="37" t="s">
        <v>2296</v>
      </c>
      <c r="K40" s="37" t="s">
        <v>21</v>
      </c>
      <c r="L40" s="37" t="s">
        <v>2292</v>
      </c>
      <c r="M40" s="37"/>
      <c r="N40" s="37"/>
      <c r="O40" s="37"/>
      <c r="P40" s="37"/>
      <c r="Q40" s="37">
        <v>1</v>
      </c>
    </row>
    <row r="41" spans="1:17" x14ac:dyDescent="0.25">
      <c r="A41" s="18"/>
      <c r="B41" s="18" t="s">
        <v>16</v>
      </c>
      <c r="C41" s="18" t="s">
        <v>2380</v>
      </c>
      <c r="D41" s="18" t="s">
        <v>2381</v>
      </c>
      <c r="E41" s="18" t="s">
        <v>2382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21</v>
      </c>
      <c r="K41" s="18" t="s">
        <v>21</v>
      </c>
      <c r="L41" s="18" t="s">
        <v>2292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2383</v>
      </c>
      <c r="D42" s="18" t="s">
        <v>2384</v>
      </c>
      <c r="E42" s="18" t="s">
        <v>587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21</v>
      </c>
      <c r="K42" s="18" t="s">
        <v>21</v>
      </c>
      <c r="L42" s="18" t="s">
        <v>2292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2385</v>
      </c>
      <c r="D43" s="18" t="s">
        <v>2386</v>
      </c>
      <c r="E43" s="18" t="s">
        <v>2387</v>
      </c>
      <c r="F43" s="18" t="s">
        <v>153</v>
      </c>
      <c r="G43" s="19">
        <v>480</v>
      </c>
      <c r="H43" s="19">
        <v>30</v>
      </c>
      <c r="I43" s="19">
        <f>G43-H43</f>
        <v>450</v>
      </c>
      <c r="J43" s="18" t="s">
        <v>21</v>
      </c>
      <c r="K43" s="18" t="s">
        <v>21</v>
      </c>
      <c r="L43" s="18" t="s">
        <v>2292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2388</v>
      </c>
      <c r="D44" s="18" t="s">
        <v>2389</v>
      </c>
      <c r="E44" s="18" t="s">
        <v>2390</v>
      </c>
      <c r="F44" s="18" t="s">
        <v>68</v>
      </c>
      <c r="G44" s="19">
        <v>1140</v>
      </c>
      <c r="H44" s="19">
        <v>20</v>
      </c>
      <c r="I44" s="19">
        <f>G44-H44</f>
        <v>1120</v>
      </c>
      <c r="J44" s="18" t="s">
        <v>21</v>
      </c>
      <c r="K44" s="18" t="s">
        <v>21</v>
      </c>
      <c r="L44" s="18" t="s">
        <v>2292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2391</v>
      </c>
      <c r="D45" s="18" t="s">
        <v>2392</v>
      </c>
      <c r="E45" s="18" t="s">
        <v>2393</v>
      </c>
      <c r="F45" s="18" t="s">
        <v>68</v>
      </c>
      <c r="G45" s="19">
        <v>0</v>
      </c>
      <c r="H45" s="19">
        <v>20</v>
      </c>
      <c r="I45" s="19">
        <f>-H45</f>
        <v>-20</v>
      </c>
      <c r="J45" s="18" t="s">
        <v>21</v>
      </c>
      <c r="K45" s="18" t="s">
        <v>21</v>
      </c>
      <c r="L45" s="18" t="s">
        <v>2292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2394</v>
      </c>
      <c r="D46" s="18" t="s">
        <v>2395</v>
      </c>
      <c r="E46" s="18" t="s">
        <v>2396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21</v>
      </c>
      <c r="K46" s="18" t="s">
        <v>21</v>
      </c>
      <c r="L46" s="18" t="s">
        <v>2292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2397</v>
      </c>
      <c r="D47" s="18" t="s">
        <v>2398</v>
      </c>
      <c r="E47" s="18" t="s">
        <v>2399</v>
      </c>
      <c r="F47" s="18" t="s">
        <v>153</v>
      </c>
      <c r="G47" s="19">
        <v>890</v>
      </c>
      <c r="H47" s="19">
        <v>30</v>
      </c>
      <c r="I47" s="19">
        <f>G47-H47</f>
        <v>860</v>
      </c>
      <c r="J47" s="18" t="s">
        <v>21</v>
      </c>
      <c r="K47" s="18" t="s">
        <v>21</v>
      </c>
      <c r="L47" s="18" t="s">
        <v>2292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2400</v>
      </c>
      <c r="D48" s="18" t="s">
        <v>2401</v>
      </c>
      <c r="E48" s="18" t="s">
        <v>1753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21</v>
      </c>
      <c r="K48" s="18" t="s">
        <v>21</v>
      </c>
      <c r="L48" s="18" t="s">
        <v>2292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2402</v>
      </c>
      <c r="D49" s="18" t="s">
        <v>2403</v>
      </c>
      <c r="E49" s="18" t="s">
        <v>2404</v>
      </c>
      <c r="F49" s="18" t="s">
        <v>88</v>
      </c>
      <c r="G49" s="19">
        <v>1245</v>
      </c>
      <c r="H49" s="19">
        <v>25</v>
      </c>
      <c r="I49" s="19">
        <f>G49-H49</f>
        <v>1220</v>
      </c>
      <c r="J49" s="18" t="s">
        <v>21</v>
      </c>
      <c r="K49" s="18" t="s">
        <v>21</v>
      </c>
      <c r="L49" s="18" t="s">
        <v>2292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2405</v>
      </c>
      <c r="D50" s="18" t="s">
        <v>2406</v>
      </c>
      <c r="E50" s="18" t="s">
        <v>2407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21</v>
      </c>
      <c r="K50" s="18" t="s">
        <v>21</v>
      </c>
      <c r="L50" s="18" t="s">
        <v>2292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2408</v>
      </c>
      <c r="D51" s="18" t="s">
        <v>2409</v>
      </c>
      <c r="E51" s="18" t="s">
        <v>2410</v>
      </c>
      <c r="F51" s="18" t="s">
        <v>72</v>
      </c>
      <c r="G51" s="19">
        <v>0</v>
      </c>
      <c r="H51" s="19">
        <v>25</v>
      </c>
      <c r="I51" s="19">
        <f>-H51</f>
        <v>-25</v>
      </c>
      <c r="J51" s="18" t="s">
        <v>21</v>
      </c>
      <c r="K51" s="18" t="s">
        <v>21</v>
      </c>
      <c r="L51" s="18" t="s">
        <v>2292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2411</v>
      </c>
      <c r="D52" s="18" t="s">
        <v>2412</v>
      </c>
      <c r="E52" s="18" t="s">
        <v>2413</v>
      </c>
      <c r="F52" s="18" t="s">
        <v>72</v>
      </c>
      <c r="G52" s="19">
        <v>915</v>
      </c>
      <c r="H52" s="19">
        <v>25</v>
      </c>
      <c r="I52" s="19">
        <f t="shared" ref="I52:I57" si="2">G52-H52</f>
        <v>890</v>
      </c>
      <c r="J52" s="18" t="s">
        <v>21</v>
      </c>
      <c r="K52" s="18" t="s">
        <v>21</v>
      </c>
      <c r="L52" s="18" t="s">
        <v>2292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2414</v>
      </c>
      <c r="D53" s="18" t="s">
        <v>2415</v>
      </c>
      <c r="E53" s="18" t="s">
        <v>2416</v>
      </c>
      <c r="F53" s="18" t="s">
        <v>72</v>
      </c>
      <c r="G53" s="19">
        <v>875</v>
      </c>
      <c r="H53" s="19">
        <v>25</v>
      </c>
      <c r="I53" s="19">
        <f t="shared" si="2"/>
        <v>850</v>
      </c>
      <c r="J53" s="18" t="s">
        <v>21</v>
      </c>
      <c r="K53" s="18" t="s">
        <v>21</v>
      </c>
      <c r="L53" s="18" t="s">
        <v>2292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2417</v>
      </c>
      <c r="D54" s="18" t="s">
        <v>2418</v>
      </c>
      <c r="E54" s="18" t="s">
        <v>2419</v>
      </c>
      <c r="F54" s="18" t="s">
        <v>88</v>
      </c>
      <c r="G54" s="19">
        <v>1555</v>
      </c>
      <c r="H54" s="19">
        <v>25</v>
      </c>
      <c r="I54" s="19">
        <f t="shared" si="2"/>
        <v>1530</v>
      </c>
      <c r="J54" s="18" t="s">
        <v>21</v>
      </c>
      <c r="K54" s="18" t="s">
        <v>21</v>
      </c>
      <c r="L54" s="18" t="s">
        <v>2292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2420</v>
      </c>
      <c r="D55" s="18" t="s">
        <v>2421</v>
      </c>
      <c r="E55" s="18" t="s">
        <v>2422</v>
      </c>
      <c r="F55" s="18" t="s">
        <v>68</v>
      </c>
      <c r="G55" s="19">
        <v>690</v>
      </c>
      <c r="H55" s="19">
        <v>20</v>
      </c>
      <c r="I55" s="19">
        <f t="shared" si="2"/>
        <v>670</v>
      </c>
      <c r="J55" s="18" t="s">
        <v>21</v>
      </c>
      <c r="K55" s="18" t="s">
        <v>21</v>
      </c>
      <c r="L55" s="18" t="s">
        <v>2292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2423</v>
      </c>
      <c r="D56" s="18" t="s">
        <v>2424</v>
      </c>
      <c r="E56" s="18" t="s">
        <v>2425</v>
      </c>
      <c r="F56" s="18" t="s">
        <v>153</v>
      </c>
      <c r="G56" s="19">
        <v>480</v>
      </c>
      <c r="H56" s="19">
        <v>30</v>
      </c>
      <c r="I56" s="19">
        <f t="shared" si="2"/>
        <v>450</v>
      </c>
      <c r="J56" s="18" t="s">
        <v>21</v>
      </c>
      <c r="K56" s="18" t="s">
        <v>21</v>
      </c>
      <c r="L56" s="18" t="s">
        <v>2292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2426</v>
      </c>
      <c r="D57" s="18"/>
      <c r="E57" s="18" t="s">
        <v>2427</v>
      </c>
      <c r="F57" s="18" t="s">
        <v>88</v>
      </c>
      <c r="G57" s="19">
        <v>30</v>
      </c>
      <c r="H57" s="19">
        <v>30</v>
      </c>
      <c r="I57" s="19">
        <f t="shared" si="2"/>
        <v>0</v>
      </c>
      <c r="J57" s="18" t="s">
        <v>21</v>
      </c>
      <c r="K57" s="18" t="s">
        <v>21</v>
      </c>
      <c r="L57" s="18" t="s">
        <v>2292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2428</v>
      </c>
      <c r="D58" s="18"/>
      <c r="E58" s="18" t="s">
        <v>1753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21</v>
      </c>
      <c r="K58" s="18" t="s">
        <v>21</v>
      </c>
      <c r="L58" s="18" t="s">
        <v>2292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1958</v>
      </c>
      <c r="D59" s="18"/>
      <c r="E59" s="18" t="s">
        <v>2429</v>
      </c>
      <c r="F59" s="18" t="s">
        <v>68</v>
      </c>
      <c r="G59" s="19">
        <v>275</v>
      </c>
      <c r="H59" s="19">
        <v>25</v>
      </c>
      <c r="I59" s="19">
        <f>G59-H59</f>
        <v>250</v>
      </c>
      <c r="J59" s="18" t="s">
        <v>21</v>
      </c>
      <c r="K59" s="18" t="s">
        <v>21</v>
      </c>
      <c r="L59" s="18" t="s">
        <v>2292</v>
      </c>
      <c r="M59" s="18"/>
      <c r="N59" s="18"/>
      <c r="O59" s="18"/>
      <c r="P59" s="18"/>
      <c r="Q59" s="18">
        <v>1</v>
      </c>
    </row>
    <row r="60" spans="1:17" x14ac:dyDescent="0.25">
      <c r="A60" s="18" t="s">
        <v>62</v>
      </c>
      <c r="B60" s="18" t="s">
        <v>16</v>
      </c>
      <c r="C60" s="18" t="s">
        <v>318</v>
      </c>
      <c r="D60" s="18"/>
      <c r="E60" s="18" t="s">
        <v>319</v>
      </c>
      <c r="F60" s="18" t="s">
        <v>72</v>
      </c>
      <c r="G60" s="19">
        <v>30</v>
      </c>
      <c r="H60" s="19">
        <v>30</v>
      </c>
      <c r="I60" s="19">
        <f>G60-H60</f>
        <v>0</v>
      </c>
      <c r="J60" s="18" t="s">
        <v>21</v>
      </c>
      <c r="K60" s="18" t="s">
        <v>21</v>
      </c>
      <c r="L60" s="18" t="s">
        <v>2292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2430</v>
      </c>
      <c r="D61" s="18" t="s">
        <v>2431</v>
      </c>
      <c r="E61" s="18" t="s">
        <v>2432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165</v>
      </c>
      <c r="K61" s="18" t="s">
        <v>21</v>
      </c>
      <c r="L61" s="18" t="s">
        <v>2292</v>
      </c>
      <c r="M61" s="18"/>
      <c r="N61" s="18"/>
      <c r="O61" s="18"/>
      <c r="P61" s="18"/>
      <c r="Q61" s="18">
        <v>1</v>
      </c>
    </row>
    <row r="63" spans="1:17" x14ac:dyDescent="0.25">
      <c r="D63" s="1">
        <f>COUNTA(D3:D61)</f>
        <v>55</v>
      </c>
      <c r="G63" s="1">
        <f t="shared" ref="G63:Q63" si="3">SUBTOTAL(9,G3:G61)</f>
        <v>36340</v>
      </c>
      <c r="H63" s="1">
        <f t="shared" si="3"/>
        <v>1600</v>
      </c>
      <c r="I63" s="1">
        <f t="shared" si="3"/>
        <v>34740</v>
      </c>
      <c r="J63" s="1">
        <f t="shared" si="3"/>
        <v>0</v>
      </c>
      <c r="K63" s="1">
        <f t="shared" si="3"/>
        <v>0</v>
      </c>
      <c r="L63" s="1">
        <f t="shared" si="3"/>
        <v>0</v>
      </c>
      <c r="M63" s="1">
        <f t="shared" si="3"/>
        <v>0</v>
      </c>
      <c r="N63" s="1">
        <f t="shared" si="3"/>
        <v>0</v>
      </c>
      <c r="O63" s="1">
        <f t="shared" si="3"/>
        <v>0</v>
      </c>
      <c r="P63" s="1">
        <f t="shared" si="3"/>
        <v>0</v>
      </c>
      <c r="Q63" s="1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1" t="s">
        <v>16</v>
      </c>
      <c r="C65" s="47" t="s">
        <v>89</v>
      </c>
      <c r="D65" s="47"/>
      <c r="E65" s="4" t="s">
        <v>90</v>
      </c>
      <c r="H65">
        <f>-6*25</f>
        <v>-150</v>
      </c>
      <c r="K65" s="7" t="s">
        <v>2296</v>
      </c>
      <c r="L65" s="7" t="s">
        <v>91</v>
      </c>
      <c r="M65" s="7" t="s">
        <v>90</v>
      </c>
      <c r="O65" s="4" t="s">
        <v>92</v>
      </c>
    </row>
    <row r="66" spans="1:16" x14ac:dyDescent="0.25">
      <c r="A66" t="s">
        <v>2292</v>
      </c>
      <c r="B66" s="3" t="s">
        <v>93</v>
      </c>
      <c r="C66" s="48">
        <f>SUMIFS(I$3:I$61,B$3:B$61,A$65,L$3:L$61,A$66)</f>
        <v>34740</v>
      </c>
      <c r="D66" s="48"/>
      <c r="E66" s="3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2433</v>
      </c>
      <c r="P66">
        <f>L71</f>
        <v>26296</v>
      </c>
    </row>
    <row r="67" spans="1:16" x14ac:dyDescent="0.25">
      <c r="B67" s="2" t="s">
        <v>97</v>
      </c>
      <c r="C67" s="49">
        <v>0</v>
      </c>
      <c r="D67" s="49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2" t="s">
        <v>99</v>
      </c>
      <c r="C68" s="49">
        <f>-SUMIFS(I$3:I$61,B$3:B$61,A$65,P$3:P$61,"xx",N$3:N$61,"x")</f>
        <v>0</v>
      </c>
      <c r="D68" s="49"/>
      <c r="E68" s="2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4" t="s">
        <v>101</v>
      </c>
      <c r="C69" s="47">
        <f>SUBTOTAL(9,C66:C68)</f>
        <v>34740</v>
      </c>
      <c r="D69" s="47"/>
      <c r="E69">
        <f>E66</f>
        <v>59</v>
      </c>
      <c r="K69" s="2" t="s">
        <v>102</v>
      </c>
      <c r="O69" t="s">
        <v>20</v>
      </c>
      <c r="P69">
        <f>L95</f>
        <v>35</v>
      </c>
    </row>
    <row r="70" spans="1:16" x14ac:dyDescent="0.25">
      <c r="B70" s="2" t="s">
        <v>104</v>
      </c>
      <c r="C70" s="45"/>
      <c r="D70" s="45"/>
      <c r="K70" s="2" t="s">
        <v>105</v>
      </c>
      <c r="O70" t="s">
        <v>103</v>
      </c>
      <c r="P70">
        <f>-C73</f>
        <v>-34740</v>
      </c>
    </row>
    <row r="71" spans="1:16" x14ac:dyDescent="0.25">
      <c r="B71" s="8" t="s">
        <v>107</v>
      </c>
      <c r="C71" s="45"/>
      <c r="D71" s="45"/>
      <c r="L71" s="9">
        <f>SUBTOTAL(9,L66:L70)</f>
        <v>26296</v>
      </c>
      <c r="M71" s="9">
        <f>M66</f>
        <v>37</v>
      </c>
      <c r="O71" s="4" t="s">
        <v>106</v>
      </c>
      <c r="P71" s="4">
        <f>SUBTOTAL(9,P66:P70)</f>
        <v>305</v>
      </c>
    </row>
    <row r="73" spans="1:16" x14ac:dyDescent="0.25">
      <c r="B73" s="1" t="s">
        <v>108</v>
      </c>
      <c r="C73" s="46">
        <f>C69+C70+C71</f>
        <v>34740</v>
      </c>
      <c r="D73" s="46"/>
      <c r="E73" s="1" t="s">
        <v>109</v>
      </c>
      <c r="K73" s="7" t="s">
        <v>21</v>
      </c>
      <c r="L73" s="7" t="s">
        <v>91</v>
      </c>
      <c r="M73" s="7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2" t="s">
        <v>102</v>
      </c>
    </row>
    <row r="78" spans="1:16" x14ac:dyDescent="0.25">
      <c r="K78" s="2" t="s">
        <v>105</v>
      </c>
    </row>
    <row r="79" spans="1:16" x14ac:dyDescent="0.25">
      <c r="L79" s="9">
        <f>SUBTOTAL(9,L74:L78)</f>
        <v>8734</v>
      </c>
      <c r="M79" s="9">
        <f>M74</f>
        <v>20</v>
      </c>
    </row>
    <row r="81" spans="11:13" x14ac:dyDescent="0.25">
      <c r="K81" s="7" t="s">
        <v>165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-20</v>
      </c>
      <c r="M87" s="9">
        <f>M82</f>
        <v>1</v>
      </c>
    </row>
    <row r="89" spans="11:13" x14ac:dyDescent="0.25">
      <c r="K89" s="7" t="s">
        <v>20</v>
      </c>
      <c r="L89" s="7" t="s">
        <v>91</v>
      </c>
      <c r="M89" s="7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2" t="s">
        <v>102</v>
      </c>
    </row>
    <row r="94" spans="11:13" x14ac:dyDescent="0.25">
      <c r="K94" s="2" t="s">
        <v>105</v>
      </c>
    </row>
    <row r="95" spans="11:13" x14ac:dyDescent="0.25">
      <c r="L95" s="9">
        <f>SUBTOTAL(9,L90:L94)</f>
        <v>35</v>
      </c>
      <c r="M95" s="9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53" zoomScale="85" zoomScaleNormal="85" workbookViewId="0">
      <selection activeCell="K91" sqref="K91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12.7109375" bestFit="1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1696</v>
      </c>
      <c r="D3" s="18" t="s">
        <v>2434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2435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2436</v>
      </c>
      <c r="D4" s="18" t="s">
        <v>2437</v>
      </c>
      <c r="E4" s="18" t="s">
        <v>2438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2439</v>
      </c>
      <c r="K4" s="18" t="s">
        <v>21</v>
      </c>
      <c r="L4" s="18" t="s">
        <v>2435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2440</v>
      </c>
      <c r="D5" s="18" t="s">
        <v>2441</v>
      </c>
      <c r="E5" s="18" t="s">
        <v>2442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2439</v>
      </c>
      <c r="K5" s="18" t="s">
        <v>21</v>
      </c>
      <c r="L5" s="18" t="s">
        <v>2435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1200</v>
      </c>
      <c r="D6" s="18" t="s">
        <v>2443</v>
      </c>
      <c r="E6" s="18" t="s">
        <v>1202</v>
      </c>
      <c r="F6" s="18" t="s">
        <v>26</v>
      </c>
      <c r="G6" s="19">
        <v>0</v>
      </c>
      <c r="H6" s="19">
        <v>30</v>
      </c>
      <c r="I6" s="19">
        <f>-H6</f>
        <v>-30</v>
      </c>
      <c r="J6" s="18" t="s">
        <v>2439</v>
      </c>
      <c r="K6" s="18" t="s">
        <v>21</v>
      </c>
      <c r="L6" s="18" t="s">
        <v>2435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2444</v>
      </c>
      <c r="D7" s="18" t="s">
        <v>2445</v>
      </c>
      <c r="E7" s="18" t="s">
        <v>2446</v>
      </c>
      <c r="F7" s="18" t="s">
        <v>26</v>
      </c>
      <c r="G7" s="19">
        <v>820</v>
      </c>
      <c r="H7" s="19">
        <v>30</v>
      </c>
      <c r="I7" s="19">
        <f t="shared" ref="I7:I13" si="0">G7-H7</f>
        <v>790</v>
      </c>
      <c r="J7" s="18" t="s">
        <v>2439</v>
      </c>
      <c r="K7" s="18" t="s">
        <v>21</v>
      </c>
      <c r="L7" s="18" t="s">
        <v>2435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1469</v>
      </c>
      <c r="D8" s="18" t="s">
        <v>2447</v>
      </c>
      <c r="E8" s="18" t="s">
        <v>1471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2439</v>
      </c>
      <c r="K8" s="18" t="s">
        <v>21</v>
      </c>
      <c r="L8" s="18" t="s">
        <v>2435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726</v>
      </c>
      <c r="D9" s="18" t="s">
        <v>2448</v>
      </c>
      <c r="E9" s="18" t="s">
        <v>2449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2439</v>
      </c>
      <c r="K9" s="18" t="s">
        <v>21</v>
      </c>
      <c r="L9" s="18" t="s">
        <v>2435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2450</v>
      </c>
      <c r="D10" s="18" t="s">
        <v>2451</v>
      </c>
      <c r="E10" s="18" t="s">
        <v>2452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2439</v>
      </c>
      <c r="K10" s="18" t="s">
        <v>21</v>
      </c>
      <c r="L10" s="18" t="s">
        <v>2435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2378</v>
      </c>
      <c r="D11" s="18" t="s">
        <v>2453</v>
      </c>
      <c r="E11" s="18" t="s">
        <v>1986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2439</v>
      </c>
      <c r="K11" s="18" t="s">
        <v>21</v>
      </c>
      <c r="L11" s="18" t="s">
        <v>2435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2454</v>
      </c>
      <c r="D12" s="18" t="s">
        <v>2455</v>
      </c>
      <c r="E12" s="18" t="s">
        <v>2456</v>
      </c>
      <c r="F12" s="18" t="s">
        <v>217</v>
      </c>
      <c r="G12" s="19">
        <v>865</v>
      </c>
      <c r="H12" s="19">
        <v>25</v>
      </c>
      <c r="I12" s="19">
        <f t="shared" si="0"/>
        <v>840</v>
      </c>
      <c r="J12" s="18" t="s">
        <v>2439</v>
      </c>
      <c r="K12" s="18" t="s">
        <v>21</v>
      </c>
      <c r="L12" s="18" t="s">
        <v>2435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2457</v>
      </c>
      <c r="D13" s="18" t="s">
        <v>2458</v>
      </c>
      <c r="E13" s="18" t="s">
        <v>2459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2439</v>
      </c>
      <c r="K13" s="18" t="s">
        <v>21</v>
      </c>
      <c r="L13" s="18" t="s">
        <v>2435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2460</v>
      </c>
      <c r="D14" s="18" t="s">
        <v>2461</v>
      </c>
      <c r="E14" s="18" t="s">
        <v>2462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2439</v>
      </c>
      <c r="K14" s="18" t="s">
        <v>21</v>
      </c>
      <c r="L14" s="18" t="s">
        <v>2435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2463</v>
      </c>
      <c r="D15" s="18" t="s">
        <v>2464</v>
      </c>
      <c r="E15" s="18" t="s">
        <v>1016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2439</v>
      </c>
      <c r="K15" s="18" t="s">
        <v>21</v>
      </c>
      <c r="L15" s="18" t="s">
        <v>2435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1559</v>
      </c>
      <c r="D16" s="18" t="s">
        <v>2465</v>
      </c>
      <c r="E16" s="18" t="s">
        <v>1561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2439</v>
      </c>
      <c r="K16" s="18" t="s">
        <v>21</v>
      </c>
      <c r="L16" s="18" t="s">
        <v>2435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2466</v>
      </c>
      <c r="D17" s="18" t="s">
        <v>2467</v>
      </c>
      <c r="E17" s="18" t="s">
        <v>2468</v>
      </c>
      <c r="F17" s="18" t="s">
        <v>113</v>
      </c>
      <c r="G17" s="19">
        <v>695</v>
      </c>
      <c r="H17" s="19">
        <v>35</v>
      </c>
      <c r="I17" s="19">
        <f>G17-H17</f>
        <v>660</v>
      </c>
      <c r="J17" s="18" t="s">
        <v>2439</v>
      </c>
      <c r="K17" s="18" t="s">
        <v>21</v>
      </c>
      <c r="L17" s="18" t="s">
        <v>2435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2469</v>
      </c>
      <c r="D18" s="18" t="s">
        <v>2470</v>
      </c>
      <c r="E18" s="18" t="s">
        <v>2471</v>
      </c>
      <c r="F18" s="18" t="s">
        <v>113</v>
      </c>
      <c r="G18" s="19">
        <v>0</v>
      </c>
      <c r="H18" s="19">
        <v>35</v>
      </c>
      <c r="I18" s="19">
        <f>-H18</f>
        <v>-35</v>
      </c>
      <c r="J18" s="18" t="s">
        <v>2439</v>
      </c>
      <c r="K18" s="18" t="s">
        <v>21</v>
      </c>
      <c r="L18" s="18" t="s">
        <v>2435</v>
      </c>
      <c r="M18" s="18" t="s">
        <v>2472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2469</v>
      </c>
      <c r="D19" s="18" t="s">
        <v>2473</v>
      </c>
      <c r="E19" s="18" t="s">
        <v>2471</v>
      </c>
      <c r="F19" s="18" t="s">
        <v>113</v>
      </c>
      <c r="G19" s="19">
        <v>0</v>
      </c>
      <c r="H19" s="19">
        <v>0</v>
      </c>
      <c r="I19" s="19">
        <f>H19</f>
        <v>0</v>
      </c>
      <c r="J19" s="18" t="s">
        <v>2439</v>
      </c>
      <c r="K19" s="18" t="s">
        <v>21</v>
      </c>
      <c r="L19" s="18" t="s">
        <v>2435</v>
      </c>
      <c r="M19" s="18" t="s">
        <v>312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2474</v>
      </c>
      <c r="D20" s="18" t="s">
        <v>2475</v>
      </c>
      <c r="E20" s="18" t="s">
        <v>2476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2439</v>
      </c>
      <c r="K20" s="18" t="s">
        <v>21</v>
      </c>
      <c r="L20" s="18" t="s">
        <v>2435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2477</v>
      </c>
      <c r="D21" s="18" t="s">
        <v>2478</v>
      </c>
      <c r="E21" s="18" t="s">
        <v>2479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2439</v>
      </c>
      <c r="K21" s="18" t="s">
        <v>21</v>
      </c>
      <c r="L21" s="18" t="s">
        <v>2435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2480</v>
      </c>
      <c r="D22" s="18" t="s">
        <v>2481</v>
      </c>
      <c r="E22" s="18" t="s">
        <v>2482</v>
      </c>
      <c r="F22" s="18" t="s">
        <v>217</v>
      </c>
      <c r="G22" s="19">
        <v>1635</v>
      </c>
      <c r="H22" s="19">
        <v>25</v>
      </c>
      <c r="I22" s="19">
        <f>G22-H22</f>
        <v>1610</v>
      </c>
      <c r="J22" s="18" t="s">
        <v>2439</v>
      </c>
      <c r="K22" s="18" t="s">
        <v>21</v>
      </c>
      <c r="L22" s="18" t="s">
        <v>2435</v>
      </c>
      <c r="M22" s="18" t="s">
        <v>312</v>
      </c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2480</v>
      </c>
      <c r="D23" s="18" t="s">
        <v>2483</v>
      </c>
      <c r="E23" s="18" t="s">
        <v>2484</v>
      </c>
      <c r="F23" s="18" t="s">
        <v>217</v>
      </c>
      <c r="G23" s="19">
        <v>0</v>
      </c>
      <c r="H23" s="19">
        <v>0</v>
      </c>
      <c r="I23" s="19">
        <f>H23</f>
        <v>0</v>
      </c>
      <c r="J23" s="18" t="s">
        <v>2439</v>
      </c>
      <c r="K23" s="18" t="s">
        <v>21</v>
      </c>
      <c r="L23" s="18" t="s">
        <v>2435</v>
      </c>
      <c r="M23" s="18" t="s">
        <v>312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2485</v>
      </c>
      <c r="D24" s="18" t="s">
        <v>2486</v>
      </c>
      <c r="E24" s="18" t="s">
        <v>2487</v>
      </c>
      <c r="F24" s="19">
        <v>12</v>
      </c>
      <c r="G24" s="19">
        <v>980</v>
      </c>
      <c r="H24" s="19">
        <v>30</v>
      </c>
      <c r="I24" s="19">
        <f t="shared" ref="I24:I29" si="1">G24-H24</f>
        <v>950</v>
      </c>
      <c r="J24" s="18" t="s">
        <v>2439</v>
      </c>
      <c r="K24" s="18" t="s">
        <v>21</v>
      </c>
      <c r="L24" s="18" t="s">
        <v>2435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2488</v>
      </c>
      <c r="D25" s="18" t="s">
        <v>2489</v>
      </c>
      <c r="E25" s="18" t="s">
        <v>2490</v>
      </c>
      <c r="F25" s="18" t="s">
        <v>26</v>
      </c>
      <c r="G25" s="19">
        <v>820</v>
      </c>
      <c r="H25" s="19">
        <v>30</v>
      </c>
      <c r="I25" s="19">
        <f t="shared" si="1"/>
        <v>790</v>
      </c>
      <c r="J25" s="18" t="s">
        <v>2439</v>
      </c>
      <c r="K25" s="18" t="s">
        <v>21</v>
      </c>
      <c r="L25" s="18" t="s">
        <v>2435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46</v>
      </c>
      <c r="D26" s="18" t="s">
        <v>2491</v>
      </c>
      <c r="E26" s="18" t="s">
        <v>1193</v>
      </c>
      <c r="F26" s="19">
        <v>7</v>
      </c>
      <c r="G26" s="19">
        <v>1090</v>
      </c>
      <c r="H26" s="19">
        <v>30</v>
      </c>
      <c r="I26" s="19">
        <f t="shared" si="1"/>
        <v>1060</v>
      </c>
      <c r="J26" s="18" t="s">
        <v>2439</v>
      </c>
      <c r="K26" s="18" t="s">
        <v>21</v>
      </c>
      <c r="L26" s="18" t="s">
        <v>2435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2492</v>
      </c>
      <c r="D27" s="18" t="s">
        <v>2493</v>
      </c>
      <c r="E27" s="18" t="s">
        <v>2494</v>
      </c>
      <c r="F27" s="19">
        <v>1</v>
      </c>
      <c r="G27" s="19">
        <v>815</v>
      </c>
      <c r="H27" s="19">
        <v>25</v>
      </c>
      <c r="I27" s="19">
        <f t="shared" si="1"/>
        <v>790</v>
      </c>
      <c r="J27" s="18" t="s">
        <v>2439</v>
      </c>
      <c r="K27" s="18" t="s">
        <v>21</v>
      </c>
      <c r="L27" s="18" t="s">
        <v>2435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2495</v>
      </c>
      <c r="D28" s="18" t="s">
        <v>2496</v>
      </c>
      <c r="E28" s="18" t="s">
        <v>2497</v>
      </c>
      <c r="F28" s="18" t="s">
        <v>128</v>
      </c>
      <c r="G28" s="19">
        <v>985</v>
      </c>
      <c r="H28" s="19">
        <v>35</v>
      </c>
      <c r="I28" s="19">
        <f t="shared" si="1"/>
        <v>950</v>
      </c>
      <c r="J28" s="18" t="s">
        <v>2439</v>
      </c>
      <c r="K28" s="18" t="s">
        <v>21</v>
      </c>
      <c r="L28" s="18" t="s">
        <v>2435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2498</v>
      </c>
      <c r="D29" s="18" t="s">
        <v>2499</v>
      </c>
      <c r="E29" s="18" t="s">
        <v>2500</v>
      </c>
      <c r="F29" s="19">
        <v>7</v>
      </c>
      <c r="G29" s="19">
        <v>720</v>
      </c>
      <c r="H29" s="19">
        <v>30</v>
      </c>
      <c r="I29" s="19">
        <f t="shared" si="1"/>
        <v>690</v>
      </c>
      <c r="J29" s="18" t="s">
        <v>2439</v>
      </c>
      <c r="K29" s="18" t="s">
        <v>21</v>
      </c>
      <c r="L29" s="18" t="s">
        <v>2435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997</v>
      </c>
      <c r="D30" s="18" t="s">
        <v>2501</v>
      </c>
      <c r="E30" s="18" t="s">
        <v>999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2439</v>
      </c>
      <c r="K30" s="18" t="s">
        <v>21</v>
      </c>
      <c r="L30" s="18" t="s">
        <v>2435</v>
      </c>
      <c r="M30" s="18" t="s">
        <v>49</v>
      </c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2502</v>
      </c>
      <c r="D31" s="18" t="s">
        <v>2503</v>
      </c>
      <c r="E31" s="18" t="s">
        <v>2504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2439</v>
      </c>
      <c r="K31" s="18" t="s">
        <v>21</v>
      </c>
      <c r="L31" s="18" t="s">
        <v>2435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247</v>
      </c>
      <c r="D32" s="18" t="s">
        <v>2505</v>
      </c>
      <c r="E32" s="18" t="s">
        <v>249</v>
      </c>
      <c r="F32" s="18" t="s">
        <v>128</v>
      </c>
      <c r="G32" s="19">
        <v>885</v>
      </c>
      <c r="H32" s="19">
        <v>35</v>
      </c>
      <c r="I32" s="19">
        <f>G32-H32</f>
        <v>850</v>
      </c>
      <c r="J32" s="18" t="s">
        <v>2439</v>
      </c>
      <c r="K32" s="18" t="s">
        <v>21</v>
      </c>
      <c r="L32" s="18" t="s">
        <v>2435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1459</v>
      </c>
      <c r="D33" s="18" t="s">
        <v>2506</v>
      </c>
      <c r="E33" s="18" t="s">
        <v>2507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2439</v>
      </c>
      <c r="K33" s="18" t="s">
        <v>21</v>
      </c>
      <c r="L33" s="18" t="s">
        <v>2435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2508</v>
      </c>
      <c r="D34" s="18" t="s">
        <v>2509</v>
      </c>
      <c r="E34" s="18" t="s">
        <v>2510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2439</v>
      </c>
      <c r="K34" s="18" t="s">
        <v>21</v>
      </c>
      <c r="L34" s="18" t="s">
        <v>2435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2511</v>
      </c>
      <c r="D35" s="18" t="s">
        <v>2512</v>
      </c>
      <c r="E35" s="18" t="s">
        <v>2513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2439</v>
      </c>
      <c r="K35" s="18" t="s">
        <v>21</v>
      </c>
      <c r="L35" s="18" t="s">
        <v>2435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2514</v>
      </c>
      <c r="D36" s="18" t="s">
        <v>2515</v>
      </c>
      <c r="E36" s="18" t="s">
        <v>2516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2439</v>
      </c>
      <c r="K36" s="18" t="s">
        <v>21</v>
      </c>
      <c r="L36" s="18" t="s">
        <v>2435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1835</v>
      </c>
      <c r="D37" s="18" t="s">
        <v>2517</v>
      </c>
      <c r="E37" s="18" t="s">
        <v>1837</v>
      </c>
      <c r="F37" s="19">
        <v>7</v>
      </c>
      <c r="G37" s="19">
        <v>150</v>
      </c>
      <c r="H37" s="19">
        <v>30</v>
      </c>
      <c r="I37" s="19">
        <f>G37-H37</f>
        <v>120</v>
      </c>
      <c r="J37" s="18" t="s">
        <v>2439</v>
      </c>
      <c r="K37" s="18" t="s">
        <v>21</v>
      </c>
      <c r="L37" s="18" t="s">
        <v>2435</v>
      </c>
      <c r="M37" s="18" t="s">
        <v>49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2518</v>
      </c>
      <c r="D38" s="18" t="s">
        <v>2519</v>
      </c>
      <c r="E38" s="18" t="s">
        <v>2520</v>
      </c>
      <c r="F38" s="18" t="s">
        <v>26</v>
      </c>
      <c r="G38" s="19">
        <v>840</v>
      </c>
      <c r="H38" s="19">
        <v>30</v>
      </c>
      <c r="I38" s="19">
        <f>G38-H38</f>
        <v>810</v>
      </c>
      <c r="J38" s="18" t="s">
        <v>2439</v>
      </c>
      <c r="K38" s="18" t="s">
        <v>21</v>
      </c>
      <c r="L38" s="18" t="s">
        <v>2435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2521</v>
      </c>
      <c r="D39" s="18" t="s">
        <v>2522</v>
      </c>
      <c r="E39" s="18" t="s">
        <v>2523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2439</v>
      </c>
      <c r="K39" s="18" t="s">
        <v>21</v>
      </c>
      <c r="L39" s="18" t="s">
        <v>2435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2524</v>
      </c>
      <c r="D40" s="18" t="s">
        <v>2525</v>
      </c>
      <c r="E40" s="18" t="s">
        <v>2526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2439</v>
      </c>
      <c r="K40" s="18" t="s">
        <v>21</v>
      </c>
      <c r="L40" s="18" t="s">
        <v>2435</v>
      </c>
      <c r="M40" s="18" t="s">
        <v>398</v>
      </c>
      <c r="N40" s="18"/>
      <c r="O40" s="18"/>
      <c r="P40" s="18"/>
      <c r="Q40" s="18">
        <v>1</v>
      </c>
    </row>
    <row r="41" spans="1:17" x14ac:dyDescent="0.25">
      <c r="A41" s="18" t="s">
        <v>62</v>
      </c>
      <c r="B41" s="18" t="s">
        <v>16</v>
      </c>
      <c r="C41" s="18" t="s">
        <v>63</v>
      </c>
      <c r="D41" s="18"/>
      <c r="E41" s="18" t="s">
        <v>64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2439</v>
      </c>
      <c r="K41" s="18" t="s">
        <v>21</v>
      </c>
      <c r="L41" s="18" t="s">
        <v>2435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2527</v>
      </c>
      <c r="D42" s="18" t="s">
        <v>2528</v>
      </c>
      <c r="E42" s="18" t="s">
        <v>2529</v>
      </c>
      <c r="F42" s="18" t="s">
        <v>68</v>
      </c>
      <c r="G42" s="19">
        <v>0</v>
      </c>
      <c r="H42" s="19">
        <v>20</v>
      </c>
      <c r="I42" s="19">
        <f>-H42</f>
        <v>-20</v>
      </c>
      <c r="J42" s="18" t="s">
        <v>21</v>
      </c>
      <c r="K42" s="18" t="s">
        <v>21</v>
      </c>
      <c r="L42" s="18" t="s">
        <v>2435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2217</v>
      </c>
      <c r="D43" s="18" t="s">
        <v>2530</v>
      </c>
      <c r="E43" s="18" t="s">
        <v>2531</v>
      </c>
      <c r="F43" s="18" t="s">
        <v>153</v>
      </c>
      <c r="G43" s="19">
        <v>30</v>
      </c>
      <c r="H43" s="19">
        <v>30</v>
      </c>
      <c r="I43" s="19">
        <f t="shared" ref="I43:I48" si="2">G43-H43</f>
        <v>0</v>
      </c>
      <c r="J43" s="18" t="s">
        <v>21</v>
      </c>
      <c r="K43" s="18" t="s">
        <v>21</v>
      </c>
      <c r="L43" s="18" t="s">
        <v>2435</v>
      </c>
      <c r="M43" s="18" t="s">
        <v>49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2532</v>
      </c>
      <c r="D44" s="18" t="s">
        <v>2533</v>
      </c>
      <c r="E44" s="18" t="s">
        <v>2534</v>
      </c>
      <c r="F44" s="18" t="s">
        <v>68</v>
      </c>
      <c r="G44" s="19">
        <v>810</v>
      </c>
      <c r="H44" s="19">
        <v>20</v>
      </c>
      <c r="I44" s="19">
        <f t="shared" si="2"/>
        <v>790</v>
      </c>
      <c r="J44" s="18" t="s">
        <v>21</v>
      </c>
      <c r="K44" s="18" t="s">
        <v>21</v>
      </c>
      <c r="L44" s="18" t="s">
        <v>2435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2535</v>
      </c>
      <c r="D45" s="18" t="s">
        <v>2536</v>
      </c>
      <c r="E45" s="18" t="s">
        <v>759</v>
      </c>
      <c r="F45" s="19">
        <v>1</v>
      </c>
      <c r="G45" s="19">
        <v>815</v>
      </c>
      <c r="H45" s="19">
        <v>25</v>
      </c>
      <c r="I45" s="19">
        <f t="shared" si="2"/>
        <v>790</v>
      </c>
      <c r="J45" s="18" t="s">
        <v>21</v>
      </c>
      <c r="K45" s="18" t="s">
        <v>21</v>
      </c>
      <c r="L45" s="18" t="s">
        <v>2435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2537</v>
      </c>
      <c r="D46" s="18" t="s">
        <v>2538</v>
      </c>
      <c r="E46" s="18" t="s">
        <v>2539</v>
      </c>
      <c r="F46" s="18" t="s">
        <v>72</v>
      </c>
      <c r="G46" s="19">
        <v>1795</v>
      </c>
      <c r="H46" s="19">
        <v>25</v>
      </c>
      <c r="I46" s="19">
        <f t="shared" si="2"/>
        <v>1770</v>
      </c>
      <c r="J46" s="18" t="s">
        <v>21</v>
      </c>
      <c r="K46" s="18" t="s">
        <v>21</v>
      </c>
      <c r="L46" s="18" t="s">
        <v>2435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2540</v>
      </c>
      <c r="D47" s="18" t="s">
        <v>2541</v>
      </c>
      <c r="E47" s="18" t="s">
        <v>2542</v>
      </c>
      <c r="F47" s="19">
        <v>1</v>
      </c>
      <c r="G47" s="19">
        <v>2050</v>
      </c>
      <c r="H47" s="19">
        <v>25</v>
      </c>
      <c r="I47" s="19">
        <f t="shared" si="2"/>
        <v>2025</v>
      </c>
      <c r="J47" s="18" t="s">
        <v>21</v>
      </c>
      <c r="K47" s="18" t="s">
        <v>21</v>
      </c>
      <c r="L47" s="18" t="s">
        <v>2435</v>
      </c>
      <c r="M47" s="18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349</v>
      </c>
      <c r="D48" s="18" t="s">
        <v>2543</v>
      </c>
      <c r="E48" s="18" t="s">
        <v>949</v>
      </c>
      <c r="F48" s="18" t="s">
        <v>72</v>
      </c>
      <c r="G48" s="19">
        <v>1215</v>
      </c>
      <c r="H48" s="19">
        <v>25</v>
      </c>
      <c r="I48" s="19">
        <f t="shared" si="2"/>
        <v>1190</v>
      </c>
      <c r="J48" s="18" t="s">
        <v>21</v>
      </c>
      <c r="K48" s="18" t="s">
        <v>21</v>
      </c>
      <c r="L48" s="18" t="s">
        <v>2435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2544</v>
      </c>
      <c r="D49" s="18" t="s">
        <v>2545</v>
      </c>
      <c r="E49" s="18" t="s">
        <v>2546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2435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991</v>
      </c>
      <c r="D50" s="18" t="s">
        <v>2547</v>
      </c>
      <c r="E50" s="18" t="s">
        <v>993</v>
      </c>
      <c r="F50" s="18" t="s">
        <v>88</v>
      </c>
      <c r="G50" s="19">
        <v>1345</v>
      </c>
      <c r="H50" s="19">
        <v>25</v>
      </c>
      <c r="I50" s="19">
        <f t="shared" ref="I50:I56" si="3">G50-H50</f>
        <v>1320</v>
      </c>
      <c r="J50" s="18" t="s">
        <v>21</v>
      </c>
      <c r="K50" s="18" t="s">
        <v>21</v>
      </c>
      <c r="L50" s="18" t="s">
        <v>2435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269</v>
      </c>
      <c r="D51" s="18" t="s">
        <v>2548</v>
      </c>
      <c r="E51" s="18" t="s">
        <v>271</v>
      </c>
      <c r="F51" s="18" t="s">
        <v>85</v>
      </c>
      <c r="G51" s="19">
        <v>710</v>
      </c>
      <c r="H51" s="19">
        <v>20</v>
      </c>
      <c r="I51" s="19">
        <f t="shared" si="3"/>
        <v>690</v>
      </c>
      <c r="J51" s="18" t="s">
        <v>21</v>
      </c>
      <c r="K51" s="18" t="s">
        <v>21</v>
      </c>
      <c r="L51" s="18" t="s">
        <v>2435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1450</v>
      </c>
      <c r="D52" s="18" t="s">
        <v>2549</v>
      </c>
      <c r="E52" s="18" t="s">
        <v>2550</v>
      </c>
      <c r="F52" s="19">
        <v>2</v>
      </c>
      <c r="G52" s="19">
        <v>920</v>
      </c>
      <c r="H52" s="19">
        <v>30</v>
      </c>
      <c r="I52" s="19">
        <f t="shared" si="3"/>
        <v>890</v>
      </c>
      <c r="J52" s="18" t="s">
        <v>21</v>
      </c>
      <c r="K52" s="18" t="s">
        <v>21</v>
      </c>
      <c r="L52" s="18" t="s">
        <v>2435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2551</v>
      </c>
      <c r="D53" s="18" t="s">
        <v>2552</v>
      </c>
      <c r="E53" s="18" t="s">
        <v>2553</v>
      </c>
      <c r="F53" s="18" t="s">
        <v>72</v>
      </c>
      <c r="G53" s="19">
        <v>865</v>
      </c>
      <c r="H53" s="19">
        <v>25</v>
      </c>
      <c r="I53" s="19">
        <f t="shared" si="3"/>
        <v>840</v>
      </c>
      <c r="J53" s="18" t="s">
        <v>21</v>
      </c>
      <c r="K53" s="18" t="s">
        <v>21</v>
      </c>
      <c r="L53" s="18" t="s">
        <v>2435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628</v>
      </c>
      <c r="D54" s="18" t="s">
        <v>2554</v>
      </c>
      <c r="E54" s="18" t="s">
        <v>630</v>
      </c>
      <c r="F54" s="18" t="s">
        <v>72</v>
      </c>
      <c r="G54" s="19">
        <v>1835</v>
      </c>
      <c r="H54" s="19">
        <v>25</v>
      </c>
      <c r="I54" s="19">
        <f t="shared" si="3"/>
        <v>1810</v>
      </c>
      <c r="J54" s="18" t="s">
        <v>21</v>
      </c>
      <c r="K54" s="18" t="s">
        <v>21</v>
      </c>
      <c r="L54" s="18" t="s">
        <v>2435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2555</v>
      </c>
      <c r="D55" s="18" t="s">
        <v>2556</v>
      </c>
      <c r="E55" s="18" t="s">
        <v>2557</v>
      </c>
      <c r="F55" s="18" t="s">
        <v>88</v>
      </c>
      <c r="G55" s="19">
        <v>715</v>
      </c>
      <c r="H55" s="19">
        <v>25</v>
      </c>
      <c r="I55" s="19">
        <f t="shared" si="3"/>
        <v>690</v>
      </c>
      <c r="J55" s="18" t="s">
        <v>21</v>
      </c>
      <c r="K55" s="18" t="s">
        <v>21</v>
      </c>
      <c r="L55" s="18" t="s">
        <v>2435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2558</v>
      </c>
      <c r="D56" s="18" t="s">
        <v>2559</v>
      </c>
      <c r="E56" s="18" t="s">
        <v>2560</v>
      </c>
      <c r="F56" s="18" t="s">
        <v>68</v>
      </c>
      <c r="G56" s="19">
        <v>680</v>
      </c>
      <c r="H56" s="19">
        <v>20</v>
      </c>
      <c r="I56" s="19">
        <f t="shared" si="3"/>
        <v>660</v>
      </c>
      <c r="J56" s="18" t="s">
        <v>21</v>
      </c>
      <c r="K56" s="18" t="s">
        <v>21</v>
      </c>
      <c r="L56" s="18" t="s">
        <v>2435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2561</v>
      </c>
      <c r="D57" s="18" t="s">
        <v>2562</v>
      </c>
      <c r="E57" s="18" t="s">
        <v>2563</v>
      </c>
      <c r="F57" s="18" t="s">
        <v>72</v>
      </c>
      <c r="G57" s="19">
        <v>0</v>
      </c>
      <c r="H57" s="19">
        <v>25</v>
      </c>
      <c r="I57" s="19">
        <f>-H57</f>
        <v>-25</v>
      </c>
      <c r="J57" s="18" t="s">
        <v>21</v>
      </c>
      <c r="K57" s="18" t="s">
        <v>21</v>
      </c>
      <c r="L57" s="18" t="s">
        <v>2435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2564</v>
      </c>
      <c r="D58" s="18" t="s">
        <v>2565</v>
      </c>
      <c r="E58" s="18" t="s">
        <v>2566</v>
      </c>
      <c r="F58" s="18" t="s">
        <v>85</v>
      </c>
      <c r="G58" s="19">
        <v>710</v>
      </c>
      <c r="H58" s="19">
        <v>20</v>
      </c>
      <c r="I58" s="19">
        <f t="shared" ref="I58:I66" si="4">G58-H58</f>
        <v>690</v>
      </c>
      <c r="J58" s="18" t="s">
        <v>21</v>
      </c>
      <c r="K58" s="18" t="s">
        <v>21</v>
      </c>
      <c r="L58" s="18" t="s">
        <v>2435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2567</v>
      </c>
      <c r="D59" s="18" t="s">
        <v>2568</v>
      </c>
      <c r="E59" s="18" t="s">
        <v>2569</v>
      </c>
      <c r="F59" s="18" t="s">
        <v>72</v>
      </c>
      <c r="G59" s="19">
        <v>1145</v>
      </c>
      <c r="H59" s="19">
        <v>25</v>
      </c>
      <c r="I59" s="19">
        <f t="shared" si="4"/>
        <v>1120</v>
      </c>
      <c r="J59" s="18" t="s">
        <v>21</v>
      </c>
      <c r="K59" s="18" t="s">
        <v>21</v>
      </c>
      <c r="L59" s="18" t="s">
        <v>2435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1740</v>
      </c>
      <c r="D60" s="18" t="s">
        <v>2570</v>
      </c>
      <c r="E60" s="18" t="s">
        <v>1511</v>
      </c>
      <c r="F60" s="18" t="s">
        <v>72</v>
      </c>
      <c r="G60" s="19">
        <v>765</v>
      </c>
      <c r="H60" s="19">
        <v>25</v>
      </c>
      <c r="I60" s="19">
        <f t="shared" si="4"/>
        <v>740</v>
      </c>
      <c r="J60" s="18" t="s">
        <v>21</v>
      </c>
      <c r="K60" s="18" t="s">
        <v>21</v>
      </c>
      <c r="L60" s="18" t="s">
        <v>2435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291</v>
      </c>
      <c r="D61" s="18" t="s">
        <v>2571</v>
      </c>
      <c r="E61" s="18" t="s">
        <v>2572</v>
      </c>
      <c r="F61" s="19">
        <v>2</v>
      </c>
      <c r="G61" s="19">
        <v>1460</v>
      </c>
      <c r="H61" s="19">
        <v>30</v>
      </c>
      <c r="I61" s="19">
        <f t="shared" si="4"/>
        <v>1430</v>
      </c>
      <c r="J61" s="18" t="s">
        <v>21</v>
      </c>
      <c r="K61" s="18" t="s">
        <v>21</v>
      </c>
      <c r="L61" s="18" t="s">
        <v>2435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1628</v>
      </c>
      <c r="D62" s="18" t="s">
        <v>2573</v>
      </c>
      <c r="E62" s="18" t="s">
        <v>2574</v>
      </c>
      <c r="F62" s="18" t="s">
        <v>68</v>
      </c>
      <c r="G62" s="19">
        <v>680</v>
      </c>
      <c r="H62" s="19">
        <v>20</v>
      </c>
      <c r="I62" s="19">
        <f t="shared" si="4"/>
        <v>660</v>
      </c>
      <c r="J62" s="18" t="s">
        <v>21</v>
      </c>
      <c r="K62" s="18" t="s">
        <v>21</v>
      </c>
      <c r="L62" s="18" t="s">
        <v>2435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125</v>
      </c>
      <c r="D63" s="18" t="s">
        <v>2575</v>
      </c>
      <c r="E63" s="18" t="s">
        <v>2576</v>
      </c>
      <c r="F63" s="19">
        <v>2</v>
      </c>
      <c r="G63" s="19">
        <v>1050</v>
      </c>
      <c r="H63" s="19">
        <v>30</v>
      </c>
      <c r="I63" s="19">
        <f t="shared" si="4"/>
        <v>1020</v>
      </c>
      <c r="J63" s="18" t="s">
        <v>21</v>
      </c>
      <c r="K63" s="18" t="s">
        <v>21</v>
      </c>
      <c r="L63" s="18" t="s">
        <v>2435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640</v>
      </c>
      <c r="D64" s="18"/>
      <c r="E64" s="18" t="s">
        <v>1257</v>
      </c>
      <c r="F64" s="18" t="s">
        <v>72</v>
      </c>
      <c r="G64" s="19">
        <v>7270</v>
      </c>
      <c r="H64" s="19">
        <v>30</v>
      </c>
      <c r="I64" s="19">
        <f t="shared" si="4"/>
        <v>7240</v>
      </c>
      <c r="J64" s="18" t="s">
        <v>21</v>
      </c>
      <c r="K64" s="18" t="s">
        <v>21</v>
      </c>
      <c r="L64" s="18" t="s">
        <v>2435</v>
      </c>
      <c r="M64" s="18" t="s">
        <v>398</v>
      </c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1649</v>
      </c>
      <c r="D65" s="18"/>
      <c r="E65" s="18" t="s">
        <v>1650</v>
      </c>
      <c r="F65" s="18" t="s">
        <v>72</v>
      </c>
      <c r="G65" s="19">
        <v>40</v>
      </c>
      <c r="H65" s="19">
        <v>40</v>
      </c>
      <c r="I65" s="19">
        <f t="shared" si="4"/>
        <v>0</v>
      </c>
      <c r="J65" s="18" t="s">
        <v>21</v>
      </c>
      <c r="K65" s="18" t="s">
        <v>21</v>
      </c>
      <c r="L65" s="18" t="s">
        <v>2435</v>
      </c>
      <c r="M65" s="18"/>
      <c r="N65" s="18"/>
      <c r="O65" s="18"/>
      <c r="P65" s="18"/>
      <c r="Q65" s="18">
        <v>1</v>
      </c>
    </row>
    <row r="66" spans="1:17" x14ac:dyDescent="0.25">
      <c r="A66" s="18" t="s">
        <v>62</v>
      </c>
      <c r="B66" s="18" t="s">
        <v>16</v>
      </c>
      <c r="C66" s="18" t="s">
        <v>2577</v>
      </c>
      <c r="D66" s="18"/>
      <c r="E66" s="18" t="s">
        <v>2578</v>
      </c>
      <c r="F66" s="18" t="s">
        <v>68</v>
      </c>
      <c r="G66" s="18">
        <v>0</v>
      </c>
      <c r="H66" s="18">
        <v>25</v>
      </c>
      <c r="I66" s="19">
        <f t="shared" si="4"/>
        <v>-25</v>
      </c>
      <c r="J66" s="18" t="s">
        <v>21</v>
      </c>
      <c r="K66" s="18" t="s">
        <v>21</v>
      </c>
      <c r="L66" s="18" t="s">
        <v>2435</v>
      </c>
      <c r="M66" s="18"/>
      <c r="N66" s="18"/>
      <c r="O66" s="18"/>
      <c r="P66" s="18"/>
      <c r="Q66" s="18">
        <v>1</v>
      </c>
    </row>
    <row r="68" spans="1:17" x14ac:dyDescent="0.25">
      <c r="D68" s="1">
        <f>COUNTA(D3:D66)</f>
        <v>60</v>
      </c>
      <c r="G68" s="1">
        <f t="shared" ref="G68:Q68" si="5">SUBTOTAL(9,G3:G66)</f>
        <v>52235</v>
      </c>
      <c r="H68" s="1">
        <f t="shared" si="5"/>
        <v>1695</v>
      </c>
      <c r="I68" s="1">
        <f t="shared" si="5"/>
        <v>50540</v>
      </c>
      <c r="J68" s="1">
        <f t="shared" si="5"/>
        <v>0</v>
      </c>
      <c r="K68" s="1">
        <f t="shared" si="5"/>
        <v>0</v>
      </c>
      <c r="L68" s="1">
        <f t="shared" si="5"/>
        <v>0</v>
      </c>
      <c r="M68" s="1">
        <f t="shared" si="5"/>
        <v>0</v>
      </c>
      <c r="N68" s="1">
        <f t="shared" si="5"/>
        <v>0</v>
      </c>
      <c r="O68" s="1">
        <f t="shared" si="5"/>
        <v>0</v>
      </c>
      <c r="P68" s="1">
        <f t="shared" si="5"/>
        <v>0</v>
      </c>
      <c r="Q68" s="1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-5*25</f>
        <v>-125</v>
      </c>
      <c r="K70" s="7" t="s">
        <v>2439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2435</v>
      </c>
      <c r="B71" s="3" t="s">
        <v>93</v>
      </c>
      <c r="C71" s="48">
        <f>SUMIFS(I$3:I$66,B$3:B$66,A$70,L$3:L$66,A$71)</f>
        <v>50540</v>
      </c>
      <c r="D71" s="48"/>
      <c r="E71" s="3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2579</v>
      </c>
      <c r="P71">
        <f>L76</f>
        <v>24613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26266</v>
      </c>
    </row>
    <row r="73" spans="1:17" x14ac:dyDescent="0.25">
      <c r="B73" s="2" t="s">
        <v>99</v>
      </c>
      <c r="C73" s="49">
        <f>-SUMIFS(I$3:I$66,B$3:B$66,A$70,P$3:P$66,"xx",N$3:N$66,"x")</f>
        <v>0</v>
      </c>
      <c r="D73" s="49"/>
      <c r="E73" s="2">
        <f>SUMIFS(Q$3:Q$66,B$3:B$66,A$70,P$3:P$66,"xx",N$3:N$66,"x")</f>
        <v>0</v>
      </c>
      <c r="H73">
        <v>26266</v>
      </c>
      <c r="K73" t="s">
        <v>100</v>
      </c>
      <c r="O73" t="s">
        <v>20</v>
      </c>
      <c r="P73">
        <f>L92</f>
        <v>-25</v>
      </c>
    </row>
    <row r="74" spans="1:17" x14ac:dyDescent="0.25">
      <c r="B74" s="4" t="s">
        <v>101</v>
      </c>
      <c r="C74" s="47">
        <f>SUBTOTAL(9,C71:C73)</f>
        <v>50540</v>
      </c>
      <c r="D74" s="47"/>
      <c r="E74">
        <f>E71</f>
        <v>64</v>
      </c>
      <c r="H74">
        <v>26221</v>
      </c>
      <c r="K74" s="2" t="s">
        <v>102</v>
      </c>
      <c r="O74" t="s">
        <v>103</v>
      </c>
      <c r="P74">
        <f>-C78</f>
        <v>-50540</v>
      </c>
    </row>
    <row r="75" spans="1:17" x14ac:dyDescent="0.25">
      <c r="B75" s="2" t="s">
        <v>104</v>
      </c>
      <c r="C75" s="45"/>
      <c r="D75" s="45"/>
      <c r="G75" s="10" t="s">
        <v>2580</v>
      </c>
      <c r="H75">
        <f>H73-H74</f>
        <v>45</v>
      </c>
      <c r="K75" s="2" t="s">
        <v>105</v>
      </c>
      <c r="O75" s="4" t="s">
        <v>106</v>
      </c>
      <c r="P75" s="4">
        <f>SUBTOTAL(9,P71:P74)</f>
        <v>314</v>
      </c>
    </row>
    <row r="76" spans="1:17" x14ac:dyDescent="0.25">
      <c r="B76" s="8" t="s">
        <v>107</v>
      </c>
      <c r="C76" s="45"/>
      <c r="D76" s="45"/>
      <c r="L76" s="9">
        <f>SUBTOTAL(9,L71:L75)</f>
        <v>24613</v>
      </c>
      <c r="M76" s="9">
        <f>M71</f>
        <v>36</v>
      </c>
    </row>
    <row r="78" spans="1:17" x14ac:dyDescent="0.25">
      <c r="B78" s="1" t="s">
        <v>108</v>
      </c>
      <c r="C78" s="46">
        <f>C74+C75+C76</f>
        <v>50540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26905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-515</v>
      </c>
      <c r="M80">
        <f>SUMIFS(Q$3:Q$66,J$3:J$66,K$78)-COUNTIFS(J$3:J$66,K$78,M$3:M$66,"*gộp*")</f>
        <v>25</v>
      </c>
    </row>
    <row r="81" spans="7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7:13" x14ac:dyDescent="0.25">
      <c r="K82" s="2" t="s">
        <v>102</v>
      </c>
    </row>
    <row r="83" spans="7:13" x14ac:dyDescent="0.25">
      <c r="K83" s="2" t="s">
        <v>105</v>
      </c>
    </row>
    <row r="84" spans="7:13" x14ac:dyDescent="0.25">
      <c r="L84" s="9">
        <f>SUBTOTAL(9,L79:L83)</f>
        <v>26266</v>
      </c>
      <c r="M84" s="9">
        <f>M79</f>
        <v>25</v>
      </c>
    </row>
    <row r="85" spans="7:13" x14ac:dyDescent="0.25">
      <c r="G85" s="10"/>
    </row>
    <row r="86" spans="7:13" x14ac:dyDescent="0.25">
      <c r="K86" s="7" t="s">
        <v>20</v>
      </c>
      <c r="L86" s="7" t="s">
        <v>91</v>
      </c>
      <c r="M86" s="7" t="s">
        <v>90</v>
      </c>
    </row>
    <row r="87" spans="7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7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7:13" x14ac:dyDescent="0.25">
      <c r="K89" t="s">
        <v>100</v>
      </c>
    </row>
    <row r="90" spans="7:13" x14ac:dyDescent="0.25">
      <c r="K90" s="2" t="s">
        <v>102</v>
      </c>
    </row>
    <row r="91" spans="7:13" x14ac:dyDescent="0.25">
      <c r="K91" s="2" t="s">
        <v>105</v>
      </c>
    </row>
    <row r="92" spans="7:13" x14ac:dyDescent="0.25">
      <c r="L92" s="9">
        <f>SUBTOTAL(9,L87:L91)</f>
        <v>-25</v>
      </c>
      <c r="M92" s="9">
        <f>M87</f>
        <v>1</v>
      </c>
    </row>
  </sheetData>
  <autoFilter ref="A2:P66" xr:uid="{00000000-0009-0000-0000-000014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Q81"/>
  <sheetViews>
    <sheetView topLeftCell="A48" workbookViewId="0">
      <selection activeCell="K80" sqref="K80"/>
    </sheetView>
  </sheetViews>
  <sheetFormatPr defaultRowHeight="15" x14ac:dyDescent="0.25"/>
  <cols>
    <col min="1" max="1" width="12.7109375" customWidth="1"/>
    <col min="2" max="2" width="17.7109375" customWidth="1"/>
    <col min="3" max="3" width="36.42578125" customWidth="1"/>
    <col min="4" max="4" width="9.85546875" customWidth="1"/>
    <col min="5" max="5" width="73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2.71093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2025</v>
      </c>
      <c r="D3" s="18" t="s">
        <v>2581</v>
      </c>
      <c r="E3" s="18" t="s">
        <v>2582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2583</v>
      </c>
      <c r="M3" s="25" t="s">
        <v>2584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707</v>
      </c>
      <c r="D4" s="18" t="s">
        <v>2585</v>
      </c>
      <c r="E4" s="18" t="s">
        <v>709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2586</v>
      </c>
      <c r="K4" s="18" t="s">
        <v>21</v>
      </c>
      <c r="L4" s="18" t="s">
        <v>2583</v>
      </c>
      <c r="M4" s="25" t="s">
        <v>312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707</v>
      </c>
      <c r="D5" s="18" t="s">
        <v>2587</v>
      </c>
      <c r="E5" s="18" t="s">
        <v>2588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2586</v>
      </c>
      <c r="K5" s="18" t="s">
        <v>21</v>
      </c>
      <c r="L5" s="18" t="s">
        <v>2583</v>
      </c>
      <c r="M5" s="25" t="s">
        <v>312</v>
      </c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2589</v>
      </c>
      <c r="D6" s="18" t="s">
        <v>2590</v>
      </c>
      <c r="E6" s="18" t="s">
        <v>2591</v>
      </c>
      <c r="F6" s="18" t="s">
        <v>217</v>
      </c>
      <c r="G6" s="19">
        <v>775</v>
      </c>
      <c r="H6" s="19">
        <v>25</v>
      </c>
      <c r="I6" s="19">
        <f t="shared" ref="I6:I11" si="0">G6-H6</f>
        <v>750</v>
      </c>
      <c r="J6" s="18" t="s">
        <v>2586</v>
      </c>
      <c r="K6" s="18" t="s">
        <v>21</v>
      </c>
      <c r="L6" s="18" t="s">
        <v>2583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2592</v>
      </c>
      <c r="D7" s="18" t="s">
        <v>2593</v>
      </c>
      <c r="E7" s="18" t="s">
        <v>2594</v>
      </c>
      <c r="F7" s="18" t="s">
        <v>217</v>
      </c>
      <c r="G7" s="19">
        <v>375</v>
      </c>
      <c r="H7" s="19">
        <v>25</v>
      </c>
      <c r="I7" s="19">
        <f t="shared" si="0"/>
        <v>350</v>
      </c>
      <c r="J7" s="18" t="s">
        <v>2586</v>
      </c>
      <c r="K7" s="18" t="s">
        <v>21</v>
      </c>
      <c r="L7" s="18" t="s">
        <v>2583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110</v>
      </c>
      <c r="D8" s="18" t="s">
        <v>2595</v>
      </c>
      <c r="E8" s="18" t="s">
        <v>2596</v>
      </c>
      <c r="F8" s="18" t="s">
        <v>26</v>
      </c>
      <c r="G8" s="19">
        <v>750</v>
      </c>
      <c r="H8" s="19">
        <v>30</v>
      </c>
      <c r="I8" s="19">
        <f t="shared" si="0"/>
        <v>720</v>
      </c>
      <c r="J8" s="18" t="s">
        <v>2586</v>
      </c>
      <c r="K8" s="18" t="s">
        <v>21</v>
      </c>
      <c r="L8" s="18" t="s">
        <v>2583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2597</v>
      </c>
      <c r="D9" s="18" t="s">
        <v>2598</v>
      </c>
      <c r="E9" s="18" t="s">
        <v>2599</v>
      </c>
      <c r="F9" s="18" t="s">
        <v>128</v>
      </c>
      <c r="G9" s="19">
        <v>775</v>
      </c>
      <c r="H9" s="19">
        <v>35</v>
      </c>
      <c r="I9" s="19">
        <f t="shared" si="0"/>
        <v>740</v>
      </c>
      <c r="J9" s="18" t="s">
        <v>2586</v>
      </c>
      <c r="K9" s="18" t="s">
        <v>21</v>
      </c>
      <c r="L9" s="18" t="s">
        <v>2583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687</v>
      </c>
      <c r="D10" s="18" t="s">
        <v>2600</v>
      </c>
      <c r="E10" s="18" t="s">
        <v>2601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2586</v>
      </c>
      <c r="K10" s="18" t="s">
        <v>21</v>
      </c>
      <c r="L10" s="18" t="s">
        <v>2583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2602</v>
      </c>
      <c r="D11" s="18" t="s">
        <v>2603</v>
      </c>
      <c r="E11" s="18" t="s">
        <v>2604</v>
      </c>
      <c r="F11" s="18" t="s">
        <v>217</v>
      </c>
      <c r="G11" s="19">
        <v>1455</v>
      </c>
      <c r="H11" s="19">
        <v>25</v>
      </c>
      <c r="I11" s="19">
        <f t="shared" si="0"/>
        <v>1430</v>
      </c>
      <c r="J11" s="18" t="s">
        <v>2586</v>
      </c>
      <c r="K11" s="18" t="s">
        <v>21</v>
      </c>
      <c r="L11" s="18" t="s">
        <v>2583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2605</v>
      </c>
      <c r="D12" s="18" t="s">
        <v>2606</v>
      </c>
      <c r="E12" s="18" t="s">
        <v>2607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2586</v>
      </c>
      <c r="K12" s="18" t="s">
        <v>21</v>
      </c>
      <c r="L12" s="18" t="s">
        <v>2583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2608</v>
      </c>
      <c r="E13" s="18" t="s">
        <v>1874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2586</v>
      </c>
      <c r="K13" s="18" t="s">
        <v>21</v>
      </c>
      <c r="L13" s="18" t="s">
        <v>2583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2609</v>
      </c>
      <c r="D14" s="18" t="s">
        <v>2610</v>
      </c>
      <c r="E14" s="18" t="s">
        <v>2611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2586</v>
      </c>
      <c r="K14" s="18" t="s">
        <v>21</v>
      </c>
      <c r="L14" s="18" t="s">
        <v>2583</v>
      </c>
      <c r="M14" s="25" t="s">
        <v>2612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1559</v>
      </c>
      <c r="D15" s="18" t="s">
        <v>2613</v>
      </c>
      <c r="E15" s="18" t="s">
        <v>1561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2586</v>
      </c>
      <c r="K15" s="18" t="s">
        <v>21</v>
      </c>
      <c r="L15" s="18" t="s">
        <v>2583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1556</v>
      </c>
      <c r="D16" s="18" t="s">
        <v>2614</v>
      </c>
      <c r="E16" s="18" t="s">
        <v>1558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2586</v>
      </c>
      <c r="K16" s="18" t="s">
        <v>21</v>
      </c>
      <c r="L16" s="18" t="s">
        <v>2583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1295</v>
      </c>
      <c r="D17" s="18" t="s">
        <v>2615</v>
      </c>
      <c r="E17" s="18" t="s">
        <v>1297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2586</v>
      </c>
      <c r="K17" s="18" t="s">
        <v>21</v>
      </c>
      <c r="L17" s="18" t="s">
        <v>2583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2616</v>
      </c>
      <c r="D18" s="18" t="s">
        <v>2617</v>
      </c>
      <c r="E18" s="18" t="s">
        <v>2618</v>
      </c>
      <c r="F18" s="18" t="s">
        <v>88</v>
      </c>
      <c r="G18" s="19">
        <v>25</v>
      </c>
      <c r="H18" s="19">
        <v>25</v>
      </c>
      <c r="I18" s="19">
        <f>G18-H18</f>
        <v>0</v>
      </c>
      <c r="J18" s="18" t="s">
        <v>2586</v>
      </c>
      <c r="K18" s="18" t="s">
        <v>21</v>
      </c>
      <c r="L18" s="18" t="s">
        <v>2583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2619</v>
      </c>
      <c r="D19" s="18" t="s">
        <v>2620</v>
      </c>
      <c r="E19" s="18" t="s">
        <v>1216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2586</v>
      </c>
      <c r="K19" s="18" t="s">
        <v>21</v>
      </c>
      <c r="L19" s="18" t="s">
        <v>2583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2621</v>
      </c>
      <c r="D20" s="18" t="s">
        <v>2622</v>
      </c>
      <c r="E20" s="18" t="s">
        <v>2623</v>
      </c>
      <c r="F20" s="18" t="s">
        <v>259</v>
      </c>
      <c r="G20" s="19">
        <v>1915</v>
      </c>
      <c r="H20" s="19">
        <v>35</v>
      </c>
      <c r="I20" s="19">
        <f>G20-H20</f>
        <v>1880</v>
      </c>
      <c r="J20" s="18" t="s">
        <v>2586</v>
      </c>
      <c r="K20" s="18" t="s">
        <v>21</v>
      </c>
      <c r="L20" s="18" t="s">
        <v>2583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1289</v>
      </c>
      <c r="D21" s="18" t="s">
        <v>2624</v>
      </c>
      <c r="E21" s="18" t="s">
        <v>2625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2586</v>
      </c>
      <c r="K21" s="18" t="s">
        <v>21</v>
      </c>
      <c r="L21" s="18" t="s">
        <v>2583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1600</v>
      </c>
      <c r="D22" s="18" t="s">
        <v>2626</v>
      </c>
      <c r="E22" s="18" t="s">
        <v>2627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2586</v>
      </c>
      <c r="K22" s="18" t="s">
        <v>21</v>
      </c>
      <c r="L22" s="18" t="s">
        <v>2583</v>
      </c>
      <c r="M22" s="18"/>
      <c r="N22" s="18"/>
      <c r="O22" s="18"/>
      <c r="P22" s="18"/>
      <c r="Q22" s="18">
        <v>1</v>
      </c>
    </row>
    <row r="23" spans="1:17" s="42" customFormat="1" x14ac:dyDescent="0.25">
      <c r="A23" s="40"/>
      <c r="B23" s="40" t="s">
        <v>16</v>
      </c>
      <c r="C23" s="40" t="s">
        <v>2628</v>
      </c>
      <c r="D23" s="40" t="s">
        <v>2629</v>
      </c>
      <c r="E23" s="40" t="s">
        <v>2630</v>
      </c>
      <c r="F23" s="41">
        <v>8</v>
      </c>
      <c r="G23" s="41">
        <v>30</v>
      </c>
      <c r="H23" s="41">
        <v>30</v>
      </c>
      <c r="I23" s="41">
        <f>G23-H23</f>
        <v>0</v>
      </c>
      <c r="J23" s="40" t="s">
        <v>2586</v>
      </c>
      <c r="K23" s="40" t="s">
        <v>21</v>
      </c>
      <c r="L23" s="40" t="s">
        <v>2583</v>
      </c>
      <c r="M23" s="40" t="s">
        <v>49</v>
      </c>
      <c r="N23" s="40"/>
      <c r="O23" s="40"/>
      <c r="P23" s="40"/>
      <c r="Q23" s="40">
        <v>1</v>
      </c>
    </row>
    <row r="24" spans="1:17" x14ac:dyDescent="0.25">
      <c r="A24" s="18"/>
      <c r="B24" s="18" t="s">
        <v>16</v>
      </c>
      <c r="C24" s="18" t="s">
        <v>2631</v>
      </c>
      <c r="D24" s="18" t="s">
        <v>2632</v>
      </c>
      <c r="E24" s="18" t="s">
        <v>2633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2586</v>
      </c>
      <c r="K24" s="18" t="s">
        <v>21</v>
      </c>
      <c r="L24" s="18" t="s">
        <v>2583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2508</v>
      </c>
      <c r="D25" s="40" t="s">
        <v>2634</v>
      </c>
      <c r="E25" s="40" t="s">
        <v>2635</v>
      </c>
      <c r="F25" s="41">
        <v>10</v>
      </c>
      <c r="G25" s="41">
        <v>0</v>
      </c>
      <c r="H25" s="41">
        <v>25</v>
      </c>
      <c r="I25" s="41">
        <f>-H25</f>
        <v>-25</v>
      </c>
      <c r="J25" s="40" t="s">
        <v>2586</v>
      </c>
      <c r="K25" s="40" t="s">
        <v>21</v>
      </c>
      <c r="L25" s="40" t="s">
        <v>2583</v>
      </c>
      <c r="M25" s="40" t="s">
        <v>49</v>
      </c>
      <c r="N25" s="40"/>
      <c r="O25" s="40"/>
      <c r="P25" s="40"/>
      <c r="Q25" s="40">
        <v>1</v>
      </c>
    </row>
    <row r="26" spans="1:17" s="42" customFormat="1" x14ac:dyDescent="0.25">
      <c r="A26" s="40"/>
      <c r="B26" s="40" t="s">
        <v>16</v>
      </c>
      <c r="C26" s="40" t="s">
        <v>2193</v>
      </c>
      <c r="D26" s="40" t="s">
        <v>2636</v>
      </c>
      <c r="E26" s="40" t="s">
        <v>2195</v>
      </c>
      <c r="F26" s="40" t="s">
        <v>128</v>
      </c>
      <c r="G26" s="41">
        <v>35</v>
      </c>
      <c r="H26" s="41">
        <v>35</v>
      </c>
      <c r="I26" s="41">
        <f t="shared" ref="I26:I37" si="1">G26-H26</f>
        <v>0</v>
      </c>
      <c r="J26" s="40" t="s">
        <v>2586</v>
      </c>
      <c r="K26" s="40" t="s">
        <v>21</v>
      </c>
      <c r="L26" s="40" t="s">
        <v>2583</v>
      </c>
      <c r="M26" s="40" t="s">
        <v>49</v>
      </c>
      <c r="N26" s="40"/>
      <c r="O26" s="40"/>
      <c r="P26" s="40"/>
      <c r="Q26" s="40">
        <v>1</v>
      </c>
    </row>
    <row r="27" spans="1:17" x14ac:dyDescent="0.25">
      <c r="A27" s="18"/>
      <c r="B27" s="18" t="s">
        <v>16</v>
      </c>
      <c r="C27" s="18" t="s">
        <v>2637</v>
      </c>
      <c r="D27" s="18" t="s">
        <v>2638</v>
      </c>
      <c r="E27" s="18" t="s">
        <v>2639</v>
      </c>
      <c r="F27" s="19">
        <v>6</v>
      </c>
      <c r="G27" s="19">
        <v>815</v>
      </c>
      <c r="H27" s="19">
        <v>25</v>
      </c>
      <c r="I27" s="19">
        <f t="shared" si="1"/>
        <v>790</v>
      </c>
      <c r="J27" s="18" t="s">
        <v>2586</v>
      </c>
      <c r="K27" s="18" t="s">
        <v>21</v>
      </c>
      <c r="L27" s="18" t="s">
        <v>2583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506</v>
      </c>
      <c r="D28" s="18" t="s">
        <v>2640</v>
      </c>
      <c r="E28" s="18" t="s">
        <v>508</v>
      </c>
      <c r="F28" s="19">
        <v>7</v>
      </c>
      <c r="G28" s="19">
        <v>690</v>
      </c>
      <c r="H28" s="19">
        <v>30</v>
      </c>
      <c r="I28" s="19">
        <f t="shared" si="1"/>
        <v>660</v>
      </c>
      <c r="J28" s="18" t="s">
        <v>2586</v>
      </c>
      <c r="K28" s="18" t="s">
        <v>21</v>
      </c>
      <c r="L28" s="18" t="s">
        <v>2583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2641</v>
      </c>
      <c r="D29" s="18" t="s">
        <v>2642</v>
      </c>
      <c r="E29" s="18" t="s">
        <v>2643</v>
      </c>
      <c r="F29" s="19">
        <v>1</v>
      </c>
      <c r="G29" s="19">
        <v>695</v>
      </c>
      <c r="H29" s="19">
        <v>25</v>
      </c>
      <c r="I29" s="19">
        <f t="shared" si="1"/>
        <v>670</v>
      </c>
      <c r="J29" s="18" t="s">
        <v>2586</v>
      </c>
      <c r="K29" s="18" t="s">
        <v>21</v>
      </c>
      <c r="L29" s="18" t="s">
        <v>2583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2644</v>
      </c>
      <c r="D30" s="18" t="s">
        <v>2645</v>
      </c>
      <c r="E30" s="18" t="s">
        <v>2646</v>
      </c>
      <c r="F30" s="19">
        <v>6</v>
      </c>
      <c r="G30" s="19">
        <v>815</v>
      </c>
      <c r="H30" s="19">
        <v>25</v>
      </c>
      <c r="I30" s="19">
        <f t="shared" si="1"/>
        <v>790</v>
      </c>
      <c r="J30" s="18" t="s">
        <v>2586</v>
      </c>
      <c r="K30" s="18" t="s">
        <v>21</v>
      </c>
      <c r="L30" s="18" t="s">
        <v>2583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2647</v>
      </c>
      <c r="D31" s="18" t="s">
        <v>2648</v>
      </c>
      <c r="E31" s="18" t="s">
        <v>2649</v>
      </c>
      <c r="F31" s="18" t="s">
        <v>26</v>
      </c>
      <c r="G31" s="19">
        <v>690</v>
      </c>
      <c r="H31" s="19">
        <v>30</v>
      </c>
      <c r="I31" s="19">
        <f t="shared" si="1"/>
        <v>660</v>
      </c>
      <c r="J31" s="18" t="s">
        <v>2586</v>
      </c>
      <c r="K31" s="18" t="s">
        <v>21</v>
      </c>
      <c r="L31" s="18" t="s">
        <v>2583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2650</v>
      </c>
      <c r="D32" s="18" t="s">
        <v>2651</v>
      </c>
      <c r="E32" s="18" t="s">
        <v>801</v>
      </c>
      <c r="F32" s="19">
        <v>6</v>
      </c>
      <c r="G32" s="19">
        <v>815</v>
      </c>
      <c r="H32" s="19">
        <v>25</v>
      </c>
      <c r="I32" s="19">
        <f t="shared" si="1"/>
        <v>790</v>
      </c>
      <c r="J32" s="18" t="s">
        <v>2586</v>
      </c>
      <c r="K32" s="18" t="s">
        <v>21</v>
      </c>
      <c r="L32" s="18" t="s">
        <v>2583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2652</v>
      </c>
      <c r="D33" s="18" t="s">
        <v>2653</v>
      </c>
      <c r="E33" s="18" t="s">
        <v>2654</v>
      </c>
      <c r="F33" s="18" t="s">
        <v>128</v>
      </c>
      <c r="G33" s="19">
        <v>345</v>
      </c>
      <c r="H33" s="19">
        <v>35</v>
      </c>
      <c r="I33" s="19">
        <f t="shared" si="1"/>
        <v>310</v>
      </c>
      <c r="J33" s="18" t="s">
        <v>2586</v>
      </c>
      <c r="K33" s="18" t="s">
        <v>21</v>
      </c>
      <c r="L33" s="18" t="s">
        <v>2583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2655</v>
      </c>
      <c r="D34" s="18" t="s">
        <v>2656</v>
      </c>
      <c r="E34" s="18" t="s">
        <v>2657</v>
      </c>
      <c r="F34" s="19">
        <v>10</v>
      </c>
      <c r="G34" s="19">
        <v>875</v>
      </c>
      <c r="H34" s="19">
        <v>25</v>
      </c>
      <c r="I34" s="19">
        <f t="shared" si="1"/>
        <v>850</v>
      </c>
      <c r="J34" s="18" t="s">
        <v>2586</v>
      </c>
      <c r="K34" s="18" t="s">
        <v>21</v>
      </c>
      <c r="L34" s="18" t="s">
        <v>2583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2658</v>
      </c>
      <c r="D35" s="18" t="s">
        <v>2659</v>
      </c>
      <c r="E35" s="18" t="s">
        <v>2660</v>
      </c>
      <c r="F35" s="19">
        <v>8</v>
      </c>
      <c r="G35" s="19">
        <v>690</v>
      </c>
      <c r="H35" s="19">
        <v>30</v>
      </c>
      <c r="I35" s="19">
        <f t="shared" si="1"/>
        <v>660</v>
      </c>
      <c r="J35" s="18" t="s">
        <v>2586</v>
      </c>
      <c r="K35" s="18" t="s">
        <v>21</v>
      </c>
      <c r="L35" s="18" t="s">
        <v>2583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2661</v>
      </c>
      <c r="D36" s="18" t="s">
        <v>2662</v>
      </c>
      <c r="E36" s="18" t="s">
        <v>2663</v>
      </c>
      <c r="F36" s="19">
        <v>5</v>
      </c>
      <c r="G36" s="19">
        <v>925</v>
      </c>
      <c r="H36" s="19">
        <v>25</v>
      </c>
      <c r="I36" s="19">
        <f t="shared" si="1"/>
        <v>900</v>
      </c>
      <c r="J36" s="18" t="s">
        <v>2586</v>
      </c>
      <c r="K36" s="18" t="s">
        <v>21</v>
      </c>
      <c r="L36" s="18" t="s">
        <v>2583</v>
      </c>
      <c r="M36" s="18"/>
      <c r="N36" s="18"/>
      <c r="O36" s="18"/>
      <c r="P36" s="18"/>
      <c r="Q36" s="18">
        <v>1</v>
      </c>
    </row>
    <row r="37" spans="1:17" s="42" customFormat="1" x14ac:dyDescent="0.25">
      <c r="A37" s="40"/>
      <c r="B37" s="40" t="s">
        <v>16</v>
      </c>
      <c r="C37" s="40" t="s">
        <v>2664</v>
      </c>
      <c r="D37" s="40" t="s">
        <v>2665</v>
      </c>
      <c r="E37" s="40" t="s">
        <v>2666</v>
      </c>
      <c r="F37" s="40" t="s">
        <v>153</v>
      </c>
      <c r="G37" s="41">
        <v>690</v>
      </c>
      <c r="H37" s="41">
        <v>30</v>
      </c>
      <c r="I37" s="41">
        <f t="shared" si="1"/>
        <v>660</v>
      </c>
      <c r="J37" s="40" t="s">
        <v>21</v>
      </c>
      <c r="K37" s="40" t="s">
        <v>21</v>
      </c>
      <c r="L37" s="40" t="s">
        <v>2583</v>
      </c>
      <c r="M37" s="40" t="s">
        <v>49</v>
      </c>
      <c r="N37" s="40"/>
      <c r="O37" s="40"/>
      <c r="P37" s="40"/>
      <c r="Q37" s="40">
        <v>1</v>
      </c>
    </row>
    <row r="38" spans="1:17" x14ac:dyDescent="0.25">
      <c r="A38" s="18"/>
      <c r="B38" s="18" t="s">
        <v>16</v>
      </c>
      <c r="C38" s="18" t="s">
        <v>969</v>
      </c>
      <c r="D38" s="18" t="s">
        <v>2667</v>
      </c>
      <c r="E38" s="18" t="s">
        <v>2668</v>
      </c>
      <c r="F38" s="18" t="s">
        <v>72</v>
      </c>
      <c r="G38" s="19">
        <v>0</v>
      </c>
      <c r="H38" s="19">
        <v>25</v>
      </c>
      <c r="I38" s="19">
        <f>-H38</f>
        <v>-25</v>
      </c>
      <c r="J38" s="18" t="s">
        <v>21</v>
      </c>
      <c r="K38" s="18" t="s">
        <v>21</v>
      </c>
      <c r="L38" s="18" t="s">
        <v>2583</v>
      </c>
      <c r="M38" s="25" t="s">
        <v>2669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2670</v>
      </c>
      <c r="D39" s="18" t="s">
        <v>2671</v>
      </c>
      <c r="E39" s="18" t="s">
        <v>2672</v>
      </c>
      <c r="F39" s="18" t="s">
        <v>153</v>
      </c>
      <c r="G39" s="19">
        <v>820</v>
      </c>
      <c r="H39" s="19">
        <v>30</v>
      </c>
      <c r="I39" s="19">
        <f>G39-H39</f>
        <v>790</v>
      </c>
      <c r="J39" s="18" t="s">
        <v>21</v>
      </c>
      <c r="K39" s="18" t="s">
        <v>21</v>
      </c>
      <c r="L39" s="18" t="s">
        <v>2583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729</v>
      </c>
      <c r="D40" s="18" t="s">
        <v>2673</v>
      </c>
      <c r="E40" s="18" t="s">
        <v>2674</v>
      </c>
      <c r="F40" s="18" t="s">
        <v>153</v>
      </c>
      <c r="G40" s="19">
        <v>770</v>
      </c>
      <c r="H40" s="19">
        <v>30</v>
      </c>
      <c r="I40" s="19">
        <f>G40-H40</f>
        <v>740</v>
      </c>
      <c r="J40" s="18" t="s">
        <v>21</v>
      </c>
      <c r="K40" s="18" t="s">
        <v>21</v>
      </c>
      <c r="L40" s="18" t="s">
        <v>2583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2675</v>
      </c>
      <c r="D41" s="18" t="s">
        <v>2676</v>
      </c>
      <c r="E41" s="18" t="s">
        <v>2677</v>
      </c>
      <c r="F41" s="18" t="s">
        <v>68</v>
      </c>
      <c r="G41" s="19">
        <v>550</v>
      </c>
      <c r="H41" s="19">
        <v>20</v>
      </c>
      <c r="I41" s="19">
        <f>G41-H41</f>
        <v>530</v>
      </c>
      <c r="J41" s="18" t="s">
        <v>21</v>
      </c>
      <c r="K41" s="18" t="s">
        <v>21</v>
      </c>
      <c r="L41" s="18" t="s">
        <v>2583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1740</v>
      </c>
      <c r="D42" s="18" t="s">
        <v>2678</v>
      </c>
      <c r="E42" s="18" t="s">
        <v>1511</v>
      </c>
      <c r="F42" s="18" t="s">
        <v>72</v>
      </c>
      <c r="G42" s="19">
        <v>1455</v>
      </c>
      <c r="H42" s="19">
        <v>25</v>
      </c>
      <c r="I42" s="19">
        <f>G42-H42</f>
        <v>1430</v>
      </c>
      <c r="J42" s="18" t="s">
        <v>21</v>
      </c>
      <c r="K42" s="18" t="s">
        <v>21</v>
      </c>
      <c r="L42" s="18" t="s">
        <v>2583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136</v>
      </c>
      <c r="D43" s="18" t="s">
        <v>2679</v>
      </c>
      <c r="E43" s="18" t="s">
        <v>138</v>
      </c>
      <c r="F43" s="18" t="s">
        <v>68</v>
      </c>
      <c r="G43" s="19">
        <v>0</v>
      </c>
      <c r="H43" s="19">
        <v>20</v>
      </c>
      <c r="I43" s="19">
        <f>-H43</f>
        <v>-20</v>
      </c>
      <c r="J43" s="18" t="s">
        <v>21</v>
      </c>
      <c r="K43" s="18" t="s">
        <v>21</v>
      </c>
      <c r="L43" s="18" t="s">
        <v>2583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2680</v>
      </c>
      <c r="D44" s="18" t="s">
        <v>2681</v>
      </c>
      <c r="E44" s="18" t="s">
        <v>2682</v>
      </c>
      <c r="F44" s="18" t="s">
        <v>88</v>
      </c>
      <c r="G44" s="19">
        <v>715</v>
      </c>
      <c r="H44" s="19">
        <v>25</v>
      </c>
      <c r="I44" s="19">
        <f t="shared" ref="I44:I53" si="2">G44-H44</f>
        <v>690</v>
      </c>
      <c r="J44" s="18" t="s">
        <v>21</v>
      </c>
      <c r="K44" s="18" t="s">
        <v>21</v>
      </c>
      <c r="L44" s="18" t="s">
        <v>2583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2683</v>
      </c>
      <c r="D45" s="18" t="s">
        <v>2684</v>
      </c>
      <c r="E45" s="18" t="s">
        <v>2685</v>
      </c>
      <c r="F45" s="18" t="s">
        <v>72</v>
      </c>
      <c r="G45" s="19">
        <v>685</v>
      </c>
      <c r="H45" s="19">
        <v>25</v>
      </c>
      <c r="I45" s="19">
        <f t="shared" si="2"/>
        <v>660</v>
      </c>
      <c r="J45" s="18" t="s">
        <v>21</v>
      </c>
      <c r="K45" s="18" t="s">
        <v>21</v>
      </c>
      <c r="L45" s="18" t="s">
        <v>2583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2686</v>
      </c>
      <c r="D46" s="18" t="s">
        <v>2687</v>
      </c>
      <c r="E46" s="18" t="s">
        <v>2688</v>
      </c>
      <c r="F46" s="18" t="s">
        <v>85</v>
      </c>
      <c r="G46" s="19">
        <v>680</v>
      </c>
      <c r="H46" s="19">
        <v>20</v>
      </c>
      <c r="I46" s="19">
        <f t="shared" si="2"/>
        <v>660</v>
      </c>
      <c r="J46" s="18" t="s">
        <v>21</v>
      </c>
      <c r="K46" s="18" t="s">
        <v>21</v>
      </c>
      <c r="L46" s="18" t="s">
        <v>2583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628</v>
      </c>
      <c r="D47" s="18" t="s">
        <v>2689</v>
      </c>
      <c r="E47" s="18" t="s">
        <v>2690</v>
      </c>
      <c r="F47" s="18" t="s">
        <v>72</v>
      </c>
      <c r="G47" s="19">
        <v>720</v>
      </c>
      <c r="H47" s="19">
        <v>25</v>
      </c>
      <c r="I47" s="19">
        <f t="shared" si="2"/>
        <v>695</v>
      </c>
      <c r="J47" s="18" t="s">
        <v>21</v>
      </c>
      <c r="K47" s="18" t="s">
        <v>21</v>
      </c>
      <c r="L47" s="18" t="s">
        <v>2583</v>
      </c>
      <c r="M47" s="25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2691</v>
      </c>
      <c r="D48" s="18" t="s">
        <v>2692</v>
      </c>
      <c r="E48" s="18" t="s">
        <v>2693</v>
      </c>
      <c r="F48" s="18" t="s">
        <v>88</v>
      </c>
      <c r="G48" s="19">
        <v>685</v>
      </c>
      <c r="H48" s="19">
        <v>25</v>
      </c>
      <c r="I48" s="19">
        <f t="shared" si="2"/>
        <v>660</v>
      </c>
      <c r="J48" s="18" t="s">
        <v>21</v>
      </c>
      <c r="K48" s="18" t="s">
        <v>21</v>
      </c>
      <c r="L48" s="18" t="s">
        <v>2583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2694</v>
      </c>
      <c r="D49" s="18" t="s">
        <v>2695</v>
      </c>
      <c r="E49" s="18" t="s">
        <v>2696</v>
      </c>
      <c r="F49" s="18" t="s">
        <v>68</v>
      </c>
      <c r="G49" s="19">
        <v>2260</v>
      </c>
      <c r="H49" s="19">
        <v>25</v>
      </c>
      <c r="I49" s="19">
        <f t="shared" si="2"/>
        <v>2235</v>
      </c>
      <c r="J49" s="18" t="s">
        <v>21</v>
      </c>
      <c r="K49" s="18" t="s">
        <v>21</v>
      </c>
      <c r="L49" s="18" t="s">
        <v>2583</v>
      </c>
      <c r="M49" s="25" t="s">
        <v>398</v>
      </c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640</v>
      </c>
      <c r="D50" s="18"/>
      <c r="E50" s="18" t="s">
        <v>641</v>
      </c>
      <c r="F50" s="18" t="s">
        <v>72</v>
      </c>
      <c r="G50" s="19">
        <v>3955</v>
      </c>
      <c r="H50" s="19">
        <v>35</v>
      </c>
      <c r="I50" s="19">
        <f t="shared" si="2"/>
        <v>3920</v>
      </c>
      <c r="J50" s="18" t="s">
        <v>21</v>
      </c>
      <c r="K50" s="18" t="s">
        <v>21</v>
      </c>
      <c r="L50" s="18" t="s">
        <v>2583</v>
      </c>
      <c r="M50" s="18"/>
      <c r="N50" s="18"/>
      <c r="O50" s="18"/>
      <c r="P50" s="18"/>
      <c r="Q50" s="18">
        <v>1</v>
      </c>
    </row>
    <row r="51" spans="1:17" x14ac:dyDescent="0.25">
      <c r="A51" s="18" t="s">
        <v>62</v>
      </c>
      <c r="B51" s="18" t="s">
        <v>16</v>
      </c>
      <c r="C51" s="18" t="s">
        <v>591</v>
      </c>
      <c r="D51" s="18"/>
      <c r="E51" s="18" t="s">
        <v>2697</v>
      </c>
      <c r="F51" s="18" t="s">
        <v>2698</v>
      </c>
      <c r="G51" s="19">
        <v>1415</v>
      </c>
      <c r="H51" s="19">
        <v>35</v>
      </c>
      <c r="I51" s="19">
        <f t="shared" si="2"/>
        <v>1380</v>
      </c>
      <c r="J51" s="18" t="s">
        <v>21</v>
      </c>
      <c r="K51" s="18" t="s">
        <v>21</v>
      </c>
      <c r="L51" s="18" t="s">
        <v>2583</v>
      </c>
      <c r="M51" s="18"/>
      <c r="N51" s="18"/>
      <c r="O51" s="18"/>
      <c r="P51" s="18"/>
      <c r="Q51" s="18">
        <v>1</v>
      </c>
    </row>
    <row r="52" spans="1:17" x14ac:dyDescent="0.25">
      <c r="A52" s="18" t="s">
        <v>62</v>
      </c>
      <c r="B52" s="18" t="s">
        <v>16</v>
      </c>
      <c r="C52" s="18" t="s">
        <v>318</v>
      </c>
      <c r="D52" s="18"/>
      <c r="E52" s="18" t="s">
        <v>2699</v>
      </c>
      <c r="F52" s="18" t="s">
        <v>72</v>
      </c>
      <c r="G52" s="19">
        <v>30</v>
      </c>
      <c r="H52" s="19">
        <v>30</v>
      </c>
      <c r="I52" s="19">
        <f t="shared" si="2"/>
        <v>0</v>
      </c>
      <c r="J52" s="18" t="s">
        <v>21</v>
      </c>
      <c r="K52" s="18" t="s">
        <v>21</v>
      </c>
      <c r="L52" s="18" t="s">
        <v>2583</v>
      </c>
      <c r="M52" s="18"/>
      <c r="N52" s="18"/>
      <c r="O52" s="18"/>
      <c r="P52" s="18"/>
      <c r="Q52" s="18">
        <v>1</v>
      </c>
    </row>
    <row r="53" spans="1:17" s="2" customFormat="1" x14ac:dyDescent="0.25">
      <c r="A53" s="20"/>
      <c r="B53" s="20" t="s">
        <v>16</v>
      </c>
      <c r="C53" s="20" t="s">
        <v>1740</v>
      </c>
      <c r="D53" s="20" t="s">
        <v>2570</v>
      </c>
      <c r="E53" s="20" t="s">
        <v>1511</v>
      </c>
      <c r="F53" s="20" t="s">
        <v>72</v>
      </c>
      <c r="G53" s="21">
        <v>765</v>
      </c>
      <c r="H53" s="21">
        <v>0</v>
      </c>
      <c r="I53" s="21">
        <f t="shared" si="2"/>
        <v>765</v>
      </c>
      <c r="J53" s="20" t="s">
        <v>446</v>
      </c>
      <c r="K53" s="20" t="s">
        <v>21</v>
      </c>
      <c r="L53" s="20" t="s">
        <v>2435</v>
      </c>
      <c r="M53" s="20" t="s">
        <v>102</v>
      </c>
      <c r="N53" s="20" t="s">
        <v>448</v>
      </c>
      <c r="O53" s="20" t="s">
        <v>448</v>
      </c>
      <c r="P53" s="20" t="s">
        <v>449</v>
      </c>
      <c r="Q53" s="20">
        <v>1</v>
      </c>
    </row>
    <row r="55" spans="1:17" x14ac:dyDescent="0.25">
      <c r="D55" s="1">
        <f>COUNTA(D3:D53)</f>
        <v>48</v>
      </c>
      <c r="G55" s="1">
        <f t="shared" ref="G55:Q55" si="3">SUBTOTAL(9,G3:G53)</f>
        <v>36065</v>
      </c>
      <c r="H55" s="1">
        <f t="shared" si="3"/>
        <v>1345</v>
      </c>
      <c r="I55" s="1">
        <f t="shared" si="3"/>
        <v>34720</v>
      </c>
      <c r="J55" s="1">
        <f t="shared" si="3"/>
        <v>0</v>
      </c>
      <c r="K55" s="1">
        <f t="shared" si="3"/>
        <v>0</v>
      </c>
      <c r="L55" s="1">
        <f t="shared" si="3"/>
        <v>0</v>
      </c>
      <c r="M55" s="1">
        <f t="shared" si="3"/>
        <v>0</v>
      </c>
      <c r="N55" s="1">
        <f t="shared" si="3"/>
        <v>0</v>
      </c>
      <c r="O55" s="1">
        <f t="shared" si="3"/>
        <v>0</v>
      </c>
      <c r="P55" s="1">
        <f t="shared" si="3"/>
        <v>0</v>
      </c>
      <c r="Q55" s="1">
        <f t="shared" si="3"/>
        <v>51</v>
      </c>
    </row>
    <row r="56" spans="1:17" x14ac:dyDescent="0.25">
      <c r="H56">
        <f>-25*17</f>
        <v>-425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2586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2583</v>
      </c>
      <c r="B58" s="3" t="s">
        <v>93</v>
      </c>
      <c r="C58" s="48">
        <f>SUMIFS(I$3:I$53,B$3:B$53,A$57,L$3:L$53,A$58)</f>
        <v>33955</v>
      </c>
      <c r="D58" s="48"/>
      <c r="E58" s="3">
        <f>SUMIFS(Q$3:Q$53,B$3:B$53,A$57,L$3:L$53,A$58)</f>
        <v>50</v>
      </c>
      <c r="F58" t="s">
        <v>94</v>
      </c>
      <c r="H58">
        <f>-4*30</f>
        <v>-120</v>
      </c>
      <c r="K58" t="s">
        <v>95</v>
      </c>
      <c r="L58">
        <f>SUMIFS(G$3:G$53,J$3:J$53,K$57)</f>
        <v>19870</v>
      </c>
      <c r="M58">
        <f>SUMIFS(Q$3:Q$53,J$3:J$53,K$57)-INT(COUNTIFS(J$3:J$53,K$57,M$3:M$53,"*gộp*")/2)</f>
        <v>32</v>
      </c>
      <c r="O58" t="s">
        <v>2700</v>
      </c>
      <c r="P58">
        <f>L63</f>
        <v>19225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SUM(H56:H58)</f>
        <v>-645</v>
      </c>
      <c r="M59">
        <f>SUMIFS(Q$3:Q$53,J$3:J$53,K$57)</f>
        <v>33</v>
      </c>
      <c r="O59" t="s">
        <v>21</v>
      </c>
      <c r="P59">
        <f>L73</f>
        <v>14404</v>
      </c>
    </row>
    <row r="60" spans="1:17" x14ac:dyDescent="0.25">
      <c r="B60" s="2" t="s">
        <v>99</v>
      </c>
      <c r="C60" s="49">
        <f>-SUMIFS(I$3:I$53,B$3:B$53,A$57,P$3:P$53,"xx",N$3:N$53,"x")</f>
        <v>-765</v>
      </c>
      <c r="D60" s="49"/>
      <c r="E60" s="2">
        <f>SUMIFS(Q$3:Q$53,B$3:B$53,A$57,P$3:P$53,"xx",N$3:N$53,"x")</f>
        <v>1</v>
      </c>
      <c r="K60" t="s">
        <v>100</v>
      </c>
      <c r="O60" t="s">
        <v>20</v>
      </c>
      <c r="P60">
        <f>L81</f>
        <v>-25</v>
      </c>
    </row>
    <row r="61" spans="1:17" x14ac:dyDescent="0.25">
      <c r="B61" s="4" t="s">
        <v>101</v>
      </c>
      <c r="C61" s="47">
        <f>SUBTOTAL(9,C58:C60)</f>
        <v>33190</v>
      </c>
      <c r="D61" s="47"/>
      <c r="E61">
        <f>E58</f>
        <v>50</v>
      </c>
      <c r="K61" s="2" t="s">
        <v>102</v>
      </c>
      <c r="L61" s="2"/>
      <c r="M61" s="29"/>
      <c r="O61" t="s">
        <v>103</v>
      </c>
      <c r="P61">
        <f>-C65</f>
        <v>-33190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414</v>
      </c>
    </row>
    <row r="63" spans="1:17" x14ac:dyDescent="0.25">
      <c r="B63" s="8" t="s">
        <v>107</v>
      </c>
      <c r="C63" s="45"/>
      <c r="D63" s="45"/>
      <c r="L63" s="9">
        <f>SUBTOTAL(9,L58:L62)</f>
        <v>19225</v>
      </c>
      <c r="M63" s="9">
        <f>M58</f>
        <v>32</v>
      </c>
    </row>
    <row r="65" spans="2:13" x14ac:dyDescent="0.25">
      <c r="B65" s="1" t="s">
        <v>108</v>
      </c>
      <c r="C65" s="46">
        <f>C61+C62+C63</f>
        <v>33190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15430</v>
      </c>
      <c r="M66">
        <f>SUMIFS(Q$3:Q$53,J$3:J$53,K$65)-INT(COUNTIFS(J$3:J$53,K$65,M$3:M$53,"*gộp*")/2)</f>
        <v>16</v>
      </c>
    </row>
    <row r="67" spans="2:13" x14ac:dyDescent="0.25">
      <c r="K67" t="s">
        <v>98</v>
      </c>
      <c r="L67">
        <f>-SUMIFS(H$3:H$53,J$3:J$53,K$65)+M67*5</f>
        <v>-345</v>
      </c>
      <c r="M67">
        <f>SUMIFS(Q$3:Q$53,J$3:J$53,K$65)-INT(COUNTIFS(J$3:J$53,K$65,M$3:M$53,"*gộp*")/2)</f>
        <v>16</v>
      </c>
    </row>
    <row r="68" spans="2:13" x14ac:dyDescent="0.25">
      <c r="K68" t="s">
        <v>100</v>
      </c>
      <c r="L68">
        <f>-M68*2</f>
        <v>-96</v>
      </c>
      <c r="M68">
        <f>E61-(COUNTIFS(M$3:M$53,"*gộp*")/2)-COUNTIFS(M$3:M$53,"*đơn trả*")-COUNTIFS(M$3:M$53,"*hàng tỉnh*")</f>
        <v>48</v>
      </c>
    </row>
    <row r="69" spans="2:13" x14ac:dyDescent="0.25">
      <c r="K69" s="2" t="s">
        <v>102</v>
      </c>
      <c r="L69" s="2">
        <v>-765</v>
      </c>
      <c r="M69" s="29" t="s">
        <v>451</v>
      </c>
    </row>
    <row r="70" spans="2:13" x14ac:dyDescent="0.25">
      <c r="K70" s="2" t="s">
        <v>105</v>
      </c>
    </row>
    <row r="71" spans="2:13" x14ac:dyDescent="0.25">
      <c r="K71" s="10" t="s">
        <v>2289</v>
      </c>
      <c r="L71" s="10">
        <v>135</v>
      </c>
      <c r="M71" s="10"/>
    </row>
    <row r="72" spans="2:13" x14ac:dyDescent="0.25">
      <c r="K72" s="10" t="s">
        <v>2580</v>
      </c>
      <c r="L72" s="10">
        <v>45</v>
      </c>
      <c r="M72" s="10"/>
    </row>
    <row r="73" spans="2:13" x14ac:dyDescent="0.25">
      <c r="L73" s="9">
        <f>SUBTOTAL(9,L66:L72)</f>
        <v>14404</v>
      </c>
      <c r="M73" s="9">
        <f>M66</f>
        <v>16</v>
      </c>
    </row>
    <row r="75" spans="2:13" x14ac:dyDescent="0.25">
      <c r="K75" s="7" t="s">
        <v>20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SUMIFS(G$3:G$53,J$3:J$53,K$75)</f>
        <v>0</v>
      </c>
      <c r="M76">
        <f>SUMIFS(Q$3:Q$53,J$3:J$53,K$75)-INT(COUNTIFS(J$3:J$53,K$75,M$3:M$53,"*gộp*")/2)</f>
        <v>1</v>
      </c>
    </row>
    <row r="77" spans="2:13" x14ac:dyDescent="0.25">
      <c r="K77" t="s">
        <v>98</v>
      </c>
      <c r="L77">
        <f>-SUMIFS(H$3:H$53,J$3:J$53,K$75)+M77*5</f>
        <v>-25</v>
      </c>
      <c r="M77">
        <f>SUMIFS(Q$3:Q$53,J$3:J$53,K$75)-INT(COUNTIFS(J$3:J$53,K$75,M$3:M$53,"*gộp*")/2)</f>
        <v>1</v>
      </c>
    </row>
    <row r="78" spans="2:13" x14ac:dyDescent="0.25">
      <c r="K78" t="s">
        <v>100</v>
      </c>
    </row>
    <row r="79" spans="2:13" x14ac:dyDescent="0.25">
      <c r="K79" s="2" t="s">
        <v>102</v>
      </c>
    </row>
    <row r="80" spans="2:13" x14ac:dyDescent="0.25">
      <c r="K80" s="2" t="s">
        <v>105</v>
      </c>
    </row>
    <row r="81" spans="12:13" x14ac:dyDescent="0.25">
      <c r="L81" s="9">
        <f>SUBTOTAL(9,L76:L80)</f>
        <v>-25</v>
      </c>
      <c r="M81" s="9">
        <f>M76</f>
        <v>1</v>
      </c>
    </row>
  </sheetData>
  <autoFilter ref="A2:P53" xr:uid="{00000000-0009-0000-0000-000015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Q159"/>
  <sheetViews>
    <sheetView zoomScale="85" zoomScaleNormal="85" workbookViewId="0">
      <selection activeCell="A81" sqref="A81:XFD82"/>
    </sheetView>
  </sheetViews>
  <sheetFormatPr defaultRowHeight="15" x14ac:dyDescent="0.25"/>
  <cols>
    <col min="1" max="1" width="12.7109375" customWidth="1"/>
    <col min="2" max="2" width="17.7109375" customWidth="1"/>
    <col min="3" max="3" width="54.7109375" customWidth="1"/>
    <col min="4" max="4" width="10.28515625" bestFit="1" customWidth="1"/>
    <col min="5" max="5" width="7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9.5703125" bestFit="1" customWidth="1"/>
    <col min="14" max="14" width="9.7109375" customWidth="1"/>
    <col min="15" max="15" width="19.42578125" bestFit="1" customWidth="1"/>
    <col min="16" max="16" width="11.5703125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2701</v>
      </c>
      <c r="D3" s="18" t="s">
        <v>2702</v>
      </c>
      <c r="E3" s="18" t="s">
        <v>2703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20</v>
      </c>
      <c r="K3" s="18" t="s">
        <v>21</v>
      </c>
      <c r="L3" s="18" t="s">
        <v>2704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2705</v>
      </c>
      <c r="D4" s="18" t="s">
        <v>2706</v>
      </c>
      <c r="E4" s="18" t="s">
        <v>327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2704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2707</v>
      </c>
      <c r="D5" s="18" t="s">
        <v>2708</v>
      </c>
      <c r="E5" s="18" t="s">
        <v>2709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20</v>
      </c>
      <c r="K5" s="18" t="s">
        <v>21</v>
      </c>
      <c r="L5" s="18" t="s">
        <v>2704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2710</v>
      </c>
      <c r="D6" s="18" t="s">
        <v>2711</v>
      </c>
      <c r="E6" s="18" t="s">
        <v>2712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20</v>
      </c>
      <c r="K6" s="18" t="s">
        <v>21</v>
      </c>
      <c r="L6" s="18" t="s">
        <v>2704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2713</v>
      </c>
      <c r="D7" s="18" t="s">
        <v>2714</v>
      </c>
      <c r="E7" s="18" t="s">
        <v>2715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20</v>
      </c>
      <c r="K7" s="18" t="s">
        <v>21</v>
      </c>
      <c r="L7" s="18" t="s">
        <v>2704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2716</v>
      </c>
      <c r="D8" s="18" t="s">
        <v>2717</v>
      </c>
      <c r="E8" s="18" t="s">
        <v>2718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20</v>
      </c>
      <c r="K8" s="18" t="s">
        <v>21</v>
      </c>
      <c r="L8" s="18" t="s">
        <v>2704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2719</v>
      </c>
      <c r="D9" s="18" t="s">
        <v>2720</v>
      </c>
      <c r="E9" s="18" t="s">
        <v>181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20</v>
      </c>
      <c r="K9" s="18" t="s">
        <v>21</v>
      </c>
      <c r="L9" s="18" t="s">
        <v>2704</v>
      </c>
      <c r="M9" s="25" t="s">
        <v>398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2721</v>
      </c>
      <c r="D10" s="18" t="s">
        <v>2722</v>
      </c>
      <c r="E10" s="18" t="s">
        <v>2723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2724</v>
      </c>
      <c r="K10" s="18" t="s">
        <v>21</v>
      </c>
      <c r="L10" s="18" t="s">
        <v>2704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2644</v>
      </c>
      <c r="D11" s="18" t="s">
        <v>2725</v>
      </c>
      <c r="E11" s="18" t="s">
        <v>2646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2724</v>
      </c>
      <c r="K11" s="18" t="s">
        <v>21</v>
      </c>
      <c r="L11" s="18" t="s">
        <v>2704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2726</v>
      </c>
      <c r="D12" s="18" t="s">
        <v>2727</v>
      </c>
      <c r="E12" s="18" t="s">
        <v>2728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2724</v>
      </c>
      <c r="K12" s="18" t="s">
        <v>21</v>
      </c>
      <c r="L12" s="18" t="s">
        <v>2704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2729</v>
      </c>
      <c r="D13" s="18" t="s">
        <v>2730</v>
      </c>
      <c r="E13" s="18" t="s">
        <v>2731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2724</v>
      </c>
      <c r="K13" s="18" t="s">
        <v>21</v>
      </c>
      <c r="L13" s="18" t="s">
        <v>2704</v>
      </c>
      <c r="M13" s="25" t="s">
        <v>312</v>
      </c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2729</v>
      </c>
      <c r="D14" s="18" t="s">
        <v>2732</v>
      </c>
      <c r="E14" s="18" t="s">
        <v>2731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2724</v>
      </c>
      <c r="K14" s="18" t="s">
        <v>21</v>
      </c>
      <c r="L14" s="18" t="s">
        <v>2704</v>
      </c>
      <c r="M14" s="25" t="s">
        <v>312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2733</v>
      </c>
      <c r="D15" s="18" t="s">
        <v>2734</v>
      </c>
      <c r="E15" s="18" t="s">
        <v>2735</v>
      </c>
      <c r="F15" s="18" t="s">
        <v>217</v>
      </c>
      <c r="G15" s="19">
        <v>0</v>
      </c>
      <c r="H15" s="19">
        <v>25</v>
      </c>
      <c r="I15" s="19">
        <f>-H15</f>
        <v>-25</v>
      </c>
      <c r="J15" s="18" t="s">
        <v>2724</v>
      </c>
      <c r="K15" s="18" t="s">
        <v>21</v>
      </c>
      <c r="L15" s="18" t="s">
        <v>2704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2488</v>
      </c>
      <c r="D16" s="18" t="s">
        <v>2736</v>
      </c>
      <c r="E16" s="18" t="s">
        <v>2490</v>
      </c>
      <c r="F16" s="18" t="s">
        <v>26</v>
      </c>
      <c r="G16" s="19">
        <v>780</v>
      </c>
      <c r="H16" s="19">
        <v>30</v>
      </c>
      <c r="I16" s="19">
        <f>G16-H16</f>
        <v>750</v>
      </c>
      <c r="J16" s="18" t="s">
        <v>2724</v>
      </c>
      <c r="K16" s="18" t="s">
        <v>21</v>
      </c>
      <c r="L16" s="18" t="s">
        <v>2704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1711</v>
      </c>
      <c r="D17" s="18" t="s">
        <v>2737</v>
      </c>
      <c r="E17" s="18" t="s">
        <v>1713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2724</v>
      </c>
      <c r="K17" s="18" t="s">
        <v>21</v>
      </c>
      <c r="L17" s="18" t="s">
        <v>2704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196</v>
      </c>
      <c r="D18" s="18" t="s">
        <v>2738</v>
      </c>
      <c r="E18" s="18" t="s">
        <v>2739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2724</v>
      </c>
      <c r="K18" s="18" t="s">
        <v>21</v>
      </c>
      <c r="L18" s="18" t="s">
        <v>2704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1606</v>
      </c>
      <c r="D19" s="18" t="s">
        <v>2740</v>
      </c>
      <c r="E19" s="18" t="s">
        <v>1608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2724</v>
      </c>
      <c r="K19" s="18" t="s">
        <v>21</v>
      </c>
      <c r="L19" s="18" t="s">
        <v>2704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2741</v>
      </c>
      <c r="D20" s="18" t="s">
        <v>2742</v>
      </c>
      <c r="E20" s="18" t="s">
        <v>2743</v>
      </c>
      <c r="F20" s="18" t="s">
        <v>217</v>
      </c>
      <c r="G20" s="19">
        <v>375</v>
      </c>
      <c r="H20" s="19">
        <v>25</v>
      </c>
      <c r="I20" s="19">
        <f>G20-H20</f>
        <v>350</v>
      </c>
      <c r="J20" s="18" t="s">
        <v>2724</v>
      </c>
      <c r="K20" s="18" t="s">
        <v>21</v>
      </c>
      <c r="L20" s="18" t="s">
        <v>2704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1191</v>
      </c>
      <c r="D21" s="18" t="s">
        <v>2744</v>
      </c>
      <c r="E21" s="18" t="s">
        <v>1193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2724</v>
      </c>
      <c r="K21" s="18" t="s">
        <v>21</v>
      </c>
      <c r="L21" s="18" t="s">
        <v>2704</v>
      </c>
      <c r="M21" s="25" t="s">
        <v>398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2745</v>
      </c>
      <c r="D22" s="18" t="s">
        <v>2746</v>
      </c>
      <c r="E22" s="18" t="s">
        <v>2747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2724</v>
      </c>
      <c r="K22" s="18" t="s">
        <v>21</v>
      </c>
      <c r="L22" s="18" t="s">
        <v>2704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2748</v>
      </c>
      <c r="D23" s="18" t="s">
        <v>2749</v>
      </c>
      <c r="E23" s="18" t="s">
        <v>2750</v>
      </c>
      <c r="F23" s="18" t="s">
        <v>26</v>
      </c>
      <c r="G23" s="19">
        <v>0</v>
      </c>
      <c r="H23" s="19">
        <v>30</v>
      </c>
      <c r="I23" s="19">
        <f>-H23</f>
        <v>-30</v>
      </c>
      <c r="J23" s="18" t="s">
        <v>2724</v>
      </c>
      <c r="K23" s="18" t="s">
        <v>21</v>
      </c>
      <c r="L23" s="18" t="s">
        <v>2704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2751</v>
      </c>
      <c r="D24" s="18" t="s">
        <v>2752</v>
      </c>
      <c r="E24" s="18" t="s">
        <v>2753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2724</v>
      </c>
      <c r="K24" s="18" t="s">
        <v>21</v>
      </c>
      <c r="L24" s="18" t="s">
        <v>2704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2754</v>
      </c>
      <c r="D25" s="18" t="s">
        <v>2755</v>
      </c>
      <c r="E25" s="18" t="s">
        <v>2756</v>
      </c>
      <c r="F25" s="18" t="s">
        <v>128</v>
      </c>
      <c r="G25" s="19">
        <v>965</v>
      </c>
      <c r="H25" s="19">
        <v>35</v>
      </c>
      <c r="I25" s="19">
        <f>G25-H25</f>
        <v>930</v>
      </c>
      <c r="J25" s="18" t="s">
        <v>2724</v>
      </c>
      <c r="K25" s="18" t="s">
        <v>21</v>
      </c>
      <c r="L25" s="18" t="s">
        <v>2704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2757</v>
      </c>
      <c r="D26" s="18" t="s">
        <v>2758</v>
      </c>
      <c r="E26" s="18" t="s">
        <v>2759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2724</v>
      </c>
      <c r="K26" s="18" t="s">
        <v>21</v>
      </c>
      <c r="L26" s="18" t="s">
        <v>2704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2760</v>
      </c>
      <c r="D27" s="18" t="s">
        <v>2761</v>
      </c>
      <c r="E27" s="18" t="s">
        <v>2762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2724</v>
      </c>
      <c r="K27" s="18" t="s">
        <v>21</v>
      </c>
      <c r="L27" s="18" t="s">
        <v>2704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2763</v>
      </c>
      <c r="D28" s="18" t="s">
        <v>2764</v>
      </c>
      <c r="E28" s="18" t="s">
        <v>2765</v>
      </c>
      <c r="F28" s="18" t="s">
        <v>217</v>
      </c>
      <c r="G28" s="19">
        <v>1285</v>
      </c>
      <c r="H28" s="19">
        <v>25</v>
      </c>
      <c r="I28" s="19">
        <f t="shared" ref="I28:I39" si="1">G28-H28</f>
        <v>1260</v>
      </c>
      <c r="J28" s="18" t="s">
        <v>2724</v>
      </c>
      <c r="K28" s="18" t="s">
        <v>21</v>
      </c>
      <c r="L28" s="18" t="s">
        <v>2704</v>
      </c>
      <c r="M28" s="18"/>
      <c r="N28" s="18"/>
      <c r="O28" s="18"/>
      <c r="P28" s="18"/>
      <c r="Q28" s="18">
        <v>1</v>
      </c>
    </row>
    <row r="29" spans="1:17" s="42" customFormat="1" x14ac:dyDescent="0.25">
      <c r="A29" s="40"/>
      <c r="B29" s="40" t="s">
        <v>16</v>
      </c>
      <c r="C29" s="40" t="s">
        <v>1600</v>
      </c>
      <c r="D29" s="40" t="s">
        <v>2766</v>
      </c>
      <c r="E29" s="40" t="s">
        <v>2767</v>
      </c>
      <c r="F29" s="41">
        <v>7</v>
      </c>
      <c r="G29" s="41">
        <v>30</v>
      </c>
      <c r="H29" s="41">
        <v>30</v>
      </c>
      <c r="I29" s="41">
        <f t="shared" si="1"/>
        <v>0</v>
      </c>
      <c r="J29" s="40" t="s">
        <v>2724</v>
      </c>
      <c r="K29" s="40" t="s">
        <v>21</v>
      </c>
      <c r="L29" s="40" t="s">
        <v>2704</v>
      </c>
      <c r="M29" s="40" t="s">
        <v>49</v>
      </c>
      <c r="N29" s="40"/>
      <c r="O29" s="40"/>
      <c r="P29" s="40"/>
      <c r="Q29" s="40">
        <v>1</v>
      </c>
    </row>
    <row r="30" spans="1:17" x14ac:dyDescent="0.25">
      <c r="A30" s="18"/>
      <c r="B30" s="18" t="s">
        <v>16</v>
      </c>
      <c r="C30" s="18" t="s">
        <v>1331</v>
      </c>
      <c r="D30" s="18" t="s">
        <v>2768</v>
      </c>
      <c r="E30" s="18" t="s">
        <v>1333</v>
      </c>
      <c r="F30" s="18" t="s">
        <v>128</v>
      </c>
      <c r="G30" s="19">
        <v>825</v>
      </c>
      <c r="H30" s="19">
        <v>35</v>
      </c>
      <c r="I30" s="19">
        <f t="shared" si="1"/>
        <v>790</v>
      </c>
      <c r="J30" s="18" t="s">
        <v>2724</v>
      </c>
      <c r="K30" s="18" t="s">
        <v>21</v>
      </c>
      <c r="L30" s="18" t="s">
        <v>2704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2769</v>
      </c>
      <c r="D31" s="18" t="s">
        <v>2770</v>
      </c>
      <c r="E31" s="18" t="s">
        <v>2771</v>
      </c>
      <c r="F31" s="19">
        <v>6</v>
      </c>
      <c r="G31" s="19">
        <v>30</v>
      </c>
      <c r="H31" s="19">
        <v>30</v>
      </c>
      <c r="I31" s="19">
        <f t="shared" si="1"/>
        <v>0</v>
      </c>
      <c r="J31" s="18" t="s">
        <v>2724</v>
      </c>
      <c r="K31" s="18" t="s">
        <v>21</v>
      </c>
      <c r="L31" s="18" t="s">
        <v>2704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2772</v>
      </c>
      <c r="D32" s="18" t="s">
        <v>2773</v>
      </c>
      <c r="E32" s="18" t="s">
        <v>2774</v>
      </c>
      <c r="F32" s="18" t="s">
        <v>217</v>
      </c>
      <c r="G32" s="19">
        <v>715</v>
      </c>
      <c r="H32" s="19">
        <v>25</v>
      </c>
      <c r="I32" s="19">
        <f t="shared" si="1"/>
        <v>690</v>
      </c>
      <c r="J32" s="18" t="s">
        <v>2724</v>
      </c>
      <c r="K32" s="18" t="s">
        <v>21</v>
      </c>
      <c r="L32" s="18" t="s">
        <v>2704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250</v>
      </c>
      <c r="D33" s="18" t="s">
        <v>2775</v>
      </c>
      <c r="E33" s="18" t="s">
        <v>252</v>
      </c>
      <c r="F33" s="18" t="s">
        <v>26</v>
      </c>
      <c r="G33" s="19">
        <v>950</v>
      </c>
      <c r="H33" s="19">
        <v>30</v>
      </c>
      <c r="I33" s="19">
        <f t="shared" si="1"/>
        <v>920</v>
      </c>
      <c r="J33" s="18" t="s">
        <v>2724</v>
      </c>
      <c r="K33" s="18" t="s">
        <v>21</v>
      </c>
      <c r="L33" s="18" t="s">
        <v>2704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2776</v>
      </c>
      <c r="D34" s="18" t="s">
        <v>2777</v>
      </c>
      <c r="E34" s="18" t="s">
        <v>2778</v>
      </c>
      <c r="F34" s="18" t="s">
        <v>217</v>
      </c>
      <c r="G34" s="19">
        <v>765</v>
      </c>
      <c r="H34" s="19">
        <v>25</v>
      </c>
      <c r="I34" s="19">
        <f t="shared" si="1"/>
        <v>740</v>
      </c>
      <c r="J34" s="18" t="s">
        <v>2724</v>
      </c>
      <c r="K34" s="18" t="s">
        <v>21</v>
      </c>
      <c r="L34" s="18" t="s">
        <v>2704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2779</v>
      </c>
      <c r="D35" s="18" t="s">
        <v>2780</v>
      </c>
      <c r="E35" s="18" t="s">
        <v>2781</v>
      </c>
      <c r="F35" s="18" t="s">
        <v>259</v>
      </c>
      <c r="G35" s="19">
        <v>2660</v>
      </c>
      <c r="H35" s="19">
        <v>35</v>
      </c>
      <c r="I35" s="19">
        <f t="shared" si="1"/>
        <v>2625</v>
      </c>
      <c r="J35" s="18" t="s">
        <v>2724</v>
      </c>
      <c r="K35" s="18" t="s">
        <v>21</v>
      </c>
      <c r="L35" s="18" t="s">
        <v>2704</v>
      </c>
      <c r="M35" s="25" t="s">
        <v>398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2518</v>
      </c>
      <c r="D36" s="18" t="s">
        <v>2782</v>
      </c>
      <c r="E36" s="18" t="s">
        <v>2520</v>
      </c>
      <c r="F36" s="18" t="s">
        <v>26</v>
      </c>
      <c r="G36" s="19">
        <v>470</v>
      </c>
      <c r="H36" s="19">
        <v>30</v>
      </c>
      <c r="I36" s="19">
        <f t="shared" si="1"/>
        <v>440</v>
      </c>
      <c r="J36" s="18" t="s">
        <v>2724</v>
      </c>
      <c r="K36" s="18" t="s">
        <v>21</v>
      </c>
      <c r="L36" s="18" t="s">
        <v>2704</v>
      </c>
      <c r="M36" s="25" t="s">
        <v>312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2518</v>
      </c>
      <c r="D37" s="18" t="s">
        <v>2783</v>
      </c>
      <c r="E37" s="18" t="s">
        <v>2520</v>
      </c>
      <c r="F37" s="18" t="s">
        <v>26</v>
      </c>
      <c r="G37" s="19">
        <v>360</v>
      </c>
      <c r="H37" s="19">
        <v>0</v>
      </c>
      <c r="I37" s="19">
        <f t="shared" si="1"/>
        <v>360</v>
      </c>
      <c r="J37" s="18" t="s">
        <v>2724</v>
      </c>
      <c r="K37" s="18" t="s">
        <v>21</v>
      </c>
      <c r="L37" s="18" t="s">
        <v>2704</v>
      </c>
      <c r="M37" s="25" t="s">
        <v>312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2784</v>
      </c>
      <c r="D38" s="18" t="s">
        <v>2785</v>
      </c>
      <c r="E38" s="18" t="s">
        <v>2786</v>
      </c>
      <c r="F38" s="18" t="s">
        <v>26</v>
      </c>
      <c r="G38" s="19">
        <v>770</v>
      </c>
      <c r="H38" s="19">
        <v>30</v>
      </c>
      <c r="I38" s="19">
        <f t="shared" si="1"/>
        <v>740</v>
      </c>
      <c r="J38" s="18" t="s">
        <v>2724</v>
      </c>
      <c r="K38" s="18" t="s">
        <v>21</v>
      </c>
      <c r="L38" s="18" t="s">
        <v>2704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2787</v>
      </c>
      <c r="D39" s="18" t="s">
        <v>2788</v>
      </c>
      <c r="E39" s="18" t="s">
        <v>2789</v>
      </c>
      <c r="F39" s="18" t="s">
        <v>217</v>
      </c>
      <c r="G39" s="19">
        <v>2240</v>
      </c>
      <c r="H39" s="19">
        <v>25</v>
      </c>
      <c r="I39" s="19">
        <f t="shared" si="1"/>
        <v>2215</v>
      </c>
      <c r="J39" s="18" t="s">
        <v>2724</v>
      </c>
      <c r="K39" s="18" t="s">
        <v>21</v>
      </c>
      <c r="L39" s="18" t="s">
        <v>2704</v>
      </c>
      <c r="M39" s="25" t="s">
        <v>398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2790</v>
      </c>
      <c r="D40" s="18" t="s">
        <v>2791</v>
      </c>
      <c r="E40" s="18" t="s">
        <v>2792</v>
      </c>
      <c r="F40" s="18" t="s">
        <v>26</v>
      </c>
      <c r="G40" s="19">
        <v>0</v>
      </c>
      <c r="H40" s="19">
        <v>30</v>
      </c>
      <c r="I40" s="19">
        <f>-H40</f>
        <v>-30</v>
      </c>
      <c r="J40" s="18" t="s">
        <v>2724</v>
      </c>
      <c r="K40" s="18" t="s">
        <v>21</v>
      </c>
      <c r="L40" s="18" t="s">
        <v>2704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2793</v>
      </c>
      <c r="D41" s="18" t="s">
        <v>2794</v>
      </c>
      <c r="E41" s="18" t="s">
        <v>2795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2724</v>
      </c>
      <c r="K41" s="18" t="s">
        <v>21</v>
      </c>
      <c r="L41" s="18" t="s">
        <v>2704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2796</v>
      </c>
      <c r="D42" s="18" t="s">
        <v>2797</v>
      </c>
      <c r="E42" s="18" t="s">
        <v>2798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2724</v>
      </c>
      <c r="K42" s="18" t="s">
        <v>21</v>
      </c>
      <c r="L42" s="18" t="s">
        <v>2704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2799</v>
      </c>
      <c r="D43" s="18" t="s">
        <v>2800</v>
      </c>
      <c r="E43" s="18" t="s">
        <v>2801</v>
      </c>
      <c r="F43" s="18" t="s">
        <v>26</v>
      </c>
      <c r="G43" s="19">
        <v>0</v>
      </c>
      <c r="H43" s="19">
        <v>30</v>
      </c>
      <c r="I43" s="19">
        <f>-H43</f>
        <v>-30</v>
      </c>
      <c r="J43" s="18" t="s">
        <v>2724</v>
      </c>
      <c r="K43" s="18" t="s">
        <v>21</v>
      </c>
      <c r="L43" s="18" t="s">
        <v>2704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2802</v>
      </c>
      <c r="D44" s="18" t="s">
        <v>2803</v>
      </c>
      <c r="E44" s="18" t="s">
        <v>2804</v>
      </c>
      <c r="F44" s="18" t="s">
        <v>26</v>
      </c>
      <c r="G44" s="19">
        <v>0</v>
      </c>
      <c r="H44" s="19">
        <v>30</v>
      </c>
      <c r="I44" s="19">
        <f>-H44</f>
        <v>-30</v>
      </c>
      <c r="J44" s="18" t="s">
        <v>2724</v>
      </c>
      <c r="K44" s="18" t="s">
        <v>21</v>
      </c>
      <c r="L44" s="18" t="s">
        <v>2704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2805</v>
      </c>
      <c r="D45" s="18" t="s">
        <v>2806</v>
      </c>
      <c r="E45" s="18" t="s">
        <v>2807</v>
      </c>
      <c r="F45" s="18" t="s">
        <v>113</v>
      </c>
      <c r="G45" s="19">
        <v>0</v>
      </c>
      <c r="H45" s="19">
        <v>35</v>
      </c>
      <c r="I45" s="19">
        <f>-H45</f>
        <v>-35</v>
      </c>
      <c r="J45" s="18" t="s">
        <v>2724</v>
      </c>
      <c r="K45" s="18" t="s">
        <v>21</v>
      </c>
      <c r="L45" s="18" t="s">
        <v>2704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2354</v>
      </c>
      <c r="D46" s="18" t="s">
        <v>2808</v>
      </c>
      <c r="E46" s="18" t="s">
        <v>2809</v>
      </c>
      <c r="F46" s="19">
        <v>12</v>
      </c>
      <c r="G46" s="19">
        <v>890</v>
      </c>
      <c r="H46" s="19">
        <v>30</v>
      </c>
      <c r="I46" s="19">
        <f t="shared" ref="I46:I55" si="2">G46-H46</f>
        <v>860</v>
      </c>
      <c r="J46" s="18" t="s">
        <v>2724</v>
      </c>
      <c r="K46" s="18" t="s">
        <v>21</v>
      </c>
      <c r="L46" s="18" t="s">
        <v>2704</v>
      </c>
      <c r="M46" s="25" t="s">
        <v>312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2354</v>
      </c>
      <c r="D47" s="18" t="s">
        <v>2810</v>
      </c>
      <c r="E47" s="18" t="s">
        <v>2809</v>
      </c>
      <c r="F47" s="19">
        <v>12</v>
      </c>
      <c r="G47" s="19">
        <v>860</v>
      </c>
      <c r="H47" s="19">
        <v>0</v>
      </c>
      <c r="I47" s="19">
        <f t="shared" si="2"/>
        <v>860</v>
      </c>
      <c r="J47" s="18" t="s">
        <v>2724</v>
      </c>
      <c r="K47" s="18" t="s">
        <v>21</v>
      </c>
      <c r="L47" s="18" t="s">
        <v>2704</v>
      </c>
      <c r="M47" s="25" t="s">
        <v>312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2811</v>
      </c>
      <c r="D48" s="18" t="s">
        <v>2812</v>
      </c>
      <c r="E48" s="18" t="s">
        <v>2813</v>
      </c>
      <c r="F48" s="18" t="s">
        <v>128</v>
      </c>
      <c r="G48" s="19">
        <v>825</v>
      </c>
      <c r="H48" s="19">
        <v>35</v>
      </c>
      <c r="I48" s="19">
        <f t="shared" si="2"/>
        <v>790</v>
      </c>
      <c r="J48" s="18" t="s">
        <v>2724</v>
      </c>
      <c r="K48" s="18" t="s">
        <v>21</v>
      </c>
      <c r="L48" s="18" t="s">
        <v>2704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2814</v>
      </c>
      <c r="D49" s="18" t="s">
        <v>2815</v>
      </c>
      <c r="E49" s="18" t="s">
        <v>2816</v>
      </c>
      <c r="F49" s="18" t="s">
        <v>26</v>
      </c>
      <c r="G49" s="19">
        <v>600</v>
      </c>
      <c r="H49" s="19">
        <v>30</v>
      </c>
      <c r="I49" s="19">
        <f t="shared" si="2"/>
        <v>570</v>
      </c>
      <c r="J49" s="18" t="s">
        <v>2724</v>
      </c>
      <c r="K49" s="18" t="s">
        <v>21</v>
      </c>
      <c r="L49" s="18" t="s">
        <v>2704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670</v>
      </c>
      <c r="D50" s="18"/>
      <c r="E50" s="18" t="s">
        <v>671</v>
      </c>
      <c r="F50" s="18" t="s">
        <v>259</v>
      </c>
      <c r="G50" s="19">
        <v>2460</v>
      </c>
      <c r="H50" s="19">
        <v>40</v>
      </c>
      <c r="I50" s="19">
        <f t="shared" si="2"/>
        <v>2420</v>
      </c>
      <c r="J50" s="18" t="s">
        <v>2724</v>
      </c>
      <c r="K50" s="18" t="s">
        <v>21</v>
      </c>
      <c r="L50" s="18" t="s">
        <v>2704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2817</v>
      </c>
      <c r="D51" s="18" t="s">
        <v>2818</v>
      </c>
      <c r="E51" s="18" t="s">
        <v>2819</v>
      </c>
      <c r="F51" s="19">
        <v>2</v>
      </c>
      <c r="G51" s="19">
        <v>2190</v>
      </c>
      <c r="H51" s="19">
        <v>30</v>
      </c>
      <c r="I51" s="19">
        <f t="shared" si="2"/>
        <v>2160</v>
      </c>
      <c r="J51" s="18" t="s">
        <v>21</v>
      </c>
      <c r="K51" s="18" t="s">
        <v>21</v>
      </c>
      <c r="L51" s="18" t="s">
        <v>2704</v>
      </c>
      <c r="M51" s="25" t="s">
        <v>398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2820</v>
      </c>
      <c r="D52" s="18" t="s">
        <v>2821</v>
      </c>
      <c r="E52" s="18" t="s">
        <v>2822</v>
      </c>
      <c r="F52" s="19">
        <v>2</v>
      </c>
      <c r="G52" s="19">
        <v>1200</v>
      </c>
      <c r="H52" s="19">
        <v>30</v>
      </c>
      <c r="I52" s="19">
        <f t="shared" si="2"/>
        <v>1170</v>
      </c>
      <c r="J52" s="18" t="s">
        <v>21</v>
      </c>
      <c r="K52" s="18" t="s">
        <v>21</v>
      </c>
      <c r="L52" s="18" t="s">
        <v>2704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1949</v>
      </c>
      <c r="D53" s="18" t="s">
        <v>2823</v>
      </c>
      <c r="E53" s="18" t="s">
        <v>2824</v>
      </c>
      <c r="F53" s="18" t="s">
        <v>68</v>
      </c>
      <c r="G53" s="19">
        <v>760</v>
      </c>
      <c r="H53" s="19">
        <v>20</v>
      </c>
      <c r="I53" s="19">
        <f t="shared" si="2"/>
        <v>740</v>
      </c>
      <c r="J53" s="18" t="s">
        <v>21</v>
      </c>
      <c r="K53" s="18" t="s">
        <v>21</v>
      </c>
      <c r="L53" s="18" t="s">
        <v>2704</v>
      </c>
      <c r="M53" s="25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1949</v>
      </c>
      <c r="D54" s="18" t="s">
        <v>2825</v>
      </c>
      <c r="E54" s="18" t="s">
        <v>2824</v>
      </c>
      <c r="F54" s="18" t="s">
        <v>68</v>
      </c>
      <c r="G54" s="19">
        <v>440</v>
      </c>
      <c r="H54" s="19">
        <v>0</v>
      </c>
      <c r="I54" s="19">
        <f t="shared" si="2"/>
        <v>440</v>
      </c>
      <c r="J54" s="18" t="s">
        <v>21</v>
      </c>
      <c r="K54" s="18" t="s">
        <v>21</v>
      </c>
      <c r="L54" s="18" t="s">
        <v>2704</v>
      </c>
      <c r="M54" s="25" t="s">
        <v>312</v>
      </c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2826</v>
      </c>
      <c r="D55" s="18" t="s">
        <v>2827</v>
      </c>
      <c r="E55" s="18" t="s">
        <v>2828</v>
      </c>
      <c r="F55" s="18" t="s">
        <v>72</v>
      </c>
      <c r="G55" s="19">
        <v>765</v>
      </c>
      <c r="H55" s="19">
        <v>25</v>
      </c>
      <c r="I55" s="19">
        <f t="shared" si="2"/>
        <v>740</v>
      </c>
      <c r="J55" s="18" t="s">
        <v>21</v>
      </c>
      <c r="K55" s="18" t="s">
        <v>21</v>
      </c>
      <c r="L55" s="18" t="s">
        <v>2704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2829</v>
      </c>
      <c r="D56" s="18" t="s">
        <v>2830</v>
      </c>
      <c r="E56" s="18" t="s">
        <v>2831</v>
      </c>
      <c r="F56" s="18" t="s">
        <v>72</v>
      </c>
      <c r="G56" s="19">
        <v>0</v>
      </c>
      <c r="H56" s="19">
        <v>25</v>
      </c>
      <c r="I56" s="19">
        <f>-H56</f>
        <v>-25</v>
      </c>
      <c r="J56" s="18" t="s">
        <v>21</v>
      </c>
      <c r="K56" s="18" t="s">
        <v>21</v>
      </c>
      <c r="L56" s="18" t="s">
        <v>2704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2832</v>
      </c>
      <c r="D57" s="18" t="s">
        <v>2833</v>
      </c>
      <c r="E57" s="18" t="s">
        <v>2834</v>
      </c>
      <c r="F57" s="19">
        <v>2</v>
      </c>
      <c r="G57" s="19">
        <v>870</v>
      </c>
      <c r="H57" s="19">
        <v>30</v>
      </c>
      <c r="I57" s="19">
        <f t="shared" ref="I57:I62" si="3">G57-H57</f>
        <v>840</v>
      </c>
      <c r="J57" s="18" t="s">
        <v>21</v>
      </c>
      <c r="K57" s="18" t="s">
        <v>21</v>
      </c>
      <c r="L57" s="18" t="s">
        <v>2704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2835</v>
      </c>
      <c r="D58" s="18" t="s">
        <v>2836</v>
      </c>
      <c r="E58" s="18" t="s">
        <v>2837</v>
      </c>
      <c r="F58" s="18" t="s">
        <v>153</v>
      </c>
      <c r="G58" s="19">
        <v>750</v>
      </c>
      <c r="H58" s="19">
        <v>30</v>
      </c>
      <c r="I58" s="19">
        <f t="shared" si="3"/>
        <v>720</v>
      </c>
      <c r="J58" s="18" t="s">
        <v>21</v>
      </c>
      <c r="K58" s="18" t="s">
        <v>21</v>
      </c>
      <c r="L58" s="18" t="s">
        <v>2704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2838</v>
      </c>
      <c r="D59" s="18" t="s">
        <v>2839</v>
      </c>
      <c r="E59" s="18" t="s">
        <v>2840</v>
      </c>
      <c r="F59" s="18" t="s">
        <v>153</v>
      </c>
      <c r="G59" s="19">
        <v>690</v>
      </c>
      <c r="H59" s="19">
        <v>30</v>
      </c>
      <c r="I59" s="19">
        <f t="shared" si="3"/>
        <v>660</v>
      </c>
      <c r="J59" s="18" t="s">
        <v>21</v>
      </c>
      <c r="K59" s="18" t="s">
        <v>21</v>
      </c>
      <c r="L59" s="18" t="s">
        <v>2704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2841</v>
      </c>
      <c r="D60" s="18" t="s">
        <v>2842</v>
      </c>
      <c r="E60" s="18" t="s">
        <v>2843</v>
      </c>
      <c r="F60" s="18" t="s">
        <v>72</v>
      </c>
      <c r="G60" s="19">
        <v>715</v>
      </c>
      <c r="H60" s="19">
        <v>25</v>
      </c>
      <c r="I60" s="19">
        <f t="shared" si="3"/>
        <v>690</v>
      </c>
      <c r="J60" s="18" t="s">
        <v>21</v>
      </c>
      <c r="K60" s="18" t="s">
        <v>21</v>
      </c>
      <c r="L60" s="18" t="s">
        <v>2704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2844</v>
      </c>
      <c r="D61" s="18" t="s">
        <v>2845</v>
      </c>
      <c r="E61" s="18" t="s">
        <v>2846</v>
      </c>
      <c r="F61" s="18" t="s">
        <v>68</v>
      </c>
      <c r="G61" s="19">
        <v>880</v>
      </c>
      <c r="H61" s="19">
        <v>20</v>
      </c>
      <c r="I61" s="19">
        <f t="shared" si="3"/>
        <v>860</v>
      </c>
      <c r="J61" s="18" t="s">
        <v>21</v>
      </c>
      <c r="K61" s="18" t="s">
        <v>21</v>
      </c>
      <c r="L61" s="18" t="s">
        <v>2704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2847</v>
      </c>
      <c r="D62" s="18" t="s">
        <v>2848</v>
      </c>
      <c r="E62" s="18" t="s">
        <v>2849</v>
      </c>
      <c r="F62" s="18" t="s">
        <v>68</v>
      </c>
      <c r="G62" s="19">
        <v>1830</v>
      </c>
      <c r="H62" s="19">
        <v>20</v>
      </c>
      <c r="I62" s="19">
        <f t="shared" si="3"/>
        <v>1810</v>
      </c>
      <c r="J62" s="18" t="s">
        <v>21</v>
      </c>
      <c r="K62" s="18" t="s">
        <v>21</v>
      </c>
      <c r="L62" s="18" t="s">
        <v>2704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2850</v>
      </c>
      <c r="D63" s="18" t="s">
        <v>2851</v>
      </c>
      <c r="E63" s="18" t="s">
        <v>1158</v>
      </c>
      <c r="F63" s="19">
        <v>12</v>
      </c>
      <c r="G63" s="19">
        <v>0</v>
      </c>
      <c r="H63" s="19">
        <v>30</v>
      </c>
      <c r="I63" s="19">
        <f>-H63</f>
        <v>-30</v>
      </c>
      <c r="J63" s="18" t="s">
        <v>21</v>
      </c>
      <c r="K63" s="18" t="s">
        <v>21</v>
      </c>
      <c r="L63" s="18" t="s">
        <v>2704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2852</v>
      </c>
      <c r="D64" s="18" t="s">
        <v>2853</v>
      </c>
      <c r="E64" s="18" t="s">
        <v>2854</v>
      </c>
      <c r="F64" s="19">
        <v>2</v>
      </c>
      <c r="G64" s="19">
        <v>930</v>
      </c>
      <c r="H64" s="19">
        <v>30</v>
      </c>
      <c r="I64" s="19">
        <f t="shared" ref="I64:I70" si="4">G64-H64</f>
        <v>900</v>
      </c>
      <c r="J64" s="18" t="s">
        <v>21</v>
      </c>
      <c r="K64" s="18" t="s">
        <v>21</v>
      </c>
      <c r="L64" s="18" t="s">
        <v>2704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2855</v>
      </c>
      <c r="D65" s="18" t="s">
        <v>2856</v>
      </c>
      <c r="E65" s="18" t="s">
        <v>2857</v>
      </c>
      <c r="F65" s="19">
        <v>2</v>
      </c>
      <c r="G65" s="19">
        <v>690</v>
      </c>
      <c r="H65" s="19">
        <v>30</v>
      </c>
      <c r="I65" s="19">
        <f t="shared" si="4"/>
        <v>660</v>
      </c>
      <c r="J65" s="18" t="s">
        <v>21</v>
      </c>
      <c r="K65" s="18" t="s">
        <v>21</v>
      </c>
      <c r="L65" s="18" t="s">
        <v>2704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2858</v>
      </c>
      <c r="D66" s="18" t="s">
        <v>2859</v>
      </c>
      <c r="E66" s="18" t="s">
        <v>2860</v>
      </c>
      <c r="F66" s="19">
        <v>2</v>
      </c>
      <c r="G66" s="19">
        <v>980</v>
      </c>
      <c r="H66" s="19">
        <v>30</v>
      </c>
      <c r="I66" s="19">
        <f t="shared" si="4"/>
        <v>950</v>
      </c>
      <c r="J66" s="18" t="s">
        <v>21</v>
      </c>
      <c r="K66" s="18" t="s">
        <v>21</v>
      </c>
      <c r="L66" s="18" t="s">
        <v>2704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2861</v>
      </c>
      <c r="D67" s="18" t="s">
        <v>2862</v>
      </c>
      <c r="E67" s="18" t="s">
        <v>2863</v>
      </c>
      <c r="F67" s="18" t="s">
        <v>72</v>
      </c>
      <c r="G67" s="19">
        <v>865</v>
      </c>
      <c r="H67" s="19">
        <v>25</v>
      </c>
      <c r="I67" s="19">
        <f t="shared" si="4"/>
        <v>840</v>
      </c>
      <c r="J67" s="18" t="s">
        <v>21</v>
      </c>
      <c r="K67" s="18" t="s">
        <v>21</v>
      </c>
      <c r="L67" s="18" t="s">
        <v>2704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1628</v>
      </c>
      <c r="D68" s="18" t="s">
        <v>2864</v>
      </c>
      <c r="E68" s="18" t="s">
        <v>2574</v>
      </c>
      <c r="F68" s="18" t="s">
        <v>68</v>
      </c>
      <c r="G68" s="19">
        <v>680</v>
      </c>
      <c r="H68" s="19">
        <v>20</v>
      </c>
      <c r="I68" s="19">
        <f t="shared" si="4"/>
        <v>660</v>
      </c>
      <c r="J68" s="18" t="s">
        <v>21</v>
      </c>
      <c r="K68" s="18" t="s">
        <v>21</v>
      </c>
      <c r="L68" s="18" t="s">
        <v>2704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211</v>
      </c>
      <c r="D69" s="18" t="s">
        <v>2865</v>
      </c>
      <c r="E69" s="18" t="s">
        <v>2866</v>
      </c>
      <c r="F69" s="19">
        <v>2</v>
      </c>
      <c r="G69" s="19">
        <v>770</v>
      </c>
      <c r="H69" s="19">
        <v>30</v>
      </c>
      <c r="I69" s="19">
        <f t="shared" si="4"/>
        <v>740</v>
      </c>
      <c r="J69" s="18" t="s">
        <v>21</v>
      </c>
      <c r="K69" s="18" t="s">
        <v>21</v>
      </c>
      <c r="L69" s="18" t="s">
        <v>2704</v>
      </c>
      <c r="M69" s="18"/>
      <c r="N69" s="18"/>
      <c r="O69" s="18"/>
      <c r="P69" s="18"/>
      <c r="Q69" s="18">
        <v>1</v>
      </c>
    </row>
    <row r="70" spans="1:17" x14ac:dyDescent="0.25">
      <c r="A70" s="18"/>
      <c r="B70" s="18" t="s">
        <v>16</v>
      </c>
      <c r="C70" s="18" t="s">
        <v>2867</v>
      </c>
      <c r="D70" s="18" t="s">
        <v>2868</v>
      </c>
      <c r="E70" s="18" t="s">
        <v>2869</v>
      </c>
      <c r="F70" s="18" t="s">
        <v>72</v>
      </c>
      <c r="G70" s="19">
        <v>3050</v>
      </c>
      <c r="H70" s="19">
        <v>30</v>
      </c>
      <c r="I70" s="19">
        <f t="shared" si="4"/>
        <v>3020</v>
      </c>
      <c r="J70" s="18" t="s">
        <v>21</v>
      </c>
      <c r="K70" s="18" t="s">
        <v>21</v>
      </c>
      <c r="L70" s="18" t="s">
        <v>2704</v>
      </c>
      <c r="M70" s="25" t="s">
        <v>398</v>
      </c>
      <c r="N70" s="18"/>
      <c r="O70" s="18"/>
      <c r="P70" s="18"/>
      <c r="Q70" s="18">
        <v>1</v>
      </c>
    </row>
    <row r="71" spans="1:17" x14ac:dyDescent="0.25">
      <c r="A71" s="18"/>
      <c r="B71" s="18" t="s">
        <v>16</v>
      </c>
      <c r="C71" s="18" t="s">
        <v>1390</v>
      </c>
      <c r="D71" s="18" t="s">
        <v>2870</v>
      </c>
      <c r="E71" s="18" t="s">
        <v>416</v>
      </c>
      <c r="F71" s="19">
        <v>12</v>
      </c>
      <c r="G71" s="19">
        <v>0</v>
      </c>
      <c r="H71" s="19">
        <v>30</v>
      </c>
      <c r="I71" s="19">
        <f>-H71</f>
        <v>-30</v>
      </c>
      <c r="J71" s="18" t="s">
        <v>21</v>
      </c>
      <c r="K71" s="18" t="s">
        <v>21</v>
      </c>
      <c r="L71" s="18" t="s">
        <v>2704</v>
      </c>
      <c r="M71" s="18"/>
      <c r="N71" s="18"/>
      <c r="O71" s="18"/>
      <c r="P71" s="18"/>
      <c r="Q71" s="18">
        <v>1</v>
      </c>
    </row>
    <row r="72" spans="1:17" x14ac:dyDescent="0.25">
      <c r="A72" s="18"/>
      <c r="B72" s="18" t="s">
        <v>16</v>
      </c>
      <c r="C72" s="18" t="s">
        <v>2871</v>
      </c>
      <c r="D72" s="18" t="s">
        <v>2872</v>
      </c>
      <c r="E72" s="18" t="s">
        <v>1158</v>
      </c>
      <c r="F72" s="19">
        <v>12</v>
      </c>
      <c r="G72" s="19">
        <v>0</v>
      </c>
      <c r="H72" s="19">
        <v>30</v>
      </c>
      <c r="I72" s="19">
        <f>-H72</f>
        <v>-30</v>
      </c>
      <c r="J72" s="18" t="s">
        <v>21</v>
      </c>
      <c r="K72" s="18" t="s">
        <v>21</v>
      </c>
      <c r="L72" s="18" t="s">
        <v>2704</v>
      </c>
      <c r="M72" s="18"/>
      <c r="N72" s="18"/>
      <c r="O72" s="18"/>
      <c r="P72" s="18"/>
      <c r="Q72" s="18">
        <v>1</v>
      </c>
    </row>
    <row r="73" spans="1:17" x14ac:dyDescent="0.25">
      <c r="A73" s="18"/>
      <c r="B73" s="18" t="s">
        <v>16</v>
      </c>
      <c r="C73" s="18" t="s">
        <v>2670</v>
      </c>
      <c r="D73" s="18" t="s">
        <v>2873</v>
      </c>
      <c r="E73" s="18" t="s">
        <v>2672</v>
      </c>
      <c r="F73" s="18" t="s">
        <v>153</v>
      </c>
      <c r="G73" s="19">
        <v>720</v>
      </c>
      <c r="H73" s="19">
        <v>30</v>
      </c>
      <c r="I73" s="19">
        <f>G73-H73</f>
        <v>690</v>
      </c>
      <c r="J73" s="18" t="s">
        <v>21</v>
      </c>
      <c r="K73" s="18" t="s">
        <v>21</v>
      </c>
      <c r="L73" s="18" t="s">
        <v>2704</v>
      </c>
      <c r="M73" s="18"/>
      <c r="N73" s="18"/>
      <c r="O73" s="18"/>
      <c r="P73" s="18"/>
      <c r="Q73" s="18">
        <v>1</v>
      </c>
    </row>
    <row r="74" spans="1:17" x14ac:dyDescent="0.25">
      <c r="A74" s="18"/>
      <c r="B74" s="18" t="s">
        <v>16</v>
      </c>
      <c r="C74" s="18" t="s">
        <v>2874</v>
      </c>
      <c r="D74" s="18" t="s">
        <v>2875</v>
      </c>
      <c r="E74" s="18" t="s">
        <v>2876</v>
      </c>
      <c r="F74" s="18" t="s">
        <v>68</v>
      </c>
      <c r="G74" s="19">
        <v>880</v>
      </c>
      <c r="H74" s="19">
        <v>20</v>
      </c>
      <c r="I74" s="19">
        <f>G74-H74</f>
        <v>860</v>
      </c>
      <c r="J74" s="18" t="s">
        <v>21</v>
      </c>
      <c r="K74" s="18" t="s">
        <v>21</v>
      </c>
      <c r="L74" s="18" t="s">
        <v>2704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1932</v>
      </c>
      <c r="D75" s="18" t="s">
        <v>2877</v>
      </c>
      <c r="E75" s="18" t="s">
        <v>2878</v>
      </c>
      <c r="F75" s="18" t="s">
        <v>68</v>
      </c>
      <c r="G75" s="19">
        <v>3310</v>
      </c>
      <c r="H75" s="19">
        <v>30</v>
      </c>
      <c r="I75" s="19">
        <f>G75-H75</f>
        <v>3280</v>
      </c>
      <c r="J75" s="18" t="s">
        <v>21</v>
      </c>
      <c r="K75" s="18" t="s">
        <v>21</v>
      </c>
      <c r="L75" s="18" t="s">
        <v>2704</v>
      </c>
      <c r="M75" s="25" t="s">
        <v>1242</v>
      </c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1932</v>
      </c>
      <c r="D76" s="18" t="s">
        <v>2879</v>
      </c>
      <c r="E76" s="18" t="s">
        <v>2878</v>
      </c>
      <c r="F76" s="18" t="s">
        <v>68</v>
      </c>
      <c r="G76" s="19">
        <v>1320</v>
      </c>
      <c r="H76" s="19">
        <v>0</v>
      </c>
      <c r="I76" s="19">
        <f>G76-H76</f>
        <v>1320</v>
      </c>
      <c r="J76" s="18" t="s">
        <v>21</v>
      </c>
      <c r="K76" s="18" t="s">
        <v>21</v>
      </c>
      <c r="L76" s="18" t="s">
        <v>2704</v>
      </c>
      <c r="M76" s="25" t="s">
        <v>312</v>
      </c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2880</v>
      </c>
      <c r="D77" s="18" t="s">
        <v>2881</v>
      </c>
      <c r="E77" s="18" t="s">
        <v>2882</v>
      </c>
      <c r="F77" s="19">
        <v>2</v>
      </c>
      <c r="G77" s="19">
        <v>770</v>
      </c>
      <c r="H77" s="19">
        <v>30</v>
      </c>
      <c r="I77" s="19">
        <f>G77-H77</f>
        <v>740</v>
      </c>
      <c r="J77" s="18" t="s">
        <v>21</v>
      </c>
      <c r="K77" s="18" t="s">
        <v>21</v>
      </c>
      <c r="L77" s="18" t="s">
        <v>2704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2883</v>
      </c>
      <c r="D78" s="18" t="s">
        <v>2884</v>
      </c>
      <c r="E78" s="18" t="s">
        <v>2885</v>
      </c>
      <c r="F78" s="18" t="s">
        <v>88</v>
      </c>
      <c r="G78" s="19">
        <v>0</v>
      </c>
      <c r="H78" s="19">
        <v>30</v>
      </c>
      <c r="I78" s="19">
        <f>-H78</f>
        <v>-30</v>
      </c>
      <c r="J78" s="18" t="s">
        <v>21</v>
      </c>
      <c r="K78" s="18" t="s">
        <v>21</v>
      </c>
      <c r="L78" s="18" t="s">
        <v>2704</v>
      </c>
      <c r="M78" s="18"/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2886</v>
      </c>
      <c r="D79" s="18" t="s">
        <v>2887</v>
      </c>
      <c r="E79" s="18" t="s">
        <v>2888</v>
      </c>
      <c r="F79" s="19">
        <v>12</v>
      </c>
      <c r="G79" s="19">
        <v>0</v>
      </c>
      <c r="H79" s="19">
        <v>35</v>
      </c>
      <c r="I79" s="19">
        <f>-H79</f>
        <v>-35</v>
      </c>
      <c r="J79" s="18" t="s">
        <v>21</v>
      </c>
      <c r="K79" s="18" t="s">
        <v>21</v>
      </c>
      <c r="L79" s="18" t="s">
        <v>2704</v>
      </c>
      <c r="M79" s="18"/>
      <c r="N79" s="18"/>
      <c r="O79" s="18"/>
      <c r="P79" s="18"/>
      <c r="Q79" s="18">
        <v>1</v>
      </c>
    </row>
    <row r="80" spans="1:17" x14ac:dyDescent="0.25">
      <c r="A80" s="18" t="s">
        <v>62</v>
      </c>
      <c r="B80" s="18" t="s">
        <v>16</v>
      </c>
      <c r="C80" s="18" t="s">
        <v>640</v>
      </c>
      <c r="D80" s="18"/>
      <c r="E80" s="18" t="s">
        <v>2889</v>
      </c>
      <c r="F80" s="18" t="s">
        <v>72</v>
      </c>
      <c r="G80" s="19">
        <v>2815</v>
      </c>
      <c r="H80" s="19">
        <v>35</v>
      </c>
      <c r="I80" s="19">
        <f>G80-H80</f>
        <v>2780</v>
      </c>
      <c r="J80" s="18" t="s">
        <v>21</v>
      </c>
      <c r="K80" s="18" t="s">
        <v>21</v>
      </c>
      <c r="L80" s="18" t="s">
        <v>2704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2890</v>
      </c>
      <c r="D81" s="18" t="s">
        <v>2891</v>
      </c>
      <c r="E81" s="18" t="s">
        <v>2892</v>
      </c>
      <c r="F81" s="18" t="s">
        <v>88</v>
      </c>
      <c r="G81" s="19">
        <v>0</v>
      </c>
      <c r="H81" s="19">
        <v>25</v>
      </c>
      <c r="I81" s="19">
        <f>G81-H81</f>
        <v>-25</v>
      </c>
      <c r="J81" s="18" t="s">
        <v>165</v>
      </c>
      <c r="K81" s="18" t="s">
        <v>21</v>
      </c>
      <c r="L81" s="18" t="s">
        <v>2704</v>
      </c>
      <c r="M81" s="25" t="s">
        <v>1242</v>
      </c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2890</v>
      </c>
      <c r="D82" s="18" t="s">
        <v>2893</v>
      </c>
      <c r="E82" s="18" t="s">
        <v>2892</v>
      </c>
      <c r="F82" s="18" t="s">
        <v>88</v>
      </c>
      <c r="G82" s="19">
        <v>0</v>
      </c>
      <c r="H82" s="19">
        <v>0</v>
      </c>
      <c r="I82" s="19">
        <f>H82</f>
        <v>0</v>
      </c>
      <c r="J82" s="18" t="s">
        <v>165</v>
      </c>
      <c r="K82" s="18" t="s">
        <v>21</v>
      </c>
      <c r="L82" s="18" t="s">
        <v>2704</v>
      </c>
      <c r="M82" s="25" t="s">
        <v>312</v>
      </c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242</v>
      </c>
      <c r="D83" s="18" t="s">
        <v>2894</v>
      </c>
      <c r="E83" s="18" t="s">
        <v>244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165</v>
      </c>
      <c r="K83" s="18" t="s">
        <v>21</v>
      </c>
      <c r="L83" s="18" t="s">
        <v>2704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2895</v>
      </c>
      <c r="D84" s="18" t="s">
        <v>2896</v>
      </c>
      <c r="E84" s="18" t="s">
        <v>2897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165</v>
      </c>
      <c r="K84" s="18" t="s">
        <v>21</v>
      </c>
      <c r="L84" s="18" t="s">
        <v>2704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2898</v>
      </c>
      <c r="D85" s="18" t="s">
        <v>2899</v>
      </c>
      <c r="E85" s="18" t="s">
        <v>2900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165</v>
      </c>
      <c r="K85" s="18" t="s">
        <v>21</v>
      </c>
      <c r="L85" s="18" t="s">
        <v>2704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2901</v>
      </c>
      <c r="D86" s="18" t="s">
        <v>2902</v>
      </c>
      <c r="E86" s="18" t="s">
        <v>2903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165</v>
      </c>
      <c r="K86" s="18" t="s">
        <v>21</v>
      </c>
      <c r="L86" s="18" t="s">
        <v>2704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1654</v>
      </c>
      <c r="D87" s="18" t="s">
        <v>2904</v>
      </c>
      <c r="E87" s="18" t="s">
        <v>1656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165</v>
      </c>
      <c r="K87" s="18" t="s">
        <v>21</v>
      </c>
      <c r="L87" s="18" t="s">
        <v>2704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2905</v>
      </c>
      <c r="D88" s="18" t="s">
        <v>2906</v>
      </c>
      <c r="E88" s="18" t="s">
        <v>2907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165</v>
      </c>
      <c r="K88" s="18" t="s">
        <v>21</v>
      </c>
      <c r="L88" s="18" t="s">
        <v>2704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2908</v>
      </c>
      <c r="D89" s="18" t="s">
        <v>2909</v>
      </c>
      <c r="E89" s="18" t="s">
        <v>2910</v>
      </c>
      <c r="F89" s="19">
        <v>1</v>
      </c>
      <c r="G89" s="19">
        <v>815</v>
      </c>
      <c r="H89" s="19">
        <v>25</v>
      </c>
      <c r="I89" s="19">
        <f t="shared" ref="I89:I96" si="5">G89-H89</f>
        <v>790</v>
      </c>
      <c r="J89" s="18" t="s">
        <v>165</v>
      </c>
      <c r="K89" s="18" t="s">
        <v>21</v>
      </c>
      <c r="L89" s="18" t="s">
        <v>2704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2911</v>
      </c>
      <c r="D90" s="18" t="s">
        <v>2912</v>
      </c>
      <c r="E90" s="18" t="s">
        <v>2913</v>
      </c>
      <c r="F90" s="19">
        <v>1</v>
      </c>
      <c r="G90" s="19">
        <v>1475</v>
      </c>
      <c r="H90" s="19">
        <v>25</v>
      </c>
      <c r="I90" s="19">
        <f t="shared" si="5"/>
        <v>1450</v>
      </c>
      <c r="J90" s="18" t="s">
        <v>165</v>
      </c>
      <c r="K90" s="18" t="s">
        <v>21</v>
      </c>
      <c r="L90" s="18" t="s">
        <v>2704</v>
      </c>
      <c r="M90" s="18"/>
      <c r="N90" s="18"/>
      <c r="O90" s="18"/>
      <c r="P90" s="18"/>
      <c r="Q90" s="18">
        <v>1</v>
      </c>
    </row>
    <row r="91" spans="1:17" x14ac:dyDescent="0.25">
      <c r="A91" s="18"/>
      <c r="B91" s="18" t="s">
        <v>16</v>
      </c>
      <c r="C91" s="18" t="s">
        <v>2914</v>
      </c>
      <c r="D91" s="18" t="s">
        <v>2915</v>
      </c>
      <c r="E91" s="18" t="s">
        <v>2916</v>
      </c>
      <c r="F91" s="19">
        <v>1</v>
      </c>
      <c r="G91" s="19">
        <v>765</v>
      </c>
      <c r="H91" s="19">
        <v>25</v>
      </c>
      <c r="I91" s="19">
        <f t="shared" si="5"/>
        <v>740</v>
      </c>
      <c r="J91" s="18" t="s">
        <v>165</v>
      </c>
      <c r="K91" s="18" t="s">
        <v>21</v>
      </c>
      <c r="L91" s="18" t="s">
        <v>2704</v>
      </c>
      <c r="M91" s="18"/>
      <c r="N91" s="18"/>
      <c r="O91" s="18"/>
      <c r="P91" s="18"/>
      <c r="Q91" s="18">
        <v>1</v>
      </c>
    </row>
    <row r="92" spans="1:17" x14ac:dyDescent="0.25">
      <c r="A92" s="18"/>
      <c r="B92" s="18" t="s">
        <v>16</v>
      </c>
      <c r="C92" s="18" t="s">
        <v>2917</v>
      </c>
      <c r="D92" s="18" t="s">
        <v>2918</v>
      </c>
      <c r="E92" s="18" t="s">
        <v>2919</v>
      </c>
      <c r="F92" s="18" t="s">
        <v>88</v>
      </c>
      <c r="G92" s="19">
        <v>685</v>
      </c>
      <c r="H92" s="19">
        <v>25</v>
      </c>
      <c r="I92" s="19">
        <f t="shared" si="5"/>
        <v>660</v>
      </c>
      <c r="J92" s="18" t="s">
        <v>165</v>
      </c>
      <c r="K92" s="18" t="s">
        <v>21</v>
      </c>
      <c r="L92" s="18" t="s">
        <v>2704</v>
      </c>
      <c r="M92" s="18"/>
      <c r="N92" s="18"/>
      <c r="O92" s="18"/>
      <c r="P92" s="18"/>
      <c r="Q92" s="18">
        <v>1</v>
      </c>
    </row>
    <row r="93" spans="1:17" x14ac:dyDescent="0.25">
      <c r="A93" s="18"/>
      <c r="B93" s="18" t="s">
        <v>16</v>
      </c>
      <c r="C93" s="18" t="s">
        <v>2920</v>
      </c>
      <c r="D93" s="18" t="s">
        <v>2921</v>
      </c>
      <c r="E93" s="18" t="s">
        <v>2922</v>
      </c>
      <c r="F93" s="18" t="s">
        <v>88</v>
      </c>
      <c r="G93" s="19">
        <v>765</v>
      </c>
      <c r="H93" s="19">
        <v>25</v>
      </c>
      <c r="I93" s="19">
        <f t="shared" si="5"/>
        <v>740</v>
      </c>
      <c r="J93" s="18" t="s">
        <v>165</v>
      </c>
      <c r="K93" s="18" t="s">
        <v>21</v>
      </c>
      <c r="L93" s="18" t="s">
        <v>2704</v>
      </c>
      <c r="M93" s="18"/>
      <c r="N93" s="18"/>
      <c r="O93" s="18"/>
      <c r="P93" s="18"/>
      <c r="Q93" s="18">
        <v>1</v>
      </c>
    </row>
    <row r="94" spans="1:17" x14ac:dyDescent="0.25">
      <c r="A94" s="18"/>
      <c r="B94" s="18" t="s">
        <v>16</v>
      </c>
      <c r="C94" s="18" t="s">
        <v>2923</v>
      </c>
      <c r="D94" s="18" t="s">
        <v>2924</v>
      </c>
      <c r="E94" s="18" t="s">
        <v>2925</v>
      </c>
      <c r="F94" s="19">
        <v>4</v>
      </c>
      <c r="G94" s="19">
        <v>765</v>
      </c>
      <c r="H94" s="19">
        <v>25</v>
      </c>
      <c r="I94" s="19">
        <f t="shared" si="5"/>
        <v>740</v>
      </c>
      <c r="J94" s="18" t="s">
        <v>165</v>
      </c>
      <c r="K94" s="18" t="s">
        <v>21</v>
      </c>
      <c r="L94" s="18" t="s">
        <v>2704</v>
      </c>
      <c r="M94" s="18"/>
      <c r="N94" s="18"/>
      <c r="O94" s="18"/>
      <c r="P94" s="18"/>
      <c r="Q94" s="18">
        <v>1</v>
      </c>
    </row>
    <row r="95" spans="1:17" x14ac:dyDescent="0.25">
      <c r="A95" s="18"/>
      <c r="B95" s="18" t="s">
        <v>16</v>
      </c>
      <c r="C95" s="18" t="s">
        <v>2926</v>
      </c>
      <c r="D95" s="18" t="s">
        <v>2927</v>
      </c>
      <c r="E95" s="18" t="s">
        <v>2928</v>
      </c>
      <c r="F95" s="19">
        <v>3</v>
      </c>
      <c r="G95" s="19">
        <v>375</v>
      </c>
      <c r="H95" s="19">
        <v>25</v>
      </c>
      <c r="I95" s="19">
        <f t="shared" si="5"/>
        <v>350</v>
      </c>
      <c r="J95" s="18" t="s">
        <v>165</v>
      </c>
      <c r="K95" s="18" t="s">
        <v>21</v>
      </c>
      <c r="L95" s="18" t="s">
        <v>2704</v>
      </c>
      <c r="M95" s="18"/>
      <c r="N95" s="18"/>
      <c r="O95" s="18"/>
      <c r="P95" s="18"/>
      <c r="Q95" s="18">
        <v>1</v>
      </c>
    </row>
    <row r="96" spans="1:17" x14ac:dyDescent="0.25">
      <c r="A96" s="18"/>
      <c r="B96" s="18" t="s">
        <v>16</v>
      </c>
      <c r="C96" s="18" t="s">
        <v>2929</v>
      </c>
      <c r="D96" s="18" t="s">
        <v>2930</v>
      </c>
      <c r="E96" s="18" t="s">
        <v>2931</v>
      </c>
      <c r="F96" s="19">
        <v>3</v>
      </c>
      <c r="G96" s="19">
        <v>1145</v>
      </c>
      <c r="H96" s="19">
        <v>25</v>
      </c>
      <c r="I96" s="19">
        <f t="shared" si="5"/>
        <v>1120</v>
      </c>
      <c r="J96" s="18" t="s">
        <v>165</v>
      </c>
      <c r="K96" s="18" t="s">
        <v>21</v>
      </c>
      <c r="L96" s="18" t="s">
        <v>2704</v>
      </c>
      <c r="M96" s="18"/>
      <c r="N96" s="18"/>
      <c r="O96" s="18"/>
      <c r="P96" s="18"/>
      <c r="Q96" s="18">
        <v>1</v>
      </c>
    </row>
    <row r="97" spans="1:17" x14ac:dyDescent="0.25">
      <c r="A97" s="18"/>
      <c r="B97" s="18" t="s">
        <v>16</v>
      </c>
      <c r="C97" s="18" t="s">
        <v>2932</v>
      </c>
      <c r="D97" s="18" t="s">
        <v>2933</v>
      </c>
      <c r="E97" s="18" t="s">
        <v>2934</v>
      </c>
      <c r="F97" s="18" t="s">
        <v>88</v>
      </c>
      <c r="G97" s="19">
        <v>0</v>
      </c>
      <c r="H97" s="19">
        <v>25</v>
      </c>
      <c r="I97" s="19">
        <f>-H97</f>
        <v>-25</v>
      </c>
      <c r="J97" s="18" t="s">
        <v>165</v>
      </c>
      <c r="K97" s="18" t="s">
        <v>21</v>
      </c>
      <c r="L97" s="18" t="s">
        <v>2704</v>
      </c>
      <c r="M97" s="18"/>
      <c r="N97" s="18"/>
      <c r="O97" s="18"/>
      <c r="P97" s="18"/>
      <c r="Q97" s="18">
        <v>1</v>
      </c>
    </row>
    <row r="98" spans="1:17" x14ac:dyDescent="0.25">
      <c r="A98" s="18"/>
      <c r="B98" s="18" t="s">
        <v>16</v>
      </c>
      <c r="C98" s="18" t="s">
        <v>2935</v>
      </c>
      <c r="D98" s="18" t="s">
        <v>2936</v>
      </c>
      <c r="E98" s="18" t="s">
        <v>2937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165</v>
      </c>
      <c r="K98" s="18" t="s">
        <v>21</v>
      </c>
      <c r="L98" s="18" t="s">
        <v>2704</v>
      </c>
      <c r="M98" s="18"/>
      <c r="N98" s="18"/>
      <c r="O98" s="18"/>
      <c r="P98" s="18"/>
      <c r="Q98" s="18">
        <v>1</v>
      </c>
    </row>
    <row r="99" spans="1:17" x14ac:dyDescent="0.25">
      <c r="A99" s="18"/>
      <c r="B99" s="18" t="s">
        <v>16</v>
      </c>
      <c r="C99" s="18" t="s">
        <v>1972</v>
      </c>
      <c r="D99" s="18" t="s">
        <v>2938</v>
      </c>
      <c r="E99" s="18" t="s">
        <v>2939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165</v>
      </c>
      <c r="K99" s="18" t="s">
        <v>21</v>
      </c>
      <c r="L99" s="18" t="s">
        <v>2704</v>
      </c>
      <c r="M99" s="25" t="s">
        <v>1242</v>
      </c>
      <c r="N99" s="18"/>
      <c r="O99" s="18"/>
      <c r="P99" s="18"/>
      <c r="Q99" s="18">
        <v>1</v>
      </c>
    </row>
    <row r="100" spans="1:17" x14ac:dyDescent="0.25">
      <c r="A100" s="18"/>
      <c r="B100" s="18" t="s">
        <v>16</v>
      </c>
      <c r="C100" s="18" t="s">
        <v>2940</v>
      </c>
      <c r="D100" s="18" t="s">
        <v>2941</v>
      </c>
      <c r="E100" s="18" t="s">
        <v>2939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165</v>
      </c>
      <c r="K100" s="18" t="s">
        <v>21</v>
      </c>
      <c r="L100" s="18" t="s">
        <v>2704</v>
      </c>
      <c r="M100" s="25" t="s">
        <v>312</v>
      </c>
      <c r="N100" s="18"/>
      <c r="O100" s="18"/>
      <c r="P100" s="18"/>
      <c r="Q100" s="18">
        <v>1</v>
      </c>
    </row>
    <row r="101" spans="1:17" x14ac:dyDescent="0.25">
      <c r="A101" s="18"/>
      <c r="B101" s="18" t="s">
        <v>16</v>
      </c>
      <c r="C101" s="18" t="s">
        <v>2942</v>
      </c>
      <c r="D101" s="18" t="s">
        <v>2943</v>
      </c>
      <c r="E101" s="18" t="s">
        <v>2944</v>
      </c>
      <c r="F101" s="18" t="s">
        <v>88</v>
      </c>
      <c r="G101" s="19">
        <v>0</v>
      </c>
      <c r="H101" s="19">
        <v>25</v>
      </c>
      <c r="I101" s="19">
        <f>-H101</f>
        <v>-25</v>
      </c>
      <c r="J101" s="18" t="s">
        <v>165</v>
      </c>
      <c r="K101" s="18" t="s">
        <v>21</v>
      </c>
      <c r="L101" s="18" t="s">
        <v>2704</v>
      </c>
      <c r="M101" s="18"/>
      <c r="N101" s="18"/>
      <c r="O101" s="18"/>
      <c r="P101" s="18"/>
      <c r="Q101" s="18">
        <v>1</v>
      </c>
    </row>
    <row r="102" spans="1:17" x14ac:dyDescent="0.25">
      <c r="A102" s="18"/>
      <c r="B102" s="18" t="s">
        <v>16</v>
      </c>
      <c r="C102" s="18" t="s">
        <v>2945</v>
      </c>
      <c r="D102" s="18" t="s">
        <v>2946</v>
      </c>
      <c r="E102" s="18" t="s">
        <v>2947</v>
      </c>
      <c r="F102" s="19">
        <v>4</v>
      </c>
      <c r="G102" s="19">
        <v>885</v>
      </c>
      <c r="H102" s="19">
        <v>25</v>
      </c>
      <c r="I102" s="19">
        <f t="shared" ref="I102:I107" si="6">G102-H102</f>
        <v>860</v>
      </c>
      <c r="J102" s="18" t="s">
        <v>165</v>
      </c>
      <c r="K102" s="18" t="s">
        <v>21</v>
      </c>
      <c r="L102" s="18" t="s">
        <v>2704</v>
      </c>
      <c r="M102" s="18"/>
      <c r="N102" s="18"/>
      <c r="O102" s="18"/>
      <c r="P102" s="18"/>
      <c r="Q102" s="18">
        <v>1</v>
      </c>
    </row>
    <row r="103" spans="1:17" x14ac:dyDescent="0.25">
      <c r="A103" s="18"/>
      <c r="B103" s="18" t="s">
        <v>16</v>
      </c>
      <c r="C103" s="18" t="s">
        <v>2948</v>
      </c>
      <c r="D103" s="18" t="s">
        <v>2949</v>
      </c>
      <c r="E103" s="18" t="s">
        <v>2950</v>
      </c>
      <c r="F103" s="18" t="s">
        <v>85</v>
      </c>
      <c r="G103" s="19">
        <v>710</v>
      </c>
      <c r="H103" s="19">
        <v>20</v>
      </c>
      <c r="I103" s="19">
        <f t="shared" si="6"/>
        <v>690</v>
      </c>
      <c r="J103" s="18" t="s">
        <v>165</v>
      </c>
      <c r="K103" s="18" t="s">
        <v>21</v>
      </c>
      <c r="L103" s="18" t="s">
        <v>2704</v>
      </c>
      <c r="M103" s="18"/>
      <c r="N103" s="18"/>
      <c r="O103" s="18"/>
      <c r="P103" s="18"/>
      <c r="Q103" s="18">
        <v>1</v>
      </c>
    </row>
    <row r="104" spans="1:17" x14ac:dyDescent="0.25">
      <c r="A104" s="18"/>
      <c r="B104" s="18" t="s">
        <v>16</v>
      </c>
      <c r="C104" s="18" t="s">
        <v>2555</v>
      </c>
      <c r="D104" s="18" t="s">
        <v>2951</v>
      </c>
      <c r="E104" s="18" t="s">
        <v>2557</v>
      </c>
      <c r="F104" s="18" t="s">
        <v>88</v>
      </c>
      <c r="G104" s="19">
        <v>1625</v>
      </c>
      <c r="H104" s="19">
        <v>25</v>
      </c>
      <c r="I104" s="19">
        <f t="shared" si="6"/>
        <v>1600</v>
      </c>
      <c r="J104" s="18" t="s">
        <v>165</v>
      </c>
      <c r="K104" s="18" t="s">
        <v>21</v>
      </c>
      <c r="L104" s="18" t="s">
        <v>2704</v>
      </c>
      <c r="M104" s="18"/>
      <c r="N104" s="18"/>
      <c r="O104" s="18"/>
      <c r="P104" s="18"/>
      <c r="Q104" s="18">
        <v>1</v>
      </c>
    </row>
    <row r="105" spans="1:17" x14ac:dyDescent="0.25">
      <c r="A105" s="18"/>
      <c r="B105" s="18" t="s">
        <v>16</v>
      </c>
      <c r="C105" s="18" t="s">
        <v>2508</v>
      </c>
      <c r="D105" s="18" t="s">
        <v>2952</v>
      </c>
      <c r="E105" s="18" t="s">
        <v>2635</v>
      </c>
      <c r="F105" s="19">
        <v>10</v>
      </c>
      <c r="G105" s="19">
        <v>585</v>
      </c>
      <c r="H105" s="19">
        <v>25</v>
      </c>
      <c r="I105" s="19">
        <f t="shared" si="6"/>
        <v>560</v>
      </c>
      <c r="J105" s="18" t="s">
        <v>165</v>
      </c>
      <c r="K105" s="18" t="s">
        <v>21</v>
      </c>
      <c r="L105" s="18" t="s">
        <v>2704</v>
      </c>
      <c r="M105" s="18"/>
      <c r="N105" s="18"/>
      <c r="O105" s="18"/>
      <c r="P105" s="18"/>
      <c r="Q105" s="18">
        <v>1</v>
      </c>
    </row>
    <row r="106" spans="1:17" x14ac:dyDescent="0.25">
      <c r="A106" s="18"/>
      <c r="B106" s="18" t="s">
        <v>16</v>
      </c>
      <c r="C106" s="18" t="s">
        <v>645</v>
      </c>
      <c r="D106" s="18" t="s">
        <v>2953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6"/>
        <v>440</v>
      </c>
      <c r="J106" s="18" t="s">
        <v>165</v>
      </c>
      <c r="K106" s="18" t="s">
        <v>21</v>
      </c>
      <c r="L106" s="18" t="s">
        <v>2704</v>
      </c>
      <c r="M106" s="18"/>
      <c r="N106" s="18"/>
      <c r="O106" s="18"/>
      <c r="P106" s="18"/>
      <c r="Q106" s="18">
        <v>1</v>
      </c>
    </row>
    <row r="107" spans="1:17" x14ac:dyDescent="0.25">
      <c r="A107" s="18"/>
      <c r="B107" s="18" t="s">
        <v>16</v>
      </c>
      <c r="C107" s="18" t="s">
        <v>2954</v>
      </c>
      <c r="D107" s="18" t="s">
        <v>2955</v>
      </c>
      <c r="E107" s="18" t="s">
        <v>2956</v>
      </c>
      <c r="F107" s="19">
        <v>1</v>
      </c>
      <c r="G107" s="19">
        <v>685</v>
      </c>
      <c r="H107" s="19">
        <v>25</v>
      </c>
      <c r="I107" s="19">
        <f t="shared" si="6"/>
        <v>660</v>
      </c>
      <c r="J107" s="18" t="s">
        <v>165</v>
      </c>
      <c r="K107" s="18" t="s">
        <v>21</v>
      </c>
      <c r="L107" s="18" t="s">
        <v>2704</v>
      </c>
      <c r="M107" s="18"/>
      <c r="N107" s="18"/>
      <c r="O107" s="18"/>
      <c r="P107" s="18"/>
      <c r="Q107" s="18">
        <v>1</v>
      </c>
    </row>
    <row r="108" spans="1:17" x14ac:dyDescent="0.25">
      <c r="A108" s="18"/>
      <c r="B108" s="18" t="s">
        <v>16</v>
      </c>
      <c r="C108" s="18" t="s">
        <v>2957</v>
      </c>
      <c r="D108" s="18" t="s">
        <v>2958</v>
      </c>
      <c r="E108" s="18" t="s">
        <v>2959</v>
      </c>
      <c r="F108" s="18" t="s">
        <v>88</v>
      </c>
      <c r="G108" s="19">
        <v>0</v>
      </c>
      <c r="H108" s="19">
        <v>25</v>
      </c>
      <c r="I108" s="19">
        <f>-H108</f>
        <v>-25</v>
      </c>
      <c r="J108" s="18" t="s">
        <v>165</v>
      </c>
      <c r="K108" s="18" t="s">
        <v>21</v>
      </c>
      <c r="L108" s="18" t="s">
        <v>2704</v>
      </c>
      <c r="M108" s="18"/>
      <c r="N108" s="18"/>
      <c r="O108" s="18"/>
      <c r="P108" s="18"/>
      <c r="Q108" s="18">
        <v>1</v>
      </c>
    </row>
    <row r="109" spans="1:17" x14ac:dyDescent="0.25">
      <c r="A109" s="18"/>
      <c r="B109" s="18" t="s">
        <v>16</v>
      </c>
      <c r="C109" s="18" t="s">
        <v>2960</v>
      </c>
      <c r="D109" s="18" t="s">
        <v>2961</v>
      </c>
      <c r="E109" s="18" t="s">
        <v>2962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165</v>
      </c>
      <c r="K109" s="18" t="s">
        <v>21</v>
      </c>
      <c r="L109" s="18" t="s">
        <v>2704</v>
      </c>
      <c r="M109" s="18"/>
      <c r="N109" s="18"/>
      <c r="O109" s="18"/>
      <c r="P109" s="18"/>
      <c r="Q109" s="18">
        <v>1</v>
      </c>
    </row>
    <row r="110" spans="1:17" x14ac:dyDescent="0.25">
      <c r="A110" s="18"/>
      <c r="B110" s="18" t="s">
        <v>16</v>
      </c>
      <c r="C110" s="18" t="s">
        <v>2963</v>
      </c>
      <c r="D110" s="18" t="s">
        <v>2964</v>
      </c>
      <c r="E110" s="18" t="s">
        <v>2965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165</v>
      </c>
      <c r="K110" s="18" t="s">
        <v>21</v>
      </c>
      <c r="L110" s="18" t="s">
        <v>2704</v>
      </c>
      <c r="M110" s="18"/>
      <c r="N110" s="18"/>
      <c r="O110" s="18"/>
      <c r="P110" s="18"/>
      <c r="Q110" s="18">
        <v>1</v>
      </c>
    </row>
    <row r="111" spans="1:17" x14ac:dyDescent="0.25">
      <c r="A111" s="18"/>
      <c r="B111" s="18" t="s">
        <v>16</v>
      </c>
      <c r="C111" s="18" t="s">
        <v>2966</v>
      </c>
      <c r="D111" s="18" t="s">
        <v>2967</v>
      </c>
      <c r="E111" s="18" t="s">
        <v>1318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165</v>
      </c>
      <c r="K111" s="18" t="s">
        <v>21</v>
      </c>
      <c r="L111" s="18" t="s">
        <v>2704</v>
      </c>
      <c r="M111" s="18"/>
      <c r="N111" s="18"/>
      <c r="O111" s="18"/>
      <c r="P111" s="18"/>
      <c r="Q111" s="18">
        <v>1</v>
      </c>
    </row>
    <row r="112" spans="1:17" x14ac:dyDescent="0.25">
      <c r="A112" s="18"/>
      <c r="B112" s="18" t="s">
        <v>16</v>
      </c>
      <c r="C112" s="18" t="s">
        <v>2968</v>
      </c>
      <c r="D112" s="18" t="s">
        <v>2969</v>
      </c>
      <c r="E112" s="18" t="s">
        <v>2970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165</v>
      </c>
      <c r="K112" s="18" t="s">
        <v>21</v>
      </c>
      <c r="L112" s="18" t="s">
        <v>2704</v>
      </c>
      <c r="M112" s="18"/>
      <c r="N112" s="18"/>
      <c r="O112" s="18"/>
      <c r="P112" s="18"/>
      <c r="Q112" s="18">
        <v>1</v>
      </c>
    </row>
    <row r="113" spans="1:17" x14ac:dyDescent="0.25">
      <c r="A113" s="18"/>
      <c r="B113" s="18" t="s">
        <v>16</v>
      </c>
      <c r="C113" s="18" t="s">
        <v>2474</v>
      </c>
      <c r="D113" s="18" t="s">
        <v>2971</v>
      </c>
      <c r="E113" s="18" t="s">
        <v>2476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165</v>
      </c>
      <c r="K113" s="18" t="s">
        <v>21</v>
      </c>
      <c r="L113" s="18" t="s">
        <v>2704</v>
      </c>
      <c r="M113" s="18"/>
      <c r="N113" s="18"/>
      <c r="O113" s="18"/>
      <c r="P113" s="18"/>
      <c r="Q113" s="18">
        <v>1</v>
      </c>
    </row>
    <row r="114" spans="1:17" x14ac:dyDescent="0.25">
      <c r="A114" s="18"/>
      <c r="B114" s="18" t="s">
        <v>16</v>
      </c>
      <c r="C114" s="18" t="s">
        <v>2972</v>
      </c>
      <c r="D114" s="18" t="s">
        <v>2973</v>
      </c>
      <c r="E114" s="18" t="s">
        <v>2974</v>
      </c>
      <c r="F114" s="18" t="s">
        <v>85</v>
      </c>
      <c r="G114" s="19">
        <v>710</v>
      </c>
      <c r="H114" s="19">
        <v>20</v>
      </c>
      <c r="I114" s="19">
        <f>G114-H114</f>
        <v>690</v>
      </c>
      <c r="J114" s="18" t="s">
        <v>165</v>
      </c>
      <c r="K114" s="18" t="s">
        <v>21</v>
      </c>
      <c r="L114" s="18" t="s">
        <v>2704</v>
      </c>
      <c r="M114" s="18"/>
      <c r="N114" s="18"/>
      <c r="O114" s="18"/>
      <c r="P114" s="18"/>
      <c r="Q114" s="18">
        <v>1</v>
      </c>
    </row>
    <row r="115" spans="1:17" x14ac:dyDescent="0.25">
      <c r="A115" s="18"/>
      <c r="B115" s="18" t="s">
        <v>16</v>
      </c>
      <c r="C115" s="18" t="s">
        <v>2975</v>
      </c>
      <c r="D115" s="18" t="s">
        <v>2976</v>
      </c>
      <c r="E115" s="18" t="s">
        <v>2977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165</v>
      </c>
      <c r="K115" s="18" t="s">
        <v>21</v>
      </c>
      <c r="L115" s="18" t="s">
        <v>2704</v>
      </c>
      <c r="M115" s="18"/>
      <c r="N115" s="18"/>
      <c r="O115" s="18"/>
      <c r="P115" s="18"/>
      <c r="Q115" s="18">
        <v>1</v>
      </c>
    </row>
    <row r="116" spans="1:17" x14ac:dyDescent="0.25">
      <c r="A116" s="18" t="s">
        <v>62</v>
      </c>
      <c r="B116" s="18" t="s">
        <v>16</v>
      </c>
      <c r="C116" s="18" t="s">
        <v>441</v>
      </c>
      <c r="D116" s="18"/>
      <c r="E116" s="18" t="s">
        <v>442</v>
      </c>
      <c r="F116" s="18" t="s">
        <v>88</v>
      </c>
      <c r="G116" s="19">
        <v>0</v>
      </c>
      <c r="H116" s="19">
        <v>30</v>
      </c>
      <c r="I116" s="19">
        <f>-H116</f>
        <v>-30</v>
      </c>
      <c r="J116" s="18" t="s">
        <v>165</v>
      </c>
      <c r="K116" s="18" t="s">
        <v>21</v>
      </c>
      <c r="L116" s="18" t="s">
        <v>2704</v>
      </c>
      <c r="M116" s="18"/>
      <c r="N116" s="18"/>
      <c r="O116" s="18"/>
      <c r="P116" s="18"/>
      <c r="Q116" s="18">
        <v>1</v>
      </c>
    </row>
    <row r="117" spans="1:17" x14ac:dyDescent="0.25">
      <c r="A117" s="18" t="s">
        <v>62</v>
      </c>
      <c r="B117" s="18" t="s">
        <v>16</v>
      </c>
      <c r="C117" s="18" t="s">
        <v>2978</v>
      </c>
      <c r="D117" s="18"/>
      <c r="E117" s="18" t="s">
        <v>2979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165</v>
      </c>
      <c r="K117" s="18" t="s">
        <v>21</v>
      </c>
      <c r="L117" s="18" t="s">
        <v>2704</v>
      </c>
      <c r="M117" s="18"/>
      <c r="N117" s="18"/>
      <c r="O117" s="18"/>
      <c r="P117" s="18"/>
      <c r="Q117" s="18">
        <v>1</v>
      </c>
    </row>
    <row r="118" spans="1:17" x14ac:dyDescent="0.25">
      <c r="A118" s="18" t="s">
        <v>62</v>
      </c>
      <c r="B118" s="18" t="s">
        <v>16</v>
      </c>
      <c r="C118" s="18" t="s">
        <v>2980</v>
      </c>
      <c r="D118" s="18"/>
      <c r="E118" s="18" t="s">
        <v>2010</v>
      </c>
      <c r="F118" s="19">
        <v>5</v>
      </c>
      <c r="G118" s="19">
        <v>2995</v>
      </c>
      <c r="H118" s="19">
        <v>35</v>
      </c>
      <c r="I118" s="19">
        <f t="shared" ref="I118:I125" si="7">G118-H118</f>
        <v>2960</v>
      </c>
      <c r="J118" s="18" t="s">
        <v>165</v>
      </c>
      <c r="K118" s="18" t="s">
        <v>21</v>
      </c>
      <c r="L118" s="18" t="s">
        <v>2704</v>
      </c>
      <c r="M118" s="18"/>
      <c r="N118" s="18"/>
      <c r="O118" s="18"/>
      <c r="P118" s="18"/>
      <c r="Q118" s="19">
        <v>1</v>
      </c>
    </row>
    <row r="119" spans="1:17" s="2" customFormat="1" x14ac:dyDescent="0.25">
      <c r="A119" s="20"/>
      <c r="B119" s="20" t="s">
        <v>16</v>
      </c>
      <c r="C119" s="20" t="s">
        <v>2981</v>
      </c>
      <c r="D119" s="20" t="s">
        <v>2982</v>
      </c>
      <c r="E119" s="20" t="s">
        <v>2983</v>
      </c>
      <c r="F119" s="20" t="s">
        <v>780</v>
      </c>
      <c r="G119" s="21">
        <v>1760</v>
      </c>
      <c r="H119" s="21">
        <v>0</v>
      </c>
      <c r="I119" s="21">
        <f t="shared" si="7"/>
        <v>1760</v>
      </c>
      <c r="J119" s="20" t="s">
        <v>446</v>
      </c>
      <c r="K119" s="20" t="s">
        <v>21</v>
      </c>
      <c r="L119" s="20" t="s">
        <v>2704</v>
      </c>
      <c r="M119" s="25" t="s">
        <v>781</v>
      </c>
      <c r="N119" s="20" t="s">
        <v>448</v>
      </c>
      <c r="O119" s="20"/>
      <c r="P119" s="20" t="s">
        <v>449</v>
      </c>
      <c r="Q119" s="20">
        <v>1</v>
      </c>
    </row>
    <row r="120" spans="1:17" s="2" customFormat="1" x14ac:dyDescent="0.25">
      <c r="A120" s="20"/>
      <c r="B120" s="20" t="s">
        <v>16</v>
      </c>
      <c r="C120" s="20" t="s">
        <v>2984</v>
      </c>
      <c r="D120" s="20" t="s">
        <v>2985</v>
      </c>
      <c r="E120" s="20" t="s">
        <v>2986</v>
      </c>
      <c r="F120" s="20" t="s">
        <v>2987</v>
      </c>
      <c r="G120" s="21">
        <v>490</v>
      </c>
      <c r="H120" s="21">
        <v>0</v>
      </c>
      <c r="I120" s="21">
        <f t="shared" si="7"/>
        <v>490</v>
      </c>
      <c r="J120" s="20" t="s">
        <v>446</v>
      </c>
      <c r="K120" s="20" t="s">
        <v>21</v>
      </c>
      <c r="L120" s="20" t="s">
        <v>2704</v>
      </c>
      <c r="M120" s="25" t="s">
        <v>781</v>
      </c>
      <c r="N120" s="20" t="s">
        <v>448</v>
      </c>
      <c r="O120" s="20"/>
      <c r="P120" s="20" t="s">
        <v>449</v>
      </c>
      <c r="Q120" s="20">
        <v>1</v>
      </c>
    </row>
    <row r="121" spans="1:17" s="2" customFormat="1" x14ac:dyDescent="0.25">
      <c r="A121" s="20"/>
      <c r="B121" s="20" t="s">
        <v>16</v>
      </c>
      <c r="C121" s="20" t="s">
        <v>2981</v>
      </c>
      <c r="D121" s="20" t="s">
        <v>2988</v>
      </c>
      <c r="E121" s="20" t="s">
        <v>2983</v>
      </c>
      <c r="F121" s="20" t="s">
        <v>780</v>
      </c>
      <c r="G121" s="21">
        <v>820</v>
      </c>
      <c r="H121" s="21">
        <v>0</v>
      </c>
      <c r="I121" s="21">
        <f t="shared" si="7"/>
        <v>820</v>
      </c>
      <c r="J121" s="20" t="s">
        <v>446</v>
      </c>
      <c r="K121" s="20" t="s">
        <v>21</v>
      </c>
      <c r="L121" s="20" t="s">
        <v>2704</v>
      </c>
      <c r="M121" s="25" t="s">
        <v>781</v>
      </c>
      <c r="N121" s="20" t="s">
        <v>448</v>
      </c>
      <c r="O121" s="20"/>
      <c r="P121" s="20" t="s">
        <v>449</v>
      </c>
      <c r="Q121" s="20">
        <v>1</v>
      </c>
    </row>
    <row r="122" spans="1:17" s="2" customFormat="1" x14ac:dyDescent="0.25">
      <c r="A122" s="20"/>
      <c r="B122" s="20" t="s">
        <v>16</v>
      </c>
      <c r="C122" s="20" t="s">
        <v>2989</v>
      </c>
      <c r="D122" s="20" t="s">
        <v>2990</v>
      </c>
      <c r="E122" s="20" t="s">
        <v>2991</v>
      </c>
      <c r="F122" s="20" t="s">
        <v>780</v>
      </c>
      <c r="G122" s="21">
        <v>690</v>
      </c>
      <c r="H122" s="21">
        <v>0</v>
      </c>
      <c r="I122" s="21">
        <f t="shared" si="7"/>
        <v>690</v>
      </c>
      <c r="J122" s="20" t="s">
        <v>446</v>
      </c>
      <c r="K122" s="20" t="s">
        <v>21</v>
      </c>
      <c r="L122" s="20" t="s">
        <v>2704</v>
      </c>
      <c r="M122" s="25" t="s">
        <v>781</v>
      </c>
      <c r="N122" s="20" t="s">
        <v>448</v>
      </c>
      <c r="O122" s="20"/>
      <c r="P122" s="20" t="s">
        <v>449</v>
      </c>
      <c r="Q122" s="20">
        <v>1</v>
      </c>
    </row>
    <row r="123" spans="1:17" s="2" customFormat="1" x14ac:dyDescent="0.25">
      <c r="A123" s="20"/>
      <c r="B123" s="20" t="s">
        <v>16</v>
      </c>
      <c r="C123" s="20" t="s">
        <v>1717</v>
      </c>
      <c r="D123" s="20" t="s">
        <v>1718</v>
      </c>
      <c r="E123" s="20" t="s">
        <v>1719</v>
      </c>
      <c r="F123" s="21">
        <v>12</v>
      </c>
      <c r="G123" s="21">
        <v>700</v>
      </c>
      <c r="H123" s="21">
        <v>30</v>
      </c>
      <c r="I123" s="21">
        <f t="shared" si="7"/>
        <v>670</v>
      </c>
      <c r="J123" s="20" t="s">
        <v>446</v>
      </c>
      <c r="K123" s="20" t="s">
        <v>21</v>
      </c>
      <c r="L123" s="20" t="s">
        <v>1699</v>
      </c>
      <c r="M123" s="20" t="s">
        <v>102</v>
      </c>
      <c r="N123" s="20" t="s">
        <v>448</v>
      </c>
      <c r="O123" s="20" t="s">
        <v>448</v>
      </c>
      <c r="P123" s="20" t="s">
        <v>449</v>
      </c>
      <c r="Q123" s="20">
        <v>1</v>
      </c>
    </row>
    <row r="124" spans="1:17" x14ac:dyDescent="0.25">
      <c r="A124" s="20"/>
      <c r="B124" s="20" t="s">
        <v>16</v>
      </c>
      <c r="C124" s="20" t="s">
        <v>2049</v>
      </c>
      <c r="D124" s="20" t="s">
        <v>2050</v>
      </c>
      <c r="E124" s="20" t="s">
        <v>2051</v>
      </c>
      <c r="F124" s="21">
        <v>12</v>
      </c>
      <c r="G124" s="21">
        <v>600</v>
      </c>
      <c r="H124" s="21">
        <v>30</v>
      </c>
      <c r="I124" s="21">
        <f t="shared" si="7"/>
        <v>570</v>
      </c>
      <c r="J124" s="20" t="s">
        <v>446</v>
      </c>
      <c r="K124" s="20" t="s">
        <v>21</v>
      </c>
      <c r="L124" s="20" t="s">
        <v>2024</v>
      </c>
      <c r="M124" s="20" t="s">
        <v>102</v>
      </c>
      <c r="N124" s="20" t="s">
        <v>448</v>
      </c>
      <c r="O124" s="20" t="s">
        <v>448</v>
      </c>
      <c r="P124" s="20" t="s">
        <v>449</v>
      </c>
      <c r="Q124" s="20">
        <v>1</v>
      </c>
    </row>
    <row r="125" spans="1:17" s="2" customFormat="1" x14ac:dyDescent="0.25">
      <c r="A125" s="20"/>
      <c r="B125" s="20" t="s">
        <v>16</v>
      </c>
      <c r="C125" s="20" t="s">
        <v>1707</v>
      </c>
      <c r="D125" s="20" t="s">
        <v>1708</v>
      </c>
      <c r="E125" s="20" t="s">
        <v>1611</v>
      </c>
      <c r="F125" s="21">
        <v>11</v>
      </c>
      <c r="G125" s="21">
        <v>895</v>
      </c>
      <c r="H125" s="21">
        <v>25</v>
      </c>
      <c r="I125" s="21">
        <f t="shared" si="7"/>
        <v>870</v>
      </c>
      <c r="J125" s="20" t="s">
        <v>446</v>
      </c>
      <c r="K125" s="20" t="s">
        <v>21</v>
      </c>
      <c r="L125" s="20" t="s">
        <v>1699</v>
      </c>
      <c r="M125" s="20" t="s">
        <v>102</v>
      </c>
      <c r="N125" s="20" t="s">
        <v>448</v>
      </c>
      <c r="O125" s="20" t="s">
        <v>448</v>
      </c>
      <c r="P125" s="20" t="s">
        <v>449</v>
      </c>
      <c r="Q125" s="20">
        <v>1</v>
      </c>
    </row>
    <row r="127" spans="1:17" x14ac:dyDescent="0.25">
      <c r="D127" s="1">
        <f>COUNTA(D3:D125)</f>
        <v>118</v>
      </c>
      <c r="G127" s="1">
        <f t="shared" ref="G127:Q127" si="8">SUBTOTAL(9,G3:G125)</f>
        <v>93750</v>
      </c>
      <c r="H127" s="1">
        <f t="shared" si="8"/>
        <v>3125</v>
      </c>
      <c r="I127" s="1">
        <f t="shared" si="8"/>
        <v>90625</v>
      </c>
      <c r="J127" s="1">
        <f t="shared" si="8"/>
        <v>0</v>
      </c>
      <c r="K127" s="1">
        <f t="shared" si="8"/>
        <v>0</v>
      </c>
      <c r="L127" s="1">
        <f t="shared" si="8"/>
        <v>0</v>
      </c>
      <c r="M127" s="1">
        <f t="shared" si="8"/>
        <v>0</v>
      </c>
      <c r="N127" s="1">
        <f t="shared" si="8"/>
        <v>0</v>
      </c>
      <c r="O127" s="1">
        <f t="shared" si="8"/>
        <v>0</v>
      </c>
      <c r="P127" s="1">
        <f t="shared" si="8"/>
        <v>0</v>
      </c>
      <c r="Q127" s="1">
        <f t="shared" si="8"/>
        <v>123</v>
      </c>
    </row>
    <row r="128" spans="1:17" x14ac:dyDescent="0.25">
      <c r="H128">
        <f>-22*17</f>
        <v>-374</v>
      </c>
      <c r="I128">
        <f>2*25</f>
        <v>50</v>
      </c>
    </row>
    <row r="129" spans="1:16" x14ac:dyDescent="0.25">
      <c r="A129" s="1" t="s">
        <v>16</v>
      </c>
      <c r="C129" s="47" t="s">
        <v>89</v>
      </c>
      <c r="D129" s="47"/>
      <c r="E129" s="4" t="s">
        <v>90</v>
      </c>
      <c r="H129">
        <f>-14*25</f>
        <v>-350</v>
      </c>
      <c r="I129">
        <v>17</v>
      </c>
      <c r="K129" s="7" t="s">
        <v>165</v>
      </c>
      <c r="L129" s="7" t="s">
        <v>91</v>
      </c>
      <c r="M129" s="7" t="s">
        <v>90</v>
      </c>
      <c r="O129" s="4" t="s">
        <v>92</v>
      </c>
    </row>
    <row r="130" spans="1:16" x14ac:dyDescent="0.25">
      <c r="A130" t="s">
        <v>2704</v>
      </c>
      <c r="B130" s="3" t="s">
        <v>93</v>
      </c>
      <c r="C130" s="48">
        <f>SUMIFS(I$3:I$125,B$3:B$125,A$129,L$3:L$125,A$130)</f>
        <v>88515</v>
      </c>
      <c r="D130" s="48"/>
      <c r="E130" s="3">
        <f>SUMIFS(Q$3:Q$125,B$3:B$125,A$129,L$3:L$125,A$130)</f>
        <v>120</v>
      </c>
      <c r="F130" t="s">
        <v>94</v>
      </c>
      <c r="H130">
        <f>-6*30</f>
        <v>-180</v>
      </c>
      <c r="K130" t="s">
        <v>95</v>
      </c>
      <c r="L130">
        <f>SUMIFS(G$3:G$125,J$3:J$125,K$129)</f>
        <v>25640</v>
      </c>
      <c r="M130">
        <f>SUMIFS(Q$3:Q$125,J$3:J$125,K$129)-INT(COUNTIFS(J$3:J$125,K$129,M$3:M$125,"*gộp*")/2)</f>
        <v>36</v>
      </c>
      <c r="O130" t="s">
        <v>165</v>
      </c>
      <c r="P130">
        <f>L135</f>
        <v>24905</v>
      </c>
    </row>
    <row r="131" spans="1:16" x14ac:dyDescent="0.25">
      <c r="B131" s="2" t="s">
        <v>97</v>
      </c>
      <c r="C131" s="49">
        <v>0</v>
      </c>
      <c r="D131" s="49"/>
      <c r="K131" t="s">
        <v>98</v>
      </c>
      <c r="L131">
        <f>-SUMIFS(H$3:H$125,J$3:J$125,K$129)+M131*5</f>
        <v>-735</v>
      </c>
      <c r="M131">
        <f>SUMIFS(Q$3:Q$125,J$3:J$125,K$129)-INT(COUNTIFS(J$3:J$125,K$129,M$3:M$125,"*gộp*")/2)</f>
        <v>36</v>
      </c>
      <c r="O131" t="s">
        <v>21</v>
      </c>
      <c r="P131">
        <f>L143</f>
        <v>28018</v>
      </c>
    </row>
    <row r="132" spans="1:16" x14ac:dyDescent="0.25">
      <c r="B132" s="2" t="s">
        <v>99</v>
      </c>
      <c r="C132" s="49">
        <f>-SUMIFS(I$3:I$125,B$3:B$125,A$129,P$3:P$125,"xx",N$3:N$125,"x")</f>
        <v>-5870</v>
      </c>
      <c r="D132" s="49"/>
      <c r="E132" s="2">
        <f>SUMIFS(Q$3:Q$125,B$3:B$125,A$129,P$3:P$125,"xx",N$3:N$125,"x")</f>
        <v>7</v>
      </c>
      <c r="K132" t="s">
        <v>100</v>
      </c>
      <c r="O132" t="s">
        <v>2992</v>
      </c>
      <c r="P132">
        <f>L151</f>
        <v>25074</v>
      </c>
    </row>
    <row r="133" spans="1:16" x14ac:dyDescent="0.25">
      <c r="B133" s="4" t="s">
        <v>101</v>
      </c>
      <c r="C133" s="47">
        <f>SUBTOTAL(9,C130:C132)</f>
        <v>82645</v>
      </c>
      <c r="D133" s="47"/>
      <c r="E133">
        <f>E130</f>
        <v>120</v>
      </c>
      <c r="K133" s="2" t="s">
        <v>102</v>
      </c>
      <c r="O133" t="s">
        <v>20</v>
      </c>
      <c r="P133">
        <f>L159</f>
        <v>4955</v>
      </c>
    </row>
    <row r="134" spans="1:16" x14ac:dyDescent="0.25">
      <c r="B134" s="2" t="s">
        <v>104</v>
      </c>
      <c r="C134" s="45"/>
      <c r="D134" s="45"/>
      <c r="K134" s="2" t="s">
        <v>105</v>
      </c>
      <c r="O134" t="s">
        <v>103</v>
      </c>
      <c r="P134">
        <f>-C137</f>
        <v>-83435</v>
      </c>
    </row>
    <row r="135" spans="1:16" x14ac:dyDescent="0.25">
      <c r="B135" s="8" t="s">
        <v>107</v>
      </c>
      <c r="C135" s="45">
        <v>790</v>
      </c>
      <c r="D135" s="45"/>
      <c r="L135" s="9">
        <f>SUBTOTAL(9,L130:L134)</f>
        <v>24905</v>
      </c>
      <c r="M135" s="9">
        <f>M130</f>
        <v>36</v>
      </c>
      <c r="O135" s="30" t="s">
        <v>2993</v>
      </c>
      <c r="P135" s="30"/>
    </row>
    <row r="136" spans="1:16" x14ac:dyDescent="0.25">
      <c r="O136" s="4" t="s">
        <v>106</v>
      </c>
      <c r="P136" s="4">
        <f>SUBTOTAL(9,P130:P135)</f>
        <v>-483</v>
      </c>
    </row>
    <row r="137" spans="1:16" x14ac:dyDescent="0.25">
      <c r="B137" s="1" t="s">
        <v>108</v>
      </c>
      <c r="C137" s="46">
        <f>C133+C134+C135</f>
        <v>83435</v>
      </c>
      <c r="D137" s="46"/>
      <c r="E137" s="1" t="s">
        <v>109</v>
      </c>
      <c r="K137" s="7" t="s">
        <v>21</v>
      </c>
      <c r="L137" s="7" t="s">
        <v>91</v>
      </c>
      <c r="M137" s="7" t="s">
        <v>90</v>
      </c>
    </row>
    <row r="138" spans="1:16" x14ac:dyDescent="0.25">
      <c r="K138" t="s">
        <v>95</v>
      </c>
      <c r="L138">
        <f>SUMIFS(G$3:G$125,J$3:J$125,K$137)</f>
        <v>28870</v>
      </c>
      <c r="M138">
        <f>SUMIFS(Q$3:Q$125,J$3:J$125,K$137)-INT(COUNTIFS(J$3:J$125,K$137,M$3:M$125,"*gộp*")/2)</f>
        <v>28</v>
      </c>
    </row>
    <row r="139" spans="1:16" x14ac:dyDescent="0.25">
      <c r="K139" t="s">
        <v>98</v>
      </c>
      <c r="L139">
        <f>-SUMIFS(H$3:H$125,J$3:J$125,K$137)+M139*5</f>
        <v>-640</v>
      </c>
      <c r="M139">
        <f>SUMIFS(Q$3:Q$125,J$3:J$125,K$137)-INT(COUNTIFS(J$3:J$125,K$137,M$3:M$125,"*gộp*")/2)</f>
        <v>28</v>
      </c>
    </row>
    <row r="140" spans="1:16" x14ac:dyDescent="0.25">
      <c r="K140" t="s">
        <v>100</v>
      </c>
      <c r="L140">
        <f>-M140*2</f>
        <v>-212</v>
      </c>
      <c r="M140">
        <f>E133-(COUNTIFS(M$3:M$125,"*gộp*")/2)-COUNTIFS(M$3:M$125,"*đơn trả*")-COUNTIFS(M$3:M$125,"*hàng tỉnh*")</f>
        <v>106</v>
      </c>
    </row>
    <row r="141" spans="1:16" x14ac:dyDescent="0.25">
      <c r="K141" s="2" t="s">
        <v>102</v>
      </c>
    </row>
    <row r="142" spans="1:16" x14ac:dyDescent="0.25">
      <c r="K142" s="2" t="s">
        <v>105</v>
      </c>
    </row>
    <row r="143" spans="1:16" x14ac:dyDescent="0.25">
      <c r="L143" s="9">
        <f>SUBTOTAL(9,L138:L142)</f>
        <v>28018</v>
      </c>
      <c r="M143" s="9">
        <f>M138</f>
        <v>28</v>
      </c>
    </row>
    <row r="145" spans="11:13" x14ac:dyDescent="0.25">
      <c r="K145" s="7" t="s">
        <v>2724</v>
      </c>
      <c r="L145" s="7" t="s">
        <v>91</v>
      </c>
      <c r="M145" s="7" t="s">
        <v>90</v>
      </c>
    </row>
    <row r="146" spans="11:13" x14ac:dyDescent="0.25">
      <c r="K146" t="s">
        <v>95</v>
      </c>
      <c r="L146">
        <f>SUMIFS(G$3:G$125,J$3:J$125,K$145)</f>
        <v>28155</v>
      </c>
      <c r="M146">
        <f>SUMIFS(Q$3:Q$125,J$3:J$125,K$145)-INT(COUNTIFS(J$3:J$125,K$145,M$3:M$125,"*gộp*")/2)</f>
        <v>38</v>
      </c>
    </row>
    <row r="147" spans="11:13" x14ac:dyDescent="0.25">
      <c r="K147" t="s">
        <v>98</v>
      </c>
      <c r="L147">
        <f>SUM(H128:H130)</f>
        <v>-904</v>
      </c>
      <c r="M147">
        <f>SUMIFS(Q$3:Q$125,J$3:J$125,K$145)-INT(COUNTIFS(J$3:J$125,K$145,M$3:M$125,"*gộp*")/2)</f>
        <v>38</v>
      </c>
    </row>
    <row r="148" spans="11:13" x14ac:dyDescent="0.25">
      <c r="K148" t="s">
        <v>100</v>
      </c>
    </row>
    <row r="149" spans="11:13" x14ac:dyDescent="0.25">
      <c r="K149" s="2" t="s">
        <v>102</v>
      </c>
      <c r="L149" s="29">
        <v>-2177</v>
      </c>
      <c r="M149" s="29" t="s">
        <v>1785</v>
      </c>
    </row>
    <row r="150" spans="11:13" x14ac:dyDescent="0.25">
      <c r="K150" s="2" t="s">
        <v>105</v>
      </c>
    </row>
    <row r="151" spans="11:13" x14ac:dyDescent="0.25">
      <c r="L151" s="9">
        <f>SUBTOTAL(9,L146:L150)</f>
        <v>25074</v>
      </c>
      <c r="M151" s="9">
        <f>M146</f>
        <v>38</v>
      </c>
    </row>
    <row r="153" spans="11:13" x14ac:dyDescent="0.25">
      <c r="K153" s="7" t="s">
        <v>20</v>
      </c>
      <c r="L153" s="7" t="s">
        <v>91</v>
      </c>
      <c r="M153" s="7" t="s">
        <v>90</v>
      </c>
    </row>
    <row r="154" spans="11:13" x14ac:dyDescent="0.25">
      <c r="K154" t="s">
        <v>95</v>
      </c>
      <c r="L154">
        <f>SUMIFS(G$3:G$125,J$3:J$125,K$153)</f>
        <v>5130</v>
      </c>
      <c r="M154">
        <f>SUMIFS(Q$3:Q$125,J$3:J$125,K$153)-INT(COUNTIFS(J$3:J$125,K$153,M$3:M$125,"*gộp*")/2)</f>
        <v>7</v>
      </c>
    </row>
    <row r="155" spans="11:13" x14ac:dyDescent="0.25">
      <c r="K155" t="s">
        <v>98</v>
      </c>
      <c r="L155">
        <f>-SUMIFS(H$3:H$125,J$3:J$125,K$153)+M155*5</f>
        <v>-175</v>
      </c>
      <c r="M155">
        <f>SUMIFS(Q$3:Q$125,J$3:J$125,K$153)-INT(COUNTIFS(J$3:J$125,K$153,M$3:M$125,"*gộp*")/2)</f>
        <v>7</v>
      </c>
    </row>
    <row r="156" spans="11:13" x14ac:dyDescent="0.25">
      <c r="K156" t="s">
        <v>100</v>
      </c>
    </row>
    <row r="157" spans="11:13" x14ac:dyDescent="0.25">
      <c r="K157" s="2" t="s">
        <v>102</v>
      </c>
    </row>
    <row r="158" spans="11:13" x14ac:dyDescent="0.25">
      <c r="K158" s="2" t="s">
        <v>105</v>
      </c>
    </row>
    <row r="159" spans="11:13" x14ac:dyDescent="0.25">
      <c r="L159" s="9">
        <f>SUBTOTAL(9,L154:L158)</f>
        <v>4955</v>
      </c>
      <c r="M159" s="9">
        <f>M154</f>
        <v>7</v>
      </c>
    </row>
  </sheetData>
  <autoFilter ref="A2:P125" xr:uid="{00000000-0009-0000-0000-000016000000}">
    <sortState xmlns:xlrd2="http://schemas.microsoft.com/office/spreadsheetml/2017/richdata2" ref="A3:P125">
      <sortCondition ref="J2:J125"/>
    </sortState>
  </autoFilter>
  <mergeCells count="8">
    <mergeCell ref="C134:D134"/>
    <mergeCell ref="C135:D135"/>
    <mergeCell ref="C137:D137"/>
    <mergeCell ref="C129:D129"/>
    <mergeCell ref="C130:D130"/>
    <mergeCell ref="C131:D131"/>
    <mergeCell ref="C132:D132"/>
    <mergeCell ref="C133:D133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Q84"/>
  <sheetViews>
    <sheetView topLeftCell="A34" zoomScale="90" zoomScaleNormal="90" workbookViewId="0">
      <selection activeCell="C55" sqref="C55:D55"/>
    </sheetView>
  </sheetViews>
  <sheetFormatPr defaultRowHeight="15" x14ac:dyDescent="0.25"/>
  <cols>
    <col min="1" max="1" width="12.7109375" customWidth="1"/>
    <col min="2" max="2" width="17.7109375" customWidth="1"/>
    <col min="3" max="3" width="39.42578125" customWidth="1"/>
    <col min="4" max="4" width="10.28515625" bestFit="1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5703125" customWidth="1"/>
    <col min="14" max="14" width="9.7109375" customWidth="1"/>
    <col min="15" max="15" width="10.42578125" customWidth="1"/>
    <col min="16" max="16" width="7.28515625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2994</v>
      </c>
      <c r="D3" s="18"/>
      <c r="E3" s="18" t="s">
        <v>2995</v>
      </c>
      <c r="F3" s="18" t="s">
        <v>2698</v>
      </c>
      <c r="G3" s="19">
        <v>35</v>
      </c>
      <c r="H3" s="19">
        <v>35</v>
      </c>
      <c r="I3" s="19">
        <f t="shared" ref="I3:I11" si="0">G3-H3</f>
        <v>0</v>
      </c>
      <c r="J3" s="18" t="s">
        <v>20</v>
      </c>
      <c r="K3" s="18" t="s">
        <v>21</v>
      </c>
      <c r="L3" s="18" t="s">
        <v>2996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37</v>
      </c>
      <c r="D4" s="18" t="s">
        <v>2997</v>
      </c>
      <c r="E4" s="18" t="s">
        <v>39</v>
      </c>
      <c r="F4" s="18" t="s">
        <v>26</v>
      </c>
      <c r="G4" s="19">
        <v>910</v>
      </c>
      <c r="H4" s="19">
        <v>30</v>
      </c>
      <c r="I4" s="19">
        <f t="shared" si="0"/>
        <v>880</v>
      </c>
      <c r="J4" s="18" t="s">
        <v>2998</v>
      </c>
      <c r="K4" s="18" t="s">
        <v>21</v>
      </c>
      <c r="L4" s="18" t="s">
        <v>2996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2999</v>
      </c>
      <c r="D5" s="18" t="s">
        <v>3000</v>
      </c>
      <c r="E5" s="18" t="s">
        <v>3001</v>
      </c>
      <c r="F5" s="19">
        <v>8</v>
      </c>
      <c r="G5" s="19">
        <v>1580</v>
      </c>
      <c r="H5" s="19">
        <v>30</v>
      </c>
      <c r="I5" s="19">
        <f t="shared" si="0"/>
        <v>1550</v>
      </c>
      <c r="J5" s="18" t="s">
        <v>2998</v>
      </c>
      <c r="K5" s="18" t="s">
        <v>21</v>
      </c>
      <c r="L5" s="18" t="s">
        <v>2996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3002</v>
      </c>
      <c r="D6" s="18" t="s">
        <v>3003</v>
      </c>
      <c r="E6" s="18" t="s">
        <v>3004</v>
      </c>
      <c r="F6" s="18" t="s">
        <v>128</v>
      </c>
      <c r="G6" s="19">
        <v>825</v>
      </c>
      <c r="H6" s="19">
        <v>35</v>
      </c>
      <c r="I6" s="19">
        <f t="shared" si="0"/>
        <v>790</v>
      </c>
      <c r="J6" s="18" t="s">
        <v>2998</v>
      </c>
      <c r="K6" s="18" t="s">
        <v>21</v>
      </c>
      <c r="L6" s="18" t="s">
        <v>2996</v>
      </c>
      <c r="M6" s="18"/>
      <c r="N6" s="18"/>
      <c r="O6" s="18"/>
      <c r="P6" s="18"/>
      <c r="Q6" s="18">
        <v>1</v>
      </c>
    </row>
    <row r="7" spans="1:17" s="42" customFormat="1" x14ac:dyDescent="0.25">
      <c r="A7" s="40"/>
      <c r="B7" s="40" t="s">
        <v>16</v>
      </c>
      <c r="C7" s="40" t="s">
        <v>2331</v>
      </c>
      <c r="D7" s="40" t="s">
        <v>3005</v>
      </c>
      <c r="E7" s="40" t="s">
        <v>2333</v>
      </c>
      <c r="F7" s="41">
        <v>7</v>
      </c>
      <c r="G7" s="41">
        <v>130</v>
      </c>
      <c r="H7" s="41">
        <v>30</v>
      </c>
      <c r="I7" s="41">
        <f t="shared" si="0"/>
        <v>100</v>
      </c>
      <c r="J7" s="40" t="s">
        <v>2998</v>
      </c>
      <c r="K7" s="40" t="s">
        <v>21</v>
      </c>
      <c r="L7" s="40" t="s">
        <v>2996</v>
      </c>
      <c r="M7" s="40" t="s">
        <v>49</v>
      </c>
      <c r="N7" s="40"/>
      <c r="O7" s="40"/>
      <c r="P7" s="40"/>
      <c r="Q7" s="40">
        <v>1</v>
      </c>
    </row>
    <row r="8" spans="1:17" x14ac:dyDescent="0.25">
      <c r="A8" s="18"/>
      <c r="B8" s="18" t="s">
        <v>16</v>
      </c>
      <c r="C8" s="18" t="s">
        <v>3006</v>
      </c>
      <c r="D8" s="18" t="s">
        <v>3007</v>
      </c>
      <c r="E8" s="18" t="s">
        <v>3008</v>
      </c>
      <c r="F8" s="19">
        <v>8</v>
      </c>
      <c r="G8" s="19">
        <v>1940</v>
      </c>
      <c r="H8" s="19">
        <v>30</v>
      </c>
      <c r="I8" s="19">
        <f t="shared" si="0"/>
        <v>1910</v>
      </c>
      <c r="J8" s="18" t="s">
        <v>2998</v>
      </c>
      <c r="K8" s="18" t="s">
        <v>21</v>
      </c>
      <c r="L8" s="18" t="s">
        <v>2996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3009</v>
      </c>
      <c r="D9" s="18" t="s">
        <v>3010</v>
      </c>
      <c r="E9" s="18" t="s">
        <v>3011</v>
      </c>
      <c r="F9" s="18" t="s">
        <v>26</v>
      </c>
      <c r="G9" s="19">
        <v>1150</v>
      </c>
      <c r="H9" s="19">
        <v>30</v>
      </c>
      <c r="I9" s="19">
        <f t="shared" si="0"/>
        <v>1120</v>
      </c>
      <c r="J9" s="18" t="s">
        <v>2998</v>
      </c>
      <c r="K9" s="18" t="s">
        <v>21</v>
      </c>
      <c r="L9" s="18" t="s">
        <v>2996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3012</v>
      </c>
      <c r="D10" s="18" t="s">
        <v>3013</v>
      </c>
      <c r="E10" s="18" t="s">
        <v>3014</v>
      </c>
      <c r="F10" s="19">
        <v>7</v>
      </c>
      <c r="G10" s="19">
        <v>570</v>
      </c>
      <c r="H10" s="19">
        <v>30</v>
      </c>
      <c r="I10" s="19">
        <f t="shared" si="0"/>
        <v>540</v>
      </c>
      <c r="J10" s="18" t="s">
        <v>2998</v>
      </c>
      <c r="K10" s="18" t="s">
        <v>21</v>
      </c>
      <c r="L10" s="18" t="s">
        <v>2996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196</v>
      </c>
      <c r="D11" s="18" t="s">
        <v>3015</v>
      </c>
      <c r="E11" s="18" t="s">
        <v>198</v>
      </c>
      <c r="F11" s="19">
        <v>12</v>
      </c>
      <c r="G11" s="19">
        <v>800</v>
      </c>
      <c r="H11" s="19">
        <v>30</v>
      </c>
      <c r="I11" s="19">
        <f t="shared" si="0"/>
        <v>770</v>
      </c>
      <c r="J11" s="18" t="s">
        <v>2998</v>
      </c>
      <c r="K11" s="18" t="s">
        <v>21</v>
      </c>
      <c r="L11" s="18" t="s">
        <v>2996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1159</v>
      </c>
      <c r="D12" s="18" t="s">
        <v>3016</v>
      </c>
      <c r="E12" s="18" t="s">
        <v>1161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2998</v>
      </c>
      <c r="K12" s="18" t="s">
        <v>21</v>
      </c>
      <c r="L12" s="18" t="s">
        <v>2996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3017</v>
      </c>
      <c r="D13" s="18" t="s">
        <v>3018</v>
      </c>
      <c r="E13" s="18" t="s">
        <v>3019</v>
      </c>
      <c r="F13" s="18" t="s">
        <v>26</v>
      </c>
      <c r="G13" s="19">
        <v>0</v>
      </c>
      <c r="H13" s="19">
        <v>30</v>
      </c>
      <c r="I13" s="19">
        <f>-H13</f>
        <v>-30</v>
      </c>
      <c r="J13" s="18" t="s">
        <v>2998</v>
      </c>
      <c r="K13" s="18" t="s">
        <v>21</v>
      </c>
      <c r="L13" s="18" t="s">
        <v>2996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3020</v>
      </c>
      <c r="D14" s="18" t="s">
        <v>3021</v>
      </c>
      <c r="E14" s="18" t="s">
        <v>3022</v>
      </c>
      <c r="F14" s="18" t="s">
        <v>113</v>
      </c>
      <c r="G14" s="19">
        <v>935</v>
      </c>
      <c r="H14" s="19">
        <v>35</v>
      </c>
      <c r="I14" s="19">
        <f t="shared" ref="I14:I22" si="1">G14-H14</f>
        <v>900</v>
      </c>
      <c r="J14" s="18" t="s">
        <v>2998</v>
      </c>
      <c r="K14" s="18" t="s">
        <v>21</v>
      </c>
      <c r="L14" s="18" t="s">
        <v>2996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3023</v>
      </c>
      <c r="D15" s="18" t="s">
        <v>3024</v>
      </c>
      <c r="E15" s="18" t="s">
        <v>3025</v>
      </c>
      <c r="F15" s="19">
        <v>8</v>
      </c>
      <c r="G15" s="19">
        <v>750</v>
      </c>
      <c r="H15" s="19">
        <v>30</v>
      </c>
      <c r="I15" s="19">
        <f t="shared" si="1"/>
        <v>720</v>
      </c>
      <c r="J15" s="18" t="s">
        <v>2998</v>
      </c>
      <c r="K15" s="18" t="s">
        <v>21</v>
      </c>
      <c r="L15" s="18" t="s">
        <v>2996</v>
      </c>
      <c r="M15" s="18"/>
      <c r="N15" s="18"/>
      <c r="O15" s="18"/>
      <c r="P15" s="18"/>
      <c r="Q15" s="18">
        <v>1</v>
      </c>
    </row>
    <row r="16" spans="1:17" s="10" customFormat="1" x14ac:dyDescent="0.25">
      <c r="A16" s="43"/>
      <c r="B16" s="43" t="s">
        <v>16</v>
      </c>
      <c r="C16" s="43" t="s">
        <v>2246</v>
      </c>
      <c r="D16" s="43" t="s">
        <v>2247</v>
      </c>
      <c r="E16" s="43" t="s">
        <v>2248</v>
      </c>
      <c r="F16" s="44">
        <v>1</v>
      </c>
      <c r="G16" s="44">
        <v>480</v>
      </c>
      <c r="H16" s="44">
        <v>30</v>
      </c>
      <c r="I16" s="44">
        <f t="shared" si="1"/>
        <v>450</v>
      </c>
      <c r="J16" s="43" t="s">
        <v>2998</v>
      </c>
      <c r="K16" s="43" t="s">
        <v>21</v>
      </c>
      <c r="L16" s="43" t="s">
        <v>2165</v>
      </c>
      <c r="M16" s="43" t="s">
        <v>3026</v>
      </c>
      <c r="N16" s="43"/>
      <c r="O16" s="43"/>
      <c r="P16" s="43"/>
      <c r="Q16" s="43">
        <v>1</v>
      </c>
    </row>
    <row r="17" spans="1:17" x14ac:dyDescent="0.25">
      <c r="A17" s="18" t="s">
        <v>62</v>
      </c>
      <c r="B17" s="18" t="s">
        <v>16</v>
      </c>
      <c r="C17" s="18" t="s">
        <v>3027</v>
      </c>
      <c r="D17" s="18"/>
      <c r="E17" s="18" t="s">
        <v>3028</v>
      </c>
      <c r="F17" s="18" t="s">
        <v>217</v>
      </c>
      <c r="G17" s="19">
        <v>9030</v>
      </c>
      <c r="H17" s="19">
        <v>50</v>
      </c>
      <c r="I17" s="19">
        <f t="shared" si="1"/>
        <v>8980</v>
      </c>
      <c r="J17" s="18" t="s">
        <v>21</v>
      </c>
      <c r="K17" s="18" t="s">
        <v>21</v>
      </c>
      <c r="L17" s="18" t="s">
        <v>2996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320</v>
      </c>
      <c r="D18" s="18"/>
      <c r="E18" s="18" t="s">
        <v>321</v>
      </c>
      <c r="F18" s="18" t="s">
        <v>72</v>
      </c>
      <c r="G18" s="19">
        <v>30</v>
      </c>
      <c r="H18" s="19">
        <v>30</v>
      </c>
      <c r="I18" s="19">
        <f t="shared" si="1"/>
        <v>0</v>
      </c>
      <c r="J18" s="18" t="s">
        <v>21</v>
      </c>
      <c r="K18" s="18" t="s">
        <v>21</v>
      </c>
      <c r="L18" s="18" t="s">
        <v>2996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934</v>
      </c>
      <c r="D19" s="18"/>
      <c r="E19" s="18" t="s">
        <v>935</v>
      </c>
      <c r="F19" s="18" t="s">
        <v>88</v>
      </c>
      <c r="G19" s="19">
        <v>30</v>
      </c>
      <c r="H19" s="19">
        <v>30</v>
      </c>
      <c r="I19" s="19">
        <f t="shared" si="1"/>
        <v>0</v>
      </c>
      <c r="J19" s="18" t="s">
        <v>21</v>
      </c>
      <c r="K19" s="18" t="s">
        <v>21</v>
      </c>
      <c r="L19" s="18" t="s">
        <v>2996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3029</v>
      </c>
      <c r="D20" s="18"/>
      <c r="E20" s="18" t="s">
        <v>3030</v>
      </c>
      <c r="F20" s="18" t="s">
        <v>68</v>
      </c>
      <c r="G20" s="19">
        <v>1375</v>
      </c>
      <c r="H20" s="19">
        <v>25</v>
      </c>
      <c r="I20" s="19">
        <f t="shared" si="1"/>
        <v>1350</v>
      </c>
      <c r="J20" s="18" t="s">
        <v>21</v>
      </c>
      <c r="K20" s="18" t="s">
        <v>21</v>
      </c>
      <c r="L20" s="18" t="s">
        <v>2996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3031</v>
      </c>
      <c r="D21" s="18" t="s">
        <v>3032</v>
      </c>
      <c r="E21" s="18" t="s">
        <v>3033</v>
      </c>
      <c r="F21" s="18" t="s">
        <v>68</v>
      </c>
      <c r="G21" s="19">
        <v>1970</v>
      </c>
      <c r="H21" s="19">
        <v>20</v>
      </c>
      <c r="I21" s="19">
        <f t="shared" si="1"/>
        <v>1950</v>
      </c>
      <c r="J21" s="18" t="s">
        <v>21</v>
      </c>
      <c r="K21" s="18" t="s">
        <v>21</v>
      </c>
      <c r="L21" s="18" t="s">
        <v>2996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3034</v>
      </c>
      <c r="D22" s="18" t="s">
        <v>3035</v>
      </c>
      <c r="E22" s="18" t="s">
        <v>3036</v>
      </c>
      <c r="F22" s="18" t="s">
        <v>153</v>
      </c>
      <c r="G22" s="19">
        <v>490</v>
      </c>
      <c r="H22" s="19">
        <v>30</v>
      </c>
      <c r="I22" s="19">
        <f t="shared" si="1"/>
        <v>460</v>
      </c>
      <c r="J22" s="18" t="s">
        <v>21</v>
      </c>
      <c r="K22" s="18" t="s">
        <v>21</v>
      </c>
      <c r="L22" s="18" t="s">
        <v>2996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3037</v>
      </c>
      <c r="D23" s="18" t="s">
        <v>3038</v>
      </c>
      <c r="E23" s="18" t="s">
        <v>3039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2996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3040</v>
      </c>
      <c r="D24" s="18" t="s">
        <v>3041</v>
      </c>
      <c r="E24" s="18" t="s">
        <v>3042</v>
      </c>
      <c r="F24" s="18" t="s">
        <v>88</v>
      </c>
      <c r="G24" s="19">
        <v>1805</v>
      </c>
      <c r="H24" s="19">
        <v>25</v>
      </c>
      <c r="I24" s="19">
        <f>G24-H24</f>
        <v>1780</v>
      </c>
      <c r="J24" s="18" t="s">
        <v>21</v>
      </c>
      <c r="K24" s="18" t="s">
        <v>21</v>
      </c>
      <c r="L24" s="18" t="s">
        <v>2996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3043</v>
      </c>
      <c r="D25" s="40" t="s">
        <v>3044</v>
      </c>
      <c r="E25" s="40" t="s">
        <v>3045</v>
      </c>
      <c r="F25" s="40" t="s">
        <v>72</v>
      </c>
      <c r="G25" s="41">
        <v>0</v>
      </c>
      <c r="H25" s="41">
        <v>25</v>
      </c>
      <c r="I25" s="41">
        <f>-H25</f>
        <v>-25</v>
      </c>
      <c r="J25" s="40" t="s">
        <v>21</v>
      </c>
      <c r="K25" s="40" t="s">
        <v>21</v>
      </c>
      <c r="L25" s="40" t="s">
        <v>2996</v>
      </c>
      <c r="M25" s="40" t="s">
        <v>49</v>
      </c>
      <c r="N25" s="40"/>
      <c r="O25" s="40"/>
      <c r="P25" s="40"/>
      <c r="Q25" s="40">
        <v>1</v>
      </c>
    </row>
    <row r="26" spans="1:17" x14ac:dyDescent="0.25">
      <c r="A26" s="18"/>
      <c r="B26" s="18" t="s">
        <v>16</v>
      </c>
      <c r="C26" s="18" t="s">
        <v>726</v>
      </c>
      <c r="D26" s="18" t="s">
        <v>3046</v>
      </c>
      <c r="E26" s="18" t="s">
        <v>728</v>
      </c>
      <c r="F26" s="18" t="s">
        <v>68</v>
      </c>
      <c r="G26" s="19">
        <v>600</v>
      </c>
      <c r="H26" s="19">
        <v>20</v>
      </c>
      <c r="I26" s="19">
        <f>G26-H26</f>
        <v>580</v>
      </c>
      <c r="J26" s="18" t="s">
        <v>21</v>
      </c>
      <c r="K26" s="18" t="s">
        <v>21</v>
      </c>
      <c r="L26" s="18" t="s">
        <v>2996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3047</v>
      </c>
      <c r="D27" s="18" t="s">
        <v>3048</v>
      </c>
      <c r="E27" s="18" t="s">
        <v>3049</v>
      </c>
      <c r="F27" s="18" t="s">
        <v>72</v>
      </c>
      <c r="G27" s="19">
        <v>815</v>
      </c>
      <c r="H27" s="19">
        <v>25</v>
      </c>
      <c r="I27" s="19">
        <f>G27-H27</f>
        <v>790</v>
      </c>
      <c r="J27" s="18" t="s">
        <v>21</v>
      </c>
      <c r="K27" s="18" t="s">
        <v>21</v>
      </c>
      <c r="L27" s="18" t="s">
        <v>2996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3050</v>
      </c>
      <c r="D28" s="18" t="s">
        <v>3051</v>
      </c>
      <c r="E28" s="18" t="s">
        <v>3052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2996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3053</v>
      </c>
      <c r="D29" s="18" t="s">
        <v>3054</v>
      </c>
      <c r="E29" s="18" t="s">
        <v>3055</v>
      </c>
      <c r="F29" s="18" t="s">
        <v>153</v>
      </c>
      <c r="G29" s="19">
        <v>870</v>
      </c>
      <c r="H29" s="19">
        <v>30</v>
      </c>
      <c r="I29" s="19">
        <f>G29-H29</f>
        <v>840</v>
      </c>
      <c r="J29" s="18" t="s">
        <v>21</v>
      </c>
      <c r="K29" s="18" t="s">
        <v>21</v>
      </c>
      <c r="L29" s="18" t="s">
        <v>2996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3056</v>
      </c>
      <c r="D30" s="18" t="s">
        <v>3057</v>
      </c>
      <c r="E30" s="18" t="s">
        <v>2105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2996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3058</v>
      </c>
      <c r="D31" s="18" t="s">
        <v>3059</v>
      </c>
      <c r="E31" s="18" t="s">
        <v>3060</v>
      </c>
      <c r="F31" s="18" t="s">
        <v>153</v>
      </c>
      <c r="G31" s="19">
        <v>950</v>
      </c>
      <c r="H31" s="19">
        <v>30</v>
      </c>
      <c r="I31" s="19">
        <f>G31-H31</f>
        <v>920</v>
      </c>
      <c r="J31" s="18" t="s">
        <v>21</v>
      </c>
      <c r="K31" s="18" t="s">
        <v>21</v>
      </c>
      <c r="L31" s="18" t="s">
        <v>2996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3061</v>
      </c>
      <c r="D32" s="18" t="s">
        <v>3062</v>
      </c>
      <c r="E32" s="18" t="s">
        <v>1417</v>
      </c>
      <c r="F32" s="18" t="s">
        <v>68</v>
      </c>
      <c r="G32" s="19">
        <v>940</v>
      </c>
      <c r="H32" s="19">
        <v>20</v>
      </c>
      <c r="I32" s="19">
        <f>G32-H32</f>
        <v>920</v>
      </c>
      <c r="J32" s="18" t="s">
        <v>21</v>
      </c>
      <c r="K32" s="18" t="s">
        <v>21</v>
      </c>
      <c r="L32" s="18" t="s">
        <v>2996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584</v>
      </c>
      <c r="D33" s="18"/>
      <c r="E33" s="18" t="s">
        <v>585</v>
      </c>
      <c r="F33" s="19">
        <v>4</v>
      </c>
      <c r="G33" s="19">
        <v>30</v>
      </c>
      <c r="H33" s="19">
        <v>30</v>
      </c>
      <c r="I33" s="19">
        <f>G33-H33</f>
        <v>0</v>
      </c>
      <c r="J33" s="18" t="s">
        <v>165</v>
      </c>
      <c r="K33" s="18" t="s">
        <v>21</v>
      </c>
      <c r="L33" s="18" t="s">
        <v>2996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441</v>
      </c>
      <c r="D34" s="18"/>
      <c r="E34" s="18" t="s">
        <v>442</v>
      </c>
      <c r="F34" s="18" t="s">
        <v>88</v>
      </c>
      <c r="G34" s="19">
        <v>0</v>
      </c>
      <c r="H34" s="19">
        <v>30</v>
      </c>
      <c r="I34" s="19">
        <f>-H34</f>
        <v>-30</v>
      </c>
      <c r="J34" s="18" t="s">
        <v>165</v>
      </c>
      <c r="K34" s="18" t="s">
        <v>21</v>
      </c>
      <c r="L34" s="18" t="s">
        <v>2996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3063</v>
      </c>
      <c r="D35" s="18"/>
      <c r="E35" s="18" t="s">
        <v>3064</v>
      </c>
      <c r="F35" s="18" t="s">
        <v>88</v>
      </c>
      <c r="G35" s="19">
        <v>1300</v>
      </c>
      <c r="H35" s="19">
        <v>30</v>
      </c>
      <c r="I35" s="19">
        <f>G35-H35</f>
        <v>1270</v>
      </c>
      <c r="J35" s="18" t="s">
        <v>165</v>
      </c>
      <c r="K35" s="18" t="s">
        <v>21</v>
      </c>
      <c r="L35" s="18" t="s">
        <v>2996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3065</v>
      </c>
      <c r="D36" s="18" t="s">
        <v>3066</v>
      </c>
      <c r="E36" s="18" t="s">
        <v>3067</v>
      </c>
      <c r="F36" s="18" t="s">
        <v>88</v>
      </c>
      <c r="G36" s="19">
        <v>25</v>
      </c>
      <c r="H36" s="19">
        <v>25</v>
      </c>
      <c r="I36" s="19">
        <f>G36-H36</f>
        <v>0</v>
      </c>
      <c r="J36" s="18" t="s">
        <v>165</v>
      </c>
      <c r="K36" s="18" t="s">
        <v>21</v>
      </c>
      <c r="L36" s="18" t="s">
        <v>2996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3068</v>
      </c>
      <c r="D37" s="18" t="s">
        <v>3069</v>
      </c>
      <c r="E37" s="18" t="s">
        <v>3070</v>
      </c>
      <c r="F37" s="19">
        <v>1</v>
      </c>
      <c r="G37" s="19">
        <v>981</v>
      </c>
      <c r="H37" s="19">
        <v>25</v>
      </c>
      <c r="I37" s="19">
        <f>G37-H37</f>
        <v>956</v>
      </c>
      <c r="J37" s="18" t="s">
        <v>165</v>
      </c>
      <c r="K37" s="18" t="s">
        <v>21</v>
      </c>
      <c r="L37" s="18" t="s">
        <v>2996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3071</v>
      </c>
      <c r="D38" s="18" t="s">
        <v>3072</v>
      </c>
      <c r="E38" s="18" t="s">
        <v>756</v>
      </c>
      <c r="F38" s="18" t="s">
        <v>88</v>
      </c>
      <c r="G38" s="19">
        <v>2900</v>
      </c>
      <c r="H38" s="19">
        <v>25</v>
      </c>
      <c r="I38" s="19">
        <f>G38-H38</f>
        <v>2875</v>
      </c>
      <c r="J38" s="18" t="s">
        <v>165</v>
      </c>
      <c r="K38" s="18" t="s">
        <v>21</v>
      </c>
      <c r="L38" s="18" t="s">
        <v>2996</v>
      </c>
      <c r="M38" s="25" t="s">
        <v>398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3073</v>
      </c>
      <c r="D39" s="18" t="s">
        <v>3074</v>
      </c>
      <c r="E39" s="18" t="s">
        <v>3075</v>
      </c>
      <c r="F39" s="19">
        <v>4</v>
      </c>
      <c r="G39" s="19">
        <v>0</v>
      </c>
      <c r="H39" s="19">
        <v>25</v>
      </c>
      <c r="I39" s="19">
        <f>-H39</f>
        <v>-25</v>
      </c>
      <c r="J39" s="18" t="s">
        <v>165</v>
      </c>
      <c r="K39" s="18" t="s">
        <v>21</v>
      </c>
      <c r="L39" s="18" t="s">
        <v>2996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1772</v>
      </c>
      <c r="D40" s="18" t="s">
        <v>3076</v>
      </c>
      <c r="E40" s="18" t="s">
        <v>3077</v>
      </c>
      <c r="F40" s="19">
        <v>3</v>
      </c>
      <c r="G40" s="19">
        <v>1655</v>
      </c>
      <c r="H40" s="19">
        <v>25</v>
      </c>
      <c r="I40" s="19">
        <f>G40-H40</f>
        <v>1630</v>
      </c>
      <c r="J40" s="18" t="s">
        <v>165</v>
      </c>
      <c r="K40" s="18" t="s">
        <v>21</v>
      </c>
      <c r="L40" s="18" t="s">
        <v>2996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3078</v>
      </c>
      <c r="D41" s="18" t="s">
        <v>3079</v>
      </c>
      <c r="E41" s="18" t="s">
        <v>3080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2996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3081</v>
      </c>
      <c r="D42" s="18" t="s">
        <v>3082</v>
      </c>
      <c r="E42" s="18" t="s">
        <v>3083</v>
      </c>
      <c r="F42" s="19">
        <v>10</v>
      </c>
      <c r="G42" s="19">
        <v>715</v>
      </c>
      <c r="H42" s="19">
        <v>25</v>
      </c>
      <c r="I42" s="19">
        <f>G42-H42</f>
        <v>690</v>
      </c>
      <c r="J42" s="18" t="s">
        <v>165</v>
      </c>
      <c r="K42" s="18" t="s">
        <v>21</v>
      </c>
      <c r="L42" s="18" t="s">
        <v>2996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3084</v>
      </c>
      <c r="D43" s="18" t="s">
        <v>3085</v>
      </c>
      <c r="E43" s="18" t="s">
        <v>2944</v>
      </c>
      <c r="F43" s="18" t="s">
        <v>88</v>
      </c>
      <c r="G43" s="19">
        <v>0</v>
      </c>
      <c r="H43" s="19">
        <v>25</v>
      </c>
      <c r="I43" s="19">
        <f>-H43</f>
        <v>-25</v>
      </c>
      <c r="J43" s="18" t="s">
        <v>165</v>
      </c>
      <c r="K43" s="18" t="s">
        <v>21</v>
      </c>
      <c r="L43" s="18" t="s">
        <v>2996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1001</v>
      </c>
      <c r="D44" s="18" t="s">
        <v>3086</v>
      </c>
      <c r="E44" s="18" t="s">
        <v>1003</v>
      </c>
      <c r="F44" s="18" t="s">
        <v>88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2996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3087</v>
      </c>
      <c r="D45" s="18" t="s">
        <v>3088</v>
      </c>
      <c r="E45" s="18" t="s">
        <v>3089</v>
      </c>
      <c r="F45" s="18" t="s">
        <v>85</v>
      </c>
      <c r="G45" s="19">
        <v>770</v>
      </c>
      <c r="H45" s="19">
        <v>20</v>
      </c>
      <c r="I45" s="19">
        <f>G45-H45</f>
        <v>750</v>
      </c>
      <c r="J45" s="18" t="s">
        <v>165</v>
      </c>
      <c r="K45" s="18" t="s">
        <v>21</v>
      </c>
      <c r="L45" s="18" t="s">
        <v>2996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997</v>
      </c>
      <c r="D46" s="18" t="s">
        <v>3090</v>
      </c>
      <c r="E46" s="18" t="s">
        <v>999</v>
      </c>
      <c r="F46" s="19">
        <v>1</v>
      </c>
      <c r="G46" s="19">
        <v>405</v>
      </c>
      <c r="H46" s="19">
        <v>25</v>
      </c>
      <c r="I46" s="19">
        <f>G46-H46</f>
        <v>380</v>
      </c>
      <c r="J46" s="18" t="s">
        <v>165</v>
      </c>
      <c r="K46" s="18" t="s">
        <v>21</v>
      </c>
      <c r="L46" s="18" t="s">
        <v>2996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1969</v>
      </c>
      <c r="D47" s="18" t="s">
        <v>3091</v>
      </c>
      <c r="E47" s="18" t="s">
        <v>1971</v>
      </c>
      <c r="F47" s="19">
        <v>10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2996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3092</v>
      </c>
      <c r="D48" s="18" t="s">
        <v>3093</v>
      </c>
      <c r="E48" s="18" t="s">
        <v>3094</v>
      </c>
      <c r="F48" s="19">
        <v>4</v>
      </c>
      <c r="G48" s="19">
        <v>1565</v>
      </c>
      <c r="H48" s="19">
        <v>25</v>
      </c>
      <c r="I48" s="19">
        <f>G48-H48</f>
        <v>1540</v>
      </c>
      <c r="J48" s="18" t="s">
        <v>165</v>
      </c>
      <c r="K48" s="18" t="s">
        <v>21</v>
      </c>
      <c r="L48" s="18" t="s">
        <v>2996</v>
      </c>
      <c r="M48" s="18"/>
      <c r="N48" s="18"/>
      <c r="O48" s="18"/>
      <c r="P48" s="18"/>
      <c r="Q48" s="18">
        <v>1</v>
      </c>
    </row>
    <row r="49" spans="1:17" s="2" customFormat="1" x14ac:dyDescent="0.25">
      <c r="A49" s="20"/>
      <c r="B49" s="20" t="s">
        <v>16</v>
      </c>
      <c r="C49" s="20" t="s">
        <v>2835</v>
      </c>
      <c r="D49" s="20" t="s">
        <v>2836</v>
      </c>
      <c r="E49" s="20" t="s">
        <v>2837</v>
      </c>
      <c r="F49" s="20" t="s">
        <v>153</v>
      </c>
      <c r="G49" s="21">
        <v>750</v>
      </c>
      <c r="H49" s="21">
        <v>0</v>
      </c>
      <c r="I49" s="21">
        <f>G49-H49</f>
        <v>750</v>
      </c>
      <c r="J49" s="20" t="s">
        <v>446</v>
      </c>
      <c r="K49" s="20" t="s">
        <v>21</v>
      </c>
      <c r="L49" s="20" t="s">
        <v>2704</v>
      </c>
      <c r="M49" s="20" t="s">
        <v>105</v>
      </c>
      <c r="N49" s="20" t="s">
        <v>448</v>
      </c>
      <c r="O49" s="20" t="s">
        <v>448</v>
      </c>
      <c r="P49" s="20" t="s">
        <v>449</v>
      </c>
      <c r="Q49" s="20">
        <v>1</v>
      </c>
    </row>
    <row r="51" spans="1:17" x14ac:dyDescent="0.25">
      <c r="D51" s="1">
        <f>COUNTA(D3:D49)</f>
        <v>39</v>
      </c>
      <c r="G51" s="1">
        <f t="shared" ref="G51:Q51" si="2">SUBTOTAL(9,G3:G49)</f>
        <v>40921</v>
      </c>
      <c r="H51" s="1">
        <f t="shared" si="2"/>
        <v>1280</v>
      </c>
      <c r="I51" s="1">
        <f t="shared" si="2"/>
        <v>39641</v>
      </c>
      <c r="J51" s="1">
        <f t="shared" si="2"/>
        <v>0</v>
      </c>
      <c r="K51" s="1">
        <f t="shared" si="2"/>
        <v>0</v>
      </c>
      <c r="L51" s="1">
        <f t="shared" si="2"/>
        <v>0</v>
      </c>
      <c r="M51" s="1">
        <f t="shared" si="2"/>
        <v>0</v>
      </c>
      <c r="N51" s="1">
        <f t="shared" si="2"/>
        <v>0</v>
      </c>
      <c r="O51" s="1">
        <f t="shared" si="2"/>
        <v>0</v>
      </c>
      <c r="P51" s="1">
        <f t="shared" si="2"/>
        <v>0</v>
      </c>
      <c r="Q51" s="1">
        <f t="shared" si="2"/>
        <v>47</v>
      </c>
    </row>
    <row r="52" spans="1:17" x14ac:dyDescent="0.25">
      <c r="H52">
        <f>-7*17</f>
        <v>-119</v>
      </c>
    </row>
    <row r="53" spans="1:17" x14ac:dyDescent="0.25">
      <c r="A53" s="1" t="s">
        <v>16</v>
      </c>
      <c r="C53" s="47" t="s">
        <v>89</v>
      </c>
      <c r="D53" s="47"/>
      <c r="E53" s="4" t="s">
        <v>90</v>
      </c>
      <c r="H53">
        <f>-4*25</f>
        <v>-100</v>
      </c>
      <c r="K53" s="7" t="s">
        <v>21</v>
      </c>
      <c r="L53" s="7" t="s">
        <v>91</v>
      </c>
      <c r="M53" s="7" t="s">
        <v>90</v>
      </c>
      <c r="O53" s="4" t="s">
        <v>92</v>
      </c>
    </row>
    <row r="54" spans="1:17" x14ac:dyDescent="0.25">
      <c r="A54" t="s">
        <v>2996</v>
      </c>
      <c r="B54" s="3" t="s">
        <v>93</v>
      </c>
      <c r="C54" s="48">
        <f>SUMIFS(I$3:I$49,B$3:B$49,A$53,L$3:L$49,A$54)</f>
        <v>38441</v>
      </c>
      <c r="D54" s="48"/>
      <c r="E54" s="3">
        <f>SUMIFS(Q$3:Q$49,B$3:B$49,A$53,L$3:L$49,A$54)</f>
        <v>45</v>
      </c>
      <c r="F54" t="s">
        <v>94</v>
      </c>
      <c r="H54">
        <f>-2*30</f>
        <v>-60</v>
      </c>
      <c r="K54" t="s">
        <v>95</v>
      </c>
      <c r="L54">
        <f>SUMIFS(G$3:G$49,J$3:J$49,K$53)</f>
        <v>19720</v>
      </c>
      <c r="M54">
        <f>SUMIFS(Q$3:Q$49,J$3:J$49,K$53)-INT(COUNTIFS(J$3:J$49,K$53,M$3:M$49,"*gộp*")/2)</f>
        <v>16</v>
      </c>
      <c r="O54" t="s">
        <v>21</v>
      </c>
      <c r="P54">
        <f>L59</f>
        <v>18525</v>
      </c>
    </row>
    <row r="55" spans="1:17" x14ac:dyDescent="0.25">
      <c r="B55" s="2" t="s">
        <v>97</v>
      </c>
      <c r="C55" s="49">
        <v>0</v>
      </c>
      <c r="D55" s="49"/>
      <c r="K55" t="s">
        <v>98</v>
      </c>
      <c r="L55">
        <f>-SUMIFS(H$3:H$49,J$3:J$49,K$53)+M55*5</f>
        <v>-355</v>
      </c>
      <c r="M55">
        <f>SUMIFS(Q$3:Q$49,J$3:J$49,K$53)-INT(COUNTIFS(J$3:J$49,K$53,M$3:M$49,"*gộp*")/2)</f>
        <v>16</v>
      </c>
      <c r="O55" t="s">
        <v>165</v>
      </c>
      <c r="P55">
        <f>L68</f>
        <v>10016</v>
      </c>
    </row>
    <row r="56" spans="1:17" x14ac:dyDescent="0.25">
      <c r="B56" s="2" t="s">
        <v>99</v>
      </c>
      <c r="C56" s="49">
        <f>-SUMIFS(I$3:I$49,B$3:B$49,A$53,P$3:P$49,"xx",N$3:N$49,"x")</f>
        <v>-750</v>
      </c>
      <c r="D56" s="49"/>
      <c r="E56" s="2">
        <f>SUMIFS(Q$3:Q$49,B$3:B$49,A$53,P$3:P$49,"xx",N$3:N$49,"x")</f>
        <v>1</v>
      </c>
      <c r="K56" t="s">
        <v>100</v>
      </c>
      <c r="L56">
        <f>-M56*2</f>
        <v>-90</v>
      </c>
      <c r="M56">
        <f>E57-(COUNTIFS(M$3:M$49,"*gộp*")/2)-COUNTIFS(M$3:M$49,"*đơn trả*")-COUNTIFS(M$3:M$49,"*hàng tỉnh*")</f>
        <v>45</v>
      </c>
      <c r="O56" t="s">
        <v>20</v>
      </c>
      <c r="P56">
        <f>L76</f>
        <v>5</v>
      </c>
    </row>
    <row r="57" spans="1:17" x14ac:dyDescent="0.25">
      <c r="B57" s="4" t="s">
        <v>101</v>
      </c>
      <c r="C57" s="47">
        <f>SUBTOTAL(9,C54:C56)</f>
        <v>37691</v>
      </c>
      <c r="D57" s="47"/>
      <c r="E57">
        <f>E54</f>
        <v>45</v>
      </c>
      <c r="K57" s="2" t="s">
        <v>102</v>
      </c>
      <c r="O57" t="s">
        <v>3095</v>
      </c>
      <c r="P57">
        <f>L84</f>
        <v>9791</v>
      </c>
    </row>
    <row r="58" spans="1:17" x14ac:dyDescent="0.25">
      <c r="B58" s="2" t="s">
        <v>104</v>
      </c>
      <c r="C58" s="45"/>
      <c r="D58" s="45"/>
      <c r="K58" s="2" t="s">
        <v>105</v>
      </c>
      <c r="L58" s="29">
        <v>-750</v>
      </c>
      <c r="M58" s="29" t="s">
        <v>451</v>
      </c>
      <c r="O58" t="s">
        <v>103</v>
      </c>
      <c r="P58">
        <f>-C61</f>
        <v>-37691</v>
      </c>
    </row>
    <row r="59" spans="1:17" x14ac:dyDescent="0.25">
      <c r="B59" s="8" t="s">
        <v>107</v>
      </c>
      <c r="C59" s="45"/>
      <c r="D59" s="45"/>
      <c r="L59" s="9">
        <f>SUBTOTAL(9,L54:L58)</f>
        <v>18525</v>
      </c>
      <c r="M59" s="9">
        <f>M54</f>
        <v>16</v>
      </c>
      <c r="O59" s="4" t="s">
        <v>106</v>
      </c>
      <c r="P59" s="4">
        <f>SUBTOTAL(9,P54:P58)</f>
        <v>646</v>
      </c>
    </row>
    <row r="61" spans="1:17" x14ac:dyDescent="0.25">
      <c r="B61" s="1" t="s">
        <v>108</v>
      </c>
      <c r="C61" s="46">
        <f>C57+C58+C59</f>
        <v>37691</v>
      </c>
      <c r="D61" s="46"/>
      <c r="E61" s="1" t="s">
        <v>109</v>
      </c>
      <c r="K61" s="7" t="s">
        <v>165</v>
      </c>
      <c r="L61" s="7" t="s">
        <v>91</v>
      </c>
      <c r="M61" s="7" t="s">
        <v>90</v>
      </c>
    </row>
    <row r="62" spans="1:17" x14ac:dyDescent="0.25">
      <c r="K62" t="s">
        <v>95</v>
      </c>
      <c r="L62">
        <f>SUMIFS(G$3:G$49,J$3:J$49,K$61)</f>
        <v>10346</v>
      </c>
      <c r="M62">
        <f>SUMIFS(Q$3:Q$49,J$3:J$49,K$61)-INT(COUNTIFS(J$3:J$49,K$61,M$3:M$49,"*gộp*")/2)</f>
        <v>16</v>
      </c>
    </row>
    <row r="63" spans="1:17" x14ac:dyDescent="0.25">
      <c r="A63" s="1" t="s">
        <v>16</v>
      </c>
      <c r="C63" s="47" t="s">
        <v>89</v>
      </c>
      <c r="D63" s="47"/>
      <c r="E63" s="4" t="s">
        <v>90</v>
      </c>
      <c r="K63" t="s">
        <v>98</v>
      </c>
      <c r="L63">
        <f>-SUMIFS(H$3:H$49,J$3:J$49,K$61)+M63*5</f>
        <v>-330</v>
      </c>
      <c r="M63">
        <f>SUMIFS(Q$3:Q$49,J$3:J$49,K$61)-INT(COUNTIFS(J$3:J$49,K$61,M$3:M$49,"*gộp*")/2)</f>
        <v>16</v>
      </c>
    </row>
    <row r="64" spans="1:17" x14ac:dyDescent="0.25">
      <c r="A64" t="s">
        <v>2165</v>
      </c>
      <c r="B64" s="3" t="s">
        <v>93</v>
      </c>
      <c r="C64" s="48">
        <f>SUMIFS(I$3:I$49,B$3:B$49,A$63,L$3:L$49,A$64)</f>
        <v>450</v>
      </c>
      <c r="D64" s="48"/>
      <c r="E64" s="3">
        <f>SUMIFS(Q$3:Q$49,B$3:B$49,A$63,L$3:L$49,A$64)</f>
        <v>1</v>
      </c>
      <c r="F64" t="s">
        <v>94</v>
      </c>
      <c r="K64" t="s">
        <v>100</v>
      </c>
    </row>
    <row r="65" spans="2:13" x14ac:dyDescent="0.25">
      <c r="B65" s="2" t="s">
        <v>97</v>
      </c>
      <c r="C65" s="49">
        <v>0</v>
      </c>
      <c r="D65" s="49"/>
      <c r="K65" s="2" t="s">
        <v>102</v>
      </c>
    </row>
    <row r="66" spans="2:13" x14ac:dyDescent="0.25">
      <c r="B66" s="2" t="s">
        <v>99</v>
      </c>
      <c r="C66" s="49"/>
      <c r="D66" s="49"/>
      <c r="E66" s="2"/>
      <c r="K66" s="2" t="s">
        <v>105</v>
      </c>
    </row>
    <row r="67" spans="2:13" x14ac:dyDescent="0.25">
      <c r="B67" s="4" t="s">
        <v>101</v>
      </c>
      <c r="C67" s="47">
        <f>SUBTOTAL(9,C64:C66)</f>
        <v>450</v>
      </c>
      <c r="D67" s="47"/>
      <c r="E67">
        <f>E64</f>
        <v>1</v>
      </c>
      <c r="K67" s="2" t="s">
        <v>3026</v>
      </c>
      <c r="L67" s="29">
        <v>-475</v>
      </c>
      <c r="M67" s="29" t="s">
        <v>451</v>
      </c>
    </row>
    <row r="68" spans="2:13" x14ac:dyDescent="0.25">
      <c r="B68" s="2" t="s">
        <v>104</v>
      </c>
      <c r="C68" s="45"/>
      <c r="D68" s="45"/>
      <c r="L68" s="9">
        <f>SUBTOTAL(9,L62:L66)</f>
        <v>10016</v>
      </c>
      <c r="M68" s="9">
        <f>M62</f>
        <v>16</v>
      </c>
    </row>
    <row r="69" spans="2:13" x14ac:dyDescent="0.25">
      <c r="B69" s="8" t="s">
        <v>107</v>
      </c>
      <c r="C69" s="45"/>
      <c r="D69" s="45"/>
    </row>
    <row r="70" spans="2:13" x14ac:dyDescent="0.25">
      <c r="K70" s="7" t="s">
        <v>20</v>
      </c>
      <c r="L70" s="7" t="s">
        <v>91</v>
      </c>
      <c r="M70" s="7" t="s">
        <v>90</v>
      </c>
    </row>
    <row r="71" spans="2:13" x14ac:dyDescent="0.25">
      <c r="B71" s="1" t="s">
        <v>108</v>
      </c>
      <c r="C71" s="46">
        <f>C67+C68+C69</f>
        <v>450</v>
      </c>
      <c r="D71" s="46"/>
      <c r="E71" s="1" t="s">
        <v>109</v>
      </c>
      <c r="K71" t="s">
        <v>95</v>
      </c>
      <c r="L71">
        <f>SUMIFS(G$3:G$49,J$3:J$49,K$70)</f>
        <v>35</v>
      </c>
      <c r="M71">
        <f>SUMIFS(Q$3:Q$49,J$3:J$49,K$70)-INT(COUNTIFS(J$3:J$49,K$70,M$3:M$49,"*gộp*")/2)</f>
        <v>1</v>
      </c>
    </row>
    <row r="72" spans="2:13" x14ac:dyDescent="0.25">
      <c r="K72" t="s">
        <v>98</v>
      </c>
      <c r="L72">
        <f>-SUMIFS(H$3:H$49,J$3:J$49,K$70)+M72*5</f>
        <v>-30</v>
      </c>
      <c r="M72">
        <f>SUMIFS(Q$3:Q$49,J$3:J$49,K$70)-INT(COUNTIFS(J$3:J$49,K$70,M$3:M$49,"*gộp*")/2)</f>
        <v>1</v>
      </c>
    </row>
    <row r="73" spans="2:13" x14ac:dyDescent="0.25">
      <c r="K73" t="s">
        <v>100</v>
      </c>
    </row>
    <row r="74" spans="2:13" x14ac:dyDescent="0.25">
      <c r="K74" s="2" t="s">
        <v>102</v>
      </c>
    </row>
    <row r="75" spans="2:13" x14ac:dyDescent="0.25">
      <c r="K75" s="2" t="s">
        <v>105</v>
      </c>
    </row>
    <row r="76" spans="2:13" x14ac:dyDescent="0.25">
      <c r="L76" s="9">
        <f>SUBTOTAL(9,L71:L75)</f>
        <v>5</v>
      </c>
      <c r="M76" s="9">
        <f>M71</f>
        <v>1</v>
      </c>
    </row>
    <row r="78" spans="2:13" x14ac:dyDescent="0.25">
      <c r="K78" s="7" t="s">
        <v>2998</v>
      </c>
      <c r="L78" s="7" t="s">
        <v>91</v>
      </c>
      <c r="M78" s="7" t="s">
        <v>90</v>
      </c>
    </row>
    <row r="79" spans="2:13" x14ac:dyDescent="0.25">
      <c r="K79" t="s">
        <v>95</v>
      </c>
      <c r="L79">
        <f>SUMIFS(G$3:G$49,J$3:J$49,K$78)</f>
        <v>10070</v>
      </c>
      <c r="M79">
        <f>SUMIFS(Q$3:Q$49,J$3:J$49,K$78)-INT(COUNTIFS(J$3:J$49,K$78,M$3:M$49,"*gộp*")/2)</f>
        <v>13</v>
      </c>
    </row>
    <row r="80" spans="2:13" x14ac:dyDescent="0.25">
      <c r="K80" t="s">
        <v>98</v>
      </c>
      <c r="L80">
        <f>SUM(H52:H54)</f>
        <v>-279</v>
      </c>
      <c r="M80">
        <f>SUMIFS(Q$3:Q$49,J$3:J$49,K$78)</f>
        <v>13</v>
      </c>
    </row>
    <row r="81" spans="11:13" x14ac:dyDescent="0.25">
      <c r="K81" t="s">
        <v>100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9791</v>
      </c>
      <c r="M84" s="9">
        <f>M79</f>
        <v>13</v>
      </c>
    </row>
  </sheetData>
  <autoFilter ref="A2:P49" xr:uid="{00000000-0009-0000-0000-000017000000}">
    <sortState xmlns:xlrd2="http://schemas.microsoft.com/office/spreadsheetml/2017/richdata2" ref="A3:P49">
      <sortCondition ref="J2:J49"/>
    </sortState>
  </autoFilter>
  <mergeCells count="16">
    <mergeCell ref="C71:D71"/>
    <mergeCell ref="C65:D65"/>
    <mergeCell ref="C66:D66"/>
    <mergeCell ref="C67:D67"/>
    <mergeCell ref="C68:D68"/>
    <mergeCell ref="C69:D69"/>
    <mergeCell ref="C58:D58"/>
    <mergeCell ref="C59:D59"/>
    <mergeCell ref="C61:D61"/>
    <mergeCell ref="C63:D63"/>
    <mergeCell ref="C64:D64"/>
    <mergeCell ref="C53:D53"/>
    <mergeCell ref="C54:D54"/>
    <mergeCell ref="C55:D55"/>
    <mergeCell ref="C56:D56"/>
    <mergeCell ref="C57:D57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R94"/>
  <sheetViews>
    <sheetView topLeftCell="A64" workbookViewId="0">
      <selection activeCell="A9" sqref="A9:XFD9"/>
    </sheetView>
  </sheetViews>
  <sheetFormatPr defaultRowHeight="15" x14ac:dyDescent="0.25"/>
  <cols>
    <col min="1" max="1" width="12.7109375" customWidth="1"/>
    <col min="2" max="2" width="17.7109375" customWidth="1"/>
    <col min="3" max="3" width="30.28515625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3145</v>
      </c>
      <c r="D3" s="18" t="s">
        <v>3146</v>
      </c>
      <c r="E3" s="18" t="s">
        <v>3147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3107</v>
      </c>
      <c r="M3" s="18"/>
      <c r="N3" s="18"/>
      <c r="O3" s="18"/>
      <c r="P3" s="18"/>
      <c r="Q3" s="18">
        <v>1</v>
      </c>
    </row>
    <row r="4" spans="1:18" x14ac:dyDescent="0.25">
      <c r="A4" s="18"/>
      <c r="B4" s="18" t="s">
        <v>16</v>
      </c>
      <c r="C4" s="18" t="s">
        <v>3108</v>
      </c>
      <c r="D4" s="18" t="s">
        <v>3109</v>
      </c>
      <c r="E4" s="18" t="s">
        <v>3110</v>
      </c>
      <c r="F4" s="19">
        <v>7</v>
      </c>
      <c r="G4" s="19">
        <v>720</v>
      </c>
      <c r="H4" s="19">
        <v>30</v>
      </c>
      <c r="I4" s="19">
        <f>G4-H4</f>
        <v>690</v>
      </c>
      <c r="J4" s="18" t="s">
        <v>3111</v>
      </c>
      <c r="K4" s="18" t="s">
        <v>21</v>
      </c>
      <c r="L4" s="18" t="s">
        <v>3107</v>
      </c>
      <c r="M4" s="18"/>
      <c r="N4" s="18"/>
      <c r="O4" s="18"/>
      <c r="P4" s="18"/>
      <c r="Q4" s="18">
        <v>1</v>
      </c>
    </row>
    <row r="5" spans="1:18" x14ac:dyDescent="0.25">
      <c r="A5" s="18"/>
      <c r="B5" s="18" t="s">
        <v>16</v>
      </c>
      <c r="C5" s="18" t="s">
        <v>3112</v>
      </c>
      <c r="D5" s="18" t="s">
        <v>3113</v>
      </c>
      <c r="E5" s="18" t="s">
        <v>3114</v>
      </c>
      <c r="F5" s="19">
        <v>7</v>
      </c>
      <c r="G5" s="19">
        <v>0</v>
      </c>
      <c r="H5" s="19">
        <v>30</v>
      </c>
      <c r="I5" s="19">
        <f>-H5</f>
        <v>-30</v>
      </c>
      <c r="J5" s="18" t="s">
        <v>3111</v>
      </c>
      <c r="K5" s="18" t="s">
        <v>21</v>
      </c>
      <c r="L5" s="18" t="s">
        <v>3107</v>
      </c>
      <c r="M5" s="18"/>
      <c r="N5" s="18"/>
      <c r="O5" s="18"/>
      <c r="P5" s="18"/>
      <c r="Q5" s="18">
        <v>1</v>
      </c>
      <c r="R5" s="6">
        <f>H5</f>
        <v>30</v>
      </c>
    </row>
    <row r="6" spans="1:18" x14ac:dyDescent="0.25">
      <c r="A6" s="18"/>
      <c r="B6" s="18" t="s">
        <v>16</v>
      </c>
      <c r="C6" s="18" t="s">
        <v>3115</v>
      </c>
      <c r="D6" s="18" t="s">
        <v>3116</v>
      </c>
      <c r="E6" s="18" t="s">
        <v>3117</v>
      </c>
      <c r="F6" s="19">
        <v>7</v>
      </c>
      <c r="G6" s="19">
        <v>1980</v>
      </c>
      <c r="H6" s="19">
        <v>30</v>
      </c>
      <c r="I6" s="19">
        <f>G6-H6</f>
        <v>1950</v>
      </c>
      <c r="J6" s="18" t="s">
        <v>3111</v>
      </c>
      <c r="K6" s="18" t="s">
        <v>21</v>
      </c>
      <c r="L6" s="18" t="s">
        <v>3107</v>
      </c>
      <c r="M6" s="18"/>
      <c r="N6" s="18"/>
      <c r="O6" s="18"/>
      <c r="P6" s="18"/>
      <c r="Q6" s="18">
        <v>1</v>
      </c>
    </row>
    <row r="7" spans="1:18" x14ac:dyDescent="0.25">
      <c r="A7" s="18"/>
      <c r="B7" s="18" t="s">
        <v>16</v>
      </c>
      <c r="C7" s="18" t="s">
        <v>3118</v>
      </c>
      <c r="D7" s="18" t="s">
        <v>3119</v>
      </c>
      <c r="E7" s="18" t="s">
        <v>3120</v>
      </c>
      <c r="F7" s="18" t="s">
        <v>217</v>
      </c>
      <c r="G7" s="19">
        <v>945</v>
      </c>
      <c r="H7" s="19">
        <v>25</v>
      </c>
      <c r="I7" s="19">
        <f>G7-H7</f>
        <v>920</v>
      </c>
      <c r="J7" s="18" t="s">
        <v>3111</v>
      </c>
      <c r="K7" s="18" t="s">
        <v>21</v>
      </c>
      <c r="L7" s="18" t="s">
        <v>3107</v>
      </c>
      <c r="M7" s="18"/>
      <c r="N7" s="18"/>
      <c r="O7" s="18"/>
      <c r="P7" s="18"/>
      <c r="Q7" s="18">
        <v>1</v>
      </c>
    </row>
    <row r="8" spans="1:18" x14ac:dyDescent="0.25">
      <c r="A8" s="18"/>
      <c r="B8" s="18" t="s">
        <v>16</v>
      </c>
      <c r="C8" s="18" t="s">
        <v>2244</v>
      </c>
      <c r="D8" s="18" t="s">
        <v>3121</v>
      </c>
      <c r="E8" s="18" t="s">
        <v>1016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3111</v>
      </c>
      <c r="K8" s="18" t="s">
        <v>21</v>
      </c>
      <c r="L8" s="18" t="s">
        <v>3107</v>
      </c>
      <c r="M8" s="18"/>
      <c r="N8" s="18"/>
      <c r="O8" s="18"/>
      <c r="P8" s="18"/>
      <c r="Q8" s="18">
        <v>1</v>
      </c>
      <c r="R8" s="6">
        <f>H8</f>
        <v>25</v>
      </c>
    </row>
    <row r="9" spans="1:18" s="42" customFormat="1" x14ac:dyDescent="0.25">
      <c r="A9" s="40"/>
      <c r="B9" s="40" t="s">
        <v>16</v>
      </c>
      <c r="C9" s="40" t="s">
        <v>110</v>
      </c>
      <c r="D9" s="40" t="s">
        <v>3124</v>
      </c>
      <c r="E9" s="40" t="s">
        <v>3125</v>
      </c>
      <c r="F9" s="40" t="s">
        <v>259</v>
      </c>
      <c r="G9" s="41">
        <v>35</v>
      </c>
      <c r="H9" s="41">
        <v>35</v>
      </c>
      <c r="I9" s="41">
        <f t="shared" ref="I9:I25" si="0">G9-H9</f>
        <v>0</v>
      </c>
      <c r="J9" s="40" t="s">
        <v>3111</v>
      </c>
      <c r="K9" s="40" t="s">
        <v>21</v>
      </c>
      <c r="L9" s="40" t="s">
        <v>3107</v>
      </c>
      <c r="M9" s="40" t="s">
        <v>49</v>
      </c>
      <c r="N9" s="40"/>
      <c r="O9" s="40"/>
      <c r="P9" s="40"/>
      <c r="Q9" s="40">
        <v>1</v>
      </c>
    </row>
    <row r="10" spans="1:18" x14ac:dyDescent="0.25">
      <c r="A10" s="18"/>
      <c r="B10" s="18" t="s">
        <v>16</v>
      </c>
      <c r="C10" s="18" t="s">
        <v>3135</v>
      </c>
      <c r="D10" s="18" t="s">
        <v>3136</v>
      </c>
      <c r="E10" s="18" t="s">
        <v>3137</v>
      </c>
      <c r="F10" s="19">
        <v>6</v>
      </c>
      <c r="G10" s="19">
        <v>1805</v>
      </c>
      <c r="H10" s="19">
        <v>25</v>
      </c>
      <c r="I10" s="19">
        <f t="shared" si="0"/>
        <v>1780</v>
      </c>
      <c r="J10" s="18" t="s">
        <v>3111</v>
      </c>
      <c r="K10" s="18" t="s">
        <v>21</v>
      </c>
      <c r="L10" s="18" t="s">
        <v>3107</v>
      </c>
      <c r="M10" s="18"/>
      <c r="N10" s="18"/>
      <c r="O10" s="18"/>
      <c r="P10" s="18"/>
      <c r="Q10" s="18">
        <v>1</v>
      </c>
    </row>
    <row r="11" spans="1:18" x14ac:dyDescent="0.25">
      <c r="A11" s="18"/>
      <c r="B11" s="18" t="s">
        <v>16</v>
      </c>
      <c r="C11" s="18" t="s">
        <v>3139</v>
      </c>
      <c r="D11" s="18" t="s">
        <v>3140</v>
      </c>
      <c r="E11" s="18" t="s">
        <v>3141</v>
      </c>
      <c r="F11" s="19">
        <v>7</v>
      </c>
      <c r="G11" s="19">
        <v>830</v>
      </c>
      <c r="H11" s="19">
        <v>30</v>
      </c>
      <c r="I11" s="19">
        <f t="shared" si="0"/>
        <v>800</v>
      </c>
      <c r="J11" s="18" t="s">
        <v>3111</v>
      </c>
      <c r="K11" s="18" t="s">
        <v>21</v>
      </c>
      <c r="L11" s="18" t="s">
        <v>3107</v>
      </c>
      <c r="M11" s="18"/>
      <c r="N11" s="18"/>
      <c r="O11" s="18"/>
      <c r="P11" s="18"/>
      <c r="Q11" s="18">
        <v>1</v>
      </c>
    </row>
    <row r="12" spans="1:18" x14ac:dyDescent="0.25">
      <c r="A12" s="18"/>
      <c r="B12" s="18" t="s">
        <v>16</v>
      </c>
      <c r="C12" s="18" t="s">
        <v>3142</v>
      </c>
      <c r="D12" s="18" t="s">
        <v>3143</v>
      </c>
      <c r="E12" s="18" t="s">
        <v>3144</v>
      </c>
      <c r="F12" s="18" t="s">
        <v>26</v>
      </c>
      <c r="G12" s="19">
        <v>890</v>
      </c>
      <c r="H12" s="19">
        <v>30</v>
      </c>
      <c r="I12" s="19">
        <f t="shared" si="0"/>
        <v>860</v>
      </c>
      <c r="J12" s="18" t="s">
        <v>3111</v>
      </c>
      <c r="K12" s="18" t="s">
        <v>21</v>
      </c>
      <c r="L12" s="18" t="s">
        <v>3107</v>
      </c>
      <c r="M12" s="18"/>
      <c r="N12" s="18"/>
      <c r="O12" s="18"/>
      <c r="P12" s="18"/>
      <c r="Q12" s="18">
        <v>1</v>
      </c>
    </row>
    <row r="13" spans="1:18" x14ac:dyDescent="0.25">
      <c r="A13" s="18"/>
      <c r="B13" s="18" t="s">
        <v>16</v>
      </c>
      <c r="C13" s="18" t="s">
        <v>3148</v>
      </c>
      <c r="D13" s="18" t="s">
        <v>3149</v>
      </c>
      <c r="E13" s="18" t="s">
        <v>3150</v>
      </c>
      <c r="F13" s="19">
        <v>8</v>
      </c>
      <c r="G13" s="19">
        <v>910</v>
      </c>
      <c r="H13" s="19">
        <v>30</v>
      </c>
      <c r="I13" s="19">
        <f t="shared" si="0"/>
        <v>880</v>
      </c>
      <c r="J13" s="18" t="s">
        <v>3111</v>
      </c>
      <c r="K13" s="18" t="s">
        <v>21</v>
      </c>
      <c r="L13" s="18" t="s">
        <v>3107</v>
      </c>
      <c r="M13" s="18"/>
      <c r="N13" s="18"/>
      <c r="O13" s="18"/>
      <c r="P13" s="18"/>
      <c r="Q13" s="18">
        <v>1</v>
      </c>
    </row>
    <row r="14" spans="1:18" x14ac:dyDescent="0.25">
      <c r="A14" s="18"/>
      <c r="B14" s="18" t="s">
        <v>16</v>
      </c>
      <c r="C14" s="18" t="s">
        <v>3157</v>
      </c>
      <c r="D14" s="18" t="s">
        <v>3158</v>
      </c>
      <c r="E14" s="18" t="s">
        <v>3159</v>
      </c>
      <c r="F14" s="19">
        <v>12</v>
      </c>
      <c r="G14" s="19">
        <v>20</v>
      </c>
      <c r="H14" s="19">
        <v>20</v>
      </c>
      <c r="I14" s="19">
        <f t="shared" si="0"/>
        <v>0</v>
      </c>
      <c r="J14" s="18" t="s">
        <v>3111</v>
      </c>
      <c r="K14" s="18" t="s">
        <v>21</v>
      </c>
      <c r="L14" s="18" t="s">
        <v>3107</v>
      </c>
      <c r="M14" s="18"/>
      <c r="N14" s="18"/>
      <c r="O14" s="18"/>
      <c r="P14" s="18"/>
      <c r="Q14" s="18">
        <v>1</v>
      </c>
    </row>
    <row r="15" spans="1:18" x14ac:dyDescent="0.25">
      <c r="A15" s="18"/>
      <c r="B15" s="18" t="s">
        <v>16</v>
      </c>
      <c r="C15" s="18" t="s">
        <v>3160</v>
      </c>
      <c r="D15" s="18" t="s">
        <v>3161</v>
      </c>
      <c r="E15" s="18" t="s">
        <v>3162</v>
      </c>
      <c r="F15" s="18" t="s">
        <v>26</v>
      </c>
      <c r="G15" s="19">
        <v>1460</v>
      </c>
      <c r="H15" s="19">
        <v>30</v>
      </c>
      <c r="I15" s="19">
        <f t="shared" si="0"/>
        <v>1430</v>
      </c>
      <c r="J15" s="18" t="s">
        <v>3111</v>
      </c>
      <c r="K15" s="18" t="s">
        <v>21</v>
      </c>
      <c r="L15" s="18" t="s">
        <v>3107</v>
      </c>
      <c r="M15" s="18"/>
      <c r="N15" s="18"/>
      <c r="O15" s="18"/>
      <c r="P15" s="18"/>
      <c r="Q15" s="18">
        <v>1</v>
      </c>
    </row>
    <row r="16" spans="1:18" x14ac:dyDescent="0.25">
      <c r="A16" s="18"/>
      <c r="B16" s="18" t="s">
        <v>16</v>
      </c>
      <c r="C16" s="18" t="s">
        <v>3163</v>
      </c>
      <c r="D16" s="18" t="s">
        <v>3164</v>
      </c>
      <c r="E16" s="18" t="s">
        <v>3165</v>
      </c>
      <c r="F16" s="19">
        <v>7</v>
      </c>
      <c r="G16" s="19">
        <v>800</v>
      </c>
      <c r="H16" s="19">
        <v>30</v>
      </c>
      <c r="I16" s="19">
        <f t="shared" si="0"/>
        <v>770</v>
      </c>
      <c r="J16" s="18" t="s">
        <v>3111</v>
      </c>
      <c r="K16" s="18" t="s">
        <v>21</v>
      </c>
      <c r="L16" s="18" t="s">
        <v>3107</v>
      </c>
      <c r="M16" s="18"/>
      <c r="N16" s="18"/>
      <c r="O16" s="18"/>
      <c r="P16" s="18"/>
      <c r="Q16" s="18">
        <v>1</v>
      </c>
    </row>
    <row r="17" spans="1:18" x14ac:dyDescent="0.25">
      <c r="A17" s="18"/>
      <c r="B17" s="18" t="s">
        <v>16</v>
      </c>
      <c r="C17" s="18" t="s">
        <v>3169</v>
      </c>
      <c r="D17" s="18" t="s">
        <v>3170</v>
      </c>
      <c r="E17" s="18" t="s">
        <v>3171</v>
      </c>
      <c r="F17" s="18" t="s">
        <v>26</v>
      </c>
      <c r="G17" s="19">
        <v>950</v>
      </c>
      <c r="H17" s="19">
        <v>30</v>
      </c>
      <c r="I17" s="19">
        <f t="shared" si="0"/>
        <v>920</v>
      </c>
      <c r="J17" s="18" t="s">
        <v>3111</v>
      </c>
      <c r="K17" s="18" t="s">
        <v>21</v>
      </c>
      <c r="L17" s="18" t="s">
        <v>3107</v>
      </c>
      <c r="M17" s="18"/>
      <c r="N17" s="18"/>
      <c r="O17" s="18"/>
      <c r="P17" s="18"/>
      <c r="Q17" s="18">
        <v>1</v>
      </c>
    </row>
    <row r="18" spans="1:18" x14ac:dyDescent="0.25">
      <c r="A18" s="18"/>
      <c r="B18" s="18" t="s">
        <v>16</v>
      </c>
      <c r="C18" s="18" t="s">
        <v>3172</v>
      </c>
      <c r="D18" s="18" t="s">
        <v>3173</v>
      </c>
      <c r="E18" s="18" t="s">
        <v>607</v>
      </c>
      <c r="F18" s="18" t="s">
        <v>26</v>
      </c>
      <c r="G18" s="19">
        <v>790</v>
      </c>
      <c r="H18" s="19">
        <v>30</v>
      </c>
      <c r="I18" s="19">
        <f t="shared" si="0"/>
        <v>760</v>
      </c>
      <c r="J18" s="18" t="s">
        <v>3111</v>
      </c>
      <c r="K18" s="18" t="s">
        <v>21</v>
      </c>
      <c r="L18" s="18" t="s">
        <v>3107</v>
      </c>
      <c r="M18" s="18"/>
      <c r="N18" s="18"/>
      <c r="O18" s="18"/>
      <c r="P18" s="18"/>
      <c r="Q18" s="18">
        <v>1</v>
      </c>
    </row>
    <row r="19" spans="1:18" x14ac:dyDescent="0.25">
      <c r="A19" s="18"/>
      <c r="B19" s="18" t="s">
        <v>16</v>
      </c>
      <c r="C19" s="18" t="s">
        <v>205</v>
      </c>
      <c r="D19" s="18" t="s">
        <v>3189</v>
      </c>
      <c r="E19" s="18" t="s">
        <v>207</v>
      </c>
      <c r="F19" s="19">
        <v>7</v>
      </c>
      <c r="G19" s="19">
        <v>850</v>
      </c>
      <c r="H19" s="19">
        <v>30</v>
      </c>
      <c r="I19" s="19">
        <f t="shared" si="0"/>
        <v>820</v>
      </c>
      <c r="J19" s="18" t="s">
        <v>3111</v>
      </c>
      <c r="K19" s="18" t="s">
        <v>21</v>
      </c>
      <c r="L19" s="18" t="s">
        <v>3107</v>
      </c>
      <c r="M19" s="18"/>
      <c r="N19" s="18"/>
      <c r="O19" s="18"/>
      <c r="P19" s="18"/>
      <c r="Q19" s="18">
        <v>1</v>
      </c>
    </row>
    <row r="20" spans="1:18" x14ac:dyDescent="0.25">
      <c r="A20" s="18"/>
      <c r="B20" s="18" t="s">
        <v>16</v>
      </c>
      <c r="C20" s="18" t="s">
        <v>3190</v>
      </c>
      <c r="D20" s="18" t="s">
        <v>3191</v>
      </c>
      <c r="E20" s="18" t="s">
        <v>3192</v>
      </c>
      <c r="F20" s="19">
        <v>7</v>
      </c>
      <c r="G20" s="19">
        <v>1510</v>
      </c>
      <c r="H20" s="19">
        <v>30</v>
      </c>
      <c r="I20" s="19">
        <f t="shared" si="0"/>
        <v>1480</v>
      </c>
      <c r="J20" s="18" t="s">
        <v>3111</v>
      </c>
      <c r="K20" s="18" t="s">
        <v>21</v>
      </c>
      <c r="L20" s="18" t="s">
        <v>3107</v>
      </c>
      <c r="M20" s="18"/>
      <c r="N20" s="18"/>
      <c r="O20" s="18"/>
      <c r="P20" s="18"/>
      <c r="Q20" s="18">
        <v>1</v>
      </c>
    </row>
    <row r="21" spans="1:18" x14ac:dyDescent="0.25">
      <c r="A21" s="18"/>
      <c r="B21" s="18" t="s">
        <v>16</v>
      </c>
      <c r="C21" s="18" t="s">
        <v>3193</v>
      </c>
      <c r="D21" s="18" t="s">
        <v>3194</v>
      </c>
      <c r="E21" s="18" t="s">
        <v>3195</v>
      </c>
      <c r="F21" s="18" t="s">
        <v>128</v>
      </c>
      <c r="G21" s="19">
        <v>775</v>
      </c>
      <c r="H21" s="19">
        <v>35</v>
      </c>
      <c r="I21" s="19">
        <f t="shared" si="0"/>
        <v>740</v>
      </c>
      <c r="J21" s="18" t="s">
        <v>3111</v>
      </c>
      <c r="K21" s="18" t="s">
        <v>21</v>
      </c>
      <c r="L21" s="18" t="s">
        <v>3107</v>
      </c>
      <c r="M21" s="18"/>
      <c r="N21" s="18"/>
      <c r="O21" s="18"/>
      <c r="P21" s="18"/>
      <c r="Q21" s="18">
        <v>1</v>
      </c>
    </row>
    <row r="22" spans="1:18" x14ac:dyDescent="0.25">
      <c r="A22" s="18"/>
      <c r="B22" s="18" t="s">
        <v>16</v>
      </c>
      <c r="C22" s="18" t="s">
        <v>701</v>
      </c>
      <c r="D22" s="18" t="s">
        <v>3196</v>
      </c>
      <c r="E22" s="18" t="s">
        <v>703</v>
      </c>
      <c r="F22" s="18" t="s">
        <v>217</v>
      </c>
      <c r="G22" s="19">
        <v>825</v>
      </c>
      <c r="H22" s="19">
        <v>25</v>
      </c>
      <c r="I22" s="19">
        <f t="shared" si="0"/>
        <v>800</v>
      </c>
      <c r="J22" s="18" t="s">
        <v>3111</v>
      </c>
      <c r="K22" s="18" t="s">
        <v>21</v>
      </c>
      <c r="L22" s="18" t="s">
        <v>3107</v>
      </c>
      <c r="M22" s="18"/>
      <c r="N22" s="18"/>
      <c r="O22" s="18"/>
      <c r="P22" s="18"/>
      <c r="Q22" s="18">
        <v>1</v>
      </c>
    </row>
    <row r="23" spans="1:18" x14ac:dyDescent="0.25">
      <c r="A23" s="18"/>
      <c r="B23" s="18" t="s">
        <v>16</v>
      </c>
      <c r="C23" s="18" t="s">
        <v>3206</v>
      </c>
      <c r="D23" s="18" t="s">
        <v>3207</v>
      </c>
      <c r="E23" s="18" t="s">
        <v>3208</v>
      </c>
      <c r="F23" s="18" t="s">
        <v>217</v>
      </c>
      <c r="G23" s="19">
        <v>1555</v>
      </c>
      <c r="H23" s="19">
        <v>25</v>
      </c>
      <c r="I23" s="19">
        <f t="shared" si="0"/>
        <v>1530</v>
      </c>
      <c r="J23" s="18" t="s">
        <v>3111</v>
      </c>
      <c r="K23" s="18" t="s">
        <v>21</v>
      </c>
      <c r="L23" s="18" t="s">
        <v>3107</v>
      </c>
      <c r="M23" s="18"/>
      <c r="N23" s="18"/>
      <c r="O23" s="18"/>
      <c r="P23" s="18"/>
      <c r="Q23" s="18">
        <v>1</v>
      </c>
    </row>
    <row r="24" spans="1:18" x14ac:dyDescent="0.25">
      <c r="A24" s="18"/>
      <c r="B24" s="18" t="s">
        <v>16</v>
      </c>
      <c r="C24" s="18" t="s">
        <v>1870</v>
      </c>
      <c r="D24" s="18" t="s">
        <v>3216</v>
      </c>
      <c r="E24" s="18" t="s">
        <v>1872</v>
      </c>
      <c r="F24" s="18" t="s">
        <v>113</v>
      </c>
      <c r="G24" s="19">
        <v>805</v>
      </c>
      <c r="H24" s="19">
        <v>35</v>
      </c>
      <c r="I24" s="19">
        <f t="shared" si="0"/>
        <v>770</v>
      </c>
      <c r="J24" s="18" t="s">
        <v>3111</v>
      </c>
      <c r="K24" s="18" t="s">
        <v>21</v>
      </c>
      <c r="L24" s="18" t="s">
        <v>3107</v>
      </c>
      <c r="M24" s="18"/>
      <c r="N24" s="18"/>
      <c r="O24" s="18"/>
      <c r="P24" s="18"/>
      <c r="Q24" s="18">
        <v>1</v>
      </c>
    </row>
    <row r="25" spans="1:18" x14ac:dyDescent="0.25">
      <c r="A25" s="18"/>
      <c r="B25" s="18" t="s">
        <v>16</v>
      </c>
      <c r="C25" s="18" t="s">
        <v>3217</v>
      </c>
      <c r="D25" s="18" t="s">
        <v>3218</v>
      </c>
      <c r="E25" s="18" t="s">
        <v>3219</v>
      </c>
      <c r="F25" s="18" t="s">
        <v>26</v>
      </c>
      <c r="G25" s="19">
        <v>850</v>
      </c>
      <c r="H25" s="19">
        <v>30</v>
      </c>
      <c r="I25" s="19">
        <f t="shared" si="0"/>
        <v>820</v>
      </c>
      <c r="J25" s="18" t="s">
        <v>3111</v>
      </c>
      <c r="K25" s="18" t="s">
        <v>21</v>
      </c>
      <c r="L25" s="18" t="s">
        <v>3107</v>
      </c>
      <c r="M25" s="18"/>
      <c r="N25" s="18"/>
      <c r="O25" s="18"/>
      <c r="P25" s="18"/>
      <c r="Q25" s="18">
        <v>1</v>
      </c>
    </row>
    <row r="26" spans="1:18" x14ac:dyDescent="0.25">
      <c r="A26" s="18"/>
      <c r="B26" s="18" t="s">
        <v>16</v>
      </c>
      <c r="C26" s="18" t="s">
        <v>3236</v>
      </c>
      <c r="D26" s="18" t="s">
        <v>3237</v>
      </c>
      <c r="E26" s="18" t="s">
        <v>3238</v>
      </c>
      <c r="F26" s="19">
        <v>8</v>
      </c>
      <c r="G26" s="19">
        <v>0</v>
      </c>
      <c r="H26" s="19">
        <v>25</v>
      </c>
      <c r="I26" s="19">
        <f>-H26</f>
        <v>-25</v>
      </c>
      <c r="J26" s="18" t="s">
        <v>3111</v>
      </c>
      <c r="K26" s="18" t="s">
        <v>21</v>
      </c>
      <c r="L26" s="18" t="s">
        <v>3107</v>
      </c>
      <c r="M26" s="18"/>
      <c r="N26" s="18"/>
      <c r="O26" s="18"/>
      <c r="P26" s="18"/>
      <c r="Q26" s="18">
        <v>1</v>
      </c>
      <c r="R26" s="6">
        <f>H26</f>
        <v>25</v>
      </c>
    </row>
    <row r="27" spans="1:18" x14ac:dyDescent="0.25">
      <c r="A27" s="18"/>
      <c r="B27" s="18" t="s">
        <v>16</v>
      </c>
      <c r="C27" s="18" t="s">
        <v>147</v>
      </c>
      <c r="D27" s="18" t="s">
        <v>3122</v>
      </c>
      <c r="E27" s="18" t="s">
        <v>3123</v>
      </c>
      <c r="F27" s="18" t="s">
        <v>68</v>
      </c>
      <c r="G27" s="19">
        <v>1170</v>
      </c>
      <c r="H27" s="19">
        <v>20</v>
      </c>
      <c r="I27" s="19">
        <f>G27-H27</f>
        <v>1150</v>
      </c>
      <c r="J27" s="18" t="s">
        <v>21</v>
      </c>
      <c r="K27" s="18" t="s">
        <v>21</v>
      </c>
      <c r="L27" s="18" t="s">
        <v>3107</v>
      </c>
      <c r="M27" s="18"/>
      <c r="N27" s="18"/>
      <c r="O27" s="18"/>
      <c r="P27" s="18"/>
      <c r="Q27" s="18">
        <v>1</v>
      </c>
    </row>
    <row r="28" spans="1:18" x14ac:dyDescent="0.25">
      <c r="A28" s="18"/>
      <c r="B28" s="18" t="s">
        <v>16</v>
      </c>
      <c r="C28" s="18" t="s">
        <v>65</v>
      </c>
      <c r="D28" s="18" t="s">
        <v>3132</v>
      </c>
      <c r="E28" s="18" t="s">
        <v>67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3107</v>
      </c>
      <c r="M28" s="18"/>
      <c r="N28" s="18"/>
      <c r="O28" s="18"/>
      <c r="P28" s="18"/>
      <c r="Q28" s="18">
        <v>1</v>
      </c>
      <c r="R28" s="6">
        <f>H28</f>
        <v>20</v>
      </c>
    </row>
    <row r="29" spans="1:18" x14ac:dyDescent="0.25">
      <c r="A29" s="18"/>
      <c r="B29" s="18" t="s">
        <v>16</v>
      </c>
      <c r="C29" s="18" t="s">
        <v>3174</v>
      </c>
      <c r="D29" s="18" t="s">
        <v>3175</v>
      </c>
      <c r="E29" s="18" t="s">
        <v>3176</v>
      </c>
      <c r="F29" s="18" t="s">
        <v>68</v>
      </c>
      <c r="G29" s="19">
        <v>1370</v>
      </c>
      <c r="H29" s="19">
        <v>20</v>
      </c>
      <c r="I29" s="19">
        <f t="shared" ref="I29:I34" si="1">G29-H29</f>
        <v>1350</v>
      </c>
      <c r="J29" s="18" t="s">
        <v>21</v>
      </c>
      <c r="K29" s="18" t="s">
        <v>21</v>
      </c>
      <c r="L29" s="18" t="s">
        <v>3107</v>
      </c>
      <c r="M29" s="18"/>
      <c r="N29" s="18"/>
      <c r="O29" s="18"/>
      <c r="P29" s="18"/>
      <c r="Q29" s="18">
        <v>1</v>
      </c>
    </row>
    <row r="30" spans="1:18" x14ac:dyDescent="0.25">
      <c r="A30" s="18"/>
      <c r="B30" s="18" t="s">
        <v>16</v>
      </c>
      <c r="C30" s="18" t="s">
        <v>1509</v>
      </c>
      <c r="D30" s="18" t="s">
        <v>3183</v>
      </c>
      <c r="E30" s="18" t="s">
        <v>1511</v>
      </c>
      <c r="F30" s="18" t="s">
        <v>72</v>
      </c>
      <c r="G30" s="19">
        <v>2090</v>
      </c>
      <c r="H30" s="19">
        <v>30</v>
      </c>
      <c r="I30" s="19">
        <f t="shared" si="1"/>
        <v>2060</v>
      </c>
      <c r="J30" s="18" t="s">
        <v>21</v>
      </c>
      <c r="K30" s="18" t="s">
        <v>21</v>
      </c>
      <c r="L30" s="18" t="s">
        <v>3107</v>
      </c>
      <c r="M30" s="25" t="s">
        <v>398</v>
      </c>
      <c r="N30" s="18"/>
      <c r="O30" s="18"/>
      <c r="P30" s="18"/>
      <c r="Q30" s="18">
        <v>1</v>
      </c>
      <c r="R30" s="6">
        <f>H30</f>
        <v>30</v>
      </c>
    </row>
    <row r="31" spans="1:18" x14ac:dyDescent="0.25">
      <c r="A31" s="18"/>
      <c r="B31" s="18" t="s">
        <v>16</v>
      </c>
      <c r="C31" s="18" t="s">
        <v>3197</v>
      </c>
      <c r="D31" s="18" t="s">
        <v>3198</v>
      </c>
      <c r="E31" s="18" t="s">
        <v>3199</v>
      </c>
      <c r="F31" s="18" t="s">
        <v>72</v>
      </c>
      <c r="G31" s="19">
        <v>945</v>
      </c>
      <c r="H31" s="19">
        <v>25</v>
      </c>
      <c r="I31" s="19">
        <f t="shared" si="1"/>
        <v>920</v>
      </c>
      <c r="J31" s="18" t="s">
        <v>21</v>
      </c>
      <c r="K31" s="18" t="s">
        <v>21</v>
      </c>
      <c r="L31" s="18" t="s">
        <v>3107</v>
      </c>
      <c r="M31" s="18"/>
      <c r="N31" s="18"/>
      <c r="O31" s="18"/>
      <c r="P31" s="18"/>
      <c r="Q31" s="18">
        <v>1</v>
      </c>
    </row>
    <row r="32" spans="1:18" x14ac:dyDescent="0.25">
      <c r="A32" s="18"/>
      <c r="B32" s="18" t="s">
        <v>16</v>
      </c>
      <c r="C32" s="18" t="s">
        <v>3203</v>
      </c>
      <c r="D32" s="18" t="s">
        <v>3204</v>
      </c>
      <c r="E32" s="18" t="s">
        <v>3205</v>
      </c>
      <c r="F32" s="18" t="s">
        <v>88</v>
      </c>
      <c r="G32" s="19">
        <v>605</v>
      </c>
      <c r="H32" s="19">
        <v>25</v>
      </c>
      <c r="I32" s="19">
        <f t="shared" si="1"/>
        <v>580</v>
      </c>
      <c r="J32" s="18" t="s">
        <v>21</v>
      </c>
      <c r="K32" s="18" t="s">
        <v>21</v>
      </c>
      <c r="L32" s="18" t="s">
        <v>3107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2832</v>
      </c>
      <c r="D33" s="18" t="s">
        <v>3209</v>
      </c>
      <c r="E33" s="18" t="s">
        <v>2834</v>
      </c>
      <c r="F33" s="19">
        <v>2</v>
      </c>
      <c r="G33" s="19">
        <v>1070</v>
      </c>
      <c r="H33" s="19">
        <v>30</v>
      </c>
      <c r="I33" s="19">
        <f t="shared" si="1"/>
        <v>1040</v>
      </c>
      <c r="J33" s="18" t="s">
        <v>21</v>
      </c>
      <c r="K33" s="18" t="s">
        <v>21</v>
      </c>
      <c r="L33" s="18" t="s">
        <v>3107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3226</v>
      </c>
      <c r="D34" s="18" t="s">
        <v>3227</v>
      </c>
      <c r="E34" s="18" t="s">
        <v>3228</v>
      </c>
      <c r="F34" s="18" t="s">
        <v>72</v>
      </c>
      <c r="G34" s="19">
        <v>1345</v>
      </c>
      <c r="H34" s="19">
        <v>25</v>
      </c>
      <c r="I34" s="19">
        <f t="shared" si="1"/>
        <v>1320</v>
      </c>
      <c r="J34" s="18" t="s">
        <v>21</v>
      </c>
      <c r="K34" s="18" t="s">
        <v>21</v>
      </c>
      <c r="L34" s="18" t="s">
        <v>3107</v>
      </c>
      <c r="M34" s="18"/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3229</v>
      </c>
      <c r="D35" s="18" t="s">
        <v>3230</v>
      </c>
      <c r="E35" s="18" t="s">
        <v>3231</v>
      </c>
      <c r="F35" s="19">
        <v>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3107</v>
      </c>
      <c r="M35" s="18"/>
      <c r="N35" s="18"/>
      <c r="O35" s="18"/>
      <c r="P35" s="18"/>
      <c r="Q35" s="18">
        <v>1</v>
      </c>
      <c r="R35" s="6">
        <f t="shared" ref="R35:R37" si="2">H35</f>
        <v>30</v>
      </c>
    </row>
    <row r="36" spans="1:18" x14ac:dyDescent="0.25">
      <c r="A36" s="18"/>
      <c r="B36" s="18" t="s">
        <v>16</v>
      </c>
      <c r="C36" s="18" t="s">
        <v>3056</v>
      </c>
      <c r="D36" s="18" t="s">
        <v>3235</v>
      </c>
      <c r="E36" s="18" t="s">
        <v>416</v>
      </c>
      <c r="F36" s="19">
        <v>12</v>
      </c>
      <c r="G36" s="19">
        <v>0</v>
      </c>
      <c r="H36" s="19">
        <v>30</v>
      </c>
      <c r="I36" s="19">
        <f>-H36</f>
        <v>-30</v>
      </c>
      <c r="J36" s="18" t="s">
        <v>21</v>
      </c>
      <c r="K36" s="18" t="s">
        <v>21</v>
      </c>
      <c r="L36" s="18" t="s">
        <v>3107</v>
      </c>
      <c r="M36" s="18"/>
      <c r="N36" s="18"/>
      <c r="O36" s="18"/>
      <c r="P36" s="18"/>
      <c r="Q36" s="18">
        <v>1</v>
      </c>
      <c r="R36" s="6">
        <f t="shared" si="2"/>
        <v>30</v>
      </c>
    </row>
    <row r="37" spans="1:18" x14ac:dyDescent="0.25">
      <c r="A37" s="18"/>
      <c r="B37" s="18" t="s">
        <v>16</v>
      </c>
      <c r="C37" s="18" t="s">
        <v>3242</v>
      </c>
      <c r="D37" s="18" t="s">
        <v>3243</v>
      </c>
      <c r="E37" s="18" t="s">
        <v>3244</v>
      </c>
      <c r="F37" s="19">
        <v>12</v>
      </c>
      <c r="G37" s="19">
        <v>0</v>
      </c>
      <c r="H37" s="19">
        <v>40</v>
      </c>
      <c r="I37" s="19">
        <f>-H37</f>
        <v>-40</v>
      </c>
      <c r="J37" s="18" t="s">
        <v>21</v>
      </c>
      <c r="K37" s="18" t="s">
        <v>21</v>
      </c>
      <c r="L37" s="18" t="s">
        <v>3107</v>
      </c>
      <c r="M37" s="18"/>
      <c r="N37" s="18"/>
      <c r="O37" s="18"/>
      <c r="P37" s="18"/>
      <c r="Q37" s="18">
        <v>1</v>
      </c>
      <c r="R37" s="6">
        <f t="shared" si="2"/>
        <v>40</v>
      </c>
    </row>
    <row r="38" spans="1:18" x14ac:dyDescent="0.25">
      <c r="A38" s="18" t="s">
        <v>62</v>
      </c>
      <c r="B38" s="18" t="s">
        <v>16</v>
      </c>
      <c r="C38" s="18" t="s">
        <v>3248</v>
      </c>
      <c r="D38" s="18"/>
      <c r="E38" s="18" t="s">
        <v>3249</v>
      </c>
      <c r="F38" s="18" t="s">
        <v>68</v>
      </c>
      <c r="G38" s="19">
        <v>25</v>
      </c>
      <c r="H38" s="19">
        <v>25</v>
      </c>
      <c r="I38" s="19">
        <f>G38-H38</f>
        <v>0</v>
      </c>
      <c r="J38" s="18" t="s">
        <v>21</v>
      </c>
      <c r="K38" s="18" t="s">
        <v>21</v>
      </c>
      <c r="L38" s="18" t="s">
        <v>3107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1972</v>
      </c>
      <c r="D39" s="18" t="s">
        <v>3106</v>
      </c>
      <c r="E39" s="18" t="s">
        <v>1974</v>
      </c>
      <c r="F39" s="19">
        <v>10</v>
      </c>
      <c r="G39" s="19">
        <v>795</v>
      </c>
      <c r="H39" s="19">
        <v>25</v>
      </c>
      <c r="I39" s="19">
        <f>G39-H39</f>
        <v>770</v>
      </c>
      <c r="J39" s="18" t="s">
        <v>165</v>
      </c>
      <c r="K39" s="18" t="s">
        <v>21</v>
      </c>
      <c r="L39" s="18" t="s">
        <v>3107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3126</v>
      </c>
      <c r="D40" s="18" t="s">
        <v>3127</v>
      </c>
      <c r="E40" s="18" t="s">
        <v>3128</v>
      </c>
      <c r="F40" s="19">
        <v>1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3107</v>
      </c>
      <c r="M40" s="18"/>
      <c r="N40" s="18"/>
      <c r="O40" s="18"/>
      <c r="P40" s="18"/>
      <c r="Q40" s="18">
        <v>1</v>
      </c>
      <c r="R40" s="6">
        <f>H40</f>
        <v>25</v>
      </c>
    </row>
    <row r="41" spans="1:18" x14ac:dyDescent="0.25">
      <c r="A41" s="18"/>
      <c r="B41" s="18" t="s">
        <v>16</v>
      </c>
      <c r="C41" s="18" t="s">
        <v>3129</v>
      </c>
      <c r="D41" s="18" t="s">
        <v>3130</v>
      </c>
      <c r="E41" s="18" t="s">
        <v>3131</v>
      </c>
      <c r="F41" s="19">
        <v>3</v>
      </c>
      <c r="G41" s="19">
        <v>1635</v>
      </c>
      <c r="H41" s="19">
        <v>25</v>
      </c>
      <c r="I41" s="19">
        <f t="shared" ref="I41:I46" si="3">G41-H41</f>
        <v>1610</v>
      </c>
      <c r="J41" s="18" t="s">
        <v>165</v>
      </c>
      <c r="K41" s="18" t="s">
        <v>21</v>
      </c>
      <c r="L41" s="18" t="s">
        <v>3107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820</v>
      </c>
      <c r="D42" s="18" t="s">
        <v>3133</v>
      </c>
      <c r="E42" s="18" t="s">
        <v>3134</v>
      </c>
      <c r="F42" s="19">
        <v>1</v>
      </c>
      <c r="G42" s="19">
        <v>25</v>
      </c>
      <c r="H42" s="19">
        <v>25</v>
      </c>
      <c r="I42" s="19">
        <f t="shared" si="3"/>
        <v>0</v>
      </c>
      <c r="J42" s="18" t="s">
        <v>165</v>
      </c>
      <c r="K42" s="18" t="s">
        <v>21</v>
      </c>
      <c r="L42" s="18" t="s">
        <v>3107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991</v>
      </c>
      <c r="D43" s="18" t="s">
        <v>3138</v>
      </c>
      <c r="E43" s="18" t="s">
        <v>993</v>
      </c>
      <c r="F43" s="18" t="s">
        <v>88</v>
      </c>
      <c r="G43" s="19">
        <v>795</v>
      </c>
      <c r="H43" s="19">
        <v>25</v>
      </c>
      <c r="I43" s="19">
        <f t="shared" si="3"/>
        <v>770</v>
      </c>
      <c r="J43" s="18" t="s">
        <v>165</v>
      </c>
      <c r="K43" s="18" t="s">
        <v>21</v>
      </c>
      <c r="L43" s="18" t="s">
        <v>3107</v>
      </c>
      <c r="M43" s="18"/>
      <c r="N43" s="18"/>
      <c r="O43" s="18"/>
      <c r="P43" s="18"/>
      <c r="Q43" s="18">
        <v>1</v>
      </c>
    </row>
    <row r="44" spans="1:18" x14ac:dyDescent="0.25">
      <c r="A44" s="18"/>
      <c r="B44" s="18" t="s">
        <v>16</v>
      </c>
      <c r="C44" s="18" t="s">
        <v>3151</v>
      </c>
      <c r="D44" s="18" t="s">
        <v>3152</v>
      </c>
      <c r="E44" s="18" t="s">
        <v>3153</v>
      </c>
      <c r="F44" s="19">
        <v>1</v>
      </c>
      <c r="G44" s="19">
        <v>815</v>
      </c>
      <c r="H44" s="19">
        <v>25</v>
      </c>
      <c r="I44" s="19">
        <f t="shared" si="3"/>
        <v>790</v>
      </c>
      <c r="J44" s="18" t="s">
        <v>165</v>
      </c>
      <c r="K44" s="18" t="s">
        <v>21</v>
      </c>
      <c r="L44" s="18" t="s">
        <v>3107</v>
      </c>
      <c r="M44" s="18"/>
      <c r="N44" s="18"/>
      <c r="O44" s="18"/>
      <c r="P44" s="18"/>
      <c r="Q44" s="18">
        <v>1</v>
      </c>
    </row>
    <row r="45" spans="1:18" x14ac:dyDescent="0.25">
      <c r="A45" s="18"/>
      <c r="B45" s="18" t="s">
        <v>16</v>
      </c>
      <c r="C45" s="18" t="s">
        <v>3154</v>
      </c>
      <c r="D45" s="18" t="s">
        <v>3155</v>
      </c>
      <c r="E45" s="18" t="s">
        <v>3156</v>
      </c>
      <c r="F45" s="19">
        <v>4</v>
      </c>
      <c r="G45" s="19">
        <v>1310</v>
      </c>
      <c r="H45" s="19">
        <v>25</v>
      </c>
      <c r="I45" s="19">
        <f t="shared" si="3"/>
        <v>1285</v>
      </c>
      <c r="J45" s="18" t="s">
        <v>165</v>
      </c>
      <c r="K45" s="18" t="s">
        <v>21</v>
      </c>
      <c r="L45" s="18" t="s">
        <v>3107</v>
      </c>
      <c r="M45" s="25" t="s">
        <v>398</v>
      </c>
      <c r="N45" s="18"/>
      <c r="O45" s="18"/>
      <c r="P45" s="18"/>
      <c r="Q45" s="18">
        <v>1</v>
      </c>
      <c r="R45" s="6">
        <f>H45</f>
        <v>25</v>
      </c>
    </row>
    <row r="46" spans="1:18" x14ac:dyDescent="0.25">
      <c r="A46" s="18"/>
      <c r="B46" s="18" t="s">
        <v>16</v>
      </c>
      <c r="C46" s="18" t="s">
        <v>3166</v>
      </c>
      <c r="D46" s="18" t="s">
        <v>3167</v>
      </c>
      <c r="E46" s="18" t="s">
        <v>3168</v>
      </c>
      <c r="F46" s="19">
        <v>1</v>
      </c>
      <c r="G46" s="19">
        <v>465</v>
      </c>
      <c r="H46" s="19">
        <v>25</v>
      </c>
      <c r="I46" s="19">
        <f t="shared" si="3"/>
        <v>440</v>
      </c>
      <c r="J46" s="18" t="s">
        <v>165</v>
      </c>
      <c r="K46" s="18" t="s">
        <v>21</v>
      </c>
      <c r="L46" s="18" t="s">
        <v>3107</v>
      </c>
      <c r="M46" s="18"/>
      <c r="N46" s="18"/>
      <c r="O46" s="18"/>
      <c r="P46" s="18"/>
      <c r="Q46" s="18">
        <v>1</v>
      </c>
    </row>
    <row r="47" spans="1:18" x14ac:dyDescent="0.25">
      <c r="A47" s="18"/>
      <c r="B47" s="18" t="s">
        <v>16</v>
      </c>
      <c r="C47" s="18" t="s">
        <v>3177</v>
      </c>
      <c r="D47" s="18" t="s">
        <v>3178</v>
      </c>
      <c r="E47" s="18" t="s">
        <v>3179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3107</v>
      </c>
      <c r="M47" s="18"/>
      <c r="N47" s="18"/>
      <c r="O47" s="18"/>
      <c r="P47" s="18"/>
      <c r="Q47" s="18">
        <v>1</v>
      </c>
      <c r="R47" s="6">
        <f>H47</f>
        <v>25</v>
      </c>
    </row>
    <row r="48" spans="1:18" x14ac:dyDescent="0.25">
      <c r="A48" s="18"/>
      <c r="B48" s="18" t="s">
        <v>16</v>
      </c>
      <c r="C48" s="18" t="s">
        <v>3180</v>
      </c>
      <c r="D48" s="18" t="s">
        <v>3181</v>
      </c>
      <c r="E48" s="18" t="s">
        <v>3182</v>
      </c>
      <c r="F48" s="19">
        <v>1</v>
      </c>
      <c r="G48" s="19">
        <v>825</v>
      </c>
      <c r="H48" s="19">
        <v>25</v>
      </c>
      <c r="I48" s="19">
        <f>G48-H48</f>
        <v>800</v>
      </c>
      <c r="J48" s="18" t="s">
        <v>165</v>
      </c>
      <c r="K48" s="18" t="s">
        <v>21</v>
      </c>
      <c r="L48" s="18" t="s">
        <v>3107</v>
      </c>
      <c r="M48" s="18"/>
      <c r="N48" s="18"/>
      <c r="O48" s="18"/>
      <c r="P48" s="18"/>
      <c r="Q48" s="18">
        <v>1</v>
      </c>
    </row>
    <row r="49" spans="1:18" x14ac:dyDescent="0.25">
      <c r="A49" s="18"/>
      <c r="B49" s="18" t="s">
        <v>16</v>
      </c>
      <c r="C49" s="18" t="s">
        <v>3184</v>
      </c>
      <c r="D49" s="18" t="s">
        <v>3185</v>
      </c>
      <c r="E49" s="18" t="s">
        <v>3186</v>
      </c>
      <c r="F49" s="19">
        <v>3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3107</v>
      </c>
      <c r="M49" s="18"/>
      <c r="N49" s="18"/>
      <c r="O49" s="18"/>
      <c r="P49" s="18"/>
      <c r="Q49" s="18">
        <v>1</v>
      </c>
      <c r="R49" s="6">
        <f>H49</f>
        <v>25</v>
      </c>
    </row>
    <row r="50" spans="1:18" x14ac:dyDescent="0.25">
      <c r="A50" s="18"/>
      <c r="B50" s="18" t="s">
        <v>16</v>
      </c>
      <c r="C50" s="18" t="s">
        <v>2252</v>
      </c>
      <c r="D50" s="18" t="s">
        <v>3187</v>
      </c>
      <c r="E50" s="18" t="s">
        <v>3188</v>
      </c>
      <c r="F50" s="19">
        <v>1</v>
      </c>
      <c r="G50" s="19">
        <v>765</v>
      </c>
      <c r="H50" s="19">
        <v>25</v>
      </c>
      <c r="I50" s="19">
        <f t="shared" ref="I50:I55" si="4">G50-H50</f>
        <v>740</v>
      </c>
      <c r="J50" s="18" t="s">
        <v>165</v>
      </c>
      <c r="K50" s="18" t="s">
        <v>21</v>
      </c>
      <c r="L50" s="18" t="s">
        <v>3107</v>
      </c>
      <c r="M50" s="18"/>
      <c r="N50" s="18"/>
      <c r="O50" s="18"/>
      <c r="P50" s="18"/>
      <c r="Q50" s="18">
        <v>1</v>
      </c>
    </row>
    <row r="51" spans="1:18" x14ac:dyDescent="0.25">
      <c r="A51" s="18"/>
      <c r="B51" s="18" t="s">
        <v>16</v>
      </c>
      <c r="C51" s="18" t="s">
        <v>3200</v>
      </c>
      <c r="D51" s="18" t="s">
        <v>3201</v>
      </c>
      <c r="E51" s="18" t="s">
        <v>3202</v>
      </c>
      <c r="F51" s="19">
        <v>10</v>
      </c>
      <c r="G51" s="19">
        <v>775</v>
      </c>
      <c r="H51" s="19">
        <v>25</v>
      </c>
      <c r="I51" s="19">
        <f t="shared" si="4"/>
        <v>750</v>
      </c>
      <c r="J51" s="18" t="s">
        <v>165</v>
      </c>
      <c r="K51" s="18" t="s">
        <v>21</v>
      </c>
      <c r="L51" s="18" t="s">
        <v>3107</v>
      </c>
      <c r="M51" s="18"/>
      <c r="N51" s="18"/>
      <c r="O51" s="18"/>
      <c r="P51" s="18"/>
      <c r="Q51" s="18">
        <v>1</v>
      </c>
    </row>
    <row r="52" spans="1:18" x14ac:dyDescent="0.25">
      <c r="A52" s="18"/>
      <c r="B52" s="18" t="s">
        <v>16</v>
      </c>
      <c r="C52" s="18" t="s">
        <v>3210</v>
      </c>
      <c r="D52" s="18" t="s">
        <v>3211</v>
      </c>
      <c r="E52" s="18" t="s">
        <v>3212</v>
      </c>
      <c r="F52" s="18" t="s">
        <v>85</v>
      </c>
      <c r="G52" s="19">
        <v>2460</v>
      </c>
      <c r="H52" s="19">
        <v>20</v>
      </c>
      <c r="I52" s="19">
        <f t="shared" si="4"/>
        <v>2440</v>
      </c>
      <c r="J52" s="18" t="s">
        <v>165</v>
      </c>
      <c r="K52" s="18" t="s">
        <v>21</v>
      </c>
      <c r="L52" s="18" t="s">
        <v>3107</v>
      </c>
      <c r="M52" s="25" t="s">
        <v>398</v>
      </c>
      <c r="N52" s="18"/>
      <c r="O52" s="18"/>
      <c r="P52" s="18"/>
      <c r="Q52" s="18">
        <v>1</v>
      </c>
      <c r="R52" s="6">
        <f>H52</f>
        <v>20</v>
      </c>
    </row>
    <row r="53" spans="1:18" x14ac:dyDescent="0.25">
      <c r="A53" s="18"/>
      <c r="B53" s="18" t="s">
        <v>16</v>
      </c>
      <c r="C53" s="18" t="s">
        <v>3213</v>
      </c>
      <c r="D53" s="18" t="s">
        <v>3214</v>
      </c>
      <c r="E53" s="18" t="s">
        <v>3215</v>
      </c>
      <c r="F53" s="19">
        <v>3</v>
      </c>
      <c r="G53" s="19">
        <v>945</v>
      </c>
      <c r="H53" s="19">
        <v>25</v>
      </c>
      <c r="I53" s="19">
        <f t="shared" si="4"/>
        <v>920</v>
      </c>
      <c r="J53" s="18" t="s">
        <v>165</v>
      </c>
      <c r="K53" s="18" t="s">
        <v>21</v>
      </c>
      <c r="L53" s="18" t="s">
        <v>3107</v>
      </c>
      <c r="M53" s="18"/>
      <c r="N53" s="18"/>
      <c r="O53" s="18"/>
      <c r="P53" s="18"/>
      <c r="Q53" s="18">
        <v>1</v>
      </c>
    </row>
    <row r="54" spans="1:18" x14ac:dyDescent="0.25">
      <c r="A54" s="18"/>
      <c r="B54" s="18" t="s">
        <v>16</v>
      </c>
      <c r="C54" s="18" t="s">
        <v>3220</v>
      </c>
      <c r="D54" s="18" t="s">
        <v>3221</v>
      </c>
      <c r="E54" s="18" t="s">
        <v>3222</v>
      </c>
      <c r="F54" s="19">
        <v>4</v>
      </c>
      <c r="G54" s="19">
        <v>465</v>
      </c>
      <c r="H54" s="19">
        <v>25</v>
      </c>
      <c r="I54" s="19">
        <f t="shared" si="4"/>
        <v>440</v>
      </c>
      <c r="J54" s="18" t="s">
        <v>165</v>
      </c>
      <c r="K54" s="18" t="s">
        <v>21</v>
      </c>
      <c r="L54" s="18" t="s">
        <v>3107</v>
      </c>
      <c r="M54" s="18"/>
      <c r="N54" s="18"/>
      <c r="O54" s="18"/>
      <c r="P54" s="18"/>
      <c r="Q54" s="18">
        <v>1</v>
      </c>
    </row>
    <row r="55" spans="1:18" x14ac:dyDescent="0.25">
      <c r="A55" s="18"/>
      <c r="B55" s="18" t="s">
        <v>16</v>
      </c>
      <c r="C55" s="18" t="s">
        <v>3223</v>
      </c>
      <c r="D55" s="18" t="s">
        <v>3224</v>
      </c>
      <c r="E55" s="18" t="s">
        <v>3225</v>
      </c>
      <c r="F55" s="19">
        <v>5</v>
      </c>
      <c r="G55" s="19">
        <v>825</v>
      </c>
      <c r="H55" s="19">
        <v>25</v>
      </c>
      <c r="I55" s="19">
        <f t="shared" si="4"/>
        <v>800</v>
      </c>
      <c r="J55" s="18" t="s">
        <v>165</v>
      </c>
      <c r="K55" s="18" t="s">
        <v>21</v>
      </c>
      <c r="L55" s="18" t="s">
        <v>3107</v>
      </c>
      <c r="M55" s="18"/>
      <c r="N55" s="18"/>
      <c r="O55" s="18"/>
      <c r="P55" s="18"/>
      <c r="Q55" s="18">
        <v>1</v>
      </c>
    </row>
    <row r="56" spans="1:18" x14ac:dyDescent="0.25">
      <c r="A56" s="18"/>
      <c r="B56" s="18" t="s">
        <v>16</v>
      </c>
      <c r="C56" s="18" t="s">
        <v>3232</v>
      </c>
      <c r="D56" s="18" t="s">
        <v>3233</v>
      </c>
      <c r="E56" s="18" t="s">
        <v>3234</v>
      </c>
      <c r="F56" s="19">
        <v>4</v>
      </c>
      <c r="G56" s="19">
        <v>0</v>
      </c>
      <c r="H56" s="19">
        <v>25</v>
      </c>
      <c r="I56" s="19">
        <f>-H56</f>
        <v>-25</v>
      </c>
      <c r="J56" s="18" t="s">
        <v>165</v>
      </c>
      <c r="K56" s="18" t="s">
        <v>21</v>
      </c>
      <c r="L56" s="18" t="s">
        <v>3107</v>
      </c>
      <c r="M56" s="18"/>
      <c r="N56" s="18"/>
      <c r="O56" s="18"/>
      <c r="P56" s="18"/>
      <c r="Q56" s="18">
        <v>1</v>
      </c>
      <c r="R56" s="6">
        <f t="shared" ref="R56:R58" si="5">H56</f>
        <v>25</v>
      </c>
    </row>
    <row r="57" spans="1:18" x14ac:dyDescent="0.25">
      <c r="A57" s="18"/>
      <c r="B57" s="18" t="s">
        <v>16</v>
      </c>
      <c r="C57" s="18" t="s">
        <v>3239</v>
      </c>
      <c r="D57" s="18" t="s">
        <v>3240</v>
      </c>
      <c r="E57" s="18" t="s">
        <v>3241</v>
      </c>
      <c r="F57" s="19">
        <v>3</v>
      </c>
      <c r="G57" s="19">
        <v>0</v>
      </c>
      <c r="H57" s="19">
        <v>25</v>
      </c>
      <c r="I57" s="19">
        <f>-H57</f>
        <v>-25</v>
      </c>
      <c r="J57" s="18" t="s">
        <v>165</v>
      </c>
      <c r="K57" s="18" t="s">
        <v>21</v>
      </c>
      <c r="L57" s="18" t="s">
        <v>3107</v>
      </c>
      <c r="M57" s="18"/>
      <c r="N57" s="18"/>
      <c r="O57" s="18"/>
      <c r="P57" s="18"/>
      <c r="Q57" s="18">
        <v>1</v>
      </c>
      <c r="R57" s="6">
        <f t="shared" si="5"/>
        <v>25</v>
      </c>
    </row>
    <row r="58" spans="1:18" x14ac:dyDescent="0.25">
      <c r="A58" s="18" t="s">
        <v>62</v>
      </c>
      <c r="B58" s="18" t="s">
        <v>16</v>
      </c>
      <c r="C58" s="18" t="s">
        <v>3245</v>
      </c>
      <c r="D58" s="18"/>
      <c r="E58" s="18" t="s">
        <v>2432</v>
      </c>
      <c r="F58" s="19">
        <v>5</v>
      </c>
      <c r="G58" s="19">
        <v>0</v>
      </c>
      <c r="H58" s="19">
        <v>25</v>
      </c>
      <c r="I58" s="19">
        <f>-H58</f>
        <v>-25</v>
      </c>
      <c r="J58" s="18" t="s">
        <v>165</v>
      </c>
      <c r="K58" s="18" t="s">
        <v>21</v>
      </c>
      <c r="L58" s="18" t="s">
        <v>3107</v>
      </c>
      <c r="M58" s="18"/>
      <c r="N58" s="18"/>
      <c r="O58" s="18"/>
      <c r="P58" s="18"/>
      <c r="Q58" s="18">
        <v>1</v>
      </c>
      <c r="R58" s="6">
        <f t="shared" si="5"/>
        <v>25</v>
      </c>
    </row>
    <row r="59" spans="1:18" x14ac:dyDescent="0.25">
      <c r="A59" s="18" t="s">
        <v>62</v>
      </c>
      <c r="B59" s="18" t="s">
        <v>16</v>
      </c>
      <c r="C59" s="18" t="s">
        <v>3246</v>
      </c>
      <c r="D59" s="18"/>
      <c r="E59" s="18" t="s">
        <v>3247</v>
      </c>
      <c r="F59" s="19">
        <v>3</v>
      </c>
      <c r="G59" s="19">
        <v>6170</v>
      </c>
      <c r="H59" s="19">
        <v>50</v>
      </c>
      <c r="I59" s="19">
        <f>G59-H59</f>
        <v>6120</v>
      </c>
      <c r="J59" s="18" t="s">
        <v>165</v>
      </c>
      <c r="K59" s="18" t="s">
        <v>21</v>
      </c>
      <c r="L59" s="18" t="s">
        <v>3107</v>
      </c>
      <c r="M59" s="18"/>
      <c r="N59" s="18"/>
      <c r="O59" s="18"/>
      <c r="P59" s="18"/>
      <c r="Q59" s="18">
        <v>1</v>
      </c>
    </row>
    <row r="60" spans="1:18" x14ac:dyDescent="0.25">
      <c r="A60" s="18" t="s">
        <v>62</v>
      </c>
      <c r="B60" s="18" t="s">
        <v>16</v>
      </c>
      <c r="C60" s="19">
        <v>898460039</v>
      </c>
      <c r="D60" s="18"/>
      <c r="E60" s="18" t="s">
        <v>2432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165</v>
      </c>
      <c r="K60" s="18" t="s">
        <v>21</v>
      </c>
      <c r="L60" s="18" t="s">
        <v>3107</v>
      </c>
      <c r="M60" s="18"/>
      <c r="N60" s="18"/>
      <c r="O60" s="18"/>
      <c r="P60" s="18"/>
      <c r="Q60" s="18">
        <v>1</v>
      </c>
      <c r="R60" s="6">
        <f>H60</f>
        <v>25</v>
      </c>
    </row>
    <row r="62" spans="1:18" x14ac:dyDescent="0.25">
      <c r="D62" s="1">
        <f>COUNTA(D3:D60)</f>
        <v>54</v>
      </c>
      <c r="G62" s="1">
        <f t="shared" ref="G62:Q62" si="6">SUBTOTAL(9,G3:G60)</f>
        <v>47815</v>
      </c>
      <c r="H62" s="1">
        <f t="shared" si="6"/>
        <v>1585</v>
      </c>
      <c r="I62" s="1">
        <f t="shared" si="6"/>
        <v>46230</v>
      </c>
      <c r="J62" s="1">
        <f t="shared" si="6"/>
        <v>0</v>
      </c>
      <c r="K62" s="1">
        <f t="shared" si="6"/>
        <v>0</v>
      </c>
      <c r="L62" s="1">
        <f t="shared" si="6"/>
        <v>0</v>
      </c>
      <c r="M62" s="1">
        <f t="shared" si="6"/>
        <v>0</v>
      </c>
      <c r="N62" s="1">
        <f t="shared" si="6"/>
        <v>0</v>
      </c>
      <c r="O62" s="1">
        <f t="shared" si="6"/>
        <v>0</v>
      </c>
      <c r="P62" s="1">
        <f t="shared" si="6"/>
        <v>0</v>
      </c>
      <c r="Q62" s="1">
        <f t="shared" si="6"/>
        <v>58</v>
      </c>
    </row>
    <row r="63" spans="1:18" x14ac:dyDescent="0.25">
      <c r="H63">
        <f>-14*17</f>
        <v>-238</v>
      </c>
    </row>
    <row r="64" spans="1:18" x14ac:dyDescent="0.25">
      <c r="A64" s="1" t="s">
        <v>16</v>
      </c>
      <c r="C64" s="47" t="s">
        <v>89</v>
      </c>
      <c r="D64" s="47"/>
      <c r="E64" s="4" t="s">
        <v>90</v>
      </c>
      <c r="H64">
        <f>-6*25</f>
        <v>-150</v>
      </c>
      <c r="K64" s="7" t="s">
        <v>165</v>
      </c>
      <c r="L64" s="7" t="s">
        <v>91</v>
      </c>
      <c r="M64" s="7" t="s">
        <v>90</v>
      </c>
      <c r="O64" s="4" t="s">
        <v>92</v>
      </c>
    </row>
    <row r="65" spans="1:16" x14ac:dyDescent="0.25">
      <c r="A65" t="s">
        <v>3107</v>
      </c>
      <c r="B65" s="3" t="s">
        <v>93</v>
      </c>
      <c r="C65" s="48">
        <f>SUMIFS(I$3:I$60,B$3:B$60,A$64,L$3:L$60,A$65)</f>
        <v>46230</v>
      </c>
      <c r="D65" s="48"/>
      <c r="E65" s="3">
        <f>SUMIFS(Q$3:Q$60,B$3:B$60,A$64,L$3:L$60,A$65)</f>
        <v>58</v>
      </c>
      <c r="F65" t="s">
        <v>94</v>
      </c>
      <c r="H65">
        <f>-3*30</f>
        <v>-90</v>
      </c>
      <c r="K65" t="s">
        <v>95</v>
      </c>
      <c r="L65">
        <f>SUMIFS(G$3:G$60,J$3:J$60,K$64)</f>
        <v>19070</v>
      </c>
      <c r="M65">
        <f>SUMIFS(Q$3:Q$60,J$3:J$60,K$64)-INT(COUNTIFS(J$3:J$60,K$64,M$3:M$60,"*gộp*")/2)</f>
        <v>22</v>
      </c>
      <c r="O65" t="s">
        <v>165</v>
      </c>
      <c r="P65">
        <f>L70</f>
        <v>18610</v>
      </c>
    </row>
    <row r="66" spans="1:16" x14ac:dyDescent="0.25">
      <c r="B66" s="2" t="s">
        <v>97</v>
      </c>
      <c r="C66" s="49">
        <v>0</v>
      </c>
      <c r="D66" s="49"/>
      <c r="K66" t="s">
        <v>98</v>
      </c>
      <c r="L66">
        <f>-SUMIFS(H$3:H$60,J$3:J$60,K$64)+M66*5</f>
        <v>-460</v>
      </c>
      <c r="M66">
        <f>SUMIFS(Q$3:Q$60,J$3:J$60,K$64)-INT(COUNTIFS(J$3:J$60,K$64,M$3:M$60,"*gộp*")/2)</f>
        <v>22</v>
      </c>
      <c r="O66" t="s">
        <v>3250</v>
      </c>
      <c r="P66">
        <f>L78</f>
        <v>18827</v>
      </c>
    </row>
    <row r="67" spans="1:16" x14ac:dyDescent="0.25">
      <c r="B67" s="2" t="s">
        <v>99</v>
      </c>
      <c r="C67" s="49">
        <f>-SUMIFS(I$3:I$60,B$3:B$60,A$64,P$3:P$60,"xx",N$3:N$60,"x")</f>
        <v>0</v>
      </c>
      <c r="D67" s="49"/>
      <c r="E67" s="2">
        <f>SUMIFS(Q$3:Q$60,B$3:B$60,A$64,P$3:P$60,"xx",N$3:N$60,"x")</f>
        <v>0</v>
      </c>
      <c r="K67" t="s">
        <v>100</v>
      </c>
      <c r="O67" t="s">
        <v>21</v>
      </c>
      <c r="P67">
        <f>L86</f>
        <v>8244</v>
      </c>
    </row>
    <row r="68" spans="1:16" x14ac:dyDescent="0.25">
      <c r="B68" s="4" t="s">
        <v>101</v>
      </c>
      <c r="C68" s="47">
        <f>SUBTOTAL(9,C65:C67)</f>
        <v>46230</v>
      </c>
      <c r="D68" s="47"/>
      <c r="E68">
        <f>E65</f>
        <v>58</v>
      </c>
      <c r="K68" s="2" t="s">
        <v>102</v>
      </c>
      <c r="O68" t="s">
        <v>20</v>
      </c>
      <c r="P68">
        <f>L94</f>
        <v>795</v>
      </c>
    </row>
    <row r="69" spans="1:16" x14ac:dyDescent="0.25">
      <c r="B69" s="2" t="s">
        <v>104</v>
      </c>
      <c r="C69" s="45"/>
      <c r="D69" s="45"/>
      <c r="K69" s="2" t="s">
        <v>105</v>
      </c>
      <c r="O69" t="s">
        <v>103</v>
      </c>
      <c r="P69">
        <f>-C72</f>
        <v>-46230</v>
      </c>
    </row>
    <row r="70" spans="1:16" x14ac:dyDescent="0.25">
      <c r="B70" s="8" t="s">
        <v>107</v>
      </c>
      <c r="C70" s="45"/>
      <c r="D70" s="45"/>
      <c r="L70" s="9">
        <f>SUBTOTAL(9,L65:L69)</f>
        <v>18610</v>
      </c>
      <c r="M70" s="9">
        <f>M65</f>
        <v>22</v>
      </c>
      <c r="O70" s="4" t="s">
        <v>106</v>
      </c>
      <c r="P70" s="4">
        <f>SUBTOTAL(9,P65:P69)</f>
        <v>246</v>
      </c>
    </row>
    <row r="72" spans="1:16" x14ac:dyDescent="0.25">
      <c r="B72" s="1" t="s">
        <v>108</v>
      </c>
      <c r="C72" s="46">
        <f>C68+C69+C70</f>
        <v>46230</v>
      </c>
      <c r="D72" s="46"/>
      <c r="E72" s="1" t="s">
        <v>109</v>
      </c>
      <c r="K72" s="7" t="s">
        <v>3111</v>
      </c>
      <c r="L72" s="7" t="s">
        <v>91</v>
      </c>
      <c r="M72" s="7" t="s">
        <v>90</v>
      </c>
    </row>
    <row r="73" spans="1:16" x14ac:dyDescent="0.25">
      <c r="K73" t="s">
        <v>95</v>
      </c>
      <c r="L73">
        <f>SUMIFS(G$3:G$60,J$3:J$60,K$72)</f>
        <v>19305</v>
      </c>
      <c r="M73">
        <f>SUMIFS(Q$3:Q$60,J$3:J$60,K$72)-INT(COUNTIFS(J$3:J$60,K$72,M$3:M$60,"*gộp*")/2)</f>
        <v>23</v>
      </c>
    </row>
    <row r="74" spans="1:16" x14ac:dyDescent="0.25">
      <c r="K74" t="s">
        <v>98</v>
      </c>
      <c r="L74">
        <f>SUM(H63:H65)</f>
        <v>-478</v>
      </c>
      <c r="M74">
        <f>SUMIFS(Q$3:Q$60,J$3:J$60,K$72)</f>
        <v>23</v>
      </c>
    </row>
    <row r="75" spans="1:16" x14ac:dyDescent="0.25">
      <c r="K75" t="s">
        <v>100</v>
      </c>
    </row>
    <row r="76" spans="1:16" x14ac:dyDescent="0.25">
      <c r="K76" s="2" t="s">
        <v>102</v>
      </c>
    </row>
    <row r="77" spans="1:16" x14ac:dyDescent="0.25">
      <c r="K77" s="2" t="s">
        <v>105</v>
      </c>
    </row>
    <row r="78" spans="1:16" x14ac:dyDescent="0.25">
      <c r="L78" s="9">
        <f>SUBTOTAL(9,L73:L77)</f>
        <v>18827</v>
      </c>
      <c r="M78" s="9">
        <f>M73</f>
        <v>23</v>
      </c>
    </row>
    <row r="80" spans="1:16" x14ac:dyDescent="0.25">
      <c r="K80" s="7" t="s">
        <v>21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SUMIFS(G$3:G$60,J$3:J$60,K$80)</f>
        <v>8620</v>
      </c>
      <c r="M81">
        <f>SUMIFS(Q$3:Q$60,J$3:J$60,K$80)-INT(COUNTIFS(J$3:J$60,K$80,M$3:M$60,"*gộp*")/2)</f>
        <v>12</v>
      </c>
    </row>
    <row r="82" spans="11:13" x14ac:dyDescent="0.25">
      <c r="K82" t="s">
        <v>98</v>
      </c>
      <c r="L82">
        <f>-SUMIFS(H$3:H$60,J$3:J$60,K$80)+M82*5</f>
        <v>-260</v>
      </c>
      <c r="M82">
        <f>SUMIFS(Q$3:Q$60,J$3:J$60,K$80)-INT(COUNTIFS(J$3:J$60,K$80,M$3:M$60,"*gộp*")/2)</f>
        <v>12</v>
      </c>
    </row>
    <row r="83" spans="11:13" x14ac:dyDescent="0.25">
      <c r="K83" t="s">
        <v>100</v>
      </c>
      <c r="L83">
        <f>-M83*2</f>
        <v>-116</v>
      </c>
      <c r="M83">
        <f>E68-(COUNTIFS(M$3:M$60,"*gộp*")/2)-COUNTIFS(M$3:M$60,"*đơn trả*")-COUNTIFS(M$3:M$60,"*hàng tỉnh*")</f>
        <v>58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8244</v>
      </c>
      <c r="M86" s="9">
        <f>M81</f>
        <v>12</v>
      </c>
    </row>
    <row r="88" spans="11:13" x14ac:dyDescent="0.25">
      <c r="K88" s="7" t="s">
        <v>20</v>
      </c>
      <c r="L88" s="7" t="s">
        <v>91</v>
      </c>
      <c r="M88" s="7" t="s">
        <v>90</v>
      </c>
    </row>
    <row r="89" spans="11:13" x14ac:dyDescent="0.25">
      <c r="K89" t="s">
        <v>95</v>
      </c>
      <c r="L89">
        <f>SUMIFS(G$3:G$60,J$3:J$60,K$88)</f>
        <v>820</v>
      </c>
      <c r="M89">
        <f>SUMIFS(Q$3:Q$60,J$3:J$60,K$88)-INT(COUNTIFS(J$3:J$60,K$88,M$3:M$60,"*gộp*")/2)</f>
        <v>1</v>
      </c>
    </row>
    <row r="90" spans="11:13" x14ac:dyDescent="0.25">
      <c r="K90" t="s">
        <v>98</v>
      </c>
      <c r="L90">
        <f>-SUMIFS(H$3:H$60,J$3:J$60,K$88)+M90*5</f>
        <v>-25</v>
      </c>
      <c r="M90">
        <f>SUMIFS(Q$3:Q$60,J$3:J$60,K$88)-INT(COUNTIFS(J$3:J$60,K$88,M$3:M$60,"*gộp*")/2)</f>
        <v>1</v>
      </c>
    </row>
    <row r="91" spans="11:13" x14ac:dyDescent="0.25">
      <c r="K91" t="s">
        <v>100</v>
      </c>
    </row>
    <row r="92" spans="11:13" x14ac:dyDescent="0.25">
      <c r="K92" s="2" t="s">
        <v>102</v>
      </c>
    </row>
    <row r="93" spans="11:13" x14ac:dyDescent="0.25">
      <c r="K93" s="2" t="s">
        <v>105</v>
      </c>
    </row>
    <row r="94" spans="11:13" x14ac:dyDescent="0.25">
      <c r="L94" s="9">
        <f>SUBTOTAL(9,L89:L93)</f>
        <v>795</v>
      </c>
      <c r="M94" s="9">
        <f>M89</f>
        <v>1</v>
      </c>
    </row>
  </sheetData>
  <autoFilter ref="A2:P60" xr:uid="{00000000-0009-0000-0000-000019000000}">
    <sortState xmlns:xlrd2="http://schemas.microsoft.com/office/spreadsheetml/2017/richdata2" ref="A3:P60">
      <sortCondition ref="J2:J60"/>
    </sortState>
  </autoFilter>
  <mergeCells count="8">
    <mergeCell ref="C69:D69"/>
    <mergeCell ref="C70:D70"/>
    <mergeCell ref="C72:D72"/>
    <mergeCell ref="C64:D64"/>
    <mergeCell ref="C65:D65"/>
    <mergeCell ref="C66:D66"/>
    <mergeCell ref="C67:D67"/>
    <mergeCell ref="C68:D68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tabSelected="1" workbookViewId="0">
      <selection activeCell="G21" sqref="G21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3096</v>
      </c>
      <c r="B1" s="30">
        <v>2026</v>
      </c>
    </row>
    <row r="2" spans="1:5" x14ac:dyDescent="0.25">
      <c r="A2" s="31" t="s">
        <v>3097</v>
      </c>
      <c r="B2" s="31" t="s">
        <v>3098</v>
      </c>
      <c r="C2" s="31" t="s">
        <v>3099</v>
      </c>
      <c r="D2" s="31" t="s">
        <v>3100</v>
      </c>
      <c r="E2" s="31" t="s">
        <v>3101</v>
      </c>
    </row>
    <row r="3" spans="1:5" x14ac:dyDescent="0.25">
      <c r="A3" s="32">
        <v>46113</v>
      </c>
      <c r="B3" s="33">
        <f ca="1">IFERROR(COUNTIF(INDIRECT("'"&amp;TEXT(A3,"dd-mm")&amp;"'!L3:L200"),TEXT(A3,"dd-mm")&amp;"-"&amp;B$1),0)</f>
        <v>21</v>
      </c>
      <c r="C3" s="33">
        <f ca="1">IFERROR(COUNTIF(INDIRECT("'"&amp;TEXT(A3,"DD-MM")&amp;"'!M3:M200"),"*gộp*")/2,0)</f>
        <v>0</v>
      </c>
      <c r="D3" s="33" cm="1">
        <f t="array" aca="1" ref="D3" ca="1">IFERROR(SUM(COUNTIF(INDIRECT("'"&amp;TEXT(A3,"DD-MM")&amp;"'!M3:M200"),{"*đơn trả*","*hàng tỉnh*"})),0)</f>
        <v>0</v>
      </c>
      <c r="E3" s="33">
        <f t="shared" ref="E3:E27" ca="1" si="0">B3-C3-D3</f>
        <v>21</v>
      </c>
    </row>
    <row r="4" spans="1:5" x14ac:dyDescent="0.25">
      <c r="A4" s="32">
        <v>46114</v>
      </c>
      <c r="B4" s="33">
        <f ca="1">IFERROR(COUNTIF(INDIRECT("'"&amp;TEXT(A4,"dd-mm")&amp;"'!L3:L200"),TEXT(A4,"dd-mm")&amp;"-"&amp;B$1),0)</f>
        <v>22</v>
      </c>
      <c r="C4" s="33">
        <f ca="1">IFERROR(COUNTIF(INDIRECT("'"&amp;TEXT(A4,"DD-MM")&amp;"'!M3:M200"),"*gộp*")/2,0)</f>
        <v>0</v>
      </c>
      <c r="D4" s="33" cm="1">
        <f t="array" aca="1" ref="D4" ca="1">IFERROR(SUM(COUNTIF(INDIRECT("'"&amp;TEXT(A4,"DD-MM")&amp;"'!M3:M200"),{"*đơn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7" ca="1" si="1">IFERROR(COUNTIF(INDIRECT("'"&amp;TEXT(A5,"dd-mm")&amp;"'!L3:L200"),TEXT(A5,"dd-mm")&amp;"-"&amp;B$1),0)</f>
        <v>51</v>
      </c>
      <c r="C5" s="33">
        <f t="shared" ref="C5:C27" ca="1" si="2">IFERROR(COUNTIF(INDIRECT("'"&amp;TEXT(A5,"DD-MM")&amp;"'!M3:M200"),"*gộp*")/2,0)</f>
        <v>2</v>
      </c>
      <c r="D5" s="33" cm="1">
        <f t="array" aca="1" ref="D5" ca="1">IFERROR(SUM(COUNTIF(INDIRECT("'"&amp;TEXT(A5,"DD-MM")&amp;"'!M3:M200"),{"*đơn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IFERROR(SUM(COUNTIF(INDIRECT("'"&amp;TEXT(A6,"DD-MM")&amp;"'!M3:M200"),{"*đơn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IFERROR(SUM(COUNTIF(INDIRECT("'"&amp;TEXT(A7,"DD-MM")&amp;"'!M3:M200"),{"*đơn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IFERROR(SUM(COUNTIF(INDIRECT("'"&amp;TEXT(A8,"DD-MM")&amp;"'!M3:M200"),{"*đơn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IFERROR(SUM(COUNTIF(INDIRECT("'"&amp;TEXT(A9,"DD-MM")&amp;"'!M3:M200"),{"*đơn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IFERROR(SUM(COUNTIF(INDIRECT("'"&amp;TEXT(A10,"DD-MM")&amp;"'!M3:M200"),{"*đơn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IFERROR(SUM(COUNTIF(INDIRECT("'"&amp;TEXT(A11,"DD-MM")&amp;"'!M3:M200"),{"*đơn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IFERROR(SUM(COUNTIF(INDIRECT("'"&amp;TEXT(A12,"DD-MM")&amp;"'!M3:M200"),{"*đơn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IFERROR(SUM(COUNTIF(INDIRECT("'"&amp;TEXT(A13,"DD-MM")&amp;"'!M3:M200"),{"*đơn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IFERROR(SUM(COUNTIF(INDIRECT("'"&amp;TEXT(A14,"DD-MM")&amp;"'!M3:M200"),{"*đơn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IFERROR(SUM(COUNTIF(INDIRECT("'"&amp;TEXT(A15,"DD-MM")&amp;"'!M3:M200"),{"*đơn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IFERROR(SUM(COUNTIF(INDIRECT("'"&amp;TEXT(A16,"DD-MM")&amp;"'!M3:M200"),{"*đơn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IFERROR(SUM(COUNTIF(INDIRECT("'"&amp;TEXT(A17,"DD-MM")&amp;"'!M3:M200"),{"*đơn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IFERROR(SUM(COUNTIF(INDIRECT("'"&amp;TEXT(A18,"DD-MM")&amp;"'!M3:M200"),{"*đơn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IFERROR(SUM(COUNTIF(INDIRECT("'"&amp;TEXT(A19,"DD-MM")&amp;"'!M3:M200"),{"*đơn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IFERROR(SUM(COUNTIF(INDIRECT("'"&amp;TEXT(A20,"DD-MM")&amp;"'!M3:M200"),{"*đơn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IFERROR(SUM(COUNTIF(INDIRECT("'"&amp;TEXT(A21,"DD-MM")&amp;"'!M3:M200"),{"*đơn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59</v>
      </c>
      <c r="C22" s="33">
        <f t="shared" ca="1" si="2"/>
        <v>1</v>
      </c>
      <c r="D22" s="33" cm="1">
        <f t="array" aca="1" ref="D22" ca="1">IFERROR(SUM(COUNTIF(INDIRECT("'"&amp;TEXT(A22,"DD-MM")&amp;"'!M3:M200"),{"*đơn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64</v>
      </c>
      <c r="C23" s="33">
        <f t="shared" ca="1" si="2"/>
        <v>2</v>
      </c>
      <c r="D23" s="33" cm="1">
        <f t="array" aca="1" ref="D23" ca="1">IFERROR(SUM(COUNTIF(INDIRECT("'"&amp;TEXT(A23,"DD-MM")&amp;"'!M3:M200"),{"*đơn trả*","*hàng tỉnh*"})),0)</f>
        <v>0</v>
      </c>
      <c r="E23" s="33">
        <f t="shared" ca="1" si="0"/>
        <v>62</v>
      </c>
    </row>
    <row r="24" spans="1:5" x14ac:dyDescent="0.25">
      <c r="A24" s="32">
        <v>46137</v>
      </c>
      <c r="B24" s="33">
        <f t="shared" ca="1" si="1"/>
        <v>50</v>
      </c>
      <c r="C24" s="33">
        <f t="shared" ca="1" si="2"/>
        <v>1</v>
      </c>
      <c r="D24" s="33" cm="1">
        <f t="array" aca="1" ref="D24" ca="1">IFERROR(SUM(COUNTIF(INDIRECT("'"&amp;TEXT(A24,"DD-MM")&amp;"'!M3:M200"),{"*đơn trả*","*hàng tỉnh*"})),0)</f>
        <v>1</v>
      </c>
      <c r="E24" s="33">
        <f t="shared" ca="1" si="0"/>
        <v>48</v>
      </c>
    </row>
    <row r="25" spans="1:5" x14ac:dyDescent="0.25">
      <c r="A25" s="32">
        <v>46139</v>
      </c>
      <c r="B25" s="33">
        <f t="shared" ca="1" si="1"/>
        <v>120</v>
      </c>
      <c r="C25" s="33">
        <f t="shared" ca="1" si="2"/>
        <v>7</v>
      </c>
      <c r="D25" s="33" cm="1">
        <f t="array" aca="1" ref="D25" ca="1">IFERROR(SUM(COUNTIF(INDIRECT("'"&amp;TEXT(A25,"DD-MM")&amp;"'!M3:M200"),{"*đơn trả*","*hàng tỉnh*"})),0)</f>
        <v>7</v>
      </c>
      <c r="E25" s="33">
        <f t="shared" ca="1" si="0"/>
        <v>106</v>
      </c>
    </row>
    <row r="26" spans="1:5" x14ac:dyDescent="0.25">
      <c r="A26" s="32">
        <v>46140</v>
      </c>
      <c r="B26" s="33">
        <f t="shared" ca="1" si="1"/>
        <v>45</v>
      </c>
      <c r="C26" s="33">
        <f t="shared" ca="1" si="2"/>
        <v>0</v>
      </c>
      <c r="D26" s="33" cm="1">
        <f t="array" aca="1" ref="D26" ca="1">IFERROR(SUM(COUNTIF(INDIRECT("'"&amp;TEXT(A26,"DD-MM")&amp;"'!M3:M200"),{"*đơn trả*","*hàng tỉnh*"})),0)</f>
        <v>0</v>
      </c>
      <c r="E26" s="33">
        <f t="shared" ca="1" si="0"/>
        <v>45</v>
      </c>
    </row>
    <row r="27" spans="1:5" x14ac:dyDescent="0.25">
      <c r="A27" s="32">
        <v>46141</v>
      </c>
      <c r="B27" s="33">
        <f t="shared" ca="1" si="1"/>
        <v>58</v>
      </c>
      <c r="C27" s="33">
        <f t="shared" ca="1" si="2"/>
        <v>0</v>
      </c>
      <c r="D27" s="33" cm="1">
        <f t="array" aca="1" ref="D27" ca="1">IFERROR(SUM(COUNTIF(INDIRECT("'"&amp;TEXT(A27,"DD-MM")&amp;"'!M3:M200"),{"*đơn trả*","*hàng tỉnh*"})),0)</f>
        <v>0</v>
      </c>
      <c r="E27" s="33">
        <f t="shared" ca="1" si="0"/>
        <v>58</v>
      </c>
    </row>
    <row r="28" spans="1:5" x14ac:dyDescent="0.25">
      <c r="D28" s="34" t="s">
        <v>3102</v>
      </c>
      <c r="E28" s="34">
        <f ca="1">SUBTOTAL(9,E3:E27)</f>
        <v>1183</v>
      </c>
    </row>
    <row r="29" spans="1:5" x14ac:dyDescent="0.25">
      <c r="D29" s="34" t="s">
        <v>3103</v>
      </c>
      <c r="E29" s="34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5909</v>
      </c>
    </row>
    <row r="30" spans="1:5" x14ac:dyDescent="0.25">
      <c r="D30" s="34" t="s">
        <v>3104</v>
      </c>
      <c r="E30" s="34">
        <f ca="1">-E28*2</f>
        <v>-2366</v>
      </c>
    </row>
    <row r="31" spans="1:5" x14ac:dyDescent="0.25">
      <c r="D31" s="34" t="s">
        <v>3105</v>
      </c>
      <c r="E31" s="34">
        <f ca="1">SUBTOTAL(9,E29:E30)</f>
        <v>3543</v>
      </c>
    </row>
  </sheetData>
  <autoFilter ref="A2:E27" xr:uid="{00000000-0009-0000-0000-000018000000}"/>
  <phoneticPr fontId="6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2026-05-01T07:04:38Z</dcterms:modified>
</cp:coreProperties>
</file>