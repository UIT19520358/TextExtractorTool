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Apr\"/>
    </mc:Choice>
  </mc:AlternateContent>
  <xr:revisionPtr revIDLastSave="0" documentId="13_ncr:1_{D9677B6A-493E-42EE-95D4-14F7A640475B}" xr6:coauthVersionLast="47" xr6:coauthVersionMax="47" xr10:uidLastSave="{00000000-0000-0000-0000-000000000000}"/>
  <bookViews>
    <workbookView xWindow="-28920" yWindow="-150" windowWidth="29040" windowHeight="15720" activeTab="9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" i="15" l="1"/>
  <c r="I3" i="2"/>
  <c r="I4" i="2"/>
  <c r="C28" i="2" s="1"/>
  <c r="C31" i="2" s="1"/>
  <c r="C35" i="2" s="1"/>
  <c r="P31" i="2" s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J25" i="2"/>
  <c r="K25" i="2"/>
  <c r="L25" i="2"/>
  <c r="M25" i="2"/>
  <c r="N25" i="2"/>
  <c r="O25" i="2"/>
  <c r="P25" i="2"/>
  <c r="Q25" i="2"/>
  <c r="M38" i="2" s="1"/>
  <c r="L38" i="2" s="1"/>
  <c r="H26" i="2"/>
  <c r="L29" i="2" s="1"/>
  <c r="H27" i="2"/>
  <c r="E28" i="2"/>
  <c r="E31" i="2" s="1"/>
  <c r="L28" i="2"/>
  <c r="L33" i="2" s="1"/>
  <c r="P28" i="2" s="1"/>
  <c r="M28" i="2"/>
  <c r="M29" i="2"/>
  <c r="C30" i="2"/>
  <c r="E30" i="2"/>
  <c r="M33" i="2"/>
  <c r="L36" i="2"/>
  <c r="M36" i="2"/>
  <c r="M41" i="2" s="1"/>
  <c r="M37" i="2"/>
  <c r="L37" i="2" s="1"/>
  <c r="L44" i="2"/>
  <c r="M44" i="2"/>
  <c r="M49" i="2" s="1"/>
  <c r="M45" i="2"/>
  <c r="L45" i="2" s="1"/>
  <c r="L49" i="2" s="1"/>
  <c r="P30" i="2" s="1"/>
  <c r="I3" i="6"/>
  <c r="C29" i="6" s="1"/>
  <c r="C32" i="6" s="1"/>
  <c r="C36" i="6" s="1"/>
  <c r="P32" i="6" s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H27" i="6"/>
  <c r="H28" i="6"/>
  <c r="E29" i="6"/>
  <c r="E32" i="6" s="1"/>
  <c r="H29" i="6"/>
  <c r="L29" i="6"/>
  <c r="M29" i="6"/>
  <c r="M34" i="6" s="1"/>
  <c r="M30" i="6"/>
  <c r="L30" i="6" s="1"/>
  <c r="L34" i="6" s="1"/>
  <c r="P29" i="6" s="1"/>
  <c r="C31" i="6"/>
  <c r="E31" i="6"/>
  <c r="M31" i="6"/>
  <c r="L31" i="6" s="1"/>
  <c r="L37" i="6"/>
  <c r="M37" i="6"/>
  <c r="L38" i="6"/>
  <c r="M38" i="6"/>
  <c r="L42" i="6"/>
  <c r="P30" i="6" s="1"/>
  <c r="M42" i="6"/>
  <c r="L45" i="6"/>
  <c r="L50" i="6" s="1"/>
  <c r="P31" i="6" s="1"/>
  <c r="M45" i="6"/>
  <c r="M50" i="6" s="1"/>
  <c r="L46" i="6"/>
  <c r="M46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55" i="7" s="1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H56" i="7"/>
  <c r="H57" i="7"/>
  <c r="E58" i="7"/>
  <c r="E61" i="7" s="1"/>
  <c r="H58" i="7"/>
  <c r="L58" i="7"/>
  <c r="M58" i="7"/>
  <c r="M64" i="7" s="1"/>
  <c r="M59" i="7"/>
  <c r="L59" i="7" s="1"/>
  <c r="L64" i="7" s="1"/>
  <c r="P58" i="7" s="1"/>
  <c r="C60" i="7"/>
  <c r="E60" i="7"/>
  <c r="L60" i="7"/>
  <c r="M60" i="7"/>
  <c r="L67" i="7"/>
  <c r="M67" i="7"/>
  <c r="L68" i="7"/>
  <c r="M68" i="7"/>
  <c r="L72" i="7"/>
  <c r="P59" i="7" s="1"/>
  <c r="M72" i="7"/>
  <c r="L75" i="7"/>
  <c r="L80" i="7" s="1"/>
  <c r="P60" i="7" s="1"/>
  <c r="M75" i="7"/>
  <c r="M80" i="7" s="1"/>
  <c r="L76" i="7"/>
  <c r="M76" i="7"/>
  <c r="I3" i="8"/>
  <c r="I46" i="8" s="1"/>
  <c r="I4" i="8"/>
  <c r="I5" i="8"/>
  <c r="I6" i="8"/>
  <c r="I7" i="8"/>
  <c r="I8" i="8"/>
  <c r="I9" i="8"/>
  <c r="I10" i="8"/>
  <c r="I11" i="8"/>
  <c r="I12" i="8"/>
  <c r="C49" i="8" s="1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C51" i="8" s="1"/>
  <c r="I44" i="8"/>
  <c r="D46" i="8"/>
  <c r="G46" i="8"/>
  <c r="H46" i="8"/>
  <c r="J46" i="8"/>
  <c r="K46" i="8"/>
  <c r="L46" i="8"/>
  <c r="M46" i="8"/>
  <c r="N46" i="8"/>
  <c r="O46" i="8"/>
  <c r="P46" i="8"/>
  <c r="Q46" i="8"/>
  <c r="M59" i="8" s="1"/>
  <c r="L59" i="8" s="1"/>
  <c r="H47" i="8"/>
  <c r="L50" i="8" s="1"/>
  <c r="H48" i="8"/>
  <c r="E49" i="8"/>
  <c r="E52" i="8" s="1"/>
  <c r="H49" i="8"/>
  <c r="L49" i="8"/>
  <c r="L54" i="8" s="1"/>
  <c r="P49" i="8" s="1"/>
  <c r="M49" i="8"/>
  <c r="M50" i="8"/>
  <c r="E51" i="8"/>
  <c r="M54" i="8"/>
  <c r="L57" i="8"/>
  <c r="M57" i="8"/>
  <c r="M58" i="8"/>
  <c r="L58" i="8" s="1"/>
  <c r="M62" i="8"/>
  <c r="L65" i="8"/>
  <c r="M65" i="8"/>
  <c r="M66" i="8"/>
  <c r="L66" i="8" s="1"/>
  <c r="L70" i="8" s="1"/>
  <c r="P51" i="8" s="1"/>
  <c r="M70" i="8"/>
  <c r="L73" i="8"/>
  <c r="L78" i="8" s="1"/>
  <c r="P52" i="8" s="1"/>
  <c r="M73" i="8"/>
  <c r="M78" i="8" s="1"/>
  <c r="L74" i="8"/>
  <c r="M74" i="8"/>
  <c r="I3" i="10"/>
  <c r="I4" i="10"/>
  <c r="I5" i="10"/>
  <c r="I6" i="10"/>
  <c r="I7" i="10"/>
  <c r="C60" i="10" s="1"/>
  <c r="C63" i="10" s="1"/>
  <c r="C67" i="10" s="1"/>
  <c r="P63" i="10" s="1"/>
  <c r="I8" i="10"/>
  <c r="I9" i="10"/>
  <c r="I10" i="10"/>
  <c r="I11" i="10"/>
  <c r="I12" i="10"/>
  <c r="I57" i="10" s="1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C62" i="10" s="1"/>
  <c r="D57" i="10"/>
  <c r="G57" i="10"/>
  <c r="H57" i="10"/>
  <c r="J57" i="10"/>
  <c r="K57" i="10"/>
  <c r="L57" i="10"/>
  <c r="M57" i="10"/>
  <c r="N57" i="10"/>
  <c r="O57" i="10"/>
  <c r="P57" i="10"/>
  <c r="Q57" i="10"/>
  <c r="M62" i="10" s="1"/>
  <c r="L62" i="10" s="1"/>
  <c r="H58" i="10"/>
  <c r="H59" i="10"/>
  <c r="E60" i="10"/>
  <c r="E63" i="10" s="1"/>
  <c r="H60" i="10"/>
  <c r="L60" i="10"/>
  <c r="M60" i="10"/>
  <c r="M65" i="10" s="1"/>
  <c r="L61" i="10"/>
  <c r="M61" i="10"/>
  <c r="E62" i="10"/>
  <c r="L68" i="10"/>
  <c r="L73" i="10" s="1"/>
  <c r="P61" i="10" s="1"/>
  <c r="M68" i="10"/>
  <c r="M73" i="10" s="1"/>
  <c r="L69" i="10"/>
  <c r="M69" i="10"/>
  <c r="L76" i="10"/>
  <c r="L81" i="10" s="1"/>
  <c r="P62" i="10" s="1"/>
  <c r="M76" i="10"/>
  <c r="L77" i="10"/>
  <c r="M77" i="10"/>
  <c r="M81" i="10"/>
  <c r="I3" i="11"/>
  <c r="C34" i="11" s="1"/>
  <c r="C37" i="11" s="1"/>
  <c r="C42" i="11" s="1"/>
  <c r="P37" i="11" s="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D31" i="11"/>
  <c r="G31" i="11"/>
  <c r="H31" i="11"/>
  <c r="J31" i="11"/>
  <c r="K31" i="11"/>
  <c r="L31" i="11"/>
  <c r="M31" i="11"/>
  <c r="N31" i="11"/>
  <c r="O31" i="11"/>
  <c r="P31" i="11"/>
  <c r="Q31" i="11"/>
  <c r="M36" i="11" s="1"/>
  <c r="H32" i="11"/>
  <c r="H33" i="11"/>
  <c r="E34" i="11"/>
  <c r="H34" i="11"/>
  <c r="L34" i="11"/>
  <c r="M34" i="11"/>
  <c r="M35" i="11"/>
  <c r="L35" i="11" s="1"/>
  <c r="C36" i="11"/>
  <c r="E36" i="11"/>
  <c r="E37" i="11"/>
  <c r="L43" i="11"/>
  <c r="M43" i="11"/>
  <c r="L44" i="11"/>
  <c r="M44" i="11"/>
  <c r="L48" i="11"/>
  <c r="P35" i="11" s="1"/>
  <c r="M48" i="11"/>
  <c r="L51" i="11"/>
  <c r="L56" i="11" s="1"/>
  <c r="P36" i="11" s="1"/>
  <c r="M51" i="11"/>
  <c r="M56" i="11" s="1"/>
  <c r="L52" i="11"/>
  <c r="M52" i="11"/>
  <c r="I3" i="12"/>
  <c r="I4" i="12"/>
  <c r="I5" i="12"/>
  <c r="I6" i="12"/>
  <c r="I7" i="12"/>
  <c r="I8" i="12"/>
  <c r="I49" i="12" s="1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C54" i="12" s="1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M54" i="12" s="1"/>
  <c r="L54" i="12" s="1"/>
  <c r="H50" i="12"/>
  <c r="L61" i="12" s="1"/>
  <c r="L65" i="12" s="1"/>
  <c r="P53" i="12" s="1"/>
  <c r="H51" i="12"/>
  <c r="C52" i="12"/>
  <c r="E52" i="12"/>
  <c r="E55" i="12" s="1"/>
  <c r="H52" i="12"/>
  <c r="L52" i="12"/>
  <c r="M52" i="12"/>
  <c r="M53" i="12"/>
  <c r="L53" i="12" s="1"/>
  <c r="E54" i="12"/>
  <c r="M57" i="12"/>
  <c r="L60" i="12"/>
  <c r="M60" i="12"/>
  <c r="M61" i="12"/>
  <c r="M65" i="12"/>
  <c r="L68" i="12"/>
  <c r="M68" i="12"/>
  <c r="M69" i="12"/>
  <c r="L69" i="12" s="1"/>
  <c r="L73" i="12" s="1"/>
  <c r="P54" i="12" s="1"/>
  <c r="M73" i="12"/>
  <c r="L76" i="12"/>
  <c r="L81" i="12" s="1"/>
  <c r="P55" i="12" s="1"/>
  <c r="M76" i="12"/>
  <c r="M81" i="12" s="1"/>
  <c r="M77" i="12"/>
  <c r="L77" i="12" s="1"/>
  <c r="I3" i="13"/>
  <c r="I4" i="13"/>
  <c r="I5" i="13"/>
  <c r="I6" i="13"/>
  <c r="I7" i="13"/>
  <c r="I8" i="13"/>
  <c r="C44" i="13" s="1"/>
  <c r="C47" i="13" s="1"/>
  <c r="C51" i="13" s="1"/>
  <c r="P47" i="13" s="1"/>
  <c r="I9" i="13"/>
  <c r="I10" i="13"/>
  <c r="I11" i="13"/>
  <c r="I12" i="13"/>
  <c r="I41" i="13" s="1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H42" i="13"/>
  <c r="H43" i="13"/>
  <c r="E44" i="13"/>
  <c r="E47" i="13" s="1"/>
  <c r="L44" i="13"/>
  <c r="M44" i="13"/>
  <c r="M49" i="13" s="1"/>
  <c r="M45" i="13"/>
  <c r="L45" i="13" s="1"/>
  <c r="C46" i="13"/>
  <c r="E46" i="13"/>
  <c r="M46" i="13"/>
  <c r="L46" i="13" s="1"/>
  <c r="L52" i="13"/>
  <c r="L57" i="13" s="1"/>
  <c r="P45" i="13" s="1"/>
  <c r="M52" i="13"/>
  <c r="M57" i="13" s="1"/>
  <c r="L53" i="13"/>
  <c r="M53" i="13"/>
  <c r="L60" i="13"/>
  <c r="L65" i="13" s="1"/>
  <c r="P46" i="13" s="1"/>
  <c r="M60" i="13"/>
  <c r="L61" i="13"/>
  <c r="M61" i="13"/>
  <c r="M65" i="13"/>
  <c r="I3" i="14"/>
  <c r="I4" i="14"/>
  <c r="I5" i="14"/>
  <c r="I56" i="14" s="1"/>
  <c r="I6" i="14"/>
  <c r="I7" i="14"/>
  <c r="C59" i="14" s="1"/>
  <c r="C62" i="14" s="1"/>
  <c r="C66" i="14" s="1"/>
  <c r="P62" i="14" s="1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C61" i="14" s="1"/>
  <c r="I55" i="14"/>
  <c r="D56" i="14"/>
  <c r="G56" i="14"/>
  <c r="H56" i="14"/>
  <c r="J56" i="14"/>
  <c r="K56" i="14"/>
  <c r="L56" i="14"/>
  <c r="M56" i="14"/>
  <c r="N56" i="14"/>
  <c r="O56" i="14"/>
  <c r="P56" i="14"/>
  <c r="Q56" i="14"/>
  <c r="H57" i="14"/>
  <c r="L76" i="14" s="1"/>
  <c r="L80" i="14" s="1"/>
  <c r="P61" i="14" s="1"/>
  <c r="H58" i="14"/>
  <c r="E59" i="14"/>
  <c r="E62" i="14" s="1"/>
  <c r="L59" i="14"/>
  <c r="L64" i="14" s="1"/>
  <c r="P59" i="14" s="1"/>
  <c r="M59" i="14"/>
  <c r="M64" i="14" s="1"/>
  <c r="L60" i="14"/>
  <c r="M60" i="14"/>
  <c r="E61" i="14"/>
  <c r="L67" i="14"/>
  <c r="L72" i="14" s="1"/>
  <c r="P60" i="14" s="1"/>
  <c r="M67" i="14"/>
  <c r="M72" i="14" s="1"/>
  <c r="L68" i="14"/>
  <c r="M68" i="14"/>
  <c r="L69" i="14"/>
  <c r="L75" i="14"/>
  <c r="M75" i="14"/>
  <c r="M76" i="14"/>
  <c r="M80" i="14"/>
  <c r="I21" i="15"/>
  <c r="C48" i="15" s="1"/>
  <c r="C51" i="15" s="1"/>
  <c r="C55" i="15" s="1"/>
  <c r="P52" i="15" s="1"/>
  <c r="I22" i="15"/>
  <c r="I4" i="15"/>
  <c r="I30" i="15"/>
  <c r="I31" i="15"/>
  <c r="I23" i="15"/>
  <c r="I32" i="15"/>
  <c r="I5" i="15"/>
  <c r="I6" i="15"/>
  <c r="I33" i="15"/>
  <c r="I7" i="15"/>
  <c r="I34" i="15"/>
  <c r="I8" i="15"/>
  <c r="I24" i="15"/>
  <c r="I9" i="15"/>
  <c r="I25" i="15"/>
  <c r="I35" i="15"/>
  <c r="I36" i="15"/>
  <c r="I37" i="15"/>
  <c r="I10" i="15"/>
  <c r="I11" i="15"/>
  <c r="I38" i="15"/>
  <c r="I26" i="15"/>
  <c r="I12" i="15"/>
  <c r="I27" i="15"/>
  <c r="I39" i="15"/>
  <c r="I13" i="15"/>
  <c r="I28" i="15"/>
  <c r="I14" i="15"/>
  <c r="I40" i="15"/>
  <c r="I15" i="15"/>
  <c r="I16" i="15"/>
  <c r="I41" i="15"/>
  <c r="I3" i="15"/>
  <c r="I29" i="15"/>
  <c r="I42" i="15"/>
  <c r="I17" i="15"/>
  <c r="I18" i="15"/>
  <c r="I43" i="15"/>
  <c r="I19" i="15"/>
  <c r="I20" i="15"/>
  <c r="D45" i="15"/>
  <c r="G45" i="15"/>
  <c r="H45" i="15"/>
  <c r="J45" i="15"/>
  <c r="K45" i="15"/>
  <c r="L45" i="15"/>
  <c r="M45" i="15"/>
  <c r="N45" i="15"/>
  <c r="O45" i="15"/>
  <c r="P45" i="15"/>
  <c r="Q45" i="15"/>
  <c r="M50" i="15" s="1"/>
  <c r="L50" i="15" s="1"/>
  <c r="H46" i="15"/>
  <c r="L57" i="15" s="1"/>
  <c r="H47" i="15"/>
  <c r="E48" i="15"/>
  <c r="E51" i="15" s="1"/>
  <c r="H48" i="15"/>
  <c r="L48" i="15"/>
  <c r="M48" i="15"/>
  <c r="M53" i="15" s="1"/>
  <c r="M49" i="15"/>
  <c r="L49" i="15" s="1"/>
  <c r="C50" i="15"/>
  <c r="E50" i="15"/>
  <c r="L56" i="15"/>
  <c r="M56" i="15"/>
  <c r="M61" i="15" s="1"/>
  <c r="M57" i="15"/>
  <c r="L64" i="15"/>
  <c r="M64" i="15"/>
  <c r="M69" i="15" s="1"/>
  <c r="M65" i="15"/>
  <c r="L65" i="15" s="1"/>
  <c r="L72" i="15"/>
  <c r="M72" i="15"/>
  <c r="M73" i="15"/>
  <c r="M77" i="15"/>
  <c r="L69" i="15" l="1"/>
  <c r="P50" i="15" s="1"/>
  <c r="L61" i="15"/>
  <c r="P49" i="15" s="1"/>
  <c r="P63" i="14"/>
  <c r="L49" i="13"/>
  <c r="P44" i="13" s="1"/>
  <c r="P48" i="13" s="1"/>
  <c r="L57" i="12"/>
  <c r="P52" i="12" s="1"/>
  <c r="L41" i="2"/>
  <c r="P29" i="2" s="1"/>
  <c r="M41" i="11"/>
  <c r="L36" i="11"/>
  <c r="L41" i="11" s="1"/>
  <c r="P34" i="11" s="1"/>
  <c r="P38" i="11" s="1"/>
  <c r="P62" i="7"/>
  <c r="C55" i="12"/>
  <c r="C59" i="12" s="1"/>
  <c r="P56" i="12" s="1"/>
  <c r="P33" i="6"/>
  <c r="L62" i="8"/>
  <c r="P50" i="8" s="1"/>
  <c r="P54" i="8" s="1"/>
  <c r="L77" i="15"/>
  <c r="P51" i="15" s="1"/>
  <c r="P32" i="2"/>
  <c r="L65" i="10"/>
  <c r="P60" i="10" s="1"/>
  <c r="P64" i="10" s="1"/>
  <c r="L53" i="15"/>
  <c r="P48" i="15" s="1"/>
  <c r="C52" i="8"/>
  <c r="C56" i="8" s="1"/>
  <c r="P53" i="8" s="1"/>
  <c r="I45" i="15"/>
  <c r="I31" i="11"/>
  <c r="I26" i="6"/>
  <c r="I25" i="2"/>
  <c r="P53" i="15" l="1"/>
  <c r="P57" i="12"/>
</calcChain>
</file>

<file path=xl/sharedStrings.xml><?xml version="1.0" encoding="utf-8"?>
<sst xmlns="http://schemas.openxmlformats.org/spreadsheetml/2006/main" count="3623" uniqueCount="1145">
  <si>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</si>
  <si>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</si>
  <si>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</si>
  <si>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</si>
  <si>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</si>
  <si>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</si>
  <si>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</si>
  <si>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</si>
  <si>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</si>
  <si>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</si>
  <si>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</si>
  <si>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</si>
  <si>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</si>
  <si>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</si>
  <si>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</si>
  <si>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</si>
  <si>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</si>
  <si>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</si>
  <si>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</si>
  <si>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</si>
  <si>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</si>
  <si>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</si>
  <si>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</si>
  <si>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</si>
  <si>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</si>
  <si>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</si>
  <si>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</si>
  <si>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</si>
  <si>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</si>
  <si>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</si>
  <si>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</si>
  <si>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</si>
  <si>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</si>
  <si>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</si>
  <si>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</si>
  <si>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</si>
  <si>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</si>
  <si>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</si>
  <si>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</si>
  <si>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</si>
  <si>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</si>
  <si>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</si>
  <si>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</si>
  <si>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</si>
  <si>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</si>
  <si>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</si>
  <si>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</si>
  <si>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</si>
  <si>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</si>
  <si>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</si>
  <si>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</si>
  <si>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</si>
  <si>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</si>
  <si>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</si>
  <si>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</si>
  <si>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</si>
  <si>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</si>
  <si>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</si>
  <si>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</si>
  <si>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</si>
  <si>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</si>
  <si>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</si>
  <si>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</si>
  <si>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</si>
  <si>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</si>
  <si>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</si>
  <si>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</si>
  <si>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</si>
  <si>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</si>
  <si>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</si>
  <si>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</si>
  <si>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</si>
  <si>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</si>
  <si>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</si>
  <si>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</si>
  <si>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</si>
  <si>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</si>
  <si>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</si>
  <si>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</si>
  <si>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</si>
  <si>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</si>
  <si>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</si>
  <si>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</si>
  <si>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</si>
  <si>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</si>
  <si>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</si>
  <si>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</si>
  <si>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</si>
  <si>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</si>
  <si>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</si>
  <si>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</si>
  <si>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</si>
  <si>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</si>
  <si>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</si>
  <si>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</si>
  <si>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</si>
  <si>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</si>
  <si>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</si>
  <si>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</si>
  <si>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</si>
  <si>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</si>
  <si>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</si>
  <si>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</si>
  <si>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</si>
  <si>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</si>
  <si>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</si>
  <si>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</si>
  <si>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</si>
  <si>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</si>
  <si>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</si>
  <si>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</si>
  <si>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</si>
  <si>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</si>
  <si>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</si>
  <si>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</si>
  <si>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</si>
  <si>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</si>
  <si>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</si>
  <si>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</si>
  <si>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</si>
  <si>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</si>
  <si>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</si>
  <si>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</si>
  <si>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</si>
  <si>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</si>
  <si>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</si>
  <si>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</si>
  <si>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</si>
  <si>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</si>
  <si>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</si>
  <si>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</si>
  <si>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</si>
  <si>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</si>
  <si>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</si>
  <si>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</si>
  <si>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</si>
  <si>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</si>
  <si>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</si>
  <si>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</si>
  <si>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</si>
  <si>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</si>
  <si>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</si>
  <si>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</si>
  <si>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</si>
  <si>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</si>
  <si>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</si>
  <si>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</si>
  <si>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</si>
  <si>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</si>
  <si>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</si>
  <si>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</si>
  <si>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</si>
  <si>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</si>
  <si>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</si>
  <si>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</si>
  <si>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</si>
  <si>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</si>
  <si>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</si>
  <si>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</si>
  <si>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</si>
  <si>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</si>
  <si>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</si>
  <si>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</si>
  <si>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</si>
  <si>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</si>
  <si>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</si>
  <si>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</si>
  <si>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</si>
  <si>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</si>
  <si>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</si>
  <si>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</si>
  <si>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</si>
  <si>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</si>
  <si>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</si>
  <si>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</si>
  <si>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</si>
  <si>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</si>
  <si>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</si>
  <si>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</si>
  <si>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</si>
  <si>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</si>
  <si>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</si>
  <si>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</si>
  <si>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</si>
  <si>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</si>
  <si>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</si>
  <si>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</si>
  <si>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</si>
  <si>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</si>
  <si>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</si>
  <si>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</si>
  <si>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</si>
  <si>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</si>
  <si>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</si>
  <si>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</si>
  <si>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</si>
  <si>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</si>
  <si>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</si>
  <si>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</si>
  <si>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</si>
  <si>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</si>
  <si>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</si>
  <si>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</si>
  <si>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</si>
  <si>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</si>
  <si>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</si>
  <si>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</si>
  <si>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</si>
  <si>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</si>
  <si>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</si>
  <si>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</si>
  <si>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</si>
  <si>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</si>
  <si>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</si>
  <si>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</si>
  <si>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</si>
  <si>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</si>
  <si>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</si>
  <si>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</si>
  <si>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</si>
  <si>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</si>
  <si>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</si>
  <si>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</si>
  <si>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</si>
  <si>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</si>
  <si>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</si>
  <si>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</si>
  <si>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</si>
  <si>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</si>
  <si>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</si>
  <si>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</si>
  <si>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</si>
  <si>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</si>
  <si>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</si>
  <si>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</si>
  <si>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</si>
  <si>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</si>
  <si>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</si>
  <si>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</si>
  <si>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</si>
  <si>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</si>
  <si>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</si>
  <si>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</si>
  <si>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</si>
  <si>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</si>
  <si>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</si>
  <si>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</si>
  <si>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</si>
  <si>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</si>
  <si>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</si>
  <si>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</si>
  <si>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</si>
  <si>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</si>
  <si>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</si>
  <si>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</si>
  <si>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</si>
  <si>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</si>
  <si>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</si>
  <si>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</si>
  <si>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</si>
  <si>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</si>
  <si>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</si>
  <si>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</si>
  <si>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</si>
  <si>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</si>
  <si>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</si>
  <si>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</si>
  <si>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</si>
  <si>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</si>
  <si>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</si>
  <si>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</si>
  <si>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</si>
  <si>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</si>
  <si>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</si>
  <si>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</si>
  <si>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</si>
  <si>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</si>
  <si>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</si>
  <si>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</si>
  <si>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</si>
  <si>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</si>
  <si>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</si>
  <si>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</si>
  <si>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</si>
  <si>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</si>
  <si>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</si>
  <si>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</si>
  <si>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</si>
  <si>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</si>
  <si>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</si>
  <si>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</si>
  <si>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</si>
  <si>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</si>
  <si>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</si>
  <si>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</si>
  <si>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</si>
  <si>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</si>
  <si>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</si>
  <si>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</si>
  <si>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</si>
  <si>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</si>
  <si>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</si>
  <si>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</si>
  <si>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</si>
  <si>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</si>
  <si>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</si>
  <si>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</si>
  <si>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</si>
  <si>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</si>
  <si>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</si>
  <si>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</si>
  <si>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</si>
  <si>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</si>
  <si>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</si>
  <si>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</si>
  <si>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</si>
  <si>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</si>
  <si>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</si>
  <si>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</si>
  <si>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</si>
  <si>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</si>
  <si>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</si>
  <si>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</si>
  <si>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</si>
  <si>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</si>
  <si>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</si>
  <si>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</si>
  <si>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</si>
  <si>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</si>
  <si>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</si>
  <si>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</si>
  <si>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</si>
  <si>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</si>
  <si>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</si>
  <si>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</si>
  <si>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</si>
  <si>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</si>
  <si>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</si>
  <si>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</si>
  <si>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</si>
  <si>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</si>
  <si>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</si>
  <si>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</si>
  <si>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</si>
  <si>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</si>
  <si>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</si>
  <si>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</si>
  <si>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</si>
  <si>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</si>
  <si>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</si>
  <si>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</si>
  <si>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</si>
  <si>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</si>
  <si>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</si>
  <si>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</si>
  <si>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</si>
  <si>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</si>
  <si>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</si>
  <si>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</si>
  <si>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</si>
  <si>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</si>
  <si>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</si>
  <si>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</si>
  <si>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</si>
  <si>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</si>
  <si>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</si>
  <si>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</si>
  <si>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</si>
  <si>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</si>
  <si>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</si>
  <si>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</si>
  <si>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</si>
  <si>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</si>
  <si>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</si>
  <si>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</si>
  <si>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</si>
  <si>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</si>
  <si>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</si>
  <si>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</si>
  <si>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</si>
  <si>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</si>
  <si>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</si>
  <si>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</si>
  <si>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</si>
  <si>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</si>
  <si>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</si>
  <si>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</si>
  <si>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</si>
  <si>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</si>
  <si>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</si>
  <si>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</si>
  <si>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</si>
  <si>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</si>
  <si>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</si>
  <si>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</si>
  <si>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</si>
  <si>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</si>
  <si>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</si>
  <si>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</si>
  <si>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</si>
  <si>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</si>
  <si>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</si>
  <si>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</si>
  <si>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</si>
  <si>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</si>
  <si>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</si>
  <si>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</si>
  <si>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</si>
  <si>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</si>
  <si>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</si>
  <si>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</si>
  <si>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</si>
  <si>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</si>
  <si>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</si>
  <si>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</si>
  <si>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</si>
  <si>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</si>
  <si>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</si>
  <si>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</si>
  <si>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</si>
  <si>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</si>
  <si>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</si>
  <si>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</si>
  <si>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</si>
  <si>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</si>
  <si>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</si>
  <si>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</si>
  <si>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</si>
  <si>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</si>
  <si>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</si>
  <si>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</si>
  <si>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</si>
  <si>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</si>
  <si>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</si>
  <si>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</si>
  <si>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</si>
  <si>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</si>
  <si>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</si>
  <si>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</si>
  <si>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</si>
  <si>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</si>
  <si>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</si>
  <si>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</si>
  <si>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</si>
  <si>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</si>
  <si>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</si>
  <si>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</si>
  <si>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</si>
  <si>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</si>
  <si>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</si>
  <si>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</si>
  <si>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</si>
  <si>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</si>
  <si>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</si>
  <si>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</si>
  <si>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</si>
  <si>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</si>
  <si>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</si>
  <si>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</si>
  <si>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</si>
  <si>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</si>
  <si>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</si>
  <si>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</si>
  <si>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</si>
  <si>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</si>
  <si>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</si>
  <si>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</si>
  <si>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</si>
  <si>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</si>
  <si>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</si>
  <si>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</si>
  <si>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</si>
  <si>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</si>
  <si>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</si>
  <si>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</si>
  <si>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</si>
  <si>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</si>
  <si>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</si>
  <si>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</si>
  <si>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</si>
  <si>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</si>
  <si>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</si>
  <si>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</si>
  <si>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</si>
  <si>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</si>
  <si>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</si>
  <si>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</si>
  <si>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</si>
  <si>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</si>
  <si>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</si>
  <si>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</si>
  <si>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</si>
  <si>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</si>
  <si>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</si>
  <si>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</si>
  <si>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</si>
  <si>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</si>
  <si>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</si>
  <si>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</si>
  <si>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</si>
  <si>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</si>
  <si>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</si>
  <si>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</si>
  <si>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</si>
  <si>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</si>
  <si>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</si>
  <si>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</si>
  <si>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</si>
  <si>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</si>
  <si>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</si>
  <si>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</si>
  <si>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</si>
  <si>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</si>
  <si>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</si>
  <si>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</si>
  <si>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</si>
  <si>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</si>
  <si>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</si>
  <si>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</si>
  <si>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</si>
  <si>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</si>
  <si>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</si>
  <si>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</si>
  <si>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</si>
  <si>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</si>
  <si>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</si>
  <si>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</si>
  <si>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</si>
  <si>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</si>
  <si>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</si>
  <si>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</si>
  <si>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</si>
  <si>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</si>
  <si>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</si>
  <si>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</si>
  <si>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</si>
  <si>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</si>
  <si>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</si>
  <si>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</si>
  <si>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</si>
  <si>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</si>
  <si>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</si>
  <si>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</si>
  <si>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</si>
  <si>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</si>
  <si>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</si>
  <si>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</si>
  <si>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</si>
  <si>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</si>
  <si>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</si>
  <si>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</si>
  <si>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</si>
  <si>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</si>
  <si>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</si>
  <si>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</si>
  <si>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</si>
  <si>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</si>
  <si>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</si>
  <si>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</si>
  <si>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</si>
  <si>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</si>
  <si>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</si>
  <si>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</si>
  <si>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</si>
  <si>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</si>
  <si>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</si>
  <si>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</si>
  <si>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</si>
  <si>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</si>
  <si>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</si>
  <si>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</si>
  <si>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</si>
  <si>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</si>
  <si>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</si>
  <si>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</si>
  <si>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</si>
  <si>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</si>
  <si>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</si>
  <si>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</si>
  <si>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</si>
  <si>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</si>
  <si>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</si>
  <si>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</si>
  <si>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</si>
  <si>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</si>
  <si>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</si>
  <si>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</si>
  <si>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</si>
  <si>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</si>
  <si>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</si>
  <si>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</si>
  <si>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</si>
  <si>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</si>
  <si>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</si>
  <si>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</si>
  <si>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</si>
  <si>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</si>
  <si>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</si>
  <si>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</si>
  <si>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</si>
  <si>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</si>
  <si>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</si>
  <si>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</si>
  <si>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</si>
  <si>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</si>
  <si>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</si>
  <si>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</si>
  <si>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</si>
  <si>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</si>
  <si>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</si>
  <si>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</si>
  <si>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</si>
  <si>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</si>
  <si>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</si>
  <si>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</si>
  <si>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</si>
  <si>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</si>
  <si>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</si>
  <si>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</si>
  <si>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</si>
  <si>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</si>
  <si>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</si>
  <si>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</si>
  <si>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</si>
  <si>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</si>
  <si>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</si>
  <si>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</si>
  <si>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</si>
  <si>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</si>
  <si>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</si>
  <si>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</si>
  <si>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</si>
  <si>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</si>
  <si>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</si>
  <si>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</si>
  <si>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</si>
  <si>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</si>
  <si>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</si>
  <si>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</si>
  <si>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</si>
  <si>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</si>
  <si>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</si>
  <si>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</si>
  <si>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</si>
  <si>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</si>
  <si>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</si>
  <si>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</si>
  <si>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</si>
  <si>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</si>
  <si>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</si>
  <si>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</si>
  <si>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</si>
  <si>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</si>
  <si>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</si>
  <si>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</si>
  <si>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</si>
  <si>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</si>
  <si>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</si>
  <si>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</si>
  <si>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</si>
  <si>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</si>
  <si>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</si>
  <si>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</si>
  <si>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</si>
  <si>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</si>
  <si>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</si>
  <si>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</si>
  <si>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</si>
  <si>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</si>
  <si>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</si>
  <si>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</si>
  <si>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</si>
  <si>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</si>
  <si>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</si>
  <si>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</si>
  <si>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</si>
  <si>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</si>
  <si>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</si>
  <si>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</si>
  <si>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</si>
  <si>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</si>
  <si>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</si>
  <si>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</si>
  <si>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</si>
  <si>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</si>
  <si>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</si>
  <si>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</si>
  <si>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</si>
  <si>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</si>
  <si>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</si>
  <si>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</si>
  <si>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</si>
  <si>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</si>
  <si>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</si>
  <si>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</si>
  <si>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</si>
  <si>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</si>
  <si>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</si>
  <si>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</si>
  <si>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</si>
  <si>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</si>
  <si>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</si>
  <si>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</si>
  <si>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</si>
  <si>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</si>
  <si>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</si>
  <si>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</si>
  <si>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</si>
  <si>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</si>
  <si>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</si>
  <si>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</si>
  <si>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</si>
  <si>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</si>
  <si>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</si>
  <si>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</si>
  <si>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</si>
  <si>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</si>
  <si>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</si>
  <si>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</si>
  <si>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</si>
  <si>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</si>
  <si>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</si>
  <si>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</si>
  <si>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</si>
  <si>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</si>
  <si>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</si>
  <si>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</si>
  <si>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</si>
  <si>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</si>
  <si>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</si>
  <si>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</si>
  <si>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</si>
  <si>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</si>
  <si>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</si>
  <si>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</si>
  <si>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</si>
  <si>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</si>
  <si>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</si>
  <si>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</si>
  <si>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</si>
  <si>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</si>
  <si>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</si>
  <si>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</si>
  <si>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</si>
  <si>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</si>
  <si>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</si>
  <si>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</si>
  <si>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</si>
  <si>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</si>
  <si>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</si>
  <si>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</si>
  <si>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</si>
  <si>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</si>
  <si>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</si>
  <si>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</si>
  <si>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</si>
  <si>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</si>
  <si>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</si>
  <si>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</si>
  <si>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</si>
  <si>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</si>
  <si>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</si>
  <si>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</si>
  <si>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</si>
  <si>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</si>
  <si>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</si>
  <si>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</si>
  <si>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</si>
  <si>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</si>
  <si>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</si>
  <si>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</si>
  <si>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</si>
  <si>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</si>
  <si>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</si>
  <si>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</si>
  <si>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</si>
  <si>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</si>
  <si>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</si>
  <si>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</si>
  <si>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</si>
  <si>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</si>
  <si>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</si>
  <si>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</si>
  <si>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</si>
  <si>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</si>
  <si>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</si>
  <si>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</si>
  <si>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</si>
  <si>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</si>
  <si>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</si>
  <si>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</si>
  <si>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</si>
  <si>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</si>
  <si>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</si>
  <si>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</si>
  <si>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</si>
  <si>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</si>
  <si>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</si>
  <si>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</si>
  <si>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</si>
  <si>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</si>
  <si>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</si>
  <si>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</si>
  <si>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</si>
  <si>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</si>
  <si>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</si>
  <si>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</si>
  <si>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</si>
  <si>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</si>
  <si>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</si>
  <si>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</si>
  <si>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</si>
  <si>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</si>
  <si>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</si>
  <si>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</si>
  <si>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</si>
  <si>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</si>
  <si>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</si>
  <si>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</si>
  <si>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</si>
  <si>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</si>
  <si>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</si>
  <si>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</si>
  <si>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</si>
  <si>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</si>
  <si>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</si>
  <si>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</si>
  <si>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</si>
  <si>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</si>
  <si>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</si>
  <si>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</si>
  <si>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</si>
  <si>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</si>
  <si>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</si>
  <si>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</si>
  <si>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</si>
  <si>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</si>
  <si>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</si>
  <si>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</si>
  <si>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</si>
  <si>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</si>
  <si>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</si>
  <si>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</si>
  <si>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</si>
  <si>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</si>
  <si>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</si>
  <si>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</si>
  <si>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</si>
  <si>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</si>
  <si>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</si>
  <si>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</si>
  <si>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</si>
  <si>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</si>
  <si>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</si>
  <si>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</si>
  <si>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</si>
  <si>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</si>
  <si>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</si>
  <si>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</si>
  <si>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</si>
  <si>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</si>
  <si>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</si>
  <si>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</si>
  <si>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</si>
  <si>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</si>
  <si>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</si>
  <si>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</si>
  <si>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</si>
  <si>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</si>
  <si>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</si>
  <si>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</si>
  <si>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</si>
  <si>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</si>
  <si>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</si>
  <si>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</si>
  <si>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</si>
  <si>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</si>
  <si>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</si>
  <si>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</si>
  <si>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</si>
  <si>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</si>
  <si>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</si>
  <si>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</si>
  <si>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</si>
  <si>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</si>
  <si>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</si>
  <si>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</si>
  <si>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</si>
  <si>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</si>
  <si>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</si>
  <si>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</si>
  <si>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</si>
  <si>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</si>
  <si>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</si>
  <si>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</si>
  <si>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</si>
  <si>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</si>
  <si>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</si>
  <si>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</si>
  <si>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</si>
  <si>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</si>
  <si>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</si>
  <si>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</si>
  <si>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</si>
  <si>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</si>
  <si>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</si>
  <si>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</si>
  <si>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</si>
  <si>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</si>
  <si>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</si>
  <si>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</si>
  <si>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</si>
  <si>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</si>
  <si>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</si>
  <si>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</si>
  <si>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</si>
  <si>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</si>
  <si>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</si>
  <si>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</si>
  <si>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</si>
  <si>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</si>
  <si>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</si>
  <si>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</si>
  <si>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</si>
  <si>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</si>
  <si>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</si>
  <si>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</si>
  <si>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</si>
  <si>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</si>
  <si>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</si>
  <si>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</si>
  <si>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</si>
  <si>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</si>
  <si>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</si>
  <si>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</si>
  <si>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</si>
  <si>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</si>
  <si>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</si>
  <si>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</si>
  <si>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</si>
  <si>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</si>
  <si>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</si>
  <si>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</si>
  <si>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</si>
  <si>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</si>
  <si>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</si>
  <si>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</si>
  <si>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</si>
  <si>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</si>
  <si>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</si>
  <si>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</si>
  <si>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</si>
  <si>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</si>
  <si>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</si>
  <si>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</si>
  <si>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</si>
  <si>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</si>
  <si>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</si>
  <si>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</si>
  <si>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</si>
  <si>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</si>
  <si>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</si>
  <si>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</si>
  <si>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</si>
  <si>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</si>
  <si>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</si>
  <si>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</si>
  <si>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</si>
  <si>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</si>
  <si>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</si>
  <si>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</si>
  <si>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</si>
  <si>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</si>
  <si>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</si>
  <si>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</si>
  <si>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</si>
  <si>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</si>
  <si>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</si>
  <si>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</si>
  <si>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</si>
  <si>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</si>
  <si>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</si>
  <si>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</si>
  <si>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</si>
  <si>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</si>
  <si>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</si>
  <si>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</si>
  <si>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</si>
  <si>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</si>
  <si>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</si>
  <si>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</si>
  <si>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</si>
  <si>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</si>
  <si>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</si>
  <si>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</si>
  <si>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</si>
  <si>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</si>
  <si>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</si>
  <si>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</si>
  <si>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</si>
  <si>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</si>
  <si>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</si>
  <si>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</si>
  <si>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</si>
  <si>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</si>
  <si>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</si>
  <si>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</si>
  <si>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</si>
  <si>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</si>
  <si>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</si>
  <si>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</si>
  <si>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</si>
  <si>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</si>
  <si>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</si>
  <si>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</si>
  <si>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</si>
  <si>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</si>
  <si>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</si>
  <si>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</si>
  <si>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</si>
  <si>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</si>
  <si>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</si>
  <si>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</si>
  <si>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</si>
  <si>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</si>
  <si>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</si>
  <si>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</si>
  <si>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</si>
  <si>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</si>
  <si>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</si>
  <si>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</si>
  <si>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</si>
  <si>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</si>
  <si>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</si>
  <si>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</si>
  <si>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</si>
  <si>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</si>
  <si>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</si>
  <si>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</si>
  <si>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</si>
  <si>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</si>
  <si>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</si>
  <si>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</si>
  <si>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</si>
  <si>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</si>
  <si>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</si>
  <si>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</si>
  <si>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</si>
  <si>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</si>
  <si>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</si>
  <si>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</si>
  <si>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</si>
  <si>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</si>
  <si>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</si>
  <si>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</si>
  <si>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</si>
  <si>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</si>
  <si>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</si>
  <si>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</si>
  <si>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</si>
  <si>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</si>
  <si>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</si>
  <si>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</si>
  <si>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</si>
  <si>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</si>
  <si>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</si>
  <si>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</si>
  <si>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</si>
  <si>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</si>
  <si>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</si>
  <si>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</si>
  <si>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</si>
  <si>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</si>
  <si>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</si>
  <si>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</si>
  <si>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</si>
  <si>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</si>
  <si>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</si>
  <si>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</si>
  <si>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</si>
  <si>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</si>
  <si>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</si>
  <si>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</si>
  <si>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</si>
  <si>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</si>
  <si>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</si>
  <si>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</si>
  <si>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</si>
  <si>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</si>
  <si>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</si>
  <si>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</si>
  <si>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</si>
  <si>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</si>
  <si>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</si>
  <si>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</si>
  <si>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</si>
  <si>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</si>
  <si>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</si>
  <si>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</si>
  <si>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</si>
  <si>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</si>
  <si>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</si>
  <si>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</si>
  <si>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</si>
  <si>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</si>
  <si>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</si>
  <si>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</si>
  <si>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</si>
  <si>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</si>
  <si>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</si>
  <si>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</si>
  <si>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</si>
  <si>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</si>
  <si>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</si>
  <si>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</si>
  <si>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</si>
  <si>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</si>
  <si>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</si>
  <si>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</si>
  <si>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</si>
  <si>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</si>
  <si>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</si>
  <si>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</si>
  <si>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</si>
  <si>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</si>
  <si>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</si>
  <si>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</si>
  <si>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</si>
  <si>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</si>
  <si>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</si>
  <si>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</si>
  <si>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</si>
  <si>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</si>
  <si>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</si>
  <si>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</si>
  <si>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</si>
  <si>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</si>
  <si>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</si>
  <si>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</si>
  <si>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</si>
  <si>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</si>
  <si>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</si>
  <si>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</si>
  <si>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</si>
  <si>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at 11-04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</si>
</sst>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Border="0"/>
  </cellStyleXfs>
  <cellXfs count="36">
    <xf numFmtId="0" fontId="0" fillId="0" borderId="0" xfId="0"/>
    <xf numFmtId="3" fontId="0" fillId="3" borderId="0" xfId="0" applyNumberFormat="1" applyFill="1"/>
    <xf numFmtId="0" fontId="1" fillId="3" borderId="0" xfId="0" applyFont="1" applyFill="1"/>
    <xf numFmtId="0" fontId="0" fillId="0" borderId="0" xfId="0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0" fontId="1" fillId="2" borderId="0" xfId="0" applyFont="1" applyFill="1"/>
    <xf numFmtId="3" fontId="0" fillId="0" borderId="0" xfId="0" applyNumberFormat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3" fillId="0" borderId="0" xfId="0" applyFont="1"/>
    <xf numFmtId="0" fontId="1" fillId="7" borderId="0" xfId="0" applyFont="1" applyFill="1"/>
    <xf numFmtId="3" fontId="2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2" fillId="0" borderId="0" xfId="0" applyNumberFormat="1" applyFont="1"/>
    <xf numFmtId="0" fontId="3" fillId="0" borderId="0" xfId="0" applyFont="1" applyAlignment="1">
      <alignment wrapText="1"/>
    </xf>
    <xf numFmtId="0" fontId="1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0" fontId="2" fillId="7" borderId="0" xfId="0" applyFont="1" applyFill="1"/>
    <xf numFmtId="0" fontId="2" fillId="7" borderId="1" xfId="0" applyFont="1" applyFill="1" applyBorder="1"/>
    <xf numFmtId="3" fontId="2" fillId="7" borderId="1" xfId="0" applyNumberFormat="1" applyFont="1" applyFill="1" applyBorder="1"/>
    <xf numFmtId="0" fontId="2" fillId="8" borderId="1" xfId="0" applyFont="1" applyFill="1" applyBorder="1"/>
    <xf numFmtId="3" fontId="2" fillId="7" borderId="0" xfId="0" applyNumberFormat="1" applyFont="1" applyFill="1"/>
    <xf numFmtId="0" fontId="2" fillId="0" borderId="2" xfId="0" applyFont="1" applyBorder="1"/>
    <xf numFmtId="49" fontId="2" fillId="0" borderId="1" xfId="0" applyNumberFormat="1" applyFont="1" applyBorder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9" workbookViewId="0">
      <selection activeCell="P37" sqref="P37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t="s">
        <v>20</v>
      </c>
      <c r="G3" s="12">
        <v>0</v>
      </c>
      <c r="H3" s="12">
        <v>30</v>
      </c>
      <c r="I3" s="12">
        <f>-H3</f>
        <v>-30</v>
      </c>
      <c r="J3" t="s">
        <v>21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24</v>
      </c>
      <c r="D4" t="s">
        <v>25</v>
      </c>
      <c r="E4" t="s">
        <v>26</v>
      </c>
      <c r="F4" s="12">
        <v>7</v>
      </c>
      <c r="G4" s="12">
        <v>850</v>
      </c>
      <c r="H4" s="12">
        <v>30</v>
      </c>
      <c r="I4" s="12">
        <f>G4-H4</f>
        <v>820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27</v>
      </c>
      <c r="D5" t="s">
        <v>28</v>
      </c>
      <c r="E5" t="s">
        <v>29</v>
      </c>
      <c r="F5" s="12">
        <v>3</v>
      </c>
      <c r="G5" s="12">
        <v>695</v>
      </c>
      <c r="H5" s="12">
        <v>25</v>
      </c>
      <c r="I5" s="12">
        <f>G5-H5</f>
        <v>670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30</v>
      </c>
      <c r="D6" t="s">
        <v>31</v>
      </c>
      <c r="E6" t="s">
        <v>32</v>
      </c>
      <c r="F6" s="12">
        <v>7</v>
      </c>
      <c r="G6" s="12">
        <v>740</v>
      </c>
      <c r="H6" s="12">
        <v>30</v>
      </c>
      <c r="I6" s="12">
        <f>G6-H6</f>
        <v>710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33</v>
      </c>
      <c r="D7" t="s">
        <v>34</v>
      </c>
      <c r="E7" t="s">
        <v>35</v>
      </c>
      <c r="F7" t="s">
        <v>36</v>
      </c>
      <c r="G7" s="12">
        <v>0</v>
      </c>
      <c r="H7" s="12">
        <v>20</v>
      </c>
      <c r="I7" s="12">
        <f>-H7</f>
        <v>-20</v>
      </c>
      <c r="J7" t="s">
        <v>22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s="12">
        <v>9</v>
      </c>
      <c r="G8" s="12">
        <v>780</v>
      </c>
      <c r="H8" s="12">
        <v>30</v>
      </c>
      <c r="I8" s="12">
        <f>G8-H8</f>
        <v>750</v>
      </c>
      <c r="J8" t="s">
        <v>40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41</v>
      </c>
      <c r="D9" t="s">
        <v>42</v>
      </c>
      <c r="E9" t="s">
        <v>43</v>
      </c>
      <c r="F9" t="s">
        <v>44</v>
      </c>
      <c r="G9" s="12">
        <v>615</v>
      </c>
      <c r="H9" s="12">
        <v>25</v>
      </c>
      <c r="I9" s="12">
        <f>G9-H9</f>
        <v>590</v>
      </c>
      <c r="J9" t="s">
        <v>22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45</v>
      </c>
      <c r="D10" t="s">
        <v>46</v>
      </c>
      <c r="E10" t="s">
        <v>47</v>
      </c>
      <c r="F10" t="s">
        <v>20</v>
      </c>
      <c r="G10" s="12">
        <v>610</v>
      </c>
      <c r="H10" s="12">
        <v>30</v>
      </c>
      <c r="I10" s="12">
        <f>G10-H10</f>
        <v>580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48</v>
      </c>
      <c r="D11" t="s">
        <v>49</v>
      </c>
      <c r="E11" t="s">
        <v>50</v>
      </c>
      <c r="F11" s="12">
        <v>8</v>
      </c>
      <c r="G11" s="12">
        <v>0</v>
      </c>
      <c r="H11" s="12">
        <v>25</v>
      </c>
      <c r="I11" s="12">
        <f>-H11</f>
        <v>-25</v>
      </c>
      <c r="J11" t="s">
        <v>21</v>
      </c>
      <c r="K11" t="s">
        <v>22</v>
      </c>
      <c r="L11" t="s">
        <v>23</v>
      </c>
      <c r="Q11">
        <v>1</v>
      </c>
    </row>
    <row r="12" spans="1:17" x14ac:dyDescent="0.25">
      <c r="B12" t="s">
        <v>16</v>
      </c>
      <c r="C12" t="s">
        <v>51</v>
      </c>
      <c r="D12" t="s">
        <v>52</v>
      </c>
      <c r="E12" t="s">
        <v>53</v>
      </c>
      <c r="F12" s="12">
        <v>1</v>
      </c>
      <c r="G12" s="12">
        <v>845</v>
      </c>
      <c r="H12" s="12">
        <v>25</v>
      </c>
      <c r="I12" s="12">
        <f t="shared" ref="I12:I21" si="0">G12-H12</f>
        <v>820</v>
      </c>
      <c r="J12" t="s">
        <v>22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54</v>
      </c>
      <c r="D13" t="s">
        <v>55</v>
      </c>
      <c r="E13" t="s">
        <v>56</v>
      </c>
      <c r="F13" s="12">
        <v>12</v>
      </c>
      <c r="G13" s="12">
        <v>750</v>
      </c>
      <c r="H13" s="12">
        <v>30</v>
      </c>
      <c r="I13" s="12">
        <f t="shared" si="0"/>
        <v>720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57</v>
      </c>
      <c r="D14" t="s">
        <v>58</v>
      </c>
      <c r="E14" t="s">
        <v>59</v>
      </c>
      <c r="F14" t="s">
        <v>36</v>
      </c>
      <c r="G14" s="12">
        <v>1630</v>
      </c>
      <c r="H14" s="12">
        <v>20</v>
      </c>
      <c r="I14" s="12">
        <f t="shared" si="0"/>
        <v>1610</v>
      </c>
      <c r="J14" t="s">
        <v>22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60</v>
      </c>
      <c r="D15" t="s">
        <v>61</v>
      </c>
      <c r="E15" t="s">
        <v>62</v>
      </c>
      <c r="F15" s="12">
        <v>3</v>
      </c>
      <c r="G15" s="12">
        <v>405</v>
      </c>
      <c r="H15" s="12">
        <v>25</v>
      </c>
      <c r="I15" s="12">
        <f t="shared" si="0"/>
        <v>380</v>
      </c>
      <c r="J15" t="s">
        <v>22</v>
      </c>
      <c r="K15" t="s">
        <v>22</v>
      </c>
      <c r="L15" t="s">
        <v>23</v>
      </c>
      <c r="Q15">
        <v>1</v>
      </c>
    </row>
    <row r="16" spans="1:17" x14ac:dyDescent="0.25">
      <c r="B16" t="s">
        <v>16</v>
      </c>
      <c r="C16" t="s">
        <v>63</v>
      </c>
      <c r="D16" t="s">
        <v>64</v>
      </c>
      <c r="E16" t="s">
        <v>65</v>
      </c>
      <c r="F16" s="12">
        <v>7</v>
      </c>
      <c r="G16" s="12">
        <v>30</v>
      </c>
      <c r="H16" s="12">
        <v>30</v>
      </c>
      <c r="I16" s="12">
        <f t="shared" si="0"/>
        <v>0</v>
      </c>
      <c r="J16" t="s">
        <v>21</v>
      </c>
      <c r="K16" t="s">
        <v>22</v>
      </c>
      <c r="L16" t="s">
        <v>23</v>
      </c>
      <c r="M16" t="s">
        <v>66</v>
      </c>
      <c r="Q16">
        <v>1</v>
      </c>
    </row>
    <row r="17" spans="1:17" x14ac:dyDescent="0.25">
      <c r="B17" t="s">
        <v>16</v>
      </c>
      <c r="C17" t="s">
        <v>67</v>
      </c>
      <c r="D17" t="s">
        <v>68</v>
      </c>
      <c r="E17" t="s">
        <v>69</v>
      </c>
      <c r="F17" s="12">
        <v>7</v>
      </c>
      <c r="G17" s="12">
        <v>1640</v>
      </c>
      <c r="H17" s="12">
        <v>30</v>
      </c>
      <c r="I17" s="12">
        <f t="shared" si="0"/>
        <v>1610</v>
      </c>
      <c r="J17" t="s">
        <v>21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70</v>
      </c>
      <c r="D18" t="s">
        <v>71</v>
      </c>
      <c r="E18" t="s">
        <v>72</v>
      </c>
      <c r="F18" s="12">
        <v>12</v>
      </c>
      <c r="G18" s="12">
        <v>590</v>
      </c>
      <c r="H18" s="12">
        <v>30</v>
      </c>
      <c r="I18" s="12">
        <f t="shared" si="0"/>
        <v>560</v>
      </c>
      <c r="J18" t="s">
        <v>21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12">
        <v>7</v>
      </c>
      <c r="G19" s="12">
        <v>850</v>
      </c>
      <c r="H19" s="12">
        <v>30</v>
      </c>
      <c r="I19" s="12">
        <f t="shared" si="0"/>
        <v>820</v>
      </c>
      <c r="J19" t="s">
        <v>21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79</v>
      </c>
      <c r="G20" s="12">
        <v>20</v>
      </c>
      <c r="H20" s="12">
        <v>20</v>
      </c>
      <c r="I20" s="12">
        <f t="shared" si="0"/>
        <v>0</v>
      </c>
      <c r="J20" t="s">
        <v>22</v>
      </c>
      <c r="K20" t="s">
        <v>22</v>
      </c>
      <c r="L20" t="s">
        <v>23</v>
      </c>
      <c r="M20" t="s">
        <v>66</v>
      </c>
      <c r="Q20">
        <v>1</v>
      </c>
    </row>
    <row r="21" spans="1:17" x14ac:dyDescent="0.25">
      <c r="B21" t="s">
        <v>16</v>
      </c>
      <c r="C21" t="s">
        <v>80</v>
      </c>
      <c r="D21" t="s">
        <v>81</v>
      </c>
      <c r="E21" t="s">
        <v>82</v>
      </c>
      <c r="F21" t="s">
        <v>20</v>
      </c>
      <c r="G21" s="12">
        <v>820</v>
      </c>
      <c r="H21" s="12">
        <v>30</v>
      </c>
      <c r="I21" s="12">
        <f t="shared" si="0"/>
        <v>790</v>
      </c>
      <c r="J21" t="s">
        <v>21</v>
      </c>
      <c r="K21" t="s">
        <v>22</v>
      </c>
      <c r="L21" t="s">
        <v>23</v>
      </c>
      <c r="Q21">
        <v>1</v>
      </c>
    </row>
    <row r="22" spans="1:17" x14ac:dyDescent="0.25">
      <c r="A22" t="s">
        <v>83</v>
      </c>
      <c r="B22" t="s">
        <v>16</v>
      </c>
      <c r="C22" t="s">
        <v>84</v>
      </c>
      <c r="E22" t="s">
        <v>85</v>
      </c>
      <c r="F22" t="s">
        <v>86</v>
      </c>
      <c r="G22" s="12">
        <v>0</v>
      </c>
      <c r="H22" s="12">
        <v>30</v>
      </c>
      <c r="I22" s="12">
        <f>-H22</f>
        <v>-30</v>
      </c>
      <c r="J22" t="s">
        <v>22</v>
      </c>
      <c r="K22" t="s">
        <v>22</v>
      </c>
      <c r="L22" t="s">
        <v>23</v>
      </c>
      <c r="Q22">
        <v>1</v>
      </c>
    </row>
    <row r="23" spans="1:17" x14ac:dyDescent="0.25">
      <c r="A23" t="s">
        <v>83</v>
      </c>
      <c r="B23" t="s">
        <v>16</v>
      </c>
      <c r="C23" t="s">
        <v>87</v>
      </c>
      <c r="E23" t="s">
        <v>88</v>
      </c>
      <c r="F23" s="12">
        <v>6</v>
      </c>
      <c r="G23" s="12">
        <v>0</v>
      </c>
      <c r="H23" s="12">
        <v>30</v>
      </c>
      <c r="I23" s="12">
        <f>-H23</f>
        <v>-30</v>
      </c>
      <c r="J23" t="s">
        <v>21</v>
      </c>
      <c r="K23" t="s">
        <v>22</v>
      </c>
      <c r="L23" t="s">
        <v>23</v>
      </c>
      <c r="Q23">
        <v>1</v>
      </c>
    </row>
    <row r="25" spans="1:17" x14ac:dyDescent="0.25">
      <c r="D25" s="7">
        <f>COUNTA(D3:D23)</f>
        <v>19</v>
      </c>
      <c r="G25" s="7">
        <f t="shared" ref="G25:Q25" si="1">SUBTOTAL(9,G3:G23)</f>
        <v>11870</v>
      </c>
      <c r="H25" s="7">
        <f t="shared" si="1"/>
        <v>575</v>
      </c>
      <c r="I25" s="7">
        <f t="shared" si="1"/>
        <v>11295</v>
      </c>
      <c r="J25" s="7">
        <f t="shared" si="1"/>
        <v>0</v>
      </c>
      <c r="K25" s="7">
        <f t="shared" si="1"/>
        <v>0</v>
      </c>
      <c r="L25" s="7">
        <f t="shared" si="1"/>
        <v>0</v>
      </c>
      <c r="M25" s="7">
        <f t="shared" si="1"/>
        <v>0</v>
      </c>
      <c r="N25" s="7">
        <f t="shared" si="1"/>
        <v>0</v>
      </c>
      <c r="O25" s="7">
        <f t="shared" si="1"/>
        <v>0</v>
      </c>
      <c r="P25" s="7">
        <f t="shared" si="1"/>
        <v>0</v>
      </c>
      <c r="Q25" s="7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7" t="s">
        <v>16</v>
      </c>
      <c r="C27" s="6" t="s">
        <v>89</v>
      </c>
      <c r="D27" s="6"/>
      <c r="E27" s="10" t="s">
        <v>90</v>
      </c>
      <c r="H27">
        <f>-5*25</f>
        <v>-125</v>
      </c>
      <c r="K27" s="13" t="s">
        <v>21</v>
      </c>
      <c r="L27" s="13" t="s">
        <v>91</v>
      </c>
      <c r="M27" s="13" t="s">
        <v>90</v>
      </c>
      <c r="O27" s="10" t="s">
        <v>92</v>
      </c>
    </row>
    <row r="28" spans="1:17" x14ac:dyDescent="0.25">
      <c r="A28" t="s">
        <v>23</v>
      </c>
      <c r="B28" s="9" t="s">
        <v>93</v>
      </c>
      <c r="C28" s="5">
        <f>SUMIFS(I$3:I$23,B$3:B$23,A$27,L$3:L$23,A$28)</f>
        <v>11295</v>
      </c>
      <c r="D28" s="5"/>
      <c r="E28" s="9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8" t="s">
        <v>97</v>
      </c>
      <c r="C29" s="4">
        <v>0</v>
      </c>
      <c r="D29" s="4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8" t="s">
        <v>99</v>
      </c>
      <c r="C30" s="4">
        <f>-SUMIFS(I$3:I$23,B$3:B$23,A$27,P$3:P$23,"xx",N$3:N$23,"x")</f>
        <v>0</v>
      </c>
      <c r="D30" s="4"/>
      <c r="E30" s="8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10" t="s">
        <v>101</v>
      </c>
      <c r="C31" s="6">
        <f>SUBTOTAL(9,C28:C30)</f>
        <v>11295</v>
      </c>
      <c r="D31" s="6"/>
      <c r="E31">
        <f>E28</f>
        <v>21</v>
      </c>
      <c r="K31" s="8" t="s">
        <v>102</v>
      </c>
      <c r="O31" t="s">
        <v>103</v>
      </c>
      <c r="P31">
        <f>-C35</f>
        <v>-11295</v>
      </c>
    </row>
    <row r="32" spans="1:17" x14ac:dyDescent="0.25">
      <c r="B32" s="8" t="s">
        <v>104</v>
      </c>
      <c r="C32" s="3"/>
      <c r="D32" s="3"/>
      <c r="K32" s="8" t="s">
        <v>105</v>
      </c>
      <c r="O32" s="10" t="s">
        <v>106</v>
      </c>
      <c r="P32" s="10">
        <f>SUBTOTAL(9,P28:P31)</f>
        <v>117</v>
      </c>
    </row>
    <row r="33" spans="2:13" x14ac:dyDescent="0.25">
      <c r="B33" s="14" t="s">
        <v>107</v>
      </c>
      <c r="C33" s="3"/>
      <c r="D33" s="3"/>
      <c r="L33" s="15">
        <f>SUBTOTAL(9,L28:L32)</f>
        <v>7314</v>
      </c>
      <c r="M33" s="15">
        <f>M28</f>
        <v>13</v>
      </c>
    </row>
    <row r="35" spans="2:13" x14ac:dyDescent="0.25">
      <c r="B35" s="7" t="s">
        <v>108</v>
      </c>
      <c r="C35" s="2">
        <f>C31+C32+C33</f>
        <v>11295</v>
      </c>
      <c r="D35" s="2"/>
      <c r="E35" s="7" t="s">
        <v>109</v>
      </c>
      <c r="K35" s="13" t="s">
        <v>22</v>
      </c>
      <c r="L35" s="13" t="s">
        <v>91</v>
      </c>
      <c r="M35" s="13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8" t="s">
        <v>102</v>
      </c>
    </row>
    <row r="40" spans="2:13" x14ac:dyDescent="0.25">
      <c r="K40" s="8" t="s">
        <v>105</v>
      </c>
    </row>
    <row r="41" spans="2:13" x14ac:dyDescent="0.25">
      <c r="L41" s="15">
        <f>SUBTOTAL(9,L36:L40)</f>
        <v>3343</v>
      </c>
      <c r="M41" s="15">
        <f>M36</f>
        <v>7</v>
      </c>
    </row>
    <row r="43" spans="2:13" x14ac:dyDescent="0.25">
      <c r="K43" s="13" t="s">
        <v>40</v>
      </c>
      <c r="L43" s="13" t="s">
        <v>91</v>
      </c>
      <c r="M43" s="13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8" t="s">
        <v>102</v>
      </c>
    </row>
    <row r="48" spans="2:13" x14ac:dyDescent="0.25">
      <c r="K48" s="8" t="s">
        <v>105</v>
      </c>
    </row>
    <row r="49" spans="12:13" x14ac:dyDescent="0.25">
      <c r="L49" s="15">
        <f>SUBTOTAL(9,L44:L48)</f>
        <v>755</v>
      </c>
      <c r="M49" s="15">
        <f>M44</f>
        <v>1</v>
      </c>
    </row>
  </sheetData>
  <autoFilter ref="A2:P23" xr:uid="{00000000-0009-0000-0000-000000000000}"/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8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12">
        <v>35</v>
      </c>
      <c r="H3" s="12">
        <v>35</v>
      </c>
      <c r="I3" s="12">
        <f t="shared" ref="I3:I24" si="0">G3-H3</f>
        <v>0</v>
      </c>
      <c r="J3" t="s">
        <v>114</v>
      </c>
      <c r="K3" t="s">
        <v>22</v>
      </c>
      <c r="L3" t="s">
        <v>115</v>
      </c>
      <c r="M3" t="s">
        <v>66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20</v>
      </c>
      <c r="G4" s="12">
        <v>870</v>
      </c>
      <c r="H4" s="12">
        <v>30</v>
      </c>
      <c r="I4" s="12">
        <f t="shared" si="0"/>
        <v>840</v>
      </c>
      <c r="J4" t="s">
        <v>114</v>
      </c>
      <c r="K4" t="s">
        <v>22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12">
        <v>8</v>
      </c>
      <c r="G5" s="12">
        <v>0</v>
      </c>
      <c r="H5" s="12">
        <v>25</v>
      </c>
      <c r="I5" s="12">
        <f t="shared" si="0"/>
        <v>-25</v>
      </c>
      <c r="J5" t="s">
        <v>114</v>
      </c>
      <c r="K5" t="s">
        <v>22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12">
        <v>7</v>
      </c>
      <c r="G6" s="12">
        <v>650</v>
      </c>
      <c r="H6" s="12">
        <v>30</v>
      </c>
      <c r="I6" s="12">
        <f t="shared" si="0"/>
        <v>620</v>
      </c>
      <c r="J6" t="s">
        <v>114</v>
      </c>
      <c r="K6" t="s">
        <v>22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12">
        <v>0</v>
      </c>
      <c r="H7" s="12">
        <v>35</v>
      </c>
      <c r="I7" s="12">
        <f t="shared" si="0"/>
        <v>-35</v>
      </c>
      <c r="J7" t="s">
        <v>114</v>
      </c>
      <c r="K7" t="s">
        <v>22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12">
        <v>7</v>
      </c>
      <c r="G8" s="12">
        <v>740</v>
      </c>
      <c r="H8" s="12">
        <v>30</v>
      </c>
      <c r="I8" s="12">
        <f t="shared" si="0"/>
        <v>710</v>
      </c>
      <c r="J8" t="s">
        <v>114</v>
      </c>
      <c r="K8" t="s">
        <v>22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20</v>
      </c>
      <c r="G9" s="12">
        <v>770</v>
      </c>
      <c r="H9" s="12">
        <v>30</v>
      </c>
      <c r="I9" s="12">
        <f t="shared" si="0"/>
        <v>740</v>
      </c>
      <c r="J9" t="s">
        <v>114</v>
      </c>
      <c r="K9" t="s">
        <v>22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36</v>
      </c>
      <c r="G10" s="12">
        <v>0</v>
      </c>
      <c r="H10" s="12">
        <v>20</v>
      </c>
      <c r="I10" s="12">
        <f t="shared" si="0"/>
        <v>-20</v>
      </c>
      <c r="J10" t="s">
        <v>22</v>
      </c>
      <c r="K10" t="s">
        <v>22</v>
      </c>
      <c r="L10" t="s">
        <v>115</v>
      </c>
      <c r="Q10">
        <v>1</v>
      </c>
    </row>
    <row r="11" spans="1:17" x14ac:dyDescent="0.25">
      <c r="A11" t="s">
        <v>83</v>
      </c>
      <c r="B11" t="s">
        <v>16</v>
      </c>
      <c r="C11" t="s">
        <v>139</v>
      </c>
      <c r="E11" t="s">
        <v>140</v>
      </c>
      <c r="F11" s="12">
        <v>6</v>
      </c>
      <c r="G11" s="12">
        <v>0</v>
      </c>
      <c r="H11" s="12">
        <v>70</v>
      </c>
      <c r="I11" s="12">
        <f t="shared" si="0"/>
        <v>-70</v>
      </c>
      <c r="J11" t="s">
        <v>22</v>
      </c>
      <c r="K11" t="s">
        <v>22</v>
      </c>
      <c r="L11" t="s">
        <v>115</v>
      </c>
      <c r="Q11">
        <v>1</v>
      </c>
    </row>
    <row r="12" spans="1:17" x14ac:dyDescent="0.25">
      <c r="A12" t="s">
        <v>83</v>
      </c>
      <c r="B12" t="s">
        <v>16</v>
      </c>
      <c r="C12" t="s">
        <v>141</v>
      </c>
      <c r="E12" t="s">
        <v>142</v>
      </c>
      <c r="F12" s="12">
        <v>12</v>
      </c>
      <c r="G12" s="12">
        <v>30</v>
      </c>
      <c r="H12" s="12">
        <v>30</v>
      </c>
      <c r="I12" s="12">
        <f t="shared" si="0"/>
        <v>0</v>
      </c>
      <c r="J12" t="s">
        <v>22</v>
      </c>
      <c r="K12" t="s">
        <v>22</v>
      </c>
      <c r="L12" t="s">
        <v>115</v>
      </c>
      <c r="Q12">
        <v>1</v>
      </c>
    </row>
    <row r="13" spans="1:17" x14ac:dyDescent="0.25">
      <c r="A13" t="s">
        <v>83</v>
      </c>
      <c r="B13" t="s">
        <v>16</v>
      </c>
      <c r="C13" t="s">
        <v>143</v>
      </c>
      <c r="E13" t="s">
        <v>144</v>
      </c>
      <c r="F13" t="s">
        <v>44</v>
      </c>
      <c r="G13" s="12">
        <v>30</v>
      </c>
      <c r="H13" s="12">
        <v>30</v>
      </c>
      <c r="I13" s="12">
        <f t="shared" si="0"/>
        <v>0</v>
      </c>
      <c r="J13" t="s">
        <v>22</v>
      </c>
      <c r="K13" t="s">
        <v>22</v>
      </c>
      <c r="L13" t="s">
        <v>115</v>
      </c>
      <c r="Q13">
        <v>1</v>
      </c>
    </row>
    <row r="14" spans="1:17" x14ac:dyDescent="0.25">
      <c r="A14" t="s">
        <v>83</v>
      </c>
      <c r="B14" t="s">
        <v>16</v>
      </c>
      <c r="C14" t="s">
        <v>145</v>
      </c>
      <c r="E14" t="s">
        <v>146</v>
      </c>
      <c r="F14" t="s">
        <v>86</v>
      </c>
      <c r="G14" s="12">
        <v>530</v>
      </c>
      <c r="H14" s="12">
        <v>30</v>
      </c>
      <c r="I14" s="12">
        <f t="shared" si="0"/>
        <v>500</v>
      </c>
      <c r="J14" t="s">
        <v>22</v>
      </c>
      <c r="K14" t="s">
        <v>22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36</v>
      </c>
      <c r="G15" s="12">
        <v>740</v>
      </c>
      <c r="H15" s="12">
        <v>20</v>
      </c>
      <c r="I15" s="12">
        <f t="shared" si="0"/>
        <v>720</v>
      </c>
      <c r="J15" t="s">
        <v>22</v>
      </c>
      <c r="K15" t="s">
        <v>22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12">
        <v>0</v>
      </c>
      <c r="H16" s="12">
        <v>30</v>
      </c>
      <c r="I16" s="12">
        <f t="shared" si="0"/>
        <v>-30</v>
      </c>
      <c r="J16" t="s">
        <v>22</v>
      </c>
      <c r="K16" t="s">
        <v>22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36</v>
      </c>
      <c r="G17" s="12">
        <v>510</v>
      </c>
      <c r="H17" s="12">
        <v>20</v>
      </c>
      <c r="I17" s="12">
        <f t="shared" si="0"/>
        <v>490</v>
      </c>
      <c r="J17" t="s">
        <v>22</v>
      </c>
      <c r="K17" t="s">
        <v>22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44</v>
      </c>
      <c r="G18" s="12">
        <v>745</v>
      </c>
      <c r="H18" s="12">
        <v>25</v>
      </c>
      <c r="I18" s="12">
        <f t="shared" si="0"/>
        <v>720</v>
      </c>
      <c r="J18" t="s">
        <v>22</v>
      </c>
      <c r="K18" t="s">
        <v>22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36</v>
      </c>
      <c r="G19" s="12">
        <v>0</v>
      </c>
      <c r="H19" s="12">
        <v>20</v>
      </c>
      <c r="I19" s="12">
        <f t="shared" si="0"/>
        <v>-20</v>
      </c>
      <c r="J19" t="s">
        <v>22</v>
      </c>
      <c r="K19" t="s">
        <v>22</v>
      </c>
      <c r="L19" t="s">
        <v>115</v>
      </c>
      <c r="Q19">
        <v>1</v>
      </c>
    </row>
    <row r="20" spans="1:17" x14ac:dyDescent="0.25">
      <c r="A20" t="s">
        <v>83</v>
      </c>
      <c r="B20" t="s">
        <v>16</v>
      </c>
      <c r="C20" t="s">
        <v>163</v>
      </c>
      <c r="E20" t="s">
        <v>164</v>
      </c>
      <c r="F20" t="s">
        <v>86</v>
      </c>
      <c r="G20" s="12">
        <v>30</v>
      </c>
      <c r="H20" s="12">
        <v>30</v>
      </c>
      <c r="I20" s="12">
        <f t="shared" si="0"/>
        <v>0</v>
      </c>
      <c r="J20" t="s">
        <v>165</v>
      </c>
      <c r="K20" t="s">
        <v>22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12">
        <v>1</v>
      </c>
      <c r="G21" s="12">
        <v>695</v>
      </c>
      <c r="H21" s="12">
        <v>25</v>
      </c>
      <c r="I21" s="12">
        <f t="shared" si="0"/>
        <v>670</v>
      </c>
      <c r="J21" t="s">
        <v>165</v>
      </c>
      <c r="K21" t="s">
        <v>22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12">
        <v>10</v>
      </c>
      <c r="G22" s="12">
        <v>775</v>
      </c>
      <c r="H22" s="12">
        <v>25</v>
      </c>
      <c r="I22" s="12">
        <f t="shared" si="0"/>
        <v>750</v>
      </c>
      <c r="J22" t="s">
        <v>165</v>
      </c>
      <c r="K22" t="s">
        <v>22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12">
        <v>1</v>
      </c>
      <c r="G23" s="12">
        <v>0</v>
      </c>
      <c r="H23" s="12">
        <v>25</v>
      </c>
      <c r="I23" s="12">
        <f t="shared" si="0"/>
        <v>-25</v>
      </c>
      <c r="J23" t="s">
        <v>165</v>
      </c>
      <c r="K23" t="s">
        <v>22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12">
        <v>1</v>
      </c>
      <c r="G24" s="12">
        <v>695</v>
      </c>
      <c r="H24" s="12">
        <v>25</v>
      </c>
      <c r="I24" s="12">
        <f t="shared" si="0"/>
        <v>670</v>
      </c>
      <c r="J24" t="s">
        <v>165</v>
      </c>
      <c r="K24" t="s">
        <v>22</v>
      </c>
      <c r="L24" t="s">
        <v>115</v>
      </c>
      <c r="Q24">
        <v>1</v>
      </c>
    </row>
    <row r="26" spans="1:17" x14ac:dyDescent="0.25">
      <c r="D26" s="7">
        <f>COUNTA(D3:D24)</f>
        <v>17</v>
      </c>
      <c r="G26" s="7">
        <f t="shared" ref="G26:Q26" si="1">SUBTOTAL(9,G3:G24)</f>
        <v>7845</v>
      </c>
      <c r="H26" s="7">
        <f t="shared" si="1"/>
        <v>640</v>
      </c>
      <c r="I26" s="7">
        <f t="shared" si="1"/>
        <v>7205</v>
      </c>
      <c r="J26" s="7">
        <f t="shared" si="1"/>
        <v>0</v>
      </c>
      <c r="K26" s="7">
        <f t="shared" si="1"/>
        <v>0</v>
      </c>
      <c r="L26" s="7">
        <f t="shared" si="1"/>
        <v>0</v>
      </c>
      <c r="M26" s="7">
        <f t="shared" si="1"/>
        <v>0</v>
      </c>
      <c r="N26" s="7">
        <f t="shared" si="1"/>
        <v>0</v>
      </c>
      <c r="O26" s="7">
        <f t="shared" si="1"/>
        <v>0</v>
      </c>
      <c r="P26" s="7">
        <f t="shared" si="1"/>
        <v>0</v>
      </c>
      <c r="Q26" s="7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7" t="s">
        <v>16</v>
      </c>
      <c r="C28" s="6" t="s">
        <v>89</v>
      </c>
      <c r="D28" s="6"/>
      <c r="E28" s="10" t="s">
        <v>90</v>
      </c>
      <c r="H28">
        <f>-2*25</f>
        <v>-50</v>
      </c>
      <c r="K28" s="13" t="s">
        <v>22</v>
      </c>
      <c r="L28" s="13" t="s">
        <v>91</v>
      </c>
      <c r="M28" s="13" t="s">
        <v>90</v>
      </c>
      <c r="O28" s="10" t="s">
        <v>92</v>
      </c>
    </row>
    <row r="29" spans="1:17" x14ac:dyDescent="0.25">
      <c r="A29" t="s">
        <v>115</v>
      </c>
      <c r="B29" s="9" t="s">
        <v>93</v>
      </c>
      <c r="C29" s="5">
        <f>SUMIFS(I$3:I$24,B$3:B$24,A$28,L$3:L$24,A$29)</f>
        <v>7205</v>
      </c>
      <c r="D29" s="5"/>
      <c r="E29" s="9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22</v>
      </c>
      <c r="P29">
        <f>L34</f>
        <v>2296</v>
      </c>
    </row>
    <row r="30" spans="1:17" x14ac:dyDescent="0.25">
      <c r="B30" s="8" t="s">
        <v>97</v>
      </c>
      <c r="C30" s="4">
        <v>0</v>
      </c>
      <c r="D30" s="4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8" t="s">
        <v>99</v>
      </c>
      <c r="C31" s="4">
        <f>-SUMIFS(I$3:I$24,B$3:B$24,A$28,P$3:P$24,"xx",N$3:N$24,"x")</f>
        <v>0</v>
      </c>
      <c r="D31" s="4"/>
      <c r="E31" s="8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10" t="s">
        <v>101</v>
      </c>
      <c r="C32" s="6">
        <f>SUBTOTAL(9,C29:C31)</f>
        <v>7205</v>
      </c>
      <c r="D32" s="6"/>
      <c r="E32">
        <f>E29</f>
        <v>22</v>
      </c>
      <c r="K32" s="8" t="s">
        <v>102</v>
      </c>
      <c r="O32" t="s">
        <v>103</v>
      </c>
      <c r="P32">
        <f>-C36</f>
        <v>-7205</v>
      </c>
    </row>
    <row r="33" spans="2:16" x14ac:dyDescent="0.25">
      <c r="B33" s="8" t="s">
        <v>104</v>
      </c>
      <c r="C33" s="3"/>
      <c r="D33" s="3"/>
      <c r="K33" s="8" t="s">
        <v>105</v>
      </c>
      <c r="O33" s="10" t="s">
        <v>106</v>
      </c>
      <c r="P33" s="10">
        <f>SUBTOTAL(9,P29:P32)</f>
        <v>85</v>
      </c>
    </row>
    <row r="34" spans="2:16" x14ac:dyDescent="0.25">
      <c r="B34" s="14" t="s">
        <v>107</v>
      </c>
      <c r="C34" s="3"/>
      <c r="D34" s="3"/>
      <c r="L34" s="15">
        <f>SUBTOTAL(9,L29:L33)</f>
        <v>2296</v>
      </c>
      <c r="M34" s="15">
        <f>M29</f>
        <v>10</v>
      </c>
    </row>
    <row r="36" spans="2:16" x14ac:dyDescent="0.25">
      <c r="B36" s="7" t="s">
        <v>108</v>
      </c>
      <c r="C36" s="2">
        <f>C32+C33+C34</f>
        <v>7205</v>
      </c>
      <c r="D36" s="2"/>
      <c r="E36" s="7" t="s">
        <v>109</v>
      </c>
      <c r="K36" s="13" t="s">
        <v>165</v>
      </c>
      <c r="L36" s="13" t="s">
        <v>91</v>
      </c>
      <c r="M36" s="13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8" t="s">
        <v>102</v>
      </c>
    </row>
    <row r="41" spans="2:16" x14ac:dyDescent="0.25">
      <c r="K41" s="8" t="s">
        <v>105</v>
      </c>
    </row>
    <row r="42" spans="2:16" x14ac:dyDescent="0.25">
      <c r="L42" s="15">
        <f>SUBTOTAL(9,L37:L41)</f>
        <v>2090</v>
      </c>
      <c r="M42" s="15">
        <f>M37</f>
        <v>5</v>
      </c>
    </row>
    <row r="44" spans="2:16" x14ac:dyDescent="0.25">
      <c r="K44" s="13" t="s">
        <v>114</v>
      </c>
      <c r="L44" s="13" t="s">
        <v>91</v>
      </c>
      <c r="M44" s="13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8" t="s">
        <v>102</v>
      </c>
    </row>
    <row r="49" spans="11:13" x14ac:dyDescent="0.25">
      <c r="K49" s="8" t="s">
        <v>105</v>
      </c>
    </row>
    <row r="50" spans="11:13" x14ac:dyDescent="0.25">
      <c r="L50" s="15">
        <f>SUBTOTAL(9,L45:L49)</f>
        <v>2904</v>
      </c>
      <c r="M50" s="15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workbookViewId="0">
      <selection activeCell="M19" sqref="M19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12">
        <v>9</v>
      </c>
      <c r="G3" s="12">
        <v>30</v>
      </c>
      <c r="H3" s="12">
        <v>30</v>
      </c>
      <c r="I3" s="12">
        <f>G3-H3</f>
        <v>0</v>
      </c>
      <c r="J3" t="s">
        <v>40</v>
      </c>
      <c r="K3" t="s">
        <v>22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12">
        <v>9</v>
      </c>
      <c r="G4" s="12">
        <v>920</v>
      </c>
      <c r="H4" s="12">
        <v>30</v>
      </c>
      <c r="I4" s="12">
        <f>G4-H4</f>
        <v>890</v>
      </c>
      <c r="J4" t="s">
        <v>40</v>
      </c>
      <c r="K4" t="s">
        <v>22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12">
        <v>9</v>
      </c>
      <c r="G5" s="12">
        <v>0</v>
      </c>
      <c r="H5" s="12">
        <v>30</v>
      </c>
      <c r="I5" s="12">
        <f>-H5</f>
        <v>-30</v>
      </c>
      <c r="J5" t="s">
        <v>40</v>
      </c>
      <c r="K5" t="s">
        <v>22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12">
        <v>9</v>
      </c>
      <c r="G6" s="12">
        <v>690</v>
      </c>
      <c r="H6" s="12">
        <v>30</v>
      </c>
      <c r="I6" s="12">
        <f t="shared" ref="I6:I29" si="0">G6-H6</f>
        <v>660</v>
      </c>
      <c r="J6" t="s">
        <v>40</v>
      </c>
      <c r="K6" t="s">
        <v>22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12">
        <v>5</v>
      </c>
      <c r="G7" s="12">
        <v>20</v>
      </c>
      <c r="H7" s="12">
        <v>20</v>
      </c>
      <c r="I7" s="12">
        <f t="shared" si="0"/>
        <v>0</v>
      </c>
      <c r="J7" t="s">
        <v>195</v>
      </c>
      <c r="K7" t="s">
        <v>22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12">
        <v>12</v>
      </c>
      <c r="G8" s="12">
        <v>820</v>
      </c>
      <c r="H8" s="12">
        <v>30</v>
      </c>
      <c r="I8" s="12">
        <f t="shared" si="0"/>
        <v>790</v>
      </c>
      <c r="J8" t="s">
        <v>195</v>
      </c>
      <c r="K8" t="s">
        <v>22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12">
        <v>7</v>
      </c>
      <c r="G9" s="12">
        <v>1330</v>
      </c>
      <c r="H9" s="12">
        <v>30</v>
      </c>
      <c r="I9" s="12">
        <f t="shared" si="0"/>
        <v>1300</v>
      </c>
      <c r="J9" t="s">
        <v>195</v>
      </c>
      <c r="K9" t="s">
        <v>22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86</v>
      </c>
      <c r="G10" s="12">
        <v>375</v>
      </c>
      <c r="H10" s="12">
        <v>25</v>
      </c>
      <c r="I10" s="12">
        <f t="shared" si="0"/>
        <v>350</v>
      </c>
      <c r="J10" t="s">
        <v>195</v>
      </c>
      <c r="K10" t="s">
        <v>22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12">
        <v>7</v>
      </c>
      <c r="G11" s="12">
        <v>850</v>
      </c>
      <c r="H11" s="12">
        <v>30</v>
      </c>
      <c r="I11" s="12">
        <f t="shared" si="0"/>
        <v>820</v>
      </c>
      <c r="J11" t="s">
        <v>195</v>
      </c>
      <c r="K11" t="s">
        <v>22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12">
        <v>12</v>
      </c>
      <c r="G12" s="12">
        <v>380</v>
      </c>
      <c r="H12" s="12">
        <v>30</v>
      </c>
      <c r="I12" s="12">
        <f t="shared" si="0"/>
        <v>350</v>
      </c>
      <c r="J12" t="s">
        <v>195</v>
      </c>
      <c r="K12" t="s">
        <v>22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12">
        <v>7</v>
      </c>
      <c r="G13" s="12">
        <v>670</v>
      </c>
      <c r="H13" s="12">
        <v>30</v>
      </c>
      <c r="I13" s="12">
        <f t="shared" si="0"/>
        <v>640</v>
      </c>
      <c r="J13" t="s">
        <v>195</v>
      </c>
      <c r="K13" t="s">
        <v>22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12">
        <v>365</v>
      </c>
      <c r="H14" s="12">
        <v>25</v>
      </c>
      <c r="I14" s="12">
        <f t="shared" si="0"/>
        <v>340</v>
      </c>
      <c r="J14" t="s">
        <v>195</v>
      </c>
      <c r="K14" t="s">
        <v>22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12">
        <v>8</v>
      </c>
      <c r="G15" s="12">
        <v>1460</v>
      </c>
      <c r="H15" s="12">
        <v>30</v>
      </c>
      <c r="I15" s="12">
        <f t="shared" si="0"/>
        <v>1430</v>
      </c>
      <c r="J15" t="s">
        <v>195</v>
      </c>
      <c r="K15" t="s">
        <v>22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12">
        <v>8</v>
      </c>
      <c r="G16" s="12">
        <v>1440</v>
      </c>
      <c r="H16" s="12">
        <v>30</v>
      </c>
      <c r="I16" s="12">
        <f t="shared" si="0"/>
        <v>1410</v>
      </c>
      <c r="J16" t="s">
        <v>195</v>
      </c>
      <c r="K16" t="s">
        <v>22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12">
        <v>10</v>
      </c>
      <c r="G17" s="12">
        <v>375</v>
      </c>
      <c r="H17" s="12">
        <v>25</v>
      </c>
      <c r="I17" s="12">
        <f t="shared" si="0"/>
        <v>350</v>
      </c>
      <c r="J17" t="s">
        <v>195</v>
      </c>
      <c r="K17" t="s">
        <v>22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12">
        <v>10</v>
      </c>
      <c r="G18" s="12">
        <v>745</v>
      </c>
      <c r="H18" s="12">
        <v>25</v>
      </c>
      <c r="I18" s="12">
        <f t="shared" si="0"/>
        <v>720</v>
      </c>
      <c r="J18" t="s">
        <v>195</v>
      </c>
      <c r="K18" t="s">
        <v>22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12">
        <v>5</v>
      </c>
      <c r="G19" s="12">
        <v>30</v>
      </c>
      <c r="H19" s="12">
        <v>30</v>
      </c>
      <c r="I19" s="12">
        <f t="shared" si="0"/>
        <v>0</v>
      </c>
      <c r="J19" t="s">
        <v>195</v>
      </c>
      <c r="K19" t="s">
        <v>22</v>
      </c>
      <c r="L19" t="s">
        <v>182</v>
      </c>
      <c r="M19" t="s">
        <v>66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12">
        <v>695</v>
      </c>
      <c r="H20" s="12">
        <v>35</v>
      </c>
      <c r="I20" s="12">
        <f t="shared" si="0"/>
        <v>660</v>
      </c>
      <c r="J20" t="s">
        <v>195</v>
      </c>
      <c r="K20" t="s">
        <v>22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12">
        <v>10</v>
      </c>
      <c r="G21" s="12">
        <v>765</v>
      </c>
      <c r="H21" s="12">
        <v>25</v>
      </c>
      <c r="I21" s="12">
        <f t="shared" si="0"/>
        <v>740</v>
      </c>
      <c r="J21" t="s">
        <v>195</v>
      </c>
      <c r="K21" t="s">
        <v>22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12">
        <v>1</v>
      </c>
      <c r="G22" s="12">
        <v>680</v>
      </c>
      <c r="H22" s="12">
        <v>20</v>
      </c>
      <c r="I22" s="12">
        <f t="shared" si="0"/>
        <v>660</v>
      </c>
      <c r="J22" t="s">
        <v>195</v>
      </c>
      <c r="K22" t="s">
        <v>22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12">
        <v>10</v>
      </c>
      <c r="G23" s="12">
        <v>815</v>
      </c>
      <c r="H23" s="12">
        <v>25</v>
      </c>
      <c r="I23" s="12">
        <f t="shared" si="0"/>
        <v>790</v>
      </c>
      <c r="J23" t="s">
        <v>195</v>
      </c>
      <c r="K23" t="s">
        <v>22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12">
        <v>12</v>
      </c>
      <c r="G24" s="12">
        <v>690</v>
      </c>
      <c r="H24" s="12">
        <v>30</v>
      </c>
      <c r="I24" s="12">
        <f t="shared" si="0"/>
        <v>660</v>
      </c>
      <c r="J24" t="s">
        <v>195</v>
      </c>
      <c r="K24" t="s">
        <v>22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12">
        <v>765</v>
      </c>
      <c r="H25" s="12">
        <v>35</v>
      </c>
      <c r="I25" s="12">
        <f t="shared" si="0"/>
        <v>730</v>
      </c>
      <c r="J25" t="s">
        <v>195</v>
      </c>
      <c r="K25" t="s">
        <v>22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20</v>
      </c>
      <c r="G26" s="12">
        <v>690</v>
      </c>
      <c r="H26" s="12">
        <v>30</v>
      </c>
      <c r="I26" s="12">
        <f t="shared" si="0"/>
        <v>660</v>
      </c>
      <c r="J26" t="s">
        <v>195</v>
      </c>
      <c r="K26" t="s">
        <v>22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12">
        <v>7</v>
      </c>
      <c r="G27" s="12">
        <v>890</v>
      </c>
      <c r="H27" s="12">
        <v>30</v>
      </c>
      <c r="I27" s="12">
        <f t="shared" si="0"/>
        <v>860</v>
      </c>
      <c r="J27" t="s">
        <v>195</v>
      </c>
      <c r="K27" t="s">
        <v>22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12">
        <v>695</v>
      </c>
      <c r="H28" s="12">
        <v>35</v>
      </c>
      <c r="I28" s="12">
        <f t="shared" si="0"/>
        <v>660</v>
      </c>
      <c r="J28" t="s">
        <v>195</v>
      </c>
      <c r="K28" t="s">
        <v>22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12">
        <v>8</v>
      </c>
      <c r="G29" s="12">
        <v>845</v>
      </c>
      <c r="H29" s="12">
        <v>25</v>
      </c>
      <c r="I29" s="12">
        <f t="shared" si="0"/>
        <v>820</v>
      </c>
      <c r="J29" t="s">
        <v>195</v>
      </c>
      <c r="K29" t="s">
        <v>22</v>
      </c>
      <c r="L29" t="s">
        <v>182</v>
      </c>
      <c r="Q29">
        <v>1</v>
      </c>
    </row>
    <row r="30" spans="1:17" x14ac:dyDescent="0.25">
      <c r="A30" t="s">
        <v>83</v>
      </c>
      <c r="B30" t="s">
        <v>16</v>
      </c>
      <c r="C30" t="s">
        <v>87</v>
      </c>
      <c r="E30" t="s">
        <v>88</v>
      </c>
      <c r="F30" s="12">
        <v>6</v>
      </c>
      <c r="G30" s="12">
        <v>0</v>
      </c>
      <c r="H30" s="12">
        <v>30</v>
      </c>
      <c r="I30" s="12">
        <f>-H30</f>
        <v>-30</v>
      </c>
      <c r="J30" t="s">
        <v>195</v>
      </c>
      <c r="K30" t="s">
        <v>22</v>
      </c>
      <c r="L30" t="s">
        <v>182</v>
      </c>
      <c r="Q30">
        <v>1</v>
      </c>
    </row>
    <row r="31" spans="1:17" x14ac:dyDescent="0.25">
      <c r="A31" t="s">
        <v>83</v>
      </c>
      <c r="B31" t="s">
        <v>16</v>
      </c>
      <c r="C31" t="s">
        <v>263</v>
      </c>
      <c r="E31" t="s">
        <v>264</v>
      </c>
      <c r="F31" s="12">
        <v>12</v>
      </c>
      <c r="G31" s="12">
        <v>0</v>
      </c>
      <c r="H31" s="12">
        <v>35</v>
      </c>
      <c r="I31" s="12">
        <f>-H31</f>
        <v>-35</v>
      </c>
      <c r="J31" t="s">
        <v>195</v>
      </c>
      <c r="K31" t="s">
        <v>22</v>
      </c>
      <c r="L31" t="s">
        <v>182</v>
      </c>
      <c r="Q31">
        <v>1</v>
      </c>
    </row>
    <row r="32" spans="1:17" x14ac:dyDescent="0.25">
      <c r="A32" t="s">
        <v>83</v>
      </c>
      <c r="B32" t="s">
        <v>16</v>
      </c>
      <c r="C32" t="s">
        <v>265</v>
      </c>
      <c r="E32" t="s">
        <v>266</v>
      </c>
      <c r="F32" s="12">
        <v>6</v>
      </c>
      <c r="G32" s="12">
        <v>35</v>
      </c>
      <c r="H32" s="12">
        <v>35</v>
      </c>
      <c r="I32" s="12">
        <f>G32-H32</f>
        <v>0</v>
      </c>
      <c r="J32" t="s">
        <v>195</v>
      </c>
      <c r="K32" t="s">
        <v>22</v>
      </c>
      <c r="L32" t="s">
        <v>182</v>
      </c>
      <c r="Q32">
        <v>1</v>
      </c>
    </row>
    <row r="33" spans="1:17" x14ac:dyDescent="0.25">
      <c r="A33" t="s">
        <v>83</v>
      </c>
      <c r="B33" t="s">
        <v>16</v>
      </c>
      <c r="C33" t="s">
        <v>267</v>
      </c>
      <c r="E33" t="s">
        <v>268</v>
      </c>
      <c r="F33" s="12">
        <v>6</v>
      </c>
      <c r="G33" s="12">
        <v>0</v>
      </c>
      <c r="H33" s="12">
        <v>30</v>
      </c>
      <c r="I33" s="12">
        <f>-H33</f>
        <v>-30</v>
      </c>
      <c r="J33" t="s">
        <v>195</v>
      </c>
      <c r="K33" t="s">
        <v>22</v>
      </c>
      <c r="L33" t="s">
        <v>182</v>
      </c>
      <c r="M33" t="s">
        <v>66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79</v>
      </c>
      <c r="G34" s="12">
        <v>680</v>
      </c>
      <c r="H34" s="12">
        <v>20</v>
      </c>
      <c r="I34" s="12">
        <f>G34-H34</f>
        <v>660</v>
      </c>
      <c r="J34" t="s">
        <v>22</v>
      </c>
      <c r="K34" t="s">
        <v>22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86</v>
      </c>
      <c r="G35" s="12">
        <v>685</v>
      </c>
      <c r="H35" s="12">
        <v>25</v>
      </c>
      <c r="I35" s="12">
        <f>G35-H35</f>
        <v>660</v>
      </c>
      <c r="J35" t="s">
        <v>22</v>
      </c>
      <c r="K35" t="s">
        <v>22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12">
        <v>2</v>
      </c>
      <c r="G36" s="12">
        <v>1500</v>
      </c>
      <c r="H36" s="12">
        <v>30</v>
      </c>
      <c r="I36" s="12">
        <f>G36-H36</f>
        <v>1470</v>
      </c>
      <c r="J36" t="s">
        <v>22</v>
      </c>
      <c r="K36" t="s">
        <v>22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44</v>
      </c>
      <c r="G37" s="12">
        <v>0</v>
      </c>
      <c r="H37" s="12">
        <v>25</v>
      </c>
      <c r="I37" s="12">
        <f>-H37</f>
        <v>-25</v>
      </c>
      <c r="J37" t="s">
        <v>22</v>
      </c>
      <c r="K37" t="s">
        <v>22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79</v>
      </c>
      <c r="G38" s="12">
        <v>0</v>
      </c>
      <c r="H38" s="12">
        <v>20</v>
      </c>
      <c r="I38" s="12">
        <f>-H38</f>
        <v>-20</v>
      </c>
      <c r="J38" t="s">
        <v>22</v>
      </c>
      <c r="K38" t="s">
        <v>22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12">
        <v>690</v>
      </c>
      <c r="H39" s="12">
        <v>30</v>
      </c>
      <c r="I39" s="12">
        <f>G39-H39</f>
        <v>660</v>
      </c>
      <c r="J39" t="s">
        <v>22</v>
      </c>
      <c r="K39" t="s">
        <v>22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12">
        <v>0</v>
      </c>
      <c r="H40" s="12">
        <v>30</v>
      </c>
      <c r="I40" s="12">
        <f>-H40</f>
        <v>-30</v>
      </c>
      <c r="J40" t="s">
        <v>22</v>
      </c>
      <c r="K40" t="s">
        <v>22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36</v>
      </c>
      <c r="G41" s="12">
        <v>0</v>
      </c>
      <c r="H41" s="12">
        <v>20</v>
      </c>
      <c r="I41" s="12">
        <f>-H41</f>
        <v>-20</v>
      </c>
      <c r="J41" t="s">
        <v>22</v>
      </c>
      <c r="K41" t="s">
        <v>22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12">
        <v>2</v>
      </c>
      <c r="G42" s="12">
        <v>1480</v>
      </c>
      <c r="H42" s="12">
        <v>30</v>
      </c>
      <c r="I42" s="12">
        <f t="shared" ref="I42:I53" si="1">G42-H42</f>
        <v>1450</v>
      </c>
      <c r="J42" t="s">
        <v>22</v>
      </c>
      <c r="K42" t="s">
        <v>22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12">
        <v>3</v>
      </c>
      <c r="G43" s="12">
        <v>685</v>
      </c>
      <c r="H43" s="12">
        <v>25</v>
      </c>
      <c r="I43" s="12">
        <f t="shared" si="1"/>
        <v>660</v>
      </c>
      <c r="J43" t="s">
        <v>22</v>
      </c>
      <c r="K43" t="s">
        <v>22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36</v>
      </c>
      <c r="G44" s="12">
        <v>770</v>
      </c>
      <c r="H44" s="12">
        <v>20</v>
      </c>
      <c r="I44" s="12">
        <f t="shared" si="1"/>
        <v>750</v>
      </c>
      <c r="J44" t="s">
        <v>22</v>
      </c>
      <c r="K44" t="s">
        <v>22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36</v>
      </c>
      <c r="G45" s="12">
        <v>680</v>
      </c>
      <c r="H45" s="12">
        <v>20</v>
      </c>
      <c r="I45" s="12">
        <f t="shared" si="1"/>
        <v>660</v>
      </c>
      <c r="J45" t="s">
        <v>22</v>
      </c>
      <c r="K45" t="s">
        <v>22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12">
        <v>1030</v>
      </c>
      <c r="H46" s="12">
        <v>30</v>
      </c>
      <c r="I46" s="12">
        <f t="shared" si="1"/>
        <v>1000</v>
      </c>
      <c r="J46" t="s">
        <v>22</v>
      </c>
      <c r="K46" t="s">
        <v>22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36</v>
      </c>
      <c r="G47" s="12">
        <v>680</v>
      </c>
      <c r="H47" s="12">
        <v>20</v>
      </c>
      <c r="I47" s="12">
        <f t="shared" si="1"/>
        <v>660</v>
      </c>
      <c r="J47" t="s">
        <v>22</v>
      </c>
      <c r="K47" t="s">
        <v>22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44</v>
      </c>
      <c r="G48" s="12">
        <v>685</v>
      </c>
      <c r="H48" s="12">
        <v>25</v>
      </c>
      <c r="I48" s="12">
        <f t="shared" si="1"/>
        <v>660</v>
      </c>
      <c r="J48" t="s">
        <v>22</v>
      </c>
      <c r="K48" t="s">
        <v>22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86</v>
      </c>
      <c r="G49" s="12">
        <v>820</v>
      </c>
      <c r="H49" s="12">
        <v>0</v>
      </c>
      <c r="I49" s="12">
        <f t="shared" si="1"/>
        <v>820</v>
      </c>
      <c r="J49" t="s">
        <v>22</v>
      </c>
      <c r="K49" t="s">
        <v>22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86</v>
      </c>
      <c r="G50" s="12">
        <v>1585</v>
      </c>
      <c r="H50" s="12">
        <v>25</v>
      </c>
      <c r="I50" s="12">
        <f t="shared" si="1"/>
        <v>1560</v>
      </c>
      <c r="J50" t="s">
        <v>22</v>
      </c>
      <c r="K50" t="s">
        <v>22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44</v>
      </c>
      <c r="G51" s="12">
        <v>1050</v>
      </c>
      <c r="H51" s="12">
        <v>0</v>
      </c>
      <c r="I51" s="12">
        <f t="shared" si="1"/>
        <v>1050</v>
      </c>
      <c r="J51" t="s">
        <v>22</v>
      </c>
      <c r="K51" t="s">
        <v>22</v>
      </c>
      <c r="L51" t="s">
        <v>182</v>
      </c>
      <c r="M51" t="s">
        <v>312</v>
      </c>
      <c r="Q51">
        <v>1</v>
      </c>
    </row>
    <row r="52" spans="1:17" x14ac:dyDescent="0.25">
      <c r="A52" t="s">
        <v>83</v>
      </c>
      <c r="B52" t="s">
        <v>16</v>
      </c>
      <c r="C52" t="s">
        <v>318</v>
      </c>
      <c r="E52" t="s">
        <v>319</v>
      </c>
      <c r="F52" t="s">
        <v>44</v>
      </c>
      <c r="G52" s="12">
        <v>30</v>
      </c>
      <c r="H52" s="12">
        <v>30</v>
      </c>
      <c r="I52" s="12">
        <f t="shared" si="1"/>
        <v>0</v>
      </c>
      <c r="J52" t="s">
        <v>22</v>
      </c>
      <c r="K52" t="s">
        <v>22</v>
      </c>
      <c r="L52" t="s">
        <v>182</v>
      </c>
      <c r="Q5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12">
        <v>30</v>
      </c>
      <c r="H53" s="12">
        <v>30</v>
      </c>
      <c r="I53" s="12">
        <f t="shared" si="1"/>
        <v>0</v>
      </c>
      <c r="J53" t="s">
        <v>22</v>
      </c>
      <c r="K53" t="s">
        <v>22</v>
      </c>
      <c r="L53" t="s">
        <v>182</v>
      </c>
      <c r="Q53">
        <v>1</v>
      </c>
    </row>
    <row r="55" spans="1:17" x14ac:dyDescent="0.25">
      <c r="D55" s="7">
        <f>COUNTA(D3:D53)</f>
        <v>45</v>
      </c>
      <c r="G55" s="7">
        <f t="shared" ref="G55:Q55" si="2">SUBTOTAL(9,G3:G53)</f>
        <v>31145</v>
      </c>
      <c r="H55" s="7">
        <f t="shared" si="2"/>
        <v>1355</v>
      </c>
      <c r="I55" s="7">
        <f t="shared" si="2"/>
        <v>29790</v>
      </c>
      <c r="J55" s="7">
        <f t="shared" si="2"/>
        <v>0</v>
      </c>
      <c r="K55" s="7">
        <f t="shared" si="2"/>
        <v>0</v>
      </c>
      <c r="L55" s="7">
        <f t="shared" si="2"/>
        <v>0</v>
      </c>
      <c r="M55" s="7">
        <f t="shared" si="2"/>
        <v>0</v>
      </c>
      <c r="N55" s="7">
        <f t="shared" si="2"/>
        <v>0</v>
      </c>
      <c r="O55" s="7">
        <f t="shared" si="2"/>
        <v>0</v>
      </c>
      <c r="P55" s="7">
        <f t="shared" si="2"/>
        <v>0</v>
      </c>
      <c r="Q55" s="7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7" t="s">
        <v>16</v>
      </c>
      <c r="C57" s="6" t="s">
        <v>89</v>
      </c>
      <c r="D57" s="6"/>
      <c r="E57" s="10" t="s">
        <v>90</v>
      </c>
      <c r="H57">
        <f>-5*25</f>
        <v>-125</v>
      </c>
      <c r="K57" s="13" t="s">
        <v>22</v>
      </c>
      <c r="L57" s="13" t="s">
        <v>91</v>
      </c>
      <c r="M57" s="13" t="s">
        <v>90</v>
      </c>
      <c r="O57" s="10" t="s">
        <v>92</v>
      </c>
    </row>
    <row r="58" spans="1:17" x14ac:dyDescent="0.25">
      <c r="A58" t="s">
        <v>182</v>
      </c>
      <c r="B58" s="9" t="s">
        <v>93</v>
      </c>
      <c r="C58" s="5">
        <f>SUMIFS(I$3:I$53,B$3:B$53,A$57,L$3:L$53,A$58)</f>
        <v>29790</v>
      </c>
      <c r="D58" s="5"/>
      <c r="E58" s="9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22</v>
      </c>
      <c r="P58">
        <f>L64</f>
        <v>12637</v>
      </c>
    </row>
    <row r="59" spans="1:17" x14ac:dyDescent="0.25">
      <c r="B59" s="8" t="s">
        <v>97</v>
      </c>
      <c r="C59" s="4">
        <v>0</v>
      </c>
      <c r="D59" s="4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8" t="s">
        <v>99</v>
      </c>
      <c r="C60" s="4">
        <f>-SUMIFS(I$3:I$53,B$3:B$53,A$57,P$3:P$53,"xx",N$3:N$53,"x")</f>
        <v>0</v>
      </c>
      <c r="D60" s="4"/>
      <c r="E60" s="8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40</v>
      </c>
      <c r="P60">
        <f>L80</f>
        <v>1540</v>
      </c>
    </row>
    <row r="61" spans="1:17" x14ac:dyDescent="0.25">
      <c r="B61" s="10" t="s">
        <v>101</v>
      </c>
      <c r="C61" s="6">
        <f>SUBTOTAL(9,C58:C60)</f>
        <v>29790</v>
      </c>
      <c r="D61" s="6"/>
      <c r="E61">
        <f>E58</f>
        <v>51</v>
      </c>
      <c r="K61" s="8" t="s">
        <v>102</v>
      </c>
      <c r="O61" t="s">
        <v>103</v>
      </c>
      <c r="P61">
        <f>-C65</f>
        <v>-29790</v>
      </c>
    </row>
    <row r="62" spans="1:17" x14ac:dyDescent="0.25">
      <c r="B62" s="8" t="s">
        <v>104</v>
      </c>
      <c r="C62" s="3"/>
      <c r="D62" s="3"/>
      <c r="K62" s="8" t="s">
        <v>105</v>
      </c>
      <c r="O62" s="10" t="s">
        <v>106</v>
      </c>
      <c r="P62" s="10">
        <f>SUBTOTAL(9,P58:P61)</f>
        <v>274</v>
      </c>
    </row>
    <row r="63" spans="1:17" x14ac:dyDescent="0.25">
      <c r="B63" s="14" t="s">
        <v>107</v>
      </c>
      <c r="C63" s="3"/>
      <c r="D63" s="3"/>
      <c r="K63" s="16" t="s">
        <v>323</v>
      </c>
      <c r="L63">
        <v>30</v>
      </c>
    </row>
    <row r="64" spans="1:17" x14ac:dyDescent="0.25">
      <c r="L64" s="15">
        <f>SUBTOTAL(9,L58:L63)</f>
        <v>12637</v>
      </c>
      <c r="M64" s="15">
        <f>M58</f>
        <v>20</v>
      </c>
    </row>
    <row r="65" spans="2:13" x14ac:dyDescent="0.25">
      <c r="B65" s="7" t="s">
        <v>108</v>
      </c>
      <c r="C65" s="2">
        <f>C61+C62+C63</f>
        <v>29790</v>
      </c>
      <c r="D65" s="2"/>
      <c r="E65" s="7" t="s">
        <v>109</v>
      </c>
      <c r="K65" s="17"/>
      <c r="L65" s="17"/>
      <c r="M65" s="17"/>
    </row>
    <row r="66" spans="2:13" x14ac:dyDescent="0.25">
      <c r="K66" s="13" t="s">
        <v>195</v>
      </c>
      <c r="L66" s="13" t="s">
        <v>91</v>
      </c>
      <c r="M66" s="13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8" t="s">
        <v>102</v>
      </c>
    </row>
    <row r="71" spans="2:13" x14ac:dyDescent="0.25">
      <c r="K71" s="8" t="s">
        <v>105</v>
      </c>
    </row>
    <row r="72" spans="2:13" x14ac:dyDescent="0.25">
      <c r="L72" s="15">
        <f>SUBTOTAL(9,L67:L71)</f>
        <v>15887</v>
      </c>
      <c r="M72" s="15">
        <f>M67</f>
        <v>27</v>
      </c>
    </row>
    <row r="74" spans="2:13" x14ac:dyDescent="0.25">
      <c r="K74" s="13" t="s">
        <v>40</v>
      </c>
      <c r="L74" s="13" t="s">
        <v>91</v>
      </c>
      <c r="M74" s="13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8" t="s">
        <v>102</v>
      </c>
    </row>
    <row r="79" spans="2:13" x14ac:dyDescent="0.25">
      <c r="K79" s="8" t="s">
        <v>105</v>
      </c>
    </row>
    <row r="80" spans="2:13" x14ac:dyDescent="0.25">
      <c r="L80" s="15">
        <f>SUBTOTAL(9,L75:L79)</f>
        <v>1540</v>
      </c>
      <c r="M80" s="15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A22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12">
        <v>9</v>
      </c>
      <c r="G3" s="12">
        <v>690</v>
      </c>
      <c r="H3" s="12">
        <v>30</v>
      </c>
      <c r="I3" s="12">
        <f t="shared" ref="I3:I44" si="0">G3-H3</f>
        <v>660</v>
      </c>
      <c r="J3" t="s">
        <v>40</v>
      </c>
      <c r="K3" t="s">
        <v>22</v>
      </c>
      <c r="L3" t="s">
        <v>328</v>
      </c>
      <c r="Q3">
        <v>1</v>
      </c>
    </row>
    <row r="4" spans="1:17" x14ac:dyDescent="0.25">
      <c r="A4" t="s">
        <v>83</v>
      </c>
      <c r="B4" t="s">
        <v>16</v>
      </c>
      <c r="C4" t="s">
        <v>329</v>
      </c>
      <c r="E4" t="s">
        <v>330</v>
      </c>
      <c r="F4" s="12">
        <v>9</v>
      </c>
      <c r="G4" s="12">
        <v>35</v>
      </c>
      <c r="H4" s="12">
        <v>35</v>
      </c>
      <c r="I4" s="12">
        <f t="shared" si="0"/>
        <v>0</v>
      </c>
      <c r="J4" t="s">
        <v>40</v>
      </c>
      <c r="K4" t="s">
        <v>22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12">
        <v>735</v>
      </c>
      <c r="H5" s="12">
        <v>35</v>
      </c>
      <c r="I5" s="12">
        <f t="shared" si="0"/>
        <v>700</v>
      </c>
      <c r="J5" t="s">
        <v>333</v>
      </c>
      <c r="K5" t="s">
        <v>22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12">
        <v>12</v>
      </c>
      <c r="G6" s="12">
        <v>760</v>
      </c>
      <c r="H6" s="12">
        <v>30</v>
      </c>
      <c r="I6" s="12">
        <f t="shared" si="0"/>
        <v>730</v>
      </c>
      <c r="J6" t="s">
        <v>333</v>
      </c>
      <c r="K6" t="s">
        <v>22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12">
        <v>7</v>
      </c>
      <c r="G7" s="12">
        <v>690</v>
      </c>
      <c r="H7" s="12">
        <v>30</v>
      </c>
      <c r="I7" s="12">
        <f t="shared" si="0"/>
        <v>660</v>
      </c>
      <c r="J7" t="s">
        <v>333</v>
      </c>
      <c r="K7" t="s">
        <v>22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12">
        <v>7</v>
      </c>
      <c r="G8" s="12">
        <v>920</v>
      </c>
      <c r="H8" s="12">
        <v>30</v>
      </c>
      <c r="I8" s="12">
        <f t="shared" si="0"/>
        <v>890</v>
      </c>
      <c r="J8" t="s">
        <v>333</v>
      </c>
      <c r="K8" t="s">
        <v>22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12">
        <v>11</v>
      </c>
      <c r="G9" s="12">
        <v>375</v>
      </c>
      <c r="H9" s="12">
        <v>25</v>
      </c>
      <c r="I9" s="12">
        <f t="shared" si="0"/>
        <v>350</v>
      </c>
      <c r="J9" t="s">
        <v>333</v>
      </c>
      <c r="K9" t="s">
        <v>22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20</v>
      </c>
      <c r="G10" s="12">
        <v>720</v>
      </c>
      <c r="H10" s="12">
        <v>30</v>
      </c>
      <c r="I10" s="12">
        <f t="shared" si="0"/>
        <v>690</v>
      </c>
      <c r="J10" t="s">
        <v>333</v>
      </c>
      <c r="K10" t="s">
        <v>22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12">
        <v>1775</v>
      </c>
      <c r="H11" s="12">
        <v>35</v>
      </c>
      <c r="I11" s="12">
        <f t="shared" si="0"/>
        <v>1740</v>
      </c>
      <c r="J11" t="s">
        <v>333</v>
      </c>
      <c r="K11" t="s">
        <v>22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12">
        <v>12</v>
      </c>
      <c r="G12" s="12">
        <v>720</v>
      </c>
      <c r="H12" s="12">
        <v>30</v>
      </c>
      <c r="I12" s="12">
        <f t="shared" si="0"/>
        <v>690</v>
      </c>
      <c r="J12" t="s">
        <v>333</v>
      </c>
      <c r="K12" t="s">
        <v>22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12">
        <v>7</v>
      </c>
      <c r="G13" s="12">
        <v>690</v>
      </c>
      <c r="H13" s="12">
        <v>30</v>
      </c>
      <c r="I13" s="12">
        <f t="shared" si="0"/>
        <v>660</v>
      </c>
      <c r="J13" t="s">
        <v>333</v>
      </c>
      <c r="K13" t="s">
        <v>22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12">
        <v>7</v>
      </c>
      <c r="G14" s="12">
        <v>0</v>
      </c>
      <c r="H14" s="12">
        <v>30</v>
      </c>
      <c r="I14" s="12">
        <f t="shared" si="0"/>
        <v>-30</v>
      </c>
      <c r="J14" t="s">
        <v>333</v>
      </c>
      <c r="K14" t="s">
        <v>22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12">
        <v>8</v>
      </c>
      <c r="G15" s="12">
        <v>820</v>
      </c>
      <c r="H15" s="12">
        <v>30</v>
      </c>
      <c r="I15" s="12">
        <f t="shared" si="0"/>
        <v>790</v>
      </c>
      <c r="J15" t="s">
        <v>333</v>
      </c>
      <c r="K15" t="s">
        <v>22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20</v>
      </c>
      <c r="G16" s="12">
        <v>690</v>
      </c>
      <c r="H16" s="12">
        <v>30</v>
      </c>
      <c r="I16" s="12">
        <f t="shared" si="0"/>
        <v>660</v>
      </c>
      <c r="J16" t="s">
        <v>333</v>
      </c>
      <c r="K16" t="s">
        <v>22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12">
        <v>5</v>
      </c>
      <c r="G17" s="12">
        <v>715</v>
      </c>
      <c r="H17" s="12">
        <v>25</v>
      </c>
      <c r="I17" s="12">
        <f t="shared" si="0"/>
        <v>690</v>
      </c>
      <c r="J17" t="s">
        <v>333</v>
      </c>
      <c r="K17" t="s">
        <v>22</v>
      </c>
      <c r="L17" t="s">
        <v>328</v>
      </c>
      <c r="Q17">
        <v>1</v>
      </c>
    </row>
    <row r="18" spans="1:17" x14ac:dyDescent="0.25">
      <c r="A18" t="s">
        <v>83</v>
      </c>
      <c r="B18" t="s">
        <v>16</v>
      </c>
      <c r="C18" t="s">
        <v>370</v>
      </c>
      <c r="E18" t="s">
        <v>371</v>
      </c>
      <c r="F18" t="s">
        <v>217</v>
      </c>
      <c r="G18" s="12">
        <v>30</v>
      </c>
      <c r="H18" s="12">
        <v>30</v>
      </c>
      <c r="I18" s="12">
        <f t="shared" si="0"/>
        <v>0</v>
      </c>
      <c r="J18" t="s">
        <v>333</v>
      </c>
      <c r="K18" t="s">
        <v>22</v>
      </c>
      <c r="L18" t="s">
        <v>328</v>
      </c>
      <c r="Q18">
        <v>1</v>
      </c>
    </row>
    <row r="19" spans="1:17" x14ac:dyDescent="0.25">
      <c r="A19" t="s">
        <v>83</v>
      </c>
      <c r="B19" t="s">
        <v>16</v>
      </c>
      <c r="C19" t="s">
        <v>372</v>
      </c>
      <c r="E19" t="s">
        <v>373</v>
      </c>
      <c r="F19" t="s">
        <v>20</v>
      </c>
      <c r="G19" s="12">
        <v>40</v>
      </c>
      <c r="H19" s="12">
        <v>40</v>
      </c>
      <c r="I19" s="12">
        <f t="shared" si="0"/>
        <v>0</v>
      </c>
      <c r="J19" t="s">
        <v>333</v>
      </c>
      <c r="K19" t="s">
        <v>22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12">
        <v>700</v>
      </c>
      <c r="H20" s="12">
        <v>30</v>
      </c>
      <c r="I20" s="12">
        <f t="shared" si="0"/>
        <v>670</v>
      </c>
      <c r="J20" t="s">
        <v>22</v>
      </c>
      <c r="K20" t="s">
        <v>22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12">
        <v>2</v>
      </c>
      <c r="G21" s="12">
        <v>720</v>
      </c>
      <c r="H21" s="12">
        <v>30</v>
      </c>
      <c r="I21" s="12">
        <f t="shared" si="0"/>
        <v>690</v>
      </c>
      <c r="J21" t="s">
        <v>22</v>
      </c>
      <c r="K21" t="s">
        <v>22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12">
        <v>730</v>
      </c>
      <c r="H22" s="12">
        <v>30</v>
      </c>
      <c r="I22" s="12">
        <f t="shared" si="0"/>
        <v>700</v>
      </c>
      <c r="J22" t="s">
        <v>22</v>
      </c>
      <c r="K22" t="s">
        <v>22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12">
        <v>890</v>
      </c>
      <c r="H23" s="12">
        <v>30</v>
      </c>
      <c r="I23" s="12">
        <f t="shared" si="0"/>
        <v>860</v>
      </c>
      <c r="J23" t="s">
        <v>22</v>
      </c>
      <c r="K23" t="s">
        <v>22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44</v>
      </c>
      <c r="G24" s="12">
        <v>685</v>
      </c>
      <c r="H24" s="12">
        <v>25</v>
      </c>
      <c r="I24" s="12">
        <f t="shared" si="0"/>
        <v>660</v>
      </c>
      <c r="J24" t="s">
        <v>22</v>
      </c>
      <c r="K24" t="s">
        <v>22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44</v>
      </c>
      <c r="G25" s="12">
        <v>0</v>
      </c>
      <c r="H25" s="12">
        <v>25</v>
      </c>
      <c r="I25" s="12">
        <f t="shared" si="0"/>
        <v>-25</v>
      </c>
      <c r="J25" t="s">
        <v>22</v>
      </c>
      <c r="K25" t="s">
        <v>22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12">
        <v>12</v>
      </c>
      <c r="G26" s="12">
        <v>870</v>
      </c>
      <c r="H26" s="12">
        <v>30</v>
      </c>
      <c r="I26" s="12">
        <f t="shared" si="0"/>
        <v>840</v>
      </c>
      <c r="J26" t="s">
        <v>22</v>
      </c>
      <c r="K26" t="s">
        <v>22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44</v>
      </c>
      <c r="G27" s="12">
        <v>0</v>
      </c>
      <c r="H27" s="12">
        <v>25</v>
      </c>
      <c r="I27" s="12">
        <f t="shared" si="0"/>
        <v>-25</v>
      </c>
      <c r="J27" t="s">
        <v>22</v>
      </c>
      <c r="K27" t="s">
        <v>22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36</v>
      </c>
      <c r="G28" s="12">
        <v>910</v>
      </c>
      <c r="H28" s="12">
        <v>20</v>
      </c>
      <c r="I28" s="12">
        <f t="shared" si="0"/>
        <v>890</v>
      </c>
      <c r="J28" t="s">
        <v>22</v>
      </c>
      <c r="K28" t="s">
        <v>22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12">
        <v>2</v>
      </c>
      <c r="G29" s="12">
        <v>0</v>
      </c>
      <c r="H29" s="12">
        <v>30</v>
      </c>
      <c r="I29" s="12">
        <f t="shared" si="0"/>
        <v>-30</v>
      </c>
      <c r="J29" t="s">
        <v>22</v>
      </c>
      <c r="K29" t="s">
        <v>22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36</v>
      </c>
      <c r="G30" s="12">
        <v>680</v>
      </c>
      <c r="H30" s="12">
        <v>20</v>
      </c>
      <c r="I30" s="12">
        <f t="shared" si="0"/>
        <v>660</v>
      </c>
      <c r="J30" t="s">
        <v>22</v>
      </c>
      <c r="K30" t="s">
        <v>22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36</v>
      </c>
      <c r="G31" s="12">
        <v>840</v>
      </c>
      <c r="H31" s="12">
        <v>20</v>
      </c>
      <c r="I31" s="12">
        <f t="shared" si="0"/>
        <v>820</v>
      </c>
      <c r="J31" t="s">
        <v>22</v>
      </c>
      <c r="K31" t="s">
        <v>22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86</v>
      </c>
      <c r="G32" s="12">
        <v>0</v>
      </c>
      <c r="H32" s="12">
        <v>25</v>
      </c>
      <c r="I32" s="12">
        <f t="shared" si="0"/>
        <v>-25</v>
      </c>
      <c r="J32" t="s">
        <v>22</v>
      </c>
      <c r="K32" t="s">
        <v>22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12">
        <v>12</v>
      </c>
      <c r="G33" s="12">
        <v>0</v>
      </c>
      <c r="H33" s="12">
        <v>40</v>
      </c>
      <c r="I33" s="12">
        <f t="shared" si="0"/>
        <v>-40</v>
      </c>
      <c r="J33" t="s">
        <v>22</v>
      </c>
      <c r="K33" t="s">
        <v>22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12">
        <v>3</v>
      </c>
      <c r="G34" s="12">
        <v>0</v>
      </c>
      <c r="H34" s="12">
        <v>25</v>
      </c>
      <c r="I34" s="12">
        <f t="shared" si="0"/>
        <v>-25</v>
      </c>
      <c r="J34" t="s">
        <v>165</v>
      </c>
      <c r="K34" t="s">
        <v>22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12">
        <v>1</v>
      </c>
      <c r="G35" s="12">
        <v>885</v>
      </c>
      <c r="H35" s="12">
        <v>25</v>
      </c>
      <c r="I35" s="12">
        <f t="shared" si="0"/>
        <v>860</v>
      </c>
      <c r="J35" t="s">
        <v>165</v>
      </c>
      <c r="K35" t="s">
        <v>22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12">
        <v>4</v>
      </c>
      <c r="G36" s="12">
        <v>375</v>
      </c>
      <c r="H36" s="12">
        <v>25</v>
      </c>
      <c r="I36" s="12">
        <f t="shared" si="0"/>
        <v>350</v>
      </c>
      <c r="J36" t="s">
        <v>165</v>
      </c>
      <c r="K36" t="s">
        <v>22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12">
        <v>10</v>
      </c>
      <c r="G37" s="12">
        <v>815</v>
      </c>
      <c r="H37" s="12">
        <v>25</v>
      </c>
      <c r="I37" s="12">
        <f t="shared" si="0"/>
        <v>790</v>
      </c>
      <c r="J37" t="s">
        <v>165</v>
      </c>
      <c r="K37" t="s">
        <v>22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12">
        <v>4</v>
      </c>
      <c r="G38" s="12">
        <v>775</v>
      </c>
      <c r="H38" s="12">
        <v>25</v>
      </c>
      <c r="I38" s="12">
        <f t="shared" si="0"/>
        <v>750</v>
      </c>
      <c r="J38" t="s">
        <v>165</v>
      </c>
      <c r="K38" t="s">
        <v>22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86</v>
      </c>
      <c r="G39" s="12">
        <v>885</v>
      </c>
      <c r="H39" s="12">
        <v>25</v>
      </c>
      <c r="I39" s="12">
        <f t="shared" si="0"/>
        <v>860</v>
      </c>
      <c r="J39" t="s">
        <v>165</v>
      </c>
      <c r="K39" t="s">
        <v>22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79</v>
      </c>
      <c r="G40" s="12">
        <v>680</v>
      </c>
      <c r="H40" s="12">
        <v>20</v>
      </c>
      <c r="I40" s="12">
        <f t="shared" si="0"/>
        <v>660</v>
      </c>
      <c r="J40" t="s">
        <v>165</v>
      </c>
      <c r="K40" t="s">
        <v>22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12">
        <v>1</v>
      </c>
      <c r="G41" s="12">
        <v>0</v>
      </c>
      <c r="H41" s="12">
        <v>25</v>
      </c>
      <c r="I41" s="12">
        <f t="shared" si="0"/>
        <v>-25</v>
      </c>
      <c r="J41" t="s">
        <v>165</v>
      </c>
      <c r="K41" t="s">
        <v>22</v>
      </c>
      <c r="L41" t="s">
        <v>328</v>
      </c>
      <c r="Q41">
        <v>1</v>
      </c>
    </row>
    <row r="42" spans="1:17" x14ac:dyDescent="0.25">
      <c r="A42" t="s">
        <v>83</v>
      </c>
      <c r="B42" t="s">
        <v>16</v>
      </c>
      <c r="C42" t="s">
        <v>441</v>
      </c>
      <c r="E42" t="s">
        <v>442</v>
      </c>
      <c r="F42" t="s">
        <v>86</v>
      </c>
      <c r="G42" s="12">
        <v>30</v>
      </c>
      <c r="H42" s="12">
        <v>30</v>
      </c>
      <c r="I42" s="12">
        <f t="shared" si="0"/>
        <v>0</v>
      </c>
      <c r="J42" t="s">
        <v>165</v>
      </c>
      <c r="K42" t="s">
        <v>22</v>
      </c>
      <c r="L42" t="s">
        <v>328</v>
      </c>
      <c r="Q42">
        <v>1</v>
      </c>
    </row>
    <row r="43" spans="1:17" s="8" customFormat="1" x14ac:dyDescent="0.25">
      <c r="B43" s="8" t="s">
        <v>16</v>
      </c>
      <c r="C43" s="8" t="s">
        <v>443</v>
      </c>
      <c r="D43" s="8" t="s">
        <v>444</v>
      </c>
      <c r="E43" s="8" t="s">
        <v>445</v>
      </c>
      <c r="F43" s="8" t="s">
        <v>79</v>
      </c>
      <c r="G43" s="18">
        <v>370</v>
      </c>
      <c r="H43" s="18">
        <v>20</v>
      </c>
      <c r="I43" s="18">
        <f t="shared" si="0"/>
        <v>350</v>
      </c>
      <c r="J43" s="8" t="s">
        <v>446</v>
      </c>
      <c r="K43" s="8" t="s">
        <v>22</v>
      </c>
      <c r="L43" s="8" t="s">
        <v>447</v>
      </c>
      <c r="M43" s="8" t="s">
        <v>102</v>
      </c>
      <c r="N43" s="8" t="s">
        <v>448</v>
      </c>
      <c r="O43" s="8" t="s">
        <v>448</v>
      </c>
      <c r="P43" s="8" t="s">
        <v>449</v>
      </c>
      <c r="Q43" s="18">
        <v>1</v>
      </c>
    </row>
    <row r="44" spans="1:17" s="8" customFormat="1" x14ac:dyDescent="0.25">
      <c r="B44" s="8" t="s">
        <v>16</v>
      </c>
      <c r="C44" s="8" t="s">
        <v>122</v>
      </c>
      <c r="D44" s="8" t="s">
        <v>123</v>
      </c>
      <c r="E44" s="8" t="s">
        <v>124</v>
      </c>
      <c r="F44" s="18">
        <v>7</v>
      </c>
      <c r="G44" s="18">
        <v>650</v>
      </c>
      <c r="H44" s="18">
        <v>30</v>
      </c>
      <c r="I44" s="18">
        <f t="shared" si="0"/>
        <v>620</v>
      </c>
      <c r="J44" s="8" t="s">
        <v>446</v>
      </c>
      <c r="K44" s="8" t="s">
        <v>22</v>
      </c>
      <c r="L44" s="8" t="s">
        <v>115</v>
      </c>
      <c r="M44" s="8" t="s">
        <v>102</v>
      </c>
      <c r="N44" s="8" t="s">
        <v>448</v>
      </c>
      <c r="O44" s="8" t="s">
        <v>448</v>
      </c>
      <c r="P44" s="8" t="s">
        <v>449</v>
      </c>
      <c r="Q44" s="18">
        <v>1</v>
      </c>
    </row>
    <row r="46" spans="1:17" x14ac:dyDescent="0.25">
      <c r="D46" s="7">
        <f>COUNTA(D3:D44)</f>
        <v>38</v>
      </c>
      <c r="G46" s="7">
        <f t="shared" ref="G46:Q46" si="1">SUBTOTAL(9,G3:G44)</f>
        <v>22895</v>
      </c>
      <c r="H46" s="7">
        <f t="shared" si="1"/>
        <v>1180</v>
      </c>
      <c r="I46" s="7">
        <f t="shared" si="1"/>
        <v>21715</v>
      </c>
      <c r="J46" s="7">
        <f t="shared" si="1"/>
        <v>0</v>
      </c>
      <c r="K46" s="7">
        <f t="shared" si="1"/>
        <v>0</v>
      </c>
      <c r="L46" s="7">
        <f t="shared" si="1"/>
        <v>0</v>
      </c>
      <c r="M46" s="7">
        <f t="shared" si="1"/>
        <v>0</v>
      </c>
      <c r="N46" s="7">
        <f t="shared" si="1"/>
        <v>0</v>
      </c>
      <c r="O46" s="7">
        <f t="shared" si="1"/>
        <v>0</v>
      </c>
      <c r="P46" s="7">
        <f t="shared" si="1"/>
        <v>0</v>
      </c>
      <c r="Q46" s="7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7" t="s">
        <v>16</v>
      </c>
      <c r="C48" s="6" t="s">
        <v>89</v>
      </c>
      <c r="D48" s="6"/>
      <c r="E48" s="10" t="s">
        <v>90</v>
      </c>
      <c r="H48">
        <f>-5*25</f>
        <v>-125</v>
      </c>
      <c r="K48" s="13" t="s">
        <v>333</v>
      </c>
      <c r="L48" s="13" t="s">
        <v>91</v>
      </c>
      <c r="M48" s="13" t="s">
        <v>90</v>
      </c>
      <c r="O48" s="10" t="s">
        <v>92</v>
      </c>
    </row>
    <row r="49" spans="1:16" x14ac:dyDescent="0.25">
      <c r="A49" t="s">
        <v>328</v>
      </c>
      <c r="B49" s="9" t="s">
        <v>93</v>
      </c>
      <c r="C49" s="5">
        <f>SUMIFS(I$3:I$44,B$3:B$44,A$48,L$3:L$44,A$49)</f>
        <v>20745</v>
      </c>
      <c r="D49" s="5"/>
      <c r="E49" s="9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8" t="s">
        <v>97</v>
      </c>
      <c r="C50" s="4">
        <v>0</v>
      </c>
      <c r="D50" s="4"/>
      <c r="K50" t="s">
        <v>98</v>
      </c>
      <c r="L50">
        <f>SUM(H47:H49)</f>
        <v>-321</v>
      </c>
      <c r="M50">
        <f>SUMIFS(Q$3:Q$44,J$3:J$44,K$48)</f>
        <v>15</v>
      </c>
      <c r="O50" t="s">
        <v>22</v>
      </c>
      <c r="P50">
        <f>L62</f>
        <v>6635</v>
      </c>
    </row>
    <row r="51" spans="1:16" x14ac:dyDescent="0.25">
      <c r="B51" s="8" t="s">
        <v>99</v>
      </c>
      <c r="C51" s="4">
        <f>-SUMIFS(I$3:I$44,B$3:B$44,A$48,P$3:P$44,"xx",N$3:N$44,"x")</f>
        <v>-970</v>
      </c>
      <c r="D51" s="4"/>
      <c r="E51" s="8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10" t="s">
        <v>101</v>
      </c>
      <c r="C52" s="6">
        <f>SUBTOTAL(9,C49:C51)</f>
        <v>19775</v>
      </c>
      <c r="D52" s="6"/>
      <c r="E52">
        <f>E49</f>
        <v>40</v>
      </c>
      <c r="K52" s="8" t="s">
        <v>102</v>
      </c>
      <c r="L52" s="8">
        <v>-637</v>
      </c>
      <c r="M52" s="19" t="s">
        <v>451</v>
      </c>
      <c r="O52" t="s">
        <v>40</v>
      </c>
      <c r="P52">
        <f>L78</f>
        <v>670</v>
      </c>
    </row>
    <row r="53" spans="1:16" x14ac:dyDescent="0.25">
      <c r="B53" s="8" t="s">
        <v>104</v>
      </c>
      <c r="C53" s="3"/>
      <c r="D53" s="3"/>
      <c r="K53" s="8" t="s">
        <v>105</v>
      </c>
      <c r="O53" t="s">
        <v>103</v>
      </c>
      <c r="P53">
        <f>-C56</f>
        <v>-19775</v>
      </c>
    </row>
    <row r="54" spans="1:16" x14ac:dyDescent="0.25">
      <c r="B54" s="14" t="s">
        <v>107</v>
      </c>
      <c r="C54" s="3"/>
      <c r="D54" s="3"/>
      <c r="L54" s="15">
        <f>SUBTOTAL(9,L49:L53)</f>
        <v>8722</v>
      </c>
      <c r="M54" s="15">
        <f>M49</f>
        <v>15</v>
      </c>
      <c r="O54" s="10" t="s">
        <v>106</v>
      </c>
      <c r="P54" s="10">
        <f>SUBTOTAL(9,P49:P53)</f>
        <v>162</v>
      </c>
    </row>
    <row r="56" spans="1:16" x14ac:dyDescent="0.25">
      <c r="B56" s="7" t="s">
        <v>108</v>
      </c>
      <c r="C56" s="2">
        <f>C52+C53+C54</f>
        <v>19775</v>
      </c>
      <c r="D56" s="2"/>
      <c r="E56" s="7" t="s">
        <v>109</v>
      </c>
      <c r="K56" s="13" t="s">
        <v>22</v>
      </c>
      <c r="L56" s="13" t="s">
        <v>91</v>
      </c>
      <c r="M56" s="13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8" t="s">
        <v>102</v>
      </c>
    </row>
    <row r="61" spans="1:16" x14ac:dyDescent="0.25">
      <c r="K61" s="8" t="s">
        <v>105</v>
      </c>
    </row>
    <row r="62" spans="1:16" x14ac:dyDescent="0.25">
      <c r="L62" s="15">
        <f>SUBTOTAL(9,L57:L61)</f>
        <v>6635</v>
      </c>
      <c r="M62" s="15">
        <f>M57</f>
        <v>14</v>
      </c>
    </row>
    <row r="64" spans="1:16" x14ac:dyDescent="0.25">
      <c r="K64" s="13" t="s">
        <v>165</v>
      </c>
      <c r="L64" s="13" t="s">
        <v>91</v>
      </c>
      <c r="M64" s="13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8" t="s">
        <v>102</v>
      </c>
      <c r="L68" s="8">
        <v>-355</v>
      </c>
      <c r="M68" s="19" t="s">
        <v>451</v>
      </c>
    </row>
    <row r="69" spans="11:13" x14ac:dyDescent="0.25">
      <c r="K69" s="8" t="s">
        <v>105</v>
      </c>
    </row>
    <row r="70" spans="11:13" x14ac:dyDescent="0.25">
      <c r="L70" s="15">
        <f>SUBTOTAL(9,L65:L69)</f>
        <v>3910</v>
      </c>
      <c r="M70" s="15">
        <f>M65</f>
        <v>9</v>
      </c>
    </row>
    <row r="72" spans="11:13" x14ac:dyDescent="0.25">
      <c r="K72" s="13" t="s">
        <v>40</v>
      </c>
      <c r="L72" s="13" t="s">
        <v>91</v>
      </c>
      <c r="M72" s="13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8" t="s">
        <v>102</v>
      </c>
    </row>
    <row r="77" spans="11:13" x14ac:dyDescent="0.25">
      <c r="K77" s="8" t="s">
        <v>105</v>
      </c>
    </row>
    <row r="78" spans="11:13" x14ac:dyDescent="0.25">
      <c r="L78" s="15">
        <f>SUBTOTAL(9,L73:L77)</f>
        <v>670</v>
      </c>
      <c r="M78" s="15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opLeftCell="A31" workbookViewId="0">
      <selection activeCell="A24" sqref="A24 A24:XFD24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86</v>
      </c>
      <c r="G3" s="12">
        <v>0</v>
      </c>
      <c r="H3" s="12">
        <v>25</v>
      </c>
      <c r="I3" s="12">
        <f>G3-H3</f>
        <v>-25</v>
      </c>
      <c r="J3" t="s">
        <v>22</v>
      </c>
      <c r="K3" t="s">
        <v>22</v>
      </c>
      <c r="L3" t="s">
        <v>455</v>
      </c>
      <c r="M3" t="s">
        <v>398</v>
      </c>
      <c r="Q3" s="12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12">
        <v>7</v>
      </c>
      <c r="G4" s="12">
        <v>470</v>
      </c>
      <c r="H4" s="12">
        <v>30</v>
      </c>
      <c r="I4" s="12">
        <f>G4-H4</f>
        <v>440</v>
      </c>
      <c r="J4" t="s">
        <v>459</v>
      </c>
      <c r="K4" t="s">
        <v>22</v>
      </c>
      <c r="L4" t="s">
        <v>455</v>
      </c>
      <c r="Q4" s="12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12">
        <v>1710</v>
      </c>
      <c r="H5" s="12">
        <v>30</v>
      </c>
      <c r="I5" s="12">
        <f>G5-H5</f>
        <v>1680</v>
      </c>
      <c r="J5" t="s">
        <v>22</v>
      </c>
      <c r="K5" t="s">
        <v>22</v>
      </c>
      <c r="L5" t="s">
        <v>455</v>
      </c>
      <c r="Q5" s="12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20</v>
      </c>
      <c r="G6" s="12">
        <v>820</v>
      </c>
      <c r="H6" s="12">
        <v>30</v>
      </c>
      <c r="I6" s="12">
        <f>G6-H6</f>
        <v>790</v>
      </c>
      <c r="J6" t="s">
        <v>459</v>
      </c>
      <c r="K6" t="s">
        <v>22</v>
      </c>
      <c r="L6" t="s">
        <v>455</v>
      </c>
      <c r="Q6" s="12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12">
        <v>8</v>
      </c>
      <c r="G7" s="12">
        <v>0</v>
      </c>
      <c r="H7" s="12">
        <v>25</v>
      </c>
      <c r="I7" s="12">
        <f>-H7</f>
        <v>-25</v>
      </c>
      <c r="J7" t="s">
        <v>459</v>
      </c>
      <c r="K7" t="s">
        <v>22</v>
      </c>
      <c r="L7" t="s">
        <v>455</v>
      </c>
      <c r="Q7" s="12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12">
        <v>6</v>
      </c>
      <c r="G8" s="12">
        <v>1515</v>
      </c>
      <c r="H8" s="12">
        <v>25</v>
      </c>
      <c r="I8" s="12">
        <f t="shared" ref="I8:I16" si="0">G8-H8</f>
        <v>1490</v>
      </c>
      <c r="J8" t="s">
        <v>459</v>
      </c>
      <c r="K8" t="s">
        <v>22</v>
      </c>
      <c r="L8" t="s">
        <v>455</v>
      </c>
      <c r="Q8" s="12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20</v>
      </c>
      <c r="G9" s="12">
        <v>890</v>
      </c>
      <c r="H9" s="12">
        <v>30</v>
      </c>
      <c r="I9" s="12">
        <f t="shared" si="0"/>
        <v>860</v>
      </c>
      <c r="J9" t="s">
        <v>459</v>
      </c>
      <c r="K9" t="s">
        <v>22</v>
      </c>
      <c r="L9" t="s">
        <v>455</v>
      </c>
      <c r="Q9" s="12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20</v>
      </c>
      <c r="G10" s="12">
        <v>470</v>
      </c>
      <c r="H10" s="12">
        <v>30</v>
      </c>
      <c r="I10" s="12">
        <f t="shared" si="0"/>
        <v>440</v>
      </c>
      <c r="J10" t="s">
        <v>459</v>
      </c>
      <c r="K10" t="s">
        <v>22</v>
      </c>
      <c r="L10" t="s">
        <v>455</v>
      </c>
      <c r="Q10" s="12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12">
        <v>10</v>
      </c>
      <c r="G11" s="12">
        <v>1505</v>
      </c>
      <c r="H11" s="12">
        <v>25</v>
      </c>
      <c r="I11" s="12">
        <f t="shared" si="0"/>
        <v>1480</v>
      </c>
      <c r="J11" t="s">
        <v>165</v>
      </c>
      <c r="K11" t="s">
        <v>22</v>
      </c>
      <c r="L11" t="s">
        <v>455</v>
      </c>
      <c r="Q11" s="12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12">
        <v>4</v>
      </c>
      <c r="G12" s="12">
        <v>815</v>
      </c>
      <c r="H12" s="12">
        <v>25</v>
      </c>
      <c r="I12" s="12">
        <f t="shared" si="0"/>
        <v>790</v>
      </c>
      <c r="J12" t="s">
        <v>165</v>
      </c>
      <c r="K12" t="s">
        <v>22</v>
      </c>
      <c r="L12" t="s">
        <v>455</v>
      </c>
      <c r="Q12" s="12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12">
        <v>2</v>
      </c>
      <c r="G13" s="12">
        <v>1510</v>
      </c>
      <c r="H13" s="12">
        <v>30</v>
      </c>
      <c r="I13" s="12">
        <f t="shared" si="0"/>
        <v>1480</v>
      </c>
      <c r="J13" t="s">
        <v>22</v>
      </c>
      <c r="K13" t="s">
        <v>22</v>
      </c>
      <c r="L13" t="s">
        <v>455</v>
      </c>
      <c r="Q13" s="12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20</v>
      </c>
      <c r="G14" s="12">
        <v>920</v>
      </c>
      <c r="H14" s="12">
        <v>30</v>
      </c>
      <c r="I14" s="12">
        <f t="shared" si="0"/>
        <v>890</v>
      </c>
      <c r="J14" t="s">
        <v>459</v>
      </c>
      <c r="K14" t="s">
        <v>22</v>
      </c>
      <c r="L14" t="s">
        <v>455</v>
      </c>
      <c r="Q14" s="12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36</v>
      </c>
      <c r="G15" s="12">
        <v>680</v>
      </c>
      <c r="H15" s="12">
        <v>20</v>
      </c>
      <c r="I15" s="12">
        <f t="shared" si="0"/>
        <v>660</v>
      </c>
      <c r="J15" t="s">
        <v>22</v>
      </c>
      <c r="K15" t="s">
        <v>22</v>
      </c>
      <c r="L15" t="s">
        <v>455</v>
      </c>
      <c r="Q15" s="12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12">
        <v>1020</v>
      </c>
      <c r="H16" s="12">
        <v>30</v>
      </c>
      <c r="I16" s="12">
        <f t="shared" si="0"/>
        <v>990</v>
      </c>
      <c r="J16" t="s">
        <v>22</v>
      </c>
      <c r="K16" t="s">
        <v>22</v>
      </c>
      <c r="L16" t="s">
        <v>455</v>
      </c>
      <c r="Q16" s="12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12">
        <v>0</v>
      </c>
      <c r="H17" s="12">
        <v>30</v>
      </c>
      <c r="I17" s="12">
        <f>-H17</f>
        <v>-30</v>
      </c>
      <c r="J17" t="s">
        <v>22</v>
      </c>
      <c r="K17" t="s">
        <v>22</v>
      </c>
      <c r="L17" t="s">
        <v>455</v>
      </c>
      <c r="Q17" s="12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12">
        <v>8</v>
      </c>
      <c r="G18" s="12">
        <v>820</v>
      </c>
      <c r="H18" s="12">
        <v>30</v>
      </c>
      <c r="I18" s="12">
        <f t="shared" ref="I18:I24" si="1">G18-H18</f>
        <v>790</v>
      </c>
      <c r="J18" t="s">
        <v>165</v>
      </c>
      <c r="K18" t="s">
        <v>22</v>
      </c>
      <c r="L18" t="s">
        <v>455</v>
      </c>
      <c r="Q18" s="12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86</v>
      </c>
      <c r="G19" s="12">
        <v>845</v>
      </c>
      <c r="H19" s="12">
        <v>25</v>
      </c>
      <c r="I19" s="12">
        <f t="shared" si="1"/>
        <v>820</v>
      </c>
      <c r="J19" t="s">
        <v>165</v>
      </c>
      <c r="K19" t="s">
        <v>22</v>
      </c>
      <c r="L19" t="s">
        <v>455</v>
      </c>
      <c r="Q19" s="12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12">
        <v>6</v>
      </c>
      <c r="G20" s="12">
        <v>695</v>
      </c>
      <c r="H20" s="12">
        <v>25</v>
      </c>
      <c r="I20" s="12">
        <f t="shared" si="1"/>
        <v>670</v>
      </c>
      <c r="J20" t="s">
        <v>459</v>
      </c>
      <c r="K20" t="s">
        <v>22</v>
      </c>
      <c r="L20" t="s">
        <v>455</v>
      </c>
      <c r="Q20" s="12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12">
        <v>7</v>
      </c>
      <c r="G21" s="12">
        <v>700</v>
      </c>
      <c r="H21" s="12">
        <v>30</v>
      </c>
      <c r="I21" s="12">
        <f t="shared" si="1"/>
        <v>670</v>
      </c>
      <c r="J21" t="s">
        <v>459</v>
      </c>
      <c r="K21" t="s">
        <v>22</v>
      </c>
      <c r="L21" t="s">
        <v>455</v>
      </c>
      <c r="Q21" s="12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12">
        <v>4</v>
      </c>
      <c r="G22" s="12">
        <v>735</v>
      </c>
      <c r="H22" s="12">
        <v>25</v>
      </c>
      <c r="I22" s="12">
        <f t="shared" si="1"/>
        <v>710</v>
      </c>
      <c r="J22" t="s">
        <v>165</v>
      </c>
      <c r="K22" t="s">
        <v>22</v>
      </c>
      <c r="L22" t="s">
        <v>455</v>
      </c>
      <c r="Q22" s="12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12">
        <v>4</v>
      </c>
      <c r="G23" s="12">
        <v>75</v>
      </c>
      <c r="H23" s="12">
        <v>25</v>
      </c>
      <c r="I23" s="12">
        <f t="shared" si="1"/>
        <v>50</v>
      </c>
      <c r="J23" t="s">
        <v>165</v>
      </c>
      <c r="K23" t="s">
        <v>22</v>
      </c>
      <c r="L23" t="s">
        <v>455</v>
      </c>
      <c r="M23" t="s">
        <v>66</v>
      </c>
      <c r="Q23" s="12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12">
        <v>4</v>
      </c>
      <c r="G24" s="12">
        <v>715</v>
      </c>
      <c r="H24" s="12">
        <v>25</v>
      </c>
      <c r="I24" s="12">
        <f t="shared" si="1"/>
        <v>690</v>
      </c>
      <c r="J24" t="s">
        <v>165</v>
      </c>
      <c r="K24" t="s">
        <v>22</v>
      </c>
      <c r="L24" t="s">
        <v>455</v>
      </c>
      <c r="Q24" s="12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12">
        <v>7</v>
      </c>
      <c r="G25" s="12">
        <v>0</v>
      </c>
      <c r="H25" s="12">
        <v>30</v>
      </c>
      <c r="I25" s="12">
        <f>-H25</f>
        <v>-30</v>
      </c>
      <c r="J25" t="s">
        <v>459</v>
      </c>
      <c r="K25" t="s">
        <v>22</v>
      </c>
      <c r="L25" t="s">
        <v>455</v>
      </c>
      <c r="Q25" s="12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12">
        <v>5</v>
      </c>
      <c r="G26" s="12">
        <v>685</v>
      </c>
      <c r="H26" s="12">
        <v>25</v>
      </c>
      <c r="I26" s="12">
        <f>G26-H26</f>
        <v>660</v>
      </c>
      <c r="J26" t="s">
        <v>165</v>
      </c>
      <c r="K26" t="s">
        <v>22</v>
      </c>
      <c r="L26" t="s">
        <v>455</v>
      </c>
      <c r="Q26" s="12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20</v>
      </c>
      <c r="G27" s="12">
        <v>1020</v>
      </c>
      <c r="H27" s="12">
        <v>30</v>
      </c>
      <c r="I27" s="12">
        <f>G27-H27</f>
        <v>990</v>
      </c>
      <c r="J27" t="s">
        <v>459</v>
      </c>
      <c r="K27" t="s">
        <v>22</v>
      </c>
      <c r="L27" t="s">
        <v>455</v>
      </c>
      <c r="Q27" s="12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12">
        <v>5</v>
      </c>
      <c r="G28" s="12">
        <v>1185</v>
      </c>
      <c r="H28" s="12">
        <v>25</v>
      </c>
      <c r="I28" s="12">
        <f>G28-H28</f>
        <v>1160</v>
      </c>
      <c r="J28" t="s">
        <v>165</v>
      </c>
      <c r="K28" t="s">
        <v>22</v>
      </c>
      <c r="L28" t="s">
        <v>455</v>
      </c>
      <c r="Q28" s="12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12">
        <v>1</v>
      </c>
      <c r="G29" s="12">
        <v>745</v>
      </c>
      <c r="H29" s="12">
        <v>25</v>
      </c>
      <c r="I29" s="12">
        <f>G29-H29</f>
        <v>720</v>
      </c>
      <c r="J29" t="s">
        <v>165</v>
      </c>
      <c r="K29" t="s">
        <v>22</v>
      </c>
      <c r="L29" t="s">
        <v>455</v>
      </c>
      <c r="Q29" s="12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12">
        <v>10</v>
      </c>
      <c r="G30" s="12">
        <v>1255</v>
      </c>
      <c r="H30" s="12">
        <v>25</v>
      </c>
      <c r="I30" s="12">
        <f>G30-H30</f>
        <v>1230</v>
      </c>
      <c r="J30" t="s">
        <v>165</v>
      </c>
      <c r="K30" t="s">
        <v>22</v>
      </c>
      <c r="L30" t="s">
        <v>455</v>
      </c>
      <c r="Q30" s="12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86</v>
      </c>
      <c r="G31" s="12">
        <v>0</v>
      </c>
      <c r="H31" s="12">
        <v>25</v>
      </c>
      <c r="I31" s="12">
        <f>-H31</f>
        <v>-25</v>
      </c>
      <c r="J31" t="s">
        <v>22</v>
      </c>
      <c r="K31" t="s">
        <v>22</v>
      </c>
      <c r="L31" t="s">
        <v>455</v>
      </c>
      <c r="Q31" s="12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79</v>
      </c>
      <c r="G32" s="12">
        <v>370</v>
      </c>
      <c r="H32" s="12">
        <v>20</v>
      </c>
      <c r="I32" s="12">
        <f t="shared" ref="I32:I38" si="2">G32-H32</f>
        <v>350</v>
      </c>
      <c r="J32" t="s">
        <v>165</v>
      </c>
      <c r="K32" t="s">
        <v>22</v>
      </c>
      <c r="L32" t="s">
        <v>455</v>
      </c>
      <c r="Q32" s="12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12">
        <v>1</v>
      </c>
      <c r="G33" s="12">
        <v>915</v>
      </c>
      <c r="H33" s="12">
        <v>25</v>
      </c>
      <c r="I33" s="12">
        <f t="shared" si="2"/>
        <v>890</v>
      </c>
      <c r="J33" t="s">
        <v>165</v>
      </c>
      <c r="K33" t="s">
        <v>22</v>
      </c>
      <c r="L33" t="s">
        <v>455</v>
      </c>
      <c r="Q33" s="12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12">
        <v>1</v>
      </c>
      <c r="G34" s="12">
        <v>1635</v>
      </c>
      <c r="H34" s="12">
        <v>25</v>
      </c>
      <c r="I34" s="12">
        <f t="shared" si="2"/>
        <v>1610</v>
      </c>
      <c r="J34" t="s">
        <v>165</v>
      </c>
      <c r="K34" t="s">
        <v>22</v>
      </c>
      <c r="L34" t="s">
        <v>455</v>
      </c>
      <c r="Q34" s="12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12">
        <v>475</v>
      </c>
      <c r="H35" s="12">
        <v>35</v>
      </c>
      <c r="I35" s="12">
        <f t="shared" si="2"/>
        <v>440</v>
      </c>
      <c r="J35" t="s">
        <v>459</v>
      </c>
      <c r="K35" t="s">
        <v>22</v>
      </c>
      <c r="L35" t="s">
        <v>455</v>
      </c>
      <c r="Q35" s="12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12">
        <v>2</v>
      </c>
      <c r="G36" s="12">
        <v>820</v>
      </c>
      <c r="H36" s="12">
        <v>30</v>
      </c>
      <c r="I36" s="12">
        <f t="shared" si="2"/>
        <v>790</v>
      </c>
      <c r="J36" t="s">
        <v>22</v>
      </c>
      <c r="K36" t="s">
        <v>22</v>
      </c>
      <c r="L36" t="s">
        <v>455</v>
      </c>
      <c r="Q36" s="12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12">
        <v>10</v>
      </c>
      <c r="G37" s="12">
        <v>465</v>
      </c>
      <c r="H37" s="12">
        <v>25</v>
      </c>
      <c r="I37" s="12">
        <f t="shared" si="2"/>
        <v>440</v>
      </c>
      <c r="J37" t="s">
        <v>165</v>
      </c>
      <c r="K37" t="s">
        <v>22</v>
      </c>
      <c r="L37" t="s">
        <v>455</v>
      </c>
      <c r="Q37" s="12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12">
        <v>6</v>
      </c>
      <c r="G38" s="12">
        <v>2220</v>
      </c>
      <c r="H38" s="12">
        <v>30</v>
      </c>
      <c r="I38" s="12">
        <f t="shared" si="2"/>
        <v>2190</v>
      </c>
      <c r="J38" t="s">
        <v>459</v>
      </c>
      <c r="K38" t="s">
        <v>22</v>
      </c>
      <c r="L38" t="s">
        <v>455</v>
      </c>
      <c r="M38" t="s">
        <v>398</v>
      </c>
      <c r="Q38" s="12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86</v>
      </c>
      <c r="G39" s="12">
        <v>0</v>
      </c>
      <c r="H39" s="12">
        <v>25</v>
      </c>
      <c r="I39" s="12">
        <f>-H39</f>
        <v>-25</v>
      </c>
      <c r="J39" t="s">
        <v>22</v>
      </c>
      <c r="K39" t="s">
        <v>22</v>
      </c>
      <c r="L39" t="s">
        <v>455</v>
      </c>
      <c r="Q39" s="12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12">
        <v>4</v>
      </c>
      <c r="G40" s="12">
        <v>0</v>
      </c>
      <c r="H40" s="12">
        <v>25</v>
      </c>
      <c r="I40" s="12">
        <f>-H40</f>
        <v>-25</v>
      </c>
      <c r="J40" t="s">
        <v>165</v>
      </c>
      <c r="K40" t="s">
        <v>22</v>
      </c>
      <c r="L40" t="s">
        <v>455</v>
      </c>
      <c r="Q40" s="12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20</v>
      </c>
      <c r="G41" s="12">
        <v>720</v>
      </c>
      <c r="H41" s="12">
        <v>30</v>
      </c>
      <c r="I41" s="12">
        <f t="shared" ref="I41:I49" si="3">G41-H41</f>
        <v>690</v>
      </c>
      <c r="J41" t="s">
        <v>459</v>
      </c>
      <c r="K41" t="s">
        <v>22</v>
      </c>
      <c r="L41" t="s">
        <v>455</v>
      </c>
      <c r="Q41" s="12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20</v>
      </c>
      <c r="G42" s="12">
        <v>750</v>
      </c>
      <c r="H42" s="12">
        <v>30</v>
      </c>
      <c r="I42" s="12">
        <f t="shared" si="3"/>
        <v>720</v>
      </c>
      <c r="J42" t="s">
        <v>459</v>
      </c>
      <c r="K42" t="s">
        <v>22</v>
      </c>
      <c r="L42" t="s">
        <v>455</v>
      </c>
      <c r="Q42" s="12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12">
        <v>8</v>
      </c>
      <c r="G43" s="12">
        <v>390</v>
      </c>
      <c r="H43" s="12">
        <v>30</v>
      </c>
      <c r="I43" s="12">
        <f t="shared" si="3"/>
        <v>360</v>
      </c>
      <c r="J43" t="s">
        <v>459</v>
      </c>
      <c r="K43" t="s">
        <v>22</v>
      </c>
      <c r="L43" t="s">
        <v>455</v>
      </c>
      <c r="Q43" s="12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12">
        <v>2</v>
      </c>
      <c r="G44" s="12">
        <v>1020</v>
      </c>
      <c r="H44" s="12">
        <v>30</v>
      </c>
      <c r="I44" s="12">
        <f t="shared" si="3"/>
        <v>990</v>
      </c>
      <c r="J44" t="s">
        <v>22</v>
      </c>
      <c r="K44" t="s">
        <v>22</v>
      </c>
      <c r="L44" t="s">
        <v>455</v>
      </c>
      <c r="Q44" s="12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12">
        <v>2</v>
      </c>
      <c r="G45" s="12">
        <v>380</v>
      </c>
      <c r="H45" s="12">
        <v>30</v>
      </c>
      <c r="I45" s="12">
        <f t="shared" si="3"/>
        <v>350</v>
      </c>
      <c r="J45" t="s">
        <v>22</v>
      </c>
      <c r="K45" t="s">
        <v>22</v>
      </c>
      <c r="L45" t="s">
        <v>455</v>
      </c>
      <c r="Q45" s="12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12">
        <v>12</v>
      </c>
      <c r="G46" s="12">
        <v>1020</v>
      </c>
      <c r="H46" s="12">
        <v>30</v>
      </c>
      <c r="I46" s="12">
        <f t="shared" si="3"/>
        <v>990</v>
      </c>
      <c r="J46" t="s">
        <v>22</v>
      </c>
      <c r="K46" t="s">
        <v>22</v>
      </c>
      <c r="L46" t="s">
        <v>455</v>
      </c>
      <c r="Q46" s="12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20</v>
      </c>
      <c r="G47" s="12">
        <v>820</v>
      </c>
      <c r="H47" s="12">
        <v>30</v>
      </c>
      <c r="I47" s="12">
        <f t="shared" si="3"/>
        <v>790</v>
      </c>
      <c r="J47" t="s">
        <v>459</v>
      </c>
      <c r="K47" t="s">
        <v>22</v>
      </c>
      <c r="L47" t="s">
        <v>455</v>
      </c>
      <c r="Q47" s="12">
        <v>1</v>
      </c>
    </row>
    <row r="48" spans="1:17" x14ac:dyDescent="0.25">
      <c r="A48" t="s">
        <v>83</v>
      </c>
      <c r="B48" t="s">
        <v>16</v>
      </c>
      <c r="C48" t="s">
        <v>582</v>
      </c>
      <c r="E48" t="s">
        <v>583</v>
      </c>
      <c r="F48" t="s">
        <v>44</v>
      </c>
      <c r="G48" s="12">
        <v>30</v>
      </c>
      <c r="H48" s="12">
        <v>30</v>
      </c>
      <c r="I48" s="12">
        <f t="shared" si="3"/>
        <v>0</v>
      </c>
      <c r="J48" t="s">
        <v>22</v>
      </c>
      <c r="K48" t="s">
        <v>22</v>
      </c>
      <c r="L48" t="s">
        <v>455</v>
      </c>
      <c r="Q48" s="12">
        <v>1</v>
      </c>
    </row>
    <row r="49" spans="1:17" x14ac:dyDescent="0.25">
      <c r="A49" t="s">
        <v>83</v>
      </c>
      <c r="B49" t="s">
        <v>16</v>
      </c>
      <c r="C49" t="s">
        <v>584</v>
      </c>
      <c r="E49" t="s">
        <v>585</v>
      </c>
      <c r="F49" s="12">
        <v>4</v>
      </c>
      <c r="G49" s="12">
        <v>30</v>
      </c>
      <c r="H49" s="12">
        <v>30</v>
      </c>
      <c r="I49" s="12">
        <f t="shared" si="3"/>
        <v>0</v>
      </c>
      <c r="J49" t="s">
        <v>165</v>
      </c>
      <c r="K49" t="s">
        <v>22</v>
      </c>
      <c r="L49" t="s">
        <v>455</v>
      </c>
      <c r="Q49" s="12">
        <v>1</v>
      </c>
    </row>
    <row r="50" spans="1:17" x14ac:dyDescent="0.25">
      <c r="A50" t="s">
        <v>83</v>
      </c>
      <c r="B50" t="s">
        <v>16</v>
      </c>
      <c r="C50" t="s">
        <v>586</v>
      </c>
      <c r="E50" t="s">
        <v>587</v>
      </c>
      <c r="F50" s="12">
        <v>12</v>
      </c>
      <c r="G50" s="12">
        <v>0</v>
      </c>
      <c r="H50" s="12">
        <v>35</v>
      </c>
      <c r="I50" s="12">
        <f>-H50</f>
        <v>-35</v>
      </c>
      <c r="J50" t="s">
        <v>22</v>
      </c>
      <c r="K50" t="s">
        <v>22</v>
      </c>
      <c r="L50" t="s">
        <v>455</v>
      </c>
      <c r="Q50" s="12">
        <v>1</v>
      </c>
    </row>
    <row r="51" spans="1:17" x14ac:dyDescent="0.25">
      <c r="A51" t="s">
        <v>83</v>
      </c>
      <c r="B51" t="s">
        <v>16</v>
      </c>
      <c r="C51" t="s">
        <v>588</v>
      </c>
      <c r="E51" t="s">
        <v>589</v>
      </c>
      <c r="F51" t="s">
        <v>217</v>
      </c>
      <c r="G51" s="12">
        <v>30</v>
      </c>
      <c r="H51" s="12">
        <v>30</v>
      </c>
      <c r="I51" s="12">
        <f>G51-H51</f>
        <v>0</v>
      </c>
      <c r="J51" t="s">
        <v>459</v>
      </c>
      <c r="K51" t="s">
        <v>22</v>
      </c>
      <c r="L51" t="s">
        <v>455</v>
      </c>
      <c r="Q51" s="12">
        <v>1</v>
      </c>
    </row>
    <row r="52" spans="1:17" x14ac:dyDescent="0.25">
      <c r="A52" t="s">
        <v>83</v>
      </c>
      <c r="B52" t="s">
        <v>16</v>
      </c>
      <c r="C52" t="s">
        <v>265</v>
      </c>
      <c r="E52" t="s">
        <v>590</v>
      </c>
      <c r="F52" s="12">
        <v>6</v>
      </c>
      <c r="G52" s="12">
        <v>30</v>
      </c>
      <c r="H52" s="12">
        <v>30</v>
      </c>
      <c r="I52" s="12">
        <f>G52-H52</f>
        <v>0</v>
      </c>
      <c r="J52" t="s">
        <v>459</v>
      </c>
      <c r="K52" t="s">
        <v>22</v>
      </c>
      <c r="L52" t="s">
        <v>455</v>
      </c>
      <c r="Q52" s="1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12">
        <v>30</v>
      </c>
      <c r="H53" s="12">
        <v>30</v>
      </c>
      <c r="I53" s="12">
        <f>G53-H53</f>
        <v>0</v>
      </c>
      <c r="J53" t="s">
        <v>22</v>
      </c>
      <c r="K53" t="s">
        <v>22</v>
      </c>
      <c r="L53" t="s">
        <v>455</v>
      </c>
      <c r="Q53" s="12">
        <v>1</v>
      </c>
    </row>
    <row r="54" spans="1:17" x14ac:dyDescent="0.25">
      <c r="A54" t="s">
        <v>83</v>
      </c>
      <c r="B54" t="s">
        <v>16</v>
      </c>
      <c r="C54" t="s">
        <v>591</v>
      </c>
      <c r="E54" t="s">
        <v>592</v>
      </c>
      <c r="F54" t="s">
        <v>153</v>
      </c>
      <c r="G54" s="12">
        <v>1015</v>
      </c>
      <c r="H54" s="12">
        <v>35</v>
      </c>
      <c r="I54" s="12">
        <f>G54-H54</f>
        <v>980</v>
      </c>
      <c r="J54" t="s">
        <v>22</v>
      </c>
      <c r="K54" t="s">
        <v>22</v>
      </c>
      <c r="L54" t="s">
        <v>455</v>
      </c>
      <c r="Q54" s="12">
        <v>1</v>
      </c>
    </row>
    <row r="55" spans="1:17" s="8" customFormat="1" x14ac:dyDescent="0.25">
      <c r="B55" s="8" t="s">
        <v>16</v>
      </c>
      <c r="C55" s="8" t="s">
        <v>420</v>
      </c>
      <c r="D55" s="8" t="s">
        <v>421</v>
      </c>
      <c r="E55" s="8" t="s">
        <v>422</v>
      </c>
      <c r="F55" s="18">
        <v>1</v>
      </c>
      <c r="G55" s="18">
        <v>885</v>
      </c>
      <c r="H55" s="18">
        <v>25</v>
      </c>
      <c r="I55" s="18">
        <f>G55-H55</f>
        <v>860</v>
      </c>
      <c r="J55" s="8" t="s">
        <v>446</v>
      </c>
      <c r="K55" s="8" t="s">
        <v>22</v>
      </c>
      <c r="L55" s="8" t="s">
        <v>328</v>
      </c>
      <c r="M55" s="8" t="s">
        <v>102</v>
      </c>
      <c r="N55" s="8" t="s">
        <v>448</v>
      </c>
      <c r="O55" s="8" t="s">
        <v>448</v>
      </c>
      <c r="P55" s="8" t="s">
        <v>449</v>
      </c>
      <c r="Q55" s="18">
        <v>1</v>
      </c>
    </row>
    <row r="57" spans="1:17" x14ac:dyDescent="0.25">
      <c r="D57" s="7">
        <f>COUNTA(D3:D55)</f>
        <v>46</v>
      </c>
      <c r="G57" s="7">
        <f t="shared" ref="G57:Q57" si="4">SUBTOTAL(9,G3:G55)</f>
        <v>35850</v>
      </c>
      <c r="H57" s="7">
        <f t="shared" si="4"/>
        <v>1480</v>
      </c>
      <c r="I57" s="7">
        <f t="shared" si="4"/>
        <v>34370</v>
      </c>
      <c r="J57" s="7">
        <f t="shared" si="4"/>
        <v>0</v>
      </c>
      <c r="K57" s="7">
        <f t="shared" si="4"/>
        <v>0</v>
      </c>
      <c r="L57" s="7">
        <f t="shared" si="4"/>
        <v>0</v>
      </c>
      <c r="M57" s="7">
        <f t="shared" si="4"/>
        <v>0</v>
      </c>
      <c r="N57" s="7">
        <f t="shared" si="4"/>
        <v>0</v>
      </c>
      <c r="O57" s="7">
        <f t="shared" si="4"/>
        <v>0</v>
      </c>
      <c r="P57" s="7">
        <f t="shared" si="4"/>
        <v>0</v>
      </c>
      <c r="Q57" s="7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7" t="s">
        <v>16</v>
      </c>
      <c r="C59" s="6" t="s">
        <v>89</v>
      </c>
      <c r="D59" s="6"/>
      <c r="E59" s="10" t="s">
        <v>90</v>
      </c>
      <c r="H59">
        <f>-8*25</f>
        <v>-200</v>
      </c>
      <c r="K59" s="13" t="s">
        <v>22</v>
      </c>
      <c r="L59" s="13" t="s">
        <v>91</v>
      </c>
      <c r="M59" s="13" t="s">
        <v>90</v>
      </c>
      <c r="O59" s="10" t="s">
        <v>92</v>
      </c>
    </row>
    <row r="60" spans="1:17" x14ac:dyDescent="0.25">
      <c r="A60" t="s">
        <v>455</v>
      </c>
      <c r="B60" s="9" t="s">
        <v>93</v>
      </c>
      <c r="C60" s="5">
        <f>SUMIFS(I$3:I$55,B$3:B$55,A$59,L$3:L$55,A$60)</f>
        <v>33510</v>
      </c>
      <c r="D60" s="5"/>
      <c r="E60" s="9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22</v>
      </c>
      <c r="P60">
        <f>L65</f>
        <v>8748</v>
      </c>
    </row>
    <row r="61" spans="1:17" x14ac:dyDescent="0.25">
      <c r="B61" s="8" t="s">
        <v>97</v>
      </c>
      <c r="C61" s="4">
        <v>0</v>
      </c>
      <c r="D61" s="4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8" t="s">
        <v>99</v>
      </c>
      <c r="C62" s="4">
        <f>-SUMIFS(I$3:I$55,B$3:B$55,A$59,P$3:P$55,"xx",N$3:N$55,"x")</f>
        <v>-860</v>
      </c>
      <c r="D62" s="4"/>
      <c r="E62" s="8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10" t="s">
        <v>101</v>
      </c>
      <c r="C63" s="6">
        <f>SUBTOTAL(9,C60:C62)</f>
        <v>32650</v>
      </c>
      <c r="D63" s="6"/>
      <c r="E63">
        <f>E60</f>
        <v>52</v>
      </c>
      <c r="K63" s="8" t="s">
        <v>102</v>
      </c>
      <c r="O63" t="s">
        <v>103</v>
      </c>
      <c r="P63">
        <f>-C67</f>
        <v>-32650</v>
      </c>
    </row>
    <row r="64" spans="1:17" x14ac:dyDescent="0.25">
      <c r="B64" s="8" t="s">
        <v>104</v>
      </c>
      <c r="C64" s="3"/>
      <c r="D64" s="3"/>
      <c r="K64" s="8" t="s">
        <v>105</v>
      </c>
      <c r="O64" s="10" t="s">
        <v>106</v>
      </c>
      <c r="P64" s="10">
        <f>SUBTOTAL(9,P60:P63)</f>
        <v>218</v>
      </c>
    </row>
    <row r="65" spans="2:13" x14ac:dyDescent="0.25">
      <c r="B65" s="14" t="s">
        <v>107</v>
      </c>
      <c r="C65" s="3"/>
      <c r="D65" s="3"/>
      <c r="L65" s="15">
        <f>SUBTOTAL(9,L60:L64)</f>
        <v>8748</v>
      </c>
      <c r="M65" s="15">
        <f>M60</f>
        <v>16</v>
      </c>
    </row>
    <row r="67" spans="2:13" x14ac:dyDescent="0.25">
      <c r="B67" s="7" t="s">
        <v>108</v>
      </c>
      <c r="C67" s="2">
        <f>C63+C64+C65</f>
        <v>32650</v>
      </c>
      <c r="D67" s="2"/>
      <c r="E67" s="7" t="s">
        <v>109</v>
      </c>
      <c r="K67" s="13" t="s">
        <v>459</v>
      </c>
      <c r="L67" s="13" t="s">
        <v>91</v>
      </c>
      <c r="M67" s="13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8" t="s">
        <v>102</v>
      </c>
    </row>
    <row r="72" spans="2:13" x14ac:dyDescent="0.25">
      <c r="K72" s="8" t="s">
        <v>105</v>
      </c>
    </row>
    <row r="73" spans="2:13" x14ac:dyDescent="0.25">
      <c r="L73" s="15">
        <f>SUBTOTAL(9,L68:L72)</f>
        <v>12535</v>
      </c>
      <c r="M73" s="15">
        <f>M68</f>
        <v>19</v>
      </c>
    </row>
    <row r="75" spans="2:13" x14ac:dyDescent="0.25">
      <c r="K75" s="13" t="s">
        <v>165</v>
      </c>
      <c r="L75" s="13" t="s">
        <v>91</v>
      </c>
      <c r="M75" s="13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8" t="s">
        <v>102</v>
      </c>
      <c r="L79" s="8">
        <v>-865</v>
      </c>
      <c r="M79" s="19" t="s">
        <v>451</v>
      </c>
    </row>
    <row r="80" spans="2:13" x14ac:dyDescent="0.25">
      <c r="K80" s="8" t="s">
        <v>105</v>
      </c>
    </row>
    <row r="81" spans="12:13" x14ac:dyDescent="0.25">
      <c r="L81" s="15">
        <f>SUBTOTAL(9,L76:L80)</f>
        <v>11585</v>
      </c>
      <c r="M81" s="15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workbookViewId="0">
      <selection activeCell="L27" sqref="L2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12">
        <v>1035</v>
      </c>
      <c r="H3" s="12">
        <v>25</v>
      </c>
      <c r="I3" s="12">
        <f t="shared" ref="I3:I15" si="0">G3-H3</f>
        <v>1010</v>
      </c>
      <c r="J3" t="s">
        <v>597</v>
      </c>
      <c r="K3" t="s">
        <v>22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20</v>
      </c>
      <c r="G4" s="12">
        <v>820</v>
      </c>
      <c r="H4" s="12">
        <v>30</v>
      </c>
      <c r="I4" s="12">
        <f t="shared" si="0"/>
        <v>790</v>
      </c>
      <c r="J4" t="s">
        <v>597</v>
      </c>
      <c r="K4" t="s">
        <v>22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12">
        <v>7</v>
      </c>
      <c r="G5" s="12">
        <v>780</v>
      </c>
      <c r="H5" s="12">
        <v>30</v>
      </c>
      <c r="I5" s="12">
        <f t="shared" si="0"/>
        <v>750</v>
      </c>
      <c r="J5" t="s">
        <v>597</v>
      </c>
      <c r="K5" t="s">
        <v>22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20</v>
      </c>
      <c r="G6" s="12">
        <v>2500</v>
      </c>
      <c r="H6" s="12">
        <v>35</v>
      </c>
      <c r="I6" s="12">
        <f t="shared" si="0"/>
        <v>2465</v>
      </c>
      <c r="J6" t="s">
        <v>597</v>
      </c>
      <c r="K6" t="s">
        <v>22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12">
        <v>6</v>
      </c>
      <c r="G7" s="12">
        <v>845</v>
      </c>
      <c r="H7" s="12">
        <v>25</v>
      </c>
      <c r="I7" s="12">
        <f t="shared" si="0"/>
        <v>820</v>
      </c>
      <c r="J7" t="s">
        <v>597</v>
      </c>
      <c r="K7" t="s">
        <v>22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12">
        <v>8</v>
      </c>
      <c r="G8" s="12">
        <v>620</v>
      </c>
      <c r="H8" s="12">
        <v>30</v>
      </c>
      <c r="I8" s="12">
        <f t="shared" si="0"/>
        <v>590</v>
      </c>
      <c r="J8" t="s">
        <v>597</v>
      </c>
      <c r="K8" t="s">
        <v>22</v>
      </c>
      <c r="L8" t="s">
        <v>598</v>
      </c>
      <c r="Q8">
        <v>1</v>
      </c>
    </row>
    <row r="9" spans="1:17" x14ac:dyDescent="0.25">
      <c r="B9" t="s">
        <v>16</v>
      </c>
      <c r="C9" t="s">
        <v>24</v>
      </c>
      <c r="D9" t="s">
        <v>614</v>
      </c>
      <c r="E9" t="s">
        <v>26</v>
      </c>
      <c r="F9" s="12">
        <v>7</v>
      </c>
      <c r="G9" s="12">
        <v>820</v>
      </c>
      <c r="H9" s="12">
        <v>30</v>
      </c>
      <c r="I9" s="12">
        <f t="shared" si="0"/>
        <v>790</v>
      </c>
      <c r="J9" t="s">
        <v>597</v>
      </c>
      <c r="K9" t="s">
        <v>22</v>
      </c>
      <c r="L9" t="s">
        <v>598</v>
      </c>
      <c r="Q9">
        <v>1</v>
      </c>
    </row>
    <row r="10" spans="1:17" x14ac:dyDescent="0.25">
      <c r="A10" t="s">
        <v>83</v>
      </c>
      <c r="B10" t="s">
        <v>16</v>
      </c>
      <c r="C10" t="s">
        <v>615</v>
      </c>
      <c r="E10" t="s">
        <v>616</v>
      </c>
      <c r="F10" s="12">
        <v>6</v>
      </c>
      <c r="G10" s="12">
        <v>1110</v>
      </c>
      <c r="H10" s="12">
        <v>30</v>
      </c>
      <c r="I10" s="12">
        <f t="shared" si="0"/>
        <v>1080</v>
      </c>
      <c r="J10" t="s">
        <v>597</v>
      </c>
      <c r="K10" t="s">
        <v>22</v>
      </c>
      <c r="L10" t="s">
        <v>598</v>
      </c>
      <c r="Q10">
        <v>1</v>
      </c>
    </row>
    <row r="11" spans="1:17" x14ac:dyDescent="0.25">
      <c r="A11" t="s">
        <v>83</v>
      </c>
      <c r="B11" t="s">
        <v>16</v>
      </c>
      <c r="C11" t="s">
        <v>617</v>
      </c>
      <c r="E11" t="s">
        <v>618</v>
      </c>
      <c r="F11" t="s">
        <v>259</v>
      </c>
      <c r="G11" s="12">
        <v>45</v>
      </c>
      <c r="H11" s="12">
        <v>45</v>
      </c>
      <c r="I11" s="12">
        <f t="shared" si="0"/>
        <v>0</v>
      </c>
      <c r="J11" t="s">
        <v>597</v>
      </c>
      <c r="K11" t="s">
        <v>22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12">
        <v>2</v>
      </c>
      <c r="G12" s="12">
        <v>850</v>
      </c>
      <c r="H12" s="12">
        <v>30</v>
      </c>
      <c r="I12" s="12">
        <f t="shared" si="0"/>
        <v>820</v>
      </c>
      <c r="J12" t="s">
        <v>22</v>
      </c>
      <c r="K12" t="s">
        <v>22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12">
        <v>1840</v>
      </c>
      <c r="H13" s="12">
        <v>30</v>
      </c>
      <c r="I13" s="12">
        <f t="shared" si="0"/>
        <v>1810</v>
      </c>
      <c r="J13" t="s">
        <v>22</v>
      </c>
      <c r="K13" t="s">
        <v>22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36</v>
      </c>
      <c r="G14" s="12">
        <v>815</v>
      </c>
      <c r="H14" s="12">
        <v>25</v>
      </c>
      <c r="I14" s="12">
        <f t="shared" si="0"/>
        <v>790</v>
      </c>
      <c r="J14" t="s">
        <v>22</v>
      </c>
      <c r="K14" t="s">
        <v>22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44</v>
      </c>
      <c r="G15" s="12">
        <v>815</v>
      </c>
      <c r="H15" s="12">
        <v>25</v>
      </c>
      <c r="I15" s="12">
        <f t="shared" si="0"/>
        <v>790</v>
      </c>
      <c r="J15" t="s">
        <v>22</v>
      </c>
      <c r="K15" t="s">
        <v>22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12">
        <v>12</v>
      </c>
      <c r="G16" s="12">
        <v>0</v>
      </c>
      <c r="H16" s="12">
        <v>30</v>
      </c>
      <c r="I16" s="12">
        <f>-H16</f>
        <v>-30</v>
      </c>
      <c r="J16" t="s">
        <v>22</v>
      </c>
      <c r="K16" t="s">
        <v>22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12">
        <v>0</v>
      </c>
      <c r="H17" s="12">
        <v>30</v>
      </c>
      <c r="I17" s="12">
        <f>-H17</f>
        <v>-30</v>
      </c>
      <c r="J17" t="s">
        <v>22</v>
      </c>
      <c r="K17" t="s">
        <v>22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44</v>
      </c>
      <c r="G18" s="12">
        <v>695</v>
      </c>
      <c r="H18" s="12">
        <v>25</v>
      </c>
      <c r="I18" s="12">
        <f>G18-H18</f>
        <v>670</v>
      </c>
      <c r="J18" t="s">
        <v>22</v>
      </c>
      <c r="K18" t="s">
        <v>22</v>
      </c>
      <c r="L18" t="s">
        <v>598</v>
      </c>
      <c r="Q18">
        <v>1</v>
      </c>
    </row>
    <row r="19" spans="1:17" x14ac:dyDescent="0.25">
      <c r="A19" t="s">
        <v>83</v>
      </c>
      <c r="B19" t="s">
        <v>16</v>
      </c>
      <c r="C19" t="s">
        <v>640</v>
      </c>
      <c r="E19" t="s">
        <v>641</v>
      </c>
      <c r="F19" t="s">
        <v>44</v>
      </c>
      <c r="G19" s="12">
        <v>4895</v>
      </c>
      <c r="H19" s="12">
        <v>35</v>
      </c>
      <c r="I19" s="12">
        <f>G19-H19</f>
        <v>4860</v>
      </c>
      <c r="J19" t="s">
        <v>22</v>
      </c>
      <c r="K19" t="s">
        <v>22</v>
      </c>
      <c r="L19" t="s">
        <v>598</v>
      </c>
      <c r="Q19">
        <v>1</v>
      </c>
    </row>
    <row r="20" spans="1:17" x14ac:dyDescent="0.25">
      <c r="A20" t="s">
        <v>83</v>
      </c>
      <c r="B20" t="s">
        <v>16</v>
      </c>
      <c r="C20" t="s">
        <v>642</v>
      </c>
      <c r="E20" t="s">
        <v>643</v>
      </c>
      <c r="F20" s="12">
        <v>12</v>
      </c>
      <c r="G20" s="12">
        <v>0</v>
      </c>
      <c r="H20" s="12">
        <v>35</v>
      </c>
      <c r="I20" s="12">
        <f>-H20</f>
        <v>-35</v>
      </c>
      <c r="J20" t="s">
        <v>22</v>
      </c>
      <c r="K20" t="s">
        <v>22</v>
      </c>
      <c r="L20" t="s">
        <v>598</v>
      </c>
      <c r="Q20">
        <v>1</v>
      </c>
    </row>
    <row r="21" spans="1:17" x14ac:dyDescent="0.25">
      <c r="A21" t="s">
        <v>83</v>
      </c>
      <c r="B21" t="s">
        <v>16</v>
      </c>
      <c r="C21" t="s">
        <v>644</v>
      </c>
      <c r="E21" t="s">
        <v>416</v>
      </c>
      <c r="F21" s="12">
        <v>12</v>
      </c>
      <c r="G21" s="12">
        <v>0</v>
      </c>
      <c r="H21" s="12">
        <v>35</v>
      </c>
      <c r="I21" s="12">
        <f>-H21</f>
        <v>-35</v>
      </c>
      <c r="J21" t="s">
        <v>22</v>
      </c>
      <c r="K21" t="s">
        <v>22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12">
        <v>1</v>
      </c>
      <c r="G22" s="12">
        <v>745</v>
      </c>
      <c r="H22" s="12">
        <v>25</v>
      </c>
      <c r="I22" s="12">
        <f t="shared" ref="I22:I29" si="1">G22-H22</f>
        <v>720</v>
      </c>
      <c r="J22" t="s">
        <v>165</v>
      </c>
      <c r="K22" t="s">
        <v>22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12">
        <v>3</v>
      </c>
      <c r="G23" s="12">
        <v>1025</v>
      </c>
      <c r="H23" s="12">
        <v>25</v>
      </c>
      <c r="I23" s="12">
        <f t="shared" si="1"/>
        <v>1000</v>
      </c>
      <c r="J23" t="s">
        <v>165</v>
      </c>
      <c r="K23" t="s">
        <v>22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86</v>
      </c>
      <c r="G24" s="12">
        <v>115</v>
      </c>
      <c r="H24" s="12">
        <v>25</v>
      </c>
      <c r="I24" s="12">
        <f t="shared" si="1"/>
        <v>90</v>
      </c>
      <c r="J24" t="s">
        <v>165</v>
      </c>
      <c r="K24" t="s">
        <v>22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86</v>
      </c>
      <c r="G25" s="12">
        <v>1325</v>
      </c>
      <c r="H25" s="12">
        <v>25</v>
      </c>
      <c r="I25" s="12">
        <f t="shared" si="1"/>
        <v>1300</v>
      </c>
      <c r="J25" t="s">
        <v>165</v>
      </c>
      <c r="K25" t="s">
        <v>22</v>
      </c>
      <c r="L25" t="s">
        <v>598</v>
      </c>
      <c r="Q25">
        <v>1</v>
      </c>
    </row>
    <row r="26" spans="1:17" x14ac:dyDescent="0.25">
      <c r="A26" t="s">
        <v>83</v>
      </c>
      <c r="B26" t="s">
        <v>16</v>
      </c>
      <c r="C26" t="s">
        <v>657</v>
      </c>
      <c r="E26" t="s">
        <v>658</v>
      </c>
      <c r="F26" s="12">
        <v>5</v>
      </c>
      <c r="G26" s="12">
        <v>30</v>
      </c>
      <c r="H26" s="12">
        <v>30</v>
      </c>
      <c r="I26" s="12">
        <f t="shared" si="1"/>
        <v>0</v>
      </c>
      <c r="J26" t="s">
        <v>165</v>
      </c>
      <c r="K26" t="s">
        <v>22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86</v>
      </c>
      <c r="G27" s="12">
        <v>765</v>
      </c>
      <c r="H27" s="12">
        <v>25</v>
      </c>
      <c r="I27" s="12">
        <f t="shared" si="1"/>
        <v>740</v>
      </c>
      <c r="J27" t="s">
        <v>165</v>
      </c>
      <c r="K27" t="s">
        <v>22</v>
      </c>
      <c r="L27" s="20" t="s">
        <v>598</v>
      </c>
      <c r="Q27">
        <v>1</v>
      </c>
    </row>
    <row r="28" spans="1:17" s="8" customFormat="1" x14ac:dyDescent="0.25">
      <c r="B28" s="8" t="s">
        <v>16</v>
      </c>
      <c r="C28" s="8" t="s">
        <v>233</v>
      </c>
      <c r="D28" s="8" t="s">
        <v>234</v>
      </c>
      <c r="E28" s="8" t="s">
        <v>235</v>
      </c>
      <c r="F28" s="18" t="s">
        <v>128</v>
      </c>
      <c r="G28" s="18">
        <v>695</v>
      </c>
      <c r="H28" s="18">
        <v>0</v>
      </c>
      <c r="I28" s="18">
        <f t="shared" si="1"/>
        <v>695</v>
      </c>
      <c r="J28" s="8" t="s">
        <v>446</v>
      </c>
      <c r="K28" s="8" t="s">
        <v>22</v>
      </c>
      <c r="L28" s="21" t="s">
        <v>182</v>
      </c>
      <c r="N28" s="8" t="s">
        <v>448</v>
      </c>
      <c r="O28" s="8" t="s">
        <v>448</v>
      </c>
      <c r="P28" s="8" t="s">
        <v>449</v>
      </c>
      <c r="Q28" s="18">
        <v>1</v>
      </c>
    </row>
    <row r="29" spans="1:17" s="8" customFormat="1" x14ac:dyDescent="0.25">
      <c r="B29" s="8" t="s">
        <v>16</v>
      </c>
      <c r="C29" s="8" t="s">
        <v>571</v>
      </c>
      <c r="D29" s="8" t="s">
        <v>572</v>
      </c>
      <c r="E29" s="8" t="s">
        <v>573</v>
      </c>
      <c r="F29" s="18">
        <v>2</v>
      </c>
      <c r="G29" s="18">
        <v>1020</v>
      </c>
      <c r="H29" s="18">
        <v>0</v>
      </c>
      <c r="I29" s="18">
        <f t="shared" si="1"/>
        <v>1020</v>
      </c>
      <c r="J29" s="8" t="s">
        <v>446</v>
      </c>
      <c r="K29" s="8" t="s">
        <v>22</v>
      </c>
      <c r="L29" s="8" t="s">
        <v>455</v>
      </c>
      <c r="N29" s="8" t="s">
        <v>448</v>
      </c>
      <c r="O29" s="8" t="s">
        <v>448</v>
      </c>
      <c r="P29" s="8" t="s">
        <v>449</v>
      </c>
      <c r="Q29" s="18">
        <v>1</v>
      </c>
    </row>
    <row r="31" spans="1:17" x14ac:dyDescent="0.25">
      <c r="D31" s="7">
        <f>COUNTA(D3:D29)</f>
        <v>21</v>
      </c>
      <c r="G31" s="7">
        <f t="shared" ref="G31:Q31" si="2">SUBTOTAL(9,G3:G29)</f>
        <v>24205</v>
      </c>
      <c r="H31" s="7">
        <f t="shared" si="2"/>
        <v>735</v>
      </c>
      <c r="I31" s="7">
        <f t="shared" si="2"/>
        <v>23470</v>
      </c>
      <c r="J31" s="7">
        <f t="shared" si="2"/>
        <v>0</v>
      </c>
      <c r="K31" s="7">
        <f t="shared" si="2"/>
        <v>0</v>
      </c>
      <c r="L31" s="7">
        <f t="shared" si="2"/>
        <v>0</v>
      </c>
      <c r="M31" s="7">
        <f t="shared" si="2"/>
        <v>0</v>
      </c>
      <c r="N31" s="7">
        <f t="shared" si="2"/>
        <v>0</v>
      </c>
      <c r="O31" s="7">
        <f t="shared" si="2"/>
        <v>0</v>
      </c>
      <c r="P31" s="7">
        <f t="shared" si="2"/>
        <v>0</v>
      </c>
      <c r="Q31" s="7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7" t="s">
        <v>16</v>
      </c>
      <c r="C33" s="6" t="s">
        <v>89</v>
      </c>
      <c r="D33" s="6"/>
      <c r="E33" s="10" t="s">
        <v>90</v>
      </c>
      <c r="H33">
        <f>-2*25</f>
        <v>-50</v>
      </c>
      <c r="K33" s="13" t="s">
        <v>22</v>
      </c>
      <c r="L33" s="13" t="s">
        <v>91</v>
      </c>
      <c r="M33" s="13" t="s">
        <v>90</v>
      </c>
      <c r="O33" s="10" t="s">
        <v>92</v>
      </c>
    </row>
    <row r="34" spans="1:16" x14ac:dyDescent="0.25">
      <c r="A34" t="s">
        <v>598</v>
      </c>
      <c r="B34" s="9" t="s">
        <v>93</v>
      </c>
      <c r="C34" s="1">
        <f>SUMIFS(I$3:I$29,B$3:B$29,A$33,L$3:L$29,A$34)+I32</f>
        <v>24145</v>
      </c>
      <c r="D34" s="5"/>
      <c r="E34" s="9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22</v>
      </c>
      <c r="P34">
        <f>L41</f>
        <v>8612</v>
      </c>
    </row>
    <row r="35" spans="1:16" x14ac:dyDescent="0.25">
      <c r="B35" s="8" t="s">
        <v>97</v>
      </c>
      <c r="C35" s="4">
        <v>0</v>
      </c>
      <c r="D35" s="4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8" t="s">
        <v>99</v>
      </c>
      <c r="C36" s="4">
        <f>-SUMIFS(I$3:I$29,B$3:B$29,A$33,P$3:P$29,"xx",N$3:N$29,"x")</f>
        <v>-1715</v>
      </c>
      <c r="D36" s="4"/>
      <c r="E36" s="8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10" t="s">
        <v>101</v>
      </c>
      <c r="C37" s="6">
        <f>SUBTOTAL(9,C34:C36)</f>
        <v>22430</v>
      </c>
      <c r="D37" s="6"/>
      <c r="E37">
        <f>E34</f>
        <v>25</v>
      </c>
      <c r="K37" s="8" t="s">
        <v>102</v>
      </c>
      <c r="O37" t="s">
        <v>103</v>
      </c>
      <c r="P37">
        <f>-C42</f>
        <v>-22360</v>
      </c>
    </row>
    <row r="38" spans="1:16" x14ac:dyDescent="0.25">
      <c r="B38" s="8" t="s">
        <v>104</v>
      </c>
      <c r="C38" s="3">
        <v>-70</v>
      </c>
      <c r="D38" s="3"/>
      <c r="K38" s="8" t="s">
        <v>105</v>
      </c>
      <c r="L38" s="8">
        <v>-1020</v>
      </c>
      <c r="O38" s="10" t="s">
        <v>106</v>
      </c>
      <c r="P38" s="10">
        <f>SUBTOTAL(9,P34:P37)</f>
        <v>-2170</v>
      </c>
    </row>
    <row r="39" spans="1:16" x14ac:dyDescent="0.25">
      <c r="B39" s="14" t="s">
        <v>107</v>
      </c>
      <c r="C39" s="3"/>
      <c r="D39" s="3"/>
      <c r="K39" s="16" t="s">
        <v>664</v>
      </c>
      <c r="L39" s="16">
        <v>2</v>
      </c>
    </row>
    <row r="40" spans="1:16" x14ac:dyDescent="0.25">
      <c r="K40" s="22" t="s">
        <v>662</v>
      </c>
      <c r="L40" s="16">
        <v>20</v>
      </c>
    </row>
    <row r="41" spans="1:16" x14ac:dyDescent="0.25">
      <c r="L41" s="15">
        <f>SUBTOTAL(9,L34:L40)</f>
        <v>8612</v>
      </c>
      <c r="M41" s="15">
        <f>M36</f>
        <v>25</v>
      </c>
    </row>
    <row r="42" spans="1:16" x14ac:dyDescent="0.25">
      <c r="B42" s="7" t="s">
        <v>108</v>
      </c>
      <c r="C42" s="2">
        <f>C37+C38+C39</f>
        <v>22360</v>
      </c>
      <c r="D42" s="2"/>
      <c r="E42" s="7" t="s">
        <v>109</v>
      </c>
      <c r="K42" s="13" t="s">
        <v>165</v>
      </c>
      <c r="L42" s="13" t="s">
        <v>91</v>
      </c>
      <c r="M42" s="13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8" t="s">
        <v>102</v>
      </c>
    </row>
    <row r="47" spans="1:16" x14ac:dyDescent="0.25">
      <c r="K47" s="8" t="s">
        <v>105</v>
      </c>
    </row>
    <row r="48" spans="1:16" x14ac:dyDescent="0.25">
      <c r="L48" s="15">
        <f>SUBTOTAL(9,L43:L47)</f>
        <v>3880</v>
      </c>
      <c r="M48" s="15">
        <f>M43</f>
        <v>6</v>
      </c>
    </row>
    <row r="50" spans="11:13" x14ac:dyDescent="0.25">
      <c r="K50" s="13" t="s">
        <v>597</v>
      </c>
      <c r="L50" s="13" t="s">
        <v>91</v>
      </c>
      <c r="M50" s="13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8" t="s">
        <v>102</v>
      </c>
    </row>
    <row r="55" spans="11:13" x14ac:dyDescent="0.25">
      <c r="K55" s="8" t="s">
        <v>105</v>
      </c>
      <c r="L55" s="8">
        <v>-695</v>
      </c>
    </row>
    <row r="56" spans="11:13" x14ac:dyDescent="0.25">
      <c r="L56" s="15">
        <f>SUBTOTAL(9,L51:L55)</f>
        <v>7698</v>
      </c>
      <c r="M56" s="15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workbookViewId="0">
      <selection activeCell="A4" sqref="A4 A4:XFD4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324</v>
      </c>
    </row>
    <row r="3" spans="1:17" x14ac:dyDescent="0.25">
      <c r="A3" s="24"/>
      <c r="B3" s="24" t="s">
        <v>16</v>
      </c>
      <c r="C3" s="24" t="s">
        <v>665</v>
      </c>
      <c r="D3" s="24" t="s">
        <v>666</v>
      </c>
      <c r="E3" s="24" t="s">
        <v>667</v>
      </c>
      <c r="F3" s="25">
        <v>9</v>
      </c>
      <c r="G3" s="25">
        <v>35</v>
      </c>
      <c r="H3" s="25">
        <v>35</v>
      </c>
      <c r="I3" s="25">
        <f t="shared" ref="I3:I8" si="0">G3-H3</f>
        <v>0</v>
      </c>
      <c r="J3" s="24" t="s">
        <v>40</v>
      </c>
      <c r="K3" s="24" t="s">
        <v>22</v>
      </c>
      <c r="L3" s="24" t="s">
        <v>668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179</v>
      </c>
      <c r="D4" s="24" t="s">
        <v>669</v>
      </c>
      <c r="E4" s="24" t="s">
        <v>181</v>
      </c>
      <c r="F4" s="25">
        <v>9</v>
      </c>
      <c r="G4" s="25">
        <v>30</v>
      </c>
      <c r="H4" s="25">
        <v>30</v>
      </c>
      <c r="I4" s="25">
        <f t="shared" si="0"/>
        <v>0</v>
      </c>
      <c r="J4" s="24" t="s">
        <v>40</v>
      </c>
      <c r="K4" s="24" t="s">
        <v>22</v>
      </c>
      <c r="L4" s="24" t="s">
        <v>668</v>
      </c>
      <c r="M4" s="24" t="s">
        <v>66</v>
      </c>
      <c r="N4" s="24"/>
      <c r="O4" s="24"/>
      <c r="P4" s="24"/>
      <c r="Q4" s="24">
        <v>1</v>
      </c>
    </row>
    <row r="5" spans="1:17" x14ac:dyDescent="0.25">
      <c r="A5" s="24" t="s">
        <v>83</v>
      </c>
      <c r="B5" s="24" t="s">
        <v>16</v>
      </c>
      <c r="C5" s="24" t="s">
        <v>670</v>
      </c>
      <c r="D5" s="24"/>
      <c r="E5" s="24" t="s">
        <v>671</v>
      </c>
      <c r="F5" s="24" t="s">
        <v>259</v>
      </c>
      <c r="G5" s="25">
        <v>3660</v>
      </c>
      <c r="H5" s="25">
        <v>40</v>
      </c>
      <c r="I5" s="25">
        <f t="shared" si="0"/>
        <v>3620</v>
      </c>
      <c r="J5" s="24" t="s">
        <v>672</v>
      </c>
      <c r="K5" s="24" t="s">
        <v>22</v>
      </c>
      <c r="L5" s="24" t="s">
        <v>668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673</v>
      </c>
      <c r="D6" s="24" t="s">
        <v>674</v>
      </c>
      <c r="E6" s="24" t="s">
        <v>675</v>
      </c>
      <c r="F6" s="24" t="s">
        <v>113</v>
      </c>
      <c r="G6" s="25">
        <v>475</v>
      </c>
      <c r="H6" s="25">
        <v>35</v>
      </c>
      <c r="I6" s="25">
        <f t="shared" si="0"/>
        <v>440</v>
      </c>
      <c r="J6" s="24" t="s">
        <v>672</v>
      </c>
      <c r="K6" s="24" t="s">
        <v>22</v>
      </c>
      <c r="L6" s="24" t="s">
        <v>668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676</v>
      </c>
      <c r="D7" s="24" t="s">
        <v>677</v>
      </c>
      <c r="E7" s="24" t="s">
        <v>678</v>
      </c>
      <c r="F7" s="25">
        <v>6</v>
      </c>
      <c r="G7" s="25">
        <v>855</v>
      </c>
      <c r="H7" s="25">
        <v>25</v>
      </c>
      <c r="I7" s="25">
        <f t="shared" si="0"/>
        <v>830</v>
      </c>
      <c r="J7" s="24" t="s">
        <v>672</v>
      </c>
      <c r="K7" s="24" t="s">
        <v>22</v>
      </c>
      <c r="L7" s="24" t="s">
        <v>668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679</v>
      </c>
      <c r="D8" s="24" t="s">
        <v>680</v>
      </c>
      <c r="E8" s="24" t="s">
        <v>681</v>
      </c>
      <c r="F8" s="25">
        <v>7</v>
      </c>
      <c r="G8" s="25">
        <v>730</v>
      </c>
      <c r="H8" s="25">
        <v>30</v>
      </c>
      <c r="I8" s="25">
        <f t="shared" si="0"/>
        <v>700</v>
      </c>
      <c r="J8" s="24" t="s">
        <v>672</v>
      </c>
      <c r="K8" s="24" t="s">
        <v>22</v>
      </c>
      <c r="L8" s="24" t="s">
        <v>668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196</v>
      </c>
      <c r="D9" s="24" t="s">
        <v>682</v>
      </c>
      <c r="E9" s="24" t="s">
        <v>683</v>
      </c>
      <c r="F9" s="24" t="s">
        <v>44</v>
      </c>
      <c r="G9" s="25">
        <v>0</v>
      </c>
      <c r="H9" s="25">
        <v>25</v>
      </c>
      <c r="I9" s="25">
        <f>-H9</f>
        <v>-25</v>
      </c>
      <c r="J9" s="24" t="s">
        <v>672</v>
      </c>
      <c r="K9" s="24" t="s">
        <v>22</v>
      </c>
      <c r="L9" s="24" t="s">
        <v>668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684</v>
      </c>
      <c r="D10" s="24" t="s">
        <v>685</v>
      </c>
      <c r="E10" s="24" t="s">
        <v>686</v>
      </c>
      <c r="F10" s="25">
        <v>8</v>
      </c>
      <c r="G10" s="25">
        <v>470</v>
      </c>
      <c r="H10" s="25">
        <v>30</v>
      </c>
      <c r="I10" s="25">
        <f>G10-H10</f>
        <v>440</v>
      </c>
      <c r="J10" s="24" t="s">
        <v>672</v>
      </c>
      <c r="K10" s="24" t="s">
        <v>22</v>
      </c>
      <c r="L10" s="24" t="s">
        <v>668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687</v>
      </c>
      <c r="D11" s="24" t="s">
        <v>688</v>
      </c>
      <c r="E11" s="24" t="s">
        <v>689</v>
      </c>
      <c r="F11" s="24" t="s">
        <v>20</v>
      </c>
      <c r="G11" s="25">
        <v>1170</v>
      </c>
      <c r="H11" s="25">
        <v>30</v>
      </c>
      <c r="I11" s="25">
        <f>G11-H11</f>
        <v>1140</v>
      </c>
      <c r="J11" s="24" t="s">
        <v>672</v>
      </c>
      <c r="K11" s="24" t="s">
        <v>22</v>
      </c>
      <c r="L11" s="24" t="s">
        <v>668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690</v>
      </c>
      <c r="D12" s="24" t="s">
        <v>691</v>
      </c>
      <c r="E12" s="24" t="s">
        <v>692</v>
      </c>
      <c r="F12" s="25">
        <v>7</v>
      </c>
      <c r="G12" s="25">
        <v>720</v>
      </c>
      <c r="H12" s="25">
        <v>30</v>
      </c>
      <c r="I12" s="25">
        <f>G12-H12</f>
        <v>690</v>
      </c>
      <c r="J12" s="24" t="s">
        <v>672</v>
      </c>
      <c r="K12" s="24" t="s">
        <v>22</v>
      </c>
      <c r="L12" s="24" t="s">
        <v>668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233</v>
      </c>
      <c r="D13" s="24" t="s">
        <v>693</v>
      </c>
      <c r="E13" s="24" t="s">
        <v>694</v>
      </c>
      <c r="F13" s="24" t="s">
        <v>259</v>
      </c>
      <c r="G13" s="25">
        <v>785</v>
      </c>
      <c r="H13" s="25">
        <v>35</v>
      </c>
      <c r="I13" s="25">
        <f>G13-H13</f>
        <v>750</v>
      </c>
      <c r="J13" s="24" t="s">
        <v>672</v>
      </c>
      <c r="K13" s="24" t="s">
        <v>22</v>
      </c>
      <c r="L13" s="24" t="s">
        <v>668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695</v>
      </c>
      <c r="D14" s="24" t="s">
        <v>696</v>
      </c>
      <c r="E14" s="24" t="s">
        <v>697</v>
      </c>
      <c r="F14" s="25">
        <v>11</v>
      </c>
      <c r="G14" s="25">
        <v>0</v>
      </c>
      <c r="H14" s="25">
        <v>25</v>
      </c>
      <c r="I14" s="25">
        <f>-H14</f>
        <v>-25</v>
      </c>
      <c r="J14" s="24" t="s">
        <v>672</v>
      </c>
      <c r="K14" s="24" t="s">
        <v>22</v>
      </c>
      <c r="L14" s="24" t="s">
        <v>668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698</v>
      </c>
      <c r="D15" s="24" t="s">
        <v>699</v>
      </c>
      <c r="E15" s="24" t="s">
        <v>700</v>
      </c>
      <c r="F15" s="25">
        <v>7</v>
      </c>
      <c r="G15" s="25">
        <v>380</v>
      </c>
      <c r="H15" s="25">
        <v>30</v>
      </c>
      <c r="I15" s="25">
        <f t="shared" ref="I15:I20" si="1">G15-H15</f>
        <v>350</v>
      </c>
      <c r="J15" s="24" t="s">
        <v>672</v>
      </c>
      <c r="K15" s="24" t="s">
        <v>22</v>
      </c>
      <c r="L15" s="24" t="s">
        <v>668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701</v>
      </c>
      <c r="D16" s="24" t="s">
        <v>702</v>
      </c>
      <c r="E16" s="24" t="s">
        <v>703</v>
      </c>
      <c r="F16" s="24" t="s">
        <v>217</v>
      </c>
      <c r="G16" s="25">
        <v>725</v>
      </c>
      <c r="H16" s="25">
        <v>25</v>
      </c>
      <c r="I16" s="25">
        <f t="shared" si="1"/>
        <v>700</v>
      </c>
      <c r="J16" s="24" t="s">
        <v>672</v>
      </c>
      <c r="K16" s="24" t="s">
        <v>22</v>
      </c>
      <c r="L16" s="24" t="s">
        <v>668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704</v>
      </c>
      <c r="D17" s="24" t="s">
        <v>705</v>
      </c>
      <c r="E17" s="24" t="s">
        <v>706</v>
      </c>
      <c r="F17" s="25">
        <v>7</v>
      </c>
      <c r="G17" s="25">
        <v>470</v>
      </c>
      <c r="H17" s="25">
        <v>30</v>
      </c>
      <c r="I17" s="25">
        <f t="shared" si="1"/>
        <v>440</v>
      </c>
      <c r="J17" s="24" t="s">
        <v>672</v>
      </c>
      <c r="K17" s="24" t="s">
        <v>22</v>
      </c>
      <c r="L17" s="24" t="s">
        <v>668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707</v>
      </c>
      <c r="D18" s="24" t="s">
        <v>708</v>
      </c>
      <c r="E18" s="24" t="s">
        <v>709</v>
      </c>
      <c r="F18" s="25">
        <v>6</v>
      </c>
      <c r="G18" s="25">
        <v>375</v>
      </c>
      <c r="H18" s="25">
        <v>25</v>
      </c>
      <c r="I18" s="25">
        <f t="shared" si="1"/>
        <v>350</v>
      </c>
      <c r="J18" s="24" t="s">
        <v>672</v>
      </c>
      <c r="K18" s="24" t="s">
        <v>22</v>
      </c>
      <c r="L18" s="24" t="s">
        <v>668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524</v>
      </c>
      <c r="D19" s="24" t="s">
        <v>710</v>
      </c>
      <c r="E19" s="24" t="s">
        <v>526</v>
      </c>
      <c r="F19" s="24" t="s">
        <v>20</v>
      </c>
      <c r="G19" s="25">
        <v>2010</v>
      </c>
      <c r="H19" s="25">
        <v>30</v>
      </c>
      <c r="I19" s="25">
        <f t="shared" si="1"/>
        <v>1980</v>
      </c>
      <c r="J19" s="24" t="s">
        <v>672</v>
      </c>
      <c r="K19" s="24" t="s">
        <v>22</v>
      </c>
      <c r="L19" s="24" t="s">
        <v>668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711</v>
      </c>
      <c r="D20" s="24" t="s">
        <v>712</v>
      </c>
      <c r="E20" s="24" t="s">
        <v>713</v>
      </c>
      <c r="F20" s="25">
        <v>12</v>
      </c>
      <c r="G20" s="25">
        <v>380</v>
      </c>
      <c r="H20" s="25">
        <v>30</v>
      </c>
      <c r="I20" s="25">
        <f t="shared" si="1"/>
        <v>350</v>
      </c>
      <c r="J20" s="24" t="s">
        <v>672</v>
      </c>
      <c r="K20" s="24" t="s">
        <v>22</v>
      </c>
      <c r="L20" s="24" t="s">
        <v>668</v>
      </c>
      <c r="M20" s="24"/>
      <c r="N20" s="24"/>
      <c r="O20" s="24"/>
      <c r="P20" s="24"/>
      <c r="Q20" s="24">
        <v>1</v>
      </c>
    </row>
    <row r="21" spans="1:17" x14ac:dyDescent="0.25">
      <c r="A21" s="24" t="s">
        <v>83</v>
      </c>
      <c r="B21" s="24" t="s">
        <v>16</v>
      </c>
      <c r="C21" s="24" t="s">
        <v>714</v>
      </c>
      <c r="D21" s="24"/>
      <c r="E21" s="24" t="s">
        <v>715</v>
      </c>
      <c r="F21" s="24" t="s">
        <v>153</v>
      </c>
      <c r="G21" s="25">
        <v>0</v>
      </c>
      <c r="H21" s="25">
        <v>35</v>
      </c>
      <c r="I21" s="25">
        <f>-H21</f>
        <v>-35</v>
      </c>
      <c r="J21" s="24" t="s">
        <v>22</v>
      </c>
      <c r="K21" s="24" t="s">
        <v>22</v>
      </c>
      <c r="L21" s="24" t="s">
        <v>668</v>
      </c>
      <c r="M21" s="24"/>
      <c r="N21" s="24"/>
      <c r="O21" s="24"/>
      <c r="P21" s="24"/>
      <c r="Q21" s="24">
        <v>1</v>
      </c>
    </row>
    <row r="22" spans="1:17" x14ac:dyDescent="0.25">
      <c r="A22" s="24" t="s">
        <v>83</v>
      </c>
      <c r="B22" s="24" t="s">
        <v>16</v>
      </c>
      <c r="C22" s="24" t="s">
        <v>318</v>
      </c>
      <c r="D22" s="24"/>
      <c r="E22" s="24" t="s">
        <v>319</v>
      </c>
      <c r="F22" s="24" t="s">
        <v>44</v>
      </c>
      <c r="G22" s="25">
        <v>30</v>
      </c>
      <c r="H22" s="25">
        <v>30</v>
      </c>
      <c r="I22" s="25">
        <f>G22-H22</f>
        <v>0</v>
      </c>
      <c r="J22" s="24" t="s">
        <v>22</v>
      </c>
      <c r="K22" s="24" t="s">
        <v>22</v>
      </c>
      <c r="L22" s="24" t="s">
        <v>668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716</v>
      </c>
      <c r="D23" s="24" t="s">
        <v>717</v>
      </c>
      <c r="E23" s="24" t="s">
        <v>718</v>
      </c>
      <c r="F23" s="25">
        <v>2</v>
      </c>
      <c r="G23" s="25">
        <v>920</v>
      </c>
      <c r="H23" s="25">
        <v>30</v>
      </c>
      <c r="I23" s="25">
        <f>G23-H23</f>
        <v>890</v>
      </c>
      <c r="J23" s="24" t="s">
        <v>22</v>
      </c>
      <c r="K23" s="24" t="s">
        <v>22</v>
      </c>
      <c r="L23" s="24" t="s">
        <v>668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136</v>
      </c>
      <c r="D24" s="24" t="s">
        <v>719</v>
      </c>
      <c r="E24" s="24" t="s">
        <v>138</v>
      </c>
      <c r="F24" s="24" t="s">
        <v>36</v>
      </c>
      <c r="G24" s="25">
        <v>0</v>
      </c>
      <c r="H24" s="25">
        <v>20</v>
      </c>
      <c r="I24" s="25">
        <f>-H24</f>
        <v>-20</v>
      </c>
      <c r="J24" s="24" t="s">
        <v>22</v>
      </c>
      <c r="K24" s="24" t="s">
        <v>22</v>
      </c>
      <c r="L24" s="24" t="s">
        <v>668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720</v>
      </c>
      <c r="D25" s="24" t="s">
        <v>721</v>
      </c>
      <c r="E25" s="24" t="s">
        <v>722</v>
      </c>
      <c r="F25" s="25">
        <v>2</v>
      </c>
      <c r="G25" s="25">
        <v>0</v>
      </c>
      <c r="H25" s="25">
        <v>30</v>
      </c>
      <c r="I25" s="25">
        <f>-H25</f>
        <v>-30</v>
      </c>
      <c r="J25" s="24" t="s">
        <v>22</v>
      </c>
      <c r="K25" s="24" t="s">
        <v>22</v>
      </c>
      <c r="L25" s="24" t="s">
        <v>668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723</v>
      </c>
      <c r="D26" s="24" t="s">
        <v>724</v>
      </c>
      <c r="E26" s="24" t="s">
        <v>725</v>
      </c>
      <c r="F26" s="25">
        <v>2</v>
      </c>
      <c r="G26" s="25">
        <v>1120</v>
      </c>
      <c r="H26" s="25">
        <v>30</v>
      </c>
      <c r="I26" s="25">
        <f>G26-H26</f>
        <v>1090</v>
      </c>
      <c r="J26" s="24" t="s">
        <v>22</v>
      </c>
      <c r="K26" s="24" t="s">
        <v>22</v>
      </c>
      <c r="L26" s="24" t="s">
        <v>668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726</v>
      </c>
      <c r="D27" s="24" t="s">
        <v>727</v>
      </c>
      <c r="E27" s="24" t="s">
        <v>728</v>
      </c>
      <c r="F27" s="24" t="s">
        <v>36</v>
      </c>
      <c r="G27" s="25">
        <v>460</v>
      </c>
      <c r="H27" s="25">
        <v>20</v>
      </c>
      <c r="I27" s="25">
        <f>G27-H27</f>
        <v>440</v>
      </c>
      <c r="J27" s="24" t="s">
        <v>22</v>
      </c>
      <c r="K27" s="24" t="s">
        <v>22</v>
      </c>
      <c r="L27" s="24" t="s">
        <v>668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729</v>
      </c>
      <c r="D28" s="24" t="s">
        <v>730</v>
      </c>
      <c r="E28" s="24" t="s">
        <v>731</v>
      </c>
      <c r="F28" s="25">
        <v>2</v>
      </c>
      <c r="G28" s="25">
        <v>0</v>
      </c>
      <c r="H28" s="25">
        <v>30</v>
      </c>
      <c r="I28" s="25">
        <f>-H28</f>
        <v>-30</v>
      </c>
      <c r="J28" s="24" t="s">
        <v>22</v>
      </c>
      <c r="K28" s="24" t="s">
        <v>22</v>
      </c>
      <c r="L28" s="24" t="s">
        <v>668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732</v>
      </c>
      <c r="D29" s="24" t="s">
        <v>733</v>
      </c>
      <c r="E29" s="24" t="s">
        <v>734</v>
      </c>
      <c r="F29" s="24" t="s">
        <v>44</v>
      </c>
      <c r="G29" s="25">
        <v>1115</v>
      </c>
      <c r="H29" s="25">
        <v>25</v>
      </c>
      <c r="I29" s="25">
        <f>G29-H29</f>
        <v>1090</v>
      </c>
      <c r="J29" s="24" t="s">
        <v>22</v>
      </c>
      <c r="K29" s="24" t="s">
        <v>22</v>
      </c>
      <c r="L29" s="24" t="s">
        <v>668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735</v>
      </c>
      <c r="D30" s="24" t="s">
        <v>736</v>
      </c>
      <c r="E30" s="24" t="s">
        <v>737</v>
      </c>
      <c r="F30" s="24" t="s">
        <v>153</v>
      </c>
      <c r="G30" s="25">
        <v>0</v>
      </c>
      <c r="H30" s="25">
        <v>30</v>
      </c>
      <c r="I30" s="25">
        <f>-H30</f>
        <v>-30</v>
      </c>
      <c r="J30" s="24" t="s">
        <v>22</v>
      </c>
      <c r="K30" s="24" t="s">
        <v>22</v>
      </c>
      <c r="L30" s="24" t="s">
        <v>668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738</v>
      </c>
      <c r="D31" s="24" t="s">
        <v>739</v>
      </c>
      <c r="E31" s="24" t="s">
        <v>740</v>
      </c>
      <c r="F31" s="24" t="s">
        <v>153</v>
      </c>
      <c r="G31" s="25">
        <v>820</v>
      </c>
      <c r="H31" s="25">
        <v>30</v>
      </c>
      <c r="I31" s="25">
        <f>G31-H31</f>
        <v>790</v>
      </c>
      <c r="J31" s="24" t="s">
        <v>22</v>
      </c>
      <c r="K31" s="24" t="s">
        <v>22</v>
      </c>
      <c r="L31" s="24" t="s">
        <v>668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741</v>
      </c>
      <c r="D32" s="24" t="s">
        <v>742</v>
      </c>
      <c r="E32" s="24" t="s">
        <v>743</v>
      </c>
      <c r="F32" s="25">
        <v>2</v>
      </c>
      <c r="G32" s="25">
        <v>740</v>
      </c>
      <c r="H32" s="25">
        <v>30</v>
      </c>
      <c r="I32" s="25">
        <f>G32-H32</f>
        <v>710</v>
      </c>
      <c r="J32" s="24" t="s">
        <v>22</v>
      </c>
      <c r="K32" s="24" t="s">
        <v>22</v>
      </c>
      <c r="L32" s="24" t="s">
        <v>668</v>
      </c>
      <c r="M32" s="24"/>
      <c r="N32" s="24"/>
      <c r="O32" s="24"/>
      <c r="P32" s="24"/>
      <c r="Q32" s="24">
        <v>1</v>
      </c>
    </row>
    <row r="33" spans="1:18" x14ac:dyDescent="0.25">
      <c r="A33" s="24"/>
      <c r="B33" s="24" t="s">
        <v>16</v>
      </c>
      <c r="C33" s="24" t="s">
        <v>744</v>
      </c>
      <c r="D33" s="24" t="s">
        <v>745</v>
      </c>
      <c r="E33" s="24" t="s">
        <v>746</v>
      </c>
      <c r="F33" s="24" t="s">
        <v>79</v>
      </c>
      <c r="G33" s="25">
        <v>370</v>
      </c>
      <c r="H33" s="25">
        <v>20</v>
      </c>
      <c r="I33" s="25">
        <f>G33-H33</f>
        <v>350</v>
      </c>
      <c r="J33" s="24" t="s">
        <v>165</v>
      </c>
      <c r="K33" s="24" t="s">
        <v>22</v>
      </c>
      <c r="L33" s="24" t="s">
        <v>668</v>
      </c>
      <c r="M33" s="24"/>
      <c r="N33" s="24"/>
      <c r="O33" s="24"/>
      <c r="P33" s="24"/>
      <c r="Q33" s="24">
        <v>1</v>
      </c>
    </row>
    <row r="34" spans="1:18" x14ac:dyDescent="0.25">
      <c r="A34" s="24"/>
      <c r="B34" s="24" t="s">
        <v>16</v>
      </c>
      <c r="C34" s="24" t="s">
        <v>429</v>
      </c>
      <c r="D34" s="24" t="s">
        <v>747</v>
      </c>
      <c r="E34" s="24" t="s">
        <v>431</v>
      </c>
      <c r="F34" s="25">
        <v>4</v>
      </c>
      <c r="G34" s="25">
        <v>935</v>
      </c>
      <c r="H34" s="25">
        <v>25</v>
      </c>
      <c r="I34" s="25">
        <f>G34-H34</f>
        <v>910</v>
      </c>
      <c r="J34" s="24" t="s">
        <v>165</v>
      </c>
      <c r="K34" s="24" t="s">
        <v>22</v>
      </c>
      <c r="L34" s="24" t="s">
        <v>668</v>
      </c>
      <c r="M34" s="24" t="s">
        <v>66</v>
      </c>
      <c r="N34" s="24"/>
      <c r="O34" s="24"/>
      <c r="P34" s="24"/>
      <c r="Q34" s="24">
        <v>1</v>
      </c>
    </row>
    <row r="35" spans="1:18" x14ac:dyDescent="0.25">
      <c r="A35" s="24"/>
      <c r="B35" s="24" t="s">
        <v>16</v>
      </c>
      <c r="C35" s="24" t="s">
        <v>748</v>
      </c>
      <c r="D35" s="24" t="s">
        <v>749</v>
      </c>
      <c r="E35" s="24" t="s">
        <v>750</v>
      </c>
      <c r="F35" s="24" t="s">
        <v>79</v>
      </c>
      <c r="G35" s="25">
        <v>0</v>
      </c>
      <c r="H35" s="25">
        <v>20</v>
      </c>
      <c r="I35" s="25">
        <f>-H35</f>
        <v>-20</v>
      </c>
      <c r="J35" s="24" t="s">
        <v>165</v>
      </c>
      <c r="K35" s="24" t="s">
        <v>22</v>
      </c>
      <c r="L35" s="24" t="s">
        <v>668</v>
      </c>
      <c r="M35" s="24"/>
      <c r="N35" s="24"/>
      <c r="O35" s="24"/>
      <c r="P35" s="24"/>
      <c r="Q35" s="24">
        <v>1</v>
      </c>
    </row>
    <row r="36" spans="1:18" x14ac:dyDescent="0.25">
      <c r="A36" s="24"/>
      <c r="B36" s="24" t="s">
        <v>16</v>
      </c>
      <c r="C36" s="24" t="s">
        <v>751</v>
      </c>
      <c r="D36" s="24" t="s">
        <v>752</v>
      </c>
      <c r="E36" s="24" t="s">
        <v>753</v>
      </c>
      <c r="F36" s="25">
        <v>1</v>
      </c>
      <c r="G36" s="25">
        <v>2010</v>
      </c>
      <c r="H36" s="25">
        <v>30</v>
      </c>
      <c r="I36" s="25">
        <f t="shared" ref="I36:I47" si="2">G36-H36</f>
        <v>1980</v>
      </c>
      <c r="J36" s="24" t="s">
        <v>165</v>
      </c>
      <c r="K36" s="24" t="s">
        <v>22</v>
      </c>
      <c r="L36" s="24" t="s">
        <v>668</v>
      </c>
      <c r="M36" s="24" t="s">
        <v>398</v>
      </c>
      <c r="N36" s="24"/>
      <c r="O36" s="24"/>
      <c r="P36" s="24"/>
      <c r="Q36" s="24">
        <v>1</v>
      </c>
    </row>
    <row r="37" spans="1:18" x14ac:dyDescent="0.25">
      <c r="A37" s="24"/>
      <c r="B37" s="24" t="s">
        <v>16</v>
      </c>
      <c r="C37" s="24" t="s">
        <v>754</v>
      </c>
      <c r="D37" s="24" t="s">
        <v>755</v>
      </c>
      <c r="E37" s="24" t="s">
        <v>756</v>
      </c>
      <c r="F37" s="24" t="s">
        <v>86</v>
      </c>
      <c r="G37" s="25">
        <v>725</v>
      </c>
      <c r="H37" s="25">
        <v>25</v>
      </c>
      <c r="I37" s="25">
        <f t="shared" si="2"/>
        <v>700</v>
      </c>
      <c r="J37" s="24" t="s">
        <v>165</v>
      </c>
      <c r="K37" s="24" t="s">
        <v>22</v>
      </c>
      <c r="L37" s="24" t="s">
        <v>668</v>
      </c>
      <c r="M37" s="24"/>
      <c r="N37" s="24"/>
      <c r="O37" s="24"/>
      <c r="P37" s="24"/>
      <c r="Q37" s="24">
        <v>1</v>
      </c>
    </row>
    <row r="38" spans="1:18" x14ac:dyDescent="0.25">
      <c r="A38" s="24"/>
      <c r="B38" s="24" t="s">
        <v>16</v>
      </c>
      <c r="C38" s="24" t="s">
        <v>757</v>
      </c>
      <c r="D38" s="24" t="s">
        <v>758</v>
      </c>
      <c r="E38" s="24" t="s">
        <v>759</v>
      </c>
      <c r="F38" s="25">
        <v>1</v>
      </c>
      <c r="G38" s="25">
        <v>465</v>
      </c>
      <c r="H38" s="25">
        <v>25</v>
      </c>
      <c r="I38" s="25">
        <f t="shared" si="2"/>
        <v>440</v>
      </c>
      <c r="J38" s="24" t="s">
        <v>165</v>
      </c>
      <c r="K38" s="24" t="s">
        <v>22</v>
      </c>
      <c r="L38" s="24" t="s">
        <v>668</v>
      </c>
      <c r="M38" s="24"/>
      <c r="N38" s="24"/>
      <c r="O38" s="24"/>
      <c r="P38" s="24"/>
      <c r="Q38" s="24">
        <v>1</v>
      </c>
    </row>
    <row r="39" spans="1:18" x14ac:dyDescent="0.25">
      <c r="A39" s="24"/>
      <c r="B39" s="24" t="s">
        <v>16</v>
      </c>
      <c r="C39" s="24" t="s">
        <v>269</v>
      </c>
      <c r="D39" s="24" t="s">
        <v>760</v>
      </c>
      <c r="E39" s="24" t="s">
        <v>271</v>
      </c>
      <c r="F39" s="24" t="s">
        <v>79</v>
      </c>
      <c r="G39" s="25">
        <v>810</v>
      </c>
      <c r="H39" s="25">
        <v>20</v>
      </c>
      <c r="I39" s="25">
        <f t="shared" si="2"/>
        <v>790</v>
      </c>
      <c r="J39" s="24" t="s">
        <v>165</v>
      </c>
      <c r="K39" s="24" t="s">
        <v>22</v>
      </c>
      <c r="L39" s="24" t="s">
        <v>668</v>
      </c>
      <c r="M39" s="24"/>
      <c r="N39" s="24"/>
      <c r="O39" s="24"/>
      <c r="P39" s="24"/>
      <c r="Q39" s="24">
        <v>1</v>
      </c>
    </row>
    <row r="40" spans="1:18" x14ac:dyDescent="0.25">
      <c r="A40" s="24"/>
      <c r="B40" s="24" t="s">
        <v>16</v>
      </c>
      <c r="C40" s="24" t="s">
        <v>761</v>
      </c>
      <c r="D40" s="24" t="s">
        <v>762</v>
      </c>
      <c r="E40" s="24" t="s">
        <v>763</v>
      </c>
      <c r="F40" s="25">
        <v>10</v>
      </c>
      <c r="G40" s="25">
        <v>0</v>
      </c>
      <c r="H40" s="25">
        <v>25</v>
      </c>
      <c r="I40" s="25">
        <f t="shared" si="2"/>
        <v>-25</v>
      </c>
      <c r="J40" s="24" t="s">
        <v>165</v>
      </c>
      <c r="K40" s="24" t="s">
        <v>22</v>
      </c>
      <c r="L40" s="24" t="s">
        <v>668</v>
      </c>
      <c r="M40" s="24" t="s">
        <v>764</v>
      </c>
      <c r="N40" s="24"/>
      <c r="O40" s="24"/>
      <c r="P40" s="24"/>
      <c r="Q40" s="24">
        <v>1</v>
      </c>
    </row>
    <row r="41" spans="1:18" x14ac:dyDescent="0.25">
      <c r="A41" s="24"/>
      <c r="B41" s="24" t="s">
        <v>16</v>
      </c>
      <c r="C41" s="24" t="s">
        <v>765</v>
      </c>
      <c r="D41" s="24" t="s">
        <v>766</v>
      </c>
      <c r="E41" s="24" t="s">
        <v>767</v>
      </c>
      <c r="F41" s="25">
        <v>1</v>
      </c>
      <c r="G41" s="25">
        <v>815</v>
      </c>
      <c r="H41" s="25">
        <v>25</v>
      </c>
      <c r="I41" s="25">
        <f t="shared" si="2"/>
        <v>790</v>
      </c>
      <c r="J41" s="24" t="s">
        <v>165</v>
      </c>
      <c r="K41" s="24" t="s">
        <v>22</v>
      </c>
      <c r="L41" s="24" t="s">
        <v>668</v>
      </c>
      <c r="M41" s="24"/>
      <c r="N41" s="24"/>
      <c r="O41" s="24"/>
      <c r="P41" s="24"/>
      <c r="Q41" s="24">
        <v>1</v>
      </c>
    </row>
    <row r="42" spans="1:18" x14ac:dyDescent="0.25">
      <c r="A42" s="24"/>
      <c r="B42" s="24" t="s">
        <v>16</v>
      </c>
      <c r="C42" s="24" t="s">
        <v>768</v>
      </c>
      <c r="D42" s="24" t="s">
        <v>769</v>
      </c>
      <c r="E42" s="24" t="s">
        <v>770</v>
      </c>
      <c r="F42" s="25">
        <v>1</v>
      </c>
      <c r="G42" s="25">
        <v>405</v>
      </c>
      <c r="H42" s="25">
        <v>25</v>
      </c>
      <c r="I42" s="25">
        <f t="shared" si="2"/>
        <v>380</v>
      </c>
      <c r="J42" s="24" t="s">
        <v>165</v>
      </c>
      <c r="K42" s="24" t="s">
        <v>22</v>
      </c>
      <c r="L42" s="24" t="s">
        <v>668</v>
      </c>
      <c r="M42" s="24"/>
      <c r="N42" s="24"/>
      <c r="O42" s="24"/>
      <c r="P42" s="24"/>
      <c r="Q42" s="24">
        <v>1</v>
      </c>
    </row>
    <row r="43" spans="1:18" x14ac:dyDescent="0.25">
      <c r="A43" s="24"/>
      <c r="B43" s="24" t="s">
        <v>16</v>
      </c>
      <c r="C43" s="24" t="s">
        <v>771</v>
      </c>
      <c r="D43" s="24" t="s">
        <v>772</v>
      </c>
      <c r="E43" s="24" t="s">
        <v>773</v>
      </c>
      <c r="F43" s="24" t="s">
        <v>79</v>
      </c>
      <c r="G43" s="25">
        <v>710</v>
      </c>
      <c r="H43" s="25">
        <v>20</v>
      </c>
      <c r="I43" s="25">
        <f t="shared" si="2"/>
        <v>690</v>
      </c>
      <c r="J43" s="24" t="s">
        <v>165</v>
      </c>
      <c r="K43" s="24" t="s">
        <v>22</v>
      </c>
      <c r="L43" s="24" t="s">
        <v>668</v>
      </c>
      <c r="M43" s="24"/>
      <c r="N43" s="24"/>
      <c r="O43" s="24"/>
      <c r="P43" s="24"/>
      <c r="Q43" s="24">
        <v>1</v>
      </c>
    </row>
    <row r="44" spans="1:18" s="8" customFormat="1" x14ac:dyDescent="0.25">
      <c r="A44" s="24"/>
      <c r="B44" s="24" t="s">
        <v>16</v>
      </c>
      <c r="C44" s="24" t="s">
        <v>774</v>
      </c>
      <c r="D44" s="24" t="s">
        <v>775</v>
      </c>
      <c r="E44" s="24" t="s">
        <v>776</v>
      </c>
      <c r="F44" s="25">
        <v>1</v>
      </c>
      <c r="G44" s="25">
        <v>465</v>
      </c>
      <c r="H44" s="25">
        <v>25</v>
      </c>
      <c r="I44" s="25">
        <f t="shared" si="2"/>
        <v>440</v>
      </c>
      <c r="J44" s="24" t="s">
        <v>165</v>
      </c>
      <c r="K44" s="24" t="s">
        <v>22</v>
      </c>
      <c r="L44" s="24" t="s">
        <v>668</v>
      </c>
      <c r="M44" s="24"/>
      <c r="N44" s="24"/>
      <c r="O44" s="24"/>
      <c r="P44" s="24"/>
      <c r="Q44" s="25">
        <v>1</v>
      </c>
    </row>
    <row r="45" spans="1:18" s="28" customFormat="1" x14ac:dyDescent="0.25">
      <c r="A45" s="29"/>
      <c r="B45" s="29" t="s">
        <v>16</v>
      </c>
      <c r="C45" s="29" t="s">
        <v>777</v>
      </c>
      <c r="D45" s="29" t="s">
        <v>778</v>
      </c>
      <c r="E45" s="29" t="s">
        <v>779</v>
      </c>
      <c r="F45" s="29" t="s">
        <v>780</v>
      </c>
      <c r="G45" s="30">
        <v>360</v>
      </c>
      <c r="H45" s="30">
        <v>0</v>
      </c>
      <c r="I45" s="30">
        <f t="shared" si="2"/>
        <v>360</v>
      </c>
      <c r="J45" s="29" t="s">
        <v>446</v>
      </c>
      <c r="K45" s="29" t="s">
        <v>22</v>
      </c>
      <c r="L45" s="29" t="s">
        <v>668</v>
      </c>
      <c r="M45" s="31" t="s">
        <v>781</v>
      </c>
      <c r="N45" s="29" t="s">
        <v>448</v>
      </c>
      <c r="O45" s="29"/>
      <c r="P45" s="29" t="s">
        <v>449</v>
      </c>
      <c r="Q45" s="30">
        <v>1</v>
      </c>
      <c r="R45" s="32"/>
    </row>
    <row r="46" spans="1:18" x14ac:dyDescent="0.25">
      <c r="A46" s="26"/>
      <c r="B46" s="26" t="s">
        <v>16</v>
      </c>
      <c r="C46" s="26" t="s">
        <v>782</v>
      </c>
      <c r="D46" s="26" t="s">
        <v>783</v>
      </c>
      <c r="E46" s="26" t="s">
        <v>784</v>
      </c>
      <c r="F46" s="27">
        <v>8</v>
      </c>
      <c r="G46" s="27">
        <v>0</v>
      </c>
      <c r="H46" s="27">
        <v>0</v>
      </c>
      <c r="I46" s="27">
        <f t="shared" si="2"/>
        <v>0</v>
      </c>
      <c r="J46" s="26" t="s">
        <v>446</v>
      </c>
      <c r="K46" s="26" t="s">
        <v>22</v>
      </c>
      <c r="L46" s="26" t="s">
        <v>447</v>
      </c>
      <c r="M46" s="26" t="s">
        <v>102</v>
      </c>
      <c r="N46" s="26" t="s">
        <v>448</v>
      </c>
      <c r="O46" s="26" t="s">
        <v>448</v>
      </c>
      <c r="P46" s="26" t="s">
        <v>449</v>
      </c>
      <c r="Q46" s="26">
        <v>1</v>
      </c>
    </row>
    <row r="47" spans="1:18" s="8" customFormat="1" x14ac:dyDescent="0.25">
      <c r="A47" s="26"/>
      <c r="B47" s="26" t="s">
        <v>16</v>
      </c>
      <c r="C47" s="26" t="s">
        <v>443</v>
      </c>
      <c r="D47" s="26" t="s">
        <v>444</v>
      </c>
      <c r="E47" s="26" t="s">
        <v>445</v>
      </c>
      <c r="F47" s="26" t="s">
        <v>79</v>
      </c>
      <c r="G47" s="27">
        <v>370</v>
      </c>
      <c r="H47" s="27">
        <v>20</v>
      </c>
      <c r="I47" s="27">
        <f t="shared" si="2"/>
        <v>350</v>
      </c>
      <c r="J47" s="26" t="s">
        <v>446</v>
      </c>
      <c r="K47" s="26" t="s">
        <v>22</v>
      </c>
      <c r="L47" s="26" t="s">
        <v>447</v>
      </c>
      <c r="M47" s="26" t="s">
        <v>102</v>
      </c>
      <c r="N47" s="26" t="s">
        <v>448</v>
      </c>
      <c r="O47" s="26" t="s">
        <v>448</v>
      </c>
      <c r="P47" s="26" t="s">
        <v>449</v>
      </c>
      <c r="Q47" s="27">
        <v>1</v>
      </c>
    </row>
    <row r="49" spans="1:17" x14ac:dyDescent="0.25">
      <c r="D49" s="7">
        <f>COUNTA(D3:D47)</f>
        <v>42</v>
      </c>
      <c r="G49" s="7">
        <f t="shared" ref="G49:Q49" si="3">SUBTOTAL(9,G3:G47)</f>
        <v>26915</v>
      </c>
      <c r="H49" s="7">
        <f t="shared" si="3"/>
        <v>1185</v>
      </c>
      <c r="I49" s="7">
        <f t="shared" si="3"/>
        <v>25730</v>
      </c>
      <c r="J49" s="7">
        <f t="shared" si="3"/>
        <v>0</v>
      </c>
      <c r="K49" s="7">
        <f t="shared" si="3"/>
        <v>0</v>
      </c>
      <c r="L49" s="7">
        <f t="shared" si="3"/>
        <v>0</v>
      </c>
      <c r="M49" s="7">
        <f t="shared" si="3"/>
        <v>0</v>
      </c>
      <c r="N49" s="7">
        <f t="shared" si="3"/>
        <v>0</v>
      </c>
      <c r="O49" s="7">
        <f t="shared" si="3"/>
        <v>0</v>
      </c>
      <c r="P49" s="7">
        <f t="shared" si="3"/>
        <v>0</v>
      </c>
      <c r="Q49" s="7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7" t="s">
        <v>16</v>
      </c>
      <c r="C51" s="6" t="s">
        <v>89</v>
      </c>
      <c r="D51" s="6"/>
      <c r="E51" s="10" t="s">
        <v>90</v>
      </c>
      <c r="H51">
        <f>-4*25</f>
        <v>-100</v>
      </c>
      <c r="K51" s="13" t="s">
        <v>22</v>
      </c>
      <c r="L51" s="13" t="s">
        <v>91</v>
      </c>
      <c r="M51" s="13" t="s">
        <v>90</v>
      </c>
      <c r="O51" s="10" t="s">
        <v>92</v>
      </c>
    </row>
    <row r="52" spans="1:17" x14ac:dyDescent="0.25">
      <c r="A52" t="s">
        <v>668</v>
      </c>
      <c r="B52" s="9" t="s">
        <v>93</v>
      </c>
      <c r="C52" s="5">
        <f>SUMIFS(I$3:I$47,B$3:B$47,A$51,L$3:L$47,A$52)</f>
        <v>25380</v>
      </c>
      <c r="D52" s="5"/>
      <c r="E52" s="9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22</v>
      </c>
      <c r="P52">
        <f>L57</f>
        <v>4847</v>
      </c>
    </row>
    <row r="53" spans="1:17" x14ac:dyDescent="0.25">
      <c r="B53" s="8" t="s">
        <v>97</v>
      </c>
      <c r="C53" s="4">
        <v>0</v>
      </c>
      <c r="D53" s="4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8" t="s">
        <v>99</v>
      </c>
      <c r="C54" s="4">
        <f>-SUMIFS(I$3:I$47,B$3:B$47,A$51,P$3:P$47,"xx",N$3:N$47,"x")</f>
        <v>-710</v>
      </c>
      <c r="D54" s="4"/>
      <c r="E54" s="8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10" t="s">
        <v>101</v>
      </c>
      <c r="C55" s="6">
        <f>SUBTOTAL(9,C52:C54)</f>
        <v>24670</v>
      </c>
      <c r="D55" s="6"/>
      <c r="E55">
        <f>E52</f>
        <v>43</v>
      </c>
      <c r="K55" s="8" t="s">
        <v>102</v>
      </c>
      <c r="O55" t="s">
        <v>40</v>
      </c>
      <c r="P55">
        <f>L81</f>
        <v>10</v>
      </c>
    </row>
    <row r="56" spans="1:17" x14ac:dyDescent="0.25">
      <c r="B56" s="8" t="s">
        <v>104</v>
      </c>
      <c r="C56" s="3"/>
      <c r="D56" s="3"/>
      <c r="K56" s="8" t="s">
        <v>105</v>
      </c>
      <c r="O56" t="s">
        <v>103</v>
      </c>
      <c r="P56">
        <f>-C59</f>
        <v>-24670</v>
      </c>
    </row>
    <row r="57" spans="1:17" x14ac:dyDescent="0.25">
      <c r="B57" s="14" t="s">
        <v>107</v>
      </c>
      <c r="C57" s="3"/>
      <c r="D57" s="3"/>
      <c r="L57" s="15">
        <f>SUBTOTAL(9,L52:L56)</f>
        <v>4847</v>
      </c>
      <c r="M57" s="15">
        <f>M52</f>
        <v>12</v>
      </c>
      <c r="O57" s="10" t="s">
        <v>106</v>
      </c>
      <c r="P57" s="10">
        <f>SUBTOTAL(9,P52:P56)</f>
        <v>145</v>
      </c>
    </row>
    <row r="59" spans="1:17" x14ac:dyDescent="0.25">
      <c r="B59" s="7" t="s">
        <v>108</v>
      </c>
      <c r="C59" s="2">
        <f>C55+C56+C57</f>
        <v>24670</v>
      </c>
      <c r="D59" s="2"/>
      <c r="E59" s="7" t="s">
        <v>109</v>
      </c>
      <c r="K59" s="13" t="s">
        <v>672</v>
      </c>
      <c r="L59" s="13" t="s">
        <v>91</v>
      </c>
      <c r="M59" s="13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8" t="s">
        <v>102</v>
      </c>
      <c r="L63" s="8">
        <v>-17</v>
      </c>
      <c r="M63" s="19" t="s">
        <v>451</v>
      </c>
    </row>
    <row r="64" spans="1:17" x14ac:dyDescent="0.25">
      <c r="K64" s="8" t="s">
        <v>105</v>
      </c>
    </row>
    <row r="65" spans="11:13" x14ac:dyDescent="0.25">
      <c r="L65" s="15">
        <f>SUBTOTAL(9,L60:L64)</f>
        <v>12828</v>
      </c>
      <c r="M65" s="15">
        <f>M60</f>
        <v>16</v>
      </c>
    </row>
    <row r="67" spans="11:13" x14ac:dyDescent="0.25">
      <c r="K67" s="13" t="s">
        <v>165</v>
      </c>
      <c r="L67" s="13" t="s">
        <v>91</v>
      </c>
      <c r="M67" s="13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8" t="s">
        <v>102</v>
      </c>
      <c r="L71" s="8">
        <v>-355</v>
      </c>
      <c r="M71" s="19" t="s">
        <v>451</v>
      </c>
    </row>
    <row r="72" spans="11:13" x14ac:dyDescent="0.25">
      <c r="K72" s="8" t="s">
        <v>105</v>
      </c>
    </row>
    <row r="73" spans="11:13" x14ac:dyDescent="0.25">
      <c r="L73" s="15">
        <f>SUBTOTAL(9,L68:L72)</f>
        <v>7130</v>
      </c>
      <c r="M73" s="15">
        <f>M68</f>
        <v>12</v>
      </c>
    </row>
    <row r="75" spans="11:13" x14ac:dyDescent="0.25">
      <c r="K75" s="13" t="s">
        <v>40</v>
      </c>
      <c r="L75" s="13" t="s">
        <v>91</v>
      </c>
      <c r="M75" s="13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8" t="s">
        <v>102</v>
      </c>
    </row>
    <row r="80" spans="11:13" x14ac:dyDescent="0.25">
      <c r="K80" s="8" t="s">
        <v>105</v>
      </c>
    </row>
    <row r="81" spans="12:13" x14ac:dyDescent="0.25">
      <c r="L81" s="15">
        <f>SUBTOTAL(9,L76:L80)</f>
        <v>10</v>
      </c>
      <c r="M81" s="15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13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4.5703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 t="s">
        <v>83</v>
      </c>
      <c r="B3" s="24" t="s">
        <v>16</v>
      </c>
      <c r="C3" s="24" t="s">
        <v>265</v>
      </c>
      <c r="D3" s="24"/>
      <c r="E3" s="24" t="s">
        <v>266</v>
      </c>
      <c r="F3" s="25">
        <v>6</v>
      </c>
      <c r="G3" s="25">
        <v>30</v>
      </c>
      <c r="H3" s="25">
        <v>30</v>
      </c>
      <c r="I3" s="25">
        <f>G3-H3</f>
        <v>0</v>
      </c>
      <c r="J3" s="24" t="s">
        <v>786</v>
      </c>
      <c r="K3" s="24" t="s">
        <v>22</v>
      </c>
      <c r="L3" s="24" t="s">
        <v>787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788</v>
      </c>
      <c r="D4" s="24" t="s">
        <v>789</v>
      </c>
      <c r="E4" s="24" t="s">
        <v>790</v>
      </c>
      <c r="F4" s="25">
        <v>8</v>
      </c>
      <c r="G4" s="25">
        <v>820</v>
      </c>
      <c r="H4" s="25">
        <v>30</v>
      </c>
      <c r="I4" s="25">
        <f>G4-H4</f>
        <v>790</v>
      </c>
      <c r="J4" s="24" t="s">
        <v>786</v>
      </c>
      <c r="K4" s="24" t="s">
        <v>22</v>
      </c>
      <c r="L4" s="24" t="s">
        <v>787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791</v>
      </c>
      <c r="D5" s="24" t="s">
        <v>792</v>
      </c>
      <c r="E5" s="24" t="s">
        <v>793</v>
      </c>
      <c r="F5" s="24" t="s">
        <v>217</v>
      </c>
      <c r="G5" s="25">
        <v>0</v>
      </c>
      <c r="H5" s="25">
        <v>25</v>
      </c>
      <c r="I5" s="25">
        <f>-H5</f>
        <v>-25</v>
      </c>
      <c r="J5" s="24" t="s">
        <v>786</v>
      </c>
      <c r="K5" s="24" t="s">
        <v>22</v>
      </c>
      <c r="L5" s="24" t="s">
        <v>787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794</v>
      </c>
      <c r="D6" s="24" t="s">
        <v>795</v>
      </c>
      <c r="E6" s="24" t="s">
        <v>610</v>
      </c>
      <c r="F6" s="25">
        <v>6</v>
      </c>
      <c r="G6" s="25">
        <v>465</v>
      </c>
      <c r="H6" s="25">
        <v>25</v>
      </c>
      <c r="I6" s="25">
        <f t="shared" ref="I6:I11" si="0">G6-H6</f>
        <v>440</v>
      </c>
      <c r="J6" s="24" t="s">
        <v>786</v>
      </c>
      <c r="K6" s="24" t="s">
        <v>22</v>
      </c>
      <c r="L6" s="24" t="s">
        <v>787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796</v>
      </c>
      <c r="D7" s="24" t="s">
        <v>797</v>
      </c>
      <c r="E7" s="24" t="s">
        <v>798</v>
      </c>
      <c r="F7" s="24" t="s">
        <v>217</v>
      </c>
      <c r="G7" s="25">
        <v>1260</v>
      </c>
      <c r="H7" s="25">
        <v>30</v>
      </c>
      <c r="I7" s="25">
        <f t="shared" si="0"/>
        <v>1230</v>
      </c>
      <c r="J7" s="24" t="s">
        <v>786</v>
      </c>
      <c r="K7" s="24" t="s">
        <v>22</v>
      </c>
      <c r="L7" s="24" t="s">
        <v>787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799</v>
      </c>
      <c r="D8" s="24" t="s">
        <v>800</v>
      </c>
      <c r="E8" s="24" t="s">
        <v>801</v>
      </c>
      <c r="F8" s="25">
        <v>6</v>
      </c>
      <c r="G8" s="25">
        <v>865</v>
      </c>
      <c r="H8" s="25">
        <v>25</v>
      </c>
      <c r="I8" s="25">
        <f t="shared" si="0"/>
        <v>840</v>
      </c>
      <c r="J8" s="24" t="s">
        <v>786</v>
      </c>
      <c r="K8" s="24" t="s">
        <v>22</v>
      </c>
      <c r="L8" s="24" t="s">
        <v>787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802</v>
      </c>
      <c r="D9" s="24" t="s">
        <v>803</v>
      </c>
      <c r="E9" s="24" t="s">
        <v>804</v>
      </c>
      <c r="F9" s="24" t="s">
        <v>20</v>
      </c>
      <c r="G9" s="25">
        <v>820</v>
      </c>
      <c r="H9" s="25">
        <v>30</v>
      </c>
      <c r="I9" s="25">
        <f t="shared" si="0"/>
        <v>790</v>
      </c>
      <c r="J9" s="24" t="s">
        <v>786</v>
      </c>
      <c r="K9" s="24" t="s">
        <v>22</v>
      </c>
      <c r="L9" s="24" t="s">
        <v>787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805</v>
      </c>
      <c r="D10" s="24" t="s">
        <v>806</v>
      </c>
      <c r="E10" s="24" t="s">
        <v>807</v>
      </c>
      <c r="F10" s="25">
        <v>7</v>
      </c>
      <c r="G10" s="25">
        <v>410</v>
      </c>
      <c r="H10" s="25">
        <v>30</v>
      </c>
      <c r="I10" s="25">
        <f t="shared" si="0"/>
        <v>380</v>
      </c>
      <c r="J10" s="24" t="s">
        <v>786</v>
      </c>
      <c r="K10" s="24" t="s">
        <v>22</v>
      </c>
      <c r="L10" s="24" t="s">
        <v>787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808</v>
      </c>
      <c r="D11" s="24" t="s">
        <v>809</v>
      </c>
      <c r="E11" s="24" t="s">
        <v>810</v>
      </c>
      <c r="F11" s="25">
        <v>12</v>
      </c>
      <c r="G11" s="25">
        <v>1640</v>
      </c>
      <c r="H11" s="25">
        <v>30</v>
      </c>
      <c r="I11" s="25">
        <f t="shared" si="0"/>
        <v>1610</v>
      </c>
      <c r="J11" s="24" t="s">
        <v>786</v>
      </c>
      <c r="K11" s="24" t="s">
        <v>22</v>
      </c>
      <c r="L11" s="24" t="s">
        <v>787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811</v>
      </c>
      <c r="D12" s="24" t="s">
        <v>812</v>
      </c>
      <c r="E12" s="24" t="s">
        <v>813</v>
      </c>
      <c r="F12" s="24" t="s">
        <v>86</v>
      </c>
      <c r="G12" s="25">
        <v>0</v>
      </c>
      <c r="H12" s="25">
        <v>25</v>
      </c>
      <c r="I12" s="25">
        <f>-H12</f>
        <v>-25</v>
      </c>
      <c r="J12" s="24" t="s">
        <v>786</v>
      </c>
      <c r="K12" s="24" t="s">
        <v>22</v>
      </c>
      <c r="L12" s="24" t="s">
        <v>787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814</v>
      </c>
      <c r="D13" s="24" t="s">
        <v>815</v>
      </c>
      <c r="E13" s="24" t="s">
        <v>816</v>
      </c>
      <c r="F13" s="25">
        <v>6</v>
      </c>
      <c r="G13" s="25">
        <v>1735</v>
      </c>
      <c r="H13" s="25">
        <v>25</v>
      </c>
      <c r="I13" s="25">
        <f>G13-H13</f>
        <v>1710</v>
      </c>
      <c r="J13" s="24" t="s">
        <v>786</v>
      </c>
      <c r="K13" s="24" t="s">
        <v>22</v>
      </c>
      <c r="L13" s="24" t="s">
        <v>787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817</v>
      </c>
      <c r="D14" s="24" t="s">
        <v>818</v>
      </c>
      <c r="E14" s="24" t="s">
        <v>819</v>
      </c>
      <c r="F14" s="24" t="s">
        <v>20</v>
      </c>
      <c r="G14" s="25">
        <v>470</v>
      </c>
      <c r="H14" s="25">
        <v>30</v>
      </c>
      <c r="I14" s="25">
        <f>G14-H14</f>
        <v>440</v>
      </c>
      <c r="J14" s="24" t="s">
        <v>786</v>
      </c>
      <c r="K14" s="24" t="s">
        <v>22</v>
      </c>
      <c r="L14" s="24" t="s">
        <v>787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820</v>
      </c>
      <c r="D15" s="24" t="s">
        <v>821</v>
      </c>
      <c r="E15" s="24" t="s">
        <v>822</v>
      </c>
      <c r="F15" s="24" t="s">
        <v>86</v>
      </c>
      <c r="G15" s="25">
        <v>0</v>
      </c>
      <c r="H15" s="25">
        <v>25</v>
      </c>
      <c r="I15" s="25">
        <f>-H15</f>
        <v>-25</v>
      </c>
      <c r="J15" s="24" t="s">
        <v>786</v>
      </c>
      <c r="K15" s="24" t="s">
        <v>22</v>
      </c>
      <c r="L15" s="24" t="s">
        <v>787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823</v>
      </c>
      <c r="D16" s="24" t="s">
        <v>824</v>
      </c>
      <c r="E16" s="24" t="s">
        <v>825</v>
      </c>
      <c r="F16" s="25">
        <v>7</v>
      </c>
      <c r="G16" s="25">
        <v>890</v>
      </c>
      <c r="H16" s="25">
        <v>30</v>
      </c>
      <c r="I16" s="25">
        <f>G16-H16</f>
        <v>860</v>
      </c>
      <c r="J16" s="24" t="s">
        <v>786</v>
      </c>
      <c r="K16" s="24" t="s">
        <v>22</v>
      </c>
      <c r="L16" s="24" t="s">
        <v>787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826</v>
      </c>
      <c r="D17" s="24" t="s">
        <v>827</v>
      </c>
      <c r="E17" s="24" t="s">
        <v>828</v>
      </c>
      <c r="F17" s="25">
        <v>7</v>
      </c>
      <c r="G17" s="25">
        <v>1120</v>
      </c>
      <c r="H17" s="25">
        <v>30</v>
      </c>
      <c r="I17" s="25">
        <f>G17-H17</f>
        <v>1090</v>
      </c>
      <c r="J17" s="24" t="s">
        <v>786</v>
      </c>
      <c r="K17" s="24" t="s">
        <v>22</v>
      </c>
      <c r="L17" s="24" t="s">
        <v>787</v>
      </c>
      <c r="M17" s="24"/>
      <c r="N17" s="24"/>
      <c r="O17" s="24"/>
      <c r="P17" s="24"/>
      <c r="Q17" s="24">
        <v>1</v>
      </c>
    </row>
    <row r="18" spans="1:17" x14ac:dyDescent="0.25">
      <c r="A18" s="24" t="s">
        <v>83</v>
      </c>
      <c r="B18" s="24" t="s">
        <v>16</v>
      </c>
      <c r="C18" s="24" t="s">
        <v>591</v>
      </c>
      <c r="D18" s="24"/>
      <c r="E18" s="24" t="s">
        <v>592</v>
      </c>
      <c r="F18" s="24" t="s">
        <v>153</v>
      </c>
      <c r="G18" s="25">
        <v>2135</v>
      </c>
      <c r="H18" s="25">
        <v>35</v>
      </c>
      <c r="I18" s="25">
        <f>G18-H18</f>
        <v>2100</v>
      </c>
      <c r="J18" s="24" t="s">
        <v>22</v>
      </c>
      <c r="K18" s="24" t="s">
        <v>22</v>
      </c>
      <c r="L18" s="24" t="s">
        <v>787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829</v>
      </c>
      <c r="D19" s="24" t="s">
        <v>830</v>
      </c>
      <c r="E19" s="24" t="s">
        <v>831</v>
      </c>
      <c r="F19" s="25">
        <v>2</v>
      </c>
      <c r="G19" s="25">
        <v>0</v>
      </c>
      <c r="H19" s="25">
        <v>30</v>
      </c>
      <c r="I19" s="25">
        <f>-H19</f>
        <v>-30</v>
      </c>
      <c r="J19" s="24" t="s">
        <v>22</v>
      </c>
      <c r="K19" s="24" t="s">
        <v>22</v>
      </c>
      <c r="L19" s="24" t="s">
        <v>787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832</v>
      </c>
      <c r="D20" s="24" t="s">
        <v>833</v>
      </c>
      <c r="E20" s="24" t="s">
        <v>834</v>
      </c>
      <c r="F20" s="24" t="s">
        <v>44</v>
      </c>
      <c r="G20" s="25">
        <v>815</v>
      </c>
      <c r="H20" s="25">
        <v>25</v>
      </c>
      <c r="I20" s="25">
        <f>G20-H20</f>
        <v>790</v>
      </c>
      <c r="J20" s="24" t="s">
        <v>22</v>
      </c>
      <c r="K20" s="24" t="s">
        <v>22</v>
      </c>
      <c r="L20" s="24" t="s">
        <v>787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835</v>
      </c>
      <c r="D21" s="24" t="s">
        <v>836</v>
      </c>
      <c r="E21" s="24" t="s">
        <v>837</v>
      </c>
      <c r="F21" s="24" t="s">
        <v>86</v>
      </c>
      <c r="G21" s="25">
        <v>0</v>
      </c>
      <c r="H21" s="25">
        <v>25</v>
      </c>
      <c r="I21" s="25">
        <f>-H21</f>
        <v>-25</v>
      </c>
      <c r="J21" s="24" t="s">
        <v>22</v>
      </c>
      <c r="K21" s="24" t="s">
        <v>22</v>
      </c>
      <c r="L21" s="24" t="s">
        <v>787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838</v>
      </c>
      <c r="D22" s="24" t="s">
        <v>839</v>
      </c>
      <c r="E22" s="24" t="s">
        <v>840</v>
      </c>
      <c r="F22" s="24" t="s">
        <v>153</v>
      </c>
      <c r="G22" s="25">
        <v>730</v>
      </c>
      <c r="H22" s="25">
        <v>30</v>
      </c>
      <c r="I22" s="25">
        <f>G22-H22</f>
        <v>700</v>
      </c>
      <c r="J22" s="24" t="s">
        <v>22</v>
      </c>
      <c r="K22" s="24" t="s">
        <v>22</v>
      </c>
      <c r="L22" s="24" t="s">
        <v>787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841</v>
      </c>
      <c r="D23" s="24" t="s">
        <v>842</v>
      </c>
      <c r="E23" s="24" t="s">
        <v>843</v>
      </c>
      <c r="F23" s="24" t="s">
        <v>44</v>
      </c>
      <c r="G23" s="25">
        <v>1345</v>
      </c>
      <c r="H23" s="25">
        <v>25</v>
      </c>
      <c r="I23" s="25">
        <f>G23-H23</f>
        <v>1320</v>
      </c>
      <c r="J23" s="24" t="s">
        <v>22</v>
      </c>
      <c r="K23" s="24" t="s">
        <v>22</v>
      </c>
      <c r="L23" s="24" t="s">
        <v>787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844</v>
      </c>
      <c r="D24" s="24" t="s">
        <v>845</v>
      </c>
      <c r="E24" s="24" t="s">
        <v>846</v>
      </c>
      <c r="F24" s="24" t="s">
        <v>86</v>
      </c>
      <c r="G24" s="25">
        <v>0</v>
      </c>
      <c r="H24" s="25">
        <v>25</v>
      </c>
      <c r="I24" s="25">
        <f>-H24</f>
        <v>-25</v>
      </c>
      <c r="J24" s="24" t="s">
        <v>22</v>
      </c>
      <c r="K24" s="24" t="s">
        <v>22</v>
      </c>
      <c r="L24" s="24" t="s">
        <v>787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847</v>
      </c>
      <c r="D25" s="24" t="s">
        <v>848</v>
      </c>
      <c r="E25" s="24" t="s">
        <v>849</v>
      </c>
      <c r="F25" s="24" t="s">
        <v>44</v>
      </c>
      <c r="G25" s="25">
        <v>0</v>
      </c>
      <c r="H25" s="25">
        <v>25</v>
      </c>
      <c r="I25" s="25">
        <f>-H25</f>
        <v>-25</v>
      </c>
      <c r="J25" s="24" t="s">
        <v>22</v>
      </c>
      <c r="K25" s="24" t="s">
        <v>22</v>
      </c>
      <c r="L25" s="24" t="s">
        <v>787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850</v>
      </c>
      <c r="D26" s="24" t="s">
        <v>851</v>
      </c>
      <c r="E26" s="24" t="s">
        <v>852</v>
      </c>
      <c r="F26" s="25">
        <v>2</v>
      </c>
      <c r="G26" s="25">
        <v>920</v>
      </c>
      <c r="H26" s="25">
        <v>30</v>
      </c>
      <c r="I26" s="25">
        <f>G26-H26</f>
        <v>890</v>
      </c>
      <c r="J26" s="24" t="s">
        <v>22</v>
      </c>
      <c r="K26" s="24" t="s">
        <v>22</v>
      </c>
      <c r="L26" s="24" t="s">
        <v>787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853</v>
      </c>
      <c r="D27" s="24" t="s">
        <v>854</v>
      </c>
      <c r="E27" s="24" t="s">
        <v>855</v>
      </c>
      <c r="F27" s="24" t="s">
        <v>36</v>
      </c>
      <c r="G27" s="25">
        <v>1110</v>
      </c>
      <c r="H27" s="25">
        <v>20</v>
      </c>
      <c r="I27" s="25">
        <f>G27-H27</f>
        <v>1090</v>
      </c>
      <c r="J27" s="24" t="s">
        <v>22</v>
      </c>
      <c r="K27" s="24" t="s">
        <v>22</v>
      </c>
      <c r="L27" s="24" t="s">
        <v>787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452</v>
      </c>
      <c r="D28" s="24" t="s">
        <v>856</v>
      </c>
      <c r="E28" s="24" t="s">
        <v>454</v>
      </c>
      <c r="F28" s="24" t="s">
        <v>86</v>
      </c>
      <c r="G28" s="25">
        <v>815</v>
      </c>
      <c r="H28" s="25">
        <v>25</v>
      </c>
      <c r="I28" s="25">
        <f>G28-H28</f>
        <v>790</v>
      </c>
      <c r="J28" s="24" t="s">
        <v>22</v>
      </c>
      <c r="K28" s="24" t="s">
        <v>22</v>
      </c>
      <c r="L28" s="24" t="s">
        <v>787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857</v>
      </c>
      <c r="D29" s="24" t="s">
        <v>858</v>
      </c>
      <c r="E29" s="24" t="s">
        <v>859</v>
      </c>
      <c r="F29" s="25">
        <v>3</v>
      </c>
      <c r="G29" s="25">
        <v>0</v>
      </c>
      <c r="H29" s="25">
        <v>25</v>
      </c>
      <c r="I29" s="25">
        <f>-H29</f>
        <v>-25</v>
      </c>
      <c r="J29" s="24" t="s">
        <v>165</v>
      </c>
      <c r="K29" s="24" t="s">
        <v>22</v>
      </c>
      <c r="L29" s="24" t="s">
        <v>787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860</v>
      </c>
      <c r="D30" s="24" t="s">
        <v>861</v>
      </c>
      <c r="E30" s="24" t="s">
        <v>862</v>
      </c>
      <c r="F30" s="25">
        <v>1</v>
      </c>
      <c r="G30" s="25">
        <v>845</v>
      </c>
      <c r="H30" s="25">
        <v>25</v>
      </c>
      <c r="I30" s="25">
        <f>G30-H30</f>
        <v>820</v>
      </c>
      <c r="J30" s="24" t="s">
        <v>165</v>
      </c>
      <c r="K30" s="24" t="s">
        <v>22</v>
      </c>
      <c r="L30" s="24" t="s">
        <v>787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863</v>
      </c>
      <c r="D31" s="24" t="s">
        <v>864</v>
      </c>
      <c r="E31" s="24" t="s">
        <v>865</v>
      </c>
      <c r="F31" s="25">
        <v>4</v>
      </c>
      <c r="G31" s="25">
        <v>715</v>
      </c>
      <c r="H31" s="25">
        <v>25</v>
      </c>
      <c r="I31" s="25">
        <f>G31-H31</f>
        <v>690</v>
      </c>
      <c r="J31" s="24" t="s">
        <v>165</v>
      </c>
      <c r="K31" s="24" t="s">
        <v>22</v>
      </c>
      <c r="L31" s="24" t="s">
        <v>787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866</v>
      </c>
      <c r="D32" s="24" t="s">
        <v>867</v>
      </c>
      <c r="E32" s="24" t="s">
        <v>868</v>
      </c>
      <c r="F32" s="25">
        <v>1</v>
      </c>
      <c r="G32" s="25">
        <v>715</v>
      </c>
      <c r="H32" s="25">
        <v>25</v>
      </c>
      <c r="I32" s="25">
        <f>G32-H32</f>
        <v>690</v>
      </c>
      <c r="J32" s="24" t="s">
        <v>165</v>
      </c>
      <c r="K32" s="24" t="s">
        <v>22</v>
      </c>
      <c r="L32" s="24" t="s">
        <v>787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869</v>
      </c>
      <c r="D33" s="24" t="s">
        <v>870</v>
      </c>
      <c r="E33" s="24" t="s">
        <v>871</v>
      </c>
      <c r="F33" s="25">
        <v>10</v>
      </c>
      <c r="G33" s="25">
        <v>0</v>
      </c>
      <c r="H33" s="25">
        <v>25</v>
      </c>
      <c r="I33" s="25">
        <f>-H33</f>
        <v>-25</v>
      </c>
      <c r="J33" s="24" t="s">
        <v>165</v>
      </c>
      <c r="K33" s="24" t="s">
        <v>22</v>
      </c>
      <c r="L33" s="24" t="s">
        <v>787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872</v>
      </c>
      <c r="D34" s="24" t="s">
        <v>873</v>
      </c>
      <c r="E34" s="24" t="s">
        <v>874</v>
      </c>
      <c r="F34" s="25">
        <v>10</v>
      </c>
      <c r="G34" s="25">
        <v>915</v>
      </c>
      <c r="H34" s="25">
        <v>25</v>
      </c>
      <c r="I34" s="25">
        <f>G34-H34</f>
        <v>890</v>
      </c>
      <c r="J34" s="24" t="s">
        <v>165</v>
      </c>
      <c r="K34" s="24" t="s">
        <v>22</v>
      </c>
      <c r="L34" s="24" t="s">
        <v>787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875</v>
      </c>
      <c r="D35" s="24" t="s">
        <v>876</v>
      </c>
      <c r="E35" s="24" t="s">
        <v>877</v>
      </c>
      <c r="F35" s="25">
        <v>10</v>
      </c>
      <c r="G35" s="25">
        <v>1705</v>
      </c>
      <c r="H35" s="25">
        <v>25</v>
      </c>
      <c r="I35" s="25">
        <f>G35-H35</f>
        <v>1680</v>
      </c>
      <c r="J35" s="24" t="s">
        <v>165</v>
      </c>
      <c r="K35" s="24" t="s">
        <v>22</v>
      </c>
      <c r="L35" s="24" t="s">
        <v>787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878</v>
      </c>
      <c r="D36" s="24" t="s">
        <v>879</v>
      </c>
      <c r="E36" s="24" t="s">
        <v>880</v>
      </c>
      <c r="F36" s="25">
        <v>3</v>
      </c>
      <c r="G36" s="25">
        <v>775</v>
      </c>
      <c r="H36" s="25">
        <v>25</v>
      </c>
      <c r="I36" s="25">
        <f>G36-H36</f>
        <v>750</v>
      </c>
      <c r="J36" s="24" t="s">
        <v>165</v>
      </c>
      <c r="K36" s="24" t="s">
        <v>22</v>
      </c>
      <c r="L36" s="24" t="s">
        <v>787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881</v>
      </c>
      <c r="D37" s="24" t="s">
        <v>882</v>
      </c>
      <c r="E37" s="24" t="s">
        <v>883</v>
      </c>
      <c r="F37" s="25">
        <v>4</v>
      </c>
      <c r="G37" s="25">
        <v>375</v>
      </c>
      <c r="H37" s="25">
        <v>25</v>
      </c>
      <c r="I37" s="25">
        <f>G37-H37</f>
        <v>350</v>
      </c>
      <c r="J37" s="24" t="s">
        <v>165</v>
      </c>
      <c r="K37" s="24" t="s">
        <v>22</v>
      </c>
      <c r="L37" s="24" t="s">
        <v>787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884</v>
      </c>
      <c r="D38" s="24" t="s">
        <v>885</v>
      </c>
      <c r="E38" s="24" t="s">
        <v>886</v>
      </c>
      <c r="F38" s="25">
        <v>4</v>
      </c>
      <c r="G38" s="25">
        <v>0</v>
      </c>
      <c r="H38" s="25">
        <v>25</v>
      </c>
      <c r="I38" s="25">
        <f>-H38</f>
        <v>-25</v>
      </c>
      <c r="J38" s="24" t="s">
        <v>165</v>
      </c>
      <c r="K38" s="24" t="s">
        <v>22</v>
      </c>
      <c r="L38" s="24" t="s">
        <v>787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887</v>
      </c>
      <c r="D39" s="24" t="s">
        <v>888</v>
      </c>
      <c r="E39" s="24" t="s">
        <v>889</v>
      </c>
      <c r="F39" s="24" t="s">
        <v>79</v>
      </c>
      <c r="G39" s="25">
        <v>530</v>
      </c>
      <c r="H39" s="25">
        <v>20</v>
      </c>
      <c r="I39" s="25">
        <f>G39-H39</f>
        <v>510</v>
      </c>
      <c r="J39" s="24" t="s">
        <v>165</v>
      </c>
      <c r="K39" s="24" t="s">
        <v>22</v>
      </c>
      <c r="L39" s="24" t="s">
        <v>787</v>
      </c>
      <c r="M39" s="24"/>
      <c r="N39" s="24"/>
      <c r="O39" s="24"/>
      <c r="P39" s="24"/>
      <c r="Q39" s="24">
        <v>1</v>
      </c>
    </row>
    <row r="41" spans="1:17" x14ac:dyDescent="0.25">
      <c r="D41" s="7">
        <f>COUNTA(D3:D39)</f>
        <v>35</v>
      </c>
      <c r="G41" s="7">
        <f t="shared" ref="G41:Q41" si="1">SUBTOTAL(9,G3:G39)</f>
        <v>24970</v>
      </c>
      <c r="H41" s="7">
        <f t="shared" si="1"/>
        <v>985</v>
      </c>
      <c r="I41" s="7">
        <f t="shared" si="1"/>
        <v>23985</v>
      </c>
      <c r="J41" s="7">
        <f t="shared" si="1"/>
        <v>0</v>
      </c>
      <c r="K41" s="7">
        <f t="shared" si="1"/>
        <v>0</v>
      </c>
      <c r="L41" s="7">
        <f t="shared" si="1"/>
        <v>0</v>
      </c>
      <c r="M41" s="7">
        <f t="shared" si="1"/>
        <v>0</v>
      </c>
      <c r="N41" s="7">
        <f t="shared" si="1"/>
        <v>0</v>
      </c>
      <c r="O41" s="7">
        <f t="shared" si="1"/>
        <v>0</v>
      </c>
      <c r="P41" s="7">
        <f t="shared" si="1"/>
        <v>0</v>
      </c>
      <c r="Q41" s="7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7" t="s">
        <v>16</v>
      </c>
      <c r="C43" s="6" t="s">
        <v>89</v>
      </c>
      <c r="D43" s="6"/>
      <c r="E43" s="10" t="s">
        <v>90</v>
      </c>
      <c r="H43">
        <f>-3*25</f>
        <v>-75</v>
      </c>
      <c r="K43" s="13" t="s">
        <v>22</v>
      </c>
      <c r="L43" s="13" t="s">
        <v>91</v>
      </c>
      <c r="M43" s="13" t="s">
        <v>90</v>
      </c>
      <c r="O43" s="10" t="s">
        <v>92</v>
      </c>
    </row>
    <row r="44" spans="1:17" x14ac:dyDescent="0.25">
      <c r="A44" t="s">
        <v>787</v>
      </c>
      <c r="B44" s="9" t="s">
        <v>93</v>
      </c>
      <c r="C44" s="5">
        <f>SUMIFS(I$3:I$39,B$3:B$39,A$43,L$3:L$39,A$44)</f>
        <v>23985</v>
      </c>
      <c r="D44" s="5"/>
      <c r="E44" s="9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22</v>
      </c>
      <c r="P44">
        <f>L49</f>
        <v>7556</v>
      </c>
    </row>
    <row r="45" spans="1:17" x14ac:dyDescent="0.25">
      <c r="B45" s="8" t="s">
        <v>97</v>
      </c>
      <c r="C45" s="4">
        <v>0</v>
      </c>
      <c r="D45" s="4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8" t="s">
        <v>99</v>
      </c>
      <c r="C46" s="4">
        <f>-SUMIFS(I$3:I$39,B$3:B$39,A$43,P$3:P$39,"xx",N$3:N$39,"x")</f>
        <v>0</v>
      </c>
      <c r="D46" s="4"/>
      <c r="E46" s="8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10" t="s">
        <v>101</v>
      </c>
      <c r="C47" s="6">
        <f>SUBTOTAL(9,C44:C46)</f>
        <v>23985</v>
      </c>
      <c r="D47" s="6"/>
      <c r="E47">
        <f>E44</f>
        <v>37</v>
      </c>
      <c r="K47" s="8" t="s">
        <v>102</v>
      </c>
      <c r="O47" t="s">
        <v>103</v>
      </c>
      <c r="P47">
        <f>-C51</f>
        <v>-23985</v>
      </c>
    </row>
    <row r="48" spans="1:17" x14ac:dyDescent="0.25">
      <c r="B48" s="8" t="s">
        <v>104</v>
      </c>
      <c r="C48" s="3"/>
      <c r="D48" s="3"/>
      <c r="K48" s="8" t="s">
        <v>105</v>
      </c>
      <c r="O48" s="10" t="s">
        <v>106</v>
      </c>
      <c r="P48" s="10">
        <f>SUBTOTAL(9,P44:P47)</f>
        <v>177</v>
      </c>
    </row>
    <row r="49" spans="2:13" x14ac:dyDescent="0.25">
      <c r="B49" s="14" t="s">
        <v>107</v>
      </c>
      <c r="C49" s="3"/>
      <c r="D49" s="3"/>
      <c r="L49" s="15">
        <f>SUBTOTAL(9,L44:L48)</f>
        <v>7556</v>
      </c>
      <c r="M49" s="15">
        <f>M44</f>
        <v>11</v>
      </c>
    </row>
    <row r="51" spans="2:13" x14ac:dyDescent="0.25">
      <c r="B51" s="7" t="s">
        <v>108</v>
      </c>
      <c r="C51" s="2">
        <f>C47+C48+C49</f>
        <v>23985</v>
      </c>
      <c r="D51" s="2"/>
      <c r="E51" s="7" t="s">
        <v>109</v>
      </c>
      <c r="K51" s="13" t="s">
        <v>786</v>
      </c>
      <c r="L51" s="13" t="s">
        <v>91</v>
      </c>
      <c r="M51" s="13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8" t="s">
        <v>102</v>
      </c>
    </row>
    <row r="56" spans="2:13" x14ac:dyDescent="0.25">
      <c r="K56" s="8" t="s">
        <v>105</v>
      </c>
    </row>
    <row r="57" spans="2:13" x14ac:dyDescent="0.25">
      <c r="L57" s="15">
        <f>SUBTOTAL(9,L52:L56)</f>
        <v>10246</v>
      </c>
      <c r="M57" s="15">
        <f>M52</f>
        <v>15</v>
      </c>
    </row>
    <row r="59" spans="2:13" x14ac:dyDescent="0.25">
      <c r="K59" s="13" t="s">
        <v>165</v>
      </c>
      <c r="L59" s="13" t="s">
        <v>91</v>
      </c>
      <c r="M59" s="13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8" t="s">
        <v>102</v>
      </c>
    </row>
    <row r="64" spans="2:13" x14ac:dyDescent="0.25">
      <c r="K64" s="8" t="s">
        <v>105</v>
      </c>
    </row>
    <row r="65" spans="12:13" x14ac:dyDescent="0.25">
      <c r="L65" s="15">
        <f>SUBTOTAL(9,L60:L64)</f>
        <v>6360</v>
      </c>
      <c r="M65" s="15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B34" zoomScale="90" zoomScaleNormal="90" workbookViewId="0">
      <selection activeCell="B43" sqref="B43 A43:XFD43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891</v>
      </c>
      <c r="D3" s="24" t="s">
        <v>892</v>
      </c>
      <c r="E3" s="24" t="s">
        <v>893</v>
      </c>
      <c r="F3" s="24" t="s">
        <v>20</v>
      </c>
      <c r="G3" s="25">
        <v>720</v>
      </c>
      <c r="H3" s="25">
        <v>30</v>
      </c>
      <c r="I3" s="25">
        <f t="shared" ref="I3:I26" si="0">G3-H3</f>
        <v>690</v>
      </c>
      <c r="J3" s="24" t="s">
        <v>894</v>
      </c>
      <c r="K3" s="24" t="s">
        <v>22</v>
      </c>
      <c r="L3" s="24" t="s">
        <v>895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896</v>
      </c>
      <c r="D4" s="24" t="s">
        <v>897</v>
      </c>
      <c r="E4" s="24" t="s">
        <v>898</v>
      </c>
      <c r="F4" s="25">
        <v>6</v>
      </c>
      <c r="G4" s="25">
        <v>915</v>
      </c>
      <c r="H4" s="25">
        <v>25</v>
      </c>
      <c r="I4" s="25">
        <f t="shared" si="0"/>
        <v>890</v>
      </c>
      <c r="J4" s="24" t="s">
        <v>894</v>
      </c>
      <c r="K4" s="24" t="s">
        <v>22</v>
      </c>
      <c r="L4" s="24" t="s">
        <v>895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899</v>
      </c>
      <c r="D5" s="24" t="s">
        <v>900</v>
      </c>
      <c r="E5" s="24" t="s">
        <v>901</v>
      </c>
      <c r="F5" s="24" t="s">
        <v>86</v>
      </c>
      <c r="G5" s="25">
        <v>25</v>
      </c>
      <c r="H5" s="25">
        <v>25</v>
      </c>
      <c r="I5" s="25">
        <f t="shared" si="0"/>
        <v>0</v>
      </c>
      <c r="J5" s="24" t="s">
        <v>894</v>
      </c>
      <c r="K5" s="24" t="s">
        <v>22</v>
      </c>
      <c r="L5" s="24" t="s">
        <v>895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902</v>
      </c>
      <c r="D6" s="24" t="s">
        <v>903</v>
      </c>
      <c r="E6" s="24" t="s">
        <v>904</v>
      </c>
      <c r="F6" s="25">
        <v>8</v>
      </c>
      <c r="G6" s="25">
        <v>2290</v>
      </c>
      <c r="H6" s="25">
        <v>30</v>
      </c>
      <c r="I6" s="25">
        <f t="shared" si="0"/>
        <v>2260</v>
      </c>
      <c r="J6" s="24" t="s">
        <v>894</v>
      </c>
      <c r="K6" s="24" t="s">
        <v>22</v>
      </c>
      <c r="L6" s="24" t="s">
        <v>895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905</v>
      </c>
      <c r="D7" s="24" t="s">
        <v>906</v>
      </c>
      <c r="E7" s="24" t="s">
        <v>907</v>
      </c>
      <c r="F7" s="25">
        <v>7</v>
      </c>
      <c r="G7" s="25">
        <v>4130</v>
      </c>
      <c r="H7" s="25">
        <v>40</v>
      </c>
      <c r="I7" s="25">
        <f t="shared" si="0"/>
        <v>4090</v>
      </c>
      <c r="J7" s="24" t="s">
        <v>894</v>
      </c>
      <c r="K7" s="24" t="s">
        <v>22</v>
      </c>
      <c r="L7" s="24" t="s">
        <v>895</v>
      </c>
      <c r="M7" s="24" t="s">
        <v>398</v>
      </c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908</v>
      </c>
      <c r="D8" s="24" t="s">
        <v>909</v>
      </c>
      <c r="E8" s="24" t="s">
        <v>910</v>
      </c>
      <c r="F8" s="25">
        <v>6</v>
      </c>
      <c r="G8" s="25">
        <v>565</v>
      </c>
      <c r="H8" s="25">
        <v>25</v>
      </c>
      <c r="I8" s="25">
        <f t="shared" si="0"/>
        <v>540</v>
      </c>
      <c r="J8" s="24" t="s">
        <v>894</v>
      </c>
      <c r="K8" s="24" t="s">
        <v>22</v>
      </c>
      <c r="L8" s="24" t="s">
        <v>895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911</v>
      </c>
      <c r="D9" s="24" t="s">
        <v>912</v>
      </c>
      <c r="E9" s="24" t="s">
        <v>913</v>
      </c>
      <c r="F9" s="24" t="s">
        <v>217</v>
      </c>
      <c r="G9" s="25">
        <v>1535</v>
      </c>
      <c r="H9" s="25">
        <v>25</v>
      </c>
      <c r="I9" s="25">
        <f t="shared" si="0"/>
        <v>1510</v>
      </c>
      <c r="J9" s="24" t="s">
        <v>894</v>
      </c>
      <c r="K9" s="24" t="s">
        <v>22</v>
      </c>
      <c r="L9" s="24" t="s">
        <v>895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914</v>
      </c>
      <c r="D10" s="24" t="s">
        <v>915</v>
      </c>
      <c r="E10" s="24" t="s">
        <v>916</v>
      </c>
      <c r="F10" s="25">
        <v>7</v>
      </c>
      <c r="G10" s="25">
        <v>1910</v>
      </c>
      <c r="H10" s="25">
        <v>30</v>
      </c>
      <c r="I10" s="25">
        <f t="shared" si="0"/>
        <v>1880</v>
      </c>
      <c r="J10" s="24" t="s">
        <v>894</v>
      </c>
      <c r="K10" s="24" t="s">
        <v>22</v>
      </c>
      <c r="L10" s="24" t="s">
        <v>895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247</v>
      </c>
      <c r="D11" s="24" t="s">
        <v>917</v>
      </c>
      <c r="E11" s="24" t="s">
        <v>918</v>
      </c>
      <c r="F11" s="24" t="s">
        <v>20</v>
      </c>
      <c r="G11" s="25">
        <v>820</v>
      </c>
      <c r="H11" s="25">
        <v>30</v>
      </c>
      <c r="I11" s="25">
        <f t="shared" si="0"/>
        <v>790</v>
      </c>
      <c r="J11" s="24" t="s">
        <v>894</v>
      </c>
      <c r="K11" s="24" t="s">
        <v>22</v>
      </c>
      <c r="L11" s="24" t="s">
        <v>895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919</v>
      </c>
      <c r="D12" s="24" t="s">
        <v>920</v>
      </c>
      <c r="E12" s="24" t="s">
        <v>921</v>
      </c>
      <c r="F12" s="25">
        <v>7</v>
      </c>
      <c r="G12" s="25">
        <v>790</v>
      </c>
      <c r="H12" s="25">
        <v>30</v>
      </c>
      <c r="I12" s="25">
        <f t="shared" si="0"/>
        <v>760</v>
      </c>
      <c r="J12" s="24" t="s">
        <v>894</v>
      </c>
      <c r="K12" s="24" t="s">
        <v>22</v>
      </c>
      <c r="L12" s="24" t="s">
        <v>895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922</v>
      </c>
      <c r="D13" s="24" t="s">
        <v>923</v>
      </c>
      <c r="E13" s="24" t="s">
        <v>924</v>
      </c>
      <c r="F13" s="24" t="s">
        <v>86</v>
      </c>
      <c r="G13" s="25">
        <v>705</v>
      </c>
      <c r="H13" s="25">
        <v>25</v>
      </c>
      <c r="I13" s="25">
        <f t="shared" si="0"/>
        <v>680</v>
      </c>
      <c r="J13" s="24" t="s">
        <v>894</v>
      </c>
      <c r="K13" s="24" t="s">
        <v>22</v>
      </c>
      <c r="L13" s="24" t="s">
        <v>895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925</v>
      </c>
      <c r="D14" s="24" t="s">
        <v>926</v>
      </c>
      <c r="E14" s="24" t="s">
        <v>927</v>
      </c>
      <c r="F14" s="24" t="s">
        <v>20</v>
      </c>
      <c r="G14" s="25">
        <v>850</v>
      </c>
      <c r="H14" s="25">
        <v>30</v>
      </c>
      <c r="I14" s="25">
        <f t="shared" si="0"/>
        <v>820</v>
      </c>
      <c r="J14" s="24" t="s">
        <v>894</v>
      </c>
      <c r="K14" s="24" t="s">
        <v>22</v>
      </c>
      <c r="L14" s="24" t="s">
        <v>895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928</v>
      </c>
      <c r="D15" s="24" t="s">
        <v>929</v>
      </c>
      <c r="E15" s="24" t="s">
        <v>930</v>
      </c>
      <c r="F15" s="25">
        <v>11</v>
      </c>
      <c r="G15" s="25">
        <v>385</v>
      </c>
      <c r="H15" s="25">
        <v>25</v>
      </c>
      <c r="I15" s="25">
        <f t="shared" si="0"/>
        <v>360</v>
      </c>
      <c r="J15" s="24" t="s">
        <v>894</v>
      </c>
      <c r="K15" s="24" t="s">
        <v>22</v>
      </c>
      <c r="L15" s="24" t="s">
        <v>895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931</v>
      </c>
      <c r="D16" s="24" t="s">
        <v>932</v>
      </c>
      <c r="E16" s="24" t="s">
        <v>933</v>
      </c>
      <c r="F16" s="25">
        <v>7</v>
      </c>
      <c r="G16" s="25">
        <v>820</v>
      </c>
      <c r="H16" s="25">
        <v>30</v>
      </c>
      <c r="I16" s="25">
        <f t="shared" si="0"/>
        <v>790</v>
      </c>
      <c r="J16" s="24" t="s">
        <v>894</v>
      </c>
      <c r="K16" s="24" t="s">
        <v>22</v>
      </c>
      <c r="L16" s="24" t="s">
        <v>895</v>
      </c>
      <c r="M16" s="24"/>
      <c r="N16" s="24"/>
      <c r="O16" s="24"/>
      <c r="P16" s="24"/>
      <c r="Q16" s="24">
        <v>1</v>
      </c>
    </row>
    <row r="17" spans="1:17" x14ac:dyDescent="0.25">
      <c r="A17" s="24" t="s">
        <v>83</v>
      </c>
      <c r="B17" s="24" t="s">
        <v>16</v>
      </c>
      <c r="C17" s="24" t="s">
        <v>934</v>
      </c>
      <c r="D17" s="24"/>
      <c r="E17" s="24" t="s">
        <v>935</v>
      </c>
      <c r="F17" s="24" t="s">
        <v>86</v>
      </c>
      <c r="G17" s="25">
        <v>30</v>
      </c>
      <c r="H17" s="25">
        <v>30</v>
      </c>
      <c r="I17" s="25">
        <f t="shared" si="0"/>
        <v>0</v>
      </c>
      <c r="J17" s="24" t="s">
        <v>22</v>
      </c>
      <c r="K17" s="24" t="s">
        <v>22</v>
      </c>
      <c r="L17" s="24" t="s">
        <v>895</v>
      </c>
      <c r="M17" s="24"/>
      <c r="N17" s="24"/>
      <c r="O17" s="24"/>
      <c r="P17" s="24"/>
      <c r="Q17" s="24">
        <v>1</v>
      </c>
    </row>
    <row r="18" spans="1:17" x14ac:dyDescent="0.25">
      <c r="A18" s="24" t="s">
        <v>83</v>
      </c>
      <c r="B18" s="24" t="s">
        <v>16</v>
      </c>
      <c r="C18" s="24" t="s">
        <v>640</v>
      </c>
      <c r="D18" s="24"/>
      <c r="E18" s="24" t="s">
        <v>641</v>
      </c>
      <c r="F18" s="24" t="s">
        <v>44</v>
      </c>
      <c r="G18" s="25">
        <v>3050</v>
      </c>
      <c r="H18" s="25">
        <v>30</v>
      </c>
      <c r="I18" s="25">
        <f t="shared" si="0"/>
        <v>3020</v>
      </c>
      <c r="J18" s="24" t="s">
        <v>22</v>
      </c>
      <c r="K18" s="24" t="s">
        <v>22</v>
      </c>
      <c r="L18" s="24" t="s">
        <v>895</v>
      </c>
      <c r="M18" s="24"/>
      <c r="N18" s="24"/>
      <c r="O18" s="24"/>
      <c r="P18" s="24"/>
      <c r="Q18" s="24">
        <v>1</v>
      </c>
    </row>
    <row r="19" spans="1:17" x14ac:dyDescent="0.25">
      <c r="A19" s="24" t="s">
        <v>83</v>
      </c>
      <c r="B19" s="24" t="s">
        <v>16</v>
      </c>
      <c r="C19" s="24" t="s">
        <v>936</v>
      </c>
      <c r="D19" s="24"/>
      <c r="E19" s="24" t="s">
        <v>937</v>
      </c>
      <c r="F19" s="25">
        <v>2</v>
      </c>
      <c r="G19" s="25">
        <v>35</v>
      </c>
      <c r="H19" s="25">
        <v>35</v>
      </c>
      <c r="I19" s="25">
        <f t="shared" si="0"/>
        <v>0</v>
      </c>
      <c r="J19" s="24" t="s">
        <v>22</v>
      </c>
      <c r="K19" s="24" t="s">
        <v>22</v>
      </c>
      <c r="L19" s="24" t="s">
        <v>895</v>
      </c>
      <c r="M19" s="24"/>
      <c r="N19" s="24"/>
      <c r="O19" s="24"/>
      <c r="P19" s="24"/>
      <c r="Q19" s="24">
        <v>1</v>
      </c>
    </row>
    <row r="20" spans="1:17" x14ac:dyDescent="0.25">
      <c r="A20" s="24" t="s">
        <v>83</v>
      </c>
      <c r="B20" s="24" t="s">
        <v>16</v>
      </c>
      <c r="C20" s="24" t="s">
        <v>343</v>
      </c>
      <c r="D20" s="24"/>
      <c r="E20" s="24" t="s">
        <v>938</v>
      </c>
      <c r="F20" s="24" t="s">
        <v>44</v>
      </c>
      <c r="G20" s="25">
        <v>845</v>
      </c>
      <c r="H20" s="25">
        <v>25</v>
      </c>
      <c r="I20" s="25">
        <f t="shared" si="0"/>
        <v>820</v>
      </c>
      <c r="J20" s="24" t="s">
        <v>22</v>
      </c>
      <c r="K20" s="24" t="s">
        <v>22</v>
      </c>
      <c r="L20" s="24" t="s">
        <v>895</v>
      </c>
      <c r="M20" s="24"/>
      <c r="N20" s="24"/>
      <c r="O20" s="24"/>
      <c r="P20" s="24"/>
      <c r="Q20" s="24">
        <v>1</v>
      </c>
    </row>
    <row r="21" spans="1:17" x14ac:dyDescent="0.25">
      <c r="A21" s="24" t="s">
        <v>83</v>
      </c>
      <c r="B21" s="24" t="s">
        <v>16</v>
      </c>
      <c r="C21" s="24" t="s">
        <v>939</v>
      </c>
      <c r="D21" s="24"/>
      <c r="E21" s="24" t="s">
        <v>643</v>
      </c>
      <c r="F21" s="25">
        <v>12</v>
      </c>
      <c r="G21" s="25">
        <v>35</v>
      </c>
      <c r="H21" s="25">
        <v>35</v>
      </c>
      <c r="I21" s="25">
        <f t="shared" si="0"/>
        <v>0</v>
      </c>
      <c r="J21" s="24" t="s">
        <v>22</v>
      </c>
      <c r="K21" s="24" t="s">
        <v>22</v>
      </c>
      <c r="L21" s="24" t="s">
        <v>895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940</v>
      </c>
      <c r="D22" s="24" t="s">
        <v>941</v>
      </c>
      <c r="E22" s="24" t="s">
        <v>942</v>
      </c>
      <c r="F22" s="24" t="s">
        <v>36</v>
      </c>
      <c r="G22" s="25">
        <v>1570</v>
      </c>
      <c r="H22" s="25">
        <v>20</v>
      </c>
      <c r="I22" s="25">
        <f t="shared" si="0"/>
        <v>1550</v>
      </c>
      <c r="J22" s="24" t="s">
        <v>22</v>
      </c>
      <c r="K22" s="24" t="s">
        <v>22</v>
      </c>
      <c r="L22" s="24" t="s">
        <v>895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943</v>
      </c>
      <c r="D23" s="24" t="s">
        <v>944</v>
      </c>
      <c r="E23" s="24" t="s">
        <v>945</v>
      </c>
      <c r="F23" s="25">
        <v>2</v>
      </c>
      <c r="G23" s="25">
        <v>700</v>
      </c>
      <c r="H23" s="25">
        <v>30</v>
      </c>
      <c r="I23" s="25">
        <f t="shared" si="0"/>
        <v>670</v>
      </c>
      <c r="J23" s="24" t="s">
        <v>22</v>
      </c>
      <c r="K23" s="24" t="s">
        <v>22</v>
      </c>
      <c r="L23" s="24" t="s">
        <v>895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850</v>
      </c>
      <c r="D24" s="24" t="s">
        <v>946</v>
      </c>
      <c r="E24" s="24" t="s">
        <v>852</v>
      </c>
      <c r="F24" s="25">
        <v>2</v>
      </c>
      <c r="G24" s="25">
        <v>920</v>
      </c>
      <c r="H24" s="25">
        <v>30</v>
      </c>
      <c r="I24" s="25">
        <f t="shared" si="0"/>
        <v>890</v>
      </c>
      <c r="J24" s="24" t="s">
        <v>22</v>
      </c>
      <c r="K24" s="24" t="s">
        <v>22</v>
      </c>
      <c r="L24" s="24" t="s">
        <v>895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147</v>
      </c>
      <c r="D25" s="24" t="s">
        <v>947</v>
      </c>
      <c r="E25" s="24" t="s">
        <v>149</v>
      </c>
      <c r="F25" s="24" t="s">
        <v>36</v>
      </c>
      <c r="G25" s="25">
        <v>2670</v>
      </c>
      <c r="H25" s="25">
        <v>25</v>
      </c>
      <c r="I25" s="25">
        <f t="shared" si="0"/>
        <v>2645</v>
      </c>
      <c r="J25" s="24" t="s">
        <v>22</v>
      </c>
      <c r="K25" s="24" t="s">
        <v>22</v>
      </c>
      <c r="L25" s="24" t="s">
        <v>895</v>
      </c>
      <c r="M25" s="24" t="s">
        <v>398</v>
      </c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349</v>
      </c>
      <c r="D26" s="24" t="s">
        <v>948</v>
      </c>
      <c r="E26" s="24" t="s">
        <v>949</v>
      </c>
      <c r="F26" s="24" t="s">
        <v>44</v>
      </c>
      <c r="G26" s="25">
        <v>865</v>
      </c>
      <c r="H26" s="25">
        <v>25</v>
      </c>
      <c r="I26" s="25">
        <f t="shared" si="0"/>
        <v>840</v>
      </c>
      <c r="J26" s="24" t="s">
        <v>22</v>
      </c>
      <c r="K26" s="24" t="s">
        <v>22</v>
      </c>
      <c r="L26" s="24" t="s">
        <v>895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950</v>
      </c>
      <c r="D27" s="24" t="s">
        <v>951</v>
      </c>
      <c r="E27" s="24" t="s">
        <v>952</v>
      </c>
      <c r="F27" s="24" t="s">
        <v>44</v>
      </c>
      <c r="G27" s="25">
        <v>0</v>
      </c>
      <c r="H27" s="25">
        <v>25</v>
      </c>
      <c r="I27" s="25">
        <f>-H27</f>
        <v>-25</v>
      </c>
      <c r="J27" s="24" t="s">
        <v>22</v>
      </c>
      <c r="K27" s="24" t="s">
        <v>22</v>
      </c>
      <c r="L27" s="24" t="s">
        <v>895</v>
      </c>
      <c r="M27" s="24" t="s">
        <v>953</v>
      </c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954</v>
      </c>
      <c r="D28" s="24" t="s">
        <v>955</v>
      </c>
      <c r="E28" s="24" t="s">
        <v>956</v>
      </c>
      <c r="F28" s="25">
        <v>2</v>
      </c>
      <c r="G28" s="25">
        <v>950</v>
      </c>
      <c r="H28" s="25">
        <v>30</v>
      </c>
      <c r="I28" s="25">
        <f t="shared" ref="I28:I34" si="1">G28-H28</f>
        <v>920</v>
      </c>
      <c r="J28" s="24" t="s">
        <v>22</v>
      </c>
      <c r="K28" s="24" t="s">
        <v>22</v>
      </c>
      <c r="L28" s="24" t="s">
        <v>895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957</v>
      </c>
      <c r="D29" s="24" t="s">
        <v>958</v>
      </c>
      <c r="E29" s="24" t="s">
        <v>959</v>
      </c>
      <c r="F29" s="25">
        <v>2</v>
      </c>
      <c r="G29" s="25">
        <v>1120</v>
      </c>
      <c r="H29" s="25">
        <v>30</v>
      </c>
      <c r="I29" s="25">
        <f t="shared" si="1"/>
        <v>1090</v>
      </c>
      <c r="J29" s="24" t="s">
        <v>22</v>
      </c>
      <c r="K29" s="24" t="s">
        <v>22</v>
      </c>
      <c r="L29" s="24" t="s">
        <v>895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960</v>
      </c>
      <c r="D30" s="24" t="s">
        <v>961</v>
      </c>
      <c r="E30" s="24" t="s">
        <v>962</v>
      </c>
      <c r="F30" s="25">
        <v>2</v>
      </c>
      <c r="G30" s="25">
        <v>430</v>
      </c>
      <c r="H30" s="25">
        <v>30</v>
      </c>
      <c r="I30" s="25">
        <f t="shared" si="1"/>
        <v>400</v>
      </c>
      <c r="J30" s="24" t="s">
        <v>22</v>
      </c>
      <c r="K30" s="24" t="s">
        <v>22</v>
      </c>
      <c r="L30" s="24" t="s">
        <v>895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963</v>
      </c>
      <c r="D31" s="24" t="s">
        <v>964</v>
      </c>
      <c r="E31" s="24" t="s">
        <v>965</v>
      </c>
      <c r="F31" s="25">
        <v>2</v>
      </c>
      <c r="G31" s="25">
        <v>890</v>
      </c>
      <c r="H31" s="25">
        <v>30</v>
      </c>
      <c r="I31" s="25">
        <f t="shared" si="1"/>
        <v>860</v>
      </c>
      <c r="J31" s="24" t="s">
        <v>22</v>
      </c>
      <c r="K31" s="24" t="s">
        <v>22</v>
      </c>
      <c r="L31" s="24" t="s">
        <v>895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966</v>
      </c>
      <c r="D32" s="24" t="s">
        <v>967</v>
      </c>
      <c r="E32" s="24" t="s">
        <v>968</v>
      </c>
      <c r="F32" s="24" t="s">
        <v>86</v>
      </c>
      <c r="G32" s="25">
        <v>845</v>
      </c>
      <c r="H32" s="25">
        <v>25</v>
      </c>
      <c r="I32" s="25">
        <f t="shared" si="1"/>
        <v>820</v>
      </c>
      <c r="J32" s="24" t="s">
        <v>22</v>
      </c>
      <c r="K32" s="24" t="s">
        <v>22</v>
      </c>
      <c r="L32" s="24" t="s">
        <v>895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969</v>
      </c>
      <c r="D33" s="24" t="s">
        <v>970</v>
      </c>
      <c r="E33" s="24" t="s">
        <v>971</v>
      </c>
      <c r="F33" s="25">
        <v>2</v>
      </c>
      <c r="G33" s="25">
        <v>700</v>
      </c>
      <c r="H33" s="25">
        <v>30</v>
      </c>
      <c r="I33" s="25">
        <f t="shared" si="1"/>
        <v>670</v>
      </c>
      <c r="J33" s="24" t="s">
        <v>22</v>
      </c>
      <c r="K33" s="24" t="s">
        <v>22</v>
      </c>
      <c r="L33" s="24" t="s">
        <v>895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972</v>
      </c>
      <c r="D34" s="24" t="s">
        <v>973</v>
      </c>
      <c r="E34" s="24" t="s">
        <v>974</v>
      </c>
      <c r="F34" s="24" t="s">
        <v>44</v>
      </c>
      <c r="G34" s="25">
        <v>0</v>
      </c>
      <c r="H34" s="25">
        <v>25</v>
      </c>
      <c r="I34" s="25">
        <f t="shared" si="1"/>
        <v>-25</v>
      </c>
      <c r="J34" s="24" t="s">
        <v>22</v>
      </c>
      <c r="K34" s="24" t="s">
        <v>22</v>
      </c>
      <c r="L34" s="24" t="s">
        <v>895</v>
      </c>
      <c r="M34" s="24" t="s">
        <v>975</v>
      </c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976</v>
      </c>
      <c r="D35" s="24" t="s">
        <v>977</v>
      </c>
      <c r="E35" s="24" t="s">
        <v>978</v>
      </c>
      <c r="F35" s="24" t="s">
        <v>36</v>
      </c>
      <c r="G35" s="25">
        <v>0</v>
      </c>
      <c r="H35" s="25">
        <v>20</v>
      </c>
      <c r="I35" s="25">
        <f>-H35</f>
        <v>-20</v>
      </c>
      <c r="J35" s="24" t="s">
        <v>22</v>
      </c>
      <c r="K35" s="24" t="s">
        <v>22</v>
      </c>
      <c r="L35" s="24" t="s">
        <v>895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979</v>
      </c>
      <c r="D36" s="24" t="s">
        <v>980</v>
      </c>
      <c r="E36" s="24" t="s">
        <v>981</v>
      </c>
      <c r="F36" s="24" t="s">
        <v>86</v>
      </c>
      <c r="G36" s="25">
        <v>2030</v>
      </c>
      <c r="H36" s="25">
        <v>30</v>
      </c>
      <c r="I36" s="25">
        <f t="shared" ref="I36:I43" si="2">G36-H36</f>
        <v>2000</v>
      </c>
      <c r="J36" s="24" t="s">
        <v>22</v>
      </c>
      <c r="K36" s="24" t="s">
        <v>22</v>
      </c>
      <c r="L36" s="24" t="s">
        <v>895</v>
      </c>
      <c r="M36" s="24" t="s">
        <v>398</v>
      </c>
      <c r="N36" s="24"/>
      <c r="O36" s="24"/>
      <c r="P36" s="24"/>
      <c r="Q36" s="24">
        <v>1</v>
      </c>
    </row>
    <row r="37" spans="1:17" x14ac:dyDescent="0.25">
      <c r="A37" s="24" t="s">
        <v>83</v>
      </c>
      <c r="B37" s="24" t="s">
        <v>16</v>
      </c>
      <c r="C37" s="24" t="s">
        <v>584</v>
      </c>
      <c r="D37" s="24"/>
      <c r="E37" s="24" t="s">
        <v>585</v>
      </c>
      <c r="F37" s="25">
        <v>4</v>
      </c>
      <c r="G37" s="25">
        <v>30</v>
      </c>
      <c r="H37" s="25">
        <v>30</v>
      </c>
      <c r="I37" s="25">
        <f t="shared" si="2"/>
        <v>0</v>
      </c>
      <c r="J37" s="24" t="s">
        <v>165</v>
      </c>
      <c r="K37" s="24" t="s">
        <v>22</v>
      </c>
      <c r="L37" s="24" t="s">
        <v>895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982</v>
      </c>
      <c r="D38" s="24" t="s">
        <v>983</v>
      </c>
      <c r="E38" s="24" t="s">
        <v>984</v>
      </c>
      <c r="F38" s="25">
        <v>10</v>
      </c>
      <c r="G38" s="25">
        <v>1025</v>
      </c>
      <c r="H38" s="25">
        <v>25</v>
      </c>
      <c r="I38" s="25">
        <f t="shared" si="2"/>
        <v>1000</v>
      </c>
      <c r="J38" s="24" t="s">
        <v>165</v>
      </c>
      <c r="K38" s="24" t="s">
        <v>22</v>
      </c>
      <c r="L38" s="24" t="s">
        <v>895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985</v>
      </c>
      <c r="D39" s="24" t="s">
        <v>986</v>
      </c>
      <c r="E39" s="24" t="s">
        <v>987</v>
      </c>
      <c r="F39" s="24" t="s">
        <v>79</v>
      </c>
      <c r="G39" s="25">
        <v>1110</v>
      </c>
      <c r="H39" s="25">
        <v>20</v>
      </c>
      <c r="I39" s="25">
        <f t="shared" si="2"/>
        <v>1090</v>
      </c>
      <c r="J39" s="24" t="s">
        <v>165</v>
      </c>
      <c r="K39" s="24" t="s">
        <v>22</v>
      </c>
      <c r="L39" s="24" t="s">
        <v>895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988</v>
      </c>
      <c r="D40" s="24" t="s">
        <v>989</v>
      </c>
      <c r="E40" s="24" t="s">
        <v>990</v>
      </c>
      <c r="F40" s="25">
        <v>1</v>
      </c>
      <c r="G40" s="25">
        <v>1355</v>
      </c>
      <c r="H40" s="25">
        <v>25</v>
      </c>
      <c r="I40" s="25">
        <f t="shared" si="2"/>
        <v>1330</v>
      </c>
      <c r="J40" s="24" t="s">
        <v>165</v>
      </c>
      <c r="K40" s="24" t="s">
        <v>22</v>
      </c>
      <c r="L40" s="24" t="s">
        <v>895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991</v>
      </c>
      <c r="D41" s="24" t="s">
        <v>992</v>
      </c>
      <c r="E41" s="24" t="s">
        <v>993</v>
      </c>
      <c r="F41" s="24" t="s">
        <v>86</v>
      </c>
      <c r="G41" s="25">
        <v>945</v>
      </c>
      <c r="H41" s="25">
        <v>25</v>
      </c>
      <c r="I41" s="25">
        <f t="shared" si="2"/>
        <v>920</v>
      </c>
      <c r="J41" s="24" t="s">
        <v>165</v>
      </c>
      <c r="K41" s="24" t="s">
        <v>22</v>
      </c>
      <c r="L41" s="24" t="s">
        <v>895</v>
      </c>
      <c r="M41" s="24" t="s">
        <v>312</v>
      </c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994</v>
      </c>
      <c r="D42" s="24" t="s">
        <v>995</v>
      </c>
      <c r="E42" s="24" t="s">
        <v>996</v>
      </c>
      <c r="F42" s="24" t="s">
        <v>79</v>
      </c>
      <c r="G42" s="25">
        <v>560</v>
      </c>
      <c r="H42" s="25">
        <v>20</v>
      </c>
      <c r="I42" s="25">
        <f t="shared" si="2"/>
        <v>540</v>
      </c>
      <c r="J42" s="24" t="s">
        <v>165</v>
      </c>
      <c r="K42" s="24" t="s">
        <v>22</v>
      </c>
      <c r="L42" s="24" t="s">
        <v>895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997</v>
      </c>
      <c r="D43" s="24" t="s">
        <v>998</v>
      </c>
      <c r="E43" s="24" t="s">
        <v>999</v>
      </c>
      <c r="F43" s="25">
        <v>1</v>
      </c>
      <c r="G43" s="25">
        <v>790</v>
      </c>
      <c r="H43" s="25">
        <v>30</v>
      </c>
      <c r="I43" s="25">
        <f t="shared" si="2"/>
        <v>760</v>
      </c>
      <c r="J43" s="24" t="s">
        <v>165</v>
      </c>
      <c r="K43" s="24" t="s">
        <v>22</v>
      </c>
      <c r="L43" s="24" t="s">
        <v>895</v>
      </c>
      <c r="M43" s="24" t="s">
        <v>312</v>
      </c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417</v>
      </c>
      <c r="D44" s="24" t="s">
        <v>1000</v>
      </c>
      <c r="E44" s="24" t="s">
        <v>419</v>
      </c>
      <c r="F44" s="25">
        <v>3</v>
      </c>
      <c r="G44" s="25">
        <v>0</v>
      </c>
      <c r="H44" s="25">
        <v>25</v>
      </c>
      <c r="I44" s="25">
        <f>-H44</f>
        <v>-25</v>
      </c>
      <c r="J44" s="24" t="s">
        <v>165</v>
      </c>
      <c r="K44" s="24" t="s">
        <v>22</v>
      </c>
      <c r="L44" s="24" t="s">
        <v>895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1001</v>
      </c>
      <c r="D45" s="24" t="s">
        <v>1002</v>
      </c>
      <c r="E45" s="24" t="s">
        <v>1003</v>
      </c>
      <c r="F45" s="24" t="s">
        <v>86</v>
      </c>
      <c r="G45" s="25">
        <v>0</v>
      </c>
      <c r="H45" s="25">
        <v>25</v>
      </c>
      <c r="I45" s="25">
        <f>-H45</f>
        <v>-25</v>
      </c>
      <c r="J45" s="24" t="s">
        <v>165</v>
      </c>
      <c r="K45" s="24" t="s">
        <v>22</v>
      </c>
      <c r="L45" s="24" t="s">
        <v>895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1004</v>
      </c>
      <c r="D46" s="24" t="s">
        <v>1005</v>
      </c>
      <c r="E46" s="24" t="s">
        <v>1006</v>
      </c>
      <c r="F46" s="25">
        <v>3</v>
      </c>
      <c r="G46" s="25">
        <v>0</v>
      </c>
      <c r="H46" s="25">
        <v>25</v>
      </c>
      <c r="I46" s="25">
        <f>G46-H46</f>
        <v>-25</v>
      </c>
      <c r="J46" s="24" t="s">
        <v>165</v>
      </c>
      <c r="K46" s="24" t="s">
        <v>22</v>
      </c>
      <c r="L46" s="24" t="s">
        <v>895</v>
      </c>
      <c r="M46" s="24" t="s">
        <v>1007</v>
      </c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1008</v>
      </c>
      <c r="D47" s="24" t="s">
        <v>1009</v>
      </c>
      <c r="E47" s="24" t="s">
        <v>1010</v>
      </c>
      <c r="F47" s="25">
        <v>3</v>
      </c>
      <c r="G47" s="25">
        <v>1601</v>
      </c>
      <c r="H47" s="25">
        <v>25</v>
      </c>
      <c r="I47" s="25">
        <f>G47-H47</f>
        <v>1576</v>
      </c>
      <c r="J47" s="24" t="s">
        <v>165</v>
      </c>
      <c r="K47" s="24" t="s">
        <v>22</v>
      </c>
      <c r="L47" s="24" t="s">
        <v>895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1011</v>
      </c>
      <c r="D48" s="24" t="s">
        <v>1012</v>
      </c>
      <c r="E48" s="24" t="s">
        <v>1013</v>
      </c>
      <c r="F48" s="25">
        <v>1</v>
      </c>
      <c r="G48" s="25">
        <v>0</v>
      </c>
      <c r="H48" s="25">
        <v>25</v>
      </c>
      <c r="I48" s="25">
        <f>-H48</f>
        <v>-25</v>
      </c>
      <c r="J48" s="24" t="s">
        <v>165</v>
      </c>
      <c r="K48" s="24" t="s">
        <v>22</v>
      </c>
      <c r="L48" s="24" t="s">
        <v>895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1014</v>
      </c>
      <c r="D49" s="24" t="s">
        <v>1015</v>
      </c>
      <c r="E49" s="24" t="s">
        <v>1016</v>
      </c>
      <c r="F49" s="24" t="s">
        <v>86</v>
      </c>
      <c r="G49" s="25">
        <v>0</v>
      </c>
      <c r="H49" s="25">
        <v>25</v>
      </c>
      <c r="I49" s="25">
        <f t="shared" ref="I49:I55" si="3">G49-H49</f>
        <v>-25</v>
      </c>
      <c r="J49" s="24" t="s">
        <v>165</v>
      </c>
      <c r="K49" s="24" t="s">
        <v>22</v>
      </c>
      <c r="L49" s="24" t="s">
        <v>895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997</v>
      </c>
      <c r="D50" s="24" t="s">
        <v>1017</v>
      </c>
      <c r="E50" s="24" t="s">
        <v>999</v>
      </c>
      <c r="F50" s="25">
        <v>1</v>
      </c>
      <c r="G50" s="25">
        <v>1330</v>
      </c>
      <c r="H50" s="25">
        <v>0</v>
      </c>
      <c r="I50" s="25">
        <f t="shared" si="3"/>
        <v>1330</v>
      </c>
      <c r="J50" s="24" t="s">
        <v>165</v>
      </c>
      <c r="K50" s="24" t="s">
        <v>22</v>
      </c>
      <c r="L50" s="24" t="s">
        <v>895</v>
      </c>
      <c r="M50" s="24" t="s">
        <v>312</v>
      </c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991</v>
      </c>
      <c r="D51" s="24" t="s">
        <v>1018</v>
      </c>
      <c r="E51" s="24" t="s">
        <v>993</v>
      </c>
      <c r="F51" s="24" t="s">
        <v>86</v>
      </c>
      <c r="G51" s="25">
        <v>785</v>
      </c>
      <c r="H51" s="25">
        <v>0</v>
      </c>
      <c r="I51" s="25">
        <f t="shared" si="3"/>
        <v>785</v>
      </c>
      <c r="J51" s="24" t="s">
        <v>165</v>
      </c>
      <c r="K51" s="24" t="s">
        <v>22</v>
      </c>
      <c r="L51" s="24" t="s">
        <v>895</v>
      </c>
      <c r="M51" s="24" t="s">
        <v>312</v>
      </c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1019</v>
      </c>
      <c r="D52" s="24" t="s">
        <v>1020</v>
      </c>
      <c r="E52" s="24" t="s">
        <v>1021</v>
      </c>
      <c r="F52" s="25">
        <v>10</v>
      </c>
      <c r="G52" s="25">
        <v>845</v>
      </c>
      <c r="H52" s="25">
        <v>25</v>
      </c>
      <c r="I52" s="25">
        <f t="shared" si="3"/>
        <v>820</v>
      </c>
      <c r="J52" s="24" t="s">
        <v>165</v>
      </c>
      <c r="K52" s="24" t="s">
        <v>22</v>
      </c>
      <c r="L52" s="24" t="s">
        <v>895</v>
      </c>
      <c r="M52" s="24"/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1022</v>
      </c>
      <c r="D53" s="24" t="s">
        <v>1023</v>
      </c>
      <c r="E53" s="24" t="s">
        <v>1024</v>
      </c>
      <c r="F53" s="25">
        <v>3</v>
      </c>
      <c r="G53" s="25">
        <v>515</v>
      </c>
      <c r="H53" s="25">
        <v>25</v>
      </c>
      <c r="I53" s="25">
        <f t="shared" si="3"/>
        <v>490</v>
      </c>
      <c r="J53" s="24" t="s">
        <v>165</v>
      </c>
      <c r="K53" s="24" t="s">
        <v>22</v>
      </c>
      <c r="L53" s="24" t="s">
        <v>895</v>
      </c>
      <c r="M53" s="24"/>
      <c r="N53" s="24"/>
      <c r="O53" s="24"/>
      <c r="P53" s="24"/>
      <c r="Q53" s="24">
        <v>1</v>
      </c>
    </row>
    <row r="54" spans="1:17" s="8" customFormat="1" x14ac:dyDescent="0.25">
      <c r="A54" s="26"/>
      <c r="B54" s="26" t="s">
        <v>16</v>
      </c>
      <c r="C54" s="26" t="s">
        <v>659</v>
      </c>
      <c r="D54" s="26" t="s">
        <v>660</v>
      </c>
      <c r="E54" s="26" t="s">
        <v>661</v>
      </c>
      <c r="F54" s="26" t="s">
        <v>86</v>
      </c>
      <c r="G54" s="27">
        <v>765</v>
      </c>
      <c r="H54" s="27">
        <v>0</v>
      </c>
      <c r="I54" s="27">
        <f t="shared" si="3"/>
        <v>765</v>
      </c>
      <c r="J54" s="26" t="s">
        <v>446</v>
      </c>
      <c r="K54" s="26" t="s">
        <v>22</v>
      </c>
      <c r="L54" s="34" t="s">
        <v>598</v>
      </c>
      <c r="M54" s="26" t="s">
        <v>102</v>
      </c>
      <c r="N54" s="26" t="s">
        <v>448</v>
      </c>
      <c r="O54" s="26" t="s">
        <v>448</v>
      </c>
      <c r="P54" s="26" t="s">
        <v>449</v>
      </c>
      <c r="Q54" s="33">
        <v>1</v>
      </c>
    </row>
    <row r="55" spans="1:17" s="8" customFormat="1" x14ac:dyDescent="0.25">
      <c r="A55" s="26"/>
      <c r="B55" s="26" t="s">
        <v>16</v>
      </c>
      <c r="C55" s="26" t="s">
        <v>1025</v>
      </c>
      <c r="D55" s="26"/>
      <c r="E55" s="26" t="s">
        <v>1026</v>
      </c>
      <c r="F55" s="26" t="s">
        <v>79</v>
      </c>
      <c r="G55" s="27">
        <v>210</v>
      </c>
      <c r="H55" s="27">
        <v>0</v>
      </c>
      <c r="I55" s="27">
        <f t="shared" si="3"/>
        <v>210</v>
      </c>
      <c r="J55" s="26" t="s">
        <v>446</v>
      </c>
      <c r="K55" s="26" t="s">
        <v>22</v>
      </c>
      <c r="L55" s="26"/>
      <c r="M55" s="26" t="s">
        <v>1027</v>
      </c>
      <c r="N55" s="26" t="s">
        <v>448</v>
      </c>
      <c r="O55" s="26" t="s">
        <v>448</v>
      </c>
      <c r="P55" s="26" t="s">
        <v>449</v>
      </c>
      <c r="Q55" s="27">
        <v>1</v>
      </c>
    </row>
    <row r="56" spans="1:17" x14ac:dyDescent="0.25">
      <c r="D56" s="7">
        <f>COUNTA(D3:D55)</f>
        <v>46</v>
      </c>
      <c r="G56" s="7">
        <f t="shared" ref="G56:Q56" si="4">SUBTOTAL(9,G3:G55)</f>
        <v>46011</v>
      </c>
      <c r="H56" s="7">
        <f t="shared" si="4"/>
        <v>1335</v>
      </c>
      <c r="I56" s="7">
        <f t="shared" si="4"/>
        <v>44676</v>
      </c>
      <c r="J56" s="7">
        <f t="shared" si="4"/>
        <v>0</v>
      </c>
      <c r="K56" s="7">
        <f t="shared" si="4"/>
        <v>0</v>
      </c>
      <c r="L56" s="7">
        <f t="shared" si="4"/>
        <v>0</v>
      </c>
      <c r="M56" s="7">
        <f t="shared" si="4"/>
        <v>0</v>
      </c>
      <c r="N56" s="7">
        <f t="shared" si="4"/>
        <v>0</v>
      </c>
      <c r="O56" s="7">
        <f t="shared" si="4"/>
        <v>0</v>
      </c>
      <c r="P56" s="7">
        <f t="shared" si="4"/>
        <v>0</v>
      </c>
      <c r="Q56" s="7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7" t="s">
        <v>16</v>
      </c>
      <c r="C58" s="6" t="s">
        <v>89</v>
      </c>
      <c r="D58" s="6"/>
      <c r="E58" s="10" t="s">
        <v>90</v>
      </c>
      <c r="H58">
        <f>-3*25</f>
        <v>-75</v>
      </c>
      <c r="K58" s="13" t="s">
        <v>165</v>
      </c>
      <c r="L58" s="13" t="s">
        <v>91</v>
      </c>
      <c r="M58" s="13" t="s">
        <v>90</v>
      </c>
      <c r="O58" s="10" t="s">
        <v>92</v>
      </c>
    </row>
    <row r="59" spans="1:17" x14ac:dyDescent="0.25">
      <c r="A59" t="s">
        <v>895</v>
      </c>
      <c r="B59" s="9" t="s">
        <v>93</v>
      </c>
      <c r="C59" s="5">
        <f>SUMIFS(I$3:I$55,B$3:B$55,A$58,L$3:L$55,A$59)</f>
        <v>43701</v>
      </c>
      <c r="D59" s="5"/>
      <c r="E59" s="9">
        <f>SUMIFS(Q$3:Q$55,B$3:B$55,A$58,L$3:L$55,A$59)</f>
        <v>51</v>
      </c>
      <c r="F59" t="s">
        <v>94</v>
      </c>
      <c r="K59" t="s">
        <v>95</v>
      </c>
      <c r="L59">
        <f>SUMIFS(G$3:G$55,J$3:J$55,K$58)</f>
        <v>10891</v>
      </c>
      <c r="M59">
        <f>SUMIFS(Q$3:Q$55,J$3:J$55,K$58)</f>
        <v>17</v>
      </c>
      <c r="O59" t="s">
        <v>165</v>
      </c>
      <c r="P59">
        <f>L64</f>
        <v>9836</v>
      </c>
    </row>
    <row r="60" spans="1:17" x14ac:dyDescent="0.25">
      <c r="B60" s="8" t="s">
        <v>97</v>
      </c>
      <c r="C60" s="4">
        <v>0</v>
      </c>
      <c r="D60" s="4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22</v>
      </c>
      <c r="P60">
        <f>L72</f>
        <v>17129</v>
      </c>
    </row>
    <row r="61" spans="1:17" x14ac:dyDescent="0.25">
      <c r="B61" s="8" t="s">
        <v>99</v>
      </c>
      <c r="C61" s="4">
        <f>-SUMIFS(I$3:I$55,B$3:B$55,A$58,P$3:P$55,"xx",N$3:N$55,"x")</f>
        <v>-975</v>
      </c>
      <c r="D61" s="4"/>
      <c r="E61" s="8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10" t="s">
        <v>101</v>
      </c>
      <c r="C62" s="6">
        <f>SUBTOTAL(9,C59:C61)</f>
        <v>42726</v>
      </c>
      <c r="D62" s="6"/>
      <c r="E62">
        <f>E59</f>
        <v>51</v>
      </c>
      <c r="K62" s="8" t="s">
        <v>102</v>
      </c>
      <c r="L62" s="35">
        <v>-745</v>
      </c>
      <c r="M62" s="35" t="s">
        <v>451</v>
      </c>
      <c r="O62" t="s">
        <v>103</v>
      </c>
      <c r="P62">
        <f>-C66</f>
        <v>-42726</v>
      </c>
    </row>
    <row r="63" spans="1:17" x14ac:dyDescent="0.25">
      <c r="B63" s="8" t="s">
        <v>104</v>
      </c>
      <c r="C63" s="3"/>
      <c r="D63" s="3"/>
      <c r="K63" s="8" t="s">
        <v>105</v>
      </c>
      <c r="O63" s="10" t="s">
        <v>106</v>
      </c>
      <c r="P63" s="10">
        <f>SUBTOTAL(9,P59:P62)</f>
        <v>437</v>
      </c>
    </row>
    <row r="64" spans="1:17" x14ac:dyDescent="0.25">
      <c r="B64" s="14" t="s">
        <v>107</v>
      </c>
      <c r="C64" s="3"/>
      <c r="D64" s="3"/>
      <c r="L64" s="15">
        <f>SUBTOTAL(9,L59:L63)</f>
        <v>9836</v>
      </c>
      <c r="M64" s="15">
        <f>M59</f>
        <v>17</v>
      </c>
    </row>
    <row r="66" spans="2:13" x14ac:dyDescent="0.25">
      <c r="B66" s="7" t="s">
        <v>108</v>
      </c>
      <c r="C66" s="2">
        <f>C62+C63+C64</f>
        <v>42726</v>
      </c>
      <c r="D66" s="2"/>
      <c r="E66" s="7" t="s">
        <v>109</v>
      </c>
      <c r="K66" s="13" t="s">
        <v>22</v>
      </c>
      <c r="L66" s="13" t="s">
        <v>91</v>
      </c>
      <c r="M66" s="13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8" t="s">
        <v>102</v>
      </c>
    </row>
    <row r="71" spans="2:13" x14ac:dyDescent="0.25">
      <c r="K71" s="8" t="s">
        <v>105</v>
      </c>
    </row>
    <row r="72" spans="2:13" x14ac:dyDescent="0.25">
      <c r="L72" s="15">
        <f>SUBTOTAL(9,L67:L71)</f>
        <v>17129</v>
      </c>
      <c r="M72" s="15">
        <f>M67</f>
        <v>20</v>
      </c>
    </row>
    <row r="74" spans="2:13" x14ac:dyDescent="0.25">
      <c r="K74" s="13" t="s">
        <v>894</v>
      </c>
      <c r="L74" s="13" t="s">
        <v>91</v>
      </c>
      <c r="M74" s="13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8" t="s">
        <v>102</v>
      </c>
    </row>
    <row r="79" spans="2:13" x14ac:dyDescent="0.25">
      <c r="K79" s="8" t="s">
        <v>105</v>
      </c>
    </row>
    <row r="80" spans="2:13" x14ac:dyDescent="0.25">
      <c r="L80" s="15">
        <f>SUBTOTAL(9,L75:L79)</f>
        <v>16198</v>
      </c>
      <c r="M80" s="15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abSelected="1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1123</v>
      </c>
      <c r="D3" s="24" t="s">
        <v>1124</v>
      </c>
      <c r="E3" s="24" t="s">
        <v>1125</v>
      </c>
      <c r="F3" s="25">
        <v>9</v>
      </c>
      <c r="G3" s="25">
        <v>1520</v>
      </c>
      <c r="H3" s="25">
        <v>30</v>
      </c>
      <c r="I3" s="25">
        <f>G3-H3</f>
        <v>1490</v>
      </c>
      <c r="J3" s="24" t="s">
        <v>40</v>
      </c>
      <c r="K3" s="24" t="s">
        <v>22</v>
      </c>
      <c r="L3" s="24" t="s">
        <v>1030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676</v>
      </c>
      <c r="D4" s="24" t="s">
        <v>1031</v>
      </c>
      <c r="E4" s="24" t="s">
        <v>678</v>
      </c>
      <c r="F4" s="25">
        <v>6</v>
      </c>
      <c r="G4" s="25">
        <v>0</v>
      </c>
      <c r="H4" s="25">
        <v>25</v>
      </c>
      <c r="I4" s="25">
        <f>-H4</f>
        <v>-25</v>
      </c>
      <c r="J4" s="24" t="s">
        <v>1032</v>
      </c>
      <c r="K4" s="24" t="s">
        <v>22</v>
      </c>
      <c r="L4" s="24" t="s">
        <v>1030</v>
      </c>
      <c r="M4" s="24" t="s">
        <v>66</v>
      </c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1045</v>
      </c>
      <c r="D5" s="24" t="s">
        <v>1046</v>
      </c>
      <c r="E5" s="24" t="s">
        <v>1047</v>
      </c>
      <c r="F5" s="24" t="s">
        <v>20</v>
      </c>
      <c r="G5" s="25">
        <v>390</v>
      </c>
      <c r="H5" s="25">
        <v>30</v>
      </c>
      <c r="I5" s="25">
        <f>G5-H5</f>
        <v>360</v>
      </c>
      <c r="J5" s="24" t="s">
        <v>1032</v>
      </c>
      <c r="K5" s="24" t="s">
        <v>22</v>
      </c>
      <c r="L5" s="24" t="s">
        <v>1030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1048</v>
      </c>
      <c r="D6" s="24" t="s">
        <v>1049</v>
      </c>
      <c r="E6" s="24" t="s">
        <v>1050</v>
      </c>
      <c r="F6" s="25">
        <v>7</v>
      </c>
      <c r="G6" s="25">
        <v>0</v>
      </c>
      <c r="H6" s="25">
        <v>30</v>
      </c>
      <c r="I6" s="25">
        <f>-H6</f>
        <v>-30</v>
      </c>
      <c r="J6" s="24" t="s">
        <v>1032</v>
      </c>
      <c r="K6" s="24" t="s">
        <v>22</v>
      </c>
      <c r="L6" s="24" t="s">
        <v>1030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1054</v>
      </c>
      <c r="D7" s="24" t="s">
        <v>1055</v>
      </c>
      <c r="E7" s="24" t="s">
        <v>1056</v>
      </c>
      <c r="F7" s="24" t="s">
        <v>153</v>
      </c>
      <c r="G7" s="25">
        <v>0</v>
      </c>
      <c r="H7" s="25">
        <v>30</v>
      </c>
      <c r="I7" s="25">
        <f>-H7</f>
        <v>-30</v>
      </c>
      <c r="J7" s="24" t="s">
        <v>1032</v>
      </c>
      <c r="K7" s="24" t="s">
        <v>22</v>
      </c>
      <c r="L7" s="24" t="s">
        <v>1030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1060</v>
      </c>
      <c r="D8" s="24" t="s">
        <v>1061</v>
      </c>
      <c r="E8" s="24" t="s">
        <v>1062</v>
      </c>
      <c r="F8" s="24" t="s">
        <v>86</v>
      </c>
      <c r="G8" s="25">
        <v>0</v>
      </c>
      <c r="H8" s="25">
        <v>25</v>
      </c>
      <c r="I8" s="25">
        <f>-H8</f>
        <v>-25</v>
      </c>
      <c r="J8" s="24" t="s">
        <v>1032</v>
      </c>
      <c r="K8" s="24" t="s">
        <v>22</v>
      </c>
      <c r="L8" s="24" t="s">
        <v>1030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1066</v>
      </c>
      <c r="D9" s="24" t="s">
        <v>1067</v>
      </c>
      <c r="E9" s="24" t="s">
        <v>1068</v>
      </c>
      <c r="F9" s="25">
        <v>6</v>
      </c>
      <c r="G9" s="25">
        <v>915</v>
      </c>
      <c r="H9" s="25">
        <v>25</v>
      </c>
      <c r="I9" s="25">
        <f>G9-H9</f>
        <v>890</v>
      </c>
      <c r="J9" s="24" t="s">
        <v>1032</v>
      </c>
      <c r="K9" s="24" t="s">
        <v>22</v>
      </c>
      <c r="L9" s="24" t="s">
        <v>1030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1081</v>
      </c>
      <c r="D10" s="24" t="s">
        <v>1082</v>
      </c>
      <c r="E10" s="24" t="s">
        <v>1083</v>
      </c>
      <c r="F10" s="24" t="s">
        <v>113</v>
      </c>
      <c r="G10" s="25">
        <v>1365</v>
      </c>
      <c r="H10" s="25">
        <v>35</v>
      </c>
      <c r="I10" s="25">
        <f>G10-H10</f>
        <v>1330</v>
      </c>
      <c r="J10" s="24" t="s">
        <v>1032</v>
      </c>
      <c r="K10" s="24" t="s">
        <v>22</v>
      </c>
      <c r="L10" s="24" t="s">
        <v>1030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1084</v>
      </c>
      <c r="D11" s="24" t="s">
        <v>1085</v>
      </c>
      <c r="E11" s="24" t="s">
        <v>1086</v>
      </c>
      <c r="F11" s="24" t="s">
        <v>217</v>
      </c>
      <c r="G11" s="25">
        <v>2970</v>
      </c>
      <c r="H11" s="25">
        <v>30</v>
      </c>
      <c r="I11" s="25">
        <f>G11-H11</f>
        <v>2940</v>
      </c>
      <c r="J11" s="24" t="s">
        <v>1032</v>
      </c>
      <c r="K11" s="24" t="s">
        <v>22</v>
      </c>
      <c r="L11" s="24" t="s">
        <v>1030</v>
      </c>
      <c r="M11" s="24" t="s">
        <v>398</v>
      </c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1093</v>
      </c>
      <c r="D12" s="24" t="s">
        <v>1094</v>
      </c>
      <c r="E12" s="24" t="s">
        <v>1095</v>
      </c>
      <c r="F12" s="25">
        <v>7</v>
      </c>
      <c r="G12" s="25">
        <v>1390</v>
      </c>
      <c r="H12" s="25">
        <v>30</v>
      </c>
      <c r="I12" s="25">
        <f>G12-H12</f>
        <v>1360</v>
      </c>
      <c r="J12" s="24" t="s">
        <v>1032</v>
      </c>
      <c r="K12" s="24" t="s">
        <v>22</v>
      </c>
      <c r="L12" s="24" t="s">
        <v>1030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1102</v>
      </c>
      <c r="D13" s="24" t="s">
        <v>1103</v>
      </c>
      <c r="E13" s="24" t="s">
        <v>1104</v>
      </c>
      <c r="F13" s="25">
        <v>12</v>
      </c>
      <c r="G13" s="25">
        <v>890</v>
      </c>
      <c r="H13" s="25">
        <v>30</v>
      </c>
      <c r="I13" s="25">
        <f>G13-H13</f>
        <v>860</v>
      </c>
      <c r="J13" s="24" t="s">
        <v>1032</v>
      </c>
      <c r="K13" s="24" t="s">
        <v>22</v>
      </c>
      <c r="L13" s="24" t="s">
        <v>1030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1108</v>
      </c>
      <c r="D14" s="24" t="s">
        <v>1109</v>
      </c>
      <c r="E14" s="24" t="s">
        <v>1110</v>
      </c>
      <c r="F14" s="24" t="s">
        <v>20</v>
      </c>
      <c r="G14" s="25">
        <v>1450</v>
      </c>
      <c r="H14" s="25">
        <v>30</v>
      </c>
      <c r="I14" s="25">
        <f>G14-H14</f>
        <v>1420</v>
      </c>
      <c r="J14" s="24" t="s">
        <v>1032</v>
      </c>
      <c r="K14" s="24" t="s">
        <v>22</v>
      </c>
      <c r="L14" s="24" t="s">
        <v>1030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1114</v>
      </c>
      <c r="D15" s="24" t="s">
        <v>1115</v>
      </c>
      <c r="E15" s="24" t="s">
        <v>1116</v>
      </c>
      <c r="F15" s="25">
        <v>12</v>
      </c>
      <c r="G15" s="25">
        <v>0</v>
      </c>
      <c r="H15" s="25">
        <v>30</v>
      </c>
      <c r="I15" s="25">
        <f>-H15</f>
        <v>-30</v>
      </c>
      <c r="J15" s="24" t="s">
        <v>1032</v>
      </c>
      <c r="K15" s="24" t="s">
        <v>22</v>
      </c>
      <c r="L15" s="24" t="s">
        <v>1030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1117</v>
      </c>
      <c r="D16" s="24" t="s">
        <v>1118</v>
      </c>
      <c r="E16" s="24" t="s">
        <v>1119</v>
      </c>
      <c r="F16" s="25">
        <v>7</v>
      </c>
      <c r="G16" s="25">
        <v>1120</v>
      </c>
      <c r="H16" s="25">
        <v>30</v>
      </c>
      <c r="I16" s="25">
        <f>G16-H16</f>
        <v>1090</v>
      </c>
      <c r="J16" s="24" t="s">
        <v>1032</v>
      </c>
      <c r="K16" s="24" t="s">
        <v>22</v>
      </c>
      <c r="L16" s="24" t="s">
        <v>1030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1131</v>
      </c>
      <c r="D17" s="24" t="s">
        <v>1132</v>
      </c>
      <c r="E17" s="24" t="s">
        <v>1133</v>
      </c>
      <c r="F17" s="24" t="s">
        <v>128</v>
      </c>
      <c r="G17" s="25">
        <v>925</v>
      </c>
      <c r="H17" s="25">
        <v>35</v>
      </c>
      <c r="I17" s="25">
        <f>G17-H17</f>
        <v>890</v>
      </c>
      <c r="J17" s="24" t="s">
        <v>1032</v>
      </c>
      <c r="K17" s="24" t="s">
        <v>22</v>
      </c>
      <c r="L17" s="24" t="s">
        <v>1030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247</v>
      </c>
      <c r="D18" s="24" t="s">
        <v>1134</v>
      </c>
      <c r="E18" s="24" t="s">
        <v>918</v>
      </c>
      <c r="F18" s="24" t="s">
        <v>20</v>
      </c>
      <c r="G18" s="25">
        <v>3250</v>
      </c>
      <c r="H18" s="25">
        <v>35</v>
      </c>
      <c r="I18" s="25">
        <f>G18-H18</f>
        <v>3215</v>
      </c>
      <c r="J18" s="24" t="s">
        <v>1032</v>
      </c>
      <c r="K18" s="24" t="s">
        <v>22</v>
      </c>
      <c r="L18" s="24" t="s">
        <v>1030</v>
      </c>
      <c r="M18" s="24" t="s">
        <v>398</v>
      </c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1138</v>
      </c>
      <c r="D19" s="24" t="s">
        <v>1139</v>
      </c>
      <c r="E19" s="24" t="s">
        <v>1140</v>
      </c>
      <c r="F19" s="25">
        <v>7</v>
      </c>
      <c r="G19" s="25">
        <v>380</v>
      </c>
      <c r="H19" s="25">
        <v>30</v>
      </c>
      <c r="I19" s="25">
        <f>G19-H19</f>
        <v>350</v>
      </c>
      <c r="J19" s="24" t="s">
        <v>1032</v>
      </c>
      <c r="K19" s="24" t="s">
        <v>22</v>
      </c>
      <c r="L19" s="24" t="s">
        <v>1030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1141</v>
      </c>
      <c r="D20" s="24" t="s">
        <v>1142</v>
      </c>
      <c r="E20" s="24" t="s">
        <v>1143</v>
      </c>
      <c r="F20" s="25">
        <v>6</v>
      </c>
      <c r="G20" s="25">
        <v>815</v>
      </c>
      <c r="H20" s="25">
        <v>25</v>
      </c>
      <c r="I20" s="25">
        <f>G20-H20</f>
        <v>790</v>
      </c>
      <c r="J20" s="24" t="s">
        <v>1032</v>
      </c>
      <c r="K20" s="24" t="s">
        <v>22</v>
      </c>
      <c r="L20" s="24" t="s">
        <v>1030</v>
      </c>
      <c r="M20" s="24"/>
      <c r="N20" s="24"/>
      <c r="O20" s="24"/>
      <c r="P20" s="24"/>
      <c r="Q20" s="24">
        <v>1</v>
      </c>
    </row>
    <row r="21" spans="1:17" x14ac:dyDescent="0.25">
      <c r="A21" s="24" t="s">
        <v>83</v>
      </c>
      <c r="B21" s="24" t="s">
        <v>16</v>
      </c>
      <c r="C21" s="24" t="s">
        <v>936</v>
      </c>
      <c r="D21" s="24"/>
      <c r="E21" s="24" t="s">
        <v>1029</v>
      </c>
      <c r="F21" s="25">
        <v>2</v>
      </c>
      <c r="G21" s="25">
        <v>35</v>
      </c>
      <c r="H21" s="25">
        <v>35</v>
      </c>
      <c r="I21" s="25">
        <f>G21-H21</f>
        <v>0</v>
      </c>
      <c r="J21" s="24" t="s">
        <v>22</v>
      </c>
      <c r="K21" s="24" t="s">
        <v>22</v>
      </c>
      <c r="L21" s="24" t="s">
        <v>1030</v>
      </c>
      <c r="M21" s="24"/>
      <c r="N21" s="24"/>
      <c r="O21" s="24"/>
      <c r="P21" s="24"/>
      <c r="Q21" s="24">
        <v>1</v>
      </c>
    </row>
    <row r="22" spans="1:17" x14ac:dyDescent="0.25">
      <c r="A22" s="24" t="s">
        <v>83</v>
      </c>
      <c r="B22" s="24" t="s">
        <v>16</v>
      </c>
      <c r="C22" s="24" t="s">
        <v>318</v>
      </c>
      <c r="D22" s="24"/>
      <c r="E22" s="24" t="s">
        <v>319</v>
      </c>
      <c r="F22" s="24" t="s">
        <v>44</v>
      </c>
      <c r="G22" s="25">
        <v>30</v>
      </c>
      <c r="H22" s="25">
        <v>30</v>
      </c>
      <c r="I22" s="25">
        <f>G22-H22</f>
        <v>0</v>
      </c>
      <c r="J22" s="24" t="s">
        <v>22</v>
      </c>
      <c r="K22" s="24" t="s">
        <v>22</v>
      </c>
      <c r="L22" s="24" t="s">
        <v>1030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1039</v>
      </c>
      <c r="D23" s="24" t="s">
        <v>1040</v>
      </c>
      <c r="E23" s="24" t="s">
        <v>1041</v>
      </c>
      <c r="F23" s="24" t="s">
        <v>36</v>
      </c>
      <c r="G23" s="25">
        <v>510</v>
      </c>
      <c r="H23" s="25">
        <v>20</v>
      </c>
      <c r="I23" s="25">
        <f>G23-H23</f>
        <v>490</v>
      </c>
      <c r="J23" s="24" t="s">
        <v>22</v>
      </c>
      <c r="K23" s="24" t="s">
        <v>22</v>
      </c>
      <c r="L23" s="24" t="s">
        <v>1030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1063</v>
      </c>
      <c r="D24" s="24" t="s">
        <v>1064</v>
      </c>
      <c r="E24" s="24" t="s">
        <v>1065</v>
      </c>
      <c r="F24" s="25">
        <v>2</v>
      </c>
      <c r="G24" s="25">
        <v>520</v>
      </c>
      <c r="H24" s="25">
        <v>30</v>
      </c>
      <c r="I24" s="25">
        <f>G24-H24</f>
        <v>490</v>
      </c>
      <c r="J24" s="24" t="s">
        <v>22</v>
      </c>
      <c r="K24" s="24" t="s">
        <v>22</v>
      </c>
      <c r="L24" s="24" t="s">
        <v>1030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1069</v>
      </c>
      <c r="D25" s="24" t="s">
        <v>1070</v>
      </c>
      <c r="E25" s="24" t="s">
        <v>1071</v>
      </c>
      <c r="F25" s="24" t="s">
        <v>36</v>
      </c>
      <c r="G25" s="25">
        <v>510</v>
      </c>
      <c r="H25" s="25">
        <v>20</v>
      </c>
      <c r="I25" s="25">
        <f>G25-H25</f>
        <v>490</v>
      </c>
      <c r="J25" s="24" t="s">
        <v>22</v>
      </c>
      <c r="K25" s="24" t="s">
        <v>22</v>
      </c>
      <c r="L25" s="24" t="s">
        <v>1030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1090</v>
      </c>
      <c r="D26" s="24" t="s">
        <v>1091</v>
      </c>
      <c r="E26" s="24" t="s">
        <v>1092</v>
      </c>
      <c r="F26" s="24" t="s">
        <v>153</v>
      </c>
      <c r="G26" s="25">
        <v>470</v>
      </c>
      <c r="H26" s="25">
        <v>30</v>
      </c>
      <c r="I26" s="25">
        <f>G26-H26</f>
        <v>440</v>
      </c>
      <c r="J26" s="24" t="s">
        <v>22</v>
      </c>
      <c r="K26" s="24" t="s">
        <v>22</v>
      </c>
      <c r="L26" s="24" t="s">
        <v>1030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1096</v>
      </c>
      <c r="D27" s="24" t="s">
        <v>1097</v>
      </c>
      <c r="E27" s="24" t="s">
        <v>1098</v>
      </c>
      <c r="F27" s="24" t="s">
        <v>44</v>
      </c>
      <c r="G27" s="25">
        <v>0</v>
      </c>
      <c r="H27" s="25">
        <v>25</v>
      </c>
      <c r="I27" s="25">
        <f>-H27</f>
        <v>-25</v>
      </c>
      <c r="J27" s="24" t="s">
        <v>22</v>
      </c>
      <c r="K27" s="24" t="s">
        <v>22</v>
      </c>
      <c r="L27" s="24" t="s">
        <v>1030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1105</v>
      </c>
      <c r="D28" s="24" t="s">
        <v>1106</v>
      </c>
      <c r="E28" s="24" t="s">
        <v>1107</v>
      </c>
      <c r="F28" s="25">
        <v>2</v>
      </c>
      <c r="G28" s="25">
        <v>790</v>
      </c>
      <c r="H28" s="25">
        <v>30</v>
      </c>
      <c r="I28" s="25">
        <f>G28-H28</f>
        <v>760</v>
      </c>
      <c r="J28" s="24" t="s">
        <v>22</v>
      </c>
      <c r="K28" s="24" t="s">
        <v>22</v>
      </c>
      <c r="L28" s="24" t="s">
        <v>1030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1126</v>
      </c>
      <c r="D29" s="24" t="s">
        <v>1127</v>
      </c>
      <c r="E29" s="24" t="s">
        <v>1128</v>
      </c>
      <c r="F29" s="24" t="s">
        <v>36</v>
      </c>
      <c r="G29" s="25">
        <v>910</v>
      </c>
      <c r="H29" s="25">
        <v>20</v>
      </c>
      <c r="I29" s="25">
        <f>G29-H29</f>
        <v>890</v>
      </c>
      <c r="J29" s="24" t="s">
        <v>22</v>
      </c>
      <c r="K29" s="24" t="s">
        <v>22</v>
      </c>
      <c r="L29" s="24" t="s">
        <v>1030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1033</v>
      </c>
      <c r="D30" s="24" t="s">
        <v>1034</v>
      </c>
      <c r="E30" s="24" t="s">
        <v>1035</v>
      </c>
      <c r="F30" s="25">
        <v>3</v>
      </c>
      <c r="G30" s="25">
        <v>535</v>
      </c>
      <c r="H30" s="25">
        <v>25</v>
      </c>
      <c r="I30" s="25">
        <f>G30-H30</f>
        <v>510</v>
      </c>
      <c r="J30" s="24" t="s">
        <v>165</v>
      </c>
      <c r="K30" s="24" t="s">
        <v>22</v>
      </c>
      <c r="L30" s="24" t="s">
        <v>1030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1036</v>
      </c>
      <c r="D31" s="24" t="s">
        <v>1037</v>
      </c>
      <c r="E31" s="24" t="s">
        <v>1038</v>
      </c>
      <c r="F31" s="25">
        <v>3</v>
      </c>
      <c r="G31" s="25">
        <v>1005</v>
      </c>
      <c r="H31" s="25">
        <v>25</v>
      </c>
      <c r="I31" s="25">
        <f>G31-H31</f>
        <v>980</v>
      </c>
      <c r="J31" s="24" t="s">
        <v>165</v>
      </c>
      <c r="K31" s="24" t="s">
        <v>22</v>
      </c>
      <c r="L31" s="24" t="s">
        <v>1030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1042</v>
      </c>
      <c r="D32" s="24" t="s">
        <v>1043</v>
      </c>
      <c r="E32" s="24" t="s">
        <v>1044</v>
      </c>
      <c r="F32" s="25">
        <v>1</v>
      </c>
      <c r="G32" s="25">
        <v>375</v>
      </c>
      <c r="H32" s="25">
        <v>25</v>
      </c>
      <c r="I32" s="25">
        <f>G32-H32</f>
        <v>350</v>
      </c>
      <c r="J32" s="24" t="s">
        <v>165</v>
      </c>
      <c r="K32" s="24" t="s">
        <v>22</v>
      </c>
      <c r="L32" s="24" t="s">
        <v>1030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1051</v>
      </c>
      <c r="D33" s="24" t="s">
        <v>1052</v>
      </c>
      <c r="E33" s="24" t="s">
        <v>1053</v>
      </c>
      <c r="F33" s="25">
        <v>4</v>
      </c>
      <c r="G33" s="25">
        <v>845</v>
      </c>
      <c r="H33" s="25">
        <v>25</v>
      </c>
      <c r="I33" s="25">
        <f>G33-H33</f>
        <v>820</v>
      </c>
      <c r="J33" s="24" t="s">
        <v>165</v>
      </c>
      <c r="K33" s="24" t="s">
        <v>22</v>
      </c>
      <c r="L33" s="24" t="s">
        <v>1030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1057</v>
      </c>
      <c r="D34" s="24" t="s">
        <v>1058</v>
      </c>
      <c r="E34" s="24" t="s">
        <v>1059</v>
      </c>
      <c r="F34" s="24" t="s">
        <v>86</v>
      </c>
      <c r="G34" s="25">
        <v>0</v>
      </c>
      <c r="H34" s="25">
        <v>25</v>
      </c>
      <c r="I34" s="25">
        <f>-H34</f>
        <v>-25</v>
      </c>
      <c r="J34" s="24" t="s">
        <v>165</v>
      </c>
      <c r="K34" s="24" t="s">
        <v>22</v>
      </c>
      <c r="L34" s="24" t="s">
        <v>1030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1072</v>
      </c>
      <c r="D35" s="24" t="s">
        <v>1073</v>
      </c>
      <c r="E35" s="24" t="s">
        <v>1074</v>
      </c>
      <c r="F35" s="24" t="s">
        <v>79</v>
      </c>
      <c r="G35" s="25">
        <v>560</v>
      </c>
      <c r="H35" s="25">
        <v>20</v>
      </c>
      <c r="I35" s="25">
        <f>G35-H35</f>
        <v>540</v>
      </c>
      <c r="J35" s="24" t="s">
        <v>165</v>
      </c>
      <c r="K35" s="24" t="s">
        <v>22</v>
      </c>
      <c r="L35" s="24" t="s">
        <v>1030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1075</v>
      </c>
      <c r="D36" s="24" t="s">
        <v>1076</v>
      </c>
      <c r="E36" s="24" t="s">
        <v>1077</v>
      </c>
      <c r="F36" s="25">
        <v>10</v>
      </c>
      <c r="G36" s="25">
        <v>445</v>
      </c>
      <c r="H36" s="25">
        <v>25</v>
      </c>
      <c r="I36" s="25">
        <f>G36-H36</f>
        <v>420</v>
      </c>
      <c r="J36" s="24" t="s">
        <v>165</v>
      </c>
      <c r="K36" s="24" t="s">
        <v>22</v>
      </c>
      <c r="L36" s="24" t="s">
        <v>1030</v>
      </c>
      <c r="M36" s="24" t="s">
        <v>66</v>
      </c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1078</v>
      </c>
      <c r="D37" s="24" t="s">
        <v>1079</v>
      </c>
      <c r="E37" s="24" t="s">
        <v>1080</v>
      </c>
      <c r="F37" s="25">
        <v>5</v>
      </c>
      <c r="G37" s="25">
        <v>515</v>
      </c>
      <c r="H37" s="25">
        <v>25</v>
      </c>
      <c r="I37" s="25">
        <f>G37-H37</f>
        <v>490</v>
      </c>
      <c r="J37" s="24" t="s">
        <v>165</v>
      </c>
      <c r="K37" s="24" t="s">
        <v>22</v>
      </c>
      <c r="L37" s="24" t="s">
        <v>1030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1087</v>
      </c>
      <c r="D38" s="24" t="s">
        <v>1088</v>
      </c>
      <c r="E38" s="24" t="s">
        <v>1089</v>
      </c>
      <c r="F38" s="24" t="s">
        <v>79</v>
      </c>
      <c r="G38" s="25">
        <v>1350</v>
      </c>
      <c r="H38" s="25">
        <v>20</v>
      </c>
      <c r="I38" s="25">
        <f>G38-H38</f>
        <v>1330</v>
      </c>
      <c r="J38" s="24" t="s">
        <v>165</v>
      </c>
      <c r="K38" s="24" t="s">
        <v>22</v>
      </c>
      <c r="L38" s="24" t="s">
        <v>1030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1099</v>
      </c>
      <c r="D39" s="24" t="s">
        <v>1100</v>
      </c>
      <c r="E39" s="24" t="s">
        <v>1101</v>
      </c>
      <c r="F39" s="25">
        <v>4</v>
      </c>
      <c r="G39" s="25">
        <v>785</v>
      </c>
      <c r="H39" s="25">
        <v>25</v>
      </c>
      <c r="I39" s="25">
        <f>G39-H39</f>
        <v>760</v>
      </c>
      <c r="J39" s="24" t="s">
        <v>165</v>
      </c>
      <c r="K39" s="24" t="s">
        <v>22</v>
      </c>
      <c r="L39" s="24" t="s">
        <v>1030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1111</v>
      </c>
      <c r="D40" s="24" t="s">
        <v>1112</v>
      </c>
      <c r="E40" s="24" t="s">
        <v>1113</v>
      </c>
      <c r="F40" s="25">
        <v>1</v>
      </c>
      <c r="G40" s="25">
        <v>515</v>
      </c>
      <c r="H40" s="25">
        <v>25</v>
      </c>
      <c r="I40" s="25">
        <f>G40-H40</f>
        <v>490</v>
      </c>
      <c r="J40" s="24" t="s">
        <v>165</v>
      </c>
      <c r="K40" s="24" t="s">
        <v>22</v>
      </c>
      <c r="L40" s="24" t="s">
        <v>1030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1120</v>
      </c>
      <c r="D41" s="24" t="s">
        <v>1121</v>
      </c>
      <c r="E41" s="24" t="s">
        <v>1122</v>
      </c>
      <c r="F41" s="25">
        <v>3</v>
      </c>
      <c r="G41" s="25">
        <v>0</v>
      </c>
      <c r="H41" s="25">
        <v>25</v>
      </c>
      <c r="I41" s="25">
        <f>-H41</f>
        <v>-25</v>
      </c>
      <c r="J41" s="24" t="s">
        <v>165</v>
      </c>
      <c r="K41" s="24" t="s">
        <v>22</v>
      </c>
      <c r="L41" s="24" t="s">
        <v>1030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985</v>
      </c>
      <c r="D42" s="24" t="s">
        <v>1129</v>
      </c>
      <c r="E42" s="24" t="s">
        <v>1130</v>
      </c>
      <c r="F42" s="24" t="s">
        <v>79</v>
      </c>
      <c r="G42" s="25">
        <v>1110</v>
      </c>
      <c r="H42" s="25">
        <v>20</v>
      </c>
      <c r="I42" s="25">
        <f>G42-H42</f>
        <v>1090</v>
      </c>
      <c r="J42" s="24" t="s">
        <v>165</v>
      </c>
      <c r="K42" s="24" t="s">
        <v>22</v>
      </c>
      <c r="L42" s="24" t="s">
        <v>1030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1135</v>
      </c>
      <c r="D43" s="24" t="s">
        <v>1136</v>
      </c>
      <c r="E43" s="24" t="s">
        <v>1137</v>
      </c>
      <c r="F43" s="25">
        <v>4</v>
      </c>
      <c r="G43" s="25">
        <v>715</v>
      </c>
      <c r="H43" s="25">
        <v>25</v>
      </c>
      <c r="I43" s="25">
        <f>G43-H43</f>
        <v>690</v>
      </c>
      <c r="J43" s="24" t="s">
        <v>165</v>
      </c>
      <c r="K43" s="24" t="s">
        <v>22</v>
      </c>
      <c r="L43" s="24" t="s">
        <v>1030</v>
      </c>
      <c r="M43" s="24"/>
      <c r="N43" s="24"/>
      <c r="O43" s="24"/>
      <c r="P43" s="24"/>
      <c r="Q43" s="24">
        <v>1</v>
      </c>
    </row>
    <row r="45" spans="1:17" x14ac:dyDescent="0.25">
      <c r="D45" s="7">
        <f>COUNTA(D3:D43)</f>
        <v>39</v>
      </c>
      <c r="G45" s="7">
        <f t="shared" ref="G45:Q45" si="0">SUBTOTAL(9,G3:G43)</f>
        <v>29910</v>
      </c>
      <c r="H45" s="7">
        <f t="shared" si="0"/>
        <v>1110</v>
      </c>
      <c r="I45" s="7">
        <f t="shared" si="0"/>
        <v>28800</v>
      </c>
      <c r="J45" s="7">
        <f t="shared" si="0"/>
        <v>0</v>
      </c>
      <c r="K45" s="7">
        <f t="shared" si="0"/>
        <v>0</v>
      </c>
      <c r="L45" s="7">
        <f t="shared" si="0"/>
        <v>0</v>
      </c>
      <c r="M45" s="7">
        <f t="shared" si="0"/>
        <v>0</v>
      </c>
      <c r="N45" s="7">
        <f t="shared" si="0"/>
        <v>0</v>
      </c>
      <c r="O45" s="7">
        <f t="shared" si="0"/>
        <v>0</v>
      </c>
      <c r="P45" s="7">
        <f t="shared" si="0"/>
        <v>0</v>
      </c>
      <c r="Q45" s="7">
        <f t="shared" si="0"/>
        <v>41</v>
      </c>
    </row>
    <row r="46" spans="1:17" x14ac:dyDescent="0.25">
      <c r="H46">
        <f>-9*17</f>
        <v>-153</v>
      </c>
    </row>
    <row r="47" spans="1:17" x14ac:dyDescent="0.25">
      <c r="A47" s="7" t="s">
        <v>16</v>
      </c>
      <c r="C47" s="6" t="s">
        <v>89</v>
      </c>
      <c r="D47" s="6"/>
      <c r="E47" s="10" t="s">
        <v>90</v>
      </c>
      <c r="H47">
        <f>-6*25</f>
        <v>-150</v>
      </c>
      <c r="K47" s="13" t="s">
        <v>22</v>
      </c>
      <c r="L47" s="13" t="s">
        <v>91</v>
      </c>
      <c r="M47" s="13" t="s">
        <v>90</v>
      </c>
      <c r="O47" s="10" t="s">
        <v>92</v>
      </c>
    </row>
    <row r="48" spans="1:17" x14ac:dyDescent="0.25">
      <c r="A48" t="s">
        <v>1030</v>
      </c>
      <c r="B48" s="9" t="s">
        <v>93</v>
      </c>
      <c r="C48" s="5">
        <f>SUMIFS(I$3:I$43,B$3:B$43,A$47,L$3:L$43,A$48)</f>
        <v>28800</v>
      </c>
      <c r="D48" s="5"/>
      <c r="E48" s="9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22</v>
      </c>
      <c r="P48">
        <f>L53</f>
        <v>3498</v>
      </c>
    </row>
    <row r="49" spans="2:16" x14ac:dyDescent="0.25">
      <c r="B49" s="8" t="s">
        <v>97</v>
      </c>
      <c r="C49" s="4">
        <v>0</v>
      </c>
      <c r="D49" s="4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8" t="s">
        <v>99</v>
      </c>
      <c r="C50" s="4">
        <f>-SUMIFS(I$3:I$43,B$3:B$43,A$47,P$3:P$43,"xx",N$3:N$43,"x")</f>
        <v>0</v>
      </c>
      <c r="D50" s="4"/>
      <c r="E50" s="8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10" t="s">
        <v>101</v>
      </c>
      <c r="C51" s="6">
        <f>SUBTOTAL(9,C48:C50)</f>
        <v>28800</v>
      </c>
      <c r="D51" s="6"/>
      <c r="E51">
        <f>E48</f>
        <v>41</v>
      </c>
      <c r="K51" s="8" t="s">
        <v>102</v>
      </c>
      <c r="O51" t="s">
        <v>40</v>
      </c>
      <c r="P51">
        <f>L77</f>
        <v>1495</v>
      </c>
    </row>
    <row r="52" spans="2:16" x14ac:dyDescent="0.25">
      <c r="B52" s="8" t="s">
        <v>104</v>
      </c>
      <c r="C52" s="3"/>
      <c r="D52" s="3"/>
      <c r="K52" s="8" t="s">
        <v>105</v>
      </c>
      <c r="O52" t="s">
        <v>103</v>
      </c>
      <c r="P52">
        <f>-C55</f>
        <v>-28800</v>
      </c>
    </row>
    <row r="53" spans="2:16" x14ac:dyDescent="0.25">
      <c r="B53" s="14" t="s">
        <v>107</v>
      </c>
      <c r="C53" s="3"/>
      <c r="D53" s="3"/>
      <c r="L53" s="15">
        <f>SUBTOTAL(9,L48:L52)</f>
        <v>3498</v>
      </c>
      <c r="M53" s="15">
        <f>M48</f>
        <v>9</v>
      </c>
      <c r="O53" s="10" t="s">
        <v>106</v>
      </c>
      <c r="P53" s="10">
        <f>SUBTOTAL(9,P48:P52)</f>
        <v>180</v>
      </c>
    </row>
    <row r="55" spans="2:16" x14ac:dyDescent="0.25">
      <c r="B55" s="7" t="s">
        <v>108</v>
      </c>
      <c r="C55" s="2">
        <f>C51+C52+C53</f>
        <v>28800</v>
      </c>
      <c r="D55" s="2"/>
      <c r="E55" s="7" t="s">
        <v>109</v>
      </c>
      <c r="K55" s="13" t="s">
        <v>1032</v>
      </c>
      <c r="L55" s="13" t="s">
        <v>91</v>
      </c>
      <c r="M55" s="13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8" t="s">
        <v>102</v>
      </c>
    </row>
    <row r="60" spans="2:16" x14ac:dyDescent="0.25">
      <c r="K60" s="8" t="s">
        <v>105</v>
      </c>
    </row>
    <row r="61" spans="2:16" x14ac:dyDescent="0.25">
      <c r="L61" s="15">
        <f>SUBTOTAL(9,L56:L60)</f>
        <v>15497</v>
      </c>
      <c r="M61" s="15">
        <f>M56</f>
        <v>17</v>
      </c>
    </row>
    <row r="63" spans="2:16" x14ac:dyDescent="0.25">
      <c r="K63" s="13" t="s">
        <v>165</v>
      </c>
      <c r="L63" s="13" t="s">
        <v>91</v>
      </c>
      <c r="M63" s="13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8" t="s">
        <v>102</v>
      </c>
    </row>
    <row r="68" spans="11:13" x14ac:dyDescent="0.25">
      <c r="K68" s="8" t="s">
        <v>105</v>
      </c>
    </row>
    <row r="69" spans="11:13" x14ac:dyDescent="0.25">
      <c r="L69" s="15">
        <f>SUBTOTAL(9,L64:L68)</f>
        <v>8490</v>
      </c>
      <c r="M69" s="15">
        <f>M64</f>
        <v>14</v>
      </c>
    </row>
    <row r="71" spans="11:13" x14ac:dyDescent="0.25">
      <c r="K71" s="13" t="s">
        <v>40</v>
      </c>
      <c r="L71" s="13" t="s">
        <v>91</v>
      </c>
      <c r="M71" s="13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8" t="s">
        <v>102</v>
      </c>
    </row>
    <row r="76" spans="11:13" x14ac:dyDescent="0.25">
      <c r="K76" s="8" t="s">
        <v>105</v>
      </c>
    </row>
    <row r="77" spans="11:13" x14ac:dyDescent="0.25">
      <c r="L77" s="15">
        <f>SUBTOTAL(9,L72:L76)</f>
        <v>1495</v>
      </c>
      <c r="M77" s="15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2026-04-11T07:34:47Z</dcterms:modified>
</cp:coreProperties>
</file>