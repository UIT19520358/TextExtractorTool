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56E63685-74B6-4678-B9F9-3399BB30265C}" xr6:coauthVersionLast="47" xr6:coauthVersionMax="47" xr10:uidLastSave="{00000000-0000-0000-0000-000000000000}"/>
  <bookViews>
    <workbookView xWindow="-120" yWindow="-120" windowWidth="29040" windowHeight="15720" firstSheet="8" activeTab="21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  <sheet name="11-04" sheetId="15" r:id="rId10"/>
    <sheet name="13-04" sheetId="16" r:id="rId11"/>
    <sheet name="14-04" sheetId="17" r:id="rId12"/>
    <sheet name="15-04" sheetId="18" r:id="rId13"/>
    <sheet name="16-04" sheetId="20" r:id="rId14"/>
    <sheet name="17-04" sheetId="21" r:id="rId15"/>
    <sheet name="18-04" sheetId="22" r:id="rId16"/>
    <sheet name="20-04" sheetId="23" r:id="rId17"/>
    <sheet name="21-04" sheetId="24" r:id="rId18"/>
    <sheet name="22-04" sheetId="25" r:id="rId19"/>
    <sheet name="23-04" sheetId="26" r:id="rId20"/>
    <sheet name="24-04" sheetId="27" r:id="rId21"/>
    <sheet name="25-04" sheetId="28" r:id="rId22"/>
    <sheet name="Sheet1" sheetId="19" r:id="rId23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'10-04'!$A$2:$P$55</definedName>
    <definedName name="_xlnm._FilterDatabase" localSheetId="9" hidden="1">'11-04'!$A$2:$P$43</definedName>
    <definedName name="_xlnm._FilterDatabase" localSheetId="10" hidden="1">'13-04'!$A$2:$P$66</definedName>
    <definedName name="_xlnm._FilterDatabase" localSheetId="11" hidden="1">'14-04'!$A$2:$P$26</definedName>
    <definedName name="_xlnm._FilterDatabase" localSheetId="12" hidden="1">'15-04'!$A$2:$P$35</definedName>
    <definedName name="_xlnm._FilterDatabase" localSheetId="13" hidden="1">'16-04'!$A$2:$P$52</definedName>
    <definedName name="_xlnm._FilterDatabase" localSheetId="14" hidden="1">'17-04'!$A$2:$P$53</definedName>
    <definedName name="_xlnm._FilterDatabase" localSheetId="15" hidden="1">'18-04'!$A$2:$P$38</definedName>
    <definedName name="_xlnm._FilterDatabase" localSheetId="16" hidden="1">'20-04'!$A$2:$P$97</definedName>
    <definedName name="_xlnm._FilterDatabase" localSheetId="17" hidden="1">'21-04'!$A$2:$P$64</definedName>
    <definedName name="_xlnm._FilterDatabase" localSheetId="18" hidden="1">'22-04'!$A$2:$P$56</definedName>
    <definedName name="_xlnm._FilterDatabase" localSheetId="19" hidden="1">'23-04'!$A$2:$P$61</definedName>
    <definedName name="_xlnm._FilterDatabase" localSheetId="20" hidden="1">'24-04'!$A$2:$P$66</definedName>
    <definedName name="_xlnm._FilterDatabase" localSheetId="21" hidden="1">'25-04'!$A$2:$P$53</definedName>
    <definedName name="_xlnm._FilterDatabase" localSheetId="22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28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I25" i="2"/>
  <c r="J25" i="2"/>
  <c r="K25" i="2"/>
  <c r="L25" i="2"/>
  <c r="M25" i="2"/>
  <c r="N25" i="2"/>
  <c r="O25" i="2"/>
  <c r="P25" i="2"/>
  <c r="Q25" i="2"/>
  <c r="H26" i="2"/>
  <c r="H27" i="2"/>
  <c r="C28" i="2"/>
  <c r="C31" i="2" s="1"/>
  <c r="C35" i="2" s="1"/>
  <c r="P31" i="2" s="1"/>
  <c r="E28" i="2"/>
  <c r="E31" i="2" s="1"/>
  <c r="L28" i="2"/>
  <c r="M28" i="2"/>
  <c r="M33" i="2" s="1"/>
  <c r="L29" i="2"/>
  <c r="M29" i="2"/>
  <c r="C30" i="2"/>
  <c r="E30" i="2"/>
  <c r="L33" i="2"/>
  <c r="P28" i="2" s="1"/>
  <c r="L36" i="2"/>
  <c r="M36" i="2"/>
  <c r="M41" i="2" s="1"/>
  <c r="M37" i="2"/>
  <c r="L37" i="2" s="1"/>
  <c r="M38" i="2"/>
  <c r="L38" i="2" s="1"/>
  <c r="L44" i="2"/>
  <c r="M44" i="2"/>
  <c r="M45" i="2"/>
  <c r="L45" i="2" s="1"/>
  <c r="M49" i="2"/>
  <c r="I3" i="6"/>
  <c r="I4" i="6"/>
  <c r="C29" i="6" s="1"/>
  <c r="C32" i="6" s="1"/>
  <c r="C36" i="6" s="1"/>
  <c r="P32" i="6" s="1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I26" i="6"/>
  <c r="J26" i="6"/>
  <c r="K26" i="6"/>
  <c r="L26" i="6"/>
  <c r="M26" i="6"/>
  <c r="N26" i="6"/>
  <c r="O26" i="6"/>
  <c r="P26" i="6"/>
  <c r="Q26" i="6"/>
  <c r="H27" i="6"/>
  <c r="L46" i="6" s="1"/>
  <c r="L50" i="6" s="1"/>
  <c r="P31" i="6" s="1"/>
  <c r="H28" i="6"/>
  <c r="E29" i="6"/>
  <c r="E32" i="6" s="1"/>
  <c r="H29" i="6"/>
  <c r="L29" i="6"/>
  <c r="M29" i="6"/>
  <c r="M30" i="6"/>
  <c r="L30" i="6" s="1"/>
  <c r="C31" i="6"/>
  <c r="E31" i="6"/>
  <c r="M31" i="6"/>
  <c r="L31" i="6" s="1"/>
  <c r="M34" i="6"/>
  <c r="L37" i="6"/>
  <c r="M37" i="6"/>
  <c r="M42" i="6" s="1"/>
  <c r="M38" i="6"/>
  <c r="L38" i="6" s="1"/>
  <c r="L42" i="6" s="1"/>
  <c r="P30" i="6" s="1"/>
  <c r="L45" i="6"/>
  <c r="M45" i="6"/>
  <c r="M50" i="6" s="1"/>
  <c r="M46" i="6"/>
  <c r="I3" i="7"/>
  <c r="C58" i="7" s="1"/>
  <c r="C61" i="7" s="1"/>
  <c r="C65" i="7" s="1"/>
  <c r="P61" i="7" s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J55" i="7"/>
  <c r="K55" i="7"/>
  <c r="L55" i="7"/>
  <c r="M55" i="7"/>
  <c r="N55" i="7"/>
  <c r="O55" i="7"/>
  <c r="P55" i="7"/>
  <c r="Q55" i="7"/>
  <c r="M60" i="7" s="1"/>
  <c r="L60" i="7" s="1"/>
  <c r="H56" i="7"/>
  <c r="H57" i="7"/>
  <c r="E58" i="7"/>
  <c r="E61" i="7" s="1"/>
  <c r="H58" i="7"/>
  <c r="L58" i="7"/>
  <c r="M58" i="7"/>
  <c r="M59" i="7"/>
  <c r="L59" i="7" s="1"/>
  <c r="C60" i="7"/>
  <c r="E60" i="7"/>
  <c r="M64" i="7"/>
  <c r="L67" i="7"/>
  <c r="M67" i="7"/>
  <c r="M72" i="7" s="1"/>
  <c r="L68" i="7"/>
  <c r="L72" i="7" s="1"/>
  <c r="P59" i="7" s="1"/>
  <c r="M68" i="7"/>
  <c r="L75" i="7"/>
  <c r="M75" i="7"/>
  <c r="M80" i="7" s="1"/>
  <c r="L76" i="7"/>
  <c r="L80" i="7" s="1"/>
  <c r="P60" i="7" s="1"/>
  <c r="M76" i="7"/>
  <c r="I3" i="8"/>
  <c r="C49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C51" i="8" s="1"/>
  <c r="I44" i="8"/>
  <c r="D46" i="8"/>
  <c r="G46" i="8"/>
  <c r="H46" i="8"/>
  <c r="J46" i="8"/>
  <c r="K46" i="8"/>
  <c r="L46" i="8"/>
  <c r="M46" i="8"/>
  <c r="N46" i="8"/>
  <c r="O46" i="8"/>
  <c r="P46" i="8"/>
  <c r="Q46" i="8"/>
  <c r="H47" i="8"/>
  <c r="H48" i="8"/>
  <c r="E49" i="8"/>
  <c r="H49" i="8"/>
  <c r="L49" i="8"/>
  <c r="M49" i="8"/>
  <c r="L50" i="8"/>
  <c r="L54" i="8" s="1"/>
  <c r="P49" i="8" s="1"/>
  <c r="M50" i="8"/>
  <c r="E51" i="8"/>
  <c r="E52" i="8"/>
  <c r="M54" i="8"/>
  <c r="L57" i="8"/>
  <c r="L62" i="8" s="1"/>
  <c r="P50" i="8" s="1"/>
  <c r="M57" i="8"/>
  <c r="M62" i="8" s="1"/>
  <c r="M58" i="8"/>
  <c r="L58" i="8" s="1"/>
  <c r="M59" i="8"/>
  <c r="L59" i="8" s="1"/>
  <c r="L65" i="8"/>
  <c r="M65" i="8"/>
  <c r="M70" i="8" s="1"/>
  <c r="L66" i="8"/>
  <c r="L70" i="8" s="1"/>
  <c r="P51" i="8" s="1"/>
  <c r="M66" i="8"/>
  <c r="L73" i="8"/>
  <c r="L78" i="8" s="1"/>
  <c r="P52" i="8" s="1"/>
  <c r="M73" i="8"/>
  <c r="M78" i="8" s="1"/>
  <c r="M74" i="8"/>
  <c r="L74" i="8" s="1"/>
  <c r="I3" i="10"/>
  <c r="C60" i="10" s="1"/>
  <c r="C63" i="10" s="1"/>
  <c r="C67" i="10" s="1"/>
  <c r="P63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J57" i="10"/>
  <c r="K57" i="10"/>
  <c r="L57" i="10"/>
  <c r="M57" i="10"/>
  <c r="N57" i="10"/>
  <c r="O57" i="10"/>
  <c r="P57" i="10"/>
  <c r="Q57" i="10"/>
  <c r="M62" i="10" s="1"/>
  <c r="L62" i="10" s="1"/>
  <c r="H58" i="10"/>
  <c r="H59" i="10"/>
  <c r="E60" i="10"/>
  <c r="E63" i="10" s="1"/>
  <c r="H60" i="10"/>
  <c r="L69" i="10" s="1"/>
  <c r="L73" i="10" s="1"/>
  <c r="P61" i="10" s="1"/>
  <c r="L60" i="10"/>
  <c r="M60" i="10"/>
  <c r="M61" i="10"/>
  <c r="L61" i="10" s="1"/>
  <c r="C62" i="10"/>
  <c r="E62" i="10"/>
  <c r="M65" i="10"/>
  <c r="L68" i="10"/>
  <c r="M68" i="10"/>
  <c r="M69" i="10"/>
  <c r="M73" i="10"/>
  <c r="L76" i="10"/>
  <c r="M76" i="10"/>
  <c r="M81" i="10" s="1"/>
  <c r="M77" i="10"/>
  <c r="L77" i="10" s="1"/>
  <c r="L81" i="10" s="1"/>
  <c r="P62" i="10" s="1"/>
  <c r="I3" i="11"/>
  <c r="I31" i="11" s="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C36" i="11" s="1"/>
  <c r="I29" i="11"/>
  <c r="D31" i="11"/>
  <c r="G31" i="11"/>
  <c r="H31" i="11"/>
  <c r="J31" i="11"/>
  <c r="K31" i="11"/>
  <c r="L31" i="11"/>
  <c r="M31" i="11"/>
  <c r="N31" i="11"/>
  <c r="O31" i="11"/>
  <c r="P31" i="11"/>
  <c r="Q31" i="11"/>
  <c r="H32" i="11"/>
  <c r="H33" i="11"/>
  <c r="L52" i="11" s="1"/>
  <c r="L56" i="11" s="1"/>
  <c r="P36" i="11" s="1"/>
  <c r="C34" i="11"/>
  <c r="C37" i="11" s="1"/>
  <c r="C42" i="11" s="1"/>
  <c r="P38" i="11" s="1"/>
  <c r="E34" i="11"/>
  <c r="E37" i="11" s="1"/>
  <c r="H34" i="11"/>
  <c r="L34" i="11"/>
  <c r="L41" i="11" s="1"/>
  <c r="P34" i="11" s="1"/>
  <c r="M34" i="11"/>
  <c r="M35" i="11"/>
  <c r="L35" i="11" s="1"/>
  <c r="E36" i="11"/>
  <c r="M36" i="11"/>
  <c r="L36" i="11" s="1"/>
  <c r="L43" i="11"/>
  <c r="M43" i="11"/>
  <c r="M48" i="11" s="1"/>
  <c r="M44" i="11"/>
  <c r="L44" i="11" s="1"/>
  <c r="L48" i="11" s="1"/>
  <c r="P35" i="11" s="1"/>
  <c r="L51" i="11"/>
  <c r="M51" i="11"/>
  <c r="M56" i="11" s="1"/>
  <c r="M52" i="11"/>
  <c r="I3" i="12"/>
  <c r="I4" i="12"/>
  <c r="I49" i="12" s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D49" i="12"/>
  <c r="G49" i="12"/>
  <c r="H49" i="12"/>
  <c r="J49" i="12"/>
  <c r="K49" i="12"/>
  <c r="L49" i="12"/>
  <c r="M49" i="12"/>
  <c r="N49" i="12"/>
  <c r="O49" i="12"/>
  <c r="P49" i="12"/>
  <c r="Q49" i="12"/>
  <c r="M54" i="12" s="1"/>
  <c r="L54" i="12" s="1"/>
  <c r="H50" i="12"/>
  <c r="H51" i="12"/>
  <c r="L61" i="12" s="1"/>
  <c r="L65" i="12" s="1"/>
  <c r="P53" i="12" s="1"/>
  <c r="E52" i="12"/>
  <c r="H52" i="12"/>
  <c r="L52" i="12"/>
  <c r="M52" i="12"/>
  <c r="M57" i="12" s="1"/>
  <c r="M53" i="12"/>
  <c r="L53" i="12" s="1"/>
  <c r="C54" i="12"/>
  <c r="E54" i="12"/>
  <c r="E55" i="12"/>
  <c r="L60" i="12"/>
  <c r="M60" i="12"/>
  <c r="M61" i="12"/>
  <c r="M65" i="12"/>
  <c r="L68" i="12"/>
  <c r="M68" i="12"/>
  <c r="M73" i="12" s="1"/>
  <c r="M69" i="12"/>
  <c r="L69" i="12" s="1"/>
  <c r="L76" i="12"/>
  <c r="M76" i="12"/>
  <c r="M77" i="12"/>
  <c r="L77" i="12" s="1"/>
  <c r="L81" i="12" s="1"/>
  <c r="P55" i="12" s="1"/>
  <c r="M81" i="12"/>
  <c r="I3" i="13"/>
  <c r="C44" i="13" s="1"/>
  <c r="C47" i="13" s="1"/>
  <c r="C51" i="13" s="1"/>
  <c r="P4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J41" i="13"/>
  <c r="K41" i="13"/>
  <c r="L41" i="13"/>
  <c r="M41" i="13"/>
  <c r="N41" i="13"/>
  <c r="O41" i="13"/>
  <c r="P41" i="13"/>
  <c r="Q41" i="13"/>
  <c r="M46" i="13" s="1"/>
  <c r="L46" i="13" s="1"/>
  <c r="H42" i="13"/>
  <c r="H43" i="13"/>
  <c r="E44" i="13"/>
  <c r="L44" i="13"/>
  <c r="M44" i="13"/>
  <c r="M45" i="13"/>
  <c r="L45" i="13" s="1"/>
  <c r="C46" i="13"/>
  <c r="E46" i="13"/>
  <c r="E47" i="13"/>
  <c r="M49" i="13"/>
  <c r="L52" i="13"/>
  <c r="L57" i="13" s="1"/>
  <c r="P45" i="13" s="1"/>
  <c r="M52" i="13"/>
  <c r="M57" i="13" s="1"/>
  <c r="L53" i="13"/>
  <c r="M53" i="13"/>
  <c r="L60" i="13"/>
  <c r="L65" i="13" s="1"/>
  <c r="P46" i="13" s="1"/>
  <c r="M60" i="13"/>
  <c r="L61" i="13"/>
  <c r="M61" i="13"/>
  <c r="M65" i="13"/>
  <c r="I3" i="14"/>
  <c r="C59" i="14" s="1"/>
  <c r="C62" i="14" s="1"/>
  <c r="C66" i="14" s="1"/>
  <c r="P62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C61" i="14" s="1"/>
  <c r="D56" i="14"/>
  <c r="G56" i="14"/>
  <c r="H56" i="14"/>
  <c r="J56" i="14"/>
  <c r="K56" i="14"/>
  <c r="L56" i="14"/>
  <c r="M56" i="14"/>
  <c r="N56" i="14"/>
  <c r="O56" i="14"/>
  <c r="P56" i="14"/>
  <c r="Q56" i="14"/>
  <c r="H57" i="14"/>
  <c r="L76" i="14" s="1"/>
  <c r="L80" i="14" s="1"/>
  <c r="P61" i="14" s="1"/>
  <c r="H58" i="14"/>
  <c r="E59" i="14"/>
  <c r="E62" i="14" s="1"/>
  <c r="L59" i="14"/>
  <c r="M59" i="14"/>
  <c r="M64" i="14" s="1"/>
  <c r="M60" i="14"/>
  <c r="L60" i="14" s="1"/>
  <c r="L64" i="14" s="1"/>
  <c r="P59" i="14" s="1"/>
  <c r="E61" i="14"/>
  <c r="L67" i="14"/>
  <c r="M67" i="14"/>
  <c r="M72" i="14" s="1"/>
  <c r="M68" i="14"/>
  <c r="L68" i="14" s="1"/>
  <c r="L69" i="14"/>
  <c r="L75" i="14"/>
  <c r="M75" i="14"/>
  <c r="M76" i="14"/>
  <c r="M80" i="14"/>
  <c r="I3" i="15"/>
  <c r="I45" i="15" s="1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D45" i="15"/>
  <c r="G45" i="15"/>
  <c r="H45" i="15"/>
  <c r="J45" i="15"/>
  <c r="K45" i="15"/>
  <c r="L45" i="15"/>
  <c r="M45" i="15"/>
  <c r="N45" i="15"/>
  <c r="O45" i="15"/>
  <c r="P45" i="15"/>
  <c r="Q45" i="15"/>
  <c r="M50" i="15" s="1"/>
  <c r="L50" i="15" s="1"/>
  <c r="H46" i="15"/>
  <c r="H47" i="15"/>
  <c r="L57" i="15" s="1"/>
  <c r="L61" i="15" s="1"/>
  <c r="P49" i="15" s="1"/>
  <c r="E48" i="15"/>
  <c r="H48" i="15"/>
  <c r="L48" i="15"/>
  <c r="M48" i="15"/>
  <c r="M53" i="15" s="1"/>
  <c r="M49" i="15"/>
  <c r="L49" i="15" s="1"/>
  <c r="C50" i="15"/>
  <c r="E50" i="15"/>
  <c r="E51" i="15"/>
  <c r="L56" i="15"/>
  <c r="M56" i="15"/>
  <c r="M57" i="15"/>
  <c r="M61" i="15"/>
  <c r="L64" i="15"/>
  <c r="L69" i="15" s="1"/>
  <c r="P50" i="15" s="1"/>
  <c r="M64" i="15"/>
  <c r="M69" i="15" s="1"/>
  <c r="M65" i="15"/>
  <c r="L65" i="15" s="1"/>
  <c r="L72" i="15"/>
  <c r="M72" i="15"/>
  <c r="M73" i="15"/>
  <c r="L73" i="15" s="1"/>
  <c r="M77" i="15"/>
  <c r="I3" i="16"/>
  <c r="C71" i="16" s="1"/>
  <c r="C74" i="16" s="1"/>
  <c r="C78" i="16" s="1"/>
  <c r="P75" i="16" s="1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D68" i="16"/>
  <c r="G68" i="16"/>
  <c r="H68" i="16"/>
  <c r="J68" i="16"/>
  <c r="K68" i="16"/>
  <c r="L68" i="16"/>
  <c r="M68" i="16"/>
  <c r="N68" i="16"/>
  <c r="O68" i="16"/>
  <c r="P68" i="16"/>
  <c r="Q68" i="16"/>
  <c r="H69" i="16"/>
  <c r="H70" i="16"/>
  <c r="E71" i="16"/>
  <c r="H71" i="16"/>
  <c r="L71" i="16"/>
  <c r="L76" i="16" s="1"/>
  <c r="P71" i="16" s="1"/>
  <c r="M71" i="16"/>
  <c r="L72" i="16"/>
  <c r="M72" i="16"/>
  <c r="C73" i="16"/>
  <c r="E73" i="16"/>
  <c r="E74" i="16"/>
  <c r="M76" i="16"/>
  <c r="L79" i="16"/>
  <c r="M79" i="16"/>
  <c r="M80" i="16"/>
  <c r="L80" i="16" s="1"/>
  <c r="M81" i="16"/>
  <c r="L81" i="16" s="1"/>
  <c r="M84" i="16"/>
  <c r="L87" i="16"/>
  <c r="L92" i="16" s="1"/>
  <c r="P73" i="16" s="1"/>
  <c r="M87" i="16"/>
  <c r="M92" i="16" s="1"/>
  <c r="L88" i="16"/>
  <c r="M88" i="16"/>
  <c r="L95" i="16"/>
  <c r="M95" i="16"/>
  <c r="M96" i="16"/>
  <c r="L96" i="16" s="1"/>
  <c r="M100" i="16"/>
  <c r="I3" i="17"/>
  <c r="I4" i="17"/>
  <c r="I5" i="17"/>
  <c r="I28" i="17" s="1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C33" i="17" s="1"/>
  <c r="C34" i="17" s="1"/>
  <c r="C38" i="17" s="1"/>
  <c r="P35" i="17" s="1"/>
  <c r="I25" i="17"/>
  <c r="I26" i="17"/>
  <c r="D28" i="17"/>
  <c r="G28" i="17"/>
  <c r="H28" i="17"/>
  <c r="J28" i="17"/>
  <c r="K28" i="17"/>
  <c r="L28" i="17"/>
  <c r="M28" i="17"/>
  <c r="N28" i="17"/>
  <c r="O28" i="17"/>
  <c r="P28" i="17"/>
  <c r="Q28" i="17"/>
  <c r="H29" i="17"/>
  <c r="H30" i="17"/>
  <c r="L32" i="17" s="1"/>
  <c r="L36" i="17" s="1"/>
  <c r="P31" i="17" s="1"/>
  <c r="C31" i="17"/>
  <c r="E31" i="17"/>
  <c r="H31" i="17"/>
  <c r="L31" i="17"/>
  <c r="M31" i="17"/>
  <c r="M32" i="17"/>
  <c r="E33" i="17"/>
  <c r="E34" i="17"/>
  <c r="M36" i="17"/>
  <c r="L39" i="17"/>
  <c r="M39" i="17"/>
  <c r="M40" i="17"/>
  <c r="L40" i="17" s="1"/>
  <c r="L44" i="17" s="1"/>
  <c r="P32" i="17" s="1"/>
  <c r="M44" i="17"/>
  <c r="L47" i="17"/>
  <c r="M47" i="17"/>
  <c r="M48" i="17"/>
  <c r="L48" i="17" s="1"/>
  <c r="M49" i="17"/>
  <c r="L49" i="17" s="1"/>
  <c r="M52" i="17"/>
  <c r="L55" i="17"/>
  <c r="L60" i="17" s="1"/>
  <c r="P34" i="17" s="1"/>
  <c r="M55" i="17"/>
  <c r="M60" i="17" s="1"/>
  <c r="L56" i="17"/>
  <c r="M56" i="17"/>
  <c r="I3" i="18"/>
  <c r="I4" i="18"/>
  <c r="C40" i="18" s="1"/>
  <c r="C43" i="18" s="1"/>
  <c r="C47" i="18" s="1"/>
  <c r="P44" i="18" s="1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D37" i="18"/>
  <c r="G37" i="18"/>
  <c r="H37" i="18"/>
  <c r="J37" i="18"/>
  <c r="K37" i="18"/>
  <c r="L37" i="18"/>
  <c r="M37" i="18"/>
  <c r="N37" i="18"/>
  <c r="O37" i="18"/>
  <c r="P37" i="18"/>
  <c r="Q37" i="18"/>
  <c r="H38" i="18"/>
  <c r="H39" i="18"/>
  <c r="E40" i="18"/>
  <c r="H40" i="18"/>
  <c r="L40" i="18"/>
  <c r="M40" i="18"/>
  <c r="M45" i="18" s="1"/>
  <c r="L41" i="18"/>
  <c r="M41" i="18"/>
  <c r="C42" i="18"/>
  <c r="E42" i="18"/>
  <c r="E43" i="18"/>
  <c r="L45" i="18"/>
  <c r="P40" i="18" s="1"/>
  <c r="L48" i="18"/>
  <c r="L53" i="18" s="1"/>
  <c r="P41" i="18" s="1"/>
  <c r="M48" i="18"/>
  <c r="M53" i="18" s="1"/>
  <c r="L49" i="18"/>
  <c r="M49" i="18"/>
  <c r="L56" i="18"/>
  <c r="L61" i="18" s="1"/>
  <c r="P42" i="18" s="1"/>
  <c r="M56" i="18"/>
  <c r="M61" i="18" s="1"/>
  <c r="L57" i="18"/>
  <c r="M57" i="18"/>
  <c r="L64" i="18"/>
  <c r="M64" i="18"/>
  <c r="M69" i="18" s="1"/>
  <c r="L65" i="18"/>
  <c r="M65" i="18"/>
  <c r="M66" i="18"/>
  <c r="L66" i="18" s="1"/>
  <c r="I3" i="20"/>
  <c r="C57" i="20" s="1"/>
  <c r="C60" i="20" s="1"/>
  <c r="C64" i="20" s="1"/>
  <c r="P61" i="20" s="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D54" i="20"/>
  <c r="G54" i="20"/>
  <c r="H54" i="20"/>
  <c r="I54" i="20"/>
  <c r="J54" i="20"/>
  <c r="K54" i="20"/>
  <c r="L54" i="20"/>
  <c r="M54" i="20"/>
  <c r="N54" i="20"/>
  <c r="O54" i="20"/>
  <c r="P54" i="20"/>
  <c r="Q54" i="20"/>
  <c r="H55" i="20"/>
  <c r="L58" i="20" s="1"/>
  <c r="H56" i="20"/>
  <c r="E57" i="20"/>
  <c r="E60" i="20" s="1"/>
  <c r="M75" i="20" s="1"/>
  <c r="L75" i="20" s="1"/>
  <c r="L57" i="20"/>
  <c r="M57" i="20"/>
  <c r="M58" i="20"/>
  <c r="C59" i="20"/>
  <c r="E59" i="20"/>
  <c r="M62" i="20"/>
  <c r="L65" i="20"/>
  <c r="M65" i="20"/>
  <c r="M70" i="20" s="1"/>
  <c r="M66" i="20"/>
  <c r="L66" i="20" s="1"/>
  <c r="L73" i="20"/>
  <c r="M73" i="20"/>
  <c r="M74" i="20"/>
  <c r="L74" i="20" s="1"/>
  <c r="M78" i="20"/>
  <c r="L81" i="20"/>
  <c r="M81" i="20"/>
  <c r="M82" i="20"/>
  <c r="L82" i="20" s="1"/>
  <c r="L86" i="20" s="1"/>
  <c r="P60" i="20" s="1"/>
  <c r="M86" i="20"/>
  <c r="I3" i="21"/>
  <c r="I4" i="21"/>
  <c r="I55" i="21" s="1"/>
  <c r="I5" i="21"/>
  <c r="I6" i="21"/>
  <c r="I7" i="21"/>
  <c r="I8" i="21"/>
  <c r="I9" i="21"/>
  <c r="I10" i="21"/>
  <c r="I11" i="21"/>
  <c r="I12" i="21"/>
  <c r="I13" i="21"/>
  <c r="C58" i="21" s="1"/>
  <c r="C61" i="21" s="1"/>
  <c r="C65" i="21" s="1"/>
  <c r="P62" i="21" s="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D55" i="21"/>
  <c r="G55" i="21"/>
  <c r="H55" i="21"/>
  <c r="J55" i="21"/>
  <c r="K55" i="21"/>
  <c r="L55" i="21"/>
  <c r="M55" i="21"/>
  <c r="N55" i="21"/>
  <c r="O55" i="21"/>
  <c r="P55" i="21"/>
  <c r="Q55" i="21"/>
  <c r="H56" i="21"/>
  <c r="H57" i="21"/>
  <c r="E58" i="21"/>
  <c r="H58" i="21"/>
  <c r="L58" i="21"/>
  <c r="M58" i="21"/>
  <c r="L59" i="21"/>
  <c r="L63" i="21" s="1"/>
  <c r="P58" i="21" s="1"/>
  <c r="M59" i="21"/>
  <c r="C60" i="21"/>
  <c r="E60" i="21"/>
  <c r="E61" i="21"/>
  <c r="M63" i="21"/>
  <c r="L66" i="21"/>
  <c r="M66" i="21"/>
  <c r="M71" i="21" s="1"/>
  <c r="L67" i="21"/>
  <c r="L71" i="21" s="1"/>
  <c r="P59" i="21" s="1"/>
  <c r="M67" i="21"/>
  <c r="L68" i="21"/>
  <c r="M68" i="21"/>
  <c r="L74" i="21"/>
  <c r="L79" i="21" s="1"/>
  <c r="P60" i="21" s="1"/>
  <c r="M74" i="21"/>
  <c r="M79" i="21" s="1"/>
  <c r="L75" i="21"/>
  <c r="M75" i="21"/>
  <c r="L82" i="21"/>
  <c r="L87" i="21" s="1"/>
  <c r="P61" i="21" s="1"/>
  <c r="M82" i="21"/>
  <c r="M87" i="21" s="1"/>
  <c r="L83" i="21"/>
  <c r="M83" i="21"/>
  <c r="I3" i="22"/>
  <c r="I40" i="22" s="1"/>
  <c r="I4" i="22"/>
  <c r="C43" i="22" s="1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C45" i="22" s="1"/>
  <c r="I36" i="22"/>
  <c r="I37" i="22"/>
  <c r="I38" i="22"/>
  <c r="D40" i="22"/>
  <c r="G40" i="22"/>
  <c r="H40" i="22"/>
  <c r="J40" i="22"/>
  <c r="K40" i="22"/>
  <c r="L40" i="22"/>
  <c r="M40" i="22"/>
  <c r="N40" i="22"/>
  <c r="O40" i="22"/>
  <c r="P40" i="22"/>
  <c r="Q40" i="22"/>
  <c r="H41" i="22"/>
  <c r="L52" i="22" s="1"/>
  <c r="L56" i="22" s="1"/>
  <c r="P44" i="22" s="1"/>
  <c r="H42" i="22"/>
  <c r="E43" i="22"/>
  <c r="L43" i="22"/>
  <c r="M43" i="22"/>
  <c r="M44" i="22"/>
  <c r="L44" i="22" s="1"/>
  <c r="L48" i="22" s="1"/>
  <c r="P43" i="22" s="1"/>
  <c r="E45" i="22"/>
  <c r="E46" i="22"/>
  <c r="M48" i="22"/>
  <c r="L51" i="22"/>
  <c r="M51" i="22"/>
  <c r="M52" i="22"/>
  <c r="M56" i="22"/>
  <c r="L59" i="22"/>
  <c r="M59" i="22"/>
  <c r="M60" i="22"/>
  <c r="L60" i="22" s="1"/>
  <c r="L64" i="22" s="1"/>
  <c r="P45" i="22" s="1"/>
  <c r="M61" i="22"/>
  <c r="L61" i="22" s="1"/>
  <c r="M64" i="22"/>
  <c r="L67" i="22"/>
  <c r="M67" i="22"/>
  <c r="M72" i="22" s="1"/>
  <c r="L68" i="22"/>
  <c r="L72" i="22" s="1"/>
  <c r="P46" i="22" s="1"/>
  <c r="M68" i="22"/>
  <c r="I3" i="23"/>
  <c r="I99" i="23" s="1"/>
  <c r="I4" i="23"/>
  <c r="I5" i="23"/>
  <c r="I6" i="23"/>
  <c r="C102" i="23" s="1"/>
  <c r="C105" i="23" s="1"/>
  <c r="C109" i="23" s="1"/>
  <c r="P106" i="23" s="1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C104" i="23" s="1"/>
  <c r="I96" i="23"/>
  <c r="I97" i="23"/>
  <c r="D99" i="23"/>
  <c r="G99" i="23"/>
  <c r="H99" i="23"/>
  <c r="J99" i="23"/>
  <c r="K99" i="23"/>
  <c r="L99" i="23"/>
  <c r="M99" i="23"/>
  <c r="N99" i="23"/>
  <c r="O99" i="23"/>
  <c r="P99" i="23"/>
  <c r="Q99" i="23"/>
  <c r="H100" i="23"/>
  <c r="H101" i="23"/>
  <c r="E102" i="23"/>
  <c r="H102" i="23"/>
  <c r="L127" i="23" s="1"/>
  <c r="L131" i="23" s="1"/>
  <c r="P105" i="23" s="1"/>
  <c r="L102" i="23"/>
  <c r="M102" i="23"/>
  <c r="M107" i="23" s="1"/>
  <c r="M103" i="23"/>
  <c r="L103" i="23" s="1"/>
  <c r="L107" i="23" s="1"/>
  <c r="P102" i="23" s="1"/>
  <c r="E104" i="23"/>
  <c r="E105" i="23"/>
  <c r="L110" i="23"/>
  <c r="L115" i="23" s="1"/>
  <c r="P103" i="23" s="1"/>
  <c r="M110" i="23"/>
  <c r="M115" i="23" s="1"/>
  <c r="M111" i="23"/>
  <c r="L111" i="23" s="1"/>
  <c r="L118" i="23"/>
  <c r="M118" i="23"/>
  <c r="M123" i="23" s="1"/>
  <c r="L119" i="23"/>
  <c r="M119" i="23"/>
  <c r="M120" i="23"/>
  <c r="L120" i="23" s="1"/>
  <c r="L126" i="23"/>
  <c r="M126" i="23"/>
  <c r="M131" i="23" s="1"/>
  <c r="M127" i="23"/>
  <c r="I3" i="24"/>
  <c r="I66" i="24" s="1"/>
  <c r="I4" i="24"/>
  <c r="I5" i="24"/>
  <c r="I6" i="24"/>
  <c r="C69" i="24" s="1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C71" i="24" s="1"/>
  <c r="I61" i="24"/>
  <c r="I62" i="24"/>
  <c r="I63" i="24"/>
  <c r="I64" i="24"/>
  <c r="D66" i="24"/>
  <c r="G66" i="24"/>
  <c r="H66" i="24"/>
  <c r="J66" i="24"/>
  <c r="K66" i="24"/>
  <c r="L66" i="24"/>
  <c r="M66" i="24"/>
  <c r="N66" i="24"/>
  <c r="O66" i="24"/>
  <c r="P66" i="24"/>
  <c r="Q66" i="24"/>
  <c r="H67" i="24"/>
  <c r="H68" i="24"/>
  <c r="L78" i="24" s="1"/>
  <c r="L82" i="24" s="1"/>
  <c r="P70" i="24" s="1"/>
  <c r="E69" i="24"/>
  <c r="H69" i="24"/>
  <c r="L69" i="24"/>
  <c r="M69" i="24"/>
  <c r="M74" i="24" s="1"/>
  <c r="L70" i="24"/>
  <c r="L74" i="24" s="1"/>
  <c r="P69" i="24" s="1"/>
  <c r="M70" i="24"/>
  <c r="E71" i="24"/>
  <c r="E72" i="24"/>
  <c r="L77" i="24"/>
  <c r="M77" i="24"/>
  <c r="M78" i="24"/>
  <c r="M82" i="24"/>
  <c r="L85" i="24"/>
  <c r="M85" i="24"/>
  <c r="M90" i="24" s="1"/>
  <c r="L86" i="24"/>
  <c r="L90" i="24" s="1"/>
  <c r="P71" i="24" s="1"/>
  <c r="M86" i="24"/>
  <c r="L87" i="24"/>
  <c r="M87" i="24"/>
  <c r="L93" i="24"/>
  <c r="L98" i="24" s="1"/>
  <c r="P72" i="24" s="1"/>
  <c r="M93" i="24"/>
  <c r="M98" i="24" s="1"/>
  <c r="L94" i="24"/>
  <c r="M94" i="24"/>
  <c r="I3" i="25"/>
  <c r="I58" i="25" s="1"/>
  <c r="I4" i="25"/>
  <c r="I5" i="25"/>
  <c r="C61" i="25" s="1"/>
  <c r="C64" i="25" s="1"/>
  <c r="C68" i="25" s="1"/>
  <c r="P65" i="25" s="1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D58" i="25"/>
  <c r="G58" i="25"/>
  <c r="H58" i="25"/>
  <c r="J58" i="25"/>
  <c r="K58" i="25"/>
  <c r="L58" i="25"/>
  <c r="M58" i="25"/>
  <c r="N58" i="25"/>
  <c r="O58" i="25"/>
  <c r="P58" i="25"/>
  <c r="Q58" i="25"/>
  <c r="H59" i="25"/>
  <c r="H60" i="25"/>
  <c r="L86" i="25" s="1"/>
  <c r="E61" i="25"/>
  <c r="H61" i="25"/>
  <c r="L61" i="25"/>
  <c r="M61" i="25"/>
  <c r="M66" i="25" s="1"/>
  <c r="L62" i="25"/>
  <c r="M62" i="25"/>
  <c r="C63" i="25"/>
  <c r="E63" i="25"/>
  <c r="L63" i="25"/>
  <c r="L66" i="25" s="1"/>
  <c r="P61" i="25" s="1"/>
  <c r="M63" i="25"/>
  <c r="E64" i="25"/>
  <c r="L69" i="25"/>
  <c r="L74" i="25" s="1"/>
  <c r="P62" i="25" s="1"/>
  <c r="M69" i="25"/>
  <c r="M74" i="25" s="1"/>
  <c r="L70" i="25"/>
  <c r="M70" i="25"/>
  <c r="L77" i="25"/>
  <c r="L82" i="25" s="1"/>
  <c r="P63" i="25" s="1"/>
  <c r="M77" i="25"/>
  <c r="M82" i="25" s="1"/>
  <c r="L78" i="25"/>
  <c r="M78" i="25"/>
  <c r="L85" i="25"/>
  <c r="M85" i="25"/>
  <c r="M90" i="25" s="1"/>
  <c r="M86" i="25"/>
  <c r="I3" i="26"/>
  <c r="I63" i="26" s="1"/>
  <c r="I4" i="26"/>
  <c r="I5" i="26"/>
  <c r="I6" i="26"/>
  <c r="R6" i="26"/>
  <c r="I7" i="26"/>
  <c r="I8" i="26"/>
  <c r="I9" i="26"/>
  <c r="C66" i="26" s="1"/>
  <c r="C69" i="26" s="1"/>
  <c r="C73" i="26" s="1"/>
  <c r="P70" i="26" s="1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D63" i="26"/>
  <c r="G63" i="26"/>
  <c r="H63" i="26"/>
  <c r="J63" i="26"/>
  <c r="K63" i="26"/>
  <c r="L63" i="26"/>
  <c r="M63" i="26"/>
  <c r="N63" i="26"/>
  <c r="O63" i="26"/>
  <c r="P63" i="26"/>
  <c r="Q63" i="26"/>
  <c r="H64" i="26"/>
  <c r="H65" i="26"/>
  <c r="E66" i="26"/>
  <c r="H66" i="26"/>
  <c r="L66" i="26"/>
  <c r="M66" i="26"/>
  <c r="L67" i="26"/>
  <c r="L71" i="26" s="1"/>
  <c r="P66" i="26" s="1"/>
  <c r="M67" i="26"/>
  <c r="C68" i="26"/>
  <c r="E68" i="26"/>
  <c r="E69" i="26"/>
  <c r="M71" i="26"/>
  <c r="L74" i="26"/>
  <c r="M74" i="26"/>
  <c r="M79" i="26" s="1"/>
  <c r="L75" i="26"/>
  <c r="L79" i="26" s="1"/>
  <c r="P67" i="26" s="1"/>
  <c r="M75" i="26"/>
  <c r="L76" i="26"/>
  <c r="M76" i="26"/>
  <c r="L82" i="26"/>
  <c r="L87" i="26" s="1"/>
  <c r="P68" i="26" s="1"/>
  <c r="M82" i="26"/>
  <c r="M87" i="26" s="1"/>
  <c r="L83" i="26"/>
  <c r="M83" i="26"/>
  <c r="L90" i="26"/>
  <c r="L95" i="26" s="1"/>
  <c r="P69" i="26" s="1"/>
  <c r="M90" i="26"/>
  <c r="M95" i="26" s="1"/>
  <c r="L91" i="26"/>
  <c r="M91" i="26"/>
  <c r="I3" i="27"/>
  <c r="C71" i="27" s="1"/>
  <c r="C74" i="27" s="1"/>
  <c r="C78" i="27" s="1"/>
  <c r="P74" i="27" s="1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D68" i="27"/>
  <c r="G68" i="27"/>
  <c r="H68" i="27"/>
  <c r="J68" i="27"/>
  <c r="K68" i="27"/>
  <c r="L68" i="27"/>
  <c r="M68" i="27"/>
  <c r="N68" i="27"/>
  <c r="O68" i="27"/>
  <c r="P68" i="27"/>
  <c r="Q68" i="27"/>
  <c r="H69" i="27"/>
  <c r="L72" i="27" s="1"/>
  <c r="L76" i="27" s="1"/>
  <c r="P71" i="27" s="1"/>
  <c r="H70" i="27"/>
  <c r="E71" i="27"/>
  <c r="H71" i="27"/>
  <c r="L71" i="27"/>
  <c r="C73" i="27"/>
  <c r="E73" i="27"/>
  <c r="E74" i="27"/>
  <c r="M81" i="27" s="1"/>
  <c r="L81" i="27" s="1"/>
  <c r="M76" i="27"/>
  <c r="L79" i="27"/>
  <c r="M79" i="27"/>
  <c r="M84" i="27" s="1"/>
  <c r="L80" i="27"/>
  <c r="M80" i="27"/>
  <c r="L87" i="27"/>
  <c r="L92" i="27" s="1"/>
  <c r="P73" i="27" s="1"/>
  <c r="M87" i="27"/>
  <c r="M92" i="27" s="1"/>
  <c r="L88" i="27"/>
  <c r="M88" i="27"/>
  <c r="D3" i="19" a="1"/>
  <c r="D4" i="19" a="1"/>
  <c r="E30" i="19" a="1"/>
  <c r="I4" i="28"/>
  <c r="I6" i="28"/>
  <c r="I7" i="28"/>
  <c r="I37" i="28"/>
  <c r="I8" i="28"/>
  <c r="I9" i="28"/>
  <c r="I38" i="28"/>
  <c r="I39" i="28"/>
  <c r="I10" i="28"/>
  <c r="I11" i="28"/>
  <c r="I12" i="28"/>
  <c r="I13" i="28"/>
  <c r="I3" i="28"/>
  <c r="I40" i="28"/>
  <c r="I41" i="28"/>
  <c r="I14" i="28"/>
  <c r="I15" i="28"/>
  <c r="I16" i="28"/>
  <c r="I17" i="28"/>
  <c r="I42" i="28"/>
  <c r="I18" i="28"/>
  <c r="I19" i="28"/>
  <c r="I20" i="28"/>
  <c r="I43" i="28"/>
  <c r="I21" i="28"/>
  <c r="I22" i="28"/>
  <c r="I23" i="28"/>
  <c r="I24" i="28"/>
  <c r="I44" i="28"/>
  <c r="I25" i="28"/>
  <c r="I26" i="28"/>
  <c r="I27" i="28"/>
  <c r="I28" i="28"/>
  <c r="I29" i="28"/>
  <c r="I30" i="28"/>
  <c r="I45" i="28"/>
  <c r="I46" i="28"/>
  <c r="I47" i="28"/>
  <c r="I31" i="28"/>
  <c r="I48" i="28"/>
  <c r="I32" i="28"/>
  <c r="I33" i="28"/>
  <c r="I34" i="28"/>
  <c r="I49" i="28"/>
  <c r="I35" i="28"/>
  <c r="I5" i="28"/>
  <c r="I36" i="28"/>
  <c r="I50" i="28"/>
  <c r="I51" i="28"/>
  <c r="I52" i="28"/>
  <c r="I53" i="28"/>
  <c r="C60" i="28" s="1"/>
  <c r="D55" i="28"/>
  <c r="H55" i="28"/>
  <c r="J55" i="28"/>
  <c r="K55" i="28"/>
  <c r="L55" i="28"/>
  <c r="M55" i="28"/>
  <c r="N55" i="28"/>
  <c r="O55" i="28"/>
  <c r="P55" i="28"/>
  <c r="Q55" i="28"/>
  <c r="H56" i="28"/>
  <c r="H57" i="28"/>
  <c r="E58" i="28"/>
  <c r="E61" i="28" s="1"/>
  <c r="M68" i="28" s="1"/>
  <c r="L68" i="28" s="1"/>
  <c r="H58" i="28"/>
  <c r="L58" i="28"/>
  <c r="M58" i="28"/>
  <c r="M63" i="28" s="1"/>
  <c r="M59" i="28"/>
  <c r="E60" i="28"/>
  <c r="L66" i="28"/>
  <c r="M66" i="28"/>
  <c r="M71" i="28" s="1"/>
  <c r="M67" i="28"/>
  <c r="L67" i="28" s="1"/>
  <c r="L74" i="28"/>
  <c r="M74" i="28"/>
  <c r="M79" i="28" s="1"/>
  <c r="M75" i="28"/>
  <c r="L75" i="28" s="1"/>
  <c r="B5" i="19"/>
  <c r="B8" i="19"/>
  <c r="B11" i="19"/>
  <c r="B14" i="19"/>
  <c r="B17" i="19"/>
  <c r="B20" i="19"/>
  <c r="B23" i="19"/>
  <c r="B26" i="19"/>
  <c r="C17" i="19"/>
  <c r="C23" i="19"/>
  <c r="D23" i="19" a="1"/>
  <c r="C5" i="19"/>
  <c r="C8" i="19"/>
  <c r="C11" i="19"/>
  <c r="C14" i="19"/>
  <c r="C20" i="19"/>
  <c r="C26" i="19"/>
  <c r="D5" i="19" a="1"/>
  <c r="D8" i="19" a="1"/>
  <c r="D11" i="19" a="1"/>
  <c r="D14" i="19" a="1"/>
  <c r="D17" i="19" a="1"/>
  <c r="D20" i="19" a="1"/>
  <c r="D26" i="19" a="1"/>
  <c r="B12" i="19"/>
  <c r="C15" i="19"/>
  <c r="C27" i="19"/>
  <c r="C28" i="19"/>
  <c r="B6" i="19"/>
  <c r="B9" i="19"/>
  <c r="B15" i="19"/>
  <c r="B18" i="19"/>
  <c r="B21" i="19"/>
  <c r="B27" i="19"/>
  <c r="C18" i="19"/>
  <c r="D24" i="19" a="1"/>
  <c r="C6" i="19"/>
  <c r="C9" i="19"/>
  <c r="C12" i="19"/>
  <c r="C21" i="19"/>
  <c r="C24" i="19"/>
  <c r="D27" i="19" a="1"/>
  <c r="D25" i="19" a="1"/>
  <c r="D6" i="19" a="1"/>
  <c r="D9" i="19" a="1"/>
  <c r="D12" i="19" a="1"/>
  <c r="D15" i="19" a="1"/>
  <c r="D18" i="19" a="1"/>
  <c r="D21" i="19" a="1"/>
  <c r="B13" i="19"/>
  <c r="B28" i="19"/>
  <c r="C13" i="19"/>
  <c r="C19" i="19"/>
  <c r="C22" i="19"/>
  <c r="D28" i="19" a="1"/>
  <c r="B7" i="19"/>
  <c r="B10" i="19"/>
  <c r="B16" i="19"/>
  <c r="B19" i="19"/>
  <c r="B22" i="19"/>
  <c r="B25" i="19"/>
  <c r="C10" i="19"/>
  <c r="C16" i="19"/>
  <c r="C25" i="19"/>
  <c r="C7" i="19"/>
  <c r="D7" i="19" a="1"/>
  <c r="D10" i="19" a="1"/>
  <c r="D13" i="19" a="1"/>
  <c r="D16" i="19" a="1"/>
  <c r="D19" i="19" a="1"/>
  <c r="D22" i="19" a="1"/>
  <c r="C3" i="19"/>
  <c r="D3" i="19"/>
  <c r="C4" i="19"/>
  <c r="D4" i="19"/>
  <c r="L59" i="28" l="1"/>
  <c r="L63" i="28"/>
  <c r="P58" i="28" s="1"/>
  <c r="C58" i="28"/>
  <c r="C61" i="28" s="1"/>
  <c r="C65" i="28" s="1"/>
  <c r="P61" i="28" s="1"/>
  <c r="D22" i="19"/>
  <c r="D19" i="19"/>
  <c r="D16" i="19"/>
  <c r="D13" i="19"/>
  <c r="D10" i="19"/>
  <c r="D7" i="19"/>
  <c r="D28" i="19"/>
  <c r="D21" i="19"/>
  <c r="D18" i="19"/>
  <c r="D15" i="19"/>
  <c r="D12" i="19"/>
  <c r="D9" i="19"/>
  <c r="D6" i="19"/>
  <c r="D25" i="19"/>
  <c r="D27" i="19"/>
  <c r="D24" i="19"/>
  <c r="D26" i="19"/>
  <c r="D20" i="19"/>
  <c r="D17" i="19"/>
  <c r="D14" i="19"/>
  <c r="D11" i="19"/>
  <c r="D8" i="19"/>
  <c r="D5" i="19"/>
  <c r="D23" i="19"/>
  <c r="P63" i="21"/>
  <c r="L62" i="20"/>
  <c r="P57" i="20" s="1"/>
  <c r="L84" i="16"/>
  <c r="P72" i="16" s="1"/>
  <c r="P39" i="11"/>
  <c r="L57" i="12"/>
  <c r="P52" i="12" s="1"/>
  <c r="L79" i="28"/>
  <c r="P60" i="28" s="1"/>
  <c r="P107" i="23"/>
  <c r="C46" i="22"/>
  <c r="C50" i="22" s="1"/>
  <c r="P47" i="22" s="1"/>
  <c r="P48" i="22" s="1"/>
  <c r="L72" i="14"/>
  <c r="P60" i="14" s="1"/>
  <c r="P63" i="14" s="1"/>
  <c r="L34" i="6"/>
  <c r="L41" i="2"/>
  <c r="P71" i="26"/>
  <c r="L73" i="12"/>
  <c r="P54" i="12" s="1"/>
  <c r="L49" i="13"/>
  <c r="P44" i="13" s="1"/>
  <c r="P48" i="13" s="1"/>
  <c r="P36" i="17"/>
  <c r="L84" i="27"/>
  <c r="P72" i="27" s="1"/>
  <c r="P75" i="27" s="1"/>
  <c r="L100" i="16"/>
  <c r="P74" i="16" s="1"/>
  <c r="P76" i="16" s="1"/>
  <c r="L70" i="20"/>
  <c r="P58" i="20" s="1"/>
  <c r="L65" i="10"/>
  <c r="P60" i="10" s="1"/>
  <c r="P64" i="10" s="1"/>
  <c r="C52" i="8"/>
  <c r="C56" i="8" s="1"/>
  <c r="P53" i="8" s="1"/>
  <c r="L78" i="20"/>
  <c r="P59" i="20" s="1"/>
  <c r="L71" i="28"/>
  <c r="L123" i="23"/>
  <c r="P104" i="23" s="1"/>
  <c r="P54" i="8"/>
  <c r="L90" i="25"/>
  <c r="P64" i="25" s="1"/>
  <c r="P66" i="25" s="1"/>
  <c r="C72" i="24"/>
  <c r="C76" i="24" s="1"/>
  <c r="P73" i="24" s="1"/>
  <c r="P74" i="24" s="1"/>
  <c r="L52" i="17"/>
  <c r="P33" i="17" s="1"/>
  <c r="L77" i="15"/>
  <c r="P51" i="15" s="1"/>
  <c r="L64" i="7"/>
  <c r="L69" i="18"/>
  <c r="P43" i="18" s="1"/>
  <c r="P45" i="18" s="1"/>
  <c r="L53" i="15"/>
  <c r="P48" i="15" s="1"/>
  <c r="L49" i="2"/>
  <c r="P30" i="2" s="1"/>
  <c r="C48" i="15"/>
  <c r="C51" i="15" s="1"/>
  <c r="C55" i="15" s="1"/>
  <c r="P52" i="15" s="1"/>
  <c r="C52" i="12"/>
  <c r="C55" i="12" s="1"/>
  <c r="C59" i="12" s="1"/>
  <c r="P56" i="12" s="1"/>
  <c r="I68" i="16"/>
  <c r="I56" i="14"/>
  <c r="M41" i="11"/>
  <c r="I55" i="7"/>
  <c r="I68" i="27"/>
  <c r="I37" i="18"/>
  <c r="I41" i="13"/>
  <c r="I46" i="8"/>
  <c r="I57" i="10"/>
  <c r="I55" i="28"/>
  <c r="B24" i="19"/>
  <c r="B3" i="19"/>
  <c r="B4" i="19"/>
  <c r="P59" i="28" l="1"/>
  <c r="P62" i="28" s="1"/>
  <c r="E4" i="19"/>
  <c r="E12" i="19"/>
  <c r="E24" i="19"/>
  <c r="E5" i="19"/>
  <c r="E17" i="19"/>
  <c r="E10" i="19"/>
  <c r="E22" i="19"/>
  <c r="E15" i="19"/>
  <c r="E20" i="19"/>
  <c r="E13" i="19"/>
  <c r="E25" i="19"/>
  <c r="E6" i="19"/>
  <c r="E18" i="19"/>
  <c r="E11" i="19"/>
  <c r="E23" i="19"/>
  <c r="E21" i="19"/>
  <c r="E16" i="19"/>
  <c r="E28" i="19"/>
  <c r="E9" i="19"/>
  <c r="E14" i="19"/>
  <c r="E26" i="19"/>
  <c r="E7" i="19"/>
  <c r="E19" i="19"/>
  <c r="E27" i="19"/>
  <c r="E3" i="19"/>
  <c r="P57" i="12"/>
  <c r="P53" i="15"/>
  <c r="P62" i="20"/>
  <c r="P29" i="6"/>
  <c r="P33" i="6" s="1"/>
  <c r="P58" i="7"/>
  <c r="P62" i="7" s="1"/>
  <c r="P29" i="2"/>
  <c r="P32" i="2" s="1"/>
  <c r="E30" i="19"/>
  <c r="E8" i="19"/>
  <c r="E29" i="19" s="1"/>
  <c r="E31" i="19" s="1"/>
  <c r="E32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<sst xmlns="http://schemas.openxmlformats.org/spreadsheetml/2006/main" count="9412" uniqueCount="2708">
  <si>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</si>
  <si>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</si>
  <si>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</si>
  <si>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</si>
  <si>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</si>
  <si>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</si>
  <si>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</si>
  <si>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</si>
  <si>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</si>
  <si>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</si>
  <si>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</si>
  <si>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</si>
  <si>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</si>
  <si>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</si>
  <si>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</si>
  <si>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</si>
  <si>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</si>
  <si>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Quỳnh Anh</t>
  </si>
  <si>
    <t>HD006833</t>
  </si>
  <si>
    <t>754 Nguyễn xiển p. long bình</t>
  </si>
  <si>
    <t>a.quyen</t>
  </si>
  <si>
    <t>c.cuong</t>
  </si>
  <si>
    <t>01-04-2026</t>
  </si>
  <si>
    <t>Fb: quỳnh vũ( minh hải)</t>
  </si>
  <si>
    <t>HD006847</t>
  </si>
  <si>
    <t>Số 17 đường số 13 phường bình hưng hòa</t>
  </si>
  <si>
    <t>binh tan</t>
  </si>
  <si>
    <t>AT 01-04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</si>
  <si>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</si>
  <si>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</si>
  <si>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</si>
  <si>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</si>
  <si>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</si>
  <si>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</si>
  <si>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</si>
  <si>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</si>
  <si>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</si>
  <si>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</si>
  <si>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</si>
  <si>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</si>
  <si>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</si>
  <si>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</si>
  <si>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</si>
  <si>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thị huệ fb Jannie vu</t>
  </si>
  <si>
    <t>HD006846</t>
  </si>
  <si>
    <t>136 đông hưng thuận 3 phường đông hưng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</si>
  <si>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</si>
  <si>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</si>
  <si>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</si>
  <si>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</si>
  <si>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</si>
  <si>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</si>
  <si>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</si>
  <si>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</si>
  <si>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</si>
  <si>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</si>
  <si>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</si>
  <si>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</si>
  <si>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</si>
  <si>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Khánh Như</t>
  </si>
  <si>
    <t>HD006868</t>
  </si>
  <si>
    <t>688/23/1c Hương Lộ 2, phường Bình Trị Đông A</t>
  </si>
  <si>
    <t>hàng sỉ</t>
  </si>
  <si>
    <t>Jess-9244</t>
  </si>
  <si>
    <t>275/14B1 Đặng Nguyên Cẩn, Phường Phú Lâm</t>
  </si>
  <si>
    <t>Thu Ba DS</t>
  </si>
  <si>
    <t>HD006743</t>
  </si>
  <si>
    <t>395 Bùi Đình Tuý, p14</t>
  </si>
  <si>
    <t>binh thanh</t>
  </si>
  <si>
    <t>Ngọc Mơ</t>
  </si>
  <si>
    <t>HD006858</t>
  </si>
  <si>
    <t>107/7 huỳnh an khương p5</t>
  </si>
  <si>
    <t>go vap</t>
  </si>
  <si>
    <t>Nguyễn TC Tiên</t>
  </si>
  <si>
    <t>HD006773</t>
  </si>
  <si>
    <t>6 Thạch Thị Thanh, Tân Định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</si>
  <si>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</si>
  <si>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</si>
  <si>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</si>
  <si>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</si>
  <si>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</si>
  <si>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</si>
  <si>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X.Anh</t>
  </si>
  <si>
    <t>HD006728</t>
  </si>
  <si>
    <t>Căn 603, lô B2 chung cư orchard parkview, 130-132 hồng hà, p. Đức Nhuận</t>
  </si>
  <si>
    <t>phu nhuan</t>
  </si>
  <si>
    <t>Kim Liên</t>
  </si>
  <si>
    <t>25/17/11 CỬU LONG PHƯỜNG 2</t>
  </si>
  <si>
    <t>tan binh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</si>
  <si>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</si>
  <si>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</si>
  <si>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</si>
  <si>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</si>
  <si>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</si>
  <si>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</si>
  <si>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</si>
  <si>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</si>
  <si>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</si>
  <si>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</si>
  <si>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</si>
  <si>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</si>
  <si>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</si>
  <si>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</si>
  <si>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</si>
  <si>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</si>
  <si>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</si>
  <si>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</si>
  <si>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</si>
  <si>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</si>
  <si>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</si>
  <si>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</si>
  <si>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</si>
  <si>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</si>
  <si>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</si>
  <si>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</si>
  <si>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</si>
  <si>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</si>
  <si>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</si>
  <si>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</si>
  <si>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</si>
  <si>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</si>
  <si>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</si>
  <si>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</si>
  <si>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</si>
  <si>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</si>
  <si>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</si>
  <si>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</si>
  <si>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</si>
  <si>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</si>
  <si>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</si>
  <si>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</si>
  <si>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</si>
  <si>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</si>
  <si>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</si>
  <si>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</si>
  <si>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</si>
  <si>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</si>
  <si>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</si>
  <si>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</si>
  <si>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</si>
  <si>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</si>
  <si>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</si>
  <si>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</si>
  <si>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</si>
  <si>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</si>
  <si>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</si>
  <si>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</si>
  <si>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</si>
  <si>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</si>
  <si>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</si>
  <si>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</si>
  <si>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</si>
  <si>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</si>
  <si>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</si>
  <si>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</si>
  <si>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</si>
  <si>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</si>
  <si>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</si>
  <si>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</si>
  <si>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</si>
  <si>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</si>
  <si>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</si>
  <si>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</si>
  <si>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</si>
  <si>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</si>
  <si>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</si>
  <si>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</si>
  <si>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</si>
  <si>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</si>
  <si>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</si>
  <si>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</si>
  <si>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</si>
  <si>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</si>
  <si>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</si>
  <si>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</si>
  <si>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</si>
  <si>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</si>
  <si>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</si>
  <si>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</si>
  <si>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</si>
  <si>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</si>
  <si>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</si>
  <si>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</si>
  <si>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</si>
  <si>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</si>
  <si>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</si>
  <si>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</si>
  <si>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</si>
  <si>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</si>
  <si>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</si>
  <si>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</si>
  <si>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</si>
  <si>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</si>
  <si>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</si>
  <si>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</si>
  <si>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</si>
  <si>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</si>
  <si>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</si>
  <si>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</si>
  <si>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</si>
  <si>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</si>
  <si>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</si>
  <si>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</si>
  <si>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</si>
  <si>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</si>
  <si>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</si>
  <si>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</si>
  <si>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</si>
  <si>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</si>
  <si>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</si>
  <si>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</si>
  <si>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</si>
  <si>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</si>
  <si>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</si>
  <si>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</si>
  <si>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</si>
  <si>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</si>
  <si>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</si>
  <si>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</si>
  <si>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</si>
  <si>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</si>
  <si>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</si>
  <si>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</si>
  <si>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</si>
  <si>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</si>
  <si>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</si>
  <si>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</si>
  <si>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</si>
  <si>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</si>
  <si>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</si>
  <si>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</si>
  <si>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</si>
  <si>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</si>
  <si>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</si>
  <si>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</si>
  <si>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</si>
  <si>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</si>
  <si>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</si>
  <si>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</si>
  <si>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</si>
  <si>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</si>
  <si>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</si>
  <si>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</si>
  <si>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</si>
  <si>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</si>
  <si>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</si>
  <si>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</si>
  <si>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</si>
  <si>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</si>
  <si>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</si>
  <si>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</si>
  <si>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</si>
  <si>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</si>
  <si>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</si>
  <si>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</si>
  <si>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</si>
  <si>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</si>
  <si>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</si>
  <si>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</si>
  <si>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</si>
  <si>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</si>
  <si>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</si>
  <si>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</si>
  <si>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</si>
  <si>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</si>
  <si>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</si>
  <si>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</si>
  <si>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</si>
  <si>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</si>
  <si>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</si>
  <si>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</si>
  <si>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</si>
  <si>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</si>
  <si>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</si>
  <si>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</si>
  <si>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</si>
  <si>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</si>
  <si>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</si>
  <si>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</si>
  <si>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</si>
  <si>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</si>
  <si>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</si>
  <si>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</si>
  <si>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</si>
  <si>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</si>
  <si>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</si>
  <si>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</si>
  <si>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</si>
  <si>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</si>
  <si>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</si>
  <si>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</si>
  <si>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</si>
  <si>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</si>
  <si>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</si>
  <si>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</si>
  <si>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</si>
  <si>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</si>
  <si>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</si>
  <si>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</si>
  <si>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</si>
  <si>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</si>
  <si>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</si>
  <si>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</si>
  <si>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</si>
  <si>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</si>
  <si>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</si>
  <si>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</si>
  <si>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</si>
  <si>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</si>
  <si>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</si>
  <si>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</si>
  <si>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</si>
  <si>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</si>
  <si>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</si>
  <si>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</si>
  <si>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</si>
  <si>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</si>
  <si>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</si>
  <si>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</si>
  <si>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</si>
  <si>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</si>
  <si>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</si>
  <si>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</si>
  <si>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</si>
  <si>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</si>
  <si>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</si>
  <si>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</si>
  <si>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</si>
  <si>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</si>
  <si>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</si>
  <si>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</si>
  <si>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</si>
  <si>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</si>
  <si>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</si>
  <si>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</si>
  <si>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</si>
  <si>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</si>
  <si>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</si>
  <si>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</si>
  <si>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</si>
  <si>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</si>
  <si>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</si>
  <si>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</si>
  <si>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</si>
  <si>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</si>
  <si>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</si>
  <si>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</si>
  <si>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</si>
  <si>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</si>
  <si>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</si>
  <si>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</si>
  <si>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</si>
  <si>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</si>
  <si>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</si>
  <si>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</si>
  <si>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</si>
  <si>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</si>
  <si>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</si>
  <si>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</si>
  <si>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</si>
  <si>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</si>
  <si>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</si>
  <si>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</si>
  <si>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</si>
  <si>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</si>
  <si>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</si>
  <si>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</si>
  <si>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</si>
  <si>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</si>
  <si>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</si>
  <si>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</si>
  <si>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</si>
  <si>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</si>
  <si>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</si>
  <si>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</si>
  <si>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</si>
  <si>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</si>
  <si>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</si>
  <si>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</si>
  <si>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</si>
  <si>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</si>
  <si>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</si>
  <si>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</si>
  <si>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</si>
  <si>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</si>
  <si>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</si>
  <si>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</si>
  <si>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</si>
  <si>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</si>
  <si>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</si>
  <si>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</si>
  <si>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</si>
  <si>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</si>
  <si>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</si>
  <si>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</si>
  <si>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</si>
  <si>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</si>
  <si>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</si>
  <si>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</si>
  <si>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</si>
  <si>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</si>
  <si>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</si>
  <si>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</si>
  <si>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</si>
  <si>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</si>
  <si>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</si>
  <si>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</si>
  <si>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</si>
  <si>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</si>
  <si>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</si>
  <si>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</si>
  <si>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</si>
  <si>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</si>
  <si>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</si>
  <si>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</si>
  <si>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</si>
  <si>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</si>
  <si>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</si>
  <si>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</si>
  <si>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</si>
  <si>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</si>
  <si>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</si>
  <si>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</si>
  <si>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</si>
  <si>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</si>
  <si>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</si>
  <si>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</si>
  <si>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</si>
  <si>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</si>
  <si>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</si>
  <si>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</si>
  <si>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</si>
  <si>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</si>
  <si>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</si>
  <si>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</si>
  <si>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</si>
  <si>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</si>
  <si>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</si>
  <si>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</si>
  <si>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</si>
  <si>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</si>
  <si>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</si>
  <si>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</si>
  <si>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</si>
  <si>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</si>
  <si>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</si>
  <si>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</si>
  <si>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</si>
  <si>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</si>
  <si>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</si>
  <si>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</si>
  <si>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</si>
  <si>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</si>
  <si>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</si>
  <si>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</si>
  <si>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</si>
  <si>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</si>
  <si>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</si>
  <si>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</si>
  <si>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</si>
  <si>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</si>
  <si>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</si>
  <si>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</si>
  <si>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</si>
  <si>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</si>
  <si>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</si>
  <si>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</si>
  <si>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</si>
  <si>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</si>
  <si>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</si>
  <si>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</si>
  <si>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</si>
  <si>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</si>
  <si>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</si>
  <si>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</si>
  <si>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</si>
  <si>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</si>
  <si>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</si>
  <si>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</si>
  <si>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</si>
  <si>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</si>
  <si>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</si>
  <si>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</si>
  <si>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</si>
  <si>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</si>
  <si>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</si>
  <si>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</si>
  <si>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</si>
  <si>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</si>
  <si>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</si>
  <si>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</si>
  <si>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</si>
  <si>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</si>
  <si>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</si>
  <si>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</si>
  <si>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</si>
  <si>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</si>
  <si>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</si>
  <si>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</si>
  <si>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</si>
  <si>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</si>
  <si>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</si>
  <si>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</si>
  <si>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</si>
  <si>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</si>
  <si>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</si>
  <si>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</si>
  <si>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</si>
  <si>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</si>
  <si>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</si>
  <si>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</si>
  <si>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</si>
  <si>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</si>
  <si>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</si>
  <si>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</si>
  <si>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</si>
  <si>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</si>
  <si>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</si>
  <si>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</si>
  <si>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</si>
  <si>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</si>
  <si>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</si>
  <si>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</si>
  <si>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</si>
  <si>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</si>
  <si>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</si>
  <si>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</si>
  <si>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</si>
  <si>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</si>
  <si>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</si>
  <si>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</si>
  <si>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</si>
  <si>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</si>
  <si>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</si>
  <si>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</si>
  <si>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</si>
  <si>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</si>
  <si>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</si>
  <si>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</si>
  <si>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</si>
  <si>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</si>
  <si>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</si>
  <si>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</si>
  <si>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</si>
  <si>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</si>
  <si>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</si>
  <si>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</si>
  <si>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</si>
  <si>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</si>
  <si>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</si>
  <si>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</si>
  <si>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</si>
  <si>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</si>
  <si>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</si>
  <si>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</si>
  <si>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</si>
  <si>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</si>
  <si>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</si>
  <si>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</si>
  <si>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</si>
  <si>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</si>
  <si>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</si>
  <si>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</si>
  <si>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</si>
  <si>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</si>
  <si>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</si>
  <si>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</si>
  <si>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</si>
  <si>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</si>
  <si>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</si>
  <si>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</si>
  <si>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</si>
  <si>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</si>
  <si>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</si>
  <si>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</si>
  <si>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</si>
  <si>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</si>
  <si>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</si>
  <si>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</si>
  <si>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</si>
  <si>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</si>
  <si>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</si>
  <si>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</si>
  <si>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</si>
  <si>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</si>
  <si>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</si>
  <si>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</si>
  <si>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</si>
  <si>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</si>
  <si>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</si>
  <si>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</si>
  <si>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</si>
  <si>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</si>
  <si>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</si>
  <si>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</si>
  <si>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</si>
  <si>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</si>
  <si>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</si>
  <si>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</si>
  <si>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</si>
  <si>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</si>
  <si>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</si>
  <si>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</si>
  <si>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</si>
  <si>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</si>
  <si>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</si>
  <si>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</si>
  <si>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</si>
  <si>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</si>
  <si>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</si>
  <si>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</si>
  <si>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</si>
  <si>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</si>
  <si>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</si>
  <si>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</si>
  <si>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</si>
  <si>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</si>
  <si>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</si>
  <si>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</si>
  <si>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</si>
  <si>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</si>
  <si>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</si>
  <si>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</si>
  <si>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</si>
  <si>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</si>
  <si>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</si>
  <si>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</si>
  <si>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</si>
  <si>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</si>
  <si>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</si>
  <si>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</si>
  <si>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</si>
  <si>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</si>
  <si>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</si>
  <si>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</si>
  <si>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</si>
  <si>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</si>
  <si>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</si>
  <si>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</si>
  <si>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</si>
  <si>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</si>
  <si>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</si>
  <si>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</si>
  <si>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</si>
  <si>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</si>
  <si>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</si>
  <si>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</si>
  <si>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</si>
  <si>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</si>
  <si>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</si>
  <si>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</si>
  <si>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</si>
  <si>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</si>
  <si>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</si>
  <si>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</si>
  <si>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</si>
  <si>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</si>
  <si>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</si>
  <si>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</si>
  <si>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</si>
  <si>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</si>
  <si>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</si>
  <si>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</si>
  <si>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</si>
  <si>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</si>
  <si>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</si>
  <si>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</si>
  <si>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</si>
  <si>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</si>
  <si>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</si>
  <si>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</si>
  <si>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</si>
  <si>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</si>
  <si>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</si>
  <si>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</si>
  <si>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</si>
  <si>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</si>
  <si>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</si>
  <si>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</si>
  <si>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</si>
  <si>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</si>
  <si>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</si>
  <si>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</si>
  <si>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</si>
  <si>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</si>
  <si>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</si>
  <si>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</si>
  <si>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</si>
  <si>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</si>
  <si>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</si>
  <si>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</si>
  <si>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</si>
  <si>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</si>
  <si>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</si>
  <si>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</si>
  <si>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</si>
  <si>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</si>
  <si>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</si>
  <si>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</si>
  <si>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</si>
  <si>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</si>
  <si>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</si>
  <si>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</si>
  <si>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</si>
  <si>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</si>
  <si>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</si>
  <si>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</si>
  <si>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</si>
  <si>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</si>
  <si>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</si>
  <si>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</si>
  <si>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</si>
  <si>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</si>
  <si>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</si>
  <si>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</si>
  <si>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</si>
  <si>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</si>
  <si>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</si>
  <si>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</si>
  <si>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</si>
  <si>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</si>
  <si>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</si>
  <si>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</si>
  <si>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</si>
  <si>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</si>
  <si>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</si>
  <si>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</si>
  <si>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</si>
  <si>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</si>
  <si>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</si>
  <si>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</si>
  <si>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</si>
  <si>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</si>
  <si>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</si>
  <si>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</si>
  <si>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</si>
  <si>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</si>
  <si>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</si>
  <si>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</si>
  <si>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</si>
  <si>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</si>
  <si>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</si>
  <si>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</si>
  <si>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</si>
  <si>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</si>
  <si>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</si>
  <si>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</si>
  <si>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</si>
  <si>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</si>
  <si>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</si>
  <si>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</si>
  <si>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</si>
  <si>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</si>
  <si>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</si>
  <si>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</si>
  <si>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</si>
  <si>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</si>
  <si>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</si>
  <si>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</si>
  <si>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</si>
  <si>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</si>
  <si>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</si>
  <si>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</si>
  <si>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</si>
  <si>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</si>
  <si>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</si>
  <si>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</si>
  <si>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</si>
  <si>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</si>
  <si>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</si>
  <si>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</si>
  <si>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</si>
  <si>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</si>
  <si>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</si>
  <si>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</si>
  <si>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</si>
  <si>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</si>
  <si>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</si>
  <si>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</si>
  <si>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</si>
  <si>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</si>
  <si>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</si>
  <si>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</si>
  <si>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</si>
  <si>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</si>
  <si>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</si>
  <si>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</si>
  <si>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</si>
  <si>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</si>
  <si>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</si>
  <si>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</si>
  <si>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</si>
  <si>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</si>
  <si>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</si>
  <si>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</si>
  <si>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</si>
  <si>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</si>
  <si>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</si>
  <si>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</si>
  <si>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</si>
  <si>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</si>
  <si>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</si>
  <si>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</si>
  <si>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</si>
  <si>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</si>
  <si>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</si>
  <si>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</si>
  <si>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</si>
  <si>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</si>
  <si>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</si>
  <si>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</si>
  <si>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</si>
  <si>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</si>
  <si>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</si>
  <si>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</si>
  <si>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</si>
  <si>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</si>
  <si>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</si>
  <si>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</si>
  <si>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</si>
  <si>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</si>
  <si>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</si>
  <si>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</si>
  <si>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</si>
  <si>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</si>
  <si>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</si>
  <si>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</si>
  <si>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</si>
  <si>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</si>
  <si>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</si>
  <si>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</si>
  <si>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</si>
  <si>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</si>
  <si>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</si>
  <si>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</si>
  <si>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</si>
  <si>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</si>
  <si>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</si>
  <si>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</si>
  <si>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</si>
  <si>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</si>
  <si>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</si>
  <si>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</si>
  <si>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</si>
  <si>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</si>
  <si>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</si>
  <si>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</si>
  <si>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</si>
  <si>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</si>
  <si>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</si>
  <si>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</si>
  <si>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</si>
  <si>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</si>
  <si>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</si>
  <si>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</si>
  <si>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</si>
  <si>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</si>
  <si>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</si>
  <si>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</si>
  <si>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</si>
  <si>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</si>
  <si>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</si>
  <si>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</si>
  <si>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</si>
  <si>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</si>
  <si>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</si>
  <si>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</si>
  <si>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</si>
  <si>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</si>
  <si>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</si>
  <si>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</si>
  <si>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</si>
  <si>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</si>
  <si>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</si>
  <si>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</si>
  <si>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</si>
  <si>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</si>
  <si>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</si>
  <si>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</si>
  <si>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</si>
  <si>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</si>
  <si>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</si>
  <si>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</si>
  <si>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</si>
  <si>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</si>
  <si>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</si>
  <si>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</si>
  <si>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</si>
  <si>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</si>
  <si>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</si>
  <si>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</si>
  <si>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</si>
  <si>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</si>
  <si>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</si>
  <si>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</si>
  <si>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</si>
  <si>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</si>
  <si>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</si>
  <si>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</si>
  <si>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</si>
  <si>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</si>
  <si>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</si>
  <si>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</si>
  <si>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</si>
  <si>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</si>
  <si>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</si>
  <si>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</si>
  <si>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</si>
  <si>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</si>
  <si>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</si>
  <si>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</si>
  <si>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</si>
  <si>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</si>
  <si>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</si>
  <si>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</si>
  <si>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</si>
  <si>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</si>
  <si>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</si>
  <si>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</si>
  <si>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</si>
  <si>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</si>
  <si>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</si>
  <si>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</si>
  <si>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</si>
  <si>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</si>
  <si>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</si>
  <si>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</si>
  <si>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</si>
  <si>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</si>
  <si>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</si>
  <si>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</si>
  <si>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</si>
  <si>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</si>
  <si>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</si>
  <si>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</si>
  <si>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</si>
  <si>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</si>
  <si>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</si>
  <si>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</si>
  <si>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</si>
  <si>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</si>
  <si>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</si>
  <si>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</si>
  <si>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</si>
  <si>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</si>
  <si>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</si>
  <si>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</si>
  <si>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</si>
  <si>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</si>
  <si>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</si>
  <si>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</si>
  <si>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</si>
  <si>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</si>
  <si>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</si>
  <si>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</si>
  <si>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</si>
  <si>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</si>
  <si>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</si>
  <si>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</si>
  <si>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</si>
  <si>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</si>
  <si>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</si>
  <si>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</si>
  <si>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</si>
  <si>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</si>
  <si>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</si>
  <si>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</si>
  <si>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</si>
  <si>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</si>
  <si>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</si>
  <si>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</si>
  <si>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</si>
  <si>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</si>
  <si>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</si>
  <si>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</si>
  <si>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</si>
  <si>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</si>
  <si>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</si>
  <si>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</si>
  <si>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</si>
  <si>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</si>
  <si>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</si>
  <si>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</si>
  <si>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</si>
  <si>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</si>
  <si>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</si>
  <si>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</si>
  <si>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</si>
  <si>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</si>
  <si>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</si>
  <si>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</si>
  <si>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</si>
  <si>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</si>
  <si>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</si>
  <si>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</si>
  <si>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</si>
  <si>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</si>
  <si>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</si>
  <si>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</si>
  <si>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</si>
  <si>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</si>
  <si>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</si>
  <si>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</si>
  <si>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</si>
  <si>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</si>
  <si>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</si>
  <si>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</si>
  <si>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</si>
  <si>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</si>
  <si>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</si>
  <si>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</si>
  <si>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</si>
  <si>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</si>
  <si>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</si>
  <si>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</si>
  <si>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</si>
  <si>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</si>
  <si>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</si>
  <si>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</si>
  <si>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</si>
  <si>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</si>
  <si>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</si>
  <si>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</si>
  <si>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</si>
  <si>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</si>
  <si>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socheatahun</t>
  </si>
  <si>
    <t>100A Thich Quang Duc Street, Ward 5</t>
  </si>
  <si>
    <t>đơn lấy hàng về cho shop</t>
  </si>
  <si>
    <t>at 10-04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</si>
  <si>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</si>
  <si>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</si>
  <si>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</si>
  <si>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</si>
  <si>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</si>
  <si>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</si>
  <si>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</si>
  <si>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</si>
  <si>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</si>
  <si>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</si>
  <si>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</si>
  <si>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</si>
  <si>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</si>
  <si>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</si>
  <si>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</si>
  <si>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</si>
  <si>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</si>
  <si>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</si>
  <si>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</si>
  <si>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</si>
  <si>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</si>
  <si>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</si>
  <si>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</si>
  <si>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</si>
  <si>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</si>
  <si>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</si>
  <si>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</si>
  <si>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</si>
  <si>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</si>
  <si>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</si>
  <si>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</si>
  <si>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</si>
  <si>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</si>
  <si>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</si>
  <si>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</si>
  <si>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</si>
  <si>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</si>
  <si>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</si>
  <si>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</si>
  <si>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</si>
  <si>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</si>
  <si>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</si>
  <si>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</si>
  <si>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</si>
  <si>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</si>
  <si>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</si>
  <si>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</si>
  <si>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</si>
  <si>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</si>
  <si>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</si>
  <si>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</si>
  <si>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</si>
  <si>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</si>
  <si>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</si>
  <si>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</si>
  <si>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</si>
  <si>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</si>
  <si>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</si>
  <si>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</si>
  <si>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</si>
  <si>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</si>
  <si>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</si>
  <si>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</si>
  <si>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</si>
  <si>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</si>
  <si>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</si>
  <si>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</si>
  <si>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</si>
  <si>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</si>
  <si>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</si>
  <si>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</si>
  <si>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</si>
  <si>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</si>
  <si>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</si>
  <si>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</si>
  <si>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</si>
  <si>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</si>
  <si>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</si>
  <si>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</si>
  <si>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</si>
  <si>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</si>
  <si>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</si>
  <si>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</si>
  <si>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</si>
  <si>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</si>
  <si>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</si>
  <si>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</si>
  <si>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</si>
  <si>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</si>
  <si>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</si>
  <si>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</si>
  <si>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</si>
  <si>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</si>
  <si>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</si>
  <si>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</si>
  <si>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</si>
  <si>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</si>
  <si>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</si>
  <si>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</si>
  <si>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</si>
  <si>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</si>
  <si>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</si>
  <si>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</si>
  <si>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</si>
  <si>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</si>
  <si>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</si>
  <si>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</si>
  <si>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</si>
  <si>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</si>
  <si>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</si>
  <si>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</si>
  <si>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</si>
  <si>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</si>
  <si>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</si>
  <si>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</si>
  <si>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at 11-04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</si>
  <si>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</si>
  <si>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</si>
  <si>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</si>
  <si>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</si>
  <si>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</si>
  <si>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</si>
  <si>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</si>
  <si>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</si>
  <si>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</si>
  <si>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</si>
  <si>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</si>
  <si>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</si>
  <si>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</si>
  <si>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</si>
  <si>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</si>
  <si>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</si>
  <si>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</si>
  <si>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</si>
  <si>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</si>
  <si>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</si>
  <si>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</si>
  <si>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</si>
  <si>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</si>
  <si>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</si>
  <si>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</si>
  <si>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</si>
  <si>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</si>
  <si>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</si>
  <si>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</si>
  <si>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</si>
  <si>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</si>
  <si>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</si>
  <si>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</si>
  <si>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</si>
  <si>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</si>
  <si>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</si>
  <si>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</si>
  <si>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</si>
  <si>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</si>
  <si>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</si>
  <si>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</si>
  <si>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</si>
  <si>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</si>
  <si>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</si>
  <si>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</si>
  <si>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</si>
  <si>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</si>
  <si>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</si>
  <si>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</si>
  <si>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</si>
  <si>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</si>
  <si>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</si>
  <si>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</si>
  <si>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</si>
  <si>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</si>
  <si>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</si>
  <si>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</si>
  <si>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</si>
  <si>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</si>
  <si>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</si>
  <si>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</si>
  <si>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</si>
  <si>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</si>
  <si>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</si>
  <si>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</si>
  <si>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</si>
  <si>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</si>
  <si>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</si>
  <si>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</si>
  <si>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</si>
  <si>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</si>
  <si>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</si>
  <si>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</si>
  <si>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</si>
  <si>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</si>
  <si>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</si>
  <si>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</si>
  <si>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</si>
  <si>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</si>
  <si>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</si>
  <si>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</si>
  <si>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</si>
  <si>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</si>
  <si>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</si>
  <si>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</si>
  <si>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</si>
  <si>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</si>
  <si>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</si>
  <si>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</si>
  <si>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</si>
  <si>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</si>
  <si>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</si>
  <si>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</si>
  <si>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</si>
  <si>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</si>
  <si>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</si>
  <si>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</si>
  <si>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</si>
  <si>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</si>
  <si>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</si>
  <si>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</si>
  <si>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</si>
  <si>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</si>
  <si>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</si>
  <si>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</si>
  <si>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</si>
  <si>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</si>
  <si>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</si>
  <si>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</si>
  <si>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</si>
  <si>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</si>
  <si>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</si>
  <si>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</si>
  <si>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</si>
  <si>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</si>
  <si>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</si>
  <si>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</si>
  <si>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</si>
  <si>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</si>
  <si>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</si>
  <si>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</si>
  <si>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</si>
  <si>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</si>
  <si>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</si>
  <si>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</si>
  <si>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</si>
  <si>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</si>
  <si>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</si>
  <si>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</si>
  <si>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</si>
  <si>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</si>
  <si>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</si>
  <si>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</si>
  <si>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</si>
  <si>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</si>
  <si>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</si>
  <si>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</si>
  <si>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</si>
  <si>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</si>
  <si>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</si>
  <si>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</si>
  <si>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</si>
  <si>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</si>
  <si>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</si>
  <si>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</si>
  <si>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</si>
  <si>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</si>
  <si>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</si>
  <si>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</si>
  <si>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</si>
  <si>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</si>
  <si>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</si>
  <si>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</si>
  <si>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</si>
  <si>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</si>
  <si>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</si>
  <si>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</si>
  <si>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</si>
  <si>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</si>
  <si>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</si>
  <si>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</si>
  <si>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hoàn về</t>
  </si>
  <si>
    <t>at 13-04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</si>
  <si>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</si>
  <si>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</si>
  <si>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</si>
  <si>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</si>
  <si>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</si>
  <si>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</si>
  <si>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</si>
  <si>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</si>
  <si>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</si>
  <si>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</si>
  <si>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</si>
  <si>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</si>
  <si>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</si>
  <si>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</si>
  <si>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</si>
  <si>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</si>
  <si>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</si>
  <si>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</si>
  <si>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</si>
  <si>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</si>
  <si>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</si>
  <si>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</si>
  <si>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</si>
  <si>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</si>
  <si>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</si>
  <si>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</si>
  <si>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</si>
  <si>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</si>
  <si>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</si>
  <si>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</si>
  <si>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</si>
  <si>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</si>
  <si>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</si>
  <si>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</si>
  <si>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</si>
  <si>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</si>
  <si>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</si>
  <si>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</si>
  <si>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</si>
  <si>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</si>
  <si>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</si>
  <si>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</si>
  <si>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</si>
  <si>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</si>
  <si>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</si>
  <si>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</si>
  <si>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</si>
  <si>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</si>
  <si>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</si>
  <si>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</si>
  <si>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</si>
  <si>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</si>
  <si>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ALAN</t>
  </si>
  <si>
    <t>HD005837</t>
  </si>
  <si>
    <t>163/11, Đường Vườn Lài, KP2, P. An Phú Đông</t>
  </si>
  <si>
    <t>lưu trả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</si>
  <si>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</si>
  <si>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</si>
  <si>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</si>
  <si>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</si>
  <si>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</si>
  <si>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</si>
  <si>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31-03-2026</t>
  </si>
  <si>
    <t>at 14-04</t>
  </si>
  <si>
    <t>4 đơn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</si>
  <si>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</si>
  <si>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</si>
  <si>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</si>
  <si>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</si>
  <si>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</si>
  <si>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</si>
  <si>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</si>
  <si>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</si>
  <si>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</si>
  <si>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</si>
  <si>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</si>
  <si>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</si>
  <si>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</si>
  <si>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</si>
  <si>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</si>
  <si>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</si>
  <si>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</si>
  <si>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</si>
  <si>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</si>
  <si>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</si>
  <si>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</si>
  <si>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</si>
  <si>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</si>
  <si>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</si>
  <si>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</si>
  <si>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</si>
  <si>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</si>
  <si>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</si>
  <si>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</si>
  <si>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</si>
  <si>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</si>
  <si>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</si>
  <si>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</si>
  <si>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</si>
  <si>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</si>
  <si>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</si>
  <si>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</si>
  <si>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</si>
  <si>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</si>
  <si>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</si>
  <si>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</si>
  <si>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</si>
  <si>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</si>
  <si>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</si>
  <si>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</si>
  <si>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</si>
  <si>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</si>
  <si>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</si>
  <si>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</si>
  <si>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</si>
  <si>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</si>
  <si>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</si>
  <si>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</si>
  <si>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</si>
  <si>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</si>
  <si>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</si>
  <si>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</si>
  <si>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</si>
  <si>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</si>
  <si>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</si>
  <si>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</si>
  <si>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</si>
  <si>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</si>
  <si>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</si>
  <si>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</si>
  <si>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</si>
  <si>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</si>
  <si>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</si>
  <si>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at 15-04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</si>
  <si>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</si>
  <si>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</si>
  <si>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</si>
  <si>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</si>
  <si>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</si>
  <si>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</si>
  <si>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</si>
  <si>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</si>
  <si>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</si>
  <si>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</si>
  <si>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</si>
  <si>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</si>
  <si>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</si>
  <si>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</si>
  <si>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</si>
  <si>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</si>
  <si>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</si>
  <si>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</si>
  <si>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</si>
  <si>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</si>
  <si>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</si>
  <si>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</si>
  <si>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</si>
  <si>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</si>
  <si>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</si>
  <si>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</si>
  <si>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</si>
  <si>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</si>
  <si>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</si>
  <si>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</si>
  <si>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</si>
  <si>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</si>
  <si>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</si>
  <si>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</si>
  <si>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</si>
  <si>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</si>
  <si>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</si>
  <si>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</si>
  <si>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</si>
  <si>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</si>
  <si>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</si>
  <si>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</si>
  <si>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</si>
  <si>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</si>
  <si>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</si>
  <si>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</si>
  <si>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</si>
  <si>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</si>
  <si>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</si>
  <si>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</si>
  <si>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</si>
  <si>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</si>
  <si>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</si>
  <si>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</si>
  <si>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</si>
  <si>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</si>
  <si>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</si>
  <si>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</si>
  <si>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</si>
  <si>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</si>
  <si>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</si>
  <si>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</si>
  <si>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</si>
  <si>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</si>
  <si>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</si>
  <si>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</si>
  <si>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</si>
  <si>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</si>
  <si>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</si>
  <si>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</si>
  <si>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</si>
  <si>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</si>
  <si>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</si>
  <si>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</si>
  <si>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</si>
  <si>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</si>
  <si>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</si>
  <si>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</si>
  <si>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</si>
  <si>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</si>
  <si>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</si>
  <si>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</si>
  <si>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</si>
  <si>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</si>
  <si>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</si>
  <si>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</si>
  <si>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</si>
  <si>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</si>
  <si>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</si>
  <si>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</si>
  <si>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</si>
  <si>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</si>
  <si>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</si>
  <si>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</si>
  <si>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</si>
  <si>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</si>
  <si>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</si>
  <si>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</si>
  <si>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</si>
  <si>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</si>
  <si>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</si>
  <si>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</si>
  <si>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</si>
  <si>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</si>
  <si>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</si>
  <si>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</si>
  <si>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</si>
  <si>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</si>
  <si>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</si>
  <si>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</si>
  <si>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</si>
  <si>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</si>
  <si>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</si>
  <si>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</si>
  <si>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</si>
  <si>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</si>
  <si>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</si>
  <si>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</si>
  <si>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</si>
  <si>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</si>
  <si>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</si>
  <si>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</si>
  <si>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</si>
  <si>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</si>
  <si>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at 16-04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</si>
  <si>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</si>
  <si>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</si>
  <si>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</si>
  <si>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</si>
  <si>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</si>
  <si>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</si>
  <si>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</si>
  <si>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</si>
  <si>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</si>
  <si>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</si>
  <si>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</si>
  <si>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</si>
  <si>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</si>
  <si>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</si>
  <si>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</si>
  <si>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</si>
  <si>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</si>
  <si>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</si>
  <si>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</si>
  <si>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</si>
  <si>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</si>
  <si>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</si>
  <si>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</si>
  <si>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</si>
  <si>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</si>
  <si>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</si>
  <si>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</si>
  <si>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</si>
  <si>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</si>
  <si>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</si>
  <si>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</si>
  <si>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</si>
  <si>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</si>
  <si>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</si>
  <si>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</si>
  <si>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</si>
  <si>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</si>
  <si>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</si>
  <si>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</si>
  <si>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</si>
  <si>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</si>
  <si>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</si>
  <si>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</si>
  <si>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</si>
  <si>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HD011639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</si>
  <si>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</si>
  <si>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</si>
  <si>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</si>
  <si>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</si>
  <si>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</si>
  <si>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</si>
  <si>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</si>
  <si>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</si>
  <si>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</si>
  <si>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</si>
  <si>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</si>
  <si>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</si>
  <si>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</si>
  <si>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</si>
  <si>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</si>
  <si>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</si>
  <si>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</si>
  <si>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</si>
  <si>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</si>
  <si>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</si>
  <si>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</si>
  <si>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</si>
  <si>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</si>
  <si>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</si>
  <si>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</si>
  <si>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</si>
  <si>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</si>
  <si>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</si>
  <si>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</si>
  <si>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</si>
  <si>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</si>
  <si>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</si>
  <si>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</si>
  <si>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</si>
  <si>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</si>
  <si>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</si>
  <si>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</si>
  <si>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</si>
  <si>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</si>
  <si>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</si>
  <si>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</si>
  <si>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</si>
  <si>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</si>
  <si>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</si>
  <si>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</si>
  <si>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</si>
  <si>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</si>
  <si>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</si>
  <si>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</si>
  <si>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</si>
  <si>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</si>
  <si>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</si>
  <si>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</si>
  <si>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</si>
  <si>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</si>
  <si>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</si>
  <si>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</si>
  <si>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</si>
  <si>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</si>
  <si>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</si>
  <si>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</si>
  <si>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</si>
  <si>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</si>
  <si>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</si>
  <si>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</si>
  <si>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</si>
  <si>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</si>
  <si>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</si>
  <si>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</si>
  <si>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</si>
  <si>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</si>
  <si>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</si>
  <si>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</si>
  <si>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</si>
  <si>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</si>
  <si>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</si>
  <si>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</si>
  <si>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</si>
  <si>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</si>
  <si>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</si>
  <si>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</si>
  <si>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</si>
  <si>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at 17-04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</si>
  <si>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</si>
  <si>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</si>
  <si>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</si>
  <si>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</si>
  <si>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</si>
  <si>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</si>
  <si>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</si>
  <si>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</si>
  <si>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</si>
  <si>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</si>
  <si>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</si>
  <si>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</si>
  <si>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</si>
  <si>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</si>
  <si>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</si>
  <si>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</si>
  <si>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</si>
  <si>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</si>
  <si>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</si>
  <si>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</si>
  <si>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</si>
  <si>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</si>
  <si>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</si>
  <si>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</si>
  <si>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</si>
  <si>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</si>
  <si>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</si>
  <si>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</si>
  <si>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</si>
  <si>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</si>
  <si>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</si>
  <si>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</si>
  <si>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</si>
  <si>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</si>
  <si>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</si>
  <si>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</si>
  <si>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</si>
  <si>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</si>
  <si>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</si>
  <si>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</si>
  <si>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</si>
  <si>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</si>
  <si>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</si>
  <si>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</si>
  <si>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</si>
  <si>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</si>
  <si>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</si>
  <si>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</si>
  <si>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</si>
  <si>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</si>
  <si>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</si>
  <si>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</si>
  <si>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</si>
  <si>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</si>
  <si>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</si>
  <si>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</si>
  <si>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</si>
  <si>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</si>
  <si>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</si>
  <si>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</si>
  <si>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</si>
  <si>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</si>
  <si>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</si>
  <si>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</si>
  <si>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</si>
  <si>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</si>
  <si>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</si>
  <si>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</si>
  <si>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</si>
  <si>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</si>
  <si>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</si>
  <si>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</si>
  <si>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</si>
  <si>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</si>
  <si>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</si>
  <si>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</si>
  <si>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</si>
  <si>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</si>
  <si>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</si>
  <si>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</si>
  <si>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</si>
  <si>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</si>
  <si>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</si>
  <si>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</si>
  <si>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</si>
  <si>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Trần Huyền</t>
  </si>
  <si>
    <t>HD006209</t>
  </si>
  <si>
    <t>Số 27, Đường D5, Phường Tân Thuận Tây</t>
  </si>
  <si>
    <t>at 18-04</t>
  </si>
  <si>
    <t>3 đơn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</si>
  <si>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</si>
  <si>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</si>
  <si>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</si>
  <si>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</si>
  <si>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</si>
  <si>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</si>
  <si>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</si>
  <si>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</si>
  <si>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</si>
  <si>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</si>
  <si>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</si>
  <si>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</si>
  <si>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</si>
  <si>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</si>
  <si>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</si>
  <si>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</si>
  <si>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</si>
  <si>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</si>
  <si>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</si>
  <si>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</si>
  <si>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</si>
  <si>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</si>
  <si>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</si>
  <si>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</si>
  <si>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</si>
  <si>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</si>
  <si>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</si>
  <si>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</si>
  <si>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</si>
  <si>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</si>
  <si>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</si>
  <si>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</si>
  <si>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</si>
  <si>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</si>
  <si>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</si>
  <si>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</si>
  <si>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</si>
  <si>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</si>
  <si>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</si>
  <si>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</si>
  <si>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</si>
  <si>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</si>
  <si>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</si>
  <si>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</si>
  <si>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</si>
  <si>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</si>
  <si>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</si>
  <si>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</si>
  <si>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</si>
  <si>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</si>
  <si>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</si>
  <si>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</si>
  <si>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</si>
  <si>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</si>
  <si>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</si>
  <si>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</si>
  <si>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</si>
  <si>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</si>
  <si>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</si>
  <si>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</si>
  <si>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</si>
  <si>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</si>
  <si>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</si>
  <si>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</si>
  <si>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</si>
  <si>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</si>
  <si>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</si>
  <si>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</si>
  <si>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</si>
  <si>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</si>
  <si>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</si>
  <si>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</si>
  <si>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</si>
  <si>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</si>
  <si>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</si>
  <si>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</si>
  <si>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</si>
  <si>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</si>
  <si>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</si>
  <si>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</si>
  <si>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</si>
  <si>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</si>
  <si>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</si>
  <si>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</si>
  <si>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</si>
  <si>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</si>
  <si>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</si>
  <si>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</si>
  <si>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</si>
  <si>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</si>
  <si>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</si>
  <si>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</si>
  <si>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</si>
  <si>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</si>
  <si>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</si>
  <si>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</si>
  <si>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</si>
  <si>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</si>
  <si>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</si>
  <si>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</si>
  <si>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</si>
  <si>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</si>
  <si>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</si>
  <si>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</si>
  <si>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</si>
  <si>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</si>
  <si>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</si>
  <si>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</si>
  <si>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</si>
  <si>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</si>
  <si>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</si>
  <si>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</si>
  <si>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</si>
  <si>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</si>
  <si>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</si>
  <si>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</si>
  <si>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</si>
  <si>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</si>
  <si>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</si>
  <si>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</si>
  <si>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</si>
  <si>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</si>
  <si>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</si>
  <si>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</si>
  <si>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</si>
  <si>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</si>
  <si>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</si>
  <si>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</si>
  <si>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</si>
  <si>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</si>
  <si>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</si>
  <si>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</si>
  <si>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</si>
  <si>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</si>
  <si>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</si>
  <si>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</si>
  <si>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</si>
  <si>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</si>
  <si>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</si>
  <si>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</si>
  <si>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</si>
  <si>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</si>
  <si>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</si>
  <si>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</si>
  <si>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</si>
  <si>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</si>
  <si>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</si>
  <si>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</si>
  <si>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</si>
  <si>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</si>
  <si>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</si>
  <si>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</si>
  <si>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</si>
  <si>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</si>
  <si>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</si>
  <si>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</si>
  <si>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</si>
  <si>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</si>
  <si>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</si>
  <si>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</si>
  <si>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</si>
  <si>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</si>
  <si>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</si>
  <si>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</si>
  <si>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</si>
  <si>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</si>
  <si>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</si>
  <si>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</si>
  <si>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</si>
  <si>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</si>
  <si>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</si>
  <si>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</si>
  <si>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</si>
  <si>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</si>
  <si>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</si>
  <si>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</si>
  <si>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</si>
  <si>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</si>
  <si>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</si>
  <si>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</si>
  <si>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</si>
  <si>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</si>
  <si>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</si>
  <si>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</si>
  <si>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</si>
  <si>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</si>
  <si>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</si>
  <si>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</si>
  <si>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</si>
  <si>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</si>
  <si>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</si>
  <si>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</si>
  <si>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</si>
  <si>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</si>
  <si>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</si>
  <si>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</si>
  <si>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</si>
  <si>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</si>
  <si>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</si>
  <si>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</si>
  <si>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</si>
  <si>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</si>
  <si>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</si>
  <si>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</si>
  <si>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</si>
  <si>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</si>
  <si>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</si>
  <si>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</si>
  <si>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</si>
  <si>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</si>
  <si>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</si>
  <si>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</si>
  <si>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</si>
  <si>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</si>
  <si>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</si>
  <si>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</si>
  <si>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</si>
  <si>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</si>
  <si>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</si>
  <si>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</si>
  <si>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</si>
  <si>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</si>
  <si>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</si>
  <si>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</si>
  <si>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</si>
  <si>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</si>
  <si>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</si>
  <si>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</si>
  <si>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</si>
  <si>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</si>
  <si>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17t9 trung hoà nhân chính ( mặt nguyễn thị thập) 0865816871</t>
  </si>
  <si>
    <t>Mail Anh</t>
  </si>
  <si>
    <t>HD013456</t>
  </si>
  <si>
    <t>đường Nguyễn Trãi tạp phúc yên tỉnh phú thọ ( cạnh công ty Nguyệtảnh )</t>
  </si>
  <si>
    <t>at 20-04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</si>
  <si>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</si>
  <si>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</si>
  <si>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</si>
  <si>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</si>
  <si>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</si>
  <si>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</si>
  <si>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</si>
  <si>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</si>
  <si>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</si>
  <si>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</si>
  <si>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</si>
  <si>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</si>
  <si>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</si>
  <si>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</si>
  <si>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</si>
  <si>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</si>
  <si>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</si>
  <si>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</si>
  <si>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</si>
  <si>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</si>
  <si>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</si>
  <si>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</si>
  <si>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</si>
  <si>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</si>
  <si>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</si>
  <si>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</si>
  <si>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</si>
  <si>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</si>
  <si>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</si>
  <si>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</si>
  <si>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</si>
  <si>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</si>
  <si>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</si>
  <si>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</si>
  <si>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</si>
  <si>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</si>
  <si>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</si>
  <si>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</si>
  <si>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</si>
  <si>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</si>
  <si>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</si>
  <si>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</si>
  <si>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</si>
  <si>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</si>
  <si>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</si>
  <si>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</si>
  <si>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</si>
  <si>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</si>
  <si>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</si>
  <si>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</si>
  <si>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</si>
  <si>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</si>
  <si>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</si>
  <si>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</si>
  <si>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</si>
  <si>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</si>
  <si>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</si>
  <si>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</si>
  <si>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</si>
  <si>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</si>
  <si>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</si>
  <si>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</si>
  <si>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</si>
  <si>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</si>
  <si>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</si>
  <si>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</si>
  <si>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</si>
  <si>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</si>
  <si>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</si>
  <si>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</si>
  <si>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</si>
  <si>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</si>
  <si>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</si>
  <si>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</si>
  <si>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</si>
  <si>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</si>
  <si>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</si>
  <si>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</si>
  <si>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</si>
  <si>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</si>
  <si>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</si>
  <si>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</si>
  <si>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</si>
  <si>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</si>
  <si>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</si>
  <si>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</si>
  <si>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</si>
  <si>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</si>
  <si>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</si>
  <si>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</si>
  <si>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</si>
  <si>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</si>
  <si>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</si>
  <si>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</si>
  <si>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</si>
  <si>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</si>
  <si>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</si>
  <si>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</si>
  <si>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</si>
  <si>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</si>
  <si>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</si>
  <si>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</si>
  <si>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</si>
  <si>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</si>
  <si>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</si>
  <si>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</si>
  <si>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</si>
  <si>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</si>
  <si>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</si>
  <si>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</si>
  <si>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</si>
  <si>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</si>
  <si>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</si>
  <si>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</si>
  <si>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</si>
  <si>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</si>
  <si>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</si>
  <si>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</si>
  <si>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kh ck shop 815k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</si>
  <si>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</si>
  <si>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</si>
  <si>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</si>
  <si>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</si>
  <si>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</si>
  <si>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</si>
  <si>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</si>
  <si>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</si>
  <si>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</si>
  <si>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</si>
  <si>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</si>
  <si>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</si>
  <si>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</si>
  <si>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</si>
  <si>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</si>
  <si>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</si>
  <si>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</si>
  <si>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</si>
  <si>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</si>
  <si>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</si>
  <si>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</si>
  <si>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at 21-04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</si>
  <si>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</si>
  <si>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</si>
  <si>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</si>
  <si>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</si>
  <si>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</si>
  <si>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</si>
  <si>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</si>
  <si>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</si>
  <si>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</si>
  <si>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</si>
  <si>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</si>
  <si>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</si>
  <si>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</si>
  <si>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</si>
  <si>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</si>
  <si>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</si>
  <si>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</si>
  <si>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</si>
  <si>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</si>
  <si>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</si>
  <si>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</si>
  <si>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</si>
  <si>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</si>
  <si>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</si>
  <si>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</si>
  <si>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</si>
  <si>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</si>
  <si>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</si>
  <si>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</si>
  <si>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</si>
  <si>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</si>
  <si>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</si>
  <si>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</si>
  <si>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</si>
  <si>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</si>
  <si>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</si>
  <si>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</si>
  <si>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</si>
  <si>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</si>
  <si>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</si>
  <si>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</si>
  <si>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</si>
  <si>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</si>
  <si>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</si>
  <si>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</si>
  <si>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</si>
  <si>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</si>
  <si>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</si>
  <si>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</si>
  <si>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</si>
  <si>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</si>
  <si>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</si>
  <si>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</si>
  <si>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</si>
  <si>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</si>
  <si>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</si>
  <si>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</si>
  <si>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</si>
  <si>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</si>
  <si>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</si>
  <si>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</si>
  <si>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</si>
  <si>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</si>
  <si>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</si>
  <si>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</si>
  <si>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</si>
  <si>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</si>
  <si>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</si>
  <si>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</si>
  <si>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</si>
  <si>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</si>
  <si>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</si>
  <si>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</si>
  <si>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</si>
  <si>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</si>
  <si>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</si>
  <si>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</si>
  <si>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</si>
  <si>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</si>
  <si>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</si>
  <si>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</si>
  <si>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</si>
  <si>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</si>
  <si>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</si>
  <si>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</si>
  <si>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</si>
  <si>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</si>
  <si>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</si>
  <si>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</si>
  <si>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</si>
  <si>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</si>
  <si>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</si>
  <si>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</si>
  <si>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</si>
  <si>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</si>
  <si>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</si>
  <si>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</si>
  <si>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</si>
  <si>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</si>
  <si>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</si>
  <si>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</si>
  <si>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</si>
  <si>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</si>
  <si>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</si>
  <si>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</si>
  <si>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</si>
  <si>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</si>
  <si>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</si>
  <si>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</si>
  <si>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</si>
  <si>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</si>
  <si>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</si>
  <si>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</si>
  <si>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</si>
  <si>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</si>
  <si>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</si>
  <si>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</si>
  <si>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</si>
  <si>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</si>
  <si>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</si>
  <si>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</si>
  <si>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</si>
  <si>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</si>
  <si>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</si>
  <si>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</si>
  <si>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</si>
  <si>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at 22-04</t>
  </si>
  <si>
    <t>HD014529</t>
  </si>
  <si>
    <t>Bs16a The oasis Vinhomes grand park ( Phước Thiện Long Bình)</t>
  </si>
  <si>
    <t>23-04-2026</t>
  </si>
  <si>
    <t>Ái</t>
  </si>
  <si>
    <t>HD014697</t>
  </si>
  <si>
    <t>265 lý tự trọng</t>
  </si>
  <si>
    <t>AT 23-04</t>
  </si>
  <si>
    <t>HD014543</t>
  </si>
  <si>
    <t>HD014667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</si>
  <si>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</si>
  <si>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</si>
  <si>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</si>
  <si>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</si>
  <si>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</si>
  <si>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</si>
  <si>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</si>
  <si>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</si>
  <si>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</si>
  <si>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</si>
  <si>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</si>
  <si>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</si>
  <si>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</si>
  <si>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</si>
  <si>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</si>
  <si>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</si>
  <si>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</si>
  <si>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</si>
  <si>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</si>
  <si>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</si>
  <si>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</si>
  <si>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</si>
  <si>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</si>
  <si>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</si>
  <si>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</si>
  <si>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</si>
  <si>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</si>
  <si>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</si>
  <si>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Trang Lâm</t>
  </si>
  <si>
    <t>HD014526</t>
  </si>
  <si>
    <t>1806/45/20/10 huỳnh tấn phát</t>
  </si>
  <si>
    <t>HD014694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</si>
  <si>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</si>
  <si>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</si>
  <si>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</si>
  <si>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</si>
  <si>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</si>
  <si>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</si>
  <si>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</si>
  <si>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</si>
  <si>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</si>
  <si>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chip chip</t>
  </si>
  <si>
    <t>HD014665</t>
  </si>
  <si>
    <t>71/16 thới an 16</t>
  </si>
  <si>
    <t>HD014594</t>
  </si>
  <si>
    <t>HD014669</t>
  </si>
  <si>
    <t>Saigon Royal Res cences,Nguyễn Trường Tộ, phường 13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</si>
  <si>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</si>
  <si>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</si>
  <si>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</si>
  <si>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</si>
  <si>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</si>
  <si>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</si>
  <si>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</si>
  <si>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</si>
  <si>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Kim Anh Phạm Nguyễn</t>
  </si>
  <si>
    <t>HD014381</t>
  </si>
  <si>
    <t>240/38/4 Tô ngọc vân, phường Thạnh Xuân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</si>
  <si>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</si>
  <si>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</si>
  <si>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</si>
  <si>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</si>
  <si>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</si>
  <si>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</si>
  <si>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</si>
  <si>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</si>
  <si>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</si>
  <si>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</si>
  <si>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</si>
  <si>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</si>
  <si>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</si>
  <si>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</si>
  <si>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</si>
  <si>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</si>
  <si>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</si>
  <si>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</si>
  <si>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</si>
  <si>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</si>
  <si>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</si>
  <si>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Thu Tài Trần - Phù Thỉ</t>
  </si>
  <si>
    <t>HD014684</t>
  </si>
  <si>
    <t>Trúc Phương</t>
  </si>
  <si>
    <t>HD014191</t>
  </si>
  <si>
    <t>Chung cư Citiesto, cát lái</t>
  </si>
  <si>
    <t>W3235</t>
  </si>
  <si>
    <t>HD014374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</si>
  <si>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</si>
  <si>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</si>
  <si>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</si>
  <si>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</si>
  <si>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</si>
  <si>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</si>
  <si>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Ngân</t>
  </si>
  <si>
    <t>HD014686</t>
  </si>
  <si>
    <t>Landmark Plus, 208 Nguyễn Hữu Cảnh, phường 22</t>
  </si>
  <si>
    <t>Xiabao</t>
  </si>
  <si>
    <t>HD014094</t>
  </si>
  <si>
    <t>375 Tân thới hiệp 21, Tổ 3</t>
  </si>
  <si>
    <t>Thu Hà</t>
  </si>
  <si>
    <t>HD014340</t>
  </si>
  <si>
    <t>61/8 đường 23 hiệp bình Chánh</t>
  </si>
  <si>
    <t>Charli (inst char importshop )-BN2441</t>
  </si>
  <si>
    <t>HD014661</t>
  </si>
  <si>
    <t>Thị Bi</t>
  </si>
  <si>
    <t>HD014615</t>
  </si>
  <si>
    <t>86/36/3 PHỔ QUANG, PHƯỜNG TÂN SƠN HOÀ</t>
  </si>
  <si>
    <t>Hoài An ft Ann Nguyen</t>
  </si>
  <si>
    <t>HD014716</t>
  </si>
  <si>
    <t>Toà S5, chung cư the Sun Avenue 28 Mai Chí Thọ, P.Bình Trưng</t>
  </si>
  <si>
    <t>Mỹ Hạnh</t>
  </si>
  <si>
    <t>HD014717</t>
  </si>
  <si>
    <t>448/65/2 Phan Huy Ích P.12</t>
  </si>
  <si>
    <t>Ngọc fb Nga Nguyenn</t>
  </si>
  <si>
    <t>HD014668</t>
  </si>
  <si>
    <t>434/20/14 Phạm Văn Chiêu Phường 9</t>
  </si>
  <si>
    <t>Trần Phượng Liên</t>
  </si>
  <si>
    <t>HD014498</t>
  </si>
  <si>
    <t>207/9 nguyễn văn khôi p8</t>
  </si>
  <si>
    <t>Ngọc Vinh</t>
  </si>
  <si>
    <t>HD014488</t>
  </si>
  <si>
    <t>17-19 Trường Sơn P4</t>
  </si>
  <si>
    <t>Hoàng An</t>
  </si>
  <si>
    <t>HD014524</t>
  </si>
  <si>
    <t>47/3 trần bình trọng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</si>
  <si>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</si>
  <si>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</si>
  <si>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</si>
  <si>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</si>
  <si>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</si>
  <si>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</si>
  <si>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</si>
  <si>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Pidor 012736103</t>
  </si>
  <si>
    <t>HD013727</t>
  </si>
  <si>
    <t>NHÀ XE KHẢI NAM</t>
  </si>
  <si>
    <t>at 23-04</t>
  </si>
  <si>
    <t>HD015008</t>
  </si>
  <si>
    <t>24-04-2026</t>
  </si>
  <si>
    <t>Ngọc Hồng Thương</t>
  </si>
  <si>
    <t>HD014885</t>
  </si>
  <si>
    <t>51 đường 81 tân quy</t>
  </si>
  <si>
    <t>AT 24-04</t>
  </si>
  <si>
    <t>Nguyễn Kim Hằng,</t>
  </si>
  <si>
    <t>HD015065</t>
  </si>
  <si>
    <t>A22/5 phạm thế hiển p3</t>
  </si>
  <si>
    <t>HD015129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</si>
  <si>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</si>
  <si>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</si>
  <si>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</si>
  <si>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</si>
  <si>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</si>
  <si>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</si>
  <si>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Phạm T.Thảo</t>
  </si>
  <si>
    <t>HD015179</t>
  </si>
  <si>
    <t>63 dương bá trạc p.rạch ông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</si>
  <si>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</si>
  <si>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</si>
  <si>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</si>
  <si>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</si>
  <si>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</si>
  <si>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</si>
  <si>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</si>
  <si>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</si>
  <si>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</si>
  <si>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</si>
  <si>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</si>
  <si>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</si>
  <si>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</si>
  <si>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</si>
  <si>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</si>
  <si>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</si>
  <si>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</si>
  <si>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HD015082</t>
  </si>
  <si>
    <t>13 đường số 3, Khu dân cư phước kiển A, Lê Văn Lương</t>
  </si>
  <si>
    <t>gộp, kh ck shop 865k</t>
  </si>
  <si>
    <t>HD014831</t>
  </si>
  <si>
    <t>bảo bảo fb Phương Phương</t>
  </si>
  <si>
    <t>HD015165</t>
  </si>
  <si>
    <t>132 bến vân đồn p6</t>
  </si>
  <si>
    <t>Thý An</t>
  </si>
  <si>
    <t>HD014870</t>
  </si>
  <si>
    <t>306 Nguyễn thiện thuật phường 3</t>
  </si>
  <si>
    <t>Trần Lê Trâm Anh</t>
  </si>
  <si>
    <t>HD015267</t>
  </si>
  <si>
    <t>179/13A hoà bình Phường Hiệp Tân</t>
  </si>
  <si>
    <t>HD015264</t>
  </si>
  <si>
    <t>179/13A hoà bình</t>
  </si>
  <si>
    <t>Xuân Phát tiktok @xuanphat94</t>
  </si>
  <si>
    <t>HD015085</t>
  </si>
  <si>
    <t>B214bis đường đông hưng thuận 1, phường đông hưng thuận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</si>
  <si>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</si>
  <si>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</si>
  <si>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</si>
  <si>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</si>
  <si>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</si>
  <si>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</si>
  <si>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</si>
  <si>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</si>
  <si>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</si>
  <si>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</si>
  <si>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Tuyết Nhi</t>
  </si>
  <si>
    <t>HD014894</t>
  </si>
  <si>
    <t>Block d2, chung cư sài gòn riverside (số 4 đào trí, phú thuận)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</si>
  <si>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</si>
  <si>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</si>
  <si>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</si>
  <si>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</si>
  <si>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</si>
  <si>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</si>
  <si>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</si>
  <si>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Trang Nhung</t>
  </si>
  <si>
    <t>HD015083</t>
  </si>
  <si>
    <t>Chung cư Hà độ toà orchid 2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</si>
  <si>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</si>
  <si>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</si>
  <si>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</si>
  <si>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</si>
  <si>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</si>
  <si>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</si>
  <si>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</si>
  <si>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</si>
  <si>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</si>
  <si>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</si>
  <si>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</si>
  <si>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</si>
  <si>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</si>
  <si>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Nguyễn Thùy Vi</t>
  </si>
  <si>
    <t>HD015077</t>
  </si>
  <si>
    <t>The Tresor,39-39b bến vân đồn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</si>
  <si>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</si>
  <si>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</si>
  <si>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</si>
  <si>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</si>
  <si>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</si>
  <si>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</si>
  <si>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</si>
  <si>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</si>
  <si>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Thủy Ngọc Võ</t>
  </si>
  <si>
    <t>HD015166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</si>
  <si>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</si>
  <si>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</si>
  <si>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</si>
  <si>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</si>
  <si>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</si>
  <si>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</si>
  <si>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</si>
  <si>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</si>
  <si>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</si>
  <si>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</si>
  <si>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</si>
  <si>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HD015068</t>
  </si>
  <si>
    <t>HD015010</t>
  </si>
  <si>
    <t>The Sun Avenue S3-Mai Chí thọ</t>
  </si>
  <si>
    <t>Nhã Phương</t>
  </si>
  <si>
    <t>HD015029</t>
  </si>
  <si>
    <t>26/2 đường 59 p14</t>
  </si>
  <si>
    <t>HD014972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</si>
  <si>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</si>
  <si>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</si>
  <si>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</si>
  <si>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</si>
  <si>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</si>
  <si>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</si>
  <si>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</si>
  <si>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</si>
  <si>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</si>
  <si>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Nguyễn Hồng Nga</t>
  </si>
  <si>
    <t>HD014904</t>
  </si>
  <si>
    <t>104/12 Nguyễn Trọng Tuyển, P15</t>
  </si>
  <si>
    <t>Nguyễn Hương Giang</t>
  </si>
  <si>
    <t>HD015198</t>
  </si>
  <si>
    <t>1702 Quang Trung, P.10</t>
  </si>
  <si>
    <t>HD015180</t>
  </si>
  <si>
    <t>HD014918</t>
  </si>
  <si>
    <t>mai chí thọ phường an phú Cc lexington block B</t>
  </si>
  <si>
    <t>HD015247</t>
  </si>
  <si>
    <t>82/17/20 đinh tiên hoàng p1</t>
  </si>
  <si>
    <t>HD015167</t>
  </si>
  <si>
    <t>chung cư terrace 21 võ trường toản</t>
  </si>
  <si>
    <t>MINZZY</t>
  </si>
  <si>
    <t>XE TOÀN THẮNG</t>
  </si>
  <si>
    <t>at 24-04</t>
  </si>
  <si>
    <t>THÁNG 4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</si>
  <si>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</si>
  <si>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</si>
  <si>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</si>
  <si>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</si>
  <si>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</si>
  <si>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</si>
  <si>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</si>
  <si>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</si>
  <si>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</si>
  <si>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HD015763</t>
  </si>
  <si>
    <t>AT 25-04</t>
  </si>
  <si>
    <t>25-04-2026</t>
  </si>
  <si>
    <t>Thuy An Dao</t>
  </si>
  <si>
    <t>HD015672</t>
  </si>
  <si>
    <t>Sảnh B2 chung cư Emerald phường Sơn Kỳ</t>
  </si>
  <si>
    <t>Loan Tran</t>
  </si>
  <si>
    <t>HD015680</t>
  </si>
  <si>
    <t>Chung Cư Diamond Brilliant Số 3 Đường N1 phường Tân Sơn Nhì Sảnh B1</t>
  </si>
  <si>
    <t>Hằng Nguyễn</t>
  </si>
  <si>
    <t>HD015363</t>
  </si>
  <si>
    <t>686 Tô Ngọc Vân, P. Tam Bình</t>
  </si>
  <si>
    <t>HD015574</t>
  </si>
  <si>
    <t>206/26/10 Lê văn quới, kp4, bình trị đông</t>
  </si>
  <si>
    <t>YU MY</t>
  </si>
  <si>
    <t>HD015600</t>
  </si>
  <si>
    <t>99 đương số 9 KDC bình hưng</t>
  </si>
  <si>
    <t>HD015565</t>
  </si>
  <si>
    <t>29 Tran thi nghĩ p7</t>
  </si>
  <si>
    <t>kh ck shop 685k</t>
  </si>
  <si>
    <t>Lotus Tram</t>
  </si>
  <si>
    <t>HD015505</t>
  </si>
  <si>
    <t>Số 3, đường 37,khu dân cư vạn phúc?phường hiệp bình phước</t>
  </si>
  <si>
    <t>HD015602</t>
  </si>
  <si>
    <t>18/10 kdc bảo anh kp40 đường TL26 phường an phú đông</t>
  </si>
  <si>
    <t>Nguyễn Hải Phụng</t>
  </si>
  <si>
    <t>HD015693</t>
  </si>
  <si>
    <t>36 bờ bao tận trắng P. Sơn Kỳ (chung cư celedon cổng diamond brilliant block B2)</t>
  </si>
  <si>
    <t>Thuy Trang</t>
  </si>
  <si>
    <t>HD015739</t>
  </si>
  <si>
    <t>A3 Chung cư The Gold View 346 Bến Vân Đồn - P.1</t>
  </si>
  <si>
    <t>HD015528</t>
  </si>
  <si>
    <t>HD015502</t>
  </si>
  <si>
    <t>tòa B chung cư 9 view phường phước long</t>
  </si>
  <si>
    <t>kh ck shop 730k</t>
  </si>
  <si>
    <t>HĐ015764</t>
  </si>
  <si>
    <t>47 hiệp bình, hiệp bình chánh</t>
  </si>
  <si>
    <t>Dang Thuy Trang</t>
  </si>
  <si>
    <t>HD015726</t>
  </si>
  <si>
    <t>Tòa landmark3, vinhome tân cang</t>
  </si>
  <si>
    <t>NHƯ Ý LÊ</t>
  </si>
  <si>
    <t>HD015418</t>
  </si>
  <si>
    <t>số 13 đường số 9, P13</t>
  </si>
  <si>
    <t>kh ck shop 1895k</t>
  </si>
  <si>
    <t>HD015588</t>
  </si>
  <si>
    <t>HD015392</t>
  </si>
  <si>
    <t>HD015427</t>
  </si>
  <si>
    <t>HD015737</t>
  </si>
  <si>
    <t>MỸ HUYỀN - giữ đơn</t>
  </si>
  <si>
    <t>HD014566</t>
  </si>
  <si>
    <t>17 Bùi Thế Mỹ P. Bảy Hiền</t>
  </si>
  <si>
    <t>Ms Thuyên Tổ Như ari</t>
  </si>
  <si>
    <t>HD015674</t>
  </si>
  <si>
    <t>Vũ Duy Tâm - fb Ngoc Nga</t>
  </si>
  <si>
    <t>HD015761</t>
  </si>
  <si>
    <t>169 Kênh Trung Ương, Ấp 50, Xã Xuân Thới Thượng</t>
  </si>
  <si>
    <t>HD015334</t>
  </si>
  <si>
    <t>HD015581</t>
  </si>
  <si>
    <t>346 bến vân đồn, P1</t>
  </si>
  <si>
    <t>HD015372</t>
  </si>
  <si>
    <t>Cc cardinal tower B Phường Tân Phú B908</t>
  </si>
  <si>
    <t>Nguyễn Kim Hồng</t>
  </si>
  <si>
    <t>HD015760</t>
  </si>
  <si>
    <t>A22/6 phạm thể hiển p3</t>
  </si>
  <si>
    <t>Minh Trang</t>
  </si>
  <si>
    <t>HD015370</t>
  </si>
  <si>
    <t>Eco green sài gòn, đường nguyễn văn linh, phường tân thuận tân Block B</t>
  </si>
  <si>
    <t>Emily Le</t>
  </si>
  <si>
    <t>HD015400</t>
  </si>
  <si>
    <t>281/36 Lê Văn Sỹ P1</t>
  </si>
  <si>
    <t>HD015483</t>
  </si>
  <si>
    <t>Chung cư Hà đô toà orchid 2</t>
  </si>
  <si>
    <t>HD015678</t>
  </si>
  <si>
    <t>Lucie Huỳnh</t>
  </si>
  <si>
    <t>HD015492</t>
  </si>
  <si>
    <t>Chung cư starlight riverside phường bình phú</t>
  </si>
  <si>
    <t>HD015705</t>
  </si>
  <si>
    <t>Chan Vin</t>
  </si>
  <si>
    <t>HD015702</t>
  </si>
  <si>
    <t>LIBERTY CENTRAL SAIGON RIVERSIDE HOTEL - 17 Ton Duc Thang St</t>
  </si>
  <si>
    <t>Thảo Quyên người nhận tên Thuỳ Minh</t>
  </si>
  <si>
    <t>HD015571</t>
  </si>
  <si>
    <t>336/43/5e nguyễn văn luôn p12</t>
  </si>
  <si>
    <t>Ngân Hà</t>
  </si>
  <si>
    <t>HD015652</t>
  </si>
  <si>
    <t>Cc dream home 2, lô B, đường 59, p14</t>
  </si>
  <si>
    <t>Nguyễn Hoài An</t>
  </si>
  <si>
    <t>HD015748</t>
  </si>
  <si>
    <t>15 đặng thai mai p7</t>
  </si>
  <si>
    <t>HD015424</t>
  </si>
  <si>
    <t>107/189 Quang Trung P10</t>
  </si>
  <si>
    <t>coca kẹ</t>
  </si>
  <si>
    <t>HD015733</t>
  </si>
  <si>
    <t>532/3/93 Kinh Dương Vương. Phường An Lạc</t>
  </si>
  <si>
    <t>Vân Vân</t>
  </si>
  <si>
    <t>HD015567</t>
  </si>
  <si>
    <t>86/36/3 phổ quang, tân sơn hòa</t>
  </si>
  <si>
    <t>TRINH fb Nguyễn --oben</t>
  </si>
  <si>
    <t>HD015527</t>
  </si>
  <si>
    <t>Thuỷ Trúc</t>
  </si>
  <si>
    <t>HD015561</t>
  </si>
  <si>
    <t>Chung cư Callagarden, kdc Greenlife 13C, Đ. Nguyễn Văn Linh, X. Phong Phú</t>
  </si>
  <si>
    <t>Nguyễn Như Ý</t>
  </si>
  <si>
    <t>HD015595</t>
  </si>
  <si>
    <t>28/13 Trần Thiện Chánh p12</t>
  </si>
  <si>
    <t>trâm fb Anne Ng</t>
  </si>
  <si>
    <t>HD015736</t>
  </si>
  <si>
    <t>294/22/53 xô viết nghệ tinh,khu phố 21 phường thạnh mỹ tây</t>
  </si>
  <si>
    <t>Lê Ngọc Diễm</t>
  </si>
  <si>
    <t>HD015562</t>
  </si>
  <si>
    <t>Chung cư tara. Phường 6. Block B2 tòa khải hoàn</t>
  </si>
  <si>
    <t>HD015601</t>
  </si>
  <si>
    <t>980/4b là gốm p8</t>
  </si>
  <si>
    <t>Hoàng Thuý Liên</t>
  </si>
  <si>
    <t>HD015756</t>
  </si>
  <si>
    <t>290 an dương vương phường chợ quán</t>
  </si>
  <si>
    <t>119 hoàng diệu 2</t>
  </si>
  <si>
    <t>thu đuc</t>
  </si>
  <si>
    <t>685 Tân Sơn phường 12</t>
  </si>
  <si>
    <t>at 25-04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</si>
</sst>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8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9">
    <xf numFmtId="0" fontId="0" fillId="0" borderId="0" xfId="0"/>
    <xf numFmtId="3" fontId="0" fillId="3" borderId="0" xfId="0" applyNumberFormat="1" applyFill="1"/>
    <xf numFmtId="0" fontId="3" fillId="3" borderId="0" xfId="0" applyFont="1" applyFill="1"/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3" fillId="3" borderId="0" xfId="0" applyFont="1" applyFill="1"/>
    <xf numFmtId="0" fontId="4" fillId="0" borderId="0" xfId="0" applyFont="1"/>
    <xf numFmtId="0" fontId="0" fillId="3" borderId="0" xfId="0" applyFill="1"/>
    <xf numFmtId="0" fontId="3" fillId="0" borderId="0" xfId="0" applyFont="1"/>
    <xf numFmtId="0" fontId="3" fillId="2" borderId="0" xfId="0" applyFont="1" applyFill="1"/>
    <xf numFmtId="3" fontId="0" fillId="0" borderId="0" xfId="0" applyNumberFormat="1"/>
    <xf numFmtId="0" fontId="3" fillId="4" borderId="0" xfId="0" applyFont="1" applyFill="1"/>
    <xf numFmtId="0" fontId="0" fillId="5" borderId="0" xfId="0" applyFill="1"/>
    <xf numFmtId="0" fontId="3" fillId="6" borderId="0" xfId="0" applyFont="1" applyFill="1"/>
    <xf numFmtId="0" fontId="5" fillId="0" borderId="0" xfId="0" applyFont="1"/>
    <xf numFmtId="0" fontId="3" fillId="7" borderId="0" xfId="0" applyFont="1" applyFill="1"/>
    <xf numFmtId="3" fontId="4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4" fillId="0" borderId="0" xfId="0" applyNumberFormat="1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4" fillId="0" borderId="1" xfId="0" applyFont="1" applyBorder="1"/>
    <xf numFmtId="3" fontId="4" fillId="0" borderId="1" xfId="0" applyNumberFormat="1" applyFont="1" applyBorder="1"/>
    <xf numFmtId="0" fontId="4" fillId="7" borderId="0" xfId="0" applyFont="1" applyFill="1"/>
    <xf numFmtId="0" fontId="4" fillId="7" borderId="1" xfId="0" applyFont="1" applyFill="1" applyBorder="1"/>
    <xf numFmtId="3" fontId="4" fillId="7" borderId="1" xfId="0" applyNumberFormat="1" applyFont="1" applyFill="1" applyBorder="1"/>
    <xf numFmtId="0" fontId="4" fillId="8" borderId="1" xfId="0" applyFont="1" applyFill="1" applyBorder="1"/>
    <xf numFmtId="3" fontId="4" fillId="7" borderId="0" xfId="0" applyNumberFormat="1" applyFont="1" applyFill="1"/>
    <xf numFmtId="0" fontId="4" fillId="0" borderId="2" xfId="0" applyFont="1" applyBorder="1"/>
    <xf numFmtId="49" fontId="4" fillId="0" borderId="1" xfId="0" applyNumberFormat="1" applyFont="1" applyBorder="1"/>
    <xf numFmtId="0" fontId="4" fillId="0" borderId="0" xfId="0" applyFont="1" applyAlignment="1">
      <alignment horizontal="right"/>
    </xf>
    <xf numFmtId="0" fontId="1" fillId="0" borderId="0" xfId="1" applyFont="1"/>
    <xf numFmtId="0" fontId="1" fillId="8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9" borderId="0" xfId="0" applyFont="1" applyFill="1"/>
    <xf numFmtId="0" fontId="0" fillId="8" borderId="1" xfId="0" applyFill="1" applyBorder="1"/>
    <xf numFmtId="3" fontId="0" fillId="0" borderId="1" xfId="0" quotePrefix="1" applyNumberFormat="1" applyBorder="1"/>
    <xf numFmtId="0" fontId="0" fillId="7" borderId="1" xfId="0" applyFill="1" applyBorder="1"/>
    <xf numFmtId="3" fontId="0" fillId="7" borderId="1" xfId="0" applyNumberFormat="1" applyFill="1" applyBorder="1"/>
    <xf numFmtId="0" fontId="0" fillId="7" borderId="0" xfId="0" applyFill="1"/>
    <xf numFmtId="0" fontId="0" fillId="10" borderId="1" xfId="0" applyFill="1" applyBorder="1"/>
    <xf numFmtId="3" fontId="0" fillId="10" borderId="1" xfId="0" applyNumberFormat="1" applyFill="1" applyBorder="1"/>
    <xf numFmtId="0" fontId="0" fillId="10" borderId="0" xfId="0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workbookViewId="0">
      <selection activeCell="A28" sqref="A28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s="12">
        <v>9</v>
      </c>
      <c r="G3" s="12">
        <v>780</v>
      </c>
      <c r="H3" s="12">
        <v>30</v>
      </c>
      <c r="I3" s="12">
        <f>G3-H3</f>
        <v>750</v>
      </c>
      <c r="J3" t="s">
        <v>20</v>
      </c>
      <c r="K3" t="s">
        <v>21</v>
      </c>
      <c r="L3" t="s">
        <v>22</v>
      </c>
      <c r="Q3">
        <v>1</v>
      </c>
    </row>
    <row r="4" spans="1:17" x14ac:dyDescent="0.25">
      <c r="B4" t="s">
        <v>16</v>
      </c>
      <c r="C4" t="s">
        <v>23</v>
      </c>
      <c r="D4" t="s">
        <v>24</v>
      </c>
      <c r="E4" t="s">
        <v>25</v>
      </c>
      <c r="F4" t="s">
        <v>26</v>
      </c>
      <c r="G4" s="12">
        <v>0</v>
      </c>
      <c r="H4" s="12">
        <v>30</v>
      </c>
      <c r="I4" s="12">
        <f>-H4</f>
        <v>-30</v>
      </c>
      <c r="J4" t="s">
        <v>27</v>
      </c>
      <c r="K4" t="s">
        <v>21</v>
      </c>
      <c r="L4" t="s">
        <v>22</v>
      </c>
      <c r="Q4">
        <v>1</v>
      </c>
    </row>
    <row r="5" spans="1:17" x14ac:dyDescent="0.25">
      <c r="B5" t="s">
        <v>16</v>
      </c>
      <c r="C5" t="s">
        <v>28</v>
      </c>
      <c r="D5" t="s">
        <v>29</v>
      </c>
      <c r="E5" t="s">
        <v>30</v>
      </c>
      <c r="F5" s="12">
        <v>7</v>
      </c>
      <c r="G5" s="12">
        <v>850</v>
      </c>
      <c r="H5" s="12">
        <v>30</v>
      </c>
      <c r="I5" s="12">
        <f>G5-H5</f>
        <v>820</v>
      </c>
      <c r="J5" t="s">
        <v>27</v>
      </c>
      <c r="K5" t="s">
        <v>21</v>
      </c>
      <c r="L5" t="s">
        <v>22</v>
      </c>
      <c r="Q5">
        <v>1</v>
      </c>
    </row>
    <row r="6" spans="1:17" x14ac:dyDescent="0.25">
      <c r="B6" t="s">
        <v>16</v>
      </c>
      <c r="C6" t="s">
        <v>31</v>
      </c>
      <c r="D6" t="s">
        <v>32</v>
      </c>
      <c r="E6" t="s">
        <v>33</v>
      </c>
      <c r="F6" s="12">
        <v>3</v>
      </c>
      <c r="G6" s="12">
        <v>695</v>
      </c>
      <c r="H6" s="12">
        <v>25</v>
      </c>
      <c r="I6" s="12">
        <f>G6-H6</f>
        <v>670</v>
      </c>
      <c r="J6" t="s">
        <v>27</v>
      </c>
      <c r="K6" t="s">
        <v>21</v>
      </c>
      <c r="L6" t="s">
        <v>22</v>
      </c>
      <c r="Q6">
        <v>1</v>
      </c>
    </row>
    <row r="7" spans="1:17" x14ac:dyDescent="0.25">
      <c r="B7" t="s">
        <v>16</v>
      </c>
      <c r="C7" t="s">
        <v>34</v>
      </c>
      <c r="D7" t="s">
        <v>35</v>
      </c>
      <c r="E7" t="s">
        <v>36</v>
      </c>
      <c r="F7" s="12">
        <v>7</v>
      </c>
      <c r="G7" s="12">
        <v>740</v>
      </c>
      <c r="H7" s="12">
        <v>30</v>
      </c>
      <c r="I7" s="12">
        <f>G7-H7</f>
        <v>710</v>
      </c>
      <c r="J7" t="s">
        <v>27</v>
      </c>
      <c r="K7" t="s">
        <v>21</v>
      </c>
      <c r="L7" t="s">
        <v>22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t="s">
        <v>26</v>
      </c>
      <c r="G8" s="12">
        <v>610</v>
      </c>
      <c r="H8" s="12">
        <v>30</v>
      </c>
      <c r="I8" s="12">
        <f>G8-H8</f>
        <v>580</v>
      </c>
      <c r="J8" t="s">
        <v>27</v>
      </c>
      <c r="K8" t="s">
        <v>21</v>
      </c>
      <c r="L8" t="s">
        <v>22</v>
      </c>
      <c r="Q8">
        <v>1</v>
      </c>
    </row>
    <row r="9" spans="1:17" x14ac:dyDescent="0.25">
      <c r="B9" t="s">
        <v>16</v>
      </c>
      <c r="C9" t="s">
        <v>40</v>
      </c>
      <c r="D9" t="s">
        <v>41</v>
      </c>
      <c r="E9" t="s">
        <v>42</v>
      </c>
      <c r="F9" s="12">
        <v>8</v>
      </c>
      <c r="G9" s="12">
        <v>0</v>
      </c>
      <c r="H9" s="12">
        <v>25</v>
      </c>
      <c r="I9" s="12">
        <f>-H9</f>
        <v>-25</v>
      </c>
      <c r="J9" t="s">
        <v>27</v>
      </c>
      <c r="K9" t="s">
        <v>21</v>
      </c>
      <c r="L9" t="s">
        <v>22</v>
      </c>
      <c r="Q9">
        <v>1</v>
      </c>
    </row>
    <row r="10" spans="1:17" x14ac:dyDescent="0.25">
      <c r="B10" t="s">
        <v>16</v>
      </c>
      <c r="C10" t="s">
        <v>43</v>
      </c>
      <c r="D10" t="s">
        <v>44</v>
      </c>
      <c r="E10" t="s">
        <v>45</v>
      </c>
      <c r="F10" s="12">
        <v>12</v>
      </c>
      <c r="G10" s="12">
        <v>750</v>
      </c>
      <c r="H10" s="12">
        <v>30</v>
      </c>
      <c r="I10" s="12">
        <f t="shared" ref="I10:I15" si="0">G10-H10</f>
        <v>720</v>
      </c>
      <c r="J10" t="s">
        <v>27</v>
      </c>
      <c r="K10" t="s">
        <v>21</v>
      </c>
      <c r="L10" t="s">
        <v>22</v>
      </c>
      <c r="Q10">
        <v>1</v>
      </c>
    </row>
    <row r="11" spans="1:17" x14ac:dyDescent="0.25">
      <c r="B11" t="s">
        <v>16</v>
      </c>
      <c r="C11" t="s">
        <v>46</v>
      </c>
      <c r="D11" t="s">
        <v>47</v>
      </c>
      <c r="E11" t="s">
        <v>48</v>
      </c>
      <c r="F11" s="12">
        <v>7</v>
      </c>
      <c r="G11" s="12">
        <v>30</v>
      </c>
      <c r="H11" s="12">
        <v>30</v>
      </c>
      <c r="I11" s="12">
        <f t="shared" si="0"/>
        <v>0</v>
      </c>
      <c r="J11" t="s">
        <v>27</v>
      </c>
      <c r="K11" t="s">
        <v>21</v>
      </c>
      <c r="L11" t="s">
        <v>22</v>
      </c>
      <c r="M11" t="s">
        <v>49</v>
      </c>
      <c r="Q11">
        <v>1</v>
      </c>
    </row>
    <row r="12" spans="1:17" x14ac:dyDescent="0.25">
      <c r="B12" t="s">
        <v>16</v>
      </c>
      <c r="C12" t="s">
        <v>50</v>
      </c>
      <c r="D12" t="s">
        <v>51</v>
      </c>
      <c r="E12" t="s">
        <v>52</v>
      </c>
      <c r="F12" s="12">
        <v>7</v>
      </c>
      <c r="G12" s="12">
        <v>1640</v>
      </c>
      <c r="H12" s="12">
        <v>30</v>
      </c>
      <c r="I12" s="12">
        <f t="shared" si="0"/>
        <v>1610</v>
      </c>
      <c r="J12" t="s">
        <v>27</v>
      </c>
      <c r="K12" t="s">
        <v>21</v>
      </c>
      <c r="L12" t="s">
        <v>22</v>
      </c>
      <c r="Q12">
        <v>1</v>
      </c>
    </row>
    <row r="13" spans="1:17" x14ac:dyDescent="0.25">
      <c r="B13" t="s">
        <v>16</v>
      </c>
      <c r="C13" t="s">
        <v>53</v>
      </c>
      <c r="D13" t="s">
        <v>54</v>
      </c>
      <c r="E13" t="s">
        <v>55</v>
      </c>
      <c r="F13" s="12">
        <v>12</v>
      </c>
      <c r="G13" s="12">
        <v>590</v>
      </c>
      <c r="H13" s="12">
        <v>30</v>
      </c>
      <c r="I13" s="12">
        <f t="shared" si="0"/>
        <v>560</v>
      </c>
      <c r="J13" t="s">
        <v>27</v>
      </c>
      <c r="K13" t="s">
        <v>21</v>
      </c>
      <c r="L13" t="s">
        <v>22</v>
      </c>
      <c r="Q13">
        <v>1</v>
      </c>
    </row>
    <row r="14" spans="1:17" x14ac:dyDescent="0.25">
      <c r="B14" t="s">
        <v>16</v>
      </c>
      <c r="C14" t="s">
        <v>56</v>
      </c>
      <c r="D14" t="s">
        <v>57</v>
      </c>
      <c r="E14" t="s">
        <v>58</v>
      </c>
      <c r="F14" s="12">
        <v>7</v>
      </c>
      <c r="G14" s="12">
        <v>850</v>
      </c>
      <c r="H14" s="12">
        <v>30</v>
      </c>
      <c r="I14" s="12">
        <f t="shared" si="0"/>
        <v>820</v>
      </c>
      <c r="J14" t="s">
        <v>27</v>
      </c>
      <c r="K14" t="s">
        <v>21</v>
      </c>
      <c r="L14" t="s">
        <v>22</v>
      </c>
      <c r="Q14">
        <v>1</v>
      </c>
    </row>
    <row r="15" spans="1:17" x14ac:dyDescent="0.25">
      <c r="B15" t="s">
        <v>16</v>
      </c>
      <c r="C15" t="s">
        <v>59</v>
      </c>
      <c r="D15" t="s">
        <v>60</v>
      </c>
      <c r="E15" t="s">
        <v>61</v>
      </c>
      <c r="F15" t="s">
        <v>26</v>
      </c>
      <c r="G15" s="12">
        <v>820</v>
      </c>
      <c r="H15" s="12">
        <v>30</v>
      </c>
      <c r="I15" s="12">
        <f t="shared" si="0"/>
        <v>790</v>
      </c>
      <c r="J15" t="s">
        <v>27</v>
      </c>
      <c r="K15" t="s">
        <v>21</v>
      </c>
      <c r="L15" t="s">
        <v>22</v>
      </c>
      <c r="Q15">
        <v>1</v>
      </c>
    </row>
    <row r="16" spans="1:17" x14ac:dyDescent="0.25">
      <c r="A16" t="s">
        <v>62</v>
      </c>
      <c r="B16" t="s">
        <v>16</v>
      </c>
      <c r="C16" t="s">
        <v>63</v>
      </c>
      <c r="E16" t="s">
        <v>64</v>
      </c>
      <c r="F16" s="12">
        <v>6</v>
      </c>
      <c r="G16" s="12">
        <v>0</v>
      </c>
      <c r="H16" s="12">
        <v>30</v>
      </c>
      <c r="I16" s="12">
        <f>-H16</f>
        <v>-30</v>
      </c>
      <c r="J16" t="s">
        <v>27</v>
      </c>
      <c r="K16" t="s">
        <v>21</v>
      </c>
      <c r="L16" t="s">
        <v>22</v>
      </c>
      <c r="Q16">
        <v>1</v>
      </c>
    </row>
    <row r="17" spans="1:17" x14ac:dyDescent="0.25">
      <c r="B17" t="s">
        <v>16</v>
      </c>
      <c r="C17" t="s">
        <v>65</v>
      </c>
      <c r="D17" t="s">
        <v>66</v>
      </c>
      <c r="E17" t="s">
        <v>67</v>
      </c>
      <c r="F17" t="s">
        <v>68</v>
      </c>
      <c r="G17" s="12">
        <v>0</v>
      </c>
      <c r="H17" s="12">
        <v>20</v>
      </c>
      <c r="I17" s="12">
        <f>-H17</f>
        <v>-20</v>
      </c>
      <c r="J17" t="s">
        <v>21</v>
      </c>
      <c r="K17" t="s">
        <v>21</v>
      </c>
      <c r="L17" t="s">
        <v>22</v>
      </c>
      <c r="Q17">
        <v>1</v>
      </c>
    </row>
    <row r="18" spans="1:17" x14ac:dyDescent="0.25">
      <c r="B18" t="s">
        <v>16</v>
      </c>
      <c r="C18" t="s">
        <v>69</v>
      </c>
      <c r="D18" t="s">
        <v>70</v>
      </c>
      <c r="E18" t="s">
        <v>71</v>
      </c>
      <c r="F18" t="s">
        <v>72</v>
      </c>
      <c r="G18" s="12">
        <v>615</v>
      </c>
      <c r="H18" s="12">
        <v>25</v>
      </c>
      <c r="I18" s="12">
        <f>G18-H18</f>
        <v>590</v>
      </c>
      <c r="J18" t="s">
        <v>21</v>
      </c>
      <c r="K18" t="s">
        <v>21</v>
      </c>
      <c r="L18" t="s">
        <v>22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12">
        <v>1</v>
      </c>
      <c r="G19" s="12">
        <v>845</v>
      </c>
      <c r="H19" s="12">
        <v>25</v>
      </c>
      <c r="I19" s="12">
        <f>G19-H19</f>
        <v>820</v>
      </c>
      <c r="J19" t="s">
        <v>21</v>
      </c>
      <c r="K19" t="s">
        <v>21</v>
      </c>
      <c r="L19" t="s">
        <v>22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68</v>
      </c>
      <c r="G20" s="12">
        <v>1630</v>
      </c>
      <c r="H20" s="12">
        <v>20</v>
      </c>
      <c r="I20" s="12">
        <f>G20-H20</f>
        <v>1610</v>
      </c>
      <c r="J20" t="s">
        <v>21</v>
      </c>
      <c r="K20" t="s">
        <v>21</v>
      </c>
      <c r="L20" t="s">
        <v>22</v>
      </c>
      <c r="Q20">
        <v>1</v>
      </c>
    </row>
    <row r="21" spans="1:17" x14ac:dyDescent="0.25">
      <c r="B21" t="s">
        <v>16</v>
      </c>
      <c r="C21" t="s">
        <v>79</v>
      </c>
      <c r="D21" t="s">
        <v>80</v>
      </c>
      <c r="E21" t="s">
        <v>81</v>
      </c>
      <c r="F21" s="12">
        <v>3</v>
      </c>
      <c r="G21" s="12">
        <v>405</v>
      </c>
      <c r="H21" s="12">
        <v>25</v>
      </c>
      <c r="I21" s="12">
        <f>G21-H21</f>
        <v>380</v>
      </c>
      <c r="J21" t="s">
        <v>21</v>
      </c>
      <c r="K21" t="s">
        <v>21</v>
      </c>
      <c r="L21" t="s">
        <v>22</v>
      </c>
      <c r="Q21">
        <v>1</v>
      </c>
    </row>
    <row r="22" spans="1:17" x14ac:dyDescent="0.25">
      <c r="B22" t="s">
        <v>16</v>
      </c>
      <c r="C22" t="s">
        <v>82</v>
      </c>
      <c r="D22" t="s">
        <v>83</v>
      </c>
      <c r="E22" t="s">
        <v>84</v>
      </c>
      <c r="F22" t="s">
        <v>85</v>
      </c>
      <c r="G22" s="12">
        <v>20</v>
      </c>
      <c r="H22" s="12">
        <v>20</v>
      </c>
      <c r="I22" s="12">
        <f>G22-H22</f>
        <v>0</v>
      </c>
      <c r="J22" t="s">
        <v>21</v>
      </c>
      <c r="K22" t="s">
        <v>21</v>
      </c>
      <c r="L22" t="s">
        <v>22</v>
      </c>
      <c r="M22" t="s">
        <v>49</v>
      </c>
      <c r="Q22">
        <v>1</v>
      </c>
    </row>
    <row r="23" spans="1:17" x14ac:dyDescent="0.25">
      <c r="A23" t="s">
        <v>62</v>
      </c>
      <c r="B23" t="s">
        <v>16</v>
      </c>
      <c r="C23" t="s">
        <v>86</v>
      </c>
      <c r="E23" t="s">
        <v>87</v>
      </c>
      <c r="F23" t="s">
        <v>88</v>
      </c>
      <c r="G23" s="12">
        <v>0</v>
      </c>
      <c r="H23" s="12">
        <v>30</v>
      </c>
      <c r="I23" s="12">
        <f>-H23</f>
        <v>-30</v>
      </c>
      <c r="J23" t="s">
        <v>21</v>
      </c>
      <c r="K23" t="s">
        <v>21</v>
      </c>
      <c r="L23" t="s">
        <v>22</v>
      </c>
      <c r="Q23">
        <v>1</v>
      </c>
    </row>
    <row r="25" spans="1:17" x14ac:dyDescent="0.25">
      <c r="D25" s="7">
        <f>COUNTA(D3:D23)</f>
        <v>19</v>
      </c>
      <c r="G25" s="7">
        <f t="shared" ref="G25:Q25" si="1">SUBTOTAL(9,G3:G23)</f>
        <v>11870</v>
      </c>
      <c r="H25" s="7">
        <f t="shared" si="1"/>
        <v>575</v>
      </c>
      <c r="I25" s="7">
        <f t="shared" si="1"/>
        <v>11295</v>
      </c>
      <c r="J25" s="7">
        <f t="shared" si="1"/>
        <v>0</v>
      </c>
      <c r="K25" s="7">
        <f t="shared" si="1"/>
        <v>0</v>
      </c>
      <c r="L25" s="7">
        <f t="shared" si="1"/>
        <v>0</v>
      </c>
      <c r="M25" s="7">
        <f t="shared" si="1"/>
        <v>0</v>
      </c>
      <c r="N25" s="7">
        <f t="shared" si="1"/>
        <v>0</v>
      </c>
      <c r="O25" s="7">
        <f t="shared" si="1"/>
        <v>0</v>
      </c>
      <c r="P25" s="7">
        <f t="shared" si="1"/>
        <v>0</v>
      </c>
      <c r="Q25" s="7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7" t="s">
        <v>16</v>
      </c>
      <c r="C27" s="6" t="s">
        <v>89</v>
      </c>
      <c r="D27" s="6"/>
      <c r="E27" s="10" t="s">
        <v>90</v>
      </c>
      <c r="H27">
        <f>-5*25</f>
        <v>-125</v>
      </c>
      <c r="K27" s="13" t="s">
        <v>27</v>
      </c>
      <c r="L27" s="13" t="s">
        <v>91</v>
      </c>
      <c r="M27" s="13" t="s">
        <v>90</v>
      </c>
      <c r="O27" s="10" t="s">
        <v>92</v>
      </c>
    </row>
    <row r="28" spans="1:17" x14ac:dyDescent="0.25">
      <c r="A28" t="s">
        <v>22</v>
      </c>
      <c r="B28" s="9" t="s">
        <v>93</v>
      </c>
      <c r="C28" s="5">
        <f>SUMIFS(I$3:I$23,B$3:B$23,A$27,L$3:L$23,A$28)</f>
        <v>11295</v>
      </c>
      <c r="D28" s="5"/>
      <c r="E28" s="9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8" t="s">
        <v>97</v>
      </c>
      <c r="C29" s="4">
        <v>0</v>
      </c>
      <c r="D29" s="4"/>
      <c r="K29" t="s">
        <v>98</v>
      </c>
      <c r="L29">
        <f>SUM(H26:H27)</f>
        <v>-261</v>
      </c>
      <c r="M29">
        <f>SUMIFS(Q$3:Q$23,J$3:J$23,K$27)</f>
        <v>13</v>
      </c>
      <c r="O29" t="s">
        <v>21</v>
      </c>
      <c r="P29">
        <f>L41</f>
        <v>3343</v>
      </c>
    </row>
    <row r="30" spans="1:17" x14ac:dyDescent="0.25">
      <c r="B30" s="8" t="s">
        <v>99</v>
      </c>
      <c r="C30" s="4">
        <f>-SUMIFS(I$3:I$23,B$3:B$23,A$27,P$3:P$23,"xx",N$3:N$23,"x")</f>
        <v>0</v>
      </c>
      <c r="D30" s="4"/>
      <c r="E30" s="8">
        <f>SUMIFS(Q$3:Q$23,B$3:B$23,A$27,P$3:P$23,"xx",N$3:N$23,"x")</f>
        <v>0</v>
      </c>
      <c r="K30" t="s">
        <v>100</v>
      </c>
      <c r="O30" t="s">
        <v>20</v>
      </c>
      <c r="P30">
        <f>L49</f>
        <v>755</v>
      </c>
    </row>
    <row r="31" spans="1:17" x14ac:dyDescent="0.25">
      <c r="B31" s="10" t="s">
        <v>101</v>
      </c>
      <c r="C31" s="6">
        <f>SUBTOTAL(9,C28:C30)</f>
        <v>11295</v>
      </c>
      <c r="D31" s="6"/>
      <c r="E31">
        <f>E28</f>
        <v>21</v>
      </c>
      <c r="K31" s="8" t="s">
        <v>102</v>
      </c>
      <c r="O31" t="s">
        <v>103</v>
      </c>
      <c r="P31">
        <f>-C35</f>
        <v>-11295</v>
      </c>
    </row>
    <row r="32" spans="1:17" x14ac:dyDescent="0.25">
      <c r="B32" s="8" t="s">
        <v>104</v>
      </c>
      <c r="C32" s="3"/>
      <c r="D32" s="3"/>
      <c r="K32" s="8" t="s">
        <v>105</v>
      </c>
      <c r="O32" s="10" t="s">
        <v>106</v>
      </c>
      <c r="P32" s="10">
        <f>SUBTOTAL(9,P28:P31)</f>
        <v>117</v>
      </c>
    </row>
    <row r="33" spans="2:13" x14ac:dyDescent="0.25">
      <c r="B33" s="14" t="s">
        <v>107</v>
      </c>
      <c r="C33" s="3"/>
      <c r="D33" s="3"/>
      <c r="L33" s="15">
        <f>SUBTOTAL(9,L28:L32)</f>
        <v>7314</v>
      </c>
      <c r="M33" s="15">
        <f>M28</f>
        <v>13</v>
      </c>
    </row>
    <row r="35" spans="2:13" x14ac:dyDescent="0.25">
      <c r="B35" s="7" t="s">
        <v>108</v>
      </c>
      <c r="C35" s="2">
        <f>C31+C32+C33</f>
        <v>11295</v>
      </c>
      <c r="D35" s="2"/>
      <c r="E35" s="7" t="s">
        <v>109</v>
      </c>
      <c r="K35" s="13" t="s">
        <v>21</v>
      </c>
      <c r="L35" s="13" t="s">
        <v>91</v>
      </c>
      <c r="M35" s="13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8" t="s">
        <v>102</v>
      </c>
    </row>
    <row r="40" spans="2:13" x14ac:dyDescent="0.25">
      <c r="K40" s="8" t="s">
        <v>105</v>
      </c>
    </row>
    <row r="41" spans="2:13" x14ac:dyDescent="0.25">
      <c r="L41" s="15">
        <f>SUBTOTAL(9,L36:L40)</f>
        <v>3343</v>
      </c>
      <c r="M41" s="15">
        <f>M36</f>
        <v>7</v>
      </c>
    </row>
    <row r="43" spans="2:13" x14ac:dyDescent="0.25">
      <c r="K43" s="13" t="s">
        <v>20</v>
      </c>
      <c r="L43" s="13" t="s">
        <v>91</v>
      </c>
      <c r="M43" s="13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8" t="s">
        <v>102</v>
      </c>
    </row>
    <row r="48" spans="2:13" x14ac:dyDescent="0.25">
      <c r="K48" s="8" t="s">
        <v>105</v>
      </c>
    </row>
    <row r="49" spans="12:13" x14ac:dyDescent="0.25">
      <c r="L49" s="15">
        <f>SUBTOTAL(9,L44:L48)</f>
        <v>755</v>
      </c>
      <c r="M49" s="15">
        <f>M44</f>
        <v>1</v>
      </c>
    </row>
  </sheetData>
  <autoFilter ref="A2:P23" xr:uid="{00000000-0009-0000-0000-000000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13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10.5703125" bestFit="1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12">
        <v>35</v>
      </c>
      <c r="H3" s="12">
        <v>35</v>
      </c>
      <c r="I3" s="12">
        <f t="shared" ref="I3:I24" si="0">G3-H3</f>
        <v>0</v>
      </c>
      <c r="J3" t="s">
        <v>114</v>
      </c>
      <c r="K3" t="s">
        <v>21</v>
      </c>
      <c r="L3" t="s">
        <v>115</v>
      </c>
      <c r="M3" t="s">
        <v>49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26</v>
      </c>
      <c r="G4" s="12">
        <v>870</v>
      </c>
      <c r="H4" s="12">
        <v>30</v>
      </c>
      <c r="I4" s="12">
        <f t="shared" si="0"/>
        <v>840</v>
      </c>
      <c r="J4" t="s">
        <v>114</v>
      </c>
      <c r="K4" t="s">
        <v>21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12">
        <v>8</v>
      </c>
      <c r="G5" s="12">
        <v>0</v>
      </c>
      <c r="H5" s="12">
        <v>25</v>
      </c>
      <c r="I5" s="12">
        <f t="shared" si="0"/>
        <v>-25</v>
      </c>
      <c r="J5" t="s">
        <v>114</v>
      </c>
      <c r="K5" t="s">
        <v>21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12">
        <v>7</v>
      </c>
      <c r="G6" s="12">
        <v>650</v>
      </c>
      <c r="H6" s="12">
        <v>30</v>
      </c>
      <c r="I6" s="12">
        <f t="shared" si="0"/>
        <v>620</v>
      </c>
      <c r="J6" t="s">
        <v>114</v>
      </c>
      <c r="K6" t="s">
        <v>21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12">
        <v>0</v>
      </c>
      <c r="H7" s="12">
        <v>35</v>
      </c>
      <c r="I7" s="12">
        <f t="shared" si="0"/>
        <v>-35</v>
      </c>
      <c r="J7" t="s">
        <v>114</v>
      </c>
      <c r="K7" t="s">
        <v>21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12">
        <v>7</v>
      </c>
      <c r="G8" s="12">
        <v>740</v>
      </c>
      <c r="H8" s="12">
        <v>30</v>
      </c>
      <c r="I8" s="12">
        <f t="shared" si="0"/>
        <v>710</v>
      </c>
      <c r="J8" t="s">
        <v>114</v>
      </c>
      <c r="K8" t="s">
        <v>21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26</v>
      </c>
      <c r="G9" s="12">
        <v>770</v>
      </c>
      <c r="H9" s="12">
        <v>30</v>
      </c>
      <c r="I9" s="12">
        <f t="shared" si="0"/>
        <v>740</v>
      </c>
      <c r="J9" t="s">
        <v>114</v>
      </c>
      <c r="K9" t="s">
        <v>21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68</v>
      </c>
      <c r="G10" s="12">
        <v>0</v>
      </c>
      <c r="H10" s="12">
        <v>20</v>
      </c>
      <c r="I10" s="12">
        <f t="shared" si="0"/>
        <v>-20</v>
      </c>
      <c r="J10" t="s">
        <v>21</v>
      </c>
      <c r="K10" t="s">
        <v>21</v>
      </c>
      <c r="L10" t="s">
        <v>115</v>
      </c>
      <c r="Q10">
        <v>1</v>
      </c>
    </row>
    <row r="11" spans="1:17" x14ac:dyDescent="0.25">
      <c r="A11" t="s">
        <v>62</v>
      </c>
      <c r="B11" t="s">
        <v>16</v>
      </c>
      <c r="C11" t="s">
        <v>139</v>
      </c>
      <c r="E11" t="s">
        <v>140</v>
      </c>
      <c r="F11" s="12">
        <v>6</v>
      </c>
      <c r="G11" s="12">
        <v>0</v>
      </c>
      <c r="H11" s="12">
        <v>70</v>
      </c>
      <c r="I11" s="12">
        <f t="shared" si="0"/>
        <v>-70</v>
      </c>
      <c r="J11" t="s">
        <v>21</v>
      </c>
      <c r="K11" t="s">
        <v>21</v>
      </c>
      <c r="L11" t="s">
        <v>115</v>
      </c>
      <c r="Q11">
        <v>1</v>
      </c>
    </row>
    <row r="12" spans="1:17" x14ac:dyDescent="0.25">
      <c r="A12" t="s">
        <v>62</v>
      </c>
      <c r="B12" t="s">
        <v>16</v>
      </c>
      <c r="C12" t="s">
        <v>141</v>
      </c>
      <c r="E12" t="s">
        <v>142</v>
      </c>
      <c r="F12" s="12">
        <v>12</v>
      </c>
      <c r="G12" s="12">
        <v>30</v>
      </c>
      <c r="H12" s="12">
        <v>30</v>
      </c>
      <c r="I12" s="12">
        <f t="shared" si="0"/>
        <v>0</v>
      </c>
      <c r="J12" t="s">
        <v>21</v>
      </c>
      <c r="K12" t="s">
        <v>21</v>
      </c>
      <c r="L12" t="s">
        <v>115</v>
      </c>
      <c r="Q12">
        <v>1</v>
      </c>
    </row>
    <row r="13" spans="1:17" x14ac:dyDescent="0.25">
      <c r="A13" t="s">
        <v>62</v>
      </c>
      <c r="B13" t="s">
        <v>16</v>
      </c>
      <c r="C13" t="s">
        <v>143</v>
      </c>
      <c r="E13" t="s">
        <v>144</v>
      </c>
      <c r="F13" t="s">
        <v>72</v>
      </c>
      <c r="G13" s="12">
        <v>30</v>
      </c>
      <c r="H13" s="12">
        <v>30</v>
      </c>
      <c r="I13" s="12">
        <f t="shared" si="0"/>
        <v>0</v>
      </c>
      <c r="J13" t="s">
        <v>21</v>
      </c>
      <c r="K13" t="s">
        <v>21</v>
      </c>
      <c r="L13" t="s">
        <v>115</v>
      </c>
      <c r="Q13">
        <v>1</v>
      </c>
    </row>
    <row r="14" spans="1:17" x14ac:dyDescent="0.25">
      <c r="A14" t="s">
        <v>62</v>
      </c>
      <c r="B14" t="s">
        <v>16</v>
      </c>
      <c r="C14" t="s">
        <v>145</v>
      </c>
      <c r="E14" t="s">
        <v>146</v>
      </c>
      <c r="F14" t="s">
        <v>88</v>
      </c>
      <c r="G14" s="12">
        <v>530</v>
      </c>
      <c r="H14" s="12">
        <v>30</v>
      </c>
      <c r="I14" s="12">
        <f t="shared" si="0"/>
        <v>500</v>
      </c>
      <c r="J14" t="s">
        <v>21</v>
      </c>
      <c r="K14" t="s">
        <v>21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68</v>
      </c>
      <c r="G15" s="12">
        <v>740</v>
      </c>
      <c r="H15" s="12">
        <v>20</v>
      </c>
      <c r="I15" s="12">
        <f t="shared" si="0"/>
        <v>720</v>
      </c>
      <c r="J15" t="s">
        <v>21</v>
      </c>
      <c r="K15" t="s">
        <v>21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12">
        <v>0</v>
      </c>
      <c r="H16" s="12">
        <v>30</v>
      </c>
      <c r="I16" s="12">
        <f t="shared" si="0"/>
        <v>-30</v>
      </c>
      <c r="J16" t="s">
        <v>21</v>
      </c>
      <c r="K16" t="s">
        <v>21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68</v>
      </c>
      <c r="G17" s="12">
        <v>510</v>
      </c>
      <c r="H17" s="12">
        <v>20</v>
      </c>
      <c r="I17" s="12">
        <f t="shared" si="0"/>
        <v>490</v>
      </c>
      <c r="J17" t="s">
        <v>21</v>
      </c>
      <c r="K17" t="s">
        <v>21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72</v>
      </c>
      <c r="G18" s="12">
        <v>745</v>
      </c>
      <c r="H18" s="12">
        <v>25</v>
      </c>
      <c r="I18" s="12">
        <f t="shared" si="0"/>
        <v>720</v>
      </c>
      <c r="J18" t="s">
        <v>21</v>
      </c>
      <c r="K18" t="s">
        <v>21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68</v>
      </c>
      <c r="G19" s="12">
        <v>0</v>
      </c>
      <c r="H19" s="12">
        <v>20</v>
      </c>
      <c r="I19" s="12">
        <f t="shared" si="0"/>
        <v>-20</v>
      </c>
      <c r="J19" t="s">
        <v>21</v>
      </c>
      <c r="K19" t="s">
        <v>21</v>
      </c>
      <c r="L19" t="s">
        <v>115</v>
      </c>
      <c r="Q19">
        <v>1</v>
      </c>
    </row>
    <row r="20" spans="1:17" x14ac:dyDescent="0.25">
      <c r="A20" t="s">
        <v>62</v>
      </c>
      <c r="B20" t="s">
        <v>16</v>
      </c>
      <c r="C20" t="s">
        <v>163</v>
      </c>
      <c r="E20" t="s">
        <v>164</v>
      </c>
      <c r="F20" t="s">
        <v>88</v>
      </c>
      <c r="G20" s="12">
        <v>30</v>
      </c>
      <c r="H20" s="12">
        <v>30</v>
      </c>
      <c r="I20" s="12">
        <f t="shared" si="0"/>
        <v>0</v>
      </c>
      <c r="J20" t="s">
        <v>165</v>
      </c>
      <c r="K20" t="s">
        <v>21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12">
        <v>1</v>
      </c>
      <c r="G21" s="12">
        <v>695</v>
      </c>
      <c r="H21" s="12">
        <v>25</v>
      </c>
      <c r="I21" s="12">
        <f t="shared" si="0"/>
        <v>670</v>
      </c>
      <c r="J21" t="s">
        <v>165</v>
      </c>
      <c r="K21" t="s">
        <v>21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12">
        <v>10</v>
      </c>
      <c r="G22" s="12">
        <v>775</v>
      </c>
      <c r="H22" s="12">
        <v>25</v>
      </c>
      <c r="I22" s="12">
        <f t="shared" si="0"/>
        <v>750</v>
      </c>
      <c r="J22" t="s">
        <v>165</v>
      </c>
      <c r="K22" t="s">
        <v>21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12">
        <v>1</v>
      </c>
      <c r="G23" s="12">
        <v>0</v>
      </c>
      <c r="H23" s="12">
        <v>25</v>
      </c>
      <c r="I23" s="12">
        <f t="shared" si="0"/>
        <v>-25</v>
      </c>
      <c r="J23" t="s">
        <v>165</v>
      </c>
      <c r="K23" t="s">
        <v>21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12">
        <v>1</v>
      </c>
      <c r="G24" s="12">
        <v>695</v>
      </c>
      <c r="H24" s="12">
        <v>25</v>
      </c>
      <c r="I24" s="12">
        <f t="shared" si="0"/>
        <v>670</v>
      </c>
      <c r="J24" t="s">
        <v>165</v>
      </c>
      <c r="K24" t="s">
        <v>21</v>
      </c>
      <c r="L24" t="s">
        <v>115</v>
      </c>
      <c r="Q24">
        <v>1</v>
      </c>
    </row>
    <row r="26" spans="1:17" x14ac:dyDescent="0.25">
      <c r="D26" s="7">
        <f>COUNTA(D3:D24)</f>
        <v>17</v>
      </c>
      <c r="G26" s="7">
        <f t="shared" ref="G26:Q26" si="1">SUBTOTAL(9,G3:G24)</f>
        <v>7845</v>
      </c>
      <c r="H26" s="7">
        <f t="shared" si="1"/>
        <v>640</v>
      </c>
      <c r="I26" s="7">
        <f t="shared" si="1"/>
        <v>7205</v>
      </c>
      <c r="J26" s="7">
        <f t="shared" si="1"/>
        <v>0</v>
      </c>
      <c r="K26" s="7">
        <f t="shared" si="1"/>
        <v>0</v>
      </c>
      <c r="L26" s="7">
        <f t="shared" si="1"/>
        <v>0</v>
      </c>
      <c r="M26" s="7">
        <f t="shared" si="1"/>
        <v>0</v>
      </c>
      <c r="N26" s="7">
        <f t="shared" si="1"/>
        <v>0</v>
      </c>
      <c r="O26" s="7">
        <f t="shared" si="1"/>
        <v>0</v>
      </c>
      <c r="P26" s="7">
        <f t="shared" si="1"/>
        <v>0</v>
      </c>
      <c r="Q26" s="7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7" t="s">
        <v>16</v>
      </c>
      <c r="C28" s="6" t="s">
        <v>89</v>
      </c>
      <c r="D28" s="6"/>
      <c r="E28" s="10" t="s">
        <v>90</v>
      </c>
      <c r="H28">
        <f>-2*25</f>
        <v>-50</v>
      </c>
      <c r="K28" s="13" t="s">
        <v>21</v>
      </c>
      <c r="L28" s="13" t="s">
        <v>91</v>
      </c>
      <c r="M28" s="13" t="s">
        <v>90</v>
      </c>
      <c r="O28" s="10" t="s">
        <v>92</v>
      </c>
    </row>
    <row r="29" spans="1:17" x14ac:dyDescent="0.25">
      <c r="A29" t="s">
        <v>115</v>
      </c>
      <c r="B29" s="9" t="s">
        <v>93</v>
      </c>
      <c r="C29" s="5">
        <f>SUMIFS(I$3:I$24,B$3:B$24,A$28,L$3:L$24,A$29)</f>
        <v>7205</v>
      </c>
      <c r="D29" s="5"/>
      <c r="E29" s="9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21</v>
      </c>
      <c r="P29">
        <f>L34</f>
        <v>2296</v>
      </c>
    </row>
    <row r="30" spans="1:17" x14ac:dyDescent="0.25">
      <c r="B30" s="8" t="s">
        <v>97</v>
      </c>
      <c r="C30" s="4">
        <v>0</v>
      </c>
      <c r="D30" s="4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8" t="s">
        <v>99</v>
      </c>
      <c r="C31" s="4">
        <f>-SUMIFS(I$3:I$24,B$3:B$24,A$28,P$3:P$24,"xx",N$3:N$24,"x")</f>
        <v>0</v>
      </c>
      <c r="D31" s="4"/>
      <c r="E31" s="8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10" t="s">
        <v>101</v>
      </c>
      <c r="C32" s="6">
        <f>SUBTOTAL(9,C29:C31)</f>
        <v>7205</v>
      </c>
      <c r="D32" s="6"/>
      <c r="E32">
        <f>E29</f>
        <v>22</v>
      </c>
      <c r="K32" s="8" t="s">
        <v>102</v>
      </c>
      <c r="O32" t="s">
        <v>103</v>
      </c>
      <c r="P32">
        <f>-C36</f>
        <v>-7205</v>
      </c>
    </row>
    <row r="33" spans="2:16" x14ac:dyDescent="0.25">
      <c r="B33" s="8" t="s">
        <v>104</v>
      </c>
      <c r="C33" s="3"/>
      <c r="D33" s="3"/>
      <c r="K33" s="8" t="s">
        <v>105</v>
      </c>
      <c r="O33" s="10" t="s">
        <v>106</v>
      </c>
      <c r="P33" s="10">
        <f>SUBTOTAL(9,P29:P32)</f>
        <v>85</v>
      </c>
    </row>
    <row r="34" spans="2:16" x14ac:dyDescent="0.25">
      <c r="B34" s="14" t="s">
        <v>107</v>
      </c>
      <c r="C34" s="3"/>
      <c r="D34" s="3"/>
      <c r="L34" s="15">
        <f>SUBTOTAL(9,L29:L33)</f>
        <v>2296</v>
      </c>
      <c r="M34" s="15">
        <f>M29</f>
        <v>10</v>
      </c>
    </row>
    <row r="36" spans="2:16" x14ac:dyDescent="0.25">
      <c r="B36" s="7" t="s">
        <v>108</v>
      </c>
      <c r="C36" s="2">
        <f>C32+C33+C34</f>
        <v>7205</v>
      </c>
      <c r="D36" s="2"/>
      <c r="E36" s="7" t="s">
        <v>109</v>
      </c>
      <c r="K36" s="13" t="s">
        <v>165</v>
      </c>
      <c r="L36" s="13" t="s">
        <v>91</v>
      </c>
      <c r="M36" s="13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8" t="s">
        <v>102</v>
      </c>
    </row>
    <row r="41" spans="2:16" x14ac:dyDescent="0.25">
      <c r="K41" s="8" t="s">
        <v>105</v>
      </c>
    </row>
    <row r="42" spans="2:16" x14ac:dyDescent="0.25">
      <c r="L42" s="15">
        <f>SUBTOTAL(9,L37:L41)</f>
        <v>2090</v>
      </c>
      <c r="M42" s="15">
        <f>M37</f>
        <v>5</v>
      </c>
    </row>
    <row r="44" spans="2:16" x14ac:dyDescent="0.25">
      <c r="K44" s="13" t="s">
        <v>114</v>
      </c>
      <c r="L44" s="13" t="s">
        <v>91</v>
      </c>
      <c r="M44" s="13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8" t="s">
        <v>102</v>
      </c>
    </row>
    <row r="49" spans="11:13" x14ac:dyDescent="0.25">
      <c r="K49" s="8" t="s">
        <v>105</v>
      </c>
    </row>
    <row r="50" spans="11:13" x14ac:dyDescent="0.25">
      <c r="L50" s="15">
        <f>SUBTOTAL(9,L45:L49)</f>
        <v>2904</v>
      </c>
      <c r="M50" s="15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20" workbookViewId="0">
      <selection activeCell="D20" sqref="D20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12">
        <v>9</v>
      </c>
      <c r="G3" s="12">
        <v>30</v>
      </c>
      <c r="H3" s="12">
        <v>30</v>
      </c>
      <c r="I3" s="12">
        <f>G3-H3</f>
        <v>0</v>
      </c>
      <c r="J3" t="s">
        <v>20</v>
      </c>
      <c r="K3" t="s">
        <v>21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12">
        <v>9</v>
      </c>
      <c r="G4" s="12">
        <v>920</v>
      </c>
      <c r="H4" s="12">
        <v>30</v>
      </c>
      <c r="I4" s="12">
        <f>G4-H4</f>
        <v>890</v>
      </c>
      <c r="J4" t="s">
        <v>20</v>
      </c>
      <c r="K4" t="s">
        <v>21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12">
        <v>9</v>
      </c>
      <c r="G5" s="12">
        <v>0</v>
      </c>
      <c r="H5" s="12">
        <v>30</v>
      </c>
      <c r="I5" s="12">
        <f>-H5</f>
        <v>-30</v>
      </c>
      <c r="J5" t="s">
        <v>20</v>
      </c>
      <c r="K5" t="s">
        <v>21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12">
        <v>9</v>
      </c>
      <c r="G6" s="12">
        <v>690</v>
      </c>
      <c r="H6" s="12">
        <v>30</v>
      </c>
      <c r="I6" s="12">
        <f t="shared" ref="I6:I29" si="0">G6-H6</f>
        <v>660</v>
      </c>
      <c r="J6" t="s">
        <v>20</v>
      </c>
      <c r="K6" t="s">
        <v>21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12">
        <v>5</v>
      </c>
      <c r="G7" s="12">
        <v>20</v>
      </c>
      <c r="H7" s="12">
        <v>20</v>
      </c>
      <c r="I7" s="12">
        <f t="shared" si="0"/>
        <v>0</v>
      </c>
      <c r="J7" t="s">
        <v>195</v>
      </c>
      <c r="K7" t="s">
        <v>21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12">
        <v>12</v>
      </c>
      <c r="G8" s="12">
        <v>820</v>
      </c>
      <c r="H8" s="12">
        <v>30</v>
      </c>
      <c r="I8" s="12">
        <f t="shared" si="0"/>
        <v>790</v>
      </c>
      <c r="J8" t="s">
        <v>195</v>
      </c>
      <c r="K8" t="s">
        <v>21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12">
        <v>7</v>
      </c>
      <c r="G9" s="12">
        <v>1330</v>
      </c>
      <c r="H9" s="12">
        <v>30</v>
      </c>
      <c r="I9" s="12">
        <f t="shared" si="0"/>
        <v>1300</v>
      </c>
      <c r="J9" t="s">
        <v>195</v>
      </c>
      <c r="K9" t="s">
        <v>21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88</v>
      </c>
      <c r="G10" s="12">
        <v>375</v>
      </c>
      <c r="H10" s="12">
        <v>25</v>
      </c>
      <c r="I10" s="12">
        <f t="shared" si="0"/>
        <v>350</v>
      </c>
      <c r="J10" t="s">
        <v>195</v>
      </c>
      <c r="K10" t="s">
        <v>21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12">
        <v>7</v>
      </c>
      <c r="G11" s="12">
        <v>850</v>
      </c>
      <c r="H11" s="12">
        <v>30</v>
      </c>
      <c r="I11" s="12">
        <f t="shared" si="0"/>
        <v>820</v>
      </c>
      <c r="J11" t="s">
        <v>195</v>
      </c>
      <c r="K11" t="s">
        <v>21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12">
        <v>12</v>
      </c>
      <c r="G12" s="12">
        <v>380</v>
      </c>
      <c r="H12" s="12">
        <v>30</v>
      </c>
      <c r="I12" s="12">
        <f t="shared" si="0"/>
        <v>350</v>
      </c>
      <c r="J12" t="s">
        <v>195</v>
      </c>
      <c r="K12" t="s">
        <v>21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12">
        <v>7</v>
      </c>
      <c r="G13" s="12">
        <v>670</v>
      </c>
      <c r="H13" s="12">
        <v>30</v>
      </c>
      <c r="I13" s="12">
        <f t="shared" si="0"/>
        <v>640</v>
      </c>
      <c r="J13" t="s">
        <v>195</v>
      </c>
      <c r="K13" t="s">
        <v>21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12">
        <v>365</v>
      </c>
      <c r="H14" s="12">
        <v>25</v>
      </c>
      <c r="I14" s="12">
        <f t="shared" si="0"/>
        <v>340</v>
      </c>
      <c r="J14" t="s">
        <v>195</v>
      </c>
      <c r="K14" t="s">
        <v>21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12">
        <v>8</v>
      </c>
      <c r="G15" s="12">
        <v>1460</v>
      </c>
      <c r="H15" s="12">
        <v>30</v>
      </c>
      <c r="I15" s="12">
        <f t="shared" si="0"/>
        <v>1430</v>
      </c>
      <c r="J15" t="s">
        <v>195</v>
      </c>
      <c r="K15" t="s">
        <v>21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12">
        <v>8</v>
      </c>
      <c r="G16" s="12">
        <v>1440</v>
      </c>
      <c r="H16" s="12">
        <v>30</v>
      </c>
      <c r="I16" s="12">
        <f t="shared" si="0"/>
        <v>1410</v>
      </c>
      <c r="J16" t="s">
        <v>195</v>
      </c>
      <c r="K16" t="s">
        <v>21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12">
        <v>10</v>
      </c>
      <c r="G17" s="12">
        <v>375</v>
      </c>
      <c r="H17" s="12">
        <v>25</v>
      </c>
      <c r="I17" s="12">
        <f t="shared" si="0"/>
        <v>350</v>
      </c>
      <c r="J17" t="s">
        <v>195</v>
      </c>
      <c r="K17" t="s">
        <v>21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12">
        <v>10</v>
      </c>
      <c r="G18" s="12">
        <v>745</v>
      </c>
      <c r="H18" s="12">
        <v>25</v>
      </c>
      <c r="I18" s="12">
        <f t="shared" si="0"/>
        <v>720</v>
      </c>
      <c r="J18" t="s">
        <v>195</v>
      </c>
      <c r="K18" t="s">
        <v>21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12">
        <v>5</v>
      </c>
      <c r="G19" s="12">
        <v>30</v>
      </c>
      <c r="H19" s="12">
        <v>30</v>
      </c>
      <c r="I19" s="12">
        <f t="shared" si="0"/>
        <v>0</v>
      </c>
      <c r="J19" t="s">
        <v>195</v>
      </c>
      <c r="K19" t="s">
        <v>21</v>
      </c>
      <c r="L19" t="s">
        <v>182</v>
      </c>
      <c r="M19" t="s">
        <v>49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12">
        <v>695</v>
      </c>
      <c r="H20" s="12">
        <v>35</v>
      </c>
      <c r="I20" s="12">
        <f t="shared" si="0"/>
        <v>660</v>
      </c>
      <c r="J20" t="s">
        <v>195</v>
      </c>
      <c r="K20" t="s">
        <v>21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12">
        <v>10</v>
      </c>
      <c r="G21" s="12">
        <v>765</v>
      </c>
      <c r="H21" s="12">
        <v>25</v>
      </c>
      <c r="I21" s="12">
        <f t="shared" si="0"/>
        <v>740</v>
      </c>
      <c r="J21" t="s">
        <v>195</v>
      </c>
      <c r="K21" t="s">
        <v>21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12">
        <v>1</v>
      </c>
      <c r="G22" s="12">
        <v>680</v>
      </c>
      <c r="H22" s="12">
        <v>20</v>
      </c>
      <c r="I22" s="12">
        <f t="shared" si="0"/>
        <v>660</v>
      </c>
      <c r="J22" t="s">
        <v>195</v>
      </c>
      <c r="K22" t="s">
        <v>21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12">
        <v>10</v>
      </c>
      <c r="G23" s="12">
        <v>815</v>
      </c>
      <c r="H23" s="12">
        <v>25</v>
      </c>
      <c r="I23" s="12">
        <f t="shared" si="0"/>
        <v>790</v>
      </c>
      <c r="J23" t="s">
        <v>195</v>
      </c>
      <c r="K23" t="s">
        <v>21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12">
        <v>12</v>
      </c>
      <c r="G24" s="12">
        <v>690</v>
      </c>
      <c r="H24" s="12">
        <v>30</v>
      </c>
      <c r="I24" s="12">
        <f t="shared" si="0"/>
        <v>660</v>
      </c>
      <c r="J24" t="s">
        <v>195</v>
      </c>
      <c r="K24" t="s">
        <v>21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12">
        <v>765</v>
      </c>
      <c r="H25" s="12">
        <v>35</v>
      </c>
      <c r="I25" s="12">
        <f t="shared" si="0"/>
        <v>730</v>
      </c>
      <c r="J25" t="s">
        <v>195</v>
      </c>
      <c r="K25" t="s">
        <v>21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26</v>
      </c>
      <c r="G26" s="12">
        <v>690</v>
      </c>
      <c r="H26" s="12">
        <v>30</v>
      </c>
      <c r="I26" s="12">
        <f t="shared" si="0"/>
        <v>660</v>
      </c>
      <c r="J26" t="s">
        <v>195</v>
      </c>
      <c r="K26" t="s">
        <v>21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12">
        <v>7</v>
      </c>
      <c r="G27" s="12">
        <v>890</v>
      </c>
      <c r="H27" s="12">
        <v>30</v>
      </c>
      <c r="I27" s="12">
        <f t="shared" si="0"/>
        <v>860</v>
      </c>
      <c r="J27" t="s">
        <v>195</v>
      </c>
      <c r="K27" t="s">
        <v>21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12">
        <v>695</v>
      </c>
      <c r="H28" s="12">
        <v>35</v>
      </c>
      <c r="I28" s="12">
        <f t="shared" si="0"/>
        <v>660</v>
      </c>
      <c r="J28" t="s">
        <v>195</v>
      </c>
      <c r="K28" t="s">
        <v>21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12">
        <v>8</v>
      </c>
      <c r="G29" s="12">
        <v>845</v>
      </c>
      <c r="H29" s="12">
        <v>25</v>
      </c>
      <c r="I29" s="12">
        <f t="shared" si="0"/>
        <v>820</v>
      </c>
      <c r="J29" t="s">
        <v>195</v>
      </c>
      <c r="K29" t="s">
        <v>21</v>
      </c>
      <c r="L29" t="s">
        <v>182</v>
      </c>
      <c r="Q29">
        <v>1</v>
      </c>
    </row>
    <row r="30" spans="1:17" x14ac:dyDescent="0.25">
      <c r="A30" t="s">
        <v>62</v>
      </c>
      <c r="B30" t="s">
        <v>16</v>
      </c>
      <c r="C30" t="s">
        <v>63</v>
      </c>
      <c r="E30" t="s">
        <v>64</v>
      </c>
      <c r="F30" s="12">
        <v>6</v>
      </c>
      <c r="G30" s="12">
        <v>0</v>
      </c>
      <c r="H30" s="12">
        <v>30</v>
      </c>
      <c r="I30" s="12">
        <f>-H30</f>
        <v>-30</v>
      </c>
      <c r="J30" t="s">
        <v>195</v>
      </c>
      <c r="K30" t="s">
        <v>21</v>
      </c>
      <c r="L30" t="s">
        <v>182</v>
      </c>
      <c r="Q30">
        <v>1</v>
      </c>
    </row>
    <row r="31" spans="1:17" x14ac:dyDescent="0.25">
      <c r="A31" t="s">
        <v>62</v>
      </c>
      <c r="B31" t="s">
        <v>16</v>
      </c>
      <c r="C31" t="s">
        <v>263</v>
      </c>
      <c r="E31" t="s">
        <v>264</v>
      </c>
      <c r="F31" s="12">
        <v>12</v>
      </c>
      <c r="G31" s="12">
        <v>0</v>
      </c>
      <c r="H31" s="12">
        <v>35</v>
      </c>
      <c r="I31" s="12">
        <f>-H31</f>
        <v>-35</v>
      </c>
      <c r="J31" t="s">
        <v>195</v>
      </c>
      <c r="K31" t="s">
        <v>21</v>
      </c>
      <c r="L31" t="s">
        <v>182</v>
      </c>
      <c r="Q31">
        <v>1</v>
      </c>
    </row>
    <row r="32" spans="1:17" x14ac:dyDescent="0.25">
      <c r="A32" t="s">
        <v>62</v>
      </c>
      <c r="B32" t="s">
        <v>16</v>
      </c>
      <c r="C32" t="s">
        <v>265</v>
      </c>
      <c r="E32" t="s">
        <v>266</v>
      </c>
      <c r="F32" s="12">
        <v>6</v>
      </c>
      <c r="G32" s="12">
        <v>35</v>
      </c>
      <c r="H32" s="12">
        <v>35</v>
      </c>
      <c r="I32" s="12">
        <f>G32-H32</f>
        <v>0</v>
      </c>
      <c r="J32" t="s">
        <v>195</v>
      </c>
      <c r="K32" t="s">
        <v>21</v>
      </c>
      <c r="L32" t="s">
        <v>182</v>
      </c>
      <c r="Q32">
        <v>1</v>
      </c>
    </row>
    <row r="33" spans="1:17" x14ac:dyDescent="0.25">
      <c r="A33" t="s">
        <v>62</v>
      </c>
      <c r="B33" t="s">
        <v>16</v>
      </c>
      <c r="C33" t="s">
        <v>267</v>
      </c>
      <c r="E33" t="s">
        <v>268</v>
      </c>
      <c r="F33" s="12">
        <v>6</v>
      </c>
      <c r="G33" s="12">
        <v>0</v>
      </c>
      <c r="H33" s="12">
        <v>30</v>
      </c>
      <c r="I33" s="12">
        <f>-H33</f>
        <v>-30</v>
      </c>
      <c r="J33" t="s">
        <v>195</v>
      </c>
      <c r="K33" t="s">
        <v>21</v>
      </c>
      <c r="L33" t="s">
        <v>182</v>
      </c>
      <c r="M33" t="s">
        <v>49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85</v>
      </c>
      <c r="G34" s="12">
        <v>680</v>
      </c>
      <c r="H34" s="12">
        <v>20</v>
      </c>
      <c r="I34" s="12">
        <f>G34-H34</f>
        <v>660</v>
      </c>
      <c r="J34" t="s">
        <v>21</v>
      </c>
      <c r="K34" t="s">
        <v>21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88</v>
      </c>
      <c r="G35" s="12">
        <v>685</v>
      </c>
      <c r="H35" s="12">
        <v>25</v>
      </c>
      <c r="I35" s="12">
        <f>G35-H35</f>
        <v>660</v>
      </c>
      <c r="J35" t="s">
        <v>21</v>
      </c>
      <c r="K35" t="s">
        <v>21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12">
        <v>2</v>
      </c>
      <c r="G36" s="12">
        <v>1500</v>
      </c>
      <c r="H36" s="12">
        <v>30</v>
      </c>
      <c r="I36" s="12">
        <f>G36-H36</f>
        <v>1470</v>
      </c>
      <c r="J36" t="s">
        <v>21</v>
      </c>
      <c r="K36" t="s">
        <v>21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72</v>
      </c>
      <c r="G37" s="12">
        <v>0</v>
      </c>
      <c r="H37" s="12">
        <v>25</v>
      </c>
      <c r="I37" s="12">
        <f>-H37</f>
        <v>-25</v>
      </c>
      <c r="J37" t="s">
        <v>21</v>
      </c>
      <c r="K37" t="s">
        <v>21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85</v>
      </c>
      <c r="G38" s="12">
        <v>0</v>
      </c>
      <c r="H38" s="12">
        <v>20</v>
      </c>
      <c r="I38" s="12">
        <f>-H38</f>
        <v>-20</v>
      </c>
      <c r="J38" t="s">
        <v>21</v>
      </c>
      <c r="K38" t="s">
        <v>21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12">
        <v>690</v>
      </c>
      <c r="H39" s="12">
        <v>30</v>
      </c>
      <c r="I39" s="12">
        <f>G39-H39</f>
        <v>660</v>
      </c>
      <c r="J39" t="s">
        <v>21</v>
      </c>
      <c r="K39" t="s">
        <v>21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12">
        <v>0</v>
      </c>
      <c r="H40" s="12">
        <v>30</v>
      </c>
      <c r="I40" s="12">
        <f>-H40</f>
        <v>-30</v>
      </c>
      <c r="J40" t="s">
        <v>21</v>
      </c>
      <c r="K40" t="s">
        <v>21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68</v>
      </c>
      <c r="G41" s="12">
        <v>0</v>
      </c>
      <c r="H41" s="12">
        <v>20</v>
      </c>
      <c r="I41" s="12">
        <f>-H41</f>
        <v>-20</v>
      </c>
      <c r="J41" t="s">
        <v>21</v>
      </c>
      <c r="K41" t="s">
        <v>21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12">
        <v>2</v>
      </c>
      <c r="G42" s="12">
        <v>1480</v>
      </c>
      <c r="H42" s="12">
        <v>30</v>
      </c>
      <c r="I42" s="12">
        <f t="shared" ref="I42:I53" si="1">G42-H42</f>
        <v>1450</v>
      </c>
      <c r="J42" t="s">
        <v>21</v>
      </c>
      <c r="K42" t="s">
        <v>21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12">
        <v>3</v>
      </c>
      <c r="G43" s="12">
        <v>685</v>
      </c>
      <c r="H43" s="12">
        <v>25</v>
      </c>
      <c r="I43" s="12">
        <f t="shared" si="1"/>
        <v>660</v>
      </c>
      <c r="J43" t="s">
        <v>21</v>
      </c>
      <c r="K43" t="s">
        <v>21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68</v>
      </c>
      <c r="G44" s="12">
        <v>770</v>
      </c>
      <c r="H44" s="12">
        <v>20</v>
      </c>
      <c r="I44" s="12">
        <f t="shared" si="1"/>
        <v>750</v>
      </c>
      <c r="J44" t="s">
        <v>21</v>
      </c>
      <c r="K44" t="s">
        <v>21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68</v>
      </c>
      <c r="G45" s="12">
        <v>680</v>
      </c>
      <c r="H45" s="12">
        <v>20</v>
      </c>
      <c r="I45" s="12">
        <f t="shared" si="1"/>
        <v>660</v>
      </c>
      <c r="J45" t="s">
        <v>21</v>
      </c>
      <c r="K45" t="s">
        <v>21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12">
        <v>1030</v>
      </c>
      <c r="H46" s="12">
        <v>30</v>
      </c>
      <c r="I46" s="12">
        <f t="shared" si="1"/>
        <v>1000</v>
      </c>
      <c r="J46" t="s">
        <v>21</v>
      </c>
      <c r="K46" t="s">
        <v>21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68</v>
      </c>
      <c r="G47" s="12">
        <v>680</v>
      </c>
      <c r="H47" s="12">
        <v>20</v>
      </c>
      <c r="I47" s="12">
        <f t="shared" si="1"/>
        <v>660</v>
      </c>
      <c r="J47" t="s">
        <v>21</v>
      </c>
      <c r="K47" t="s">
        <v>21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72</v>
      </c>
      <c r="G48" s="12">
        <v>685</v>
      </c>
      <c r="H48" s="12">
        <v>25</v>
      </c>
      <c r="I48" s="12">
        <f t="shared" si="1"/>
        <v>660</v>
      </c>
      <c r="J48" t="s">
        <v>21</v>
      </c>
      <c r="K48" t="s">
        <v>21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88</v>
      </c>
      <c r="G49" s="12">
        <v>820</v>
      </c>
      <c r="H49" s="12">
        <v>0</v>
      </c>
      <c r="I49" s="12">
        <f t="shared" si="1"/>
        <v>820</v>
      </c>
      <c r="J49" t="s">
        <v>21</v>
      </c>
      <c r="K49" t="s">
        <v>21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88</v>
      </c>
      <c r="G50" s="12">
        <v>1585</v>
      </c>
      <c r="H50" s="12">
        <v>25</v>
      </c>
      <c r="I50" s="12">
        <f t="shared" si="1"/>
        <v>1560</v>
      </c>
      <c r="J50" t="s">
        <v>21</v>
      </c>
      <c r="K50" t="s">
        <v>21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72</v>
      </c>
      <c r="G51" s="12">
        <v>1050</v>
      </c>
      <c r="H51" s="12">
        <v>0</v>
      </c>
      <c r="I51" s="12">
        <f t="shared" si="1"/>
        <v>1050</v>
      </c>
      <c r="J51" t="s">
        <v>21</v>
      </c>
      <c r="K51" t="s">
        <v>21</v>
      </c>
      <c r="L51" t="s">
        <v>182</v>
      </c>
      <c r="M51" t="s">
        <v>312</v>
      </c>
      <c r="Q51">
        <v>1</v>
      </c>
    </row>
    <row r="52" spans="1:17" x14ac:dyDescent="0.25">
      <c r="A52" t="s">
        <v>62</v>
      </c>
      <c r="B52" t="s">
        <v>16</v>
      </c>
      <c r="C52" t="s">
        <v>318</v>
      </c>
      <c r="E52" t="s">
        <v>319</v>
      </c>
      <c r="F52" t="s">
        <v>72</v>
      </c>
      <c r="G52" s="12">
        <v>30</v>
      </c>
      <c r="H52" s="12">
        <v>30</v>
      </c>
      <c r="I52" s="12">
        <f t="shared" si="1"/>
        <v>0</v>
      </c>
      <c r="J52" t="s">
        <v>21</v>
      </c>
      <c r="K52" t="s">
        <v>21</v>
      </c>
      <c r="L52" t="s">
        <v>182</v>
      </c>
      <c r="Q52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12">
        <v>30</v>
      </c>
      <c r="H53" s="12">
        <v>30</v>
      </c>
      <c r="I53" s="12">
        <f t="shared" si="1"/>
        <v>0</v>
      </c>
      <c r="J53" t="s">
        <v>21</v>
      </c>
      <c r="K53" t="s">
        <v>21</v>
      </c>
      <c r="L53" t="s">
        <v>182</v>
      </c>
      <c r="Q53">
        <v>1</v>
      </c>
    </row>
    <row r="55" spans="1:17" x14ac:dyDescent="0.25">
      <c r="D55" s="7">
        <f>COUNTA(D3:D53)</f>
        <v>45</v>
      </c>
      <c r="G55" s="7">
        <f t="shared" ref="G55:Q55" si="2">SUBTOTAL(9,G3:G53)</f>
        <v>31145</v>
      </c>
      <c r="H55" s="7">
        <f t="shared" si="2"/>
        <v>1355</v>
      </c>
      <c r="I55" s="7">
        <f t="shared" si="2"/>
        <v>29790</v>
      </c>
      <c r="J55" s="7">
        <f t="shared" si="2"/>
        <v>0</v>
      </c>
      <c r="K55" s="7">
        <f t="shared" si="2"/>
        <v>0</v>
      </c>
      <c r="L55" s="7">
        <f t="shared" si="2"/>
        <v>0</v>
      </c>
      <c r="M55" s="7">
        <f t="shared" si="2"/>
        <v>0</v>
      </c>
      <c r="N55" s="7">
        <f t="shared" si="2"/>
        <v>0</v>
      </c>
      <c r="O55" s="7">
        <f t="shared" si="2"/>
        <v>0</v>
      </c>
      <c r="P55" s="7">
        <f t="shared" si="2"/>
        <v>0</v>
      </c>
      <c r="Q55" s="7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7" t="s">
        <v>16</v>
      </c>
      <c r="C57" s="6" t="s">
        <v>89</v>
      </c>
      <c r="D57" s="6"/>
      <c r="E57" s="10" t="s">
        <v>90</v>
      </c>
      <c r="H57">
        <f>-5*25</f>
        <v>-125</v>
      </c>
      <c r="K57" s="13" t="s">
        <v>21</v>
      </c>
      <c r="L57" s="13" t="s">
        <v>91</v>
      </c>
      <c r="M57" s="13" t="s">
        <v>90</v>
      </c>
      <c r="O57" s="10" t="s">
        <v>92</v>
      </c>
    </row>
    <row r="58" spans="1:17" x14ac:dyDescent="0.25">
      <c r="A58" t="s">
        <v>182</v>
      </c>
      <c r="B58" s="9" t="s">
        <v>93</v>
      </c>
      <c r="C58" s="5">
        <f>SUMIFS(I$3:I$53,B$3:B$53,A$57,L$3:L$53,A$58)</f>
        <v>29790</v>
      </c>
      <c r="D58" s="5"/>
      <c r="E58" s="9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21</v>
      </c>
      <c r="P58">
        <f>L64</f>
        <v>12637</v>
      </c>
    </row>
    <row r="59" spans="1:17" x14ac:dyDescent="0.25">
      <c r="B59" s="8" t="s">
        <v>97</v>
      </c>
      <c r="C59" s="4">
        <v>0</v>
      </c>
      <c r="D59" s="4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8" t="s">
        <v>99</v>
      </c>
      <c r="C60" s="4">
        <f>-SUMIFS(I$3:I$53,B$3:B$53,A$57,P$3:P$53,"xx",N$3:N$53,"x")</f>
        <v>0</v>
      </c>
      <c r="D60" s="4"/>
      <c r="E60" s="8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20</v>
      </c>
      <c r="P60">
        <f>L80</f>
        <v>1540</v>
      </c>
    </row>
    <row r="61" spans="1:17" x14ac:dyDescent="0.25">
      <c r="B61" s="10" t="s">
        <v>101</v>
      </c>
      <c r="C61" s="6">
        <f>SUBTOTAL(9,C58:C60)</f>
        <v>29790</v>
      </c>
      <c r="D61" s="6"/>
      <c r="E61">
        <f>E58</f>
        <v>51</v>
      </c>
      <c r="K61" s="8" t="s">
        <v>102</v>
      </c>
      <c r="O61" t="s">
        <v>103</v>
      </c>
      <c r="P61">
        <f>-C65</f>
        <v>-29790</v>
      </c>
    </row>
    <row r="62" spans="1:17" x14ac:dyDescent="0.25">
      <c r="B62" s="8" t="s">
        <v>104</v>
      </c>
      <c r="C62" s="3"/>
      <c r="D62" s="3"/>
      <c r="K62" s="8" t="s">
        <v>105</v>
      </c>
      <c r="O62" s="10" t="s">
        <v>106</v>
      </c>
      <c r="P62" s="10">
        <f>SUBTOTAL(9,P58:P61)</f>
        <v>274</v>
      </c>
    </row>
    <row r="63" spans="1:17" x14ac:dyDescent="0.25">
      <c r="B63" s="14" t="s">
        <v>107</v>
      </c>
      <c r="C63" s="3"/>
      <c r="D63" s="3"/>
      <c r="K63" s="16" t="s">
        <v>323</v>
      </c>
      <c r="L63">
        <v>30</v>
      </c>
    </row>
    <row r="64" spans="1:17" x14ac:dyDescent="0.25">
      <c r="L64" s="15">
        <f>SUBTOTAL(9,L58:L63)</f>
        <v>12637</v>
      </c>
      <c r="M64" s="15">
        <f>M58</f>
        <v>20</v>
      </c>
    </row>
    <row r="65" spans="2:13" x14ac:dyDescent="0.25">
      <c r="B65" s="7" t="s">
        <v>108</v>
      </c>
      <c r="C65" s="2">
        <f>C61+C62+C63</f>
        <v>29790</v>
      </c>
      <c r="D65" s="2"/>
      <c r="E65" s="7" t="s">
        <v>109</v>
      </c>
      <c r="K65" s="17"/>
      <c r="L65" s="17"/>
      <c r="M65" s="17"/>
    </row>
    <row r="66" spans="2:13" x14ac:dyDescent="0.25">
      <c r="K66" s="13" t="s">
        <v>195</v>
      </c>
      <c r="L66" s="13" t="s">
        <v>91</v>
      </c>
      <c r="M66" s="13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8" t="s">
        <v>102</v>
      </c>
    </row>
    <row r="71" spans="2:13" x14ac:dyDescent="0.25">
      <c r="K71" s="8" t="s">
        <v>105</v>
      </c>
    </row>
    <row r="72" spans="2:13" x14ac:dyDescent="0.25">
      <c r="L72" s="15">
        <f>SUBTOTAL(9,L67:L71)</f>
        <v>15887</v>
      </c>
      <c r="M72" s="15">
        <f>M67</f>
        <v>27</v>
      </c>
    </row>
    <row r="74" spans="2:13" x14ac:dyDescent="0.25">
      <c r="K74" s="13" t="s">
        <v>20</v>
      </c>
      <c r="L74" s="13" t="s">
        <v>91</v>
      </c>
      <c r="M74" s="13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8" t="s">
        <v>102</v>
      </c>
    </row>
    <row r="79" spans="2:13" x14ac:dyDescent="0.25">
      <c r="K79" s="8" t="s">
        <v>105</v>
      </c>
    </row>
    <row r="80" spans="2:13" x14ac:dyDescent="0.25">
      <c r="L80" s="15">
        <f>SUBTOTAL(9,L75:L79)</f>
        <v>1540</v>
      </c>
      <c r="M80" s="15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C25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12">
        <v>9</v>
      </c>
      <c r="G3" s="12">
        <v>690</v>
      </c>
      <c r="H3" s="12">
        <v>30</v>
      </c>
      <c r="I3" s="12">
        <f t="shared" ref="I3:I44" si="0">G3-H3</f>
        <v>660</v>
      </c>
      <c r="J3" t="s">
        <v>20</v>
      </c>
      <c r="K3" t="s">
        <v>21</v>
      </c>
      <c r="L3" t="s">
        <v>328</v>
      </c>
      <c r="Q3">
        <v>1</v>
      </c>
    </row>
    <row r="4" spans="1:17" x14ac:dyDescent="0.25">
      <c r="A4" t="s">
        <v>62</v>
      </c>
      <c r="B4" t="s">
        <v>16</v>
      </c>
      <c r="C4" t="s">
        <v>329</v>
      </c>
      <c r="E4" t="s">
        <v>330</v>
      </c>
      <c r="F4" s="12">
        <v>9</v>
      </c>
      <c r="G4" s="12">
        <v>35</v>
      </c>
      <c r="H4" s="12">
        <v>35</v>
      </c>
      <c r="I4" s="12">
        <f t="shared" si="0"/>
        <v>0</v>
      </c>
      <c r="J4" t="s">
        <v>20</v>
      </c>
      <c r="K4" t="s">
        <v>21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12">
        <v>735</v>
      </c>
      <c r="H5" s="12">
        <v>35</v>
      </c>
      <c r="I5" s="12">
        <f t="shared" si="0"/>
        <v>700</v>
      </c>
      <c r="J5" t="s">
        <v>333</v>
      </c>
      <c r="K5" t="s">
        <v>21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12">
        <v>12</v>
      </c>
      <c r="G6" s="12">
        <v>760</v>
      </c>
      <c r="H6" s="12">
        <v>30</v>
      </c>
      <c r="I6" s="12">
        <f t="shared" si="0"/>
        <v>730</v>
      </c>
      <c r="J6" t="s">
        <v>333</v>
      </c>
      <c r="K6" t="s">
        <v>21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12">
        <v>7</v>
      </c>
      <c r="G7" s="12">
        <v>690</v>
      </c>
      <c r="H7" s="12">
        <v>30</v>
      </c>
      <c r="I7" s="12">
        <f t="shared" si="0"/>
        <v>660</v>
      </c>
      <c r="J7" t="s">
        <v>333</v>
      </c>
      <c r="K7" t="s">
        <v>21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12">
        <v>7</v>
      </c>
      <c r="G8" s="12">
        <v>920</v>
      </c>
      <c r="H8" s="12">
        <v>30</v>
      </c>
      <c r="I8" s="12">
        <f t="shared" si="0"/>
        <v>890</v>
      </c>
      <c r="J8" t="s">
        <v>333</v>
      </c>
      <c r="K8" t="s">
        <v>21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12">
        <v>11</v>
      </c>
      <c r="G9" s="12">
        <v>375</v>
      </c>
      <c r="H9" s="12">
        <v>25</v>
      </c>
      <c r="I9" s="12">
        <f t="shared" si="0"/>
        <v>350</v>
      </c>
      <c r="J9" t="s">
        <v>333</v>
      </c>
      <c r="K9" t="s">
        <v>21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26</v>
      </c>
      <c r="G10" s="12">
        <v>720</v>
      </c>
      <c r="H10" s="12">
        <v>30</v>
      </c>
      <c r="I10" s="12">
        <f t="shared" si="0"/>
        <v>690</v>
      </c>
      <c r="J10" t="s">
        <v>333</v>
      </c>
      <c r="K10" t="s">
        <v>21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12">
        <v>1775</v>
      </c>
      <c r="H11" s="12">
        <v>35</v>
      </c>
      <c r="I11" s="12">
        <f t="shared" si="0"/>
        <v>1740</v>
      </c>
      <c r="J11" t="s">
        <v>333</v>
      </c>
      <c r="K11" t="s">
        <v>21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12">
        <v>12</v>
      </c>
      <c r="G12" s="12">
        <v>720</v>
      </c>
      <c r="H12" s="12">
        <v>30</v>
      </c>
      <c r="I12" s="12">
        <f t="shared" si="0"/>
        <v>690</v>
      </c>
      <c r="J12" t="s">
        <v>333</v>
      </c>
      <c r="K12" t="s">
        <v>21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12">
        <v>7</v>
      </c>
      <c r="G13" s="12">
        <v>690</v>
      </c>
      <c r="H13" s="12">
        <v>30</v>
      </c>
      <c r="I13" s="12">
        <f t="shared" si="0"/>
        <v>660</v>
      </c>
      <c r="J13" t="s">
        <v>333</v>
      </c>
      <c r="K13" t="s">
        <v>21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12">
        <v>7</v>
      </c>
      <c r="G14" s="12">
        <v>0</v>
      </c>
      <c r="H14" s="12">
        <v>30</v>
      </c>
      <c r="I14" s="12">
        <f t="shared" si="0"/>
        <v>-30</v>
      </c>
      <c r="J14" t="s">
        <v>333</v>
      </c>
      <c r="K14" t="s">
        <v>21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12">
        <v>8</v>
      </c>
      <c r="G15" s="12">
        <v>820</v>
      </c>
      <c r="H15" s="12">
        <v>30</v>
      </c>
      <c r="I15" s="12">
        <f t="shared" si="0"/>
        <v>790</v>
      </c>
      <c r="J15" t="s">
        <v>333</v>
      </c>
      <c r="K15" t="s">
        <v>21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26</v>
      </c>
      <c r="G16" s="12">
        <v>690</v>
      </c>
      <c r="H16" s="12">
        <v>30</v>
      </c>
      <c r="I16" s="12">
        <f t="shared" si="0"/>
        <v>660</v>
      </c>
      <c r="J16" t="s">
        <v>333</v>
      </c>
      <c r="K16" t="s">
        <v>21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12">
        <v>5</v>
      </c>
      <c r="G17" s="12">
        <v>715</v>
      </c>
      <c r="H17" s="12">
        <v>25</v>
      </c>
      <c r="I17" s="12">
        <f t="shared" si="0"/>
        <v>690</v>
      </c>
      <c r="J17" t="s">
        <v>333</v>
      </c>
      <c r="K17" t="s">
        <v>21</v>
      </c>
      <c r="L17" t="s">
        <v>328</v>
      </c>
      <c r="Q17">
        <v>1</v>
      </c>
    </row>
    <row r="18" spans="1:17" x14ac:dyDescent="0.25">
      <c r="A18" t="s">
        <v>62</v>
      </c>
      <c r="B18" t="s">
        <v>16</v>
      </c>
      <c r="C18" t="s">
        <v>370</v>
      </c>
      <c r="E18" t="s">
        <v>371</v>
      </c>
      <c r="F18" t="s">
        <v>217</v>
      </c>
      <c r="G18" s="12">
        <v>30</v>
      </c>
      <c r="H18" s="12">
        <v>30</v>
      </c>
      <c r="I18" s="12">
        <f t="shared" si="0"/>
        <v>0</v>
      </c>
      <c r="J18" t="s">
        <v>333</v>
      </c>
      <c r="K18" t="s">
        <v>21</v>
      </c>
      <c r="L18" t="s">
        <v>328</v>
      </c>
      <c r="Q18">
        <v>1</v>
      </c>
    </row>
    <row r="19" spans="1:17" x14ac:dyDescent="0.25">
      <c r="A19" t="s">
        <v>62</v>
      </c>
      <c r="B19" t="s">
        <v>16</v>
      </c>
      <c r="C19" t="s">
        <v>372</v>
      </c>
      <c r="E19" t="s">
        <v>373</v>
      </c>
      <c r="F19" t="s">
        <v>26</v>
      </c>
      <c r="G19" s="12">
        <v>40</v>
      </c>
      <c r="H19" s="12">
        <v>40</v>
      </c>
      <c r="I19" s="12">
        <f t="shared" si="0"/>
        <v>0</v>
      </c>
      <c r="J19" t="s">
        <v>333</v>
      </c>
      <c r="K19" t="s">
        <v>21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12">
        <v>700</v>
      </c>
      <c r="H20" s="12">
        <v>30</v>
      </c>
      <c r="I20" s="12">
        <f t="shared" si="0"/>
        <v>670</v>
      </c>
      <c r="J20" t="s">
        <v>21</v>
      </c>
      <c r="K20" t="s">
        <v>21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12">
        <v>2</v>
      </c>
      <c r="G21" s="12">
        <v>720</v>
      </c>
      <c r="H21" s="12">
        <v>30</v>
      </c>
      <c r="I21" s="12">
        <f t="shared" si="0"/>
        <v>690</v>
      </c>
      <c r="J21" t="s">
        <v>21</v>
      </c>
      <c r="K21" t="s">
        <v>21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12">
        <v>730</v>
      </c>
      <c r="H22" s="12">
        <v>30</v>
      </c>
      <c r="I22" s="12">
        <f t="shared" si="0"/>
        <v>700</v>
      </c>
      <c r="J22" t="s">
        <v>21</v>
      </c>
      <c r="K22" t="s">
        <v>21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12">
        <v>890</v>
      </c>
      <c r="H23" s="12">
        <v>30</v>
      </c>
      <c r="I23" s="12">
        <f t="shared" si="0"/>
        <v>860</v>
      </c>
      <c r="J23" t="s">
        <v>21</v>
      </c>
      <c r="K23" t="s">
        <v>21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72</v>
      </c>
      <c r="G24" s="12">
        <v>685</v>
      </c>
      <c r="H24" s="12">
        <v>25</v>
      </c>
      <c r="I24" s="12">
        <f t="shared" si="0"/>
        <v>660</v>
      </c>
      <c r="J24" t="s">
        <v>21</v>
      </c>
      <c r="K24" t="s">
        <v>21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72</v>
      </c>
      <c r="G25" s="12">
        <v>0</v>
      </c>
      <c r="H25" s="12">
        <v>25</v>
      </c>
      <c r="I25" s="12">
        <f t="shared" si="0"/>
        <v>-25</v>
      </c>
      <c r="J25" t="s">
        <v>21</v>
      </c>
      <c r="K25" t="s">
        <v>21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12">
        <v>12</v>
      </c>
      <c r="G26" s="12">
        <v>870</v>
      </c>
      <c r="H26" s="12">
        <v>30</v>
      </c>
      <c r="I26" s="12">
        <f t="shared" si="0"/>
        <v>840</v>
      </c>
      <c r="J26" t="s">
        <v>21</v>
      </c>
      <c r="K26" t="s">
        <v>21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72</v>
      </c>
      <c r="G27" s="12">
        <v>0</v>
      </c>
      <c r="H27" s="12">
        <v>25</v>
      </c>
      <c r="I27" s="12">
        <f t="shared" si="0"/>
        <v>-25</v>
      </c>
      <c r="J27" t="s">
        <v>21</v>
      </c>
      <c r="K27" t="s">
        <v>21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68</v>
      </c>
      <c r="G28" s="12">
        <v>910</v>
      </c>
      <c r="H28" s="12">
        <v>20</v>
      </c>
      <c r="I28" s="12">
        <f t="shared" si="0"/>
        <v>890</v>
      </c>
      <c r="J28" t="s">
        <v>21</v>
      </c>
      <c r="K28" t="s">
        <v>21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12">
        <v>2</v>
      </c>
      <c r="G29" s="12">
        <v>0</v>
      </c>
      <c r="H29" s="12">
        <v>30</v>
      </c>
      <c r="I29" s="12">
        <f t="shared" si="0"/>
        <v>-30</v>
      </c>
      <c r="J29" t="s">
        <v>21</v>
      </c>
      <c r="K29" t="s">
        <v>21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68</v>
      </c>
      <c r="G30" s="12">
        <v>680</v>
      </c>
      <c r="H30" s="12">
        <v>20</v>
      </c>
      <c r="I30" s="12">
        <f t="shared" si="0"/>
        <v>660</v>
      </c>
      <c r="J30" t="s">
        <v>21</v>
      </c>
      <c r="K30" t="s">
        <v>21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68</v>
      </c>
      <c r="G31" s="12">
        <v>840</v>
      </c>
      <c r="H31" s="12">
        <v>20</v>
      </c>
      <c r="I31" s="12">
        <f t="shared" si="0"/>
        <v>820</v>
      </c>
      <c r="J31" t="s">
        <v>21</v>
      </c>
      <c r="K31" t="s">
        <v>21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88</v>
      </c>
      <c r="G32" s="12">
        <v>0</v>
      </c>
      <c r="H32" s="12">
        <v>25</v>
      </c>
      <c r="I32" s="12">
        <f t="shared" si="0"/>
        <v>-25</v>
      </c>
      <c r="J32" t="s">
        <v>21</v>
      </c>
      <c r="K32" t="s">
        <v>21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12">
        <v>12</v>
      </c>
      <c r="G33" s="12">
        <v>0</v>
      </c>
      <c r="H33" s="12">
        <v>40</v>
      </c>
      <c r="I33" s="12">
        <f t="shared" si="0"/>
        <v>-40</v>
      </c>
      <c r="J33" t="s">
        <v>21</v>
      </c>
      <c r="K33" t="s">
        <v>21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12">
        <v>3</v>
      </c>
      <c r="G34" s="12">
        <v>0</v>
      </c>
      <c r="H34" s="12">
        <v>25</v>
      </c>
      <c r="I34" s="12">
        <f t="shared" si="0"/>
        <v>-25</v>
      </c>
      <c r="J34" t="s">
        <v>165</v>
      </c>
      <c r="K34" t="s">
        <v>21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12">
        <v>1</v>
      </c>
      <c r="G35" s="12">
        <v>885</v>
      </c>
      <c r="H35" s="12">
        <v>25</v>
      </c>
      <c r="I35" s="12">
        <f t="shared" si="0"/>
        <v>860</v>
      </c>
      <c r="J35" t="s">
        <v>165</v>
      </c>
      <c r="K35" t="s">
        <v>21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12">
        <v>4</v>
      </c>
      <c r="G36" s="12">
        <v>375</v>
      </c>
      <c r="H36" s="12">
        <v>25</v>
      </c>
      <c r="I36" s="12">
        <f t="shared" si="0"/>
        <v>350</v>
      </c>
      <c r="J36" t="s">
        <v>165</v>
      </c>
      <c r="K36" t="s">
        <v>21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12">
        <v>10</v>
      </c>
      <c r="G37" s="12">
        <v>815</v>
      </c>
      <c r="H37" s="12">
        <v>25</v>
      </c>
      <c r="I37" s="12">
        <f t="shared" si="0"/>
        <v>790</v>
      </c>
      <c r="J37" t="s">
        <v>165</v>
      </c>
      <c r="K37" t="s">
        <v>21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12">
        <v>4</v>
      </c>
      <c r="G38" s="12">
        <v>775</v>
      </c>
      <c r="H38" s="12">
        <v>25</v>
      </c>
      <c r="I38" s="12">
        <f t="shared" si="0"/>
        <v>750</v>
      </c>
      <c r="J38" t="s">
        <v>165</v>
      </c>
      <c r="K38" t="s">
        <v>21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88</v>
      </c>
      <c r="G39" s="12">
        <v>885</v>
      </c>
      <c r="H39" s="12">
        <v>25</v>
      </c>
      <c r="I39" s="12">
        <f t="shared" si="0"/>
        <v>860</v>
      </c>
      <c r="J39" t="s">
        <v>165</v>
      </c>
      <c r="K39" t="s">
        <v>21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85</v>
      </c>
      <c r="G40" s="12">
        <v>680</v>
      </c>
      <c r="H40" s="12">
        <v>20</v>
      </c>
      <c r="I40" s="12">
        <f t="shared" si="0"/>
        <v>660</v>
      </c>
      <c r="J40" t="s">
        <v>165</v>
      </c>
      <c r="K40" t="s">
        <v>21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12">
        <v>1</v>
      </c>
      <c r="G41" s="12">
        <v>0</v>
      </c>
      <c r="H41" s="12">
        <v>25</v>
      </c>
      <c r="I41" s="12">
        <f t="shared" si="0"/>
        <v>-25</v>
      </c>
      <c r="J41" t="s">
        <v>165</v>
      </c>
      <c r="K41" t="s">
        <v>21</v>
      </c>
      <c r="L41" t="s">
        <v>328</v>
      </c>
      <c r="Q41">
        <v>1</v>
      </c>
    </row>
    <row r="42" spans="1:17" x14ac:dyDescent="0.25">
      <c r="A42" t="s">
        <v>62</v>
      </c>
      <c r="B42" t="s">
        <v>16</v>
      </c>
      <c r="C42" t="s">
        <v>441</v>
      </c>
      <c r="E42" t="s">
        <v>442</v>
      </c>
      <c r="F42" t="s">
        <v>88</v>
      </c>
      <c r="G42" s="12">
        <v>30</v>
      </c>
      <c r="H42" s="12">
        <v>30</v>
      </c>
      <c r="I42" s="12">
        <f t="shared" si="0"/>
        <v>0</v>
      </c>
      <c r="J42" t="s">
        <v>165</v>
      </c>
      <c r="K42" t="s">
        <v>21</v>
      </c>
      <c r="L42" t="s">
        <v>328</v>
      </c>
      <c r="Q42">
        <v>1</v>
      </c>
    </row>
    <row r="43" spans="1:17" s="8" customFormat="1" x14ac:dyDescent="0.25">
      <c r="B43" s="8" t="s">
        <v>16</v>
      </c>
      <c r="C43" s="8" t="s">
        <v>443</v>
      </c>
      <c r="D43" s="8" t="s">
        <v>444</v>
      </c>
      <c r="E43" s="8" t="s">
        <v>445</v>
      </c>
      <c r="F43" s="8" t="s">
        <v>85</v>
      </c>
      <c r="G43" s="18">
        <v>370</v>
      </c>
      <c r="H43" s="18">
        <v>20</v>
      </c>
      <c r="I43" s="18">
        <f t="shared" si="0"/>
        <v>350</v>
      </c>
      <c r="J43" s="8" t="s">
        <v>446</v>
      </c>
      <c r="K43" s="8" t="s">
        <v>21</v>
      </c>
      <c r="L43" s="8" t="s">
        <v>447</v>
      </c>
      <c r="M43" s="8" t="s">
        <v>102</v>
      </c>
      <c r="N43" s="8" t="s">
        <v>448</v>
      </c>
      <c r="O43" s="8" t="s">
        <v>448</v>
      </c>
      <c r="P43" s="8" t="s">
        <v>449</v>
      </c>
      <c r="Q43" s="18">
        <v>1</v>
      </c>
    </row>
    <row r="44" spans="1:17" s="8" customFormat="1" x14ac:dyDescent="0.25">
      <c r="B44" s="8" t="s">
        <v>16</v>
      </c>
      <c r="C44" s="8" t="s">
        <v>122</v>
      </c>
      <c r="D44" s="8" t="s">
        <v>123</v>
      </c>
      <c r="E44" s="8" t="s">
        <v>124</v>
      </c>
      <c r="F44" s="18">
        <v>7</v>
      </c>
      <c r="G44" s="18">
        <v>650</v>
      </c>
      <c r="H44" s="18">
        <v>30</v>
      </c>
      <c r="I44" s="18">
        <f t="shared" si="0"/>
        <v>620</v>
      </c>
      <c r="J44" s="8" t="s">
        <v>446</v>
      </c>
      <c r="K44" s="8" t="s">
        <v>21</v>
      </c>
      <c r="L44" s="8" t="s">
        <v>115</v>
      </c>
      <c r="M44" s="8" t="s">
        <v>102</v>
      </c>
      <c r="N44" s="8" t="s">
        <v>448</v>
      </c>
      <c r="O44" s="8" t="s">
        <v>448</v>
      </c>
      <c r="P44" s="8" t="s">
        <v>449</v>
      </c>
      <c r="Q44" s="18">
        <v>1</v>
      </c>
    </row>
    <row r="46" spans="1:17" x14ac:dyDescent="0.25">
      <c r="D46" s="7">
        <f>COUNTA(D3:D44)</f>
        <v>38</v>
      </c>
      <c r="G46" s="7">
        <f t="shared" ref="G46:Q46" si="1">SUBTOTAL(9,G3:G44)</f>
        <v>22895</v>
      </c>
      <c r="H46" s="7">
        <f t="shared" si="1"/>
        <v>1180</v>
      </c>
      <c r="I46" s="7">
        <f t="shared" si="1"/>
        <v>21715</v>
      </c>
      <c r="J46" s="7">
        <f t="shared" si="1"/>
        <v>0</v>
      </c>
      <c r="K46" s="7">
        <f t="shared" si="1"/>
        <v>0</v>
      </c>
      <c r="L46" s="7">
        <f t="shared" si="1"/>
        <v>0</v>
      </c>
      <c r="M46" s="7">
        <f t="shared" si="1"/>
        <v>0</v>
      </c>
      <c r="N46" s="7">
        <f t="shared" si="1"/>
        <v>0</v>
      </c>
      <c r="O46" s="7">
        <f t="shared" si="1"/>
        <v>0</v>
      </c>
      <c r="P46" s="7">
        <f t="shared" si="1"/>
        <v>0</v>
      </c>
      <c r="Q46" s="7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7" t="s">
        <v>16</v>
      </c>
      <c r="C48" s="6" t="s">
        <v>89</v>
      </c>
      <c r="D48" s="6"/>
      <c r="E48" s="10" t="s">
        <v>90</v>
      </c>
      <c r="H48">
        <f>-5*25</f>
        <v>-125</v>
      </c>
      <c r="K48" s="13" t="s">
        <v>333</v>
      </c>
      <c r="L48" s="13" t="s">
        <v>91</v>
      </c>
      <c r="M48" s="13" t="s">
        <v>90</v>
      </c>
      <c r="O48" s="10" t="s">
        <v>92</v>
      </c>
    </row>
    <row r="49" spans="1:16" x14ac:dyDescent="0.25">
      <c r="A49" t="s">
        <v>328</v>
      </c>
      <c r="B49" s="9" t="s">
        <v>93</v>
      </c>
      <c r="C49" s="5">
        <f>SUMIFS(I$3:I$44,B$3:B$44,A$48,L$3:L$44,A$49)</f>
        <v>20745</v>
      </c>
      <c r="D49" s="5"/>
      <c r="E49" s="9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8" t="s">
        <v>97</v>
      </c>
      <c r="C50" s="4">
        <v>0</v>
      </c>
      <c r="D50" s="4"/>
      <c r="K50" t="s">
        <v>98</v>
      </c>
      <c r="L50">
        <f>SUM(H47:H49)</f>
        <v>-321</v>
      </c>
      <c r="M50">
        <f>SUMIFS(Q$3:Q$44,J$3:J$44,K$48)</f>
        <v>15</v>
      </c>
      <c r="O50" t="s">
        <v>21</v>
      </c>
      <c r="P50">
        <f>L62</f>
        <v>6635</v>
      </c>
    </row>
    <row r="51" spans="1:16" x14ac:dyDescent="0.25">
      <c r="B51" s="8" t="s">
        <v>99</v>
      </c>
      <c r="C51" s="4">
        <f>-SUMIFS(I$3:I$44,B$3:B$44,A$48,P$3:P$44,"xx",N$3:N$44,"x")</f>
        <v>-970</v>
      </c>
      <c r="D51" s="4"/>
      <c r="E51" s="8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10" t="s">
        <v>101</v>
      </c>
      <c r="C52" s="6">
        <f>SUBTOTAL(9,C49:C51)</f>
        <v>19775</v>
      </c>
      <c r="D52" s="6"/>
      <c r="E52">
        <f>E49</f>
        <v>40</v>
      </c>
      <c r="K52" s="8" t="s">
        <v>102</v>
      </c>
      <c r="L52" s="8">
        <v>-637</v>
      </c>
      <c r="M52" s="19" t="s">
        <v>451</v>
      </c>
      <c r="O52" t="s">
        <v>20</v>
      </c>
      <c r="P52">
        <f>L78</f>
        <v>670</v>
      </c>
    </row>
    <row r="53" spans="1:16" x14ac:dyDescent="0.25">
      <c r="B53" s="8" t="s">
        <v>104</v>
      </c>
      <c r="C53" s="3"/>
      <c r="D53" s="3"/>
      <c r="K53" s="8" t="s">
        <v>105</v>
      </c>
      <c r="O53" t="s">
        <v>103</v>
      </c>
      <c r="P53">
        <f>-C56</f>
        <v>-19775</v>
      </c>
    </row>
    <row r="54" spans="1:16" x14ac:dyDescent="0.25">
      <c r="B54" s="14" t="s">
        <v>107</v>
      </c>
      <c r="C54" s="3"/>
      <c r="D54" s="3"/>
      <c r="L54" s="15">
        <f>SUBTOTAL(9,L49:L53)</f>
        <v>8722</v>
      </c>
      <c r="M54" s="15">
        <f>M49</f>
        <v>15</v>
      </c>
      <c r="O54" s="10" t="s">
        <v>106</v>
      </c>
      <c r="P54" s="10">
        <f>SUBTOTAL(9,P49:P53)</f>
        <v>162</v>
      </c>
    </row>
    <row r="56" spans="1:16" x14ac:dyDescent="0.25">
      <c r="B56" s="7" t="s">
        <v>108</v>
      </c>
      <c r="C56" s="2">
        <f>C52+C53+C54</f>
        <v>19775</v>
      </c>
      <c r="D56" s="2"/>
      <c r="E56" s="7" t="s">
        <v>109</v>
      </c>
      <c r="K56" s="13" t="s">
        <v>21</v>
      </c>
      <c r="L56" s="13" t="s">
        <v>91</v>
      </c>
      <c r="M56" s="13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8" t="s">
        <v>102</v>
      </c>
    </row>
    <row r="61" spans="1:16" x14ac:dyDescent="0.25">
      <c r="K61" s="8" t="s">
        <v>105</v>
      </c>
    </row>
    <row r="62" spans="1:16" x14ac:dyDescent="0.25">
      <c r="L62" s="15">
        <f>SUBTOTAL(9,L57:L61)</f>
        <v>6635</v>
      </c>
      <c r="M62" s="15">
        <f>M57</f>
        <v>14</v>
      </c>
    </row>
    <row r="64" spans="1:16" x14ac:dyDescent="0.25">
      <c r="K64" s="13" t="s">
        <v>165</v>
      </c>
      <c r="L64" s="13" t="s">
        <v>91</v>
      </c>
      <c r="M64" s="13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8" t="s">
        <v>102</v>
      </c>
      <c r="L68" s="8">
        <v>-355</v>
      </c>
      <c r="M68" s="19" t="s">
        <v>451</v>
      </c>
    </row>
    <row r="69" spans="11:13" x14ac:dyDescent="0.25">
      <c r="K69" s="8" t="s">
        <v>105</v>
      </c>
    </row>
    <row r="70" spans="11:13" x14ac:dyDescent="0.25">
      <c r="L70" s="15">
        <f>SUBTOTAL(9,L65:L69)</f>
        <v>3910</v>
      </c>
      <c r="M70" s="15">
        <f>M65</f>
        <v>9</v>
      </c>
    </row>
    <row r="72" spans="11:13" x14ac:dyDescent="0.25">
      <c r="K72" s="13" t="s">
        <v>20</v>
      </c>
      <c r="L72" s="13" t="s">
        <v>91</v>
      </c>
      <c r="M72" s="13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8" t="s">
        <v>102</v>
      </c>
    </row>
    <row r="77" spans="11:13" x14ac:dyDescent="0.25">
      <c r="K77" s="8" t="s">
        <v>105</v>
      </c>
    </row>
    <row r="78" spans="11:13" x14ac:dyDescent="0.25">
      <c r="L78" s="15">
        <f>SUBTOTAL(9,L73:L77)</f>
        <v>670</v>
      </c>
      <c r="M78" s="15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workbookViewId="0">
      <selection activeCell="E17" sqref="E17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88</v>
      </c>
      <c r="G3" s="12">
        <v>0</v>
      </c>
      <c r="H3" s="12">
        <v>25</v>
      </c>
      <c r="I3" s="12">
        <f>G3-H3</f>
        <v>-25</v>
      </c>
      <c r="J3" t="s">
        <v>21</v>
      </c>
      <c r="K3" t="s">
        <v>21</v>
      </c>
      <c r="L3" t="s">
        <v>455</v>
      </c>
      <c r="M3" t="s">
        <v>398</v>
      </c>
      <c r="Q3" s="12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12">
        <v>7</v>
      </c>
      <c r="G4" s="12">
        <v>470</v>
      </c>
      <c r="H4" s="12">
        <v>30</v>
      </c>
      <c r="I4" s="12">
        <f>G4-H4</f>
        <v>440</v>
      </c>
      <c r="J4" t="s">
        <v>459</v>
      </c>
      <c r="K4" t="s">
        <v>21</v>
      </c>
      <c r="L4" t="s">
        <v>455</v>
      </c>
      <c r="Q4" s="12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12">
        <v>1710</v>
      </c>
      <c r="H5" s="12">
        <v>30</v>
      </c>
      <c r="I5" s="12">
        <f>G5-H5</f>
        <v>1680</v>
      </c>
      <c r="J5" t="s">
        <v>21</v>
      </c>
      <c r="K5" t="s">
        <v>21</v>
      </c>
      <c r="L5" t="s">
        <v>455</v>
      </c>
      <c r="Q5" s="12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26</v>
      </c>
      <c r="G6" s="12">
        <v>820</v>
      </c>
      <c r="H6" s="12">
        <v>30</v>
      </c>
      <c r="I6" s="12">
        <f>G6-H6</f>
        <v>790</v>
      </c>
      <c r="J6" t="s">
        <v>459</v>
      </c>
      <c r="K6" t="s">
        <v>21</v>
      </c>
      <c r="L6" t="s">
        <v>455</v>
      </c>
      <c r="Q6" s="12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12">
        <v>8</v>
      </c>
      <c r="G7" s="12">
        <v>0</v>
      </c>
      <c r="H7" s="12">
        <v>25</v>
      </c>
      <c r="I7" s="12">
        <f>-H7</f>
        <v>-25</v>
      </c>
      <c r="J7" t="s">
        <v>459</v>
      </c>
      <c r="K7" t="s">
        <v>21</v>
      </c>
      <c r="L7" t="s">
        <v>455</v>
      </c>
      <c r="Q7" s="12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12">
        <v>6</v>
      </c>
      <c r="G8" s="12">
        <v>1515</v>
      </c>
      <c r="H8" s="12">
        <v>25</v>
      </c>
      <c r="I8" s="12">
        <f t="shared" ref="I8:I16" si="0">G8-H8</f>
        <v>1490</v>
      </c>
      <c r="J8" t="s">
        <v>459</v>
      </c>
      <c r="K8" t="s">
        <v>21</v>
      </c>
      <c r="L8" t="s">
        <v>455</v>
      </c>
      <c r="Q8" s="12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26</v>
      </c>
      <c r="G9" s="12">
        <v>890</v>
      </c>
      <c r="H9" s="12">
        <v>30</v>
      </c>
      <c r="I9" s="12">
        <f t="shared" si="0"/>
        <v>860</v>
      </c>
      <c r="J9" t="s">
        <v>459</v>
      </c>
      <c r="K9" t="s">
        <v>21</v>
      </c>
      <c r="L9" t="s">
        <v>455</v>
      </c>
      <c r="Q9" s="12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26</v>
      </c>
      <c r="G10" s="12">
        <v>470</v>
      </c>
      <c r="H10" s="12">
        <v>30</v>
      </c>
      <c r="I10" s="12">
        <f t="shared" si="0"/>
        <v>440</v>
      </c>
      <c r="J10" t="s">
        <v>459</v>
      </c>
      <c r="K10" t="s">
        <v>21</v>
      </c>
      <c r="L10" t="s">
        <v>455</v>
      </c>
      <c r="Q10" s="12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12">
        <v>10</v>
      </c>
      <c r="G11" s="12">
        <v>1505</v>
      </c>
      <c r="H11" s="12">
        <v>25</v>
      </c>
      <c r="I11" s="12">
        <f t="shared" si="0"/>
        <v>1480</v>
      </c>
      <c r="J11" t="s">
        <v>165</v>
      </c>
      <c r="K11" t="s">
        <v>21</v>
      </c>
      <c r="L11" t="s">
        <v>455</v>
      </c>
      <c r="Q11" s="12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12">
        <v>4</v>
      </c>
      <c r="G12" s="12">
        <v>815</v>
      </c>
      <c r="H12" s="12">
        <v>25</v>
      </c>
      <c r="I12" s="12">
        <f t="shared" si="0"/>
        <v>790</v>
      </c>
      <c r="J12" t="s">
        <v>165</v>
      </c>
      <c r="K12" t="s">
        <v>21</v>
      </c>
      <c r="L12" t="s">
        <v>455</v>
      </c>
      <c r="Q12" s="12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12">
        <v>2</v>
      </c>
      <c r="G13" s="12">
        <v>1510</v>
      </c>
      <c r="H13" s="12">
        <v>30</v>
      </c>
      <c r="I13" s="12">
        <f t="shared" si="0"/>
        <v>1480</v>
      </c>
      <c r="J13" t="s">
        <v>21</v>
      </c>
      <c r="K13" t="s">
        <v>21</v>
      </c>
      <c r="L13" t="s">
        <v>455</v>
      </c>
      <c r="Q13" s="12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26</v>
      </c>
      <c r="G14" s="12">
        <v>920</v>
      </c>
      <c r="H14" s="12">
        <v>30</v>
      </c>
      <c r="I14" s="12">
        <f t="shared" si="0"/>
        <v>890</v>
      </c>
      <c r="J14" t="s">
        <v>459</v>
      </c>
      <c r="K14" t="s">
        <v>21</v>
      </c>
      <c r="L14" t="s">
        <v>455</v>
      </c>
      <c r="Q14" s="12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68</v>
      </c>
      <c r="G15" s="12">
        <v>680</v>
      </c>
      <c r="H15" s="12">
        <v>20</v>
      </c>
      <c r="I15" s="12">
        <f t="shared" si="0"/>
        <v>660</v>
      </c>
      <c r="J15" t="s">
        <v>21</v>
      </c>
      <c r="K15" t="s">
        <v>21</v>
      </c>
      <c r="L15" t="s">
        <v>455</v>
      </c>
      <c r="Q15" s="12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12">
        <v>1020</v>
      </c>
      <c r="H16" s="12">
        <v>30</v>
      </c>
      <c r="I16" s="12">
        <f t="shared" si="0"/>
        <v>990</v>
      </c>
      <c r="J16" t="s">
        <v>21</v>
      </c>
      <c r="K16" t="s">
        <v>21</v>
      </c>
      <c r="L16" t="s">
        <v>455</v>
      </c>
      <c r="Q16" s="12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12">
        <v>0</v>
      </c>
      <c r="H17" s="12">
        <v>30</v>
      </c>
      <c r="I17" s="12">
        <f>-H17</f>
        <v>-30</v>
      </c>
      <c r="J17" t="s">
        <v>21</v>
      </c>
      <c r="K17" t="s">
        <v>21</v>
      </c>
      <c r="L17" t="s">
        <v>455</v>
      </c>
      <c r="Q17" s="12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12">
        <v>8</v>
      </c>
      <c r="G18" s="12">
        <v>820</v>
      </c>
      <c r="H18" s="12">
        <v>30</v>
      </c>
      <c r="I18" s="12">
        <f t="shared" ref="I18:I24" si="1">G18-H18</f>
        <v>790</v>
      </c>
      <c r="J18" t="s">
        <v>165</v>
      </c>
      <c r="K18" t="s">
        <v>21</v>
      </c>
      <c r="L18" t="s">
        <v>455</v>
      </c>
      <c r="Q18" s="12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88</v>
      </c>
      <c r="G19" s="12">
        <v>845</v>
      </c>
      <c r="H19" s="12">
        <v>25</v>
      </c>
      <c r="I19" s="12">
        <f t="shared" si="1"/>
        <v>820</v>
      </c>
      <c r="J19" t="s">
        <v>165</v>
      </c>
      <c r="K19" t="s">
        <v>21</v>
      </c>
      <c r="L19" t="s">
        <v>455</v>
      </c>
      <c r="Q19" s="12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12">
        <v>6</v>
      </c>
      <c r="G20" s="12">
        <v>695</v>
      </c>
      <c r="H20" s="12">
        <v>25</v>
      </c>
      <c r="I20" s="12">
        <f t="shared" si="1"/>
        <v>670</v>
      </c>
      <c r="J20" t="s">
        <v>459</v>
      </c>
      <c r="K20" t="s">
        <v>21</v>
      </c>
      <c r="L20" t="s">
        <v>455</v>
      </c>
      <c r="Q20" s="12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12">
        <v>7</v>
      </c>
      <c r="G21" s="12">
        <v>700</v>
      </c>
      <c r="H21" s="12">
        <v>30</v>
      </c>
      <c r="I21" s="12">
        <f t="shared" si="1"/>
        <v>670</v>
      </c>
      <c r="J21" t="s">
        <v>459</v>
      </c>
      <c r="K21" t="s">
        <v>21</v>
      </c>
      <c r="L21" t="s">
        <v>455</v>
      </c>
      <c r="Q21" s="12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12">
        <v>4</v>
      </c>
      <c r="G22" s="12">
        <v>735</v>
      </c>
      <c r="H22" s="12">
        <v>25</v>
      </c>
      <c r="I22" s="12">
        <f t="shared" si="1"/>
        <v>710</v>
      </c>
      <c r="J22" t="s">
        <v>165</v>
      </c>
      <c r="K22" t="s">
        <v>21</v>
      </c>
      <c r="L22" t="s">
        <v>455</v>
      </c>
      <c r="Q22" s="12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12">
        <v>4</v>
      </c>
      <c r="G23" s="12">
        <v>75</v>
      </c>
      <c r="H23" s="12">
        <v>25</v>
      </c>
      <c r="I23" s="12">
        <f t="shared" si="1"/>
        <v>50</v>
      </c>
      <c r="J23" t="s">
        <v>165</v>
      </c>
      <c r="K23" t="s">
        <v>21</v>
      </c>
      <c r="L23" t="s">
        <v>455</v>
      </c>
      <c r="M23" t="s">
        <v>49</v>
      </c>
      <c r="Q23" s="12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12">
        <v>4</v>
      </c>
      <c r="G24" s="12">
        <v>715</v>
      </c>
      <c r="H24" s="12">
        <v>25</v>
      </c>
      <c r="I24" s="12">
        <f t="shared" si="1"/>
        <v>690</v>
      </c>
      <c r="J24" t="s">
        <v>165</v>
      </c>
      <c r="K24" t="s">
        <v>21</v>
      </c>
      <c r="L24" t="s">
        <v>455</v>
      </c>
      <c r="Q24" s="12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12">
        <v>7</v>
      </c>
      <c r="G25" s="12">
        <v>0</v>
      </c>
      <c r="H25" s="12">
        <v>30</v>
      </c>
      <c r="I25" s="12">
        <f>-H25</f>
        <v>-30</v>
      </c>
      <c r="J25" t="s">
        <v>459</v>
      </c>
      <c r="K25" t="s">
        <v>21</v>
      </c>
      <c r="L25" t="s">
        <v>455</v>
      </c>
      <c r="Q25" s="12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12">
        <v>5</v>
      </c>
      <c r="G26" s="12">
        <v>685</v>
      </c>
      <c r="H26" s="12">
        <v>25</v>
      </c>
      <c r="I26" s="12">
        <f>G26-H26</f>
        <v>660</v>
      </c>
      <c r="J26" t="s">
        <v>165</v>
      </c>
      <c r="K26" t="s">
        <v>21</v>
      </c>
      <c r="L26" t="s">
        <v>455</v>
      </c>
      <c r="Q26" s="12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26</v>
      </c>
      <c r="G27" s="12">
        <v>1020</v>
      </c>
      <c r="H27" s="12">
        <v>30</v>
      </c>
      <c r="I27" s="12">
        <f>G27-H27</f>
        <v>990</v>
      </c>
      <c r="J27" t="s">
        <v>459</v>
      </c>
      <c r="K27" t="s">
        <v>21</v>
      </c>
      <c r="L27" t="s">
        <v>455</v>
      </c>
      <c r="Q27" s="12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12">
        <v>5</v>
      </c>
      <c r="G28" s="12">
        <v>1185</v>
      </c>
      <c r="H28" s="12">
        <v>25</v>
      </c>
      <c r="I28" s="12">
        <f>G28-H28</f>
        <v>1160</v>
      </c>
      <c r="J28" t="s">
        <v>165</v>
      </c>
      <c r="K28" t="s">
        <v>21</v>
      </c>
      <c r="L28" t="s">
        <v>455</v>
      </c>
      <c r="Q28" s="12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12">
        <v>1</v>
      </c>
      <c r="G29" s="12">
        <v>745</v>
      </c>
      <c r="H29" s="12">
        <v>25</v>
      </c>
      <c r="I29" s="12">
        <f>G29-H29</f>
        <v>720</v>
      </c>
      <c r="J29" t="s">
        <v>165</v>
      </c>
      <c r="K29" t="s">
        <v>21</v>
      </c>
      <c r="L29" t="s">
        <v>455</v>
      </c>
      <c r="Q29" s="12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12">
        <v>10</v>
      </c>
      <c r="G30" s="12">
        <v>1255</v>
      </c>
      <c r="H30" s="12">
        <v>25</v>
      </c>
      <c r="I30" s="12">
        <f>G30-H30</f>
        <v>1230</v>
      </c>
      <c r="J30" t="s">
        <v>165</v>
      </c>
      <c r="K30" t="s">
        <v>21</v>
      </c>
      <c r="L30" t="s">
        <v>455</v>
      </c>
      <c r="Q30" s="12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88</v>
      </c>
      <c r="G31" s="12">
        <v>0</v>
      </c>
      <c r="H31" s="12">
        <v>25</v>
      </c>
      <c r="I31" s="12">
        <f>-H31</f>
        <v>-25</v>
      </c>
      <c r="J31" t="s">
        <v>21</v>
      </c>
      <c r="K31" t="s">
        <v>21</v>
      </c>
      <c r="L31" t="s">
        <v>455</v>
      </c>
      <c r="Q31" s="12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85</v>
      </c>
      <c r="G32" s="12">
        <v>370</v>
      </c>
      <c r="H32" s="12">
        <v>20</v>
      </c>
      <c r="I32" s="12">
        <f t="shared" ref="I32:I38" si="2">G32-H32</f>
        <v>350</v>
      </c>
      <c r="J32" t="s">
        <v>165</v>
      </c>
      <c r="K32" t="s">
        <v>21</v>
      </c>
      <c r="L32" t="s">
        <v>455</v>
      </c>
      <c r="Q32" s="12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12">
        <v>1</v>
      </c>
      <c r="G33" s="12">
        <v>915</v>
      </c>
      <c r="H33" s="12">
        <v>25</v>
      </c>
      <c r="I33" s="12">
        <f t="shared" si="2"/>
        <v>890</v>
      </c>
      <c r="J33" t="s">
        <v>165</v>
      </c>
      <c r="K33" t="s">
        <v>21</v>
      </c>
      <c r="L33" t="s">
        <v>455</v>
      </c>
      <c r="Q33" s="12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12">
        <v>1</v>
      </c>
      <c r="G34" s="12">
        <v>1635</v>
      </c>
      <c r="H34" s="12">
        <v>25</v>
      </c>
      <c r="I34" s="12">
        <f t="shared" si="2"/>
        <v>1610</v>
      </c>
      <c r="J34" t="s">
        <v>165</v>
      </c>
      <c r="K34" t="s">
        <v>21</v>
      </c>
      <c r="L34" t="s">
        <v>455</v>
      </c>
      <c r="Q34" s="12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12">
        <v>475</v>
      </c>
      <c r="H35" s="12">
        <v>35</v>
      </c>
      <c r="I35" s="12">
        <f t="shared" si="2"/>
        <v>440</v>
      </c>
      <c r="J35" t="s">
        <v>459</v>
      </c>
      <c r="K35" t="s">
        <v>21</v>
      </c>
      <c r="L35" t="s">
        <v>455</v>
      </c>
      <c r="Q35" s="12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12">
        <v>2</v>
      </c>
      <c r="G36" s="12">
        <v>820</v>
      </c>
      <c r="H36" s="12">
        <v>30</v>
      </c>
      <c r="I36" s="12">
        <f t="shared" si="2"/>
        <v>790</v>
      </c>
      <c r="J36" t="s">
        <v>21</v>
      </c>
      <c r="K36" t="s">
        <v>21</v>
      </c>
      <c r="L36" t="s">
        <v>455</v>
      </c>
      <c r="Q36" s="12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12">
        <v>10</v>
      </c>
      <c r="G37" s="12">
        <v>465</v>
      </c>
      <c r="H37" s="12">
        <v>25</v>
      </c>
      <c r="I37" s="12">
        <f t="shared" si="2"/>
        <v>440</v>
      </c>
      <c r="J37" t="s">
        <v>165</v>
      </c>
      <c r="K37" t="s">
        <v>21</v>
      </c>
      <c r="L37" t="s">
        <v>455</v>
      </c>
      <c r="Q37" s="12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12">
        <v>6</v>
      </c>
      <c r="G38" s="12">
        <v>2220</v>
      </c>
      <c r="H38" s="12">
        <v>30</v>
      </c>
      <c r="I38" s="12">
        <f t="shared" si="2"/>
        <v>2190</v>
      </c>
      <c r="J38" t="s">
        <v>459</v>
      </c>
      <c r="K38" t="s">
        <v>21</v>
      </c>
      <c r="L38" t="s">
        <v>455</v>
      </c>
      <c r="M38" t="s">
        <v>398</v>
      </c>
      <c r="Q38" s="12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88</v>
      </c>
      <c r="G39" s="12">
        <v>0</v>
      </c>
      <c r="H39" s="12">
        <v>25</v>
      </c>
      <c r="I39" s="12">
        <f>-H39</f>
        <v>-25</v>
      </c>
      <c r="J39" t="s">
        <v>21</v>
      </c>
      <c r="K39" t="s">
        <v>21</v>
      </c>
      <c r="L39" t="s">
        <v>455</v>
      </c>
      <c r="Q39" s="12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12">
        <v>4</v>
      </c>
      <c r="G40" s="12">
        <v>0</v>
      </c>
      <c r="H40" s="12">
        <v>25</v>
      </c>
      <c r="I40" s="12">
        <f>-H40</f>
        <v>-25</v>
      </c>
      <c r="J40" t="s">
        <v>165</v>
      </c>
      <c r="K40" t="s">
        <v>21</v>
      </c>
      <c r="L40" t="s">
        <v>455</v>
      </c>
      <c r="Q40" s="12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26</v>
      </c>
      <c r="G41" s="12">
        <v>720</v>
      </c>
      <c r="H41" s="12">
        <v>30</v>
      </c>
      <c r="I41" s="12">
        <f t="shared" ref="I41:I49" si="3">G41-H41</f>
        <v>690</v>
      </c>
      <c r="J41" t="s">
        <v>459</v>
      </c>
      <c r="K41" t="s">
        <v>21</v>
      </c>
      <c r="L41" t="s">
        <v>455</v>
      </c>
      <c r="Q41" s="12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26</v>
      </c>
      <c r="G42" s="12">
        <v>750</v>
      </c>
      <c r="H42" s="12">
        <v>30</v>
      </c>
      <c r="I42" s="12">
        <f t="shared" si="3"/>
        <v>720</v>
      </c>
      <c r="J42" t="s">
        <v>459</v>
      </c>
      <c r="K42" t="s">
        <v>21</v>
      </c>
      <c r="L42" t="s">
        <v>455</v>
      </c>
      <c r="Q42" s="12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12">
        <v>8</v>
      </c>
      <c r="G43" s="12">
        <v>390</v>
      </c>
      <c r="H43" s="12">
        <v>30</v>
      </c>
      <c r="I43" s="12">
        <f t="shared" si="3"/>
        <v>360</v>
      </c>
      <c r="J43" t="s">
        <v>459</v>
      </c>
      <c r="K43" t="s">
        <v>21</v>
      </c>
      <c r="L43" t="s">
        <v>455</v>
      </c>
      <c r="Q43" s="12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12">
        <v>2</v>
      </c>
      <c r="G44" s="12">
        <v>1020</v>
      </c>
      <c r="H44" s="12">
        <v>30</v>
      </c>
      <c r="I44" s="12">
        <f t="shared" si="3"/>
        <v>990</v>
      </c>
      <c r="J44" t="s">
        <v>21</v>
      </c>
      <c r="K44" t="s">
        <v>21</v>
      </c>
      <c r="L44" t="s">
        <v>455</v>
      </c>
      <c r="Q44" s="12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12">
        <v>2</v>
      </c>
      <c r="G45" s="12">
        <v>380</v>
      </c>
      <c r="H45" s="12">
        <v>30</v>
      </c>
      <c r="I45" s="12">
        <f t="shared" si="3"/>
        <v>350</v>
      </c>
      <c r="J45" t="s">
        <v>21</v>
      </c>
      <c r="K45" t="s">
        <v>21</v>
      </c>
      <c r="L45" t="s">
        <v>455</v>
      </c>
      <c r="Q45" s="12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12">
        <v>12</v>
      </c>
      <c r="G46" s="12">
        <v>1020</v>
      </c>
      <c r="H46" s="12">
        <v>30</v>
      </c>
      <c r="I46" s="12">
        <f t="shared" si="3"/>
        <v>990</v>
      </c>
      <c r="J46" t="s">
        <v>21</v>
      </c>
      <c r="K46" t="s">
        <v>21</v>
      </c>
      <c r="L46" t="s">
        <v>455</v>
      </c>
      <c r="Q46" s="12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26</v>
      </c>
      <c r="G47" s="12">
        <v>820</v>
      </c>
      <c r="H47" s="12">
        <v>30</v>
      </c>
      <c r="I47" s="12">
        <f t="shared" si="3"/>
        <v>790</v>
      </c>
      <c r="J47" t="s">
        <v>459</v>
      </c>
      <c r="K47" t="s">
        <v>21</v>
      </c>
      <c r="L47" t="s">
        <v>455</v>
      </c>
      <c r="Q47" s="12">
        <v>1</v>
      </c>
    </row>
    <row r="48" spans="1:17" x14ac:dyDescent="0.25">
      <c r="A48" t="s">
        <v>62</v>
      </c>
      <c r="B48" t="s">
        <v>16</v>
      </c>
      <c r="C48" t="s">
        <v>582</v>
      </c>
      <c r="E48" t="s">
        <v>583</v>
      </c>
      <c r="F48" t="s">
        <v>72</v>
      </c>
      <c r="G48" s="12">
        <v>30</v>
      </c>
      <c r="H48" s="12">
        <v>30</v>
      </c>
      <c r="I48" s="12">
        <f t="shared" si="3"/>
        <v>0</v>
      </c>
      <c r="J48" t="s">
        <v>21</v>
      </c>
      <c r="K48" t="s">
        <v>21</v>
      </c>
      <c r="L48" t="s">
        <v>455</v>
      </c>
      <c r="Q48" s="12">
        <v>1</v>
      </c>
    </row>
    <row r="49" spans="1:17" x14ac:dyDescent="0.25">
      <c r="A49" t="s">
        <v>62</v>
      </c>
      <c r="B49" t="s">
        <v>16</v>
      </c>
      <c r="C49" t="s">
        <v>584</v>
      </c>
      <c r="E49" t="s">
        <v>585</v>
      </c>
      <c r="F49" s="12">
        <v>4</v>
      </c>
      <c r="G49" s="12">
        <v>30</v>
      </c>
      <c r="H49" s="12">
        <v>30</v>
      </c>
      <c r="I49" s="12">
        <f t="shared" si="3"/>
        <v>0</v>
      </c>
      <c r="J49" t="s">
        <v>165</v>
      </c>
      <c r="K49" t="s">
        <v>21</v>
      </c>
      <c r="L49" t="s">
        <v>455</v>
      </c>
      <c r="Q49" s="12">
        <v>1</v>
      </c>
    </row>
    <row r="50" spans="1:17" x14ac:dyDescent="0.25">
      <c r="A50" t="s">
        <v>62</v>
      </c>
      <c r="B50" t="s">
        <v>16</v>
      </c>
      <c r="C50" t="s">
        <v>586</v>
      </c>
      <c r="E50" t="s">
        <v>587</v>
      </c>
      <c r="F50" s="12">
        <v>12</v>
      </c>
      <c r="G50" s="12">
        <v>0</v>
      </c>
      <c r="H50" s="12">
        <v>35</v>
      </c>
      <c r="I50" s="12">
        <f>-H50</f>
        <v>-35</v>
      </c>
      <c r="J50" t="s">
        <v>21</v>
      </c>
      <c r="K50" t="s">
        <v>21</v>
      </c>
      <c r="L50" t="s">
        <v>455</v>
      </c>
      <c r="Q50" s="12">
        <v>1</v>
      </c>
    </row>
    <row r="51" spans="1:17" x14ac:dyDescent="0.25">
      <c r="A51" t="s">
        <v>62</v>
      </c>
      <c r="B51" t="s">
        <v>16</v>
      </c>
      <c r="C51" t="s">
        <v>588</v>
      </c>
      <c r="E51" t="s">
        <v>589</v>
      </c>
      <c r="F51" t="s">
        <v>217</v>
      </c>
      <c r="G51" s="12">
        <v>30</v>
      </c>
      <c r="H51" s="12">
        <v>30</v>
      </c>
      <c r="I51" s="12">
        <f>G51-H51</f>
        <v>0</v>
      </c>
      <c r="J51" t="s">
        <v>459</v>
      </c>
      <c r="K51" t="s">
        <v>21</v>
      </c>
      <c r="L51" t="s">
        <v>455</v>
      </c>
      <c r="Q51" s="12">
        <v>1</v>
      </c>
    </row>
    <row r="52" spans="1:17" x14ac:dyDescent="0.25">
      <c r="A52" t="s">
        <v>62</v>
      </c>
      <c r="B52" t="s">
        <v>16</v>
      </c>
      <c r="C52" t="s">
        <v>265</v>
      </c>
      <c r="E52" t="s">
        <v>590</v>
      </c>
      <c r="F52" s="12">
        <v>6</v>
      </c>
      <c r="G52" s="12">
        <v>30</v>
      </c>
      <c r="H52" s="12">
        <v>30</v>
      </c>
      <c r="I52" s="12">
        <f>G52-H52</f>
        <v>0</v>
      </c>
      <c r="J52" t="s">
        <v>459</v>
      </c>
      <c r="K52" t="s">
        <v>21</v>
      </c>
      <c r="L52" t="s">
        <v>455</v>
      </c>
      <c r="Q52" s="12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12">
        <v>30</v>
      </c>
      <c r="H53" s="12">
        <v>30</v>
      </c>
      <c r="I53" s="12">
        <f>G53-H53</f>
        <v>0</v>
      </c>
      <c r="J53" t="s">
        <v>21</v>
      </c>
      <c r="K53" t="s">
        <v>21</v>
      </c>
      <c r="L53" t="s">
        <v>455</v>
      </c>
      <c r="Q53" s="12">
        <v>1</v>
      </c>
    </row>
    <row r="54" spans="1:17" x14ac:dyDescent="0.25">
      <c r="A54" t="s">
        <v>62</v>
      </c>
      <c r="B54" t="s">
        <v>16</v>
      </c>
      <c r="C54" t="s">
        <v>591</v>
      </c>
      <c r="E54" t="s">
        <v>592</v>
      </c>
      <c r="F54" t="s">
        <v>153</v>
      </c>
      <c r="G54" s="12">
        <v>1015</v>
      </c>
      <c r="H54" s="12">
        <v>35</v>
      </c>
      <c r="I54" s="12">
        <f>G54-H54</f>
        <v>980</v>
      </c>
      <c r="J54" t="s">
        <v>21</v>
      </c>
      <c r="K54" t="s">
        <v>21</v>
      </c>
      <c r="L54" t="s">
        <v>455</v>
      </c>
      <c r="Q54" s="12">
        <v>1</v>
      </c>
    </row>
    <row r="55" spans="1:17" s="8" customFormat="1" x14ac:dyDescent="0.25">
      <c r="B55" s="8" t="s">
        <v>16</v>
      </c>
      <c r="C55" s="8" t="s">
        <v>420</v>
      </c>
      <c r="D55" s="8" t="s">
        <v>421</v>
      </c>
      <c r="E55" s="8" t="s">
        <v>422</v>
      </c>
      <c r="F55" s="18">
        <v>1</v>
      </c>
      <c r="G55" s="18">
        <v>885</v>
      </c>
      <c r="H55" s="18">
        <v>25</v>
      </c>
      <c r="I55" s="18">
        <f>G55-H55</f>
        <v>860</v>
      </c>
      <c r="J55" s="8" t="s">
        <v>446</v>
      </c>
      <c r="K55" s="8" t="s">
        <v>21</v>
      </c>
      <c r="L55" s="8" t="s">
        <v>328</v>
      </c>
      <c r="M55" s="8" t="s">
        <v>102</v>
      </c>
      <c r="N55" s="8" t="s">
        <v>448</v>
      </c>
      <c r="O55" s="8" t="s">
        <v>448</v>
      </c>
      <c r="P55" s="8" t="s">
        <v>449</v>
      </c>
      <c r="Q55" s="18">
        <v>1</v>
      </c>
    </row>
    <row r="57" spans="1:17" x14ac:dyDescent="0.25">
      <c r="D57" s="7">
        <f>COUNTA(D3:D55)</f>
        <v>46</v>
      </c>
      <c r="G57" s="7">
        <f t="shared" ref="G57:Q57" si="4">SUBTOTAL(9,G3:G55)</f>
        <v>35850</v>
      </c>
      <c r="H57" s="7">
        <f t="shared" si="4"/>
        <v>1480</v>
      </c>
      <c r="I57" s="7">
        <f t="shared" si="4"/>
        <v>34370</v>
      </c>
      <c r="J57" s="7">
        <f t="shared" si="4"/>
        <v>0</v>
      </c>
      <c r="K57" s="7">
        <f t="shared" si="4"/>
        <v>0</v>
      </c>
      <c r="L57" s="7">
        <f t="shared" si="4"/>
        <v>0</v>
      </c>
      <c r="M57" s="7">
        <f t="shared" si="4"/>
        <v>0</v>
      </c>
      <c r="N57" s="7">
        <f t="shared" si="4"/>
        <v>0</v>
      </c>
      <c r="O57" s="7">
        <f t="shared" si="4"/>
        <v>0</v>
      </c>
      <c r="P57" s="7">
        <f t="shared" si="4"/>
        <v>0</v>
      </c>
      <c r="Q57" s="7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7" t="s">
        <v>16</v>
      </c>
      <c r="C59" s="6" t="s">
        <v>89</v>
      </c>
      <c r="D59" s="6"/>
      <c r="E59" s="10" t="s">
        <v>90</v>
      </c>
      <c r="H59">
        <f>-8*25</f>
        <v>-200</v>
      </c>
      <c r="K59" s="13" t="s">
        <v>21</v>
      </c>
      <c r="L59" s="13" t="s">
        <v>91</v>
      </c>
      <c r="M59" s="13" t="s">
        <v>90</v>
      </c>
      <c r="O59" s="10" t="s">
        <v>92</v>
      </c>
    </row>
    <row r="60" spans="1:17" x14ac:dyDescent="0.25">
      <c r="A60" t="s">
        <v>455</v>
      </c>
      <c r="B60" s="9" t="s">
        <v>93</v>
      </c>
      <c r="C60" s="5">
        <f>SUMIFS(I$3:I$55,B$3:B$55,A$59,L$3:L$55,A$60)</f>
        <v>33510</v>
      </c>
      <c r="D60" s="5"/>
      <c r="E60" s="9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21</v>
      </c>
      <c r="P60">
        <f>L65</f>
        <v>8748</v>
      </c>
    </row>
    <row r="61" spans="1:17" x14ac:dyDescent="0.25">
      <c r="B61" s="8" t="s">
        <v>97</v>
      </c>
      <c r="C61" s="4">
        <v>0</v>
      </c>
      <c r="D61" s="4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8" t="s">
        <v>99</v>
      </c>
      <c r="C62" s="4">
        <f>-SUMIFS(I$3:I$55,B$3:B$55,A$59,P$3:P$55,"xx",N$3:N$55,"x")</f>
        <v>-860</v>
      </c>
      <c r="D62" s="4"/>
      <c r="E62" s="8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10" t="s">
        <v>101</v>
      </c>
      <c r="C63" s="6">
        <f>SUBTOTAL(9,C60:C62)</f>
        <v>32650</v>
      </c>
      <c r="D63" s="6"/>
      <c r="E63">
        <f>E60</f>
        <v>52</v>
      </c>
      <c r="K63" s="8" t="s">
        <v>102</v>
      </c>
      <c r="O63" t="s">
        <v>103</v>
      </c>
      <c r="P63">
        <f>-C67</f>
        <v>-32650</v>
      </c>
    </row>
    <row r="64" spans="1:17" x14ac:dyDescent="0.25">
      <c r="B64" s="8" t="s">
        <v>104</v>
      </c>
      <c r="C64" s="3"/>
      <c r="D64" s="3"/>
      <c r="K64" s="8" t="s">
        <v>105</v>
      </c>
      <c r="O64" s="10" t="s">
        <v>106</v>
      </c>
      <c r="P64" s="10">
        <f>SUBTOTAL(9,P60:P63)</f>
        <v>218</v>
      </c>
    </row>
    <row r="65" spans="2:13" x14ac:dyDescent="0.25">
      <c r="B65" s="14" t="s">
        <v>107</v>
      </c>
      <c r="C65" s="3"/>
      <c r="D65" s="3"/>
      <c r="L65" s="15">
        <f>SUBTOTAL(9,L60:L64)</f>
        <v>8748</v>
      </c>
      <c r="M65" s="15">
        <f>M60</f>
        <v>16</v>
      </c>
    </row>
    <row r="67" spans="2:13" x14ac:dyDescent="0.25">
      <c r="B67" s="7" t="s">
        <v>108</v>
      </c>
      <c r="C67" s="2">
        <f>C63+C64+C65</f>
        <v>32650</v>
      </c>
      <c r="D67" s="2"/>
      <c r="E67" s="7" t="s">
        <v>109</v>
      </c>
      <c r="K67" s="13" t="s">
        <v>459</v>
      </c>
      <c r="L67" s="13" t="s">
        <v>91</v>
      </c>
      <c r="M67" s="13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8" t="s">
        <v>102</v>
      </c>
    </row>
    <row r="72" spans="2:13" x14ac:dyDescent="0.25">
      <c r="K72" s="8" t="s">
        <v>105</v>
      </c>
    </row>
    <row r="73" spans="2:13" x14ac:dyDescent="0.25">
      <c r="L73" s="15">
        <f>SUBTOTAL(9,L68:L72)</f>
        <v>12535</v>
      </c>
      <c r="M73" s="15">
        <f>M68</f>
        <v>19</v>
      </c>
    </row>
    <row r="75" spans="2:13" x14ac:dyDescent="0.25">
      <c r="K75" s="13" t="s">
        <v>165</v>
      </c>
      <c r="L75" s="13" t="s">
        <v>91</v>
      </c>
      <c r="M75" s="13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8" t="s">
        <v>102</v>
      </c>
      <c r="L79" s="8">
        <v>-865</v>
      </c>
      <c r="M79" s="19" t="s">
        <v>451</v>
      </c>
    </row>
    <row r="80" spans="2:13" x14ac:dyDescent="0.25">
      <c r="K80" s="8" t="s">
        <v>105</v>
      </c>
    </row>
    <row r="81" spans="12:13" x14ac:dyDescent="0.25">
      <c r="L81" s="15">
        <f>SUBTOTAL(9,L76:L80)</f>
        <v>11585</v>
      </c>
      <c r="M81" s="15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topLeftCell="A25" workbookViewId="0">
      <selection activeCell="P40" sqref="P40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1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12">
        <v>1035</v>
      </c>
      <c r="H3" s="12">
        <v>25</v>
      </c>
      <c r="I3" s="12">
        <f t="shared" ref="I3:I15" si="0">G3-H3</f>
        <v>1010</v>
      </c>
      <c r="J3" t="s">
        <v>597</v>
      </c>
      <c r="K3" t="s">
        <v>21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26</v>
      </c>
      <c r="G4" s="12">
        <v>820</v>
      </c>
      <c r="H4" s="12">
        <v>30</v>
      </c>
      <c r="I4" s="12">
        <f t="shared" si="0"/>
        <v>790</v>
      </c>
      <c r="J4" t="s">
        <v>597</v>
      </c>
      <c r="K4" t="s">
        <v>21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12">
        <v>7</v>
      </c>
      <c r="G5" s="12">
        <v>780</v>
      </c>
      <c r="H5" s="12">
        <v>30</v>
      </c>
      <c r="I5" s="12">
        <f t="shared" si="0"/>
        <v>750</v>
      </c>
      <c r="J5" t="s">
        <v>597</v>
      </c>
      <c r="K5" t="s">
        <v>21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26</v>
      </c>
      <c r="G6" s="12">
        <v>2500</v>
      </c>
      <c r="H6" s="12">
        <v>35</v>
      </c>
      <c r="I6" s="12">
        <f t="shared" si="0"/>
        <v>2465</v>
      </c>
      <c r="J6" t="s">
        <v>597</v>
      </c>
      <c r="K6" t="s">
        <v>21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12">
        <v>6</v>
      </c>
      <c r="G7" s="12">
        <v>845</v>
      </c>
      <c r="H7" s="12">
        <v>25</v>
      </c>
      <c r="I7" s="12">
        <f t="shared" si="0"/>
        <v>820</v>
      </c>
      <c r="J7" t="s">
        <v>597</v>
      </c>
      <c r="K7" t="s">
        <v>21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12">
        <v>8</v>
      </c>
      <c r="G8" s="12">
        <v>620</v>
      </c>
      <c r="H8" s="12">
        <v>30</v>
      </c>
      <c r="I8" s="12">
        <f t="shared" si="0"/>
        <v>590</v>
      </c>
      <c r="J8" t="s">
        <v>597</v>
      </c>
      <c r="K8" t="s">
        <v>21</v>
      </c>
      <c r="L8" t="s">
        <v>598</v>
      </c>
      <c r="Q8">
        <v>1</v>
      </c>
    </row>
    <row r="9" spans="1:17" x14ac:dyDescent="0.25">
      <c r="B9" t="s">
        <v>16</v>
      </c>
      <c r="C9" t="s">
        <v>28</v>
      </c>
      <c r="D9" t="s">
        <v>614</v>
      </c>
      <c r="E9" t="s">
        <v>30</v>
      </c>
      <c r="F9" s="12">
        <v>7</v>
      </c>
      <c r="G9" s="12">
        <v>820</v>
      </c>
      <c r="H9" s="12">
        <v>30</v>
      </c>
      <c r="I9" s="12">
        <f t="shared" si="0"/>
        <v>790</v>
      </c>
      <c r="J9" t="s">
        <v>597</v>
      </c>
      <c r="K9" t="s">
        <v>21</v>
      </c>
      <c r="L9" t="s">
        <v>598</v>
      </c>
      <c r="Q9">
        <v>1</v>
      </c>
    </row>
    <row r="10" spans="1:17" x14ac:dyDescent="0.25">
      <c r="A10" t="s">
        <v>62</v>
      </c>
      <c r="B10" t="s">
        <v>16</v>
      </c>
      <c r="C10" t="s">
        <v>615</v>
      </c>
      <c r="E10" t="s">
        <v>616</v>
      </c>
      <c r="F10" s="12">
        <v>6</v>
      </c>
      <c r="G10" s="12">
        <v>1110</v>
      </c>
      <c r="H10" s="12">
        <v>30</v>
      </c>
      <c r="I10" s="12">
        <f t="shared" si="0"/>
        <v>1080</v>
      </c>
      <c r="J10" t="s">
        <v>597</v>
      </c>
      <c r="K10" t="s">
        <v>21</v>
      </c>
      <c r="L10" t="s">
        <v>598</v>
      </c>
      <c r="Q10">
        <v>1</v>
      </c>
    </row>
    <row r="11" spans="1:17" x14ac:dyDescent="0.25">
      <c r="A11" t="s">
        <v>62</v>
      </c>
      <c r="B11" t="s">
        <v>16</v>
      </c>
      <c r="C11" t="s">
        <v>617</v>
      </c>
      <c r="E11" t="s">
        <v>618</v>
      </c>
      <c r="F11" t="s">
        <v>259</v>
      </c>
      <c r="G11" s="12">
        <v>45</v>
      </c>
      <c r="H11" s="12">
        <v>45</v>
      </c>
      <c r="I11" s="12">
        <f t="shared" si="0"/>
        <v>0</v>
      </c>
      <c r="J11" t="s">
        <v>597</v>
      </c>
      <c r="K11" t="s">
        <v>21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12">
        <v>2</v>
      </c>
      <c r="G12" s="12">
        <v>850</v>
      </c>
      <c r="H12" s="12">
        <v>30</v>
      </c>
      <c r="I12" s="12">
        <f t="shared" si="0"/>
        <v>820</v>
      </c>
      <c r="J12" t="s">
        <v>21</v>
      </c>
      <c r="K12" t="s">
        <v>21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12">
        <v>1840</v>
      </c>
      <c r="H13" s="12">
        <v>30</v>
      </c>
      <c r="I13" s="12">
        <f t="shared" si="0"/>
        <v>1810</v>
      </c>
      <c r="J13" t="s">
        <v>21</v>
      </c>
      <c r="K13" t="s">
        <v>21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68</v>
      </c>
      <c r="G14" s="12">
        <v>815</v>
      </c>
      <c r="H14" s="12">
        <v>25</v>
      </c>
      <c r="I14" s="12">
        <f t="shared" si="0"/>
        <v>790</v>
      </c>
      <c r="J14" t="s">
        <v>21</v>
      </c>
      <c r="K14" t="s">
        <v>21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72</v>
      </c>
      <c r="G15" s="12">
        <v>815</v>
      </c>
      <c r="H15" s="12">
        <v>25</v>
      </c>
      <c r="I15" s="12">
        <f t="shared" si="0"/>
        <v>790</v>
      </c>
      <c r="J15" t="s">
        <v>21</v>
      </c>
      <c r="K15" t="s">
        <v>21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12">
        <v>12</v>
      </c>
      <c r="G16" s="12">
        <v>0</v>
      </c>
      <c r="H16" s="12">
        <v>30</v>
      </c>
      <c r="I16" s="12">
        <f>-H16</f>
        <v>-30</v>
      </c>
      <c r="J16" t="s">
        <v>21</v>
      </c>
      <c r="K16" t="s">
        <v>21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12">
        <v>0</v>
      </c>
      <c r="H17" s="12">
        <v>30</v>
      </c>
      <c r="I17" s="12">
        <f>-H17</f>
        <v>-30</v>
      </c>
      <c r="J17" t="s">
        <v>21</v>
      </c>
      <c r="K17" t="s">
        <v>21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72</v>
      </c>
      <c r="G18" s="12">
        <v>695</v>
      </c>
      <c r="H18" s="12">
        <v>25</v>
      </c>
      <c r="I18" s="12">
        <f>G18-H18</f>
        <v>670</v>
      </c>
      <c r="J18" t="s">
        <v>21</v>
      </c>
      <c r="K18" t="s">
        <v>21</v>
      </c>
      <c r="L18" t="s">
        <v>598</v>
      </c>
      <c r="Q18">
        <v>1</v>
      </c>
    </row>
    <row r="19" spans="1:17" x14ac:dyDescent="0.25">
      <c r="A19" t="s">
        <v>62</v>
      </c>
      <c r="B19" t="s">
        <v>16</v>
      </c>
      <c r="C19" t="s">
        <v>640</v>
      </c>
      <c r="E19" t="s">
        <v>641</v>
      </c>
      <c r="F19" t="s">
        <v>72</v>
      </c>
      <c r="G19" s="12">
        <v>4895</v>
      </c>
      <c r="H19" s="12">
        <v>35</v>
      </c>
      <c r="I19" s="12">
        <f>G19-H19</f>
        <v>4860</v>
      </c>
      <c r="J19" t="s">
        <v>21</v>
      </c>
      <c r="K19" t="s">
        <v>21</v>
      </c>
      <c r="L19" t="s">
        <v>598</v>
      </c>
      <c r="Q19">
        <v>1</v>
      </c>
    </row>
    <row r="20" spans="1:17" x14ac:dyDescent="0.25">
      <c r="A20" t="s">
        <v>62</v>
      </c>
      <c r="B20" t="s">
        <v>16</v>
      </c>
      <c r="C20" t="s">
        <v>642</v>
      </c>
      <c r="E20" t="s">
        <v>643</v>
      </c>
      <c r="F20" s="12">
        <v>12</v>
      </c>
      <c r="G20" s="12">
        <v>0</v>
      </c>
      <c r="H20" s="12">
        <v>35</v>
      </c>
      <c r="I20" s="12">
        <f>-H20</f>
        <v>-35</v>
      </c>
      <c r="J20" t="s">
        <v>21</v>
      </c>
      <c r="K20" t="s">
        <v>21</v>
      </c>
      <c r="L20" t="s">
        <v>598</v>
      </c>
      <c r="Q20">
        <v>1</v>
      </c>
    </row>
    <row r="21" spans="1:17" x14ac:dyDescent="0.25">
      <c r="A21" t="s">
        <v>62</v>
      </c>
      <c r="B21" t="s">
        <v>16</v>
      </c>
      <c r="C21" t="s">
        <v>644</v>
      </c>
      <c r="E21" t="s">
        <v>416</v>
      </c>
      <c r="F21" s="12">
        <v>12</v>
      </c>
      <c r="G21" s="12">
        <v>0</v>
      </c>
      <c r="H21" s="12">
        <v>35</v>
      </c>
      <c r="I21" s="12">
        <f>-H21</f>
        <v>-35</v>
      </c>
      <c r="J21" t="s">
        <v>21</v>
      </c>
      <c r="K21" t="s">
        <v>21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12">
        <v>1</v>
      </c>
      <c r="G22" s="12">
        <v>745</v>
      </c>
      <c r="H22" s="12">
        <v>25</v>
      </c>
      <c r="I22" s="12">
        <f t="shared" ref="I22:I29" si="1">G22-H22</f>
        <v>720</v>
      </c>
      <c r="J22" t="s">
        <v>165</v>
      </c>
      <c r="K22" t="s">
        <v>21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12">
        <v>3</v>
      </c>
      <c r="G23" s="12">
        <v>1025</v>
      </c>
      <c r="H23" s="12">
        <v>25</v>
      </c>
      <c r="I23" s="12">
        <f t="shared" si="1"/>
        <v>1000</v>
      </c>
      <c r="J23" t="s">
        <v>165</v>
      </c>
      <c r="K23" t="s">
        <v>21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88</v>
      </c>
      <c r="G24" s="12">
        <v>115</v>
      </c>
      <c r="H24" s="12">
        <v>25</v>
      </c>
      <c r="I24" s="12">
        <f t="shared" si="1"/>
        <v>90</v>
      </c>
      <c r="J24" t="s">
        <v>165</v>
      </c>
      <c r="K24" t="s">
        <v>21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88</v>
      </c>
      <c r="G25" s="12">
        <v>1325</v>
      </c>
      <c r="H25" s="12">
        <v>25</v>
      </c>
      <c r="I25" s="12">
        <f t="shared" si="1"/>
        <v>1300</v>
      </c>
      <c r="J25" t="s">
        <v>165</v>
      </c>
      <c r="K25" t="s">
        <v>21</v>
      </c>
      <c r="L25" t="s">
        <v>598</v>
      </c>
      <c r="Q25">
        <v>1</v>
      </c>
    </row>
    <row r="26" spans="1:17" x14ac:dyDescent="0.25">
      <c r="A26" t="s">
        <v>62</v>
      </c>
      <c r="B26" t="s">
        <v>16</v>
      </c>
      <c r="C26" t="s">
        <v>657</v>
      </c>
      <c r="E26" t="s">
        <v>658</v>
      </c>
      <c r="F26" s="12">
        <v>5</v>
      </c>
      <c r="G26" s="12">
        <v>30</v>
      </c>
      <c r="H26" s="12">
        <v>30</v>
      </c>
      <c r="I26" s="12">
        <f t="shared" si="1"/>
        <v>0</v>
      </c>
      <c r="J26" t="s">
        <v>165</v>
      </c>
      <c r="K26" t="s">
        <v>21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88</v>
      </c>
      <c r="G27" s="12">
        <v>765</v>
      </c>
      <c r="H27" s="12">
        <v>25</v>
      </c>
      <c r="I27" s="12">
        <f t="shared" si="1"/>
        <v>740</v>
      </c>
      <c r="J27" t="s">
        <v>165</v>
      </c>
      <c r="K27" t="s">
        <v>21</v>
      </c>
      <c r="L27" s="20" t="s">
        <v>598</v>
      </c>
      <c r="Q27">
        <v>1</v>
      </c>
    </row>
    <row r="28" spans="1:17" s="8" customFormat="1" x14ac:dyDescent="0.25">
      <c r="B28" s="8" t="s">
        <v>16</v>
      </c>
      <c r="C28" s="8" t="s">
        <v>233</v>
      </c>
      <c r="D28" s="8" t="s">
        <v>234</v>
      </c>
      <c r="E28" s="8" t="s">
        <v>235</v>
      </c>
      <c r="F28" s="18" t="s">
        <v>128</v>
      </c>
      <c r="G28" s="18">
        <v>695</v>
      </c>
      <c r="H28" s="18">
        <v>0</v>
      </c>
      <c r="I28" s="18">
        <f t="shared" si="1"/>
        <v>695</v>
      </c>
      <c r="J28" s="8" t="s">
        <v>446</v>
      </c>
      <c r="K28" s="8" t="s">
        <v>21</v>
      </c>
      <c r="L28" s="21" t="s">
        <v>182</v>
      </c>
      <c r="N28" s="8" t="s">
        <v>448</v>
      </c>
      <c r="O28" s="8" t="s">
        <v>448</v>
      </c>
      <c r="P28" s="8" t="s">
        <v>449</v>
      </c>
      <c r="Q28" s="18">
        <v>1</v>
      </c>
    </row>
    <row r="29" spans="1:17" s="8" customFormat="1" x14ac:dyDescent="0.25">
      <c r="B29" s="8" t="s">
        <v>16</v>
      </c>
      <c r="C29" s="8" t="s">
        <v>571</v>
      </c>
      <c r="D29" s="8" t="s">
        <v>572</v>
      </c>
      <c r="E29" s="8" t="s">
        <v>573</v>
      </c>
      <c r="F29" s="18">
        <v>2</v>
      </c>
      <c r="G29" s="18">
        <v>1020</v>
      </c>
      <c r="H29" s="18">
        <v>0</v>
      </c>
      <c r="I29" s="18">
        <f t="shared" si="1"/>
        <v>1020</v>
      </c>
      <c r="J29" s="8" t="s">
        <v>446</v>
      </c>
      <c r="K29" s="8" t="s">
        <v>21</v>
      </c>
      <c r="L29" s="8" t="s">
        <v>455</v>
      </c>
      <c r="N29" s="8" t="s">
        <v>448</v>
      </c>
      <c r="O29" s="8" t="s">
        <v>448</v>
      </c>
      <c r="P29" s="8" t="s">
        <v>449</v>
      </c>
      <c r="Q29" s="18">
        <v>1</v>
      </c>
    </row>
    <row r="31" spans="1:17" x14ac:dyDescent="0.25">
      <c r="D31" s="7">
        <f>COUNTA(D3:D29)</f>
        <v>21</v>
      </c>
      <c r="G31" s="7">
        <f t="shared" ref="G31:Q31" si="2">SUBTOTAL(9,G3:G29)</f>
        <v>24205</v>
      </c>
      <c r="H31" s="7">
        <f t="shared" si="2"/>
        <v>735</v>
      </c>
      <c r="I31" s="7">
        <f t="shared" si="2"/>
        <v>23470</v>
      </c>
      <c r="J31" s="7">
        <f t="shared" si="2"/>
        <v>0</v>
      </c>
      <c r="K31" s="7">
        <f t="shared" si="2"/>
        <v>0</v>
      </c>
      <c r="L31" s="7">
        <f t="shared" si="2"/>
        <v>0</v>
      </c>
      <c r="M31" s="7">
        <f t="shared" si="2"/>
        <v>0</v>
      </c>
      <c r="N31" s="7">
        <f t="shared" si="2"/>
        <v>0</v>
      </c>
      <c r="O31" s="7">
        <f t="shared" si="2"/>
        <v>0</v>
      </c>
      <c r="P31" s="7">
        <f t="shared" si="2"/>
        <v>0</v>
      </c>
      <c r="Q31" s="7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7" t="s">
        <v>16</v>
      </c>
      <c r="C33" s="6" t="s">
        <v>89</v>
      </c>
      <c r="D33" s="6"/>
      <c r="E33" s="10" t="s">
        <v>90</v>
      </c>
      <c r="H33">
        <f>-2*25</f>
        <v>-50</v>
      </c>
      <c r="K33" s="13" t="s">
        <v>21</v>
      </c>
      <c r="L33" s="13" t="s">
        <v>91</v>
      </c>
      <c r="M33" s="13" t="s">
        <v>90</v>
      </c>
      <c r="O33" s="10" t="s">
        <v>92</v>
      </c>
    </row>
    <row r="34" spans="1:16" x14ac:dyDescent="0.25">
      <c r="A34" t="s">
        <v>598</v>
      </c>
      <c r="B34" s="9" t="s">
        <v>93</v>
      </c>
      <c r="C34" s="1">
        <f>SUMIFS(I$3:I$29,B$3:B$29,A$33,L$3:L$29,A$34)+I32</f>
        <v>24145</v>
      </c>
      <c r="D34" s="5"/>
      <c r="E34" s="9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21</v>
      </c>
      <c r="P34">
        <f>L41</f>
        <v>8612</v>
      </c>
    </row>
    <row r="35" spans="1:16" x14ac:dyDescent="0.25">
      <c r="B35" s="8" t="s">
        <v>97</v>
      </c>
      <c r="C35" s="4">
        <v>0</v>
      </c>
      <c r="D35" s="4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8" t="s">
        <v>99</v>
      </c>
      <c r="C36" s="4">
        <f>-SUMIFS(I$3:I$29,B$3:B$29,A$33,P$3:P$29,"xx",N$3:N$29,"x")</f>
        <v>-1715</v>
      </c>
      <c r="D36" s="4"/>
      <c r="E36" s="8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10" t="s">
        <v>101</v>
      </c>
      <c r="C37" s="6">
        <f>SUBTOTAL(9,C34:C36)</f>
        <v>22430</v>
      </c>
      <c r="D37" s="6"/>
      <c r="E37">
        <f>E34</f>
        <v>25</v>
      </c>
      <c r="K37" s="8" t="s">
        <v>102</v>
      </c>
      <c r="O37" t="s">
        <v>662</v>
      </c>
      <c r="P37">
        <v>2390</v>
      </c>
    </row>
    <row r="38" spans="1:16" x14ac:dyDescent="0.25">
      <c r="B38" s="8" t="s">
        <v>104</v>
      </c>
      <c r="C38" s="3">
        <v>-70</v>
      </c>
      <c r="D38" s="3"/>
      <c r="K38" s="8" t="s">
        <v>105</v>
      </c>
      <c r="L38" s="8">
        <v>-1020</v>
      </c>
      <c r="O38" t="s">
        <v>103</v>
      </c>
      <c r="P38">
        <f>-C42</f>
        <v>-22360</v>
      </c>
    </row>
    <row r="39" spans="1:16" x14ac:dyDescent="0.25">
      <c r="B39" s="14" t="s">
        <v>107</v>
      </c>
      <c r="C39" s="3"/>
      <c r="D39" s="3"/>
      <c r="K39" s="16" t="s">
        <v>664</v>
      </c>
      <c r="L39" s="16">
        <v>2</v>
      </c>
      <c r="O39" s="10" t="s">
        <v>106</v>
      </c>
      <c r="P39" s="10">
        <f>SUBTOTAL(9,P34:P38)</f>
        <v>220</v>
      </c>
    </row>
    <row r="40" spans="1:16" x14ac:dyDescent="0.25">
      <c r="K40" s="22" t="s">
        <v>662</v>
      </c>
      <c r="L40" s="16">
        <v>20</v>
      </c>
    </row>
    <row r="41" spans="1:16" x14ac:dyDescent="0.25">
      <c r="L41" s="15">
        <f>SUBTOTAL(9,L34:L40)</f>
        <v>8612</v>
      </c>
      <c r="M41" s="15">
        <f>M36</f>
        <v>25</v>
      </c>
    </row>
    <row r="42" spans="1:16" x14ac:dyDescent="0.25">
      <c r="B42" s="7" t="s">
        <v>108</v>
      </c>
      <c r="C42" s="2">
        <f>C37+C38+C39</f>
        <v>22360</v>
      </c>
      <c r="D42" s="2"/>
      <c r="E42" s="7" t="s">
        <v>109</v>
      </c>
      <c r="K42" s="13" t="s">
        <v>165</v>
      </c>
      <c r="L42" s="13" t="s">
        <v>91</v>
      </c>
      <c r="M42" s="13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8" t="s">
        <v>102</v>
      </c>
    </row>
    <row r="47" spans="1:16" x14ac:dyDescent="0.25">
      <c r="K47" s="8" t="s">
        <v>105</v>
      </c>
    </row>
    <row r="48" spans="1:16" x14ac:dyDescent="0.25">
      <c r="L48" s="15">
        <f>SUBTOTAL(9,L43:L47)</f>
        <v>3880</v>
      </c>
      <c r="M48" s="15">
        <f>M43</f>
        <v>6</v>
      </c>
    </row>
    <row r="50" spans="11:13" x14ac:dyDescent="0.25">
      <c r="K50" s="13" t="s">
        <v>597</v>
      </c>
      <c r="L50" s="13" t="s">
        <v>91</v>
      </c>
      <c r="M50" s="13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8" t="s">
        <v>102</v>
      </c>
    </row>
    <row r="55" spans="11:13" x14ac:dyDescent="0.25">
      <c r="K55" s="8" t="s">
        <v>105</v>
      </c>
      <c r="L55" s="8">
        <v>-695</v>
      </c>
    </row>
    <row r="56" spans="11:13" x14ac:dyDescent="0.25">
      <c r="L56" s="15">
        <f>SUBTOTAL(9,L51:L55)</f>
        <v>7698</v>
      </c>
      <c r="M56" s="15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workbookViewId="0">
      <selection activeCell="I58" sqref="I58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3" t="s">
        <v>324</v>
      </c>
    </row>
    <row r="3" spans="1:17" x14ac:dyDescent="0.25">
      <c r="A3" s="24"/>
      <c r="B3" s="24" t="s">
        <v>16</v>
      </c>
      <c r="C3" s="24" t="s">
        <v>665</v>
      </c>
      <c r="D3" s="24" t="s">
        <v>666</v>
      </c>
      <c r="E3" s="24" t="s">
        <v>667</v>
      </c>
      <c r="F3" s="25">
        <v>9</v>
      </c>
      <c r="G3" s="25">
        <v>35</v>
      </c>
      <c r="H3" s="25">
        <v>35</v>
      </c>
      <c r="I3" s="25">
        <f t="shared" ref="I3:I8" si="0">G3-H3</f>
        <v>0</v>
      </c>
      <c r="J3" s="24" t="s">
        <v>20</v>
      </c>
      <c r="K3" s="24" t="s">
        <v>21</v>
      </c>
      <c r="L3" s="24" t="s">
        <v>668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179</v>
      </c>
      <c r="D4" s="24" t="s">
        <v>669</v>
      </c>
      <c r="E4" s="24" t="s">
        <v>181</v>
      </c>
      <c r="F4" s="25">
        <v>9</v>
      </c>
      <c r="G4" s="25">
        <v>30</v>
      </c>
      <c r="H4" s="25">
        <v>30</v>
      </c>
      <c r="I4" s="25">
        <f t="shared" si="0"/>
        <v>0</v>
      </c>
      <c r="J4" s="24" t="s">
        <v>20</v>
      </c>
      <c r="K4" s="24" t="s">
        <v>21</v>
      </c>
      <c r="L4" s="24" t="s">
        <v>668</v>
      </c>
      <c r="M4" s="24" t="s">
        <v>49</v>
      </c>
      <c r="N4" s="24"/>
      <c r="O4" s="24"/>
      <c r="P4" s="24"/>
      <c r="Q4" s="24">
        <v>1</v>
      </c>
    </row>
    <row r="5" spans="1:17" x14ac:dyDescent="0.25">
      <c r="A5" s="24" t="s">
        <v>62</v>
      </c>
      <c r="B5" s="24" t="s">
        <v>16</v>
      </c>
      <c r="C5" s="24" t="s">
        <v>670</v>
      </c>
      <c r="D5" s="24"/>
      <c r="E5" s="24" t="s">
        <v>671</v>
      </c>
      <c r="F5" s="24" t="s">
        <v>259</v>
      </c>
      <c r="G5" s="25">
        <v>3660</v>
      </c>
      <c r="H5" s="25">
        <v>40</v>
      </c>
      <c r="I5" s="25">
        <f t="shared" si="0"/>
        <v>3620</v>
      </c>
      <c r="J5" s="24" t="s">
        <v>672</v>
      </c>
      <c r="K5" s="24" t="s">
        <v>21</v>
      </c>
      <c r="L5" s="24" t="s">
        <v>668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673</v>
      </c>
      <c r="D6" s="24" t="s">
        <v>674</v>
      </c>
      <c r="E6" s="24" t="s">
        <v>675</v>
      </c>
      <c r="F6" s="24" t="s">
        <v>113</v>
      </c>
      <c r="G6" s="25">
        <v>475</v>
      </c>
      <c r="H6" s="25">
        <v>35</v>
      </c>
      <c r="I6" s="25">
        <f t="shared" si="0"/>
        <v>440</v>
      </c>
      <c r="J6" s="24" t="s">
        <v>672</v>
      </c>
      <c r="K6" s="24" t="s">
        <v>21</v>
      </c>
      <c r="L6" s="24" t="s">
        <v>668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676</v>
      </c>
      <c r="D7" s="24" t="s">
        <v>677</v>
      </c>
      <c r="E7" s="24" t="s">
        <v>678</v>
      </c>
      <c r="F7" s="25">
        <v>6</v>
      </c>
      <c r="G7" s="25">
        <v>855</v>
      </c>
      <c r="H7" s="25">
        <v>25</v>
      </c>
      <c r="I7" s="25">
        <f t="shared" si="0"/>
        <v>830</v>
      </c>
      <c r="J7" s="24" t="s">
        <v>672</v>
      </c>
      <c r="K7" s="24" t="s">
        <v>21</v>
      </c>
      <c r="L7" s="24" t="s">
        <v>668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679</v>
      </c>
      <c r="D8" s="24" t="s">
        <v>680</v>
      </c>
      <c r="E8" s="24" t="s">
        <v>681</v>
      </c>
      <c r="F8" s="25">
        <v>7</v>
      </c>
      <c r="G8" s="25">
        <v>730</v>
      </c>
      <c r="H8" s="25">
        <v>30</v>
      </c>
      <c r="I8" s="25">
        <f t="shared" si="0"/>
        <v>700</v>
      </c>
      <c r="J8" s="24" t="s">
        <v>672</v>
      </c>
      <c r="K8" s="24" t="s">
        <v>21</v>
      </c>
      <c r="L8" s="24" t="s">
        <v>668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196</v>
      </c>
      <c r="D9" s="24" t="s">
        <v>682</v>
      </c>
      <c r="E9" s="24" t="s">
        <v>683</v>
      </c>
      <c r="F9" s="24" t="s">
        <v>72</v>
      </c>
      <c r="G9" s="25">
        <v>0</v>
      </c>
      <c r="H9" s="25">
        <v>25</v>
      </c>
      <c r="I9" s="25">
        <f>-H9</f>
        <v>-25</v>
      </c>
      <c r="J9" s="24" t="s">
        <v>672</v>
      </c>
      <c r="K9" s="24" t="s">
        <v>21</v>
      </c>
      <c r="L9" s="24" t="s">
        <v>668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684</v>
      </c>
      <c r="D10" s="24" t="s">
        <v>685</v>
      </c>
      <c r="E10" s="24" t="s">
        <v>686</v>
      </c>
      <c r="F10" s="25">
        <v>8</v>
      </c>
      <c r="G10" s="25">
        <v>470</v>
      </c>
      <c r="H10" s="25">
        <v>30</v>
      </c>
      <c r="I10" s="25">
        <f>G10-H10</f>
        <v>440</v>
      </c>
      <c r="J10" s="24" t="s">
        <v>672</v>
      </c>
      <c r="K10" s="24" t="s">
        <v>21</v>
      </c>
      <c r="L10" s="24" t="s">
        <v>668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687</v>
      </c>
      <c r="D11" s="24" t="s">
        <v>688</v>
      </c>
      <c r="E11" s="24" t="s">
        <v>689</v>
      </c>
      <c r="F11" s="24" t="s">
        <v>26</v>
      </c>
      <c r="G11" s="25">
        <v>1170</v>
      </c>
      <c r="H11" s="25">
        <v>30</v>
      </c>
      <c r="I11" s="25">
        <f>G11-H11</f>
        <v>1140</v>
      </c>
      <c r="J11" s="24" t="s">
        <v>672</v>
      </c>
      <c r="K11" s="24" t="s">
        <v>21</v>
      </c>
      <c r="L11" s="24" t="s">
        <v>668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690</v>
      </c>
      <c r="D12" s="24" t="s">
        <v>691</v>
      </c>
      <c r="E12" s="24" t="s">
        <v>692</v>
      </c>
      <c r="F12" s="25">
        <v>7</v>
      </c>
      <c r="G12" s="25">
        <v>720</v>
      </c>
      <c r="H12" s="25">
        <v>30</v>
      </c>
      <c r="I12" s="25">
        <f>G12-H12</f>
        <v>690</v>
      </c>
      <c r="J12" s="24" t="s">
        <v>672</v>
      </c>
      <c r="K12" s="24" t="s">
        <v>21</v>
      </c>
      <c r="L12" s="24" t="s">
        <v>668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233</v>
      </c>
      <c r="D13" s="24" t="s">
        <v>693</v>
      </c>
      <c r="E13" s="24" t="s">
        <v>694</v>
      </c>
      <c r="F13" s="24" t="s">
        <v>259</v>
      </c>
      <c r="G13" s="25">
        <v>785</v>
      </c>
      <c r="H13" s="25">
        <v>35</v>
      </c>
      <c r="I13" s="25">
        <f>G13-H13</f>
        <v>750</v>
      </c>
      <c r="J13" s="24" t="s">
        <v>672</v>
      </c>
      <c r="K13" s="24" t="s">
        <v>21</v>
      </c>
      <c r="L13" s="24" t="s">
        <v>668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695</v>
      </c>
      <c r="D14" s="24" t="s">
        <v>696</v>
      </c>
      <c r="E14" s="24" t="s">
        <v>697</v>
      </c>
      <c r="F14" s="25">
        <v>11</v>
      </c>
      <c r="G14" s="25">
        <v>0</v>
      </c>
      <c r="H14" s="25">
        <v>25</v>
      </c>
      <c r="I14" s="25">
        <f>-H14</f>
        <v>-25</v>
      </c>
      <c r="J14" s="24" t="s">
        <v>672</v>
      </c>
      <c r="K14" s="24" t="s">
        <v>21</v>
      </c>
      <c r="L14" s="24" t="s">
        <v>668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698</v>
      </c>
      <c r="D15" s="24" t="s">
        <v>699</v>
      </c>
      <c r="E15" s="24" t="s">
        <v>700</v>
      </c>
      <c r="F15" s="25">
        <v>7</v>
      </c>
      <c r="G15" s="25">
        <v>380</v>
      </c>
      <c r="H15" s="25">
        <v>30</v>
      </c>
      <c r="I15" s="25">
        <f t="shared" ref="I15:I20" si="1">G15-H15</f>
        <v>350</v>
      </c>
      <c r="J15" s="24" t="s">
        <v>672</v>
      </c>
      <c r="K15" s="24" t="s">
        <v>21</v>
      </c>
      <c r="L15" s="24" t="s">
        <v>668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701</v>
      </c>
      <c r="D16" s="24" t="s">
        <v>702</v>
      </c>
      <c r="E16" s="24" t="s">
        <v>703</v>
      </c>
      <c r="F16" s="24" t="s">
        <v>217</v>
      </c>
      <c r="G16" s="25">
        <v>725</v>
      </c>
      <c r="H16" s="25">
        <v>25</v>
      </c>
      <c r="I16" s="25">
        <f t="shared" si="1"/>
        <v>700</v>
      </c>
      <c r="J16" s="24" t="s">
        <v>672</v>
      </c>
      <c r="K16" s="24" t="s">
        <v>21</v>
      </c>
      <c r="L16" s="24" t="s">
        <v>668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704</v>
      </c>
      <c r="D17" s="24" t="s">
        <v>705</v>
      </c>
      <c r="E17" s="24" t="s">
        <v>706</v>
      </c>
      <c r="F17" s="25">
        <v>7</v>
      </c>
      <c r="G17" s="25">
        <v>470</v>
      </c>
      <c r="H17" s="25">
        <v>30</v>
      </c>
      <c r="I17" s="25">
        <f t="shared" si="1"/>
        <v>440</v>
      </c>
      <c r="J17" s="24" t="s">
        <v>672</v>
      </c>
      <c r="K17" s="24" t="s">
        <v>21</v>
      </c>
      <c r="L17" s="24" t="s">
        <v>668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707</v>
      </c>
      <c r="D18" s="24" t="s">
        <v>708</v>
      </c>
      <c r="E18" s="24" t="s">
        <v>709</v>
      </c>
      <c r="F18" s="25">
        <v>6</v>
      </c>
      <c r="G18" s="25">
        <v>375</v>
      </c>
      <c r="H18" s="25">
        <v>25</v>
      </c>
      <c r="I18" s="25">
        <f t="shared" si="1"/>
        <v>350</v>
      </c>
      <c r="J18" s="24" t="s">
        <v>672</v>
      </c>
      <c r="K18" s="24" t="s">
        <v>21</v>
      </c>
      <c r="L18" s="24" t="s">
        <v>668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524</v>
      </c>
      <c r="D19" s="24" t="s">
        <v>710</v>
      </c>
      <c r="E19" s="24" t="s">
        <v>526</v>
      </c>
      <c r="F19" s="24" t="s">
        <v>26</v>
      </c>
      <c r="G19" s="25">
        <v>2010</v>
      </c>
      <c r="H19" s="25">
        <v>30</v>
      </c>
      <c r="I19" s="25">
        <f t="shared" si="1"/>
        <v>1980</v>
      </c>
      <c r="J19" s="24" t="s">
        <v>672</v>
      </c>
      <c r="K19" s="24" t="s">
        <v>21</v>
      </c>
      <c r="L19" s="24" t="s">
        <v>668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711</v>
      </c>
      <c r="D20" s="24" t="s">
        <v>712</v>
      </c>
      <c r="E20" s="24" t="s">
        <v>713</v>
      </c>
      <c r="F20" s="25">
        <v>12</v>
      </c>
      <c r="G20" s="25">
        <v>380</v>
      </c>
      <c r="H20" s="25">
        <v>30</v>
      </c>
      <c r="I20" s="25">
        <f t="shared" si="1"/>
        <v>350</v>
      </c>
      <c r="J20" s="24" t="s">
        <v>672</v>
      </c>
      <c r="K20" s="24" t="s">
        <v>21</v>
      </c>
      <c r="L20" s="24" t="s">
        <v>668</v>
      </c>
      <c r="M20" s="24"/>
      <c r="N20" s="24"/>
      <c r="O20" s="24"/>
      <c r="P20" s="24"/>
      <c r="Q20" s="24">
        <v>1</v>
      </c>
    </row>
    <row r="21" spans="1:17" x14ac:dyDescent="0.25">
      <c r="A21" s="24" t="s">
        <v>62</v>
      </c>
      <c r="B21" s="24" t="s">
        <v>16</v>
      </c>
      <c r="C21" s="24" t="s">
        <v>714</v>
      </c>
      <c r="D21" s="24"/>
      <c r="E21" s="24" t="s">
        <v>715</v>
      </c>
      <c r="F21" s="24" t="s">
        <v>153</v>
      </c>
      <c r="G21" s="25">
        <v>0</v>
      </c>
      <c r="H21" s="25">
        <v>35</v>
      </c>
      <c r="I21" s="25">
        <f>-H21</f>
        <v>-35</v>
      </c>
      <c r="J21" s="24" t="s">
        <v>21</v>
      </c>
      <c r="K21" s="24" t="s">
        <v>21</v>
      </c>
      <c r="L21" s="24" t="s">
        <v>668</v>
      </c>
      <c r="M21" s="24"/>
      <c r="N21" s="24"/>
      <c r="O21" s="24"/>
      <c r="P21" s="24"/>
      <c r="Q21" s="24">
        <v>1</v>
      </c>
    </row>
    <row r="22" spans="1:17" x14ac:dyDescent="0.25">
      <c r="A22" s="24" t="s">
        <v>62</v>
      </c>
      <c r="B22" s="24" t="s">
        <v>16</v>
      </c>
      <c r="C22" s="24" t="s">
        <v>318</v>
      </c>
      <c r="D22" s="24"/>
      <c r="E22" s="24" t="s">
        <v>319</v>
      </c>
      <c r="F22" s="24" t="s">
        <v>72</v>
      </c>
      <c r="G22" s="25">
        <v>30</v>
      </c>
      <c r="H22" s="25">
        <v>30</v>
      </c>
      <c r="I22" s="25">
        <f>G22-H22</f>
        <v>0</v>
      </c>
      <c r="J22" s="24" t="s">
        <v>21</v>
      </c>
      <c r="K22" s="24" t="s">
        <v>21</v>
      </c>
      <c r="L22" s="24" t="s">
        <v>668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716</v>
      </c>
      <c r="D23" s="24" t="s">
        <v>717</v>
      </c>
      <c r="E23" s="24" t="s">
        <v>718</v>
      </c>
      <c r="F23" s="25">
        <v>2</v>
      </c>
      <c r="G23" s="25">
        <v>920</v>
      </c>
      <c r="H23" s="25">
        <v>30</v>
      </c>
      <c r="I23" s="25">
        <f>G23-H23</f>
        <v>890</v>
      </c>
      <c r="J23" s="24" t="s">
        <v>21</v>
      </c>
      <c r="K23" s="24" t="s">
        <v>21</v>
      </c>
      <c r="L23" s="24" t="s">
        <v>668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136</v>
      </c>
      <c r="D24" s="24" t="s">
        <v>719</v>
      </c>
      <c r="E24" s="24" t="s">
        <v>138</v>
      </c>
      <c r="F24" s="24" t="s">
        <v>68</v>
      </c>
      <c r="G24" s="25">
        <v>0</v>
      </c>
      <c r="H24" s="25">
        <v>20</v>
      </c>
      <c r="I24" s="25">
        <f>-H24</f>
        <v>-20</v>
      </c>
      <c r="J24" s="24" t="s">
        <v>21</v>
      </c>
      <c r="K24" s="24" t="s">
        <v>21</v>
      </c>
      <c r="L24" s="24" t="s">
        <v>668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720</v>
      </c>
      <c r="D25" s="24" t="s">
        <v>721</v>
      </c>
      <c r="E25" s="24" t="s">
        <v>722</v>
      </c>
      <c r="F25" s="25">
        <v>2</v>
      </c>
      <c r="G25" s="25">
        <v>0</v>
      </c>
      <c r="H25" s="25">
        <v>30</v>
      </c>
      <c r="I25" s="25">
        <f>-H25</f>
        <v>-30</v>
      </c>
      <c r="J25" s="24" t="s">
        <v>21</v>
      </c>
      <c r="K25" s="24" t="s">
        <v>21</v>
      </c>
      <c r="L25" s="24" t="s">
        <v>668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723</v>
      </c>
      <c r="D26" s="24" t="s">
        <v>724</v>
      </c>
      <c r="E26" s="24" t="s">
        <v>725</v>
      </c>
      <c r="F26" s="25">
        <v>2</v>
      </c>
      <c r="G26" s="25">
        <v>1120</v>
      </c>
      <c r="H26" s="25">
        <v>30</v>
      </c>
      <c r="I26" s="25">
        <f>G26-H26</f>
        <v>1090</v>
      </c>
      <c r="J26" s="24" t="s">
        <v>21</v>
      </c>
      <c r="K26" s="24" t="s">
        <v>21</v>
      </c>
      <c r="L26" s="24" t="s">
        <v>668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726</v>
      </c>
      <c r="D27" s="24" t="s">
        <v>727</v>
      </c>
      <c r="E27" s="24" t="s">
        <v>728</v>
      </c>
      <c r="F27" s="24" t="s">
        <v>68</v>
      </c>
      <c r="G27" s="25">
        <v>460</v>
      </c>
      <c r="H27" s="25">
        <v>20</v>
      </c>
      <c r="I27" s="25">
        <f>G27-H27</f>
        <v>440</v>
      </c>
      <c r="J27" s="24" t="s">
        <v>21</v>
      </c>
      <c r="K27" s="24" t="s">
        <v>21</v>
      </c>
      <c r="L27" s="24" t="s">
        <v>668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729</v>
      </c>
      <c r="D28" s="24" t="s">
        <v>730</v>
      </c>
      <c r="E28" s="24" t="s">
        <v>731</v>
      </c>
      <c r="F28" s="25">
        <v>2</v>
      </c>
      <c r="G28" s="25">
        <v>0</v>
      </c>
      <c r="H28" s="25">
        <v>30</v>
      </c>
      <c r="I28" s="25">
        <f>-H28</f>
        <v>-30</v>
      </c>
      <c r="J28" s="24" t="s">
        <v>21</v>
      </c>
      <c r="K28" s="24" t="s">
        <v>21</v>
      </c>
      <c r="L28" s="24" t="s">
        <v>668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732</v>
      </c>
      <c r="D29" s="24" t="s">
        <v>733</v>
      </c>
      <c r="E29" s="24" t="s">
        <v>734</v>
      </c>
      <c r="F29" s="24" t="s">
        <v>72</v>
      </c>
      <c r="G29" s="25">
        <v>1115</v>
      </c>
      <c r="H29" s="25">
        <v>25</v>
      </c>
      <c r="I29" s="25">
        <f>G29-H29</f>
        <v>1090</v>
      </c>
      <c r="J29" s="24" t="s">
        <v>21</v>
      </c>
      <c r="K29" s="24" t="s">
        <v>21</v>
      </c>
      <c r="L29" s="24" t="s">
        <v>668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735</v>
      </c>
      <c r="D30" s="24" t="s">
        <v>736</v>
      </c>
      <c r="E30" s="24" t="s">
        <v>737</v>
      </c>
      <c r="F30" s="24" t="s">
        <v>153</v>
      </c>
      <c r="G30" s="25">
        <v>0</v>
      </c>
      <c r="H30" s="25">
        <v>30</v>
      </c>
      <c r="I30" s="25">
        <f>-H30</f>
        <v>-30</v>
      </c>
      <c r="J30" s="24" t="s">
        <v>21</v>
      </c>
      <c r="K30" s="24" t="s">
        <v>21</v>
      </c>
      <c r="L30" s="24" t="s">
        <v>668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738</v>
      </c>
      <c r="D31" s="24" t="s">
        <v>739</v>
      </c>
      <c r="E31" s="24" t="s">
        <v>740</v>
      </c>
      <c r="F31" s="24" t="s">
        <v>153</v>
      </c>
      <c r="G31" s="25">
        <v>820</v>
      </c>
      <c r="H31" s="25">
        <v>30</v>
      </c>
      <c r="I31" s="25">
        <f>G31-H31</f>
        <v>790</v>
      </c>
      <c r="J31" s="24" t="s">
        <v>21</v>
      </c>
      <c r="K31" s="24" t="s">
        <v>21</v>
      </c>
      <c r="L31" s="24" t="s">
        <v>668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741</v>
      </c>
      <c r="D32" s="24" t="s">
        <v>742</v>
      </c>
      <c r="E32" s="24" t="s">
        <v>743</v>
      </c>
      <c r="F32" s="25">
        <v>2</v>
      </c>
      <c r="G32" s="25">
        <v>740</v>
      </c>
      <c r="H32" s="25">
        <v>30</v>
      </c>
      <c r="I32" s="25">
        <f>G32-H32</f>
        <v>710</v>
      </c>
      <c r="J32" s="24" t="s">
        <v>21</v>
      </c>
      <c r="K32" s="24" t="s">
        <v>21</v>
      </c>
      <c r="L32" s="24" t="s">
        <v>668</v>
      </c>
      <c r="M32" s="24"/>
      <c r="N32" s="24"/>
      <c r="O32" s="24"/>
      <c r="P32" s="24"/>
      <c r="Q32" s="24">
        <v>1</v>
      </c>
    </row>
    <row r="33" spans="1:18" x14ac:dyDescent="0.25">
      <c r="A33" s="24"/>
      <c r="B33" s="24" t="s">
        <v>16</v>
      </c>
      <c r="C33" s="24" t="s">
        <v>744</v>
      </c>
      <c r="D33" s="24" t="s">
        <v>745</v>
      </c>
      <c r="E33" s="24" t="s">
        <v>746</v>
      </c>
      <c r="F33" s="24" t="s">
        <v>85</v>
      </c>
      <c r="G33" s="25">
        <v>370</v>
      </c>
      <c r="H33" s="25">
        <v>20</v>
      </c>
      <c r="I33" s="25">
        <f>G33-H33</f>
        <v>350</v>
      </c>
      <c r="J33" s="24" t="s">
        <v>165</v>
      </c>
      <c r="K33" s="24" t="s">
        <v>21</v>
      </c>
      <c r="L33" s="24" t="s">
        <v>668</v>
      </c>
      <c r="M33" s="24"/>
      <c r="N33" s="24"/>
      <c r="O33" s="24"/>
      <c r="P33" s="24"/>
      <c r="Q33" s="24">
        <v>1</v>
      </c>
    </row>
    <row r="34" spans="1:18" x14ac:dyDescent="0.25">
      <c r="A34" s="24"/>
      <c r="B34" s="24" t="s">
        <v>16</v>
      </c>
      <c r="C34" s="24" t="s">
        <v>429</v>
      </c>
      <c r="D34" s="24" t="s">
        <v>747</v>
      </c>
      <c r="E34" s="24" t="s">
        <v>431</v>
      </c>
      <c r="F34" s="25">
        <v>4</v>
      </c>
      <c r="G34" s="25">
        <v>935</v>
      </c>
      <c r="H34" s="25">
        <v>25</v>
      </c>
      <c r="I34" s="25">
        <f>G34-H34</f>
        <v>910</v>
      </c>
      <c r="J34" s="24" t="s">
        <v>165</v>
      </c>
      <c r="K34" s="24" t="s">
        <v>21</v>
      </c>
      <c r="L34" s="24" t="s">
        <v>668</v>
      </c>
      <c r="M34" s="24" t="s">
        <v>49</v>
      </c>
      <c r="N34" s="24"/>
      <c r="O34" s="24"/>
      <c r="P34" s="24"/>
      <c r="Q34" s="24">
        <v>1</v>
      </c>
    </row>
    <row r="35" spans="1:18" x14ac:dyDescent="0.25">
      <c r="A35" s="24"/>
      <c r="B35" s="24" t="s">
        <v>16</v>
      </c>
      <c r="C35" s="24" t="s">
        <v>748</v>
      </c>
      <c r="D35" s="24" t="s">
        <v>749</v>
      </c>
      <c r="E35" s="24" t="s">
        <v>750</v>
      </c>
      <c r="F35" s="24" t="s">
        <v>85</v>
      </c>
      <c r="G35" s="25">
        <v>0</v>
      </c>
      <c r="H35" s="25">
        <v>20</v>
      </c>
      <c r="I35" s="25">
        <f>-H35</f>
        <v>-20</v>
      </c>
      <c r="J35" s="24" t="s">
        <v>165</v>
      </c>
      <c r="K35" s="24" t="s">
        <v>21</v>
      </c>
      <c r="L35" s="24" t="s">
        <v>668</v>
      </c>
      <c r="M35" s="24"/>
      <c r="N35" s="24"/>
      <c r="O35" s="24"/>
      <c r="P35" s="24"/>
      <c r="Q35" s="24">
        <v>1</v>
      </c>
    </row>
    <row r="36" spans="1:18" x14ac:dyDescent="0.25">
      <c r="A36" s="24"/>
      <c r="B36" s="24" t="s">
        <v>16</v>
      </c>
      <c r="C36" s="24" t="s">
        <v>751</v>
      </c>
      <c r="D36" s="24" t="s">
        <v>752</v>
      </c>
      <c r="E36" s="24" t="s">
        <v>753</v>
      </c>
      <c r="F36" s="25">
        <v>1</v>
      </c>
      <c r="G36" s="25">
        <v>2010</v>
      </c>
      <c r="H36" s="25">
        <v>30</v>
      </c>
      <c r="I36" s="25">
        <f t="shared" ref="I36:I47" si="2">G36-H36</f>
        <v>1980</v>
      </c>
      <c r="J36" s="24" t="s">
        <v>165</v>
      </c>
      <c r="K36" s="24" t="s">
        <v>21</v>
      </c>
      <c r="L36" s="24" t="s">
        <v>668</v>
      </c>
      <c r="M36" s="24" t="s">
        <v>398</v>
      </c>
      <c r="N36" s="24"/>
      <c r="O36" s="24"/>
      <c r="P36" s="24"/>
      <c r="Q36" s="24">
        <v>1</v>
      </c>
    </row>
    <row r="37" spans="1:18" x14ac:dyDescent="0.25">
      <c r="A37" s="24"/>
      <c r="B37" s="24" t="s">
        <v>16</v>
      </c>
      <c r="C37" s="24" t="s">
        <v>754</v>
      </c>
      <c r="D37" s="24" t="s">
        <v>755</v>
      </c>
      <c r="E37" s="24" t="s">
        <v>756</v>
      </c>
      <c r="F37" s="24" t="s">
        <v>88</v>
      </c>
      <c r="G37" s="25">
        <v>725</v>
      </c>
      <c r="H37" s="25">
        <v>25</v>
      </c>
      <c r="I37" s="25">
        <f t="shared" si="2"/>
        <v>700</v>
      </c>
      <c r="J37" s="24" t="s">
        <v>165</v>
      </c>
      <c r="K37" s="24" t="s">
        <v>21</v>
      </c>
      <c r="L37" s="24" t="s">
        <v>668</v>
      </c>
      <c r="M37" s="24"/>
      <c r="N37" s="24"/>
      <c r="O37" s="24"/>
      <c r="P37" s="24"/>
      <c r="Q37" s="24">
        <v>1</v>
      </c>
    </row>
    <row r="38" spans="1:18" x14ac:dyDescent="0.25">
      <c r="A38" s="24"/>
      <c r="B38" s="24" t="s">
        <v>16</v>
      </c>
      <c r="C38" s="24" t="s">
        <v>757</v>
      </c>
      <c r="D38" s="24" t="s">
        <v>758</v>
      </c>
      <c r="E38" s="24" t="s">
        <v>759</v>
      </c>
      <c r="F38" s="25">
        <v>1</v>
      </c>
      <c r="G38" s="25">
        <v>465</v>
      </c>
      <c r="H38" s="25">
        <v>25</v>
      </c>
      <c r="I38" s="25">
        <f t="shared" si="2"/>
        <v>440</v>
      </c>
      <c r="J38" s="24" t="s">
        <v>165</v>
      </c>
      <c r="K38" s="24" t="s">
        <v>21</v>
      </c>
      <c r="L38" s="24" t="s">
        <v>668</v>
      </c>
      <c r="M38" s="24"/>
      <c r="N38" s="24"/>
      <c r="O38" s="24"/>
      <c r="P38" s="24"/>
      <c r="Q38" s="24">
        <v>1</v>
      </c>
    </row>
    <row r="39" spans="1:18" x14ac:dyDescent="0.25">
      <c r="A39" s="24"/>
      <c r="B39" s="24" t="s">
        <v>16</v>
      </c>
      <c r="C39" s="24" t="s">
        <v>269</v>
      </c>
      <c r="D39" s="24" t="s">
        <v>760</v>
      </c>
      <c r="E39" s="24" t="s">
        <v>271</v>
      </c>
      <c r="F39" s="24" t="s">
        <v>85</v>
      </c>
      <c r="G39" s="25">
        <v>810</v>
      </c>
      <c r="H39" s="25">
        <v>20</v>
      </c>
      <c r="I39" s="25">
        <f t="shared" si="2"/>
        <v>790</v>
      </c>
      <c r="J39" s="24" t="s">
        <v>165</v>
      </c>
      <c r="K39" s="24" t="s">
        <v>21</v>
      </c>
      <c r="L39" s="24" t="s">
        <v>668</v>
      </c>
      <c r="M39" s="24"/>
      <c r="N39" s="24"/>
      <c r="O39" s="24"/>
      <c r="P39" s="24"/>
      <c r="Q39" s="24">
        <v>1</v>
      </c>
    </row>
    <row r="40" spans="1:18" x14ac:dyDescent="0.25">
      <c r="A40" s="24"/>
      <c r="B40" s="24" t="s">
        <v>16</v>
      </c>
      <c r="C40" s="24" t="s">
        <v>761</v>
      </c>
      <c r="D40" s="24" t="s">
        <v>762</v>
      </c>
      <c r="E40" s="24" t="s">
        <v>763</v>
      </c>
      <c r="F40" s="25">
        <v>10</v>
      </c>
      <c r="G40" s="25">
        <v>0</v>
      </c>
      <c r="H40" s="25">
        <v>25</v>
      </c>
      <c r="I40" s="25">
        <f t="shared" si="2"/>
        <v>-25</v>
      </c>
      <c r="J40" s="24" t="s">
        <v>165</v>
      </c>
      <c r="K40" s="24" t="s">
        <v>21</v>
      </c>
      <c r="L40" s="24" t="s">
        <v>668</v>
      </c>
      <c r="M40" s="24" t="s">
        <v>764</v>
      </c>
      <c r="N40" s="24"/>
      <c r="O40" s="24"/>
      <c r="P40" s="24"/>
      <c r="Q40" s="24">
        <v>1</v>
      </c>
    </row>
    <row r="41" spans="1:18" x14ac:dyDescent="0.25">
      <c r="A41" s="24"/>
      <c r="B41" s="24" t="s">
        <v>16</v>
      </c>
      <c r="C41" s="24" t="s">
        <v>765</v>
      </c>
      <c r="D41" s="24" t="s">
        <v>766</v>
      </c>
      <c r="E41" s="24" t="s">
        <v>767</v>
      </c>
      <c r="F41" s="25">
        <v>1</v>
      </c>
      <c r="G41" s="25">
        <v>815</v>
      </c>
      <c r="H41" s="25">
        <v>25</v>
      </c>
      <c r="I41" s="25">
        <f t="shared" si="2"/>
        <v>790</v>
      </c>
      <c r="J41" s="24" t="s">
        <v>165</v>
      </c>
      <c r="K41" s="24" t="s">
        <v>21</v>
      </c>
      <c r="L41" s="24" t="s">
        <v>668</v>
      </c>
      <c r="M41" s="24"/>
      <c r="N41" s="24"/>
      <c r="O41" s="24"/>
      <c r="P41" s="24"/>
      <c r="Q41" s="24">
        <v>1</v>
      </c>
    </row>
    <row r="42" spans="1:18" x14ac:dyDescent="0.25">
      <c r="A42" s="24"/>
      <c r="B42" s="24" t="s">
        <v>16</v>
      </c>
      <c r="C42" s="24" t="s">
        <v>768</v>
      </c>
      <c r="D42" s="24" t="s">
        <v>769</v>
      </c>
      <c r="E42" s="24" t="s">
        <v>770</v>
      </c>
      <c r="F42" s="25">
        <v>1</v>
      </c>
      <c r="G42" s="25">
        <v>405</v>
      </c>
      <c r="H42" s="25">
        <v>25</v>
      </c>
      <c r="I42" s="25">
        <f t="shared" si="2"/>
        <v>380</v>
      </c>
      <c r="J42" s="24" t="s">
        <v>165</v>
      </c>
      <c r="K42" s="24" t="s">
        <v>21</v>
      </c>
      <c r="L42" s="24" t="s">
        <v>668</v>
      </c>
      <c r="M42" s="24"/>
      <c r="N42" s="24"/>
      <c r="O42" s="24"/>
      <c r="P42" s="24"/>
      <c r="Q42" s="24">
        <v>1</v>
      </c>
    </row>
    <row r="43" spans="1:18" x14ac:dyDescent="0.25">
      <c r="A43" s="24"/>
      <c r="B43" s="24" t="s">
        <v>16</v>
      </c>
      <c r="C43" s="24" t="s">
        <v>771</v>
      </c>
      <c r="D43" s="24" t="s">
        <v>772</v>
      </c>
      <c r="E43" s="24" t="s">
        <v>773</v>
      </c>
      <c r="F43" s="24" t="s">
        <v>85</v>
      </c>
      <c r="G43" s="25">
        <v>710</v>
      </c>
      <c r="H43" s="25">
        <v>20</v>
      </c>
      <c r="I43" s="25">
        <f t="shared" si="2"/>
        <v>690</v>
      </c>
      <c r="J43" s="24" t="s">
        <v>165</v>
      </c>
      <c r="K43" s="24" t="s">
        <v>21</v>
      </c>
      <c r="L43" s="24" t="s">
        <v>668</v>
      </c>
      <c r="M43" s="24"/>
      <c r="N43" s="24"/>
      <c r="O43" s="24"/>
      <c r="P43" s="24"/>
      <c r="Q43" s="24">
        <v>1</v>
      </c>
    </row>
    <row r="44" spans="1:18" s="8" customFormat="1" x14ac:dyDescent="0.25">
      <c r="A44" s="24"/>
      <c r="B44" s="24" t="s">
        <v>16</v>
      </c>
      <c r="C44" s="24" t="s">
        <v>774</v>
      </c>
      <c r="D44" s="24" t="s">
        <v>775</v>
      </c>
      <c r="E44" s="24" t="s">
        <v>776</v>
      </c>
      <c r="F44" s="25">
        <v>1</v>
      </c>
      <c r="G44" s="25">
        <v>465</v>
      </c>
      <c r="H44" s="25">
        <v>25</v>
      </c>
      <c r="I44" s="25">
        <f t="shared" si="2"/>
        <v>440</v>
      </c>
      <c r="J44" s="24" t="s">
        <v>165</v>
      </c>
      <c r="K44" s="24" t="s">
        <v>21</v>
      </c>
      <c r="L44" s="24" t="s">
        <v>668</v>
      </c>
      <c r="M44" s="24"/>
      <c r="N44" s="24"/>
      <c r="O44" s="24"/>
      <c r="P44" s="24"/>
      <c r="Q44" s="25">
        <v>1</v>
      </c>
    </row>
    <row r="45" spans="1:18" s="28" customFormat="1" x14ac:dyDescent="0.25">
      <c r="A45" s="29"/>
      <c r="B45" s="29" t="s">
        <v>16</v>
      </c>
      <c r="C45" s="29" t="s">
        <v>777</v>
      </c>
      <c r="D45" s="29" t="s">
        <v>778</v>
      </c>
      <c r="E45" s="29" t="s">
        <v>779</v>
      </c>
      <c r="F45" s="29" t="s">
        <v>780</v>
      </c>
      <c r="G45" s="30">
        <v>360</v>
      </c>
      <c r="H45" s="30">
        <v>0</v>
      </c>
      <c r="I45" s="30">
        <f t="shared" si="2"/>
        <v>360</v>
      </c>
      <c r="J45" s="29" t="s">
        <v>446</v>
      </c>
      <c r="K45" s="29" t="s">
        <v>21</v>
      </c>
      <c r="L45" s="29" t="s">
        <v>668</v>
      </c>
      <c r="M45" s="31" t="s">
        <v>781</v>
      </c>
      <c r="N45" s="29" t="s">
        <v>448</v>
      </c>
      <c r="O45" s="29"/>
      <c r="P45" s="29" t="s">
        <v>449</v>
      </c>
      <c r="Q45" s="30">
        <v>1</v>
      </c>
      <c r="R45" s="32"/>
    </row>
    <row r="46" spans="1:18" x14ac:dyDescent="0.25">
      <c r="A46" s="26"/>
      <c r="B46" s="26" t="s">
        <v>16</v>
      </c>
      <c r="C46" s="26" t="s">
        <v>782</v>
      </c>
      <c r="D46" s="26" t="s">
        <v>783</v>
      </c>
      <c r="E46" s="26" t="s">
        <v>784</v>
      </c>
      <c r="F46" s="27">
        <v>8</v>
      </c>
      <c r="G46" s="27">
        <v>0</v>
      </c>
      <c r="H46" s="27">
        <v>0</v>
      </c>
      <c r="I46" s="27">
        <f t="shared" si="2"/>
        <v>0</v>
      </c>
      <c r="J46" s="26" t="s">
        <v>446</v>
      </c>
      <c r="K46" s="26" t="s">
        <v>21</v>
      </c>
      <c r="L46" s="26" t="s">
        <v>447</v>
      </c>
      <c r="M46" s="26" t="s">
        <v>102</v>
      </c>
      <c r="N46" s="26" t="s">
        <v>448</v>
      </c>
      <c r="O46" s="26" t="s">
        <v>448</v>
      </c>
      <c r="P46" s="26" t="s">
        <v>449</v>
      </c>
      <c r="Q46" s="26">
        <v>1</v>
      </c>
    </row>
    <row r="47" spans="1:18" s="8" customFormat="1" x14ac:dyDescent="0.25">
      <c r="A47" s="26"/>
      <c r="B47" s="26" t="s">
        <v>16</v>
      </c>
      <c r="C47" s="26" t="s">
        <v>443</v>
      </c>
      <c r="D47" s="26" t="s">
        <v>444</v>
      </c>
      <c r="E47" s="26" t="s">
        <v>445</v>
      </c>
      <c r="F47" s="26" t="s">
        <v>85</v>
      </c>
      <c r="G47" s="27">
        <v>370</v>
      </c>
      <c r="H47" s="27">
        <v>20</v>
      </c>
      <c r="I47" s="27">
        <f t="shared" si="2"/>
        <v>350</v>
      </c>
      <c r="J47" s="26" t="s">
        <v>446</v>
      </c>
      <c r="K47" s="26" t="s">
        <v>21</v>
      </c>
      <c r="L47" s="26" t="s">
        <v>447</v>
      </c>
      <c r="M47" s="26" t="s">
        <v>102</v>
      </c>
      <c r="N47" s="26" t="s">
        <v>448</v>
      </c>
      <c r="O47" s="26" t="s">
        <v>448</v>
      </c>
      <c r="P47" s="26" t="s">
        <v>449</v>
      </c>
      <c r="Q47" s="27">
        <v>1</v>
      </c>
    </row>
    <row r="49" spans="1:17" x14ac:dyDescent="0.25">
      <c r="D49" s="7">
        <f>COUNTA(D3:D47)</f>
        <v>42</v>
      </c>
      <c r="G49" s="7">
        <f t="shared" ref="G49:Q49" si="3">SUBTOTAL(9,G3:G47)</f>
        <v>26915</v>
      </c>
      <c r="H49" s="7">
        <f t="shared" si="3"/>
        <v>1185</v>
      </c>
      <c r="I49" s="7">
        <f t="shared" si="3"/>
        <v>25730</v>
      </c>
      <c r="J49" s="7">
        <f t="shared" si="3"/>
        <v>0</v>
      </c>
      <c r="K49" s="7">
        <f t="shared" si="3"/>
        <v>0</v>
      </c>
      <c r="L49" s="7">
        <f t="shared" si="3"/>
        <v>0</v>
      </c>
      <c r="M49" s="7">
        <f t="shared" si="3"/>
        <v>0</v>
      </c>
      <c r="N49" s="7">
        <f t="shared" si="3"/>
        <v>0</v>
      </c>
      <c r="O49" s="7">
        <f t="shared" si="3"/>
        <v>0</v>
      </c>
      <c r="P49" s="7">
        <f t="shared" si="3"/>
        <v>0</v>
      </c>
      <c r="Q49" s="7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7" t="s">
        <v>16</v>
      </c>
      <c r="C51" s="6" t="s">
        <v>89</v>
      </c>
      <c r="D51" s="6"/>
      <c r="E51" s="10" t="s">
        <v>90</v>
      </c>
      <c r="H51">
        <f>-4*25</f>
        <v>-100</v>
      </c>
      <c r="K51" s="13" t="s">
        <v>21</v>
      </c>
      <c r="L51" s="13" t="s">
        <v>91</v>
      </c>
      <c r="M51" s="13" t="s">
        <v>90</v>
      </c>
      <c r="O51" s="10" t="s">
        <v>92</v>
      </c>
    </row>
    <row r="52" spans="1:17" x14ac:dyDescent="0.25">
      <c r="A52" t="s">
        <v>668</v>
      </c>
      <c r="B52" s="9" t="s">
        <v>93</v>
      </c>
      <c r="C52" s="5">
        <f>SUMIFS(I$3:I$47,B$3:B$47,A$51,L$3:L$47,A$52)</f>
        <v>25380</v>
      </c>
      <c r="D52" s="5"/>
      <c r="E52" s="9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21</v>
      </c>
      <c r="P52">
        <f>L57</f>
        <v>4847</v>
      </c>
    </row>
    <row r="53" spans="1:17" x14ac:dyDescent="0.25">
      <c r="B53" s="8" t="s">
        <v>97</v>
      </c>
      <c r="C53" s="4">
        <v>0</v>
      </c>
      <c r="D53" s="4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8" t="s">
        <v>99</v>
      </c>
      <c r="C54" s="4">
        <f>-SUMIFS(I$3:I$47,B$3:B$47,A$51,P$3:P$47,"xx",N$3:N$47,"x")</f>
        <v>-710</v>
      </c>
      <c r="D54" s="4"/>
      <c r="E54" s="8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10" t="s">
        <v>101</v>
      </c>
      <c r="C55" s="6">
        <f>SUBTOTAL(9,C52:C54)</f>
        <v>24670</v>
      </c>
      <c r="D55" s="6"/>
      <c r="E55">
        <f>E52</f>
        <v>43</v>
      </c>
      <c r="K55" s="8" t="s">
        <v>102</v>
      </c>
      <c r="O55" t="s">
        <v>20</v>
      </c>
      <c r="P55">
        <f>L81</f>
        <v>10</v>
      </c>
    </row>
    <row r="56" spans="1:17" x14ac:dyDescent="0.25">
      <c r="B56" s="8" t="s">
        <v>104</v>
      </c>
      <c r="C56" s="3"/>
      <c r="D56" s="3"/>
      <c r="K56" s="8" t="s">
        <v>105</v>
      </c>
      <c r="O56" t="s">
        <v>103</v>
      </c>
      <c r="P56">
        <f>-C59</f>
        <v>-24670</v>
      </c>
    </row>
    <row r="57" spans="1:17" x14ac:dyDescent="0.25">
      <c r="B57" s="14" t="s">
        <v>107</v>
      </c>
      <c r="C57" s="3"/>
      <c r="D57" s="3"/>
      <c r="L57" s="15">
        <f>SUBTOTAL(9,L52:L56)</f>
        <v>4847</v>
      </c>
      <c r="M57" s="15">
        <f>M52</f>
        <v>12</v>
      </c>
      <c r="O57" s="10" t="s">
        <v>106</v>
      </c>
      <c r="P57" s="10">
        <f>SUBTOTAL(9,P52:P56)</f>
        <v>145</v>
      </c>
    </row>
    <row r="59" spans="1:17" x14ac:dyDescent="0.25">
      <c r="B59" s="7" t="s">
        <v>108</v>
      </c>
      <c r="C59" s="2">
        <f>C55+C56+C57</f>
        <v>24670</v>
      </c>
      <c r="D59" s="2"/>
      <c r="E59" s="7" t="s">
        <v>109</v>
      </c>
      <c r="K59" s="13" t="s">
        <v>672</v>
      </c>
      <c r="L59" s="13" t="s">
        <v>91</v>
      </c>
      <c r="M59" s="13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8" t="s">
        <v>102</v>
      </c>
      <c r="L63" s="8">
        <v>-17</v>
      </c>
      <c r="M63" s="19" t="s">
        <v>451</v>
      </c>
    </row>
    <row r="64" spans="1:17" x14ac:dyDescent="0.25">
      <c r="K64" s="8" t="s">
        <v>105</v>
      </c>
    </row>
    <row r="65" spans="11:13" x14ac:dyDescent="0.25">
      <c r="L65" s="15">
        <f>SUBTOTAL(9,L60:L64)</f>
        <v>12828</v>
      </c>
      <c r="M65" s="15">
        <f>M60</f>
        <v>16</v>
      </c>
    </row>
    <row r="67" spans="11:13" x14ac:dyDescent="0.25">
      <c r="K67" s="13" t="s">
        <v>165</v>
      </c>
      <c r="L67" s="13" t="s">
        <v>91</v>
      </c>
      <c r="M67" s="13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8" t="s">
        <v>102</v>
      </c>
      <c r="L71" s="8">
        <v>-355</v>
      </c>
      <c r="M71" s="19" t="s">
        <v>451</v>
      </c>
    </row>
    <row r="72" spans="11:13" x14ac:dyDescent="0.25">
      <c r="K72" s="8" t="s">
        <v>105</v>
      </c>
    </row>
    <row r="73" spans="11:13" x14ac:dyDescent="0.25">
      <c r="L73" s="15">
        <f>SUBTOTAL(9,L68:L72)</f>
        <v>7130</v>
      </c>
      <c r="M73" s="15">
        <f>M68</f>
        <v>12</v>
      </c>
    </row>
    <row r="75" spans="11:13" x14ac:dyDescent="0.25">
      <c r="K75" s="13" t="s">
        <v>20</v>
      </c>
      <c r="L75" s="13" t="s">
        <v>91</v>
      </c>
      <c r="M75" s="13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8" t="s">
        <v>102</v>
      </c>
    </row>
    <row r="80" spans="11:13" x14ac:dyDescent="0.25">
      <c r="K80" s="8" t="s">
        <v>105</v>
      </c>
    </row>
    <row r="81" spans="12:13" x14ac:dyDescent="0.25">
      <c r="L81" s="15">
        <f>SUBTOTAL(9,L76:L80)</f>
        <v>10</v>
      </c>
      <c r="M81" s="15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 t="s">
        <v>62</v>
      </c>
      <c r="B3" s="24" t="s">
        <v>16</v>
      </c>
      <c r="C3" s="24" t="s">
        <v>265</v>
      </c>
      <c r="D3" s="24"/>
      <c r="E3" s="24" t="s">
        <v>266</v>
      </c>
      <c r="F3" s="25">
        <v>6</v>
      </c>
      <c r="G3" s="25">
        <v>30</v>
      </c>
      <c r="H3" s="25">
        <v>30</v>
      </c>
      <c r="I3" s="25">
        <f>G3-H3</f>
        <v>0</v>
      </c>
      <c r="J3" s="24" t="s">
        <v>786</v>
      </c>
      <c r="K3" s="24" t="s">
        <v>21</v>
      </c>
      <c r="L3" s="24" t="s">
        <v>787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788</v>
      </c>
      <c r="D4" s="24" t="s">
        <v>789</v>
      </c>
      <c r="E4" s="24" t="s">
        <v>790</v>
      </c>
      <c r="F4" s="25">
        <v>8</v>
      </c>
      <c r="G4" s="25">
        <v>820</v>
      </c>
      <c r="H4" s="25">
        <v>30</v>
      </c>
      <c r="I4" s="25">
        <f>G4-H4</f>
        <v>790</v>
      </c>
      <c r="J4" s="24" t="s">
        <v>786</v>
      </c>
      <c r="K4" s="24" t="s">
        <v>21</v>
      </c>
      <c r="L4" s="24" t="s">
        <v>787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791</v>
      </c>
      <c r="D5" s="24" t="s">
        <v>792</v>
      </c>
      <c r="E5" s="24" t="s">
        <v>793</v>
      </c>
      <c r="F5" s="24" t="s">
        <v>217</v>
      </c>
      <c r="G5" s="25">
        <v>0</v>
      </c>
      <c r="H5" s="25">
        <v>25</v>
      </c>
      <c r="I5" s="25">
        <f>-H5</f>
        <v>-25</v>
      </c>
      <c r="J5" s="24" t="s">
        <v>786</v>
      </c>
      <c r="K5" s="24" t="s">
        <v>21</v>
      </c>
      <c r="L5" s="24" t="s">
        <v>787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794</v>
      </c>
      <c r="D6" s="24" t="s">
        <v>795</v>
      </c>
      <c r="E6" s="24" t="s">
        <v>610</v>
      </c>
      <c r="F6" s="25">
        <v>6</v>
      </c>
      <c r="G6" s="25">
        <v>465</v>
      </c>
      <c r="H6" s="25">
        <v>25</v>
      </c>
      <c r="I6" s="25">
        <f t="shared" ref="I6:I11" si="0">G6-H6</f>
        <v>440</v>
      </c>
      <c r="J6" s="24" t="s">
        <v>786</v>
      </c>
      <c r="K6" s="24" t="s">
        <v>21</v>
      </c>
      <c r="L6" s="24" t="s">
        <v>787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796</v>
      </c>
      <c r="D7" s="24" t="s">
        <v>797</v>
      </c>
      <c r="E7" s="24" t="s">
        <v>798</v>
      </c>
      <c r="F7" s="24" t="s">
        <v>217</v>
      </c>
      <c r="G7" s="25">
        <v>1260</v>
      </c>
      <c r="H7" s="25">
        <v>30</v>
      </c>
      <c r="I7" s="25">
        <f t="shared" si="0"/>
        <v>1230</v>
      </c>
      <c r="J7" s="24" t="s">
        <v>786</v>
      </c>
      <c r="K7" s="24" t="s">
        <v>21</v>
      </c>
      <c r="L7" s="24" t="s">
        <v>787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799</v>
      </c>
      <c r="D8" s="24" t="s">
        <v>800</v>
      </c>
      <c r="E8" s="24" t="s">
        <v>801</v>
      </c>
      <c r="F8" s="25">
        <v>6</v>
      </c>
      <c r="G8" s="25">
        <v>865</v>
      </c>
      <c r="H8" s="25">
        <v>25</v>
      </c>
      <c r="I8" s="25">
        <f t="shared" si="0"/>
        <v>840</v>
      </c>
      <c r="J8" s="24" t="s">
        <v>786</v>
      </c>
      <c r="K8" s="24" t="s">
        <v>21</v>
      </c>
      <c r="L8" s="24" t="s">
        <v>787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802</v>
      </c>
      <c r="D9" s="24" t="s">
        <v>803</v>
      </c>
      <c r="E9" s="24" t="s">
        <v>804</v>
      </c>
      <c r="F9" s="24" t="s">
        <v>26</v>
      </c>
      <c r="G9" s="25">
        <v>820</v>
      </c>
      <c r="H9" s="25">
        <v>30</v>
      </c>
      <c r="I9" s="25">
        <f t="shared" si="0"/>
        <v>790</v>
      </c>
      <c r="J9" s="24" t="s">
        <v>786</v>
      </c>
      <c r="K9" s="24" t="s">
        <v>21</v>
      </c>
      <c r="L9" s="24" t="s">
        <v>787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805</v>
      </c>
      <c r="D10" s="24" t="s">
        <v>806</v>
      </c>
      <c r="E10" s="24" t="s">
        <v>807</v>
      </c>
      <c r="F10" s="25">
        <v>7</v>
      </c>
      <c r="G10" s="25">
        <v>410</v>
      </c>
      <c r="H10" s="25">
        <v>30</v>
      </c>
      <c r="I10" s="25">
        <f t="shared" si="0"/>
        <v>380</v>
      </c>
      <c r="J10" s="24" t="s">
        <v>786</v>
      </c>
      <c r="K10" s="24" t="s">
        <v>21</v>
      </c>
      <c r="L10" s="24" t="s">
        <v>787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808</v>
      </c>
      <c r="D11" s="24" t="s">
        <v>809</v>
      </c>
      <c r="E11" s="24" t="s">
        <v>810</v>
      </c>
      <c r="F11" s="25">
        <v>12</v>
      </c>
      <c r="G11" s="25">
        <v>1640</v>
      </c>
      <c r="H11" s="25">
        <v>30</v>
      </c>
      <c r="I11" s="25">
        <f t="shared" si="0"/>
        <v>1610</v>
      </c>
      <c r="J11" s="24" t="s">
        <v>786</v>
      </c>
      <c r="K11" s="24" t="s">
        <v>21</v>
      </c>
      <c r="L11" s="24" t="s">
        <v>787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811</v>
      </c>
      <c r="D12" s="24" t="s">
        <v>812</v>
      </c>
      <c r="E12" s="24" t="s">
        <v>813</v>
      </c>
      <c r="F12" s="24" t="s">
        <v>88</v>
      </c>
      <c r="G12" s="25">
        <v>0</v>
      </c>
      <c r="H12" s="25">
        <v>25</v>
      </c>
      <c r="I12" s="25">
        <f>-H12</f>
        <v>-25</v>
      </c>
      <c r="J12" s="24" t="s">
        <v>786</v>
      </c>
      <c r="K12" s="24" t="s">
        <v>21</v>
      </c>
      <c r="L12" s="24" t="s">
        <v>787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814</v>
      </c>
      <c r="D13" s="24" t="s">
        <v>815</v>
      </c>
      <c r="E13" s="24" t="s">
        <v>816</v>
      </c>
      <c r="F13" s="25">
        <v>6</v>
      </c>
      <c r="G13" s="25">
        <v>1735</v>
      </c>
      <c r="H13" s="25">
        <v>25</v>
      </c>
      <c r="I13" s="25">
        <f>G13-H13</f>
        <v>1710</v>
      </c>
      <c r="J13" s="24" t="s">
        <v>786</v>
      </c>
      <c r="K13" s="24" t="s">
        <v>21</v>
      </c>
      <c r="L13" s="24" t="s">
        <v>787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817</v>
      </c>
      <c r="D14" s="24" t="s">
        <v>818</v>
      </c>
      <c r="E14" s="24" t="s">
        <v>819</v>
      </c>
      <c r="F14" s="24" t="s">
        <v>26</v>
      </c>
      <c r="G14" s="25">
        <v>470</v>
      </c>
      <c r="H14" s="25">
        <v>30</v>
      </c>
      <c r="I14" s="25">
        <f>G14-H14</f>
        <v>440</v>
      </c>
      <c r="J14" s="24" t="s">
        <v>786</v>
      </c>
      <c r="K14" s="24" t="s">
        <v>21</v>
      </c>
      <c r="L14" s="24" t="s">
        <v>787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820</v>
      </c>
      <c r="D15" s="24" t="s">
        <v>821</v>
      </c>
      <c r="E15" s="24" t="s">
        <v>822</v>
      </c>
      <c r="F15" s="24" t="s">
        <v>88</v>
      </c>
      <c r="G15" s="25">
        <v>0</v>
      </c>
      <c r="H15" s="25">
        <v>25</v>
      </c>
      <c r="I15" s="25">
        <f>-H15</f>
        <v>-25</v>
      </c>
      <c r="J15" s="24" t="s">
        <v>786</v>
      </c>
      <c r="K15" s="24" t="s">
        <v>21</v>
      </c>
      <c r="L15" s="24" t="s">
        <v>787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823</v>
      </c>
      <c r="D16" s="24" t="s">
        <v>824</v>
      </c>
      <c r="E16" s="24" t="s">
        <v>825</v>
      </c>
      <c r="F16" s="25">
        <v>7</v>
      </c>
      <c r="G16" s="25">
        <v>890</v>
      </c>
      <c r="H16" s="25">
        <v>30</v>
      </c>
      <c r="I16" s="25">
        <f>G16-H16</f>
        <v>860</v>
      </c>
      <c r="J16" s="24" t="s">
        <v>786</v>
      </c>
      <c r="K16" s="24" t="s">
        <v>21</v>
      </c>
      <c r="L16" s="24" t="s">
        <v>787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826</v>
      </c>
      <c r="D17" s="24" t="s">
        <v>827</v>
      </c>
      <c r="E17" s="24" t="s">
        <v>828</v>
      </c>
      <c r="F17" s="25">
        <v>7</v>
      </c>
      <c r="G17" s="25">
        <v>1120</v>
      </c>
      <c r="H17" s="25">
        <v>30</v>
      </c>
      <c r="I17" s="25">
        <f>G17-H17</f>
        <v>1090</v>
      </c>
      <c r="J17" s="24" t="s">
        <v>786</v>
      </c>
      <c r="K17" s="24" t="s">
        <v>21</v>
      </c>
      <c r="L17" s="24" t="s">
        <v>787</v>
      </c>
      <c r="M17" s="24"/>
      <c r="N17" s="24"/>
      <c r="O17" s="24"/>
      <c r="P17" s="24"/>
      <c r="Q17" s="24">
        <v>1</v>
      </c>
    </row>
    <row r="18" spans="1:17" x14ac:dyDescent="0.25">
      <c r="A18" s="24" t="s">
        <v>62</v>
      </c>
      <c r="B18" s="24" t="s">
        <v>16</v>
      </c>
      <c r="C18" s="24" t="s">
        <v>591</v>
      </c>
      <c r="D18" s="24"/>
      <c r="E18" s="24" t="s">
        <v>592</v>
      </c>
      <c r="F18" s="24" t="s">
        <v>153</v>
      </c>
      <c r="G18" s="25">
        <v>2135</v>
      </c>
      <c r="H18" s="25">
        <v>35</v>
      </c>
      <c r="I18" s="25">
        <f>G18-H18</f>
        <v>2100</v>
      </c>
      <c r="J18" s="24" t="s">
        <v>21</v>
      </c>
      <c r="K18" s="24" t="s">
        <v>21</v>
      </c>
      <c r="L18" s="24" t="s">
        <v>787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829</v>
      </c>
      <c r="D19" s="24" t="s">
        <v>830</v>
      </c>
      <c r="E19" s="24" t="s">
        <v>831</v>
      </c>
      <c r="F19" s="25">
        <v>2</v>
      </c>
      <c r="G19" s="25">
        <v>0</v>
      </c>
      <c r="H19" s="25">
        <v>30</v>
      </c>
      <c r="I19" s="25">
        <f>-H19</f>
        <v>-30</v>
      </c>
      <c r="J19" s="24" t="s">
        <v>21</v>
      </c>
      <c r="K19" s="24" t="s">
        <v>21</v>
      </c>
      <c r="L19" s="24" t="s">
        <v>787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832</v>
      </c>
      <c r="D20" s="24" t="s">
        <v>833</v>
      </c>
      <c r="E20" s="24" t="s">
        <v>834</v>
      </c>
      <c r="F20" s="24" t="s">
        <v>72</v>
      </c>
      <c r="G20" s="25">
        <v>815</v>
      </c>
      <c r="H20" s="25">
        <v>25</v>
      </c>
      <c r="I20" s="25">
        <f>G20-H20</f>
        <v>790</v>
      </c>
      <c r="J20" s="24" t="s">
        <v>21</v>
      </c>
      <c r="K20" s="24" t="s">
        <v>21</v>
      </c>
      <c r="L20" s="24" t="s">
        <v>787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835</v>
      </c>
      <c r="D21" s="24" t="s">
        <v>836</v>
      </c>
      <c r="E21" s="24" t="s">
        <v>837</v>
      </c>
      <c r="F21" s="24" t="s">
        <v>88</v>
      </c>
      <c r="G21" s="25">
        <v>0</v>
      </c>
      <c r="H21" s="25">
        <v>25</v>
      </c>
      <c r="I21" s="25">
        <f>-H21</f>
        <v>-25</v>
      </c>
      <c r="J21" s="24" t="s">
        <v>21</v>
      </c>
      <c r="K21" s="24" t="s">
        <v>21</v>
      </c>
      <c r="L21" s="24" t="s">
        <v>787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838</v>
      </c>
      <c r="D22" s="24" t="s">
        <v>839</v>
      </c>
      <c r="E22" s="24" t="s">
        <v>840</v>
      </c>
      <c r="F22" s="24" t="s">
        <v>153</v>
      </c>
      <c r="G22" s="25">
        <v>730</v>
      </c>
      <c r="H22" s="25">
        <v>30</v>
      </c>
      <c r="I22" s="25">
        <f>G22-H22</f>
        <v>700</v>
      </c>
      <c r="J22" s="24" t="s">
        <v>21</v>
      </c>
      <c r="K22" s="24" t="s">
        <v>21</v>
      </c>
      <c r="L22" s="24" t="s">
        <v>787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841</v>
      </c>
      <c r="D23" s="24" t="s">
        <v>842</v>
      </c>
      <c r="E23" s="24" t="s">
        <v>843</v>
      </c>
      <c r="F23" s="24" t="s">
        <v>72</v>
      </c>
      <c r="G23" s="25">
        <v>1345</v>
      </c>
      <c r="H23" s="25">
        <v>25</v>
      </c>
      <c r="I23" s="25">
        <f>G23-H23</f>
        <v>1320</v>
      </c>
      <c r="J23" s="24" t="s">
        <v>21</v>
      </c>
      <c r="K23" s="24" t="s">
        <v>21</v>
      </c>
      <c r="L23" s="24" t="s">
        <v>787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844</v>
      </c>
      <c r="D24" s="24" t="s">
        <v>845</v>
      </c>
      <c r="E24" s="24" t="s">
        <v>846</v>
      </c>
      <c r="F24" s="24" t="s">
        <v>88</v>
      </c>
      <c r="G24" s="25">
        <v>0</v>
      </c>
      <c r="H24" s="25">
        <v>25</v>
      </c>
      <c r="I24" s="25">
        <f>-H24</f>
        <v>-25</v>
      </c>
      <c r="J24" s="24" t="s">
        <v>21</v>
      </c>
      <c r="K24" s="24" t="s">
        <v>21</v>
      </c>
      <c r="L24" s="24" t="s">
        <v>787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847</v>
      </c>
      <c r="D25" s="24" t="s">
        <v>848</v>
      </c>
      <c r="E25" s="24" t="s">
        <v>849</v>
      </c>
      <c r="F25" s="24" t="s">
        <v>72</v>
      </c>
      <c r="G25" s="25">
        <v>0</v>
      </c>
      <c r="H25" s="25">
        <v>25</v>
      </c>
      <c r="I25" s="25">
        <f>-H25</f>
        <v>-25</v>
      </c>
      <c r="J25" s="24" t="s">
        <v>21</v>
      </c>
      <c r="K25" s="24" t="s">
        <v>21</v>
      </c>
      <c r="L25" s="24" t="s">
        <v>787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850</v>
      </c>
      <c r="D26" s="24" t="s">
        <v>851</v>
      </c>
      <c r="E26" s="24" t="s">
        <v>852</v>
      </c>
      <c r="F26" s="25">
        <v>2</v>
      </c>
      <c r="G26" s="25">
        <v>920</v>
      </c>
      <c r="H26" s="25">
        <v>30</v>
      </c>
      <c r="I26" s="25">
        <f>G26-H26</f>
        <v>890</v>
      </c>
      <c r="J26" s="24" t="s">
        <v>21</v>
      </c>
      <c r="K26" s="24" t="s">
        <v>21</v>
      </c>
      <c r="L26" s="24" t="s">
        <v>787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853</v>
      </c>
      <c r="D27" s="24" t="s">
        <v>854</v>
      </c>
      <c r="E27" s="24" t="s">
        <v>855</v>
      </c>
      <c r="F27" s="24" t="s">
        <v>68</v>
      </c>
      <c r="G27" s="25">
        <v>1110</v>
      </c>
      <c r="H27" s="25">
        <v>20</v>
      </c>
      <c r="I27" s="25">
        <f>G27-H27</f>
        <v>1090</v>
      </c>
      <c r="J27" s="24" t="s">
        <v>21</v>
      </c>
      <c r="K27" s="24" t="s">
        <v>21</v>
      </c>
      <c r="L27" s="24" t="s">
        <v>787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452</v>
      </c>
      <c r="D28" s="24" t="s">
        <v>856</v>
      </c>
      <c r="E28" s="24" t="s">
        <v>454</v>
      </c>
      <c r="F28" s="24" t="s">
        <v>88</v>
      </c>
      <c r="G28" s="25">
        <v>815</v>
      </c>
      <c r="H28" s="25">
        <v>25</v>
      </c>
      <c r="I28" s="25">
        <f>G28-H28</f>
        <v>790</v>
      </c>
      <c r="J28" s="24" t="s">
        <v>21</v>
      </c>
      <c r="K28" s="24" t="s">
        <v>21</v>
      </c>
      <c r="L28" s="24" t="s">
        <v>787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857</v>
      </c>
      <c r="D29" s="24" t="s">
        <v>858</v>
      </c>
      <c r="E29" s="24" t="s">
        <v>859</v>
      </c>
      <c r="F29" s="25">
        <v>3</v>
      </c>
      <c r="G29" s="25">
        <v>0</v>
      </c>
      <c r="H29" s="25">
        <v>25</v>
      </c>
      <c r="I29" s="25">
        <f>-H29</f>
        <v>-25</v>
      </c>
      <c r="J29" s="24" t="s">
        <v>165</v>
      </c>
      <c r="K29" s="24" t="s">
        <v>21</v>
      </c>
      <c r="L29" s="24" t="s">
        <v>787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860</v>
      </c>
      <c r="D30" s="24" t="s">
        <v>861</v>
      </c>
      <c r="E30" s="24" t="s">
        <v>862</v>
      </c>
      <c r="F30" s="25">
        <v>1</v>
      </c>
      <c r="G30" s="25">
        <v>845</v>
      </c>
      <c r="H30" s="25">
        <v>25</v>
      </c>
      <c r="I30" s="25">
        <f>G30-H30</f>
        <v>820</v>
      </c>
      <c r="J30" s="24" t="s">
        <v>165</v>
      </c>
      <c r="K30" s="24" t="s">
        <v>21</v>
      </c>
      <c r="L30" s="24" t="s">
        <v>787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863</v>
      </c>
      <c r="D31" s="24" t="s">
        <v>864</v>
      </c>
      <c r="E31" s="24" t="s">
        <v>865</v>
      </c>
      <c r="F31" s="25">
        <v>4</v>
      </c>
      <c r="G31" s="25">
        <v>715</v>
      </c>
      <c r="H31" s="25">
        <v>25</v>
      </c>
      <c r="I31" s="25">
        <f>G31-H31</f>
        <v>690</v>
      </c>
      <c r="J31" s="24" t="s">
        <v>165</v>
      </c>
      <c r="K31" s="24" t="s">
        <v>21</v>
      </c>
      <c r="L31" s="24" t="s">
        <v>787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866</v>
      </c>
      <c r="D32" s="24" t="s">
        <v>867</v>
      </c>
      <c r="E32" s="24" t="s">
        <v>868</v>
      </c>
      <c r="F32" s="25">
        <v>1</v>
      </c>
      <c r="G32" s="25">
        <v>715</v>
      </c>
      <c r="H32" s="25">
        <v>25</v>
      </c>
      <c r="I32" s="25">
        <f>G32-H32</f>
        <v>690</v>
      </c>
      <c r="J32" s="24" t="s">
        <v>165</v>
      </c>
      <c r="K32" s="24" t="s">
        <v>21</v>
      </c>
      <c r="L32" s="24" t="s">
        <v>787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869</v>
      </c>
      <c r="D33" s="24" t="s">
        <v>870</v>
      </c>
      <c r="E33" s="24" t="s">
        <v>871</v>
      </c>
      <c r="F33" s="25">
        <v>10</v>
      </c>
      <c r="G33" s="25">
        <v>0</v>
      </c>
      <c r="H33" s="25">
        <v>25</v>
      </c>
      <c r="I33" s="25">
        <f>-H33</f>
        <v>-25</v>
      </c>
      <c r="J33" s="24" t="s">
        <v>165</v>
      </c>
      <c r="K33" s="24" t="s">
        <v>21</v>
      </c>
      <c r="L33" s="24" t="s">
        <v>787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872</v>
      </c>
      <c r="D34" s="24" t="s">
        <v>873</v>
      </c>
      <c r="E34" s="24" t="s">
        <v>874</v>
      </c>
      <c r="F34" s="25">
        <v>10</v>
      </c>
      <c r="G34" s="25">
        <v>915</v>
      </c>
      <c r="H34" s="25">
        <v>25</v>
      </c>
      <c r="I34" s="25">
        <f>G34-H34</f>
        <v>890</v>
      </c>
      <c r="J34" s="24" t="s">
        <v>165</v>
      </c>
      <c r="K34" s="24" t="s">
        <v>21</v>
      </c>
      <c r="L34" s="24" t="s">
        <v>787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875</v>
      </c>
      <c r="D35" s="24" t="s">
        <v>876</v>
      </c>
      <c r="E35" s="24" t="s">
        <v>877</v>
      </c>
      <c r="F35" s="25">
        <v>10</v>
      </c>
      <c r="G35" s="25">
        <v>1705</v>
      </c>
      <c r="H35" s="25">
        <v>25</v>
      </c>
      <c r="I35" s="25">
        <f>G35-H35</f>
        <v>1680</v>
      </c>
      <c r="J35" s="24" t="s">
        <v>165</v>
      </c>
      <c r="K35" s="24" t="s">
        <v>21</v>
      </c>
      <c r="L35" s="24" t="s">
        <v>787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878</v>
      </c>
      <c r="D36" s="24" t="s">
        <v>879</v>
      </c>
      <c r="E36" s="24" t="s">
        <v>880</v>
      </c>
      <c r="F36" s="25">
        <v>3</v>
      </c>
      <c r="G36" s="25">
        <v>775</v>
      </c>
      <c r="H36" s="25">
        <v>25</v>
      </c>
      <c r="I36" s="25">
        <f>G36-H36</f>
        <v>750</v>
      </c>
      <c r="J36" s="24" t="s">
        <v>165</v>
      </c>
      <c r="K36" s="24" t="s">
        <v>21</v>
      </c>
      <c r="L36" s="24" t="s">
        <v>787</v>
      </c>
      <c r="M36" s="24"/>
      <c r="N36" s="24"/>
      <c r="O36" s="24"/>
      <c r="P36" s="24"/>
      <c r="Q36" s="24">
        <v>1</v>
      </c>
    </row>
    <row r="37" spans="1:17" x14ac:dyDescent="0.25">
      <c r="A37" s="24"/>
      <c r="B37" s="24" t="s">
        <v>16</v>
      </c>
      <c r="C37" s="24" t="s">
        <v>881</v>
      </c>
      <c r="D37" s="24" t="s">
        <v>882</v>
      </c>
      <c r="E37" s="24" t="s">
        <v>883</v>
      </c>
      <c r="F37" s="25">
        <v>4</v>
      </c>
      <c r="G37" s="25">
        <v>375</v>
      </c>
      <c r="H37" s="25">
        <v>25</v>
      </c>
      <c r="I37" s="25">
        <f>G37-H37</f>
        <v>350</v>
      </c>
      <c r="J37" s="24" t="s">
        <v>165</v>
      </c>
      <c r="K37" s="24" t="s">
        <v>21</v>
      </c>
      <c r="L37" s="24" t="s">
        <v>787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884</v>
      </c>
      <c r="D38" s="24" t="s">
        <v>885</v>
      </c>
      <c r="E38" s="24" t="s">
        <v>886</v>
      </c>
      <c r="F38" s="25">
        <v>4</v>
      </c>
      <c r="G38" s="25">
        <v>0</v>
      </c>
      <c r="H38" s="25">
        <v>25</v>
      </c>
      <c r="I38" s="25">
        <f>-H38</f>
        <v>-25</v>
      </c>
      <c r="J38" s="24" t="s">
        <v>165</v>
      </c>
      <c r="K38" s="24" t="s">
        <v>21</v>
      </c>
      <c r="L38" s="24" t="s">
        <v>787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887</v>
      </c>
      <c r="D39" s="24" t="s">
        <v>888</v>
      </c>
      <c r="E39" s="24" t="s">
        <v>889</v>
      </c>
      <c r="F39" s="24" t="s">
        <v>85</v>
      </c>
      <c r="G39" s="25">
        <v>530</v>
      </c>
      <c r="H39" s="25">
        <v>20</v>
      </c>
      <c r="I39" s="25">
        <f>G39-H39</f>
        <v>510</v>
      </c>
      <c r="J39" s="24" t="s">
        <v>165</v>
      </c>
      <c r="K39" s="24" t="s">
        <v>21</v>
      </c>
      <c r="L39" s="24" t="s">
        <v>787</v>
      </c>
      <c r="M39" s="24"/>
      <c r="N39" s="24"/>
      <c r="O39" s="24"/>
      <c r="P39" s="24"/>
      <c r="Q39" s="24">
        <v>1</v>
      </c>
    </row>
    <row r="41" spans="1:17" x14ac:dyDescent="0.25">
      <c r="D41" s="7">
        <f>COUNTA(D3:D39)</f>
        <v>35</v>
      </c>
      <c r="G41" s="7">
        <f t="shared" ref="G41:Q41" si="1">SUBTOTAL(9,G3:G39)</f>
        <v>24970</v>
      </c>
      <c r="H41" s="7">
        <f t="shared" si="1"/>
        <v>985</v>
      </c>
      <c r="I41" s="7">
        <f t="shared" si="1"/>
        <v>23985</v>
      </c>
      <c r="J41" s="7">
        <f t="shared" si="1"/>
        <v>0</v>
      </c>
      <c r="K41" s="7">
        <f t="shared" si="1"/>
        <v>0</v>
      </c>
      <c r="L41" s="7">
        <f t="shared" si="1"/>
        <v>0</v>
      </c>
      <c r="M41" s="7">
        <f t="shared" si="1"/>
        <v>0</v>
      </c>
      <c r="N41" s="7">
        <f t="shared" si="1"/>
        <v>0</v>
      </c>
      <c r="O41" s="7">
        <f t="shared" si="1"/>
        <v>0</v>
      </c>
      <c r="P41" s="7">
        <f t="shared" si="1"/>
        <v>0</v>
      </c>
      <c r="Q41" s="7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7" t="s">
        <v>16</v>
      </c>
      <c r="C43" s="6" t="s">
        <v>89</v>
      </c>
      <c r="D43" s="6"/>
      <c r="E43" s="10" t="s">
        <v>90</v>
      </c>
      <c r="H43">
        <f>-3*25</f>
        <v>-75</v>
      </c>
      <c r="K43" s="13" t="s">
        <v>21</v>
      </c>
      <c r="L43" s="13" t="s">
        <v>91</v>
      </c>
      <c r="M43" s="13" t="s">
        <v>90</v>
      </c>
      <c r="O43" s="10" t="s">
        <v>92</v>
      </c>
    </row>
    <row r="44" spans="1:17" x14ac:dyDescent="0.25">
      <c r="A44" t="s">
        <v>787</v>
      </c>
      <c r="B44" s="9" t="s">
        <v>93</v>
      </c>
      <c r="C44" s="5">
        <f>SUMIFS(I$3:I$39,B$3:B$39,A$43,L$3:L$39,A$44)</f>
        <v>23985</v>
      </c>
      <c r="D44" s="5"/>
      <c r="E44" s="9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21</v>
      </c>
      <c r="P44">
        <f>L49</f>
        <v>7556</v>
      </c>
    </row>
    <row r="45" spans="1:17" x14ac:dyDescent="0.25">
      <c r="B45" s="8" t="s">
        <v>97</v>
      </c>
      <c r="C45" s="4">
        <v>0</v>
      </c>
      <c r="D45" s="4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8" t="s">
        <v>99</v>
      </c>
      <c r="C46" s="4">
        <f>-SUMIFS(I$3:I$39,B$3:B$39,A$43,P$3:P$39,"xx",N$3:N$39,"x")</f>
        <v>0</v>
      </c>
      <c r="D46" s="4"/>
      <c r="E46" s="8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10" t="s">
        <v>101</v>
      </c>
      <c r="C47" s="6">
        <f>SUBTOTAL(9,C44:C46)</f>
        <v>23985</v>
      </c>
      <c r="D47" s="6"/>
      <c r="E47">
        <f>E44</f>
        <v>37</v>
      </c>
      <c r="K47" s="8" t="s">
        <v>102</v>
      </c>
      <c r="O47" t="s">
        <v>103</v>
      </c>
      <c r="P47">
        <f>-C51</f>
        <v>-23985</v>
      </c>
    </row>
    <row r="48" spans="1:17" x14ac:dyDescent="0.25">
      <c r="B48" s="8" t="s">
        <v>104</v>
      </c>
      <c r="C48" s="3"/>
      <c r="D48" s="3"/>
      <c r="K48" s="8" t="s">
        <v>105</v>
      </c>
      <c r="O48" s="10" t="s">
        <v>106</v>
      </c>
      <c r="P48" s="10">
        <f>SUBTOTAL(9,P44:P47)</f>
        <v>177</v>
      </c>
    </row>
    <row r="49" spans="2:13" x14ac:dyDescent="0.25">
      <c r="B49" s="14" t="s">
        <v>107</v>
      </c>
      <c r="C49" s="3"/>
      <c r="D49" s="3"/>
      <c r="L49" s="15">
        <f>SUBTOTAL(9,L44:L48)</f>
        <v>7556</v>
      </c>
      <c r="M49" s="15">
        <f>M44</f>
        <v>11</v>
      </c>
    </row>
    <row r="51" spans="2:13" x14ac:dyDescent="0.25">
      <c r="B51" s="7" t="s">
        <v>108</v>
      </c>
      <c r="C51" s="2">
        <f>C47+C48+C49</f>
        <v>23985</v>
      </c>
      <c r="D51" s="2"/>
      <c r="E51" s="7" t="s">
        <v>109</v>
      </c>
      <c r="K51" s="13" t="s">
        <v>786</v>
      </c>
      <c r="L51" s="13" t="s">
        <v>91</v>
      </c>
      <c r="M51" s="13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8" t="s">
        <v>102</v>
      </c>
    </row>
    <row r="56" spans="2:13" x14ac:dyDescent="0.25">
      <c r="K56" s="8" t="s">
        <v>105</v>
      </c>
    </row>
    <row r="57" spans="2:13" x14ac:dyDescent="0.25">
      <c r="L57" s="15">
        <f>SUBTOTAL(9,L52:L56)</f>
        <v>10246</v>
      </c>
      <c r="M57" s="15">
        <f>M52</f>
        <v>15</v>
      </c>
    </row>
    <row r="59" spans="2:13" x14ac:dyDescent="0.25">
      <c r="K59" s="13" t="s">
        <v>165</v>
      </c>
      <c r="L59" s="13" t="s">
        <v>91</v>
      </c>
      <c r="M59" s="13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8" t="s">
        <v>102</v>
      </c>
    </row>
    <row r="64" spans="2:13" x14ac:dyDescent="0.25">
      <c r="K64" s="8" t="s">
        <v>105</v>
      </c>
    </row>
    <row r="65" spans="12:13" x14ac:dyDescent="0.25">
      <c r="L65" s="15">
        <f>SUBTOTAL(9,L60:L64)</f>
        <v>6360</v>
      </c>
      <c r="M65" s="15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opLeftCell="C22" zoomScale="90" zoomScaleNormal="90" workbookViewId="0">
      <selection activeCell="M27" sqref="M27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891</v>
      </c>
      <c r="D3" s="24" t="s">
        <v>892</v>
      </c>
      <c r="E3" s="24" t="s">
        <v>893</v>
      </c>
      <c r="F3" s="24" t="s">
        <v>26</v>
      </c>
      <c r="G3" s="25">
        <v>720</v>
      </c>
      <c r="H3" s="25">
        <v>30</v>
      </c>
      <c r="I3" s="25">
        <f t="shared" ref="I3:I26" si="0">G3-H3</f>
        <v>690</v>
      </c>
      <c r="J3" s="24" t="s">
        <v>894</v>
      </c>
      <c r="K3" s="24" t="s">
        <v>21</v>
      </c>
      <c r="L3" s="24" t="s">
        <v>895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896</v>
      </c>
      <c r="D4" s="24" t="s">
        <v>897</v>
      </c>
      <c r="E4" s="24" t="s">
        <v>898</v>
      </c>
      <c r="F4" s="25">
        <v>6</v>
      </c>
      <c r="G4" s="25">
        <v>915</v>
      </c>
      <c r="H4" s="25">
        <v>25</v>
      </c>
      <c r="I4" s="25">
        <f t="shared" si="0"/>
        <v>890</v>
      </c>
      <c r="J4" s="24" t="s">
        <v>894</v>
      </c>
      <c r="K4" s="24" t="s">
        <v>21</v>
      </c>
      <c r="L4" s="24" t="s">
        <v>895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899</v>
      </c>
      <c r="D5" s="24" t="s">
        <v>900</v>
      </c>
      <c r="E5" s="24" t="s">
        <v>901</v>
      </c>
      <c r="F5" s="24" t="s">
        <v>88</v>
      </c>
      <c r="G5" s="25">
        <v>25</v>
      </c>
      <c r="H5" s="25">
        <v>25</v>
      </c>
      <c r="I5" s="25">
        <f t="shared" si="0"/>
        <v>0</v>
      </c>
      <c r="J5" s="24" t="s">
        <v>894</v>
      </c>
      <c r="K5" s="24" t="s">
        <v>21</v>
      </c>
      <c r="L5" s="24" t="s">
        <v>895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902</v>
      </c>
      <c r="D6" s="24" t="s">
        <v>903</v>
      </c>
      <c r="E6" s="24" t="s">
        <v>904</v>
      </c>
      <c r="F6" s="25">
        <v>8</v>
      </c>
      <c r="G6" s="25">
        <v>2290</v>
      </c>
      <c r="H6" s="25">
        <v>30</v>
      </c>
      <c r="I6" s="25">
        <f t="shared" si="0"/>
        <v>2260</v>
      </c>
      <c r="J6" s="24" t="s">
        <v>894</v>
      </c>
      <c r="K6" s="24" t="s">
        <v>21</v>
      </c>
      <c r="L6" s="24" t="s">
        <v>895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905</v>
      </c>
      <c r="D7" s="24" t="s">
        <v>906</v>
      </c>
      <c r="E7" s="24" t="s">
        <v>907</v>
      </c>
      <c r="F7" s="25">
        <v>7</v>
      </c>
      <c r="G7" s="25">
        <v>4130</v>
      </c>
      <c r="H7" s="25">
        <v>40</v>
      </c>
      <c r="I7" s="25">
        <f t="shared" si="0"/>
        <v>4090</v>
      </c>
      <c r="J7" s="24" t="s">
        <v>894</v>
      </c>
      <c r="K7" s="24" t="s">
        <v>21</v>
      </c>
      <c r="L7" s="24" t="s">
        <v>895</v>
      </c>
      <c r="M7" s="24" t="s">
        <v>398</v>
      </c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908</v>
      </c>
      <c r="D8" s="24" t="s">
        <v>909</v>
      </c>
      <c r="E8" s="24" t="s">
        <v>910</v>
      </c>
      <c r="F8" s="25">
        <v>6</v>
      </c>
      <c r="G8" s="25">
        <v>565</v>
      </c>
      <c r="H8" s="25">
        <v>25</v>
      </c>
      <c r="I8" s="25">
        <f t="shared" si="0"/>
        <v>540</v>
      </c>
      <c r="J8" s="24" t="s">
        <v>894</v>
      </c>
      <c r="K8" s="24" t="s">
        <v>21</v>
      </c>
      <c r="L8" s="24" t="s">
        <v>895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911</v>
      </c>
      <c r="D9" s="24" t="s">
        <v>912</v>
      </c>
      <c r="E9" s="24" t="s">
        <v>913</v>
      </c>
      <c r="F9" s="24" t="s">
        <v>217</v>
      </c>
      <c r="G9" s="25">
        <v>1535</v>
      </c>
      <c r="H9" s="25">
        <v>25</v>
      </c>
      <c r="I9" s="25">
        <f t="shared" si="0"/>
        <v>1510</v>
      </c>
      <c r="J9" s="24" t="s">
        <v>894</v>
      </c>
      <c r="K9" s="24" t="s">
        <v>21</v>
      </c>
      <c r="L9" s="24" t="s">
        <v>895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914</v>
      </c>
      <c r="D10" s="24" t="s">
        <v>915</v>
      </c>
      <c r="E10" s="24" t="s">
        <v>916</v>
      </c>
      <c r="F10" s="25">
        <v>7</v>
      </c>
      <c r="G10" s="25">
        <v>1910</v>
      </c>
      <c r="H10" s="25">
        <v>30</v>
      </c>
      <c r="I10" s="25">
        <f t="shared" si="0"/>
        <v>1880</v>
      </c>
      <c r="J10" s="24" t="s">
        <v>894</v>
      </c>
      <c r="K10" s="24" t="s">
        <v>21</v>
      </c>
      <c r="L10" s="24" t="s">
        <v>895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247</v>
      </c>
      <c r="D11" s="24" t="s">
        <v>917</v>
      </c>
      <c r="E11" s="24" t="s">
        <v>918</v>
      </c>
      <c r="F11" s="24" t="s">
        <v>26</v>
      </c>
      <c r="G11" s="25">
        <v>820</v>
      </c>
      <c r="H11" s="25">
        <v>30</v>
      </c>
      <c r="I11" s="25">
        <f t="shared" si="0"/>
        <v>790</v>
      </c>
      <c r="J11" s="24" t="s">
        <v>894</v>
      </c>
      <c r="K11" s="24" t="s">
        <v>21</v>
      </c>
      <c r="L11" s="24" t="s">
        <v>895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919</v>
      </c>
      <c r="D12" s="24" t="s">
        <v>920</v>
      </c>
      <c r="E12" s="24" t="s">
        <v>921</v>
      </c>
      <c r="F12" s="25">
        <v>7</v>
      </c>
      <c r="G12" s="25">
        <v>790</v>
      </c>
      <c r="H12" s="25">
        <v>30</v>
      </c>
      <c r="I12" s="25">
        <f t="shared" si="0"/>
        <v>760</v>
      </c>
      <c r="J12" s="24" t="s">
        <v>894</v>
      </c>
      <c r="K12" s="24" t="s">
        <v>21</v>
      </c>
      <c r="L12" s="24" t="s">
        <v>895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922</v>
      </c>
      <c r="D13" s="24" t="s">
        <v>923</v>
      </c>
      <c r="E13" s="24" t="s">
        <v>924</v>
      </c>
      <c r="F13" s="24" t="s">
        <v>88</v>
      </c>
      <c r="G13" s="25">
        <v>705</v>
      </c>
      <c r="H13" s="25">
        <v>25</v>
      </c>
      <c r="I13" s="25">
        <f t="shared" si="0"/>
        <v>680</v>
      </c>
      <c r="J13" s="24" t="s">
        <v>894</v>
      </c>
      <c r="K13" s="24" t="s">
        <v>21</v>
      </c>
      <c r="L13" s="24" t="s">
        <v>895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925</v>
      </c>
      <c r="D14" s="24" t="s">
        <v>926</v>
      </c>
      <c r="E14" s="24" t="s">
        <v>927</v>
      </c>
      <c r="F14" s="24" t="s">
        <v>26</v>
      </c>
      <c r="G14" s="25">
        <v>850</v>
      </c>
      <c r="H14" s="25">
        <v>30</v>
      </c>
      <c r="I14" s="25">
        <f t="shared" si="0"/>
        <v>820</v>
      </c>
      <c r="J14" s="24" t="s">
        <v>894</v>
      </c>
      <c r="K14" s="24" t="s">
        <v>21</v>
      </c>
      <c r="L14" s="24" t="s">
        <v>895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928</v>
      </c>
      <c r="D15" s="24" t="s">
        <v>929</v>
      </c>
      <c r="E15" s="24" t="s">
        <v>930</v>
      </c>
      <c r="F15" s="25">
        <v>11</v>
      </c>
      <c r="G15" s="25">
        <v>385</v>
      </c>
      <c r="H15" s="25">
        <v>25</v>
      </c>
      <c r="I15" s="25">
        <f t="shared" si="0"/>
        <v>360</v>
      </c>
      <c r="J15" s="24" t="s">
        <v>894</v>
      </c>
      <c r="K15" s="24" t="s">
        <v>21</v>
      </c>
      <c r="L15" s="24" t="s">
        <v>895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931</v>
      </c>
      <c r="D16" s="24" t="s">
        <v>932</v>
      </c>
      <c r="E16" s="24" t="s">
        <v>933</v>
      </c>
      <c r="F16" s="25">
        <v>7</v>
      </c>
      <c r="G16" s="25">
        <v>820</v>
      </c>
      <c r="H16" s="25">
        <v>30</v>
      </c>
      <c r="I16" s="25">
        <f t="shared" si="0"/>
        <v>790</v>
      </c>
      <c r="J16" s="24" t="s">
        <v>894</v>
      </c>
      <c r="K16" s="24" t="s">
        <v>21</v>
      </c>
      <c r="L16" s="24" t="s">
        <v>895</v>
      </c>
      <c r="M16" s="24"/>
      <c r="N16" s="24"/>
      <c r="O16" s="24"/>
      <c r="P16" s="24"/>
      <c r="Q16" s="24">
        <v>1</v>
      </c>
    </row>
    <row r="17" spans="1:17" x14ac:dyDescent="0.25">
      <c r="A17" s="24" t="s">
        <v>62</v>
      </c>
      <c r="B17" s="24" t="s">
        <v>16</v>
      </c>
      <c r="C17" s="24" t="s">
        <v>934</v>
      </c>
      <c r="D17" s="24"/>
      <c r="E17" s="24" t="s">
        <v>935</v>
      </c>
      <c r="F17" s="24" t="s">
        <v>88</v>
      </c>
      <c r="G17" s="25">
        <v>30</v>
      </c>
      <c r="H17" s="25">
        <v>30</v>
      </c>
      <c r="I17" s="25">
        <f t="shared" si="0"/>
        <v>0</v>
      </c>
      <c r="J17" s="24" t="s">
        <v>21</v>
      </c>
      <c r="K17" s="24" t="s">
        <v>21</v>
      </c>
      <c r="L17" s="24" t="s">
        <v>895</v>
      </c>
      <c r="M17" s="24"/>
      <c r="N17" s="24"/>
      <c r="O17" s="24"/>
      <c r="P17" s="24"/>
      <c r="Q17" s="24">
        <v>1</v>
      </c>
    </row>
    <row r="18" spans="1:17" x14ac:dyDescent="0.25">
      <c r="A18" s="24" t="s">
        <v>62</v>
      </c>
      <c r="B18" s="24" t="s">
        <v>16</v>
      </c>
      <c r="C18" s="24" t="s">
        <v>640</v>
      </c>
      <c r="D18" s="24"/>
      <c r="E18" s="24" t="s">
        <v>641</v>
      </c>
      <c r="F18" s="24" t="s">
        <v>72</v>
      </c>
      <c r="G18" s="25">
        <v>3050</v>
      </c>
      <c r="H18" s="25">
        <v>30</v>
      </c>
      <c r="I18" s="25">
        <f t="shared" si="0"/>
        <v>3020</v>
      </c>
      <c r="J18" s="24" t="s">
        <v>21</v>
      </c>
      <c r="K18" s="24" t="s">
        <v>21</v>
      </c>
      <c r="L18" s="24" t="s">
        <v>895</v>
      </c>
      <c r="M18" s="24"/>
      <c r="N18" s="24"/>
      <c r="O18" s="24"/>
      <c r="P18" s="24"/>
      <c r="Q18" s="24">
        <v>1</v>
      </c>
    </row>
    <row r="19" spans="1:17" x14ac:dyDescent="0.25">
      <c r="A19" s="24" t="s">
        <v>62</v>
      </c>
      <c r="B19" s="24" t="s">
        <v>16</v>
      </c>
      <c r="C19" s="24" t="s">
        <v>936</v>
      </c>
      <c r="D19" s="24"/>
      <c r="E19" s="24" t="s">
        <v>937</v>
      </c>
      <c r="F19" s="25">
        <v>2</v>
      </c>
      <c r="G19" s="25">
        <v>35</v>
      </c>
      <c r="H19" s="25">
        <v>35</v>
      </c>
      <c r="I19" s="25">
        <f t="shared" si="0"/>
        <v>0</v>
      </c>
      <c r="J19" s="24" t="s">
        <v>21</v>
      </c>
      <c r="K19" s="24" t="s">
        <v>21</v>
      </c>
      <c r="L19" s="24" t="s">
        <v>895</v>
      </c>
      <c r="M19" s="24"/>
      <c r="N19" s="24"/>
      <c r="O19" s="24"/>
      <c r="P19" s="24"/>
      <c r="Q19" s="24">
        <v>1</v>
      </c>
    </row>
    <row r="20" spans="1:17" x14ac:dyDescent="0.25">
      <c r="A20" s="24" t="s">
        <v>62</v>
      </c>
      <c r="B20" s="24" t="s">
        <v>16</v>
      </c>
      <c r="C20" s="24" t="s">
        <v>343</v>
      </c>
      <c r="D20" s="24"/>
      <c r="E20" s="24" t="s">
        <v>938</v>
      </c>
      <c r="F20" s="24" t="s">
        <v>72</v>
      </c>
      <c r="G20" s="25">
        <v>845</v>
      </c>
      <c r="H20" s="25">
        <v>25</v>
      </c>
      <c r="I20" s="25">
        <f t="shared" si="0"/>
        <v>820</v>
      </c>
      <c r="J20" s="24" t="s">
        <v>21</v>
      </c>
      <c r="K20" s="24" t="s">
        <v>21</v>
      </c>
      <c r="L20" s="24" t="s">
        <v>895</v>
      </c>
      <c r="M20" s="24"/>
      <c r="N20" s="24"/>
      <c r="O20" s="24"/>
      <c r="P20" s="24"/>
      <c r="Q20" s="24">
        <v>1</v>
      </c>
    </row>
    <row r="21" spans="1:17" x14ac:dyDescent="0.25">
      <c r="A21" s="24" t="s">
        <v>62</v>
      </c>
      <c r="B21" s="24" t="s">
        <v>16</v>
      </c>
      <c r="C21" s="24" t="s">
        <v>939</v>
      </c>
      <c r="D21" s="24"/>
      <c r="E21" s="24" t="s">
        <v>643</v>
      </c>
      <c r="F21" s="25">
        <v>12</v>
      </c>
      <c r="G21" s="25">
        <v>35</v>
      </c>
      <c r="H21" s="25">
        <v>35</v>
      </c>
      <c r="I21" s="25">
        <f t="shared" si="0"/>
        <v>0</v>
      </c>
      <c r="J21" s="24" t="s">
        <v>21</v>
      </c>
      <c r="K21" s="24" t="s">
        <v>21</v>
      </c>
      <c r="L21" s="24" t="s">
        <v>895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940</v>
      </c>
      <c r="D22" s="24" t="s">
        <v>941</v>
      </c>
      <c r="E22" s="24" t="s">
        <v>942</v>
      </c>
      <c r="F22" s="24" t="s">
        <v>68</v>
      </c>
      <c r="G22" s="25">
        <v>1570</v>
      </c>
      <c r="H22" s="25">
        <v>20</v>
      </c>
      <c r="I22" s="25">
        <f t="shared" si="0"/>
        <v>1550</v>
      </c>
      <c r="J22" s="24" t="s">
        <v>21</v>
      </c>
      <c r="K22" s="24" t="s">
        <v>21</v>
      </c>
      <c r="L22" s="24" t="s">
        <v>895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943</v>
      </c>
      <c r="D23" s="24" t="s">
        <v>944</v>
      </c>
      <c r="E23" s="24" t="s">
        <v>945</v>
      </c>
      <c r="F23" s="25">
        <v>2</v>
      </c>
      <c r="G23" s="25">
        <v>700</v>
      </c>
      <c r="H23" s="25">
        <v>30</v>
      </c>
      <c r="I23" s="25">
        <f t="shared" si="0"/>
        <v>670</v>
      </c>
      <c r="J23" s="24" t="s">
        <v>21</v>
      </c>
      <c r="K23" s="24" t="s">
        <v>21</v>
      </c>
      <c r="L23" s="24" t="s">
        <v>895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850</v>
      </c>
      <c r="D24" s="24" t="s">
        <v>946</v>
      </c>
      <c r="E24" s="24" t="s">
        <v>852</v>
      </c>
      <c r="F24" s="25">
        <v>2</v>
      </c>
      <c r="G24" s="25">
        <v>920</v>
      </c>
      <c r="H24" s="25">
        <v>30</v>
      </c>
      <c r="I24" s="25">
        <f t="shared" si="0"/>
        <v>890</v>
      </c>
      <c r="J24" s="24" t="s">
        <v>21</v>
      </c>
      <c r="K24" s="24" t="s">
        <v>21</v>
      </c>
      <c r="L24" s="24" t="s">
        <v>895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147</v>
      </c>
      <c r="D25" s="24" t="s">
        <v>947</v>
      </c>
      <c r="E25" s="24" t="s">
        <v>149</v>
      </c>
      <c r="F25" s="24" t="s">
        <v>68</v>
      </c>
      <c r="G25" s="25">
        <v>2670</v>
      </c>
      <c r="H25" s="25">
        <v>25</v>
      </c>
      <c r="I25" s="25">
        <f t="shared" si="0"/>
        <v>2645</v>
      </c>
      <c r="J25" s="24" t="s">
        <v>21</v>
      </c>
      <c r="K25" s="24" t="s">
        <v>21</v>
      </c>
      <c r="L25" s="24" t="s">
        <v>895</v>
      </c>
      <c r="M25" s="24" t="s">
        <v>398</v>
      </c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349</v>
      </c>
      <c r="D26" s="24" t="s">
        <v>948</v>
      </c>
      <c r="E26" s="24" t="s">
        <v>949</v>
      </c>
      <c r="F26" s="24" t="s">
        <v>72</v>
      </c>
      <c r="G26" s="25">
        <v>865</v>
      </c>
      <c r="H26" s="25">
        <v>25</v>
      </c>
      <c r="I26" s="25">
        <f t="shared" si="0"/>
        <v>840</v>
      </c>
      <c r="J26" s="24" t="s">
        <v>21</v>
      </c>
      <c r="K26" s="24" t="s">
        <v>21</v>
      </c>
      <c r="L26" s="24" t="s">
        <v>895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950</v>
      </c>
      <c r="D27" s="24" t="s">
        <v>951</v>
      </c>
      <c r="E27" s="24" t="s">
        <v>952</v>
      </c>
      <c r="F27" s="24" t="s">
        <v>72</v>
      </c>
      <c r="G27" s="25">
        <v>0</v>
      </c>
      <c r="H27" s="25">
        <v>25</v>
      </c>
      <c r="I27" s="25">
        <f>-H27</f>
        <v>-25</v>
      </c>
      <c r="J27" s="24" t="s">
        <v>21</v>
      </c>
      <c r="K27" s="24" t="s">
        <v>21</v>
      </c>
      <c r="L27" s="24" t="s">
        <v>895</v>
      </c>
      <c r="M27" s="24" t="s">
        <v>953</v>
      </c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954</v>
      </c>
      <c r="D28" s="24" t="s">
        <v>955</v>
      </c>
      <c r="E28" s="24" t="s">
        <v>956</v>
      </c>
      <c r="F28" s="25">
        <v>2</v>
      </c>
      <c r="G28" s="25">
        <v>950</v>
      </c>
      <c r="H28" s="25">
        <v>30</v>
      </c>
      <c r="I28" s="25">
        <f t="shared" ref="I28:I34" si="1">G28-H28</f>
        <v>920</v>
      </c>
      <c r="J28" s="24" t="s">
        <v>21</v>
      </c>
      <c r="K28" s="24" t="s">
        <v>21</v>
      </c>
      <c r="L28" s="24" t="s">
        <v>895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957</v>
      </c>
      <c r="D29" s="24" t="s">
        <v>958</v>
      </c>
      <c r="E29" s="24" t="s">
        <v>959</v>
      </c>
      <c r="F29" s="25">
        <v>2</v>
      </c>
      <c r="G29" s="25">
        <v>1120</v>
      </c>
      <c r="H29" s="25">
        <v>30</v>
      </c>
      <c r="I29" s="25">
        <f t="shared" si="1"/>
        <v>1090</v>
      </c>
      <c r="J29" s="24" t="s">
        <v>21</v>
      </c>
      <c r="K29" s="24" t="s">
        <v>21</v>
      </c>
      <c r="L29" s="24" t="s">
        <v>895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960</v>
      </c>
      <c r="D30" s="24" t="s">
        <v>961</v>
      </c>
      <c r="E30" s="24" t="s">
        <v>962</v>
      </c>
      <c r="F30" s="25">
        <v>2</v>
      </c>
      <c r="G30" s="25">
        <v>430</v>
      </c>
      <c r="H30" s="25">
        <v>30</v>
      </c>
      <c r="I30" s="25">
        <f t="shared" si="1"/>
        <v>400</v>
      </c>
      <c r="J30" s="24" t="s">
        <v>21</v>
      </c>
      <c r="K30" s="24" t="s">
        <v>21</v>
      </c>
      <c r="L30" s="24" t="s">
        <v>895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963</v>
      </c>
      <c r="D31" s="24" t="s">
        <v>964</v>
      </c>
      <c r="E31" s="24" t="s">
        <v>965</v>
      </c>
      <c r="F31" s="25">
        <v>2</v>
      </c>
      <c r="G31" s="25">
        <v>890</v>
      </c>
      <c r="H31" s="25">
        <v>30</v>
      </c>
      <c r="I31" s="25">
        <f t="shared" si="1"/>
        <v>860</v>
      </c>
      <c r="J31" s="24" t="s">
        <v>21</v>
      </c>
      <c r="K31" s="24" t="s">
        <v>21</v>
      </c>
      <c r="L31" s="24" t="s">
        <v>895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966</v>
      </c>
      <c r="D32" s="24" t="s">
        <v>967</v>
      </c>
      <c r="E32" s="24" t="s">
        <v>968</v>
      </c>
      <c r="F32" s="24" t="s">
        <v>88</v>
      </c>
      <c r="G32" s="25">
        <v>845</v>
      </c>
      <c r="H32" s="25">
        <v>25</v>
      </c>
      <c r="I32" s="25">
        <f t="shared" si="1"/>
        <v>820</v>
      </c>
      <c r="J32" s="24" t="s">
        <v>21</v>
      </c>
      <c r="K32" s="24" t="s">
        <v>21</v>
      </c>
      <c r="L32" s="24" t="s">
        <v>895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969</v>
      </c>
      <c r="D33" s="24" t="s">
        <v>970</v>
      </c>
      <c r="E33" s="24" t="s">
        <v>971</v>
      </c>
      <c r="F33" s="25">
        <v>2</v>
      </c>
      <c r="G33" s="25">
        <v>700</v>
      </c>
      <c r="H33" s="25">
        <v>30</v>
      </c>
      <c r="I33" s="25">
        <f t="shared" si="1"/>
        <v>670</v>
      </c>
      <c r="J33" s="24" t="s">
        <v>21</v>
      </c>
      <c r="K33" s="24" t="s">
        <v>21</v>
      </c>
      <c r="L33" s="24" t="s">
        <v>895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972</v>
      </c>
      <c r="D34" s="24" t="s">
        <v>973</v>
      </c>
      <c r="E34" s="24" t="s">
        <v>974</v>
      </c>
      <c r="F34" s="24" t="s">
        <v>72</v>
      </c>
      <c r="G34" s="25">
        <v>0</v>
      </c>
      <c r="H34" s="25">
        <v>25</v>
      </c>
      <c r="I34" s="25">
        <f t="shared" si="1"/>
        <v>-25</v>
      </c>
      <c r="J34" s="24" t="s">
        <v>21</v>
      </c>
      <c r="K34" s="24" t="s">
        <v>21</v>
      </c>
      <c r="L34" s="24" t="s">
        <v>895</v>
      </c>
      <c r="M34" s="24" t="s">
        <v>975</v>
      </c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976</v>
      </c>
      <c r="D35" s="24" t="s">
        <v>977</v>
      </c>
      <c r="E35" s="24" t="s">
        <v>978</v>
      </c>
      <c r="F35" s="24" t="s">
        <v>68</v>
      </c>
      <c r="G35" s="25">
        <v>0</v>
      </c>
      <c r="H35" s="25">
        <v>20</v>
      </c>
      <c r="I35" s="25">
        <f>-H35</f>
        <v>-20</v>
      </c>
      <c r="J35" s="24" t="s">
        <v>21</v>
      </c>
      <c r="K35" s="24" t="s">
        <v>21</v>
      </c>
      <c r="L35" s="24" t="s">
        <v>895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979</v>
      </c>
      <c r="D36" s="24" t="s">
        <v>980</v>
      </c>
      <c r="E36" s="24" t="s">
        <v>981</v>
      </c>
      <c r="F36" s="24" t="s">
        <v>88</v>
      </c>
      <c r="G36" s="25">
        <v>2030</v>
      </c>
      <c r="H36" s="25">
        <v>30</v>
      </c>
      <c r="I36" s="25">
        <f t="shared" ref="I36:I43" si="2">G36-H36</f>
        <v>2000</v>
      </c>
      <c r="J36" s="24" t="s">
        <v>21</v>
      </c>
      <c r="K36" s="24" t="s">
        <v>21</v>
      </c>
      <c r="L36" s="24" t="s">
        <v>895</v>
      </c>
      <c r="M36" s="24" t="s">
        <v>398</v>
      </c>
      <c r="N36" s="24"/>
      <c r="O36" s="24"/>
      <c r="P36" s="24"/>
      <c r="Q36" s="24">
        <v>1</v>
      </c>
    </row>
    <row r="37" spans="1:17" x14ac:dyDescent="0.25">
      <c r="A37" s="24" t="s">
        <v>62</v>
      </c>
      <c r="B37" s="24" t="s">
        <v>16</v>
      </c>
      <c r="C37" s="24" t="s">
        <v>584</v>
      </c>
      <c r="D37" s="24"/>
      <c r="E37" s="24" t="s">
        <v>585</v>
      </c>
      <c r="F37" s="25">
        <v>4</v>
      </c>
      <c r="G37" s="25">
        <v>30</v>
      </c>
      <c r="H37" s="25">
        <v>30</v>
      </c>
      <c r="I37" s="25">
        <f t="shared" si="2"/>
        <v>0</v>
      </c>
      <c r="J37" s="24" t="s">
        <v>165</v>
      </c>
      <c r="K37" s="24" t="s">
        <v>21</v>
      </c>
      <c r="L37" s="24" t="s">
        <v>895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982</v>
      </c>
      <c r="D38" s="24" t="s">
        <v>983</v>
      </c>
      <c r="E38" s="24" t="s">
        <v>984</v>
      </c>
      <c r="F38" s="25">
        <v>10</v>
      </c>
      <c r="G38" s="25">
        <v>1025</v>
      </c>
      <c r="H38" s="25">
        <v>25</v>
      </c>
      <c r="I38" s="25">
        <f t="shared" si="2"/>
        <v>1000</v>
      </c>
      <c r="J38" s="24" t="s">
        <v>165</v>
      </c>
      <c r="K38" s="24" t="s">
        <v>21</v>
      </c>
      <c r="L38" s="24" t="s">
        <v>895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985</v>
      </c>
      <c r="D39" s="24" t="s">
        <v>986</v>
      </c>
      <c r="E39" s="24" t="s">
        <v>987</v>
      </c>
      <c r="F39" s="24" t="s">
        <v>85</v>
      </c>
      <c r="G39" s="25">
        <v>1110</v>
      </c>
      <c r="H39" s="25">
        <v>20</v>
      </c>
      <c r="I39" s="25">
        <f t="shared" si="2"/>
        <v>1090</v>
      </c>
      <c r="J39" s="24" t="s">
        <v>165</v>
      </c>
      <c r="K39" s="24" t="s">
        <v>21</v>
      </c>
      <c r="L39" s="24" t="s">
        <v>895</v>
      </c>
      <c r="M39" s="24"/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988</v>
      </c>
      <c r="D40" s="24" t="s">
        <v>989</v>
      </c>
      <c r="E40" s="24" t="s">
        <v>990</v>
      </c>
      <c r="F40" s="25">
        <v>1</v>
      </c>
      <c r="G40" s="25">
        <v>1355</v>
      </c>
      <c r="H40" s="25">
        <v>25</v>
      </c>
      <c r="I40" s="25">
        <f t="shared" si="2"/>
        <v>1330</v>
      </c>
      <c r="J40" s="24" t="s">
        <v>165</v>
      </c>
      <c r="K40" s="24" t="s">
        <v>21</v>
      </c>
      <c r="L40" s="24" t="s">
        <v>895</v>
      </c>
      <c r="M40" s="24"/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991</v>
      </c>
      <c r="D41" s="24" t="s">
        <v>992</v>
      </c>
      <c r="E41" s="24" t="s">
        <v>993</v>
      </c>
      <c r="F41" s="24" t="s">
        <v>88</v>
      </c>
      <c r="G41" s="25">
        <v>945</v>
      </c>
      <c r="H41" s="25">
        <v>25</v>
      </c>
      <c r="I41" s="25">
        <f t="shared" si="2"/>
        <v>920</v>
      </c>
      <c r="J41" s="24" t="s">
        <v>165</v>
      </c>
      <c r="K41" s="24" t="s">
        <v>21</v>
      </c>
      <c r="L41" s="24" t="s">
        <v>895</v>
      </c>
      <c r="M41" s="24" t="s">
        <v>312</v>
      </c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994</v>
      </c>
      <c r="D42" s="24" t="s">
        <v>995</v>
      </c>
      <c r="E42" s="24" t="s">
        <v>996</v>
      </c>
      <c r="F42" s="24" t="s">
        <v>85</v>
      </c>
      <c r="G42" s="25">
        <v>560</v>
      </c>
      <c r="H42" s="25">
        <v>20</v>
      </c>
      <c r="I42" s="25">
        <f t="shared" si="2"/>
        <v>540</v>
      </c>
      <c r="J42" s="24" t="s">
        <v>165</v>
      </c>
      <c r="K42" s="24" t="s">
        <v>21</v>
      </c>
      <c r="L42" s="24" t="s">
        <v>895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997</v>
      </c>
      <c r="D43" s="24" t="s">
        <v>998</v>
      </c>
      <c r="E43" s="24" t="s">
        <v>999</v>
      </c>
      <c r="F43" s="25">
        <v>1</v>
      </c>
      <c r="G43" s="25">
        <v>790</v>
      </c>
      <c r="H43" s="25">
        <v>30</v>
      </c>
      <c r="I43" s="25">
        <f t="shared" si="2"/>
        <v>760</v>
      </c>
      <c r="J43" s="24" t="s">
        <v>165</v>
      </c>
      <c r="K43" s="24" t="s">
        <v>21</v>
      </c>
      <c r="L43" s="24" t="s">
        <v>895</v>
      </c>
      <c r="M43" s="24" t="s">
        <v>312</v>
      </c>
      <c r="N43" s="24"/>
      <c r="O43" s="24"/>
      <c r="P43" s="24"/>
      <c r="Q43" s="24">
        <v>1</v>
      </c>
    </row>
    <row r="44" spans="1:17" x14ac:dyDescent="0.25">
      <c r="A44" s="24"/>
      <c r="B44" s="24" t="s">
        <v>16</v>
      </c>
      <c r="C44" s="24" t="s">
        <v>417</v>
      </c>
      <c r="D44" s="24" t="s">
        <v>1000</v>
      </c>
      <c r="E44" s="24" t="s">
        <v>419</v>
      </c>
      <c r="F44" s="25">
        <v>3</v>
      </c>
      <c r="G44" s="25">
        <v>0</v>
      </c>
      <c r="H44" s="25">
        <v>25</v>
      </c>
      <c r="I44" s="25">
        <f>-H44</f>
        <v>-25</v>
      </c>
      <c r="J44" s="24" t="s">
        <v>165</v>
      </c>
      <c r="K44" s="24" t="s">
        <v>21</v>
      </c>
      <c r="L44" s="24" t="s">
        <v>895</v>
      </c>
      <c r="M44" s="24"/>
      <c r="N44" s="24"/>
      <c r="O44" s="24"/>
      <c r="P44" s="24"/>
      <c r="Q44" s="24">
        <v>1</v>
      </c>
    </row>
    <row r="45" spans="1:17" x14ac:dyDescent="0.25">
      <c r="A45" s="24"/>
      <c r="B45" s="24" t="s">
        <v>16</v>
      </c>
      <c r="C45" s="24" t="s">
        <v>1001</v>
      </c>
      <c r="D45" s="24" t="s">
        <v>1002</v>
      </c>
      <c r="E45" s="24" t="s">
        <v>1003</v>
      </c>
      <c r="F45" s="24" t="s">
        <v>88</v>
      </c>
      <c r="G45" s="25">
        <v>0</v>
      </c>
      <c r="H45" s="25">
        <v>25</v>
      </c>
      <c r="I45" s="25">
        <f>-H45</f>
        <v>-25</v>
      </c>
      <c r="J45" s="24" t="s">
        <v>165</v>
      </c>
      <c r="K45" s="24" t="s">
        <v>21</v>
      </c>
      <c r="L45" s="24" t="s">
        <v>895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1004</v>
      </c>
      <c r="D46" s="24" t="s">
        <v>1005</v>
      </c>
      <c r="E46" s="24" t="s">
        <v>1006</v>
      </c>
      <c r="F46" s="25">
        <v>3</v>
      </c>
      <c r="G46" s="25">
        <v>0</v>
      </c>
      <c r="H46" s="25">
        <v>25</v>
      </c>
      <c r="I46" s="25">
        <f>G46-H46</f>
        <v>-25</v>
      </c>
      <c r="J46" s="24" t="s">
        <v>165</v>
      </c>
      <c r="K46" s="24" t="s">
        <v>21</v>
      </c>
      <c r="L46" s="24" t="s">
        <v>895</v>
      </c>
      <c r="M46" s="24" t="s">
        <v>1007</v>
      </c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1008</v>
      </c>
      <c r="D47" s="24" t="s">
        <v>1009</v>
      </c>
      <c r="E47" s="24" t="s">
        <v>1010</v>
      </c>
      <c r="F47" s="25">
        <v>3</v>
      </c>
      <c r="G47" s="25">
        <v>1601</v>
      </c>
      <c r="H47" s="25">
        <v>25</v>
      </c>
      <c r="I47" s="25">
        <f>G47-H47</f>
        <v>1576</v>
      </c>
      <c r="J47" s="24" t="s">
        <v>165</v>
      </c>
      <c r="K47" s="24" t="s">
        <v>21</v>
      </c>
      <c r="L47" s="24" t="s">
        <v>895</v>
      </c>
      <c r="M47" s="24"/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1011</v>
      </c>
      <c r="D48" s="24" t="s">
        <v>1012</v>
      </c>
      <c r="E48" s="24" t="s">
        <v>1013</v>
      </c>
      <c r="F48" s="25">
        <v>1</v>
      </c>
      <c r="G48" s="25">
        <v>0</v>
      </c>
      <c r="H48" s="25">
        <v>25</v>
      </c>
      <c r="I48" s="25">
        <f>-H48</f>
        <v>-25</v>
      </c>
      <c r="J48" s="24" t="s">
        <v>165</v>
      </c>
      <c r="K48" s="24" t="s">
        <v>21</v>
      </c>
      <c r="L48" s="24" t="s">
        <v>895</v>
      </c>
      <c r="M48" s="24"/>
      <c r="N48" s="24"/>
      <c r="O48" s="24"/>
      <c r="P48" s="24"/>
      <c r="Q48" s="24">
        <v>1</v>
      </c>
    </row>
    <row r="49" spans="1:17" x14ac:dyDescent="0.25">
      <c r="A49" s="24"/>
      <c r="B49" s="24" t="s">
        <v>16</v>
      </c>
      <c r="C49" s="24" t="s">
        <v>1014</v>
      </c>
      <c r="D49" s="24" t="s">
        <v>1015</v>
      </c>
      <c r="E49" s="24" t="s">
        <v>1016</v>
      </c>
      <c r="F49" s="24" t="s">
        <v>88</v>
      </c>
      <c r="G49" s="25">
        <v>0</v>
      </c>
      <c r="H49" s="25">
        <v>25</v>
      </c>
      <c r="I49" s="25">
        <f t="shared" ref="I49:I55" si="3">G49-H49</f>
        <v>-25</v>
      </c>
      <c r="J49" s="24" t="s">
        <v>165</v>
      </c>
      <c r="K49" s="24" t="s">
        <v>21</v>
      </c>
      <c r="L49" s="24" t="s">
        <v>895</v>
      </c>
      <c r="M49" s="24"/>
      <c r="N49" s="24"/>
      <c r="O49" s="24"/>
      <c r="P49" s="24"/>
      <c r="Q49" s="24">
        <v>1</v>
      </c>
    </row>
    <row r="50" spans="1:17" x14ac:dyDescent="0.25">
      <c r="A50" s="24"/>
      <c r="B50" s="24" t="s">
        <v>16</v>
      </c>
      <c r="C50" s="24" t="s">
        <v>997</v>
      </c>
      <c r="D50" s="24" t="s">
        <v>1017</v>
      </c>
      <c r="E50" s="24" t="s">
        <v>999</v>
      </c>
      <c r="F50" s="25">
        <v>1</v>
      </c>
      <c r="G50" s="25">
        <v>1330</v>
      </c>
      <c r="H50" s="25">
        <v>0</v>
      </c>
      <c r="I50" s="25">
        <f t="shared" si="3"/>
        <v>1330</v>
      </c>
      <c r="J50" s="24" t="s">
        <v>165</v>
      </c>
      <c r="K50" s="24" t="s">
        <v>21</v>
      </c>
      <c r="L50" s="24" t="s">
        <v>895</v>
      </c>
      <c r="M50" s="24" t="s">
        <v>312</v>
      </c>
      <c r="N50" s="24"/>
      <c r="O50" s="24"/>
      <c r="P50" s="24"/>
      <c r="Q50" s="24">
        <v>1</v>
      </c>
    </row>
    <row r="51" spans="1:17" x14ac:dyDescent="0.25">
      <c r="A51" s="24"/>
      <c r="B51" s="24" t="s">
        <v>16</v>
      </c>
      <c r="C51" s="24" t="s">
        <v>991</v>
      </c>
      <c r="D51" s="24" t="s">
        <v>1018</v>
      </c>
      <c r="E51" s="24" t="s">
        <v>993</v>
      </c>
      <c r="F51" s="24" t="s">
        <v>88</v>
      </c>
      <c r="G51" s="25">
        <v>760</v>
      </c>
      <c r="H51" s="25">
        <v>0</v>
      </c>
      <c r="I51" s="25">
        <f t="shared" si="3"/>
        <v>760</v>
      </c>
      <c r="J51" s="24" t="s">
        <v>165</v>
      </c>
      <c r="K51" s="24" t="s">
        <v>21</v>
      </c>
      <c r="L51" s="24" t="s">
        <v>895</v>
      </c>
      <c r="M51" s="24" t="s">
        <v>312</v>
      </c>
      <c r="N51" s="24"/>
      <c r="O51" s="24"/>
      <c r="P51" s="24"/>
      <c r="Q51" s="24">
        <v>1</v>
      </c>
    </row>
    <row r="52" spans="1:17" x14ac:dyDescent="0.25">
      <c r="A52" s="24"/>
      <c r="B52" s="24" t="s">
        <v>16</v>
      </c>
      <c r="C52" s="24" t="s">
        <v>1019</v>
      </c>
      <c r="D52" s="24" t="s">
        <v>1020</v>
      </c>
      <c r="E52" s="24" t="s">
        <v>1021</v>
      </c>
      <c r="F52" s="25">
        <v>10</v>
      </c>
      <c r="G52" s="25">
        <v>845</v>
      </c>
      <c r="H52" s="25">
        <v>25</v>
      </c>
      <c r="I52" s="25">
        <f t="shared" si="3"/>
        <v>820</v>
      </c>
      <c r="J52" s="24" t="s">
        <v>165</v>
      </c>
      <c r="K52" s="24" t="s">
        <v>21</v>
      </c>
      <c r="L52" s="24" t="s">
        <v>895</v>
      </c>
      <c r="M52" s="24"/>
      <c r="N52" s="24"/>
      <c r="O52" s="24"/>
      <c r="P52" s="24"/>
      <c r="Q52" s="24">
        <v>1</v>
      </c>
    </row>
    <row r="53" spans="1:17" x14ac:dyDescent="0.25">
      <c r="A53" s="24"/>
      <c r="B53" s="24" t="s">
        <v>16</v>
      </c>
      <c r="C53" s="24" t="s">
        <v>1022</v>
      </c>
      <c r="D53" s="24" t="s">
        <v>1023</v>
      </c>
      <c r="E53" s="24" t="s">
        <v>1024</v>
      </c>
      <c r="F53" s="25">
        <v>3</v>
      </c>
      <c r="G53" s="25">
        <v>515</v>
      </c>
      <c r="H53" s="25">
        <v>25</v>
      </c>
      <c r="I53" s="25">
        <f t="shared" si="3"/>
        <v>490</v>
      </c>
      <c r="J53" s="24" t="s">
        <v>165</v>
      </c>
      <c r="K53" s="24" t="s">
        <v>21</v>
      </c>
      <c r="L53" s="24" t="s">
        <v>895</v>
      </c>
      <c r="M53" s="24"/>
      <c r="N53" s="24"/>
      <c r="O53" s="24"/>
      <c r="P53" s="24"/>
      <c r="Q53" s="24">
        <v>1</v>
      </c>
    </row>
    <row r="54" spans="1:17" s="8" customFormat="1" x14ac:dyDescent="0.25">
      <c r="A54" s="26"/>
      <c r="B54" s="26" t="s">
        <v>16</v>
      </c>
      <c r="C54" s="26" t="s">
        <v>659</v>
      </c>
      <c r="D54" s="26" t="s">
        <v>660</v>
      </c>
      <c r="E54" s="26" t="s">
        <v>661</v>
      </c>
      <c r="F54" s="26" t="s">
        <v>88</v>
      </c>
      <c r="G54" s="27">
        <v>765</v>
      </c>
      <c r="H54" s="27">
        <v>0</v>
      </c>
      <c r="I54" s="27">
        <f t="shared" si="3"/>
        <v>765</v>
      </c>
      <c r="J54" s="26" t="s">
        <v>446</v>
      </c>
      <c r="K54" s="26" t="s">
        <v>21</v>
      </c>
      <c r="L54" s="34" t="s">
        <v>598</v>
      </c>
      <c r="M54" s="26" t="s">
        <v>102</v>
      </c>
      <c r="N54" s="26" t="s">
        <v>448</v>
      </c>
      <c r="O54" s="26" t="s">
        <v>448</v>
      </c>
      <c r="P54" s="26" t="s">
        <v>449</v>
      </c>
      <c r="Q54" s="33">
        <v>1</v>
      </c>
    </row>
    <row r="55" spans="1:17" s="8" customFormat="1" x14ac:dyDescent="0.25">
      <c r="A55" s="26"/>
      <c r="B55" s="26" t="s">
        <v>16</v>
      </c>
      <c r="C55" s="26" t="s">
        <v>1025</v>
      </c>
      <c r="D55" s="26"/>
      <c r="E55" s="26" t="s">
        <v>1026</v>
      </c>
      <c r="F55" s="26" t="s">
        <v>85</v>
      </c>
      <c r="G55" s="27">
        <v>210</v>
      </c>
      <c r="H55" s="27">
        <v>0</v>
      </c>
      <c r="I55" s="27">
        <f t="shared" si="3"/>
        <v>210</v>
      </c>
      <c r="J55" s="26" t="s">
        <v>446</v>
      </c>
      <c r="K55" s="26" t="s">
        <v>21</v>
      </c>
      <c r="L55" s="26"/>
      <c r="M55" s="26" t="s">
        <v>1027</v>
      </c>
      <c r="N55" s="26" t="s">
        <v>448</v>
      </c>
      <c r="O55" s="26" t="s">
        <v>448</v>
      </c>
      <c r="P55" s="26" t="s">
        <v>449</v>
      </c>
      <c r="Q55" s="27">
        <v>1</v>
      </c>
    </row>
    <row r="56" spans="1:17" x14ac:dyDescent="0.25">
      <c r="D56" s="7">
        <f>COUNTA(D3:D55)</f>
        <v>46</v>
      </c>
      <c r="G56" s="7">
        <f t="shared" ref="G56:Q56" si="4">SUBTOTAL(9,G3:G55)</f>
        <v>45986</v>
      </c>
      <c r="H56" s="7">
        <f t="shared" si="4"/>
        <v>1335</v>
      </c>
      <c r="I56" s="7">
        <f t="shared" si="4"/>
        <v>44651</v>
      </c>
      <c r="J56" s="7">
        <f t="shared" si="4"/>
        <v>0</v>
      </c>
      <c r="K56" s="7">
        <f t="shared" si="4"/>
        <v>0</v>
      </c>
      <c r="L56" s="7">
        <f t="shared" si="4"/>
        <v>0</v>
      </c>
      <c r="M56" s="7">
        <f t="shared" si="4"/>
        <v>0</v>
      </c>
      <c r="N56" s="7">
        <f t="shared" si="4"/>
        <v>0</v>
      </c>
      <c r="O56" s="7">
        <f t="shared" si="4"/>
        <v>0</v>
      </c>
      <c r="P56" s="7">
        <f t="shared" si="4"/>
        <v>0</v>
      </c>
      <c r="Q56" s="7">
        <f t="shared" si="4"/>
        <v>53</v>
      </c>
    </row>
    <row r="57" spans="1:17" x14ac:dyDescent="0.25">
      <c r="H57">
        <f>-11*17</f>
        <v>-187</v>
      </c>
    </row>
    <row r="58" spans="1:17" x14ac:dyDescent="0.25">
      <c r="A58" s="7" t="s">
        <v>16</v>
      </c>
      <c r="C58" s="6" t="s">
        <v>89</v>
      </c>
      <c r="D58" s="6"/>
      <c r="E58" s="10" t="s">
        <v>90</v>
      </c>
      <c r="H58">
        <f>-3*25</f>
        <v>-75</v>
      </c>
      <c r="K58" s="13" t="s">
        <v>165</v>
      </c>
      <c r="L58" s="13" t="s">
        <v>91</v>
      </c>
      <c r="M58" s="13" t="s">
        <v>90</v>
      </c>
      <c r="O58" s="10" t="s">
        <v>92</v>
      </c>
    </row>
    <row r="59" spans="1:17" x14ac:dyDescent="0.25">
      <c r="A59" t="s">
        <v>895</v>
      </c>
      <c r="B59" s="9" t="s">
        <v>93</v>
      </c>
      <c r="C59" s="5">
        <f>SUMIFS(I$3:I$55,B$3:B$55,A$58,L$3:L$55,A$59)</f>
        <v>43676</v>
      </c>
      <c r="D59" s="5"/>
      <c r="E59" s="9">
        <f>SUMIFS(Q$3:Q$55,B$3:B$55,A$58,L$3:L$55,A$59)</f>
        <v>51</v>
      </c>
      <c r="F59" t="s">
        <v>94</v>
      </c>
      <c r="K59" t="s">
        <v>95</v>
      </c>
      <c r="L59">
        <f>SUMIFS(G$3:G$55,J$3:J$55,K$58)</f>
        <v>10866</v>
      </c>
      <c r="M59">
        <f>SUMIFS(Q$3:Q$55,J$3:J$55,K$58)</f>
        <v>17</v>
      </c>
      <c r="O59" t="s">
        <v>165</v>
      </c>
      <c r="P59">
        <f>L64</f>
        <v>9811</v>
      </c>
    </row>
    <row r="60" spans="1:17" x14ac:dyDescent="0.25">
      <c r="B60" s="8" t="s">
        <v>97</v>
      </c>
      <c r="C60" s="4">
        <v>0</v>
      </c>
      <c r="D60" s="4"/>
      <c r="K60" t="s">
        <v>98</v>
      </c>
      <c r="L60">
        <f>-SUMIFS(H$3:H$55,J$3:J$55,K$58)+M60*5</f>
        <v>-310</v>
      </c>
      <c r="M60">
        <f>SUMIFS(Q$3:Q$55,J$3:J$55,K$58)-COUNTIFS(J$3:J$55,K$58,M$3:M$55,"*gộp*")</f>
        <v>13</v>
      </c>
      <c r="O60" t="s">
        <v>21</v>
      </c>
      <c r="P60">
        <f>L72</f>
        <v>17129</v>
      </c>
    </row>
    <row r="61" spans="1:17" x14ac:dyDescent="0.25">
      <c r="B61" s="8" t="s">
        <v>99</v>
      </c>
      <c r="C61" s="4">
        <f>-SUMIFS(I$3:I$55,B$3:B$55,A$58,P$3:P$55,"xx",N$3:N$55,"x")</f>
        <v>-975</v>
      </c>
      <c r="D61" s="4"/>
      <c r="E61" s="8">
        <f>SUMIFS(Q$3:Q$55,B$3:B$55,A$58,P$3:P$55,"xx",N$3:N$55,"x")</f>
        <v>2</v>
      </c>
      <c r="K61" t="s">
        <v>100</v>
      </c>
      <c r="O61" t="s">
        <v>1028</v>
      </c>
      <c r="P61">
        <f>L80</f>
        <v>16198</v>
      </c>
    </row>
    <row r="62" spans="1:17" x14ac:dyDescent="0.25">
      <c r="B62" s="10" t="s">
        <v>101</v>
      </c>
      <c r="C62" s="6">
        <f>SUBTOTAL(9,C59:C61)</f>
        <v>42701</v>
      </c>
      <c r="D62" s="6"/>
      <c r="E62">
        <f>E59</f>
        <v>51</v>
      </c>
      <c r="K62" s="8" t="s">
        <v>102</v>
      </c>
      <c r="L62" s="35">
        <v>-745</v>
      </c>
      <c r="M62" s="35" t="s">
        <v>451</v>
      </c>
      <c r="O62" t="s">
        <v>103</v>
      </c>
      <c r="P62">
        <f>-C66</f>
        <v>-42701</v>
      </c>
    </row>
    <row r="63" spans="1:17" x14ac:dyDescent="0.25">
      <c r="B63" s="8" t="s">
        <v>104</v>
      </c>
      <c r="C63" s="3"/>
      <c r="D63" s="3"/>
      <c r="K63" s="8" t="s">
        <v>105</v>
      </c>
      <c r="O63" s="10" t="s">
        <v>106</v>
      </c>
      <c r="P63" s="10">
        <f>SUBTOTAL(9,P59:P62)</f>
        <v>437</v>
      </c>
    </row>
    <row r="64" spans="1:17" x14ac:dyDescent="0.25">
      <c r="B64" s="14" t="s">
        <v>107</v>
      </c>
      <c r="C64" s="3"/>
      <c r="D64" s="3"/>
      <c r="L64" s="15">
        <f>SUBTOTAL(9,L59:L63)</f>
        <v>9811</v>
      </c>
      <c r="M64" s="15">
        <f>M59</f>
        <v>17</v>
      </c>
    </row>
    <row r="66" spans="2:13" x14ac:dyDescent="0.25">
      <c r="B66" s="7" t="s">
        <v>108</v>
      </c>
      <c r="C66" s="2">
        <f>C62+C63+C64</f>
        <v>42701</v>
      </c>
      <c r="D66" s="2"/>
      <c r="E66" s="7" t="s">
        <v>109</v>
      </c>
      <c r="K66" s="13" t="s">
        <v>21</v>
      </c>
      <c r="L66" s="13" t="s">
        <v>91</v>
      </c>
      <c r="M66" s="13" t="s">
        <v>90</v>
      </c>
    </row>
    <row r="67" spans="2:13" x14ac:dyDescent="0.25">
      <c r="K67" t="s">
        <v>95</v>
      </c>
      <c r="L67">
        <f>SUMIFS(G$3:G$55,J$3:J$55,K$66)</f>
        <v>17685</v>
      </c>
      <c r="M67">
        <f>SUMIFS(Q$3:Q$55,J$3:J$55,K$66)</f>
        <v>20</v>
      </c>
    </row>
    <row r="68" spans="2:13" x14ac:dyDescent="0.25">
      <c r="K68" t="s">
        <v>98</v>
      </c>
      <c r="L68">
        <f>-SUMIFS(H$3:H$55,J$3:J$55,K$66)+M68*5</f>
        <v>-460</v>
      </c>
      <c r="M68">
        <f>SUMIFS(Q$3:Q$55,J$3:J$55,K$66)-COUNTIFS(J$3:J$55,K$66,M$3:M$55,"*gộp*")</f>
        <v>20</v>
      </c>
    </row>
    <row r="69" spans="2:13" x14ac:dyDescent="0.25">
      <c r="K69" t="s">
        <v>100</v>
      </c>
      <c r="L69">
        <f>-M69*2</f>
        <v>-96</v>
      </c>
      <c r="M69">
        <v>48</v>
      </c>
    </row>
    <row r="70" spans="2:13" x14ac:dyDescent="0.25">
      <c r="K70" s="8" t="s">
        <v>102</v>
      </c>
    </row>
    <row r="71" spans="2:13" x14ac:dyDescent="0.25">
      <c r="K71" s="8" t="s">
        <v>105</v>
      </c>
    </row>
    <row r="72" spans="2:13" x14ac:dyDescent="0.25">
      <c r="L72" s="15">
        <f>SUBTOTAL(9,L67:L71)</f>
        <v>17129</v>
      </c>
      <c r="M72" s="15">
        <f>M67</f>
        <v>20</v>
      </c>
    </row>
    <row r="74" spans="2:13" x14ac:dyDescent="0.25">
      <c r="K74" s="13" t="s">
        <v>894</v>
      </c>
      <c r="L74" s="13" t="s">
        <v>91</v>
      </c>
      <c r="M74" s="13" t="s">
        <v>90</v>
      </c>
    </row>
    <row r="75" spans="2:13" x14ac:dyDescent="0.25">
      <c r="K75" t="s">
        <v>95</v>
      </c>
      <c r="L75">
        <f>SUMIFS(G$3:G$55,J$3:J$55,K$74)</f>
        <v>16460</v>
      </c>
      <c r="M75">
        <f>SUMIFS(Q$3:Q$55,J$3:J$55,K$74)</f>
        <v>14</v>
      </c>
    </row>
    <row r="76" spans="2:13" x14ac:dyDescent="0.25">
      <c r="K76" t="s">
        <v>98</v>
      </c>
      <c r="L76">
        <f>SUM(H57:H58)</f>
        <v>-262</v>
      </c>
      <c r="M76">
        <f>SUMIFS(Q$3:Q$55,J$3:J$55,K$74)</f>
        <v>14</v>
      </c>
    </row>
    <row r="77" spans="2:13" x14ac:dyDescent="0.25">
      <c r="K77" t="s">
        <v>100</v>
      </c>
    </row>
    <row r="78" spans="2:13" x14ac:dyDescent="0.25">
      <c r="K78" s="8" t="s">
        <v>102</v>
      </c>
    </row>
    <row r="79" spans="2:13" x14ac:dyDescent="0.25">
      <c r="K79" s="8" t="s">
        <v>105</v>
      </c>
    </row>
    <row r="80" spans="2:13" x14ac:dyDescent="0.25">
      <c r="L80" s="15">
        <f>SUBTOTAL(9,L75:L79)</f>
        <v>16198</v>
      </c>
      <c r="M80" s="15">
        <f>M75</f>
        <v>14</v>
      </c>
    </row>
  </sheetData>
  <autoFilter ref="A2:P55" xr:uid="{00000000-0009-0000-0000-000008000000}">
    <sortState xmlns:xlrd2="http://schemas.microsoft.com/office/spreadsheetml/2017/richdata2" ref="A3:P55">
      <sortCondition ref="J2:J55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77"/>
  <sheetViews>
    <sheetView topLeftCell="A19" workbookViewId="0">
      <selection activeCell="K20" sqref="K20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10.28515625" customWidth="1"/>
    <col min="5" max="5" width="54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1029</v>
      </c>
      <c r="D3" s="24" t="s">
        <v>1030</v>
      </c>
      <c r="E3" s="24" t="s">
        <v>1031</v>
      </c>
      <c r="F3" s="25">
        <v>9</v>
      </c>
      <c r="G3" s="25">
        <v>1520</v>
      </c>
      <c r="H3" s="25">
        <v>30</v>
      </c>
      <c r="I3" s="25">
        <f>G3-H3</f>
        <v>1490</v>
      </c>
      <c r="J3" s="24" t="s">
        <v>20</v>
      </c>
      <c r="K3" s="24" t="s">
        <v>21</v>
      </c>
      <c r="L3" s="24" t="s">
        <v>1032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676</v>
      </c>
      <c r="D4" s="24" t="s">
        <v>1033</v>
      </c>
      <c r="E4" s="24" t="s">
        <v>678</v>
      </c>
      <c r="F4" s="25">
        <v>6</v>
      </c>
      <c r="G4" s="25">
        <v>0</v>
      </c>
      <c r="H4" s="25">
        <v>25</v>
      </c>
      <c r="I4" s="25">
        <f>-H4</f>
        <v>-25</v>
      </c>
      <c r="J4" s="24" t="s">
        <v>1034</v>
      </c>
      <c r="K4" s="24" t="s">
        <v>21</v>
      </c>
      <c r="L4" s="24" t="s">
        <v>1032</v>
      </c>
      <c r="M4" s="24" t="s">
        <v>49</v>
      </c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1035</v>
      </c>
      <c r="D5" s="24" t="s">
        <v>1036</v>
      </c>
      <c r="E5" s="24" t="s">
        <v>1037</v>
      </c>
      <c r="F5" s="24" t="s">
        <v>26</v>
      </c>
      <c r="G5" s="25">
        <v>390</v>
      </c>
      <c r="H5" s="25">
        <v>30</v>
      </c>
      <c r="I5" s="25">
        <f>G5-H5</f>
        <v>360</v>
      </c>
      <c r="J5" s="24" t="s">
        <v>1034</v>
      </c>
      <c r="K5" s="24" t="s">
        <v>21</v>
      </c>
      <c r="L5" s="24" t="s">
        <v>1032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1038</v>
      </c>
      <c r="D6" s="24" t="s">
        <v>1039</v>
      </c>
      <c r="E6" s="24" t="s">
        <v>1040</v>
      </c>
      <c r="F6" s="25">
        <v>7</v>
      </c>
      <c r="G6" s="25">
        <v>0</v>
      </c>
      <c r="H6" s="25">
        <v>30</v>
      </c>
      <c r="I6" s="25">
        <f>-H6</f>
        <v>-30</v>
      </c>
      <c r="J6" s="24" t="s">
        <v>1034</v>
      </c>
      <c r="K6" s="24" t="s">
        <v>21</v>
      </c>
      <c r="L6" s="24" t="s">
        <v>1032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1041</v>
      </c>
      <c r="D7" s="24" t="s">
        <v>1042</v>
      </c>
      <c r="E7" s="24" t="s">
        <v>1043</v>
      </c>
      <c r="F7" s="24" t="s">
        <v>153</v>
      </c>
      <c r="G7" s="25">
        <v>0</v>
      </c>
      <c r="H7" s="25">
        <v>30</v>
      </c>
      <c r="I7" s="25">
        <f>-H7</f>
        <v>-30</v>
      </c>
      <c r="J7" s="24" t="s">
        <v>1034</v>
      </c>
      <c r="K7" s="24" t="s">
        <v>21</v>
      </c>
      <c r="L7" s="24" t="s">
        <v>1032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1044</v>
      </c>
      <c r="D8" s="24" t="s">
        <v>1045</v>
      </c>
      <c r="E8" s="24" t="s">
        <v>1046</v>
      </c>
      <c r="F8" s="24" t="s">
        <v>88</v>
      </c>
      <c r="G8" s="25">
        <v>0</v>
      </c>
      <c r="H8" s="25">
        <v>25</v>
      </c>
      <c r="I8" s="25">
        <f>-H8</f>
        <v>-25</v>
      </c>
      <c r="J8" s="24" t="s">
        <v>1034</v>
      </c>
      <c r="K8" s="24" t="s">
        <v>21</v>
      </c>
      <c r="L8" s="24" t="s">
        <v>1032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1047</v>
      </c>
      <c r="D9" s="24" t="s">
        <v>1048</v>
      </c>
      <c r="E9" s="24" t="s">
        <v>1049</v>
      </c>
      <c r="F9" s="25">
        <v>6</v>
      </c>
      <c r="G9" s="25">
        <v>915</v>
      </c>
      <c r="H9" s="25">
        <v>25</v>
      </c>
      <c r="I9" s="25">
        <f t="shared" ref="I9:I14" si="0">G9-H9</f>
        <v>890</v>
      </c>
      <c r="J9" s="24" t="s">
        <v>1034</v>
      </c>
      <c r="K9" s="24" t="s">
        <v>21</v>
      </c>
      <c r="L9" s="24" t="s">
        <v>1032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1050</v>
      </c>
      <c r="D10" s="24" t="s">
        <v>1051</v>
      </c>
      <c r="E10" s="24" t="s">
        <v>1052</v>
      </c>
      <c r="F10" s="24" t="s">
        <v>113</v>
      </c>
      <c r="G10" s="25">
        <v>1365</v>
      </c>
      <c r="H10" s="25">
        <v>35</v>
      </c>
      <c r="I10" s="25">
        <f t="shared" si="0"/>
        <v>1330</v>
      </c>
      <c r="J10" s="24" t="s">
        <v>1034</v>
      </c>
      <c r="K10" s="24" t="s">
        <v>21</v>
      </c>
      <c r="L10" s="24" t="s">
        <v>1032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1053</v>
      </c>
      <c r="D11" s="24" t="s">
        <v>1054</v>
      </c>
      <c r="E11" s="24" t="s">
        <v>1055</v>
      </c>
      <c r="F11" s="24" t="s">
        <v>217</v>
      </c>
      <c r="G11" s="25">
        <v>2970</v>
      </c>
      <c r="H11" s="25">
        <v>30</v>
      </c>
      <c r="I11" s="25">
        <f t="shared" si="0"/>
        <v>2940</v>
      </c>
      <c r="J11" s="24" t="s">
        <v>1034</v>
      </c>
      <c r="K11" s="24" t="s">
        <v>21</v>
      </c>
      <c r="L11" s="24" t="s">
        <v>1032</v>
      </c>
      <c r="M11" s="24" t="s">
        <v>398</v>
      </c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1056</v>
      </c>
      <c r="D12" s="24" t="s">
        <v>1057</v>
      </c>
      <c r="E12" s="24" t="s">
        <v>1058</v>
      </c>
      <c r="F12" s="25">
        <v>7</v>
      </c>
      <c r="G12" s="25">
        <v>1390</v>
      </c>
      <c r="H12" s="25">
        <v>30</v>
      </c>
      <c r="I12" s="25">
        <f t="shared" si="0"/>
        <v>1360</v>
      </c>
      <c r="J12" s="24" t="s">
        <v>1034</v>
      </c>
      <c r="K12" s="24" t="s">
        <v>21</v>
      </c>
      <c r="L12" s="24" t="s">
        <v>1032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1059</v>
      </c>
      <c r="D13" s="24" t="s">
        <v>1060</v>
      </c>
      <c r="E13" s="24" t="s">
        <v>1061</v>
      </c>
      <c r="F13" s="25">
        <v>12</v>
      </c>
      <c r="G13" s="25">
        <v>890</v>
      </c>
      <c r="H13" s="25">
        <v>30</v>
      </c>
      <c r="I13" s="25">
        <f t="shared" si="0"/>
        <v>860</v>
      </c>
      <c r="J13" s="24" t="s">
        <v>1034</v>
      </c>
      <c r="K13" s="24" t="s">
        <v>21</v>
      </c>
      <c r="L13" s="24" t="s">
        <v>1032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1062</v>
      </c>
      <c r="D14" s="24" t="s">
        <v>1063</v>
      </c>
      <c r="E14" s="24" t="s">
        <v>1064</v>
      </c>
      <c r="F14" s="24" t="s">
        <v>26</v>
      </c>
      <c r="G14" s="25">
        <v>1450</v>
      </c>
      <c r="H14" s="25">
        <v>30</v>
      </c>
      <c r="I14" s="25">
        <f t="shared" si="0"/>
        <v>1420</v>
      </c>
      <c r="J14" s="24" t="s">
        <v>1034</v>
      </c>
      <c r="K14" s="24" t="s">
        <v>21</v>
      </c>
      <c r="L14" s="24" t="s">
        <v>1032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1065</v>
      </c>
      <c r="D15" s="24" t="s">
        <v>1066</v>
      </c>
      <c r="E15" s="24" t="s">
        <v>1067</v>
      </c>
      <c r="F15" s="25">
        <v>12</v>
      </c>
      <c r="G15" s="25">
        <v>0</v>
      </c>
      <c r="H15" s="25">
        <v>30</v>
      </c>
      <c r="I15" s="25">
        <f>-H15</f>
        <v>-30</v>
      </c>
      <c r="J15" s="24" t="s">
        <v>1034</v>
      </c>
      <c r="K15" s="24" t="s">
        <v>21</v>
      </c>
      <c r="L15" s="24" t="s">
        <v>1032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1068</v>
      </c>
      <c r="D16" s="24" t="s">
        <v>1069</v>
      </c>
      <c r="E16" s="24" t="s">
        <v>1070</v>
      </c>
      <c r="F16" s="25">
        <v>7</v>
      </c>
      <c r="G16" s="25">
        <v>1120</v>
      </c>
      <c r="H16" s="25">
        <v>30</v>
      </c>
      <c r="I16" s="25">
        <f t="shared" ref="I16:I26" si="1">G16-H16</f>
        <v>1090</v>
      </c>
      <c r="J16" s="24" t="s">
        <v>1034</v>
      </c>
      <c r="K16" s="24" t="s">
        <v>21</v>
      </c>
      <c r="L16" s="24" t="s">
        <v>1032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1071</v>
      </c>
      <c r="D17" s="24" t="s">
        <v>1072</v>
      </c>
      <c r="E17" s="24" t="s">
        <v>1073</v>
      </c>
      <c r="F17" s="24" t="s">
        <v>128</v>
      </c>
      <c r="G17" s="25">
        <v>925</v>
      </c>
      <c r="H17" s="25">
        <v>35</v>
      </c>
      <c r="I17" s="25">
        <f t="shared" si="1"/>
        <v>890</v>
      </c>
      <c r="J17" s="24" t="s">
        <v>1034</v>
      </c>
      <c r="K17" s="24" t="s">
        <v>21</v>
      </c>
      <c r="L17" s="24" t="s">
        <v>1032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247</v>
      </c>
      <c r="D18" s="24" t="s">
        <v>1074</v>
      </c>
      <c r="E18" s="24" t="s">
        <v>918</v>
      </c>
      <c r="F18" s="24" t="s">
        <v>26</v>
      </c>
      <c r="G18" s="25">
        <v>3250</v>
      </c>
      <c r="H18" s="25">
        <v>35</v>
      </c>
      <c r="I18" s="25">
        <f t="shared" si="1"/>
        <v>3215</v>
      </c>
      <c r="J18" s="24" t="s">
        <v>1034</v>
      </c>
      <c r="K18" s="24" t="s">
        <v>21</v>
      </c>
      <c r="L18" s="24" t="s">
        <v>1032</v>
      </c>
      <c r="M18" s="24" t="s">
        <v>398</v>
      </c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1075</v>
      </c>
      <c r="D19" s="24" t="s">
        <v>1076</v>
      </c>
      <c r="E19" s="24" t="s">
        <v>1077</v>
      </c>
      <c r="F19" s="25">
        <v>7</v>
      </c>
      <c r="G19" s="25">
        <v>380</v>
      </c>
      <c r="H19" s="25">
        <v>30</v>
      </c>
      <c r="I19" s="25">
        <f t="shared" si="1"/>
        <v>350</v>
      </c>
      <c r="J19" s="24" t="s">
        <v>1034</v>
      </c>
      <c r="K19" s="24" t="s">
        <v>21</v>
      </c>
      <c r="L19" s="24" t="s">
        <v>1032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1078</v>
      </c>
      <c r="D20" s="24" t="s">
        <v>1079</v>
      </c>
      <c r="E20" s="24" t="s">
        <v>1080</v>
      </c>
      <c r="F20" s="25">
        <v>6</v>
      </c>
      <c r="G20" s="25">
        <v>815</v>
      </c>
      <c r="H20" s="25">
        <v>25</v>
      </c>
      <c r="I20" s="25">
        <f t="shared" si="1"/>
        <v>790</v>
      </c>
      <c r="J20" s="24" t="s">
        <v>1034</v>
      </c>
      <c r="K20" s="24" t="s">
        <v>21</v>
      </c>
      <c r="L20" s="24" t="s">
        <v>1032</v>
      </c>
      <c r="M20" s="24"/>
      <c r="N20" s="24"/>
      <c r="O20" s="24"/>
      <c r="P20" s="24"/>
      <c r="Q20" s="24">
        <v>1</v>
      </c>
    </row>
    <row r="21" spans="1:17" x14ac:dyDescent="0.25">
      <c r="A21" s="24" t="s">
        <v>62</v>
      </c>
      <c r="B21" s="24" t="s">
        <v>16</v>
      </c>
      <c r="C21" s="24" t="s">
        <v>936</v>
      </c>
      <c r="D21" s="24"/>
      <c r="E21" s="24" t="s">
        <v>1081</v>
      </c>
      <c r="F21" s="25">
        <v>2</v>
      </c>
      <c r="G21" s="25">
        <v>35</v>
      </c>
      <c r="H21" s="25">
        <v>35</v>
      </c>
      <c r="I21" s="25">
        <f t="shared" si="1"/>
        <v>0</v>
      </c>
      <c r="J21" s="24" t="s">
        <v>21</v>
      </c>
      <c r="K21" s="24" t="s">
        <v>21</v>
      </c>
      <c r="L21" s="24" t="s">
        <v>1032</v>
      </c>
      <c r="M21" s="24"/>
      <c r="N21" s="24"/>
      <c r="O21" s="24"/>
      <c r="P21" s="24"/>
      <c r="Q21" s="24">
        <v>1</v>
      </c>
    </row>
    <row r="22" spans="1:17" x14ac:dyDescent="0.25">
      <c r="A22" s="24" t="s">
        <v>62</v>
      </c>
      <c r="B22" s="24" t="s">
        <v>16</v>
      </c>
      <c r="C22" s="24" t="s">
        <v>318</v>
      </c>
      <c r="D22" s="24"/>
      <c r="E22" s="24" t="s">
        <v>319</v>
      </c>
      <c r="F22" s="24" t="s">
        <v>72</v>
      </c>
      <c r="G22" s="25">
        <v>30</v>
      </c>
      <c r="H22" s="25">
        <v>30</v>
      </c>
      <c r="I22" s="25">
        <f t="shared" si="1"/>
        <v>0</v>
      </c>
      <c r="J22" s="24" t="s">
        <v>21</v>
      </c>
      <c r="K22" s="24" t="s">
        <v>21</v>
      </c>
      <c r="L22" s="24" t="s">
        <v>1032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1082</v>
      </c>
      <c r="D23" s="24" t="s">
        <v>1083</v>
      </c>
      <c r="E23" s="24" t="s">
        <v>1084</v>
      </c>
      <c r="F23" s="24" t="s">
        <v>68</v>
      </c>
      <c r="G23" s="25">
        <v>510</v>
      </c>
      <c r="H23" s="25">
        <v>20</v>
      </c>
      <c r="I23" s="25">
        <f t="shared" si="1"/>
        <v>490</v>
      </c>
      <c r="J23" s="24" t="s">
        <v>21</v>
      </c>
      <c r="K23" s="24" t="s">
        <v>21</v>
      </c>
      <c r="L23" s="24" t="s">
        <v>1032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1085</v>
      </c>
      <c r="D24" s="24" t="s">
        <v>1086</v>
      </c>
      <c r="E24" s="24" t="s">
        <v>1087</v>
      </c>
      <c r="F24" s="25">
        <v>2</v>
      </c>
      <c r="G24" s="25">
        <v>520</v>
      </c>
      <c r="H24" s="25">
        <v>30</v>
      </c>
      <c r="I24" s="25">
        <f t="shared" si="1"/>
        <v>490</v>
      </c>
      <c r="J24" s="24" t="s">
        <v>21</v>
      </c>
      <c r="K24" s="24" t="s">
        <v>21</v>
      </c>
      <c r="L24" s="24" t="s">
        <v>1032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1088</v>
      </c>
      <c r="D25" s="24" t="s">
        <v>1089</v>
      </c>
      <c r="E25" s="24" t="s">
        <v>1090</v>
      </c>
      <c r="F25" s="24" t="s">
        <v>68</v>
      </c>
      <c r="G25" s="25">
        <v>510</v>
      </c>
      <c r="H25" s="25">
        <v>20</v>
      </c>
      <c r="I25" s="25">
        <f t="shared" si="1"/>
        <v>490</v>
      </c>
      <c r="J25" s="24" t="s">
        <v>21</v>
      </c>
      <c r="K25" s="24" t="s">
        <v>21</v>
      </c>
      <c r="L25" s="24" t="s">
        <v>1032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1091</v>
      </c>
      <c r="D26" s="24" t="s">
        <v>1092</v>
      </c>
      <c r="E26" s="24" t="s">
        <v>1093</v>
      </c>
      <c r="F26" s="24" t="s">
        <v>153</v>
      </c>
      <c r="G26" s="25">
        <v>470</v>
      </c>
      <c r="H26" s="25">
        <v>30</v>
      </c>
      <c r="I26" s="25">
        <f t="shared" si="1"/>
        <v>440</v>
      </c>
      <c r="J26" s="24" t="s">
        <v>21</v>
      </c>
      <c r="K26" s="24" t="s">
        <v>21</v>
      </c>
      <c r="L26" s="24" t="s">
        <v>1032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1094</v>
      </c>
      <c r="D27" s="24" t="s">
        <v>1095</v>
      </c>
      <c r="E27" s="24" t="s">
        <v>1096</v>
      </c>
      <c r="F27" s="24" t="s">
        <v>72</v>
      </c>
      <c r="G27" s="25">
        <v>0</v>
      </c>
      <c r="H27" s="25">
        <v>25</v>
      </c>
      <c r="I27" s="25">
        <f>-H27</f>
        <v>-25</v>
      </c>
      <c r="J27" s="24" t="s">
        <v>21</v>
      </c>
      <c r="K27" s="24" t="s">
        <v>21</v>
      </c>
      <c r="L27" s="24" t="s">
        <v>1032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1097</v>
      </c>
      <c r="D28" s="24" t="s">
        <v>1098</v>
      </c>
      <c r="E28" s="24" t="s">
        <v>1099</v>
      </c>
      <c r="F28" s="25">
        <v>2</v>
      </c>
      <c r="G28" s="25">
        <v>790</v>
      </c>
      <c r="H28" s="25">
        <v>30</v>
      </c>
      <c r="I28" s="25">
        <f t="shared" ref="I28:I33" si="2">G28-H28</f>
        <v>760</v>
      </c>
      <c r="J28" s="24" t="s">
        <v>21</v>
      </c>
      <c r="K28" s="24" t="s">
        <v>21</v>
      </c>
      <c r="L28" s="24" t="s">
        <v>1032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1100</v>
      </c>
      <c r="D29" s="24" t="s">
        <v>1101</v>
      </c>
      <c r="E29" s="24" t="s">
        <v>1102</v>
      </c>
      <c r="F29" s="24" t="s">
        <v>68</v>
      </c>
      <c r="G29" s="25">
        <v>910</v>
      </c>
      <c r="H29" s="25">
        <v>20</v>
      </c>
      <c r="I29" s="25">
        <f t="shared" si="2"/>
        <v>890</v>
      </c>
      <c r="J29" s="24" t="s">
        <v>21</v>
      </c>
      <c r="K29" s="24" t="s">
        <v>21</v>
      </c>
      <c r="L29" s="24" t="s">
        <v>1032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1103</v>
      </c>
      <c r="D30" s="24" t="s">
        <v>1104</v>
      </c>
      <c r="E30" s="24" t="s">
        <v>1105</v>
      </c>
      <c r="F30" s="25">
        <v>3</v>
      </c>
      <c r="G30" s="25">
        <v>535</v>
      </c>
      <c r="H30" s="25">
        <v>25</v>
      </c>
      <c r="I30" s="25">
        <f t="shared" si="2"/>
        <v>510</v>
      </c>
      <c r="J30" s="24" t="s">
        <v>165</v>
      </c>
      <c r="K30" s="24" t="s">
        <v>21</v>
      </c>
      <c r="L30" s="24" t="s">
        <v>1032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1106</v>
      </c>
      <c r="D31" s="24" t="s">
        <v>1107</v>
      </c>
      <c r="E31" s="24" t="s">
        <v>1108</v>
      </c>
      <c r="F31" s="25">
        <v>3</v>
      </c>
      <c r="G31" s="25">
        <v>1005</v>
      </c>
      <c r="H31" s="25">
        <v>25</v>
      </c>
      <c r="I31" s="25">
        <f t="shared" si="2"/>
        <v>980</v>
      </c>
      <c r="J31" s="24" t="s">
        <v>165</v>
      </c>
      <c r="K31" s="24" t="s">
        <v>21</v>
      </c>
      <c r="L31" s="24" t="s">
        <v>1032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1109</v>
      </c>
      <c r="D32" s="24" t="s">
        <v>1110</v>
      </c>
      <c r="E32" s="24" t="s">
        <v>1111</v>
      </c>
      <c r="F32" s="25">
        <v>1</v>
      </c>
      <c r="G32" s="25">
        <v>375</v>
      </c>
      <c r="H32" s="25">
        <v>25</v>
      </c>
      <c r="I32" s="25">
        <f t="shared" si="2"/>
        <v>350</v>
      </c>
      <c r="J32" s="24" t="s">
        <v>165</v>
      </c>
      <c r="K32" s="24" t="s">
        <v>21</v>
      </c>
      <c r="L32" s="24" t="s">
        <v>1032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1112</v>
      </c>
      <c r="D33" s="24" t="s">
        <v>1113</v>
      </c>
      <c r="E33" s="24" t="s">
        <v>1114</v>
      </c>
      <c r="F33" s="25">
        <v>4</v>
      </c>
      <c r="G33" s="25">
        <v>845</v>
      </c>
      <c r="H33" s="25">
        <v>25</v>
      </c>
      <c r="I33" s="25">
        <f t="shared" si="2"/>
        <v>820</v>
      </c>
      <c r="J33" s="24" t="s">
        <v>165</v>
      </c>
      <c r="K33" s="24" t="s">
        <v>21</v>
      </c>
      <c r="L33" s="24" t="s">
        <v>1032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1115</v>
      </c>
      <c r="D34" s="24" t="s">
        <v>1116</v>
      </c>
      <c r="E34" s="24" t="s">
        <v>1117</v>
      </c>
      <c r="F34" s="24" t="s">
        <v>88</v>
      </c>
      <c r="G34" s="25">
        <v>0</v>
      </c>
      <c r="H34" s="25">
        <v>25</v>
      </c>
      <c r="I34" s="25">
        <f>-H34</f>
        <v>-25</v>
      </c>
      <c r="J34" s="24" t="s">
        <v>165</v>
      </c>
      <c r="K34" s="24" t="s">
        <v>21</v>
      </c>
      <c r="L34" s="24" t="s">
        <v>1032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1118</v>
      </c>
      <c r="D35" s="24" t="s">
        <v>1119</v>
      </c>
      <c r="E35" s="24" t="s">
        <v>1120</v>
      </c>
      <c r="F35" s="24" t="s">
        <v>85</v>
      </c>
      <c r="G35" s="25">
        <v>560</v>
      </c>
      <c r="H35" s="25">
        <v>20</v>
      </c>
      <c r="I35" s="25">
        <f t="shared" ref="I35:I40" si="3">G35-H35</f>
        <v>540</v>
      </c>
      <c r="J35" s="24" t="s">
        <v>165</v>
      </c>
      <c r="K35" s="24" t="s">
        <v>21</v>
      </c>
      <c r="L35" s="24" t="s">
        <v>1032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1121</v>
      </c>
      <c r="D36" s="24" t="s">
        <v>1122</v>
      </c>
      <c r="E36" s="24" t="s">
        <v>1123</v>
      </c>
      <c r="F36" s="25">
        <v>10</v>
      </c>
      <c r="G36" s="25">
        <v>445</v>
      </c>
      <c r="H36" s="25">
        <v>25</v>
      </c>
      <c r="I36" s="25">
        <f t="shared" si="3"/>
        <v>420</v>
      </c>
      <c r="J36" s="24" t="s">
        <v>165</v>
      </c>
      <c r="K36" s="24" t="s">
        <v>21</v>
      </c>
      <c r="L36" s="24" t="s">
        <v>1032</v>
      </c>
      <c r="M36" s="24" t="s">
        <v>49</v>
      </c>
      <c r="N36" s="24"/>
      <c r="O36" s="24"/>
      <c r="P36" s="24"/>
      <c r="Q36" s="24">
        <v>1</v>
      </c>
    </row>
    <row r="37" spans="1:17" x14ac:dyDescent="0.25">
      <c r="A37" s="24"/>
      <c r="B37" s="24" t="s">
        <v>16</v>
      </c>
      <c r="C37" s="24" t="s">
        <v>1124</v>
      </c>
      <c r="D37" s="24" t="s">
        <v>1125</v>
      </c>
      <c r="E37" s="24" t="s">
        <v>1126</v>
      </c>
      <c r="F37" s="25">
        <v>5</v>
      </c>
      <c r="G37" s="25">
        <v>515</v>
      </c>
      <c r="H37" s="25">
        <v>25</v>
      </c>
      <c r="I37" s="25">
        <f t="shared" si="3"/>
        <v>490</v>
      </c>
      <c r="J37" s="24" t="s">
        <v>165</v>
      </c>
      <c r="K37" s="24" t="s">
        <v>21</v>
      </c>
      <c r="L37" s="24" t="s">
        <v>1032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1127</v>
      </c>
      <c r="D38" s="24" t="s">
        <v>1128</v>
      </c>
      <c r="E38" s="24" t="s">
        <v>1129</v>
      </c>
      <c r="F38" s="24" t="s">
        <v>85</v>
      </c>
      <c r="G38" s="25">
        <v>1350</v>
      </c>
      <c r="H38" s="25">
        <v>20</v>
      </c>
      <c r="I38" s="25">
        <f t="shared" si="3"/>
        <v>1330</v>
      </c>
      <c r="J38" s="24" t="s">
        <v>165</v>
      </c>
      <c r="K38" s="24" t="s">
        <v>21</v>
      </c>
      <c r="L38" s="24" t="s">
        <v>1032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1130</v>
      </c>
      <c r="D39" s="24" t="s">
        <v>1131</v>
      </c>
      <c r="E39" s="24" t="s">
        <v>1132</v>
      </c>
      <c r="F39" s="25">
        <v>4</v>
      </c>
      <c r="G39" s="25">
        <v>785</v>
      </c>
      <c r="H39" s="25">
        <v>25</v>
      </c>
      <c r="I39" s="25">
        <f t="shared" si="3"/>
        <v>760</v>
      </c>
      <c r="J39" s="24" t="s">
        <v>165</v>
      </c>
      <c r="K39" s="24" t="s">
        <v>21</v>
      </c>
      <c r="L39" s="24" t="s">
        <v>1032</v>
      </c>
      <c r="M39" s="24"/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1133</v>
      </c>
      <c r="D40" s="24" t="s">
        <v>1134</v>
      </c>
      <c r="E40" s="24" t="s">
        <v>1135</v>
      </c>
      <c r="F40" s="25">
        <v>1</v>
      </c>
      <c r="G40" s="25">
        <v>515</v>
      </c>
      <c r="H40" s="25">
        <v>25</v>
      </c>
      <c r="I40" s="25">
        <f t="shared" si="3"/>
        <v>490</v>
      </c>
      <c r="J40" s="24" t="s">
        <v>165</v>
      </c>
      <c r="K40" s="24" t="s">
        <v>21</v>
      </c>
      <c r="L40" s="24" t="s">
        <v>1032</v>
      </c>
      <c r="M40" s="24"/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1136</v>
      </c>
      <c r="D41" s="24" t="s">
        <v>1137</v>
      </c>
      <c r="E41" s="24" t="s">
        <v>1138</v>
      </c>
      <c r="F41" s="25">
        <v>3</v>
      </c>
      <c r="G41" s="25">
        <v>0</v>
      </c>
      <c r="H41" s="25">
        <v>25</v>
      </c>
      <c r="I41" s="25">
        <f>-H41</f>
        <v>-25</v>
      </c>
      <c r="J41" s="24" t="s">
        <v>165</v>
      </c>
      <c r="K41" s="24" t="s">
        <v>21</v>
      </c>
      <c r="L41" s="24" t="s">
        <v>1032</v>
      </c>
      <c r="M41" s="24"/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985</v>
      </c>
      <c r="D42" s="24" t="s">
        <v>1139</v>
      </c>
      <c r="E42" s="24" t="s">
        <v>1140</v>
      </c>
      <c r="F42" s="24" t="s">
        <v>85</v>
      </c>
      <c r="G42" s="25">
        <v>1110</v>
      </c>
      <c r="H42" s="25">
        <v>20</v>
      </c>
      <c r="I42" s="25">
        <f>G42-H42</f>
        <v>1090</v>
      </c>
      <c r="J42" s="24" t="s">
        <v>165</v>
      </c>
      <c r="K42" s="24" t="s">
        <v>21</v>
      </c>
      <c r="L42" s="24" t="s">
        <v>1032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1141</v>
      </c>
      <c r="D43" s="24" t="s">
        <v>1142</v>
      </c>
      <c r="E43" s="24" t="s">
        <v>1143</v>
      </c>
      <c r="F43" s="25">
        <v>4</v>
      </c>
      <c r="G43" s="25">
        <v>715</v>
      </c>
      <c r="H43" s="25">
        <v>25</v>
      </c>
      <c r="I43" s="25">
        <f>G43-H43</f>
        <v>690</v>
      </c>
      <c r="J43" s="24" t="s">
        <v>165</v>
      </c>
      <c r="K43" s="24" t="s">
        <v>21</v>
      </c>
      <c r="L43" s="24" t="s">
        <v>1032</v>
      </c>
      <c r="M43" s="24"/>
      <c r="N43" s="24"/>
      <c r="O43" s="24"/>
      <c r="P43" s="24"/>
      <c r="Q43" s="24">
        <v>1</v>
      </c>
    </row>
    <row r="45" spans="1:17" x14ac:dyDescent="0.25">
      <c r="D45" s="7">
        <f>COUNTA(D3:D43)</f>
        <v>39</v>
      </c>
      <c r="G45" s="7">
        <f t="shared" ref="G45:Q45" si="4">SUBTOTAL(9,G3:G43)</f>
        <v>29910</v>
      </c>
      <c r="H45" s="7">
        <f t="shared" si="4"/>
        <v>1110</v>
      </c>
      <c r="I45" s="7">
        <f t="shared" si="4"/>
        <v>28800</v>
      </c>
      <c r="J45" s="7">
        <f t="shared" si="4"/>
        <v>0</v>
      </c>
      <c r="K45" s="7">
        <f t="shared" si="4"/>
        <v>0</v>
      </c>
      <c r="L45" s="7">
        <f t="shared" si="4"/>
        <v>0</v>
      </c>
      <c r="M45" s="7">
        <f t="shared" si="4"/>
        <v>0</v>
      </c>
      <c r="N45" s="7">
        <f t="shared" si="4"/>
        <v>0</v>
      </c>
      <c r="O45" s="7">
        <f t="shared" si="4"/>
        <v>0</v>
      </c>
      <c r="P45" s="7">
        <f t="shared" si="4"/>
        <v>0</v>
      </c>
      <c r="Q45" s="7">
        <f t="shared" si="4"/>
        <v>41</v>
      </c>
    </row>
    <row r="46" spans="1:17" x14ac:dyDescent="0.25">
      <c r="H46">
        <f>-9*17</f>
        <v>-153</v>
      </c>
    </row>
    <row r="47" spans="1:17" x14ac:dyDescent="0.25">
      <c r="A47" s="7" t="s">
        <v>16</v>
      </c>
      <c r="C47" s="6" t="s">
        <v>89</v>
      </c>
      <c r="D47" s="6"/>
      <c r="E47" s="10" t="s">
        <v>90</v>
      </c>
      <c r="H47">
        <f>-6*25</f>
        <v>-150</v>
      </c>
      <c r="K47" s="13" t="s">
        <v>21</v>
      </c>
      <c r="L47" s="13" t="s">
        <v>91</v>
      </c>
      <c r="M47" s="13" t="s">
        <v>90</v>
      </c>
      <c r="O47" s="10" t="s">
        <v>92</v>
      </c>
    </row>
    <row r="48" spans="1:17" x14ac:dyDescent="0.25">
      <c r="A48" t="s">
        <v>1032</v>
      </c>
      <c r="B48" s="9" t="s">
        <v>93</v>
      </c>
      <c r="C48" s="5">
        <f>SUMIFS(I$3:I$43,B$3:B$43,A$47,L$3:L$43,A$48)</f>
        <v>28800</v>
      </c>
      <c r="D48" s="5"/>
      <c r="E48" s="9">
        <f>SUMIFS(Q$3:Q$43,B$3:B$43,A$47,L$3:L$43,A$48)</f>
        <v>41</v>
      </c>
      <c r="F48" t="s">
        <v>94</v>
      </c>
      <c r="H48">
        <f>-2*30</f>
        <v>-60</v>
      </c>
      <c r="K48" t="s">
        <v>95</v>
      </c>
      <c r="L48">
        <f>SUMIFS(G$3:G$43,J$3:J$43,K$47)</f>
        <v>3775</v>
      </c>
      <c r="M48">
        <f>SUMIFS(Q$3:Q$43,J$3:J$43,K$47)</f>
        <v>9</v>
      </c>
      <c r="O48" t="s">
        <v>21</v>
      </c>
      <c r="P48">
        <f>L53</f>
        <v>3498</v>
      </c>
    </row>
    <row r="49" spans="2:16" x14ac:dyDescent="0.25">
      <c r="B49" s="8" t="s">
        <v>97</v>
      </c>
      <c r="C49" s="4">
        <v>0</v>
      </c>
      <c r="D49" s="4"/>
      <c r="K49" t="s">
        <v>98</v>
      </c>
      <c r="L49">
        <f>-SUMIFS(H$3:H$43,J$3:J$43,K$47)+M49*5</f>
        <v>-195</v>
      </c>
      <c r="M49">
        <f>SUMIFS(Q$3:Q$43,J$3:J$43,K$47)-COUNTIFS(J$3:J$43,K$47,M$3:M$43,"*gộp*")</f>
        <v>9</v>
      </c>
      <c r="O49" t="s">
        <v>1144</v>
      </c>
      <c r="P49">
        <f>L61</f>
        <v>15497</v>
      </c>
    </row>
    <row r="50" spans="2:16" x14ac:dyDescent="0.25">
      <c r="B50" s="8" t="s">
        <v>99</v>
      </c>
      <c r="C50" s="4">
        <f>-SUMIFS(I$3:I$43,B$3:B$43,A$47,P$3:P$43,"xx",N$3:N$43,"x")</f>
        <v>0</v>
      </c>
      <c r="D50" s="4"/>
      <c r="E50" s="8">
        <f>SUMIFS(Q$3:Q$43,B$3:B$43,A$47,P$3:P$43,"xx",N$3:N$43,"x")</f>
        <v>0</v>
      </c>
      <c r="K50" t="s">
        <v>100</v>
      </c>
      <c r="L50">
        <f>-M50*2</f>
        <v>-82</v>
      </c>
      <c r="M50">
        <f>Q45-(COUNTIFS(M$3:M$43,"*gộp*")/2)-COUNTIFS(P$3:P$43,"*xx*")*2</f>
        <v>41</v>
      </c>
      <c r="O50" t="s">
        <v>165</v>
      </c>
      <c r="P50">
        <f>L69</f>
        <v>8490</v>
      </c>
    </row>
    <row r="51" spans="2:16" x14ac:dyDescent="0.25">
      <c r="B51" s="10" t="s">
        <v>101</v>
      </c>
      <c r="C51" s="6">
        <f>SUBTOTAL(9,C48:C50)</f>
        <v>28800</v>
      </c>
      <c r="D51" s="6"/>
      <c r="E51">
        <f>E48</f>
        <v>41</v>
      </c>
      <c r="K51" s="8" t="s">
        <v>102</v>
      </c>
      <c r="O51" t="s">
        <v>20</v>
      </c>
      <c r="P51">
        <f>L77</f>
        <v>1495</v>
      </c>
    </row>
    <row r="52" spans="2:16" x14ac:dyDescent="0.25">
      <c r="B52" s="8" t="s">
        <v>104</v>
      </c>
      <c r="C52" s="3"/>
      <c r="D52" s="3"/>
      <c r="K52" s="8" t="s">
        <v>105</v>
      </c>
      <c r="O52" t="s">
        <v>103</v>
      </c>
      <c r="P52">
        <f>-C55</f>
        <v>-28800</v>
      </c>
    </row>
    <row r="53" spans="2:16" x14ac:dyDescent="0.25">
      <c r="B53" s="14" t="s">
        <v>107</v>
      </c>
      <c r="C53" s="3"/>
      <c r="D53" s="3"/>
      <c r="L53" s="15">
        <f>SUBTOTAL(9,L48:L52)</f>
        <v>3498</v>
      </c>
      <c r="M53" s="15">
        <f>M48</f>
        <v>9</v>
      </c>
      <c r="O53" s="10" t="s">
        <v>106</v>
      </c>
      <c r="P53" s="10">
        <f>SUBTOTAL(9,P48:P52)</f>
        <v>180</v>
      </c>
    </row>
    <row r="55" spans="2:16" x14ac:dyDescent="0.25">
      <c r="B55" s="7" t="s">
        <v>108</v>
      </c>
      <c r="C55" s="2">
        <f>C51+C52+C53</f>
        <v>28800</v>
      </c>
      <c r="D55" s="2"/>
      <c r="E55" s="7" t="s">
        <v>109</v>
      </c>
      <c r="K55" s="13" t="s">
        <v>1034</v>
      </c>
      <c r="L55" s="13" t="s">
        <v>91</v>
      </c>
      <c r="M55" s="13" t="s">
        <v>90</v>
      </c>
    </row>
    <row r="56" spans="2:16" x14ac:dyDescent="0.25">
      <c r="K56" t="s">
        <v>95</v>
      </c>
      <c r="L56">
        <f>SUMIFS(G$3:G$43,J$3:J$43,K$55)</f>
        <v>15860</v>
      </c>
      <c r="M56">
        <f>SUMIFS(Q$3:Q$43,J$3:J$43,K$55)</f>
        <v>17</v>
      </c>
    </row>
    <row r="57" spans="2:16" x14ac:dyDescent="0.25">
      <c r="K57" t="s">
        <v>98</v>
      </c>
      <c r="L57">
        <f>SUM(H46:H48)</f>
        <v>-363</v>
      </c>
      <c r="M57">
        <f>SUMIFS(Q$3:Q$43,J$3:J$43,K$55)</f>
        <v>17</v>
      </c>
    </row>
    <row r="58" spans="2:16" x14ac:dyDescent="0.25">
      <c r="K58" t="s">
        <v>100</v>
      </c>
    </row>
    <row r="59" spans="2:16" x14ac:dyDescent="0.25">
      <c r="K59" s="8" t="s">
        <v>102</v>
      </c>
    </row>
    <row r="60" spans="2:16" x14ac:dyDescent="0.25">
      <c r="K60" s="8" t="s">
        <v>105</v>
      </c>
    </row>
    <row r="61" spans="2:16" x14ac:dyDescent="0.25">
      <c r="L61" s="15">
        <f>SUBTOTAL(9,L56:L60)</f>
        <v>15497</v>
      </c>
      <c r="M61" s="15">
        <f>M56</f>
        <v>17</v>
      </c>
    </row>
    <row r="63" spans="2:16" x14ac:dyDescent="0.25">
      <c r="K63" s="13" t="s">
        <v>165</v>
      </c>
      <c r="L63" s="13" t="s">
        <v>91</v>
      </c>
      <c r="M63" s="13" t="s">
        <v>90</v>
      </c>
    </row>
    <row r="64" spans="2:16" x14ac:dyDescent="0.25">
      <c r="K64" t="s">
        <v>95</v>
      </c>
      <c r="L64">
        <f>SUMIFS(G$3:G$43,J$3:J$43,K$63)</f>
        <v>8755</v>
      </c>
      <c r="M64">
        <f>SUMIFS(Q$3:Q$43,J$3:J$43,K$63)</f>
        <v>14</v>
      </c>
    </row>
    <row r="65" spans="11:13" x14ac:dyDescent="0.25">
      <c r="K65" t="s">
        <v>98</v>
      </c>
      <c r="L65">
        <f>-SUMIFS(H$3:H$43,J$3:J$43,K$63)+M65*5</f>
        <v>-265</v>
      </c>
      <c r="M65">
        <f>SUMIFS(Q$3:Q$43,J$3:J$43,K$63)-COUNTIFS(J$3:J$43,K$63,M$3:M$43,"*gộp*")</f>
        <v>14</v>
      </c>
    </row>
    <row r="66" spans="11:13" x14ac:dyDescent="0.25">
      <c r="K66" t="s">
        <v>100</v>
      </c>
    </row>
    <row r="67" spans="11:13" x14ac:dyDescent="0.25">
      <c r="K67" s="8" t="s">
        <v>102</v>
      </c>
    </row>
    <row r="68" spans="11:13" x14ac:dyDescent="0.25">
      <c r="K68" s="8" t="s">
        <v>105</v>
      </c>
    </row>
    <row r="69" spans="11:13" x14ac:dyDescent="0.25">
      <c r="L69" s="15">
        <f>SUBTOTAL(9,L64:L68)</f>
        <v>8490</v>
      </c>
      <c r="M69" s="15">
        <f>M64</f>
        <v>14</v>
      </c>
    </row>
    <row r="71" spans="11:13" x14ac:dyDescent="0.25">
      <c r="K71" s="13" t="s">
        <v>20</v>
      </c>
      <c r="L71" s="13" t="s">
        <v>91</v>
      </c>
      <c r="M71" s="13" t="s">
        <v>90</v>
      </c>
    </row>
    <row r="72" spans="11:13" x14ac:dyDescent="0.25">
      <c r="K72" t="s">
        <v>95</v>
      </c>
      <c r="L72">
        <f>SUMIFS(G$3:G$43,J$3:J$43,K$71)</f>
        <v>1520</v>
      </c>
      <c r="M72">
        <f>SUMIFS(Q$3:Q$43,J$3:J$43,K$71)</f>
        <v>1</v>
      </c>
    </row>
    <row r="73" spans="11:13" x14ac:dyDescent="0.25">
      <c r="K73" t="s">
        <v>98</v>
      </c>
      <c r="L73">
        <f>-SUMIFS(H$3:H$43,J$3:J$43,K$71)+M73*5</f>
        <v>-25</v>
      </c>
      <c r="M73">
        <f>SUMIFS(Q$3:Q$43,J$3:J$43,K$71)-COUNTIFS(J$3:J$43,K$71,M$3:M$43,"*gộp*")</f>
        <v>1</v>
      </c>
    </row>
    <row r="74" spans="11:13" x14ac:dyDescent="0.25">
      <c r="K74" t="s">
        <v>100</v>
      </c>
    </row>
    <row r="75" spans="11:13" x14ac:dyDescent="0.25">
      <c r="K75" s="8" t="s">
        <v>102</v>
      </c>
    </row>
    <row r="76" spans="11:13" x14ac:dyDescent="0.25">
      <c r="K76" s="8" t="s">
        <v>105</v>
      </c>
    </row>
    <row r="77" spans="11:13" x14ac:dyDescent="0.25">
      <c r="L77" s="15">
        <f>SUBTOTAL(9,L72:L76)</f>
        <v>1495</v>
      </c>
      <c r="M77" s="15">
        <f>M72</f>
        <v>1</v>
      </c>
    </row>
  </sheetData>
  <autoFilter ref="A2:P43" xr:uid="{00000000-0009-0000-0000-000009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00"/>
  <sheetViews>
    <sheetView topLeftCell="A37" workbookViewId="0">
      <selection activeCell="K23" sqref="K23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1145</v>
      </c>
      <c r="D3" s="24" t="s">
        <v>1146</v>
      </c>
      <c r="E3" s="24" t="s">
        <v>1147</v>
      </c>
      <c r="F3" s="25">
        <v>9</v>
      </c>
      <c r="G3" s="25">
        <v>30</v>
      </c>
      <c r="H3" s="25">
        <v>30</v>
      </c>
      <c r="I3" s="25">
        <f>G3-H3</f>
        <v>0</v>
      </c>
      <c r="J3" s="24" t="s">
        <v>20</v>
      </c>
      <c r="K3" s="24" t="s">
        <v>21</v>
      </c>
      <c r="L3" s="24" t="s">
        <v>1148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1149</v>
      </c>
      <c r="D4" s="24" t="s">
        <v>1150</v>
      </c>
      <c r="E4" s="24" t="s">
        <v>1151</v>
      </c>
      <c r="F4" s="25">
        <v>9</v>
      </c>
      <c r="G4" s="25">
        <v>1370</v>
      </c>
      <c r="H4" s="25">
        <v>30</v>
      </c>
      <c r="I4" s="25">
        <f>G4-H4</f>
        <v>1340</v>
      </c>
      <c r="J4" s="24" t="s">
        <v>20</v>
      </c>
      <c r="K4" s="24" t="s">
        <v>21</v>
      </c>
      <c r="L4" s="24" t="s">
        <v>1148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1152</v>
      </c>
      <c r="D5" s="24" t="s">
        <v>1153</v>
      </c>
      <c r="E5" s="24" t="s">
        <v>1154</v>
      </c>
      <c r="F5" s="24" t="s">
        <v>128</v>
      </c>
      <c r="G5" s="25">
        <v>825</v>
      </c>
      <c r="H5" s="25">
        <v>35</v>
      </c>
      <c r="I5" s="25">
        <f>G5-H5</f>
        <v>790</v>
      </c>
      <c r="J5" s="24" t="s">
        <v>1155</v>
      </c>
      <c r="K5" s="24" t="s">
        <v>21</v>
      </c>
      <c r="L5" s="24" t="s">
        <v>1148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1156</v>
      </c>
      <c r="D6" s="24" t="s">
        <v>1157</v>
      </c>
      <c r="E6" s="24" t="s">
        <v>1158</v>
      </c>
      <c r="F6" s="25">
        <v>12</v>
      </c>
      <c r="G6" s="25">
        <v>0</v>
      </c>
      <c r="H6" s="25">
        <v>30</v>
      </c>
      <c r="I6" s="25">
        <f>-H6</f>
        <v>-30</v>
      </c>
      <c r="J6" s="24" t="s">
        <v>1155</v>
      </c>
      <c r="K6" s="24" t="s">
        <v>21</v>
      </c>
      <c r="L6" s="24" t="s">
        <v>1148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1159</v>
      </c>
      <c r="D7" s="24" t="s">
        <v>1160</v>
      </c>
      <c r="E7" s="24" t="s">
        <v>1161</v>
      </c>
      <c r="F7" s="25">
        <v>7</v>
      </c>
      <c r="G7" s="25">
        <v>0</v>
      </c>
      <c r="H7" s="25">
        <v>30</v>
      </c>
      <c r="I7" s="25">
        <f>-H7</f>
        <v>-30</v>
      </c>
      <c r="J7" s="24" t="s">
        <v>1155</v>
      </c>
      <c r="K7" s="24" t="s">
        <v>21</v>
      </c>
      <c r="L7" s="24" t="s">
        <v>1148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1162</v>
      </c>
      <c r="D8" s="24" t="s">
        <v>1163</v>
      </c>
      <c r="E8" s="24" t="s">
        <v>1164</v>
      </c>
      <c r="F8" s="24" t="s">
        <v>217</v>
      </c>
      <c r="G8" s="25">
        <v>795</v>
      </c>
      <c r="H8" s="25">
        <v>25</v>
      </c>
      <c r="I8" s="25">
        <f t="shared" ref="I8:I13" si="0">G8-H8</f>
        <v>770</v>
      </c>
      <c r="J8" s="24" t="s">
        <v>1155</v>
      </c>
      <c r="K8" s="24" t="s">
        <v>21</v>
      </c>
      <c r="L8" s="24" t="s">
        <v>1148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1165</v>
      </c>
      <c r="D9" s="24" t="s">
        <v>1166</v>
      </c>
      <c r="E9" s="24" t="s">
        <v>1167</v>
      </c>
      <c r="F9" s="24" t="s">
        <v>26</v>
      </c>
      <c r="G9" s="25">
        <v>830</v>
      </c>
      <c r="H9" s="25">
        <v>30</v>
      </c>
      <c r="I9" s="25">
        <f t="shared" si="0"/>
        <v>800</v>
      </c>
      <c r="J9" s="24" t="s">
        <v>1155</v>
      </c>
      <c r="K9" s="24" t="s">
        <v>21</v>
      </c>
      <c r="L9" s="24" t="s">
        <v>1148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1168</v>
      </c>
      <c r="D10" s="24" t="s">
        <v>1169</v>
      </c>
      <c r="E10" s="24" t="s">
        <v>1170</v>
      </c>
      <c r="F10" s="24" t="s">
        <v>128</v>
      </c>
      <c r="G10" s="25">
        <v>875</v>
      </c>
      <c r="H10" s="25">
        <v>35</v>
      </c>
      <c r="I10" s="25">
        <f t="shared" si="0"/>
        <v>840</v>
      </c>
      <c r="J10" s="24" t="s">
        <v>1155</v>
      </c>
      <c r="K10" s="24" t="s">
        <v>21</v>
      </c>
      <c r="L10" s="24" t="s">
        <v>1148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1171</v>
      </c>
      <c r="D11" s="24" t="s">
        <v>1172</v>
      </c>
      <c r="E11" s="24" t="s">
        <v>1173</v>
      </c>
      <c r="F11" s="24" t="s">
        <v>217</v>
      </c>
      <c r="G11" s="25">
        <v>715</v>
      </c>
      <c r="H11" s="25">
        <v>25</v>
      </c>
      <c r="I11" s="25">
        <f t="shared" si="0"/>
        <v>690</v>
      </c>
      <c r="J11" s="24" t="s">
        <v>1155</v>
      </c>
      <c r="K11" s="24" t="s">
        <v>21</v>
      </c>
      <c r="L11" s="24" t="s">
        <v>1148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1174</v>
      </c>
      <c r="D12" s="24" t="s">
        <v>1175</v>
      </c>
      <c r="E12" s="24" t="s">
        <v>1176</v>
      </c>
      <c r="F12" s="25">
        <v>6</v>
      </c>
      <c r="G12" s="25">
        <v>845</v>
      </c>
      <c r="H12" s="25">
        <v>25</v>
      </c>
      <c r="I12" s="25">
        <f t="shared" si="0"/>
        <v>820</v>
      </c>
      <c r="J12" s="24" t="s">
        <v>1155</v>
      </c>
      <c r="K12" s="24" t="s">
        <v>21</v>
      </c>
      <c r="L12" s="24" t="s">
        <v>1148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1177</v>
      </c>
      <c r="D13" s="24" t="s">
        <v>1178</v>
      </c>
      <c r="E13" s="24" t="s">
        <v>610</v>
      </c>
      <c r="F13" s="25">
        <v>6</v>
      </c>
      <c r="G13" s="25">
        <v>815</v>
      </c>
      <c r="H13" s="25">
        <v>25</v>
      </c>
      <c r="I13" s="25">
        <f t="shared" si="0"/>
        <v>790</v>
      </c>
      <c r="J13" s="24" t="s">
        <v>1155</v>
      </c>
      <c r="K13" s="24" t="s">
        <v>21</v>
      </c>
      <c r="L13" s="24" t="s">
        <v>1148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1179</v>
      </c>
      <c r="D14" s="24" t="s">
        <v>1180</v>
      </c>
      <c r="E14" s="24" t="s">
        <v>1181</v>
      </c>
      <c r="F14" s="24" t="s">
        <v>88</v>
      </c>
      <c r="G14" s="25">
        <v>0</v>
      </c>
      <c r="H14" s="25">
        <v>25</v>
      </c>
      <c r="I14" s="25">
        <f>-H14</f>
        <v>-25</v>
      </c>
      <c r="J14" s="24" t="s">
        <v>1155</v>
      </c>
      <c r="K14" s="24" t="s">
        <v>21</v>
      </c>
      <c r="L14" s="24" t="s">
        <v>1148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221</v>
      </c>
      <c r="D15" s="24" t="s">
        <v>1182</v>
      </c>
      <c r="E15" s="24" t="s">
        <v>223</v>
      </c>
      <c r="F15" s="25">
        <v>8</v>
      </c>
      <c r="G15" s="25">
        <v>2030</v>
      </c>
      <c r="H15" s="25">
        <v>30</v>
      </c>
      <c r="I15" s="25">
        <f>G15-H15</f>
        <v>2000</v>
      </c>
      <c r="J15" s="24" t="s">
        <v>1155</v>
      </c>
      <c r="K15" s="24" t="s">
        <v>21</v>
      </c>
      <c r="L15" s="24" t="s">
        <v>1148</v>
      </c>
      <c r="M15" s="24" t="s">
        <v>398</v>
      </c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1183</v>
      </c>
      <c r="D16" s="24" t="s">
        <v>1184</v>
      </c>
      <c r="E16" s="24" t="s">
        <v>1185</v>
      </c>
      <c r="F16" s="25">
        <v>6</v>
      </c>
      <c r="G16" s="25">
        <v>895</v>
      </c>
      <c r="H16" s="25">
        <v>25</v>
      </c>
      <c r="I16" s="25">
        <f>G16-H16</f>
        <v>870</v>
      </c>
      <c r="J16" s="24" t="s">
        <v>1155</v>
      </c>
      <c r="K16" s="24" t="s">
        <v>21</v>
      </c>
      <c r="L16" s="24" t="s">
        <v>1148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1186</v>
      </c>
      <c r="D17" s="24" t="s">
        <v>1187</v>
      </c>
      <c r="E17" s="24" t="s">
        <v>1188</v>
      </c>
      <c r="F17" s="25">
        <v>6</v>
      </c>
      <c r="G17" s="25">
        <v>815</v>
      </c>
      <c r="H17" s="25">
        <v>25</v>
      </c>
      <c r="I17" s="25">
        <f>G17-H17</f>
        <v>790</v>
      </c>
      <c r="J17" s="24" t="s">
        <v>1155</v>
      </c>
      <c r="K17" s="24" t="s">
        <v>21</v>
      </c>
      <c r="L17" s="24" t="s">
        <v>1148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1056</v>
      </c>
      <c r="D18" s="24" t="s">
        <v>1189</v>
      </c>
      <c r="E18" s="24" t="s">
        <v>1190</v>
      </c>
      <c r="F18" s="25">
        <v>7</v>
      </c>
      <c r="G18" s="25">
        <v>0</v>
      </c>
      <c r="H18" s="25">
        <v>30</v>
      </c>
      <c r="I18" s="25">
        <f>-H18</f>
        <v>-30</v>
      </c>
      <c r="J18" s="24" t="s">
        <v>1155</v>
      </c>
      <c r="K18" s="24" t="s">
        <v>21</v>
      </c>
      <c r="L18" s="24" t="s">
        <v>1148</v>
      </c>
      <c r="M18" s="24" t="s">
        <v>49</v>
      </c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1191</v>
      </c>
      <c r="D19" s="24" t="s">
        <v>1192</v>
      </c>
      <c r="E19" s="24" t="s">
        <v>1193</v>
      </c>
      <c r="F19" s="25">
        <v>7</v>
      </c>
      <c r="G19" s="25">
        <v>1990</v>
      </c>
      <c r="H19" s="25">
        <v>30</v>
      </c>
      <c r="I19" s="25">
        <f>G19-H19</f>
        <v>1960</v>
      </c>
      <c r="J19" s="24" t="s">
        <v>1155</v>
      </c>
      <c r="K19" s="24" t="s">
        <v>21</v>
      </c>
      <c r="L19" s="24" t="s">
        <v>1148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1194</v>
      </c>
      <c r="D20" s="24" t="s">
        <v>1195</v>
      </c>
      <c r="E20" s="24" t="s">
        <v>1196</v>
      </c>
      <c r="F20" s="25">
        <v>8</v>
      </c>
      <c r="G20" s="25">
        <v>380</v>
      </c>
      <c r="H20" s="25">
        <v>30</v>
      </c>
      <c r="I20" s="25">
        <f>G20-H20</f>
        <v>350</v>
      </c>
      <c r="J20" s="24" t="s">
        <v>1155</v>
      </c>
      <c r="K20" s="24" t="s">
        <v>21</v>
      </c>
      <c r="L20" s="24" t="s">
        <v>1148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1197</v>
      </c>
      <c r="D21" s="24" t="s">
        <v>1198</v>
      </c>
      <c r="E21" s="24" t="s">
        <v>1199</v>
      </c>
      <c r="F21" s="24" t="s">
        <v>26</v>
      </c>
      <c r="G21" s="25">
        <v>870</v>
      </c>
      <c r="H21" s="25">
        <v>30</v>
      </c>
      <c r="I21" s="25">
        <f>G21-H21</f>
        <v>840</v>
      </c>
      <c r="J21" s="24" t="s">
        <v>1155</v>
      </c>
      <c r="K21" s="24" t="s">
        <v>21</v>
      </c>
      <c r="L21" s="24" t="s">
        <v>1148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1200</v>
      </c>
      <c r="D22" s="24" t="s">
        <v>1201</v>
      </c>
      <c r="E22" s="24" t="s">
        <v>1202</v>
      </c>
      <c r="F22" s="24" t="s">
        <v>26</v>
      </c>
      <c r="G22" s="25">
        <v>0</v>
      </c>
      <c r="H22" s="25">
        <v>30</v>
      </c>
      <c r="I22" s="25">
        <f>-H22</f>
        <v>-30</v>
      </c>
      <c r="J22" s="24" t="s">
        <v>1155</v>
      </c>
      <c r="K22" s="24" t="s">
        <v>21</v>
      </c>
      <c r="L22" s="24" t="s">
        <v>1148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202</v>
      </c>
      <c r="D23" s="24" t="s">
        <v>1203</v>
      </c>
      <c r="E23" s="24" t="s">
        <v>1204</v>
      </c>
      <c r="F23" s="24" t="s">
        <v>88</v>
      </c>
      <c r="G23" s="25">
        <v>815</v>
      </c>
      <c r="H23" s="25">
        <v>25</v>
      </c>
      <c r="I23" s="25">
        <f>G23-H23</f>
        <v>790</v>
      </c>
      <c r="J23" s="24" t="s">
        <v>1155</v>
      </c>
      <c r="K23" s="24" t="s">
        <v>21</v>
      </c>
      <c r="L23" s="24" t="s">
        <v>1148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1205</v>
      </c>
      <c r="D24" s="24" t="s">
        <v>1206</v>
      </c>
      <c r="E24" s="24" t="s">
        <v>1207</v>
      </c>
      <c r="F24" s="24" t="s">
        <v>26</v>
      </c>
      <c r="G24" s="25">
        <v>0</v>
      </c>
      <c r="H24" s="25">
        <v>30</v>
      </c>
      <c r="I24" s="25">
        <f>-H24</f>
        <v>-30</v>
      </c>
      <c r="J24" s="24" t="s">
        <v>1155</v>
      </c>
      <c r="K24" s="24" t="s">
        <v>21</v>
      </c>
      <c r="L24" s="24" t="s">
        <v>1148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1208</v>
      </c>
      <c r="D25" s="24" t="s">
        <v>1209</v>
      </c>
      <c r="E25" s="24" t="s">
        <v>1210</v>
      </c>
      <c r="F25" s="25">
        <v>6</v>
      </c>
      <c r="G25" s="25">
        <v>515</v>
      </c>
      <c r="H25" s="25">
        <v>25</v>
      </c>
      <c r="I25" s="25">
        <f>G25-H25</f>
        <v>490</v>
      </c>
      <c r="J25" s="24" t="s">
        <v>1155</v>
      </c>
      <c r="K25" s="24" t="s">
        <v>21</v>
      </c>
      <c r="L25" s="24" t="s">
        <v>1148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1211</v>
      </c>
      <c r="D26" s="24" t="s">
        <v>1212</v>
      </c>
      <c r="E26" s="24" t="s">
        <v>1213</v>
      </c>
      <c r="F26" s="24" t="s">
        <v>26</v>
      </c>
      <c r="G26" s="25">
        <v>0</v>
      </c>
      <c r="H26" s="25">
        <v>30</v>
      </c>
      <c r="I26" s="25">
        <f>-H26</f>
        <v>-30</v>
      </c>
      <c r="J26" s="24" t="s">
        <v>1155</v>
      </c>
      <c r="K26" s="24" t="s">
        <v>21</v>
      </c>
      <c r="L26" s="24" t="s">
        <v>1148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1214</v>
      </c>
      <c r="D27" s="24" t="s">
        <v>1215</v>
      </c>
      <c r="E27" s="24" t="s">
        <v>1216</v>
      </c>
      <c r="F27" s="25">
        <v>12</v>
      </c>
      <c r="G27" s="25">
        <v>870</v>
      </c>
      <c r="H27" s="25">
        <v>30</v>
      </c>
      <c r="I27" s="25">
        <f>G27-H27</f>
        <v>840</v>
      </c>
      <c r="J27" s="24" t="s">
        <v>1155</v>
      </c>
      <c r="K27" s="24" t="s">
        <v>21</v>
      </c>
      <c r="L27" s="24" t="s">
        <v>1148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1217</v>
      </c>
      <c r="D28" s="24" t="s">
        <v>1218</v>
      </c>
      <c r="E28" s="24" t="s">
        <v>1219</v>
      </c>
      <c r="F28" s="25">
        <v>7</v>
      </c>
      <c r="G28" s="25">
        <v>570</v>
      </c>
      <c r="H28" s="25">
        <v>30</v>
      </c>
      <c r="I28" s="25">
        <f>G28-H28</f>
        <v>540</v>
      </c>
      <c r="J28" s="24" t="s">
        <v>1155</v>
      </c>
      <c r="K28" s="24" t="s">
        <v>21</v>
      </c>
      <c r="L28" s="24" t="s">
        <v>1148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1220</v>
      </c>
      <c r="D29" s="24" t="s">
        <v>1221</v>
      </c>
      <c r="E29" s="24" t="s">
        <v>1222</v>
      </c>
      <c r="F29" s="24" t="s">
        <v>88</v>
      </c>
      <c r="G29" s="25">
        <v>915</v>
      </c>
      <c r="H29" s="25">
        <v>25</v>
      </c>
      <c r="I29" s="25">
        <f>G29-H29</f>
        <v>890</v>
      </c>
      <c r="J29" s="24" t="s">
        <v>1155</v>
      </c>
      <c r="K29" s="24" t="s">
        <v>21</v>
      </c>
      <c r="L29" s="24" t="s">
        <v>1148</v>
      </c>
      <c r="M29" s="24"/>
      <c r="N29" s="24"/>
      <c r="O29" s="24"/>
      <c r="P29" s="24"/>
      <c r="Q29" s="24">
        <v>1</v>
      </c>
    </row>
    <row r="30" spans="1:17" x14ac:dyDescent="0.25">
      <c r="A30" s="24" t="s">
        <v>62</v>
      </c>
      <c r="B30" s="24" t="s">
        <v>16</v>
      </c>
      <c r="C30" s="24"/>
      <c r="D30" s="24"/>
      <c r="E30" s="24" t="s">
        <v>1223</v>
      </c>
      <c r="F30" s="24" t="s">
        <v>26</v>
      </c>
      <c r="G30" s="25">
        <v>0</v>
      </c>
      <c r="H30" s="25">
        <v>35</v>
      </c>
      <c r="I30" s="25">
        <f>-H30</f>
        <v>-35</v>
      </c>
      <c r="J30" s="24" t="s">
        <v>1155</v>
      </c>
      <c r="K30" s="24" t="s">
        <v>21</v>
      </c>
      <c r="L30" s="24" t="s">
        <v>1148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1224</v>
      </c>
      <c r="D31" s="24" t="s">
        <v>1225</v>
      </c>
      <c r="E31" s="24" t="s">
        <v>1226</v>
      </c>
      <c r="F31" s="25">
        <v>2</v>
      </c>
      <c r="G31" s="25">
        <v>1940</v>
      </c>
      <c r="H31" s="25">
        <v>30</v>
      </c>
      <c r="I31" s="25">
        <f>G31-H31</f>
        <v>1910</v>
      </c>
      <c r="J31" s="24" t="s">
        <v>21</v>
      </c>
      <c r="K31" s="24" t="s">
        <v>21</v>
      </c>
      <c r="L31" s="24" t="s">
        <v>1148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136</v>
      </c>
      <c r="D32" s="24" t="s">
        <v>1227</v>
      </c>
      <c r="E32" s="24" t="s">
        <v>138</v>
      </c>
      <c r="F32" s="24" t="s">
        <v>68</v>
      </c>
      <c r="G32" s="25">
        <v>0</v>
      </c>
      <c r="H32" s="25">
        <v>20</v>
      </c>
      <c r="I32" s="25">
        <f>-H32</f>
        <v>-20</v>
      </c>
      <c r="J32" s="24" t="s">
        <v>21</v>
      </c>
      <c r="K32" s="24" t="s">
        <v>21</v>
      </c>
      <c r="L32" s="24" t="s">
        <v>1148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741</v>
      </c>
      <c r="D33" s="24" t="s">
        <v>1228</v>
      </c>
      <c r="E33" s="24" t="s">
        <v>1229</v>
      </c>
      <c r="F33" s="25">
        <v>2</v>
      </c>
      <c r="G33" s="25">
        <v>820</v>
      </c>
      <c r="H33" s="25">
        <v>30</v>
      </c>
      <c r="I33" s="25">
        <f>G33-H33</f>
        <v>790</v>
      </c>
      <c r="J33" s="24" t="s">
        <v>21</v>
      </c>
      <c r="K33" s="24" t="s">
        <v>21</v>
      </c>
      <c r="L33" s="24" t="s">
        <v>1148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1230</v>
      </c>
      <c r="D34" s="24" t="s">
        <v>1231</v>
      </c>
      <c r="E34" s="24" t="s">
        <v>1232</v>
      </c>
      <c r="F34" s="24" t="s">
        <v>153</v>
      </c>
      <c r="G34" s="25">
        <v>820</v>
      </c>
      <c r="H34" s="25">
        <v>30</v>
      </c>
      <c r="I34" s="25">
        <f>G34-H34</f>
        <v>790</v>
      </c>
      <c r="J34" s="24" t="s">
        <v>21</v>
      </c>
      <c r="K34" s="24" t="s">
        <v>21</v>
      </c>
      <c r="L34" s="24" t="s">
        <v>1148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1233</v>
      </c>
      <c r="D35" s="24" t="s">
        <v>1234</v>
      </c>
      <c r="E35" s="24" t="s">
        <v>1235</v>
      </c>
      <c r="F35" s="24" t="s">
        <v>72</v>
      </c>
      <c r="G35" s="25">
        <v>1455</v>
      </c>
      <c r="H35" s="25">
        <v>25</v>
      </c>
      <c r="I35" s="25">
        <f>G35-H35</f>
        <v>1430</v>
      </c>
      <c r="J35" s="24" t="s">
        <v>21</v>
      </c>
      <c r="K35" s="24" t="s">
        <v>21</v>
      </c>
      <c r="L35" s="24" t="s">
        <v>1148</v>
      </c>
      <c r="M35" s="24"/>
      <c r="N35" s="24"/>
      <c r="O35" s="24"/>
      <c r="P35" s="24"/>
      <c r="Q35" s="24">
        <v>1</v>
      </c>
    </row>
    <row r="36" spans="1:17" x14ac:dyDescent="0.25">
      <c r="A36" s="24" t="s">
        <v>62</v>
      </c>
      <c r="B36" s="24" t="s">
        <v>16</v>
      </c>
      <c r="C36" s="24" t="s">
        <v>1236</v>
      </c>
      <c r="D36" s="24"/>
      <c r="E36" s="24" t="s">
        <v>1237</v>
      </c>
      <c r="F36" s="24" t="s">
        <v>68</v>
      </c>
      <c r="G36" s="25">
        <v>0</v>
      </c>
      <c r="H36" s="25">
        <v>25</v>
      </c>
      <c r="I36" s="25">
        <f>-H36</f>
        <v>-25</v>
      </c>
      <c r="J36" s="24" t="s">
        <v>21</v>
      </c>
      <c r="K36" s="24" t="s">
        <v>21</v>
      </c>
      <c r="L36" s="24" t="s">
        <v>1148</v>
      </c>
      <c r="M36" s="24"/>
      <c r="N36" s="24"/>
      <c r="O36" s="24"/>
      <c r="P36" s="24"/>
      <c r="Q36" s="24">
        <v>1</v>
      </c>
    </row>
    <row r="37" spans="1:17" x14ac:dyDescent="0.25">
      <c r="A37" s="24"/>
      <c r="B37" s="24" t="s">
        <v>16</v>
      </c>
      <c r="C37" s="24" t="s">
        <v>484</v>
      </c>
      <c r="D37" s="24" t="s">
        <v>1238</v>
      </c>
      <c r="E37" s="24" t="s">
        <v>486</v>
      </c>
      <c r="F37" s="25">
        <v>2</v>
      </c>
      <c r="G37" s="25">
        <v>1310</v>
      </c>
      <c r="H37" s="25">
        <v>30</v>
      </c>
      <c r="I37" s="25">
        <f>G37-H37</f>
        <v>1280</v>
      </c>
      <c r="J37" s="24" t="s">
        <v>21</v>
      </c>
      <c r="K37" s="24" t="s">
        <v>21</v>
      </c>
      <c r="L37" s="24" t="s">
        <v>1148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1239</v>
      </c>
      <c r="D38" s="24" t="s">
        <v>1240</v>
      </c>
      <c r="E38" s="24" t="s">
        <v>1241</v>
      </c>
      <c r="F38" s="25">
        <v>2</v>
      </c>
      <c r="G38" s="25">
        <v>0</v>
      </c>
      <c r="H38" s="25">
        <v>30</v>
      </c>
      <c r="I38" s="25">
        <f>-H38</f>
        <v>-30</v>
      </c>
      <c r="J38" s="24" t="s">
        <v>21</v>
      </c>
      <c r="K38" s="24" t="s">
        <v>21</v>
      </c>
      <c r="L38" s="24" t="s">
        <v>1148</v>
      </c>
      <c r="M38" s="24" t="s">
        <v>1242</v>
      </c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1239</v>
      </c>
      <c r="D39" s="24" t="s">
        <v>1243</v>
      </c>
      <c r="E39" s="24" t="s">
        <v>1244</v>
      </c>
      <c r="F39" s="25">
        <v>2</v>
      </c>
      <c r="G39" s="25">
        <v>0</v>
      </c>
      <c r="H39" s="25">
        <v>0</v>
      </c>
      <c r="I39" s="25">
        <f>H39</f>
        <v>0</v>
      </c>
      <c r="J39" s="24" t="s">
        <v>21</v>
      </c>
      <c r="K39" s="24" t="s">
        <v>21</v>
      </c>
      <c r="L39" s="24" t="s">
        <v>1148</v>
      </c>
      <c r="M39" s="24" t="s">
        <v>312</v>
      </c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1245</v>
      </c>
      <c r="D40" s="24" t="s">
        <v>1246</v>
      </c>
      <c r="E40" s="24" t="s">
        <v>1247</v>
      </c>
      <c r="F40" s="25">
        <v>2</v>
      </c>
      <c r="G40" s="25">
        <v>0</v>
      </c>
      <c r="H40" s="25">
        <v>30</v>
      </c>
      <c r="I40" s="25">
        <f>-H40</f>
        <v>-30</v>
      </c>
      <c r="J40" s="24" t="s">
        <v>21</v>
      </c>
      <c r="K40" s="24" t="s">
        <v>21</v>
      </c>
      <c r="L40" s="24" t="s">
        <v>1148</v>
      </c>
      <c r="M40" s="24" t="s">
        <v>49</v>
      </c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1248</v>
      </c>
      <c r="D41" s="24" t="s">
        <v>1249</v>
      </c>
      <c r="E41" s="24" t="s">
        <v>1250</v>
      </c>
      <c r="F41" s="24" t="s">
        <v>68</v>
      </c>
      <c r="G41" s="25">
        <v>810</v>
      </c>
      <c r="H41" s="25">
        <v>20</v>
      </c>
      <c r="I41" s="25">
        <f t="shared" ref="I41:I46" si="1">G41-H41</f>
        <v>790</v>
      </c>
      <c r="J41" s="24" t="s">
        <v>21</v>
      </c>
      <c r="K41" s="24" t="s">
        <v>21</v>
      </c>
      <c r="L41" s="24" t="s">
        <v>1148</v>
      </c>
      <c r="M41" s="24"/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17</v>
      </c>
      <c r="D42" s="24" t="s">
        <v>1251</v>
      </c>
      <c r="E42" s="24" t="s">
        <v>1252</v>
      </c>
      <c r="F42" s="25">
        <v>2</v>
      </c>
      <c r="G42" s="25">
        <v>410</v>
      </c>
      <c r="H42" s="25">
        <v>30</v>
      </c>
      <c r="I42" s="25">
        <f t="shared" si="1"/>
        <v>380</v>
      </c>
      <c r="J42" s="24" t="s">
        <v>21</v>
      </c>
      <c r="K42" s="24" t="s">
        <v>21</v>
      </c>
      <c r="L42" s="24" t="s">
        <v>1148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1253</v>
      </c>
      <c r="D43" s="24" t="s">
        <v>1254</v>
      </c>
      <c r="E43" s="24" t="s">
        <v>1255</v>
      </c>
      <c r="F43" s="24" t="s">
        <v>72</v>
      </c>
      <c r="G43" s="25">
        <v>515</v>
      </c>
      <c r="H43" s="25">
        <v>25</v>
      </c>
      <c r="I43" s="25">
        <f t="shared" si="1"/>
        <v>490</v>
      </c>
      <c r="J43" s="24" t="s">
        <v>21</v>
      </c>
      <c r="K43" s="24" t="s">
        <v>21</v>
      </c>
      <c r="L43" s="24" t="s">
        <v>1148</v>
      </c>
      <c r="M43" s="24" t="s">
        <v>312</v>
      </c>
      <c r="N43" s="24"/>
      <c r="O43" s="24"/>
      <c r="P43" s="24"/>
      <c r="Q43" s="24">
        <v>1</v>
      </c>
    </row>
    <row r="44" spans="1:17" x14ac:dyDescent="0.25">
      <c r="A44" s="24"/>
      <c r="B44" s="24" t="s">
        <v>16</v>
      </c>
      <c r="C44" s="24" t="s">
        <v>1253</v>
      </c>
      <c r="D44" s="24" t="s">
        <v>1256</v>
      </c>
      <c r="E44" s="24" t="s">
        <v>1255</v>
      </c>
      <c r="F44" s="24" t="s">
        <v>72</v>
      </c>
      <c r="G44" s="25">
        <v>450</v>
      </c>
      <c r="H44" s="25">
        <v>0</v>
      </c>
      <c r="I44" s="25">
        <f t="shared" si="1"/>
        <v>450</v>
      </c>
      <c r="J44" s="24" t="s">
        <v>21</v>
      </c>
      <c r="K44" s="24" t="s">
        <v>21</v>
      </c>
      <c r="L44" s="24" t="s">
        <v>1148</v>
      </c>
      <c r="M44" s="24" t="s">
        <v>312</v>
      </c>
      <c r="N44" s="24"/>
      <c r="O44" s="24"/>
      <c r="P44" s="24"/>
      <c r="Q44" s="24">
        <v>1</v>
      </c>
    </row>
    <row r="45" spans="1:17" x14ac:dyDescent="0.25">
      <c r="A45" s="24" t="s">
        <v>62</v>
      </c>
      <c r="B45" s="24" t="s">
        <v>16</v>
      </c>
      <c r="C45" s="24" t="s">
        <v>640</v>
      </c>
      <c r="D45" s="24"/>
      <c r="E45" s="24" t="s">
        <v>1257</v>
      </c>
      <c r="F45" s="24" t="s">
        <v>72</v>
      </c>
      <c r="G45" s="25">
        <v>4015</v>
      </c>
      <c r="H45" s="25">
        <v>35</v>
      </c>
      <c r="I45" s="25">
        <f t="shared" si="1"/>
        <v>3980</v>
      </c>
      <c r="J45" s="24" t="s">
        <v>21</v>
      </c>
      <c r="K45" s="24" t="s">
        <v>21</v>
      </c>
      <c r="L45" s="24" t="s">
        <v>1148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1258</v>
      </c>
      <c r="D46" s="24" t="s">
        <v>1259</v>
      </c>
      <c r="E46" s="24" t="s">
        <v>1260</v>
      </c>
      <c r="F46" s="25">
        <v>10</v>
      </c>
      <c r="G46" s="25">
        <v>765</v>
      </c>
      <c r="H46" s="25">
        <v>25</v>
      </c>
      <c r="I46" s="25">
        <f t="shared" si="1"/>
        <v>740</v>
      </c>
      <c r="J46" s="24" t="s">
        <v>165</v>
      </c>
      <c r="K46" s="24" t="s">
        <v>21</v>
      </c>
      <c r="L46" s="24" t="s">
        <v>1148</v>
      </c>
      <c r="M46" s="24"/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1261</v>
      </c>
      <c r="D47" s="24" t="s">
        <v>1262</v>
      </c>
      <c r="E47" s="24" t="s">
        <v>1263</v>
      </c>
      <c r="F47" s="25">
        <v>3</v>
      </c>
      <c r="G47" s="25">
        <v>0</v>
      </c>
      <c r="H47" s="25">
        <v>25</v>
      </c>
      <c r="I47" s="25">
        <f>-H47</f>
        <v>-25</v>
      </c>
      <c r="J47" s="24" t="s">
        <v>165</v>
      </c>
      <c r="K47" s="24" t="s">
        <v>21</v>
      </c>
      <c r="L47" s="24" t="s">
        <v>1148</v>
      </c>
      <c r="M47" s="24"/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1264</v>
      </c>
      <c r="D48" s="24" t="s">
        <v>1265</v>
      </c>
      <c r="E48" s="24" t="s">
        <v>1266</v>
      </c>
      <c r="F48" s="24" t="s">
        <v>88</v>
      </c>
      <c r="G48" s="25">
        <v>695</v>
      </c>
      <c r="H48" s="25">
        <v>25</v>
      </c>
      <c r="I48" s="25">
        <f t="shared" ref="I48:I53" si="2">G48-H48</f>
        <v>670</v>
      </c>
      <c r="J48" s="24" t="s">
        <v>165</v>
      </c>
      <c r="K48" s="24" t="s">
        <v>21</v>
      </c>
      <c r="L48" s="24" t="s">
        <v>1148</v>
      </c>
      <c r="M48" s="24"/>
      <c r="N48" s="24"/>
      <c r="O48" s="24"/>
      <c r="P48" s="24"/>
      <c r="Q48" s="24">
        <v>1</v>
      </c>
    </row>
    <row r="49" spans="1:17" x14ac:dyDescent="0.25">
      <c r="A49" s="24"/>
      <c r="B49" s="24" t="s">
        <v>16</v>
      </c>
      <c r="C49" s="24" t="s">
        <v>1267</v>
      </c>
      <c r="D49" s="24" t="s">
        <v>1268</v>
      </c>
      <c r="E49" s="24" t="s">
        <v>1269</v>
      </c>
      <c r="F49" s="25">
        <v>4</v>
      </c>
      <c r="G49" s="25">
        <v>375</v>
      </c>
      <c r="H49" s="25">
        <v>25</v>
      </c>
      <c r="I49" s="25">
        <f t="shared" si="2"/>
        <v>350</v>
      </c>
      <c r="J49" s="24" t="s">
        <v>165</v>
      </c>
      <c r="K49" s="24" t="s">
        <v>21</v>
      </c>
      <c r="L49" s="24" t="s">
        <v>1148</v>
      </c>
      <c r="M49" s="24"/>
      <c r="N49" s="24"/>
      <c r="O49" s="24"/>
      <c r="P49" s="24"/>
      <c r="Q49" s="24">
        <v>1</v>
      </c>
    </row>
    <row r="50" spans="1:17" x14ac:dyDescent="0.25">
      <c r="A50" s="24"/>
      <c r="B50" s="24" t="s">
        <v>16</v>
      </c>
      <c r="C50" s="24" t="s">
        <v>1270</v>
      </c>
      <c r="D50" s="24" t="s">
        <v>1271</v>
      </c>
      <c r="E50" s="24" t="s">
        <v>1272</v>
      </c>
      <c r="F50" s="24" t="s">
        <v>88</v>
      </c>
      <c r="G50" s="25">
        <v>1005</v>
      </c>
      <c r="H50" s="25">
        <v>25</v>
      </c>
      <c r="I50" s="25">
        <f t="shared" si="2"/>
        <v>980</v>
      </c>
      <c r="J50" s="24" t="s">
        <v>165</v>
      </c>
      <c r="K50" s="24" t="s">
        <v>21</v>
      </c>
      <c r="L50" s="24" t="s">
        <v>1148</v>
      </c>
      <c r="M50" s="24"/>
      <c r="N50" s="24"/>
      <c r="O50" s="24"/>
      <c r="P50" s="24"/>
      <c r="Q50" s="24">
        <v>1</v>
      </c>
    </row>
    <row r="51" spans="1:17" x14ac:dyDescent="0.25">
      <c r="A51" s="24"/>
      <c r="B51" s="24" t="s">
        <v>16</v>
      </c>
      <c r="C51" s="24" t="s">
        <v>1273</v>
      </c>
      <c r="D51" s="24" t="s">
        <v>1274</v>
      </c>
      <c r="E51" s="24" t="s">
        <v>1275</v>
      </c>
      <c r="F51" s="25">
        <v>3</v>
      </c>
      <c r="G51" s="25">
        <v>565</v>
      </c>
      <c r="H51" s="25">
        <v>25</v>
      </c>
      <c r="I51" s="25">
        <f t="shared" si="2"/>
        <v>540</v>
      </c>
      <c r="J51" s="24" t="s">
        <v>165</v>
      </c>
      <c r="K51" s="24" t="s">
        <v>21</v>
      </c>
      <c r="L51" s="24" t="s">
        <v>1148</v>
      </c>
      <c r="M51" s="24"/>
      <c r="N51" s="24"/>
      <c r="O51" s="24"/>
      <c r="P51" s="24"/>
      <c r="Q51" s="24">
        <v>1</v>
      </c>
    </row>
    <row r="52" spans="1:17" x14ac:dyDescent="0.25">
      <c r="A52" s="24"/>
      <c r="B52" s="24" t="s">
        <v>16</v>
      </c>
      <c r="C52" s="24" t="s">
        <v>1276</v>
      </c>
      <c r="D52" s="24" t="s">
        <v>1277</v>
      </c>
      <c r="E52" s="24" t="s">
        <v>1278</v>
      </c>
      <c r="F52" s="24" t="s">
        <v>88</v>
      </c>
      <c r="G52" s="25">
        <v>475</v>
      </c>
      <c r="H52" s="25">
        <v>25</v>
      </c>
      <c r="I52" s="25">
        <f t="shared" si="2"/>
        <v>450</v>
      </c>
      <c r="J52" s="24" t="s">
        <v>165</v>
      </c>
      <c r="K52" s="24" t="s">
        <v>21</v>
      </c>
      <c r="L52" s="24" t="s">
        <v>1148</v>
      </c>
      <c r="M52" s="24" t="s">
        <v>312</v>
      </c>
      <c r="N52" s="24"/>
      <c r="O52" s="24"/>
      <c r="P52" s="24"/>
      <c r="Q52" s="24">
        <v>1</v>
      </c>
    </row>
    <row r="53" spans="1:17" x14ac:dyDescent="0.25">
      <c r="A53" s="24"/>
      <c r="B53" s="24" t="s">
        <v>16</v>
      </c>
      <c r="C53" s="24" t="s">
        <v>1276</v>
      </c>
      <c r="D53" s="24" t="s">
        <v>1279</v>
      </c>
      <c r="E53" s="24" t="s">
        <v>1278</v>
      </c>
      <c r="F53" s="24" t="s">
        <v>88</v>
      </c>
      <c r="G53" s="25">
        <v>920</v>
      </c>
      <c r="H53" s="25">
        <v>0</v>
      </c>
      <c r="I53" s="25">
        <f t="shared" si="2"/>
        <v>920</v>
      </c>
      <c r="J53" s="24" t="s">
        <v>165</v>
      </c>
      <c r="K53" s="24" t="s">
        <v>21</v>
      </c>
      <c r="L53" s="24" t="s">
        <v>1148</v>
      </c>
      <c r="M53" s="24" t="s">
        <v>312</v>
      </c>
      <c r="N53" s="24"/>
      <c r="O53" s="24"/>
      <c r="P53" s="24"/>
      <c r="Q53" s="24">
        <v>1</v>
      </c>
    </row>
    <row r="54" spans="1:17" x14ac:dyDescent="0.25">
      <c r="A54" s="24"/>
      <c r="B54" s="24" t="s">
        <v>16</v>
      </c>
      <c r="C54" s="24" t="s">
        <v>1280</v>
      </c>
      <c r="D54" s="24" t="s">
        <v>1281</v>
      </c>
      <c r="E54" s="24" t="s">
        <v>1282</v>
      </c>
      <c r="F54" s="25">
        <v>4</v>
      </c>
      <c r="G54" s="25">
        <v>0</v>
      </c>
      <c r="H54" s="25">
        <v>25</v>
      </c>
      <c r="I54" s="25">
        <f>-H54</f>
        <v>-25</v>
      </c>
      <c r="J54" s="24" t="s">
        <v>165</v>
      </c>
      <c r="K54" s="24" t="s">
        <v>21</v>
      </c>
      <c r="L54" s="24" t="s">
        <v>1148</v>
      </c>
      <c r="M54" s="24"/>
      <c r="N54" s="24"/>
      <c r="O54" s="24"/>
      <c r="P54" s="24"/>
      <c r="Q54" s="24">
        <v>1</v>
      </c>
    </row>
    <row r="55" spans="1:17" x14ac:dyDescent="0.25">
      <c r="A55" s="24"/>
      <c r="B55" s="24" t="s">
        <v>16</v>
      </c>
      <c r="C55" s="24" t="s">
        <v>1283</v>
      </c>
      <c r="D55" s="24" t="s">
        <v>1284</v>
      </c>
      <c r="E55" s="24" t="s">
        <v>1285</v>
      </c>
      <c r="F55" s="24" t="s">
        <v>85</v>
      </c>
      <c r="G55" s="25">
        <v>2220</v>
      </c>
      <c r="H55" s="25">
        <v>25</v>
      </c>
      <c r="I55" s="25">
        <f>G55-H55</f>
        <v>2195</v>
      </c>
      <c r="J55" s="24" t="s">
        <v>165</v>
      </c>
      <c r="K55" s="24" t="s">
        <v>21</v>
      </c>
      <c r="L55" s="24" t="s">
        <v>1148</v>
      </c>
      <c r="M55" s="24" t="s">
        <v>398</v>
      </c>
      <c r="N55" s="24"/>
      <c r="O55" s="24"/>
      <c r="P55" s="24"/>
      <c r="Q55" s="24">
        <v>1</v>
      </c>
    </row>
    <row r="56" spans="1:17" x14ac:dyDescent="0.25">
      <c r="A56" s="24"/>
      <c r="B56" s="24" t="s">
        <v>16</v>
      </c>
      <c r="C56" s="24" t="s">
        <v>1286</v>
      </c>
      <c r="D56" s="24" t="s">
        <v>1287</v>
      </c>
      <c r="E56" s="24" t="s">
        <v>1288</v>
      </c>
      <c r="F56" s="25">
        <v>4</v>
      </c>
      <c r="G56" s="25">
        <v>845</v>
      </c>
      <c r="H56" s="25">
        <v>25</v>
      </c>
      <c r="I56" s="25">
        <f>G56-H56</f>
        <v>820</v>
      </c>
      <c r="J56" s="24" t="s">
        <v>165</v>
      </c>
      <c r="K56" s="24" t="s">
        <v>21</v>
      </c>
      <c r="L56" s="24" t="s">
        <v>1148</v>
      </c>
      <c r="M56" s="24"/>
      <c r="N56" s="24"/>
      <c r="O56" s="24"/>
      <c r="P56" s="24"/>
      <c r="Q56" s="24">
        <v>1</v>
      </c>
    </row>
    <row r="57" spans="1:17" x14ac:dyDescent="0.25">
      <c r="A57" s="24"/>
      <c r="B57" s="24" t="s">
        <v>16</v>
      </c>
      <c r="C57" s="24" t="s">
        <v>1289</v>
      </c>
      <c r="D57" s="24" t="s">
        <v>1290</v>
      </c>
      <c r="E57" s="24" t="s">
        <v>1291</v>
      </c>
      <c r="F57" s="25">
        <v>4</v>
      </c>
      <c r="G57" s="25">
        <v>815</v>
      </c>
      <c r="H57" s="25">
        <v>25</v>
      </c>
      <c r="I57" s="25">
        <f>G57-H57</f>
        <v>790</v>
      </c>
      <c r="J57" s="24" t="s">
        <v>165</v>
      </c>
      <c r="K57" s="24" t="s">
        <v>21</v>
      </c>
      <c r="L57" s="24" t="s">
        <v>1148</v>
      </c>
      <c r="M57" s="24"/>
      <c r="N57" s="24"/>
      <c r="O57" s="24"/>
      <c r="P57" s="24"/>
      <c r="Q57" s="24">
        <v>1</v>
      </c>
    </row>
    <row r="58" spans="1:17" x14ac:dyDescent="0.25">
      <c r="A58" s="24"/>
      <c r="B58" s="24" t="s">
        <v>16</v>
      </c>
      <c r="C58" s="24" t="s">
        <v>1292</v>
      </c>
      <c r="D58" s="24" t="s">
        <v>1293</v>
      </c>
      <c r="E58" s="24" t="s">
        <v>1294</v>
      </c>
      <c r="F58" s="25">
        <v>10</v>
      </c>
      <c r="G58" s="25">
        <v>515</v>
      </c>
      <c r="H58" s="25">
        <v>25</v>
      </c>
      <c r="I58" s="25">
        <f>G58-H58</f>
        <v>490</v>
      </c>
      <c r="J58" s="24" t="s">
        <v>165</v>
      </c>
      <c r="K58" s="24" t="s">
        <v>21</v>
      </c>
      <c r="L58" s="24" t="s">
        <v>1148</v>
      </c>
      <c r="M58" s="24"/>
      <c r="N58" s="24"/>
      <c r="O58" s="24"/>
      <c r="P58" s="24"/>
      <c r="Q58" s="24">
        <v>1</v>
      </c>
    </row>
    <row r="59" spans="1:17" x14ac:dyDescent="0.25">
      <c r="A59" s="24"/>
      <c r="B59" s="24" t="s">
        <v>16</v>
      </c>
      <c r="C59" s="24" t="s">
        <v>1295</v>
      </c>
      <c r="D59" s="24" t="s">
        <v>1296</v>
      </c>
      <c r="E59" s="24" t="s">
        <v>1297</v>
      </c>
      <c r="F59" s="25">
        <v>5</v>
      </c>
      <c r="G59" s="25">
        <v>0</v>
      </c>
      <c r="H59" s="25">
        <v>25</v>
      </c>
      <c r="I59" s="25">
        <f>-H59</f>
        <v>-25</v>
      </c>
      <c r="J59" s="24" t="s">
        <v>165</v>
      </c>
      <c r="K59" s="24" t="s">
        <v>21</v>
      </c>
      <c r="L59" s="24" t="s">
        <v>1148</v>
      </c>
      <c r="M59" s="24"/>
      <c r="N59" s="24"/>
      <c r="O59" s="24"/>
      <c r="P59" s="24"/>
      <c r="Q59" s="24">
        <v>1</v>
      </c>
    </row>
    <row r="60" spans="1:17" x14ac:dyDescent="0.25">
      <c r="A60" s="24"/>
      <c r="B60" s="24" t="s">
        <v>16</v>
      </c>
      <c r="C60" s="24" t="s">
        <v>1298</v>
      </c>
      <c r="D60" s="24" t="s">
        <v>1299</v>
      </c>
      <c r="E60" s="24" t="s">
        <v>1300</v>
      </c>
      <c r="F60" s="25">
        <v>4</v>
      </c>
      <c r="G60" s="25">
        <v>25</v>
      </c>
      <c r="H60" s="25">
        <v>25</v>
      </c>
      <c r="I60" s="25">
        <f t="shared" ref="I60:I66" si="3">G60-H60</f>
        <v>0</v>
      </c>
      <c r="J60" s="24" t="s">
        <v>165</v>
      </c>
      <c r="K60" s="24" t="s">
        <v>21</v>
      </c>
      <c r="L60" s="24" t="s">
        <v>1148</v>
      </c>
      <c r="M60" s="24"/>
      <c r="N60" s="24"/>
      <c r="O60" s="24"/>
      <c r="P60" s="24"/>
      <c r="Q60" s="24">
        <v>1</v>
      </c>
    </row>
    <row r="61" spans="1:17" x14ac:dyDescent="0.25">
      <c r="A61" s="24"/>
      <c r="B61" s="24" t="s">
        <v>16</v>
      </c>
      <c r="C61" s="24" t="s">
        <v>313</v>
      </c>
      <c r="D61" s="24" t="s">
        <v>1301</v>
      </c>
      <c r="E61" s="24" t="s">
        <v>315</v>
      </c>
      <c r="F61" s="24" t="s">
        <v>88</v>
      </c>
      <c r="G61" s="25">
        <v>1185</v>
      </c>
      <c r="H61" s="25">
        <v>25</v>
      </c>
      <c r="I61" s="25">
        <f t="shared" si="3"/>
        <v>1160</v>
      </c>
      <c r="J61" s="24" t="s">
        <v>165</v>
      </c>
      <c r="K61" s="24" t="s">
        <v>21</v>
      </c>
      <c r="L61" s="24" t="s">
        <v>1148</v>
      </c>
      <c r="M61" s="24"/>
      <c r="N61" s="24"/>
      <c r="O61" s="24"/>
      <c r="P61" s="24"/>
      <c r="Q61" s="24">
        <v>1</v>
      </c>
    </row>
    <row r="62" spans="1:17" x14ac:dyDescent="0.25">
      <c r="A62" s="24"/>
      <c r="B62" s="24" t="s">
        <v>16</v>
      </c>
      <c r="C62" s="24" t="s">
        <v>1302</v>
      </c>
      <c r="D62" s="24" t="s">
        <v>1303</v>
      </c>
      <c r="E62" s="24" t="s">
        <v>1304</v>
      </c>
      <c r="F62" s="24" t="s">
        <v>88</v>
      </c>
      <c r="G62" s="25">
        <v>535</v>
      </c>
      <c r="H62" s="25">
        <v>25</v>
      </c>
      <c r="I62" s="25">
        <f t="shared" si="3"/>
        <v>510</v>
      </c>
      <c r="J62" s="24" t="s">
        <v>165</v>
      </c>
      <c r="K62" s="24" t="s">
        <v>21</v>
      </c>
      <c r="L62" s="24" t="s">
        <v>1148</v>
      </c>
      <c r="M62" s="24"/>
      <c r="N62" s="24"/>
      <c r="O62" s="24"/>
      <c r="P62" s="24"/>
      <c r="Q62" s="24">
        <v>1</v>
      </c>
    </row>
    <row r="63" spans="1:17" x14ac:dyDescent="0.25">
      <c r="A63" s="24"/>
      <c r="B63" s="24" t="s">
        <v>16</v>
      </c>
      <c r="C63" s="24" t="s">
        <v>1141</v>
      </c>
      <c r="D63" s="24" t="s">
        <v>1305</v>
      </c>
      <c r="E63" s="24" t="s">
        <v>1143</v>
      </c>
      <c r="F63" s="25">
        <v>4</v>
      </c>
      <c r="G63" s="25">
        <v>615</v>
      </c>
      <c r="H63" s="25">
        <v>25</v>
      </c>
      <c r="I63" s="25">
        <f t="shared" si="3"/>
        <v>590</v>
      </c>
      <c r="J63" s="24" t="s">
        <v>165</v>
      </c>
      <c r="K63" s="24" t="s">
        <v>21</v>
      </c>
      <c r="L63" s="24" t="s">
        <v>1148</v>
      </c>
      <c r="M63" s="24"/>
      <c r="N63" s="24"/>
      <c r="O63" s="24"/>
      <c r="P63" s="24"/>
      <c r="Q63" s="24">
        <v>1</v>
      </c>
    </row>
    <row r="64" spans="1:17" x14ac:dyDescent="0.25">
      <c r="A64" s="24" t="s">
        <v>62</v>
      </c>
      <c r="B64" s="24" t="s">
        <v>16</v>
      </c>
      <c r="C64" s="24" t="s">
        <v>1008</v>
      </c>
      <c r="D64" s="24"/>
      <c r="E64" s="24" t="s">
        <v>1010</v>
      </c>
      <c r="F64" s="25">
        <v>3</v>
      </c>
      <c r="G64" s="25">
        <v>25</v>
      </c>
      <c r="H64" s="25">
        <v>25</v>
      </c>
      <c r="I64" s="25">
        <f t="shared" si="3"/>
        <v>0</v>
      </c>
      <c r="J64" s="24" t="s">
        <v>165</v>
      </c>
      <c r="K64" s="24" t="s">
        <v>21</v>
      </c>
      <c r="L64" s="24" t="s">
        <v>1148</v>
      </c>
      <c r="M64" s="24"/>
      <c r="N64" s="24"/>
      <c r="O64" s="24"/>
      <c r="P64" s="24"/>
      <c r="Q64" s="24">
        <v>1</v>
      </c>
    </row>
    <row r="65" spans="1:17" x14ac:dyDescent="0.25">
      <c r="A65" s="24" t="s">
        <v>62</v>
      </c>
      <c r="B65" s="24" t="s">
        <v>16</v>
      </c>
      <c r="C65" s="24" t="s">
        <v>441</v>
      </c>
      <c r="D65" s="24"/>
      <c r="E65" s="24" t="s">
        <v>442</v>
      </c>
      <c r="F65" s="24" t="s">
        <v>88</v>
      </c>
      <c r="G65" s="25">
        <v>30</v>
      </c>
      <c r="H65" s="25">
        <v>30</v>
      </c>
      <c r="I65" s="25">
        <f t="shared" si="3"/>
        <v>0</v>
      </c>
      <c r="J65" s="24" t="s">
        <v>165</v>
      </c>
      <c r="K65" s="24" t="s">
        <v>21</v>
      </c>
      <c r="L65" s="24" t="s">
        <v>1148</v>
      </c>
      <c r="M65" s="24"/>
      <c r="N65" s="24"/>
      <c r="O65" s="24"/>
      <c r="P65" s="24"/>
      <c r="Q65" s="24">
        <v>1</v>
      </c>
    </row>
    <row r="66" spans="1:17" s="8" customFormat="1" x14ac:dyDescent="0.25">
      <c r="A66" s="26"/>
      <c r="B66" s="26" t="s">
        <v>16</v>
      </c>
      <c r="C66" s="26" t="s">
        <v>997</v>
      </c>
      <c r="D66" s="26" t="s">
        <v>998</v>
      </c>
      <c r="E66" s="26" t="s">
        <v>999</v>
      </c>
      <c r="F66" s="27">
        <v>1</v>
      </c>
      <c r="G66" s="27">
        <v>815</v>
      </c>
      <c r="H66" s="27">
        <v>25</v>
      </c>
      <c r="I66" s="27">
        <f t="shared" si="3"/>
        <v>790</v>
      </c>
      <c r="J66" s="26" t="s">
        <v>446</v>
      </c>
      <c r="K66" s="26" t="s">
        <v>21</v>
      </c>
      <c r="L66" s="26" t="s">
        <v>895</v>
      </c>
      <c r="M66" s="26" t="s">
        <v>1306</v>
      </c>
      <c r="N66" s="26" t="s">
        <v>448</v>
      </c>
      <c r="O66" s="26" t="s">
        <v>448</v>
      </c>
      <c r="P66" s="26" t="s">
        <v>449</v>
      </c>
      <c r="Q66" s="26">
        <v>1</v>
      </c>
    </row>
    <row r="68" spans="1:17" x14ac:dyDescent="0.25">
      <c r="D68" s="7">
        <f>COUNTA(D3:D66)</f>
        <v>59</v>
      </c>
      <c r="G68" s="7">
        <f t="shared" ref="G68:Q68" si="4">SUBTOTAL(9,G3:G66)</f>
        <v>42735</v>
      </c>
      <c r="H68" s="7">
        <f t="shared" si="4"/>
        <v>1670</v>
      </c>
      <c r="I68" s="7">
        <f t="shared" si="4"/>
        <v>41065</v>
      </c>
      <c r="J68" s="7">
        <f t="shared" si="4"/>
        <v>0</v>
      </c>
      <c r="K68" s="7">
        <f t="shared" si="4"/>
        <v>0</v>
      </c>
      <c r="L68" s="7">
        <f t="shared" si="4"/>
        <v>0</v>
      </c>
      <c r="M68" s="7">
        <f t="shared" si="4"/>
        <v>0</v>
      </c>
      <c r="N68" s="7">
        <f t="shared" si="4"/>
        <v>0</v>
      </c>
      <c r="O68" s="7">
        <f t="shared" si="4"/>
        <v>0</v>
      </c>
      <c r="P68" s="7">
        <f t="shared" si="4"/>
        <v>0</v>
      </c>
      <c r="Q68" s="7">
        <f t="shared" si="4"/>
        <v>64</v>
      </c>
    </row>
    <row r="69" spans="1:17" x14ac:dyDescent="0.25">
      <c r="H69">
        <f>-16*17</f>
        <v>-272</v>
      </c>
    </row>
    <row r="70" spans="1:17" x14ac:dyDescent="0.25">
      <c r="A70" s="7" t="s">
        <v>16</v>
      </c>
      <c r="C70" s="6" t="s">
        <v>89</v>
      </c>
      <c r="D70" s="6"/>
      <c r="E70" s="10" t="s">
        <v>90</v>
      </c>
      <c r="H70">
        <f>-8*25</f>
        <v>-200</v>
      </c>
      <c r="K70" s="13" t="s">
        <v>1155</v>
      </c>
      <c r="L70" s="13" t="s">
        <v>91</v>
      </c>
      <c r="M70" s="13" t="s">
        <v>90</v>
      </c>
      <c r="O70" s="10" t="s">
        <v>92</v>
      </c>
    </row>
    <row r="71" spans="1:17" x14ac:dyDescent="0.25">
      <c r="A71" t="s">
        <v>1148</v>
      </c>
      <c r="B71" s="9" t="s">
        <v>93</v>
      </c>
      <c r="C71" s="5">
        <f>SUMIFS(I$3:I$66,B$3:B$66,A$70,L$3:L$66,A$71)</f>
        <v>40275</v>
      </c>
      <c r="D71" s="5"/>
      <c r="E71" s="9">
        <f>SUMIFS(Q$3:Q$66,B$3:B$66,A$70,L$3:L$66,A$71)</f>
        <v>63</v>
      </c>
      <c r="F71" t="s">
        <v>94</v>
      </c>
      <c r="H71">
        <f>-2*30</f>
        <v>-60</v>
      </c>
      <c r="K71" t="s">
        <v>95</v>
      </c>
      <c r="L71">
        <f>SUMIFS(G$3:G$66,J$3:J$66,K$70)</f>
        <v>16365</v>
      </c>
      <c r="M71">
        <f>SUMIFS(Q$3:Q$66,J$3:J$66,K$70)</f>
        <v>26</v>
      </c>
      <c r="O71" t="s">
        <v>1307</v>
      </c>
      <c r="P71">
        <f>L76</f>
        <v>15833</v>
      </c>
    </row>
    <row r="72" spans="1:17" x14ac:dyDescent="0.25">
      <c r="B72" s="8" t="s">
        <v>97</v>
      </c>
      <c r="C72" s="4">
        <v>0</v>
      </c>
      <c r="D72" s="4"/>
      <c r="K72" t="s">
        <v>98</v>
      </c>
      <c r="L72">
        <f>SUM(H69:H71)</f>
        <v>-532</v>
      </c>
      <c r="M72">
        <f>SUMIFS(Q$3:Q$66,J$3:J$66,K$70)</f>
        <v>26</v>
      </c>
      <c r="O72" t="s">
        <v>21</v>
      </c>
      <c r="P72">
        <f>L84</f>
        <v>12122</v>
      </c>
    </row>
    <row r="73" spans="1:17" x14ac:dyDescent="0.25">
      <c r="B73" s="8" t="s">
        <v>99</v>
      </c>
      <c r="C73" s="4">
        <f>-SUMIFS(I$3:I$66,B$3:B$66,A$70,P$3:P$66,"xx",N$3:N$66,"x")</f>
        <v>-790</v>
      </c>
      <c r="D73" s="4"/>
      <c r="E73" s="8">
        <f>SUMIFS(Q$3:Q$66,B$3:B$66,A$70,P$3:P$66,"xx",N$3:N$66,"x")</f>
        <v>1</v>
      </c>
      <c r="K73" t="s">
        <v>100</v>
      </c>
      <c r="O73" t="s">
        <v>20</v>
      </c>
      <c r="P73">
        <f>L92</f>
        <v>1350</v>
      </c>
    </row>
    <row r="74" spans="1:17" x14ac:dyDescent="0.25">
      <c r="B74" s="10" t="s">
        <v>101</v>
      </c>
      <c r="C74" s="6">
        <f>SUBTOTAL(9,C71:C73)</f>
        <v>39485</v>
      </c>
      <c r="D74" s="6"/>
      <c r="E74">
        <f>E71</f>
        <v>63</v>
      </c>
      <c r="K74" s="8" t="s">
        <v>102</v>
      </c>
      <c r="O74" t="s">
        <v>165</v>
      </c>
      <c r="P74">
        <f>L100</f>
        <v>10425</v>
      </c>
    </row>
    <row r="75" spans="1:17" x14ac:dyDescent="0.25">
      <c r="B75" s="8" t="s">
        <v>104</v>
      </c>
      <c r="C75" s="3"/>
      <c r="D75" s="3"/>
      <c r="K75" s="8" t="s">
        <v>105</v>
      </c>
      <c r="O75" t="s">
        <v>103</v>
      </c>
      <c r="P75">
        <f>-C78</f>
        <v>-39485</v>
      </c>
    </row>
    <row r="76" spans="1:17" x14ac:dyDescent="0.25">
      <c r="B76" s="14" t="s">
        <v>107</v>
      </c>
      <c r="C76" s="3"/>
      <c r="D76" s="3"/>
      <c r="L76" s="15">
        <f>SUBTOTAL(9,L71:L75)</f>
        <v>15833</v>
      </c>
      <c r="M76" s="15">
        <f>M71</f>
        <v>26</v>
      </c>
      <c r="O76" s="10" t="s">
        <v>106</v>
      </c>
      <c r="P76" s="10">
        <f>SUBTOTAL(9,P71:P75)</f>
        <v>245</v>
      </c>
    </row>
    <row r="78" spans="1:17" x14ac:dyDescent="0.25">
      <c r="B78" s="7" t="s">
        <v>108</v>
      </c>
      <c r="C78" s="2">
        <f>C74+C75+C76</f>
        <v>39485</v>
      </c>
      <c r="D78" s="2"/>
      <c r="E78" s="7" t="s">
        <v>109</v>
      </c>
      <c r="K78" s="13" t="s">
        <v>21</v>
      </c>
      <c r="L78" s="13" t="s">
        <v>91</v>
      </c>
      <c r="M78" s="13" t="s">
        <v>90</v>
      </c>
    </row>
    <row r="79" spans="1:17" x14ac:dyDescent="0.25">
      <c r="K79" t="s">
        <v>95</v>
      </c>
      <c r="L79">
        <f>SUMIFS(G$3:G$66,J$3:J$66,K$78)</f>
        <v>12545</v>
      </c>
      <c r="M79">
        <f>SUMIFS(Q$3:Q$66,J$3:J$66,K$78)</f>
        <v>15</v>
      </c>
    </row>
    <row r="80" spans="1:17" x14ac:dyDescent="0.25">
      <c r="K80" t="s">
        <v>98</v>
      </c>
      <c r="L80">
        <f>-SUMIFS(H$3:H$66,J$3:J$66,K$78)+M80*5</f>
        <v>-305</v>
      </c>
      <c r="M80">
        <f>SUMIFS(Q$3:Q$66,J$3:J$66,K$78)-COUNTIFS(J$3:J$66,K$78,M$3:M$66,"*gộp*")</f>
        <v>11</v>
      </c>
    </row>
    <row r="81" spans="11:13" x14ac:dyDescent="0.25">
      <c r="K81" t="s">
        <v>100</v>
      </c>
      <c r="L81">
        <f>-M81*2</f>
        <v>-118</v>
      </c>
      <c r="M81">
        <f>Q68-(COUNTIFS(M$3:M$66,"*gộp*")/2)-COUNTIFS(P$3:P$66,"*xx*")*2</f>
        <v>59</v>
      </c>
    </row>
    <row r="82" spans="11:13" x14ac:dyDescent="0.25">
      <c r="K82" s="8" t="s">
        <v>102</v>
      </c>
    </row>
    <row r="83" spans="11:13" x14ac:dyDescent="0.25">
      <c r="K83" s="8" t="s">
        <v>105</v>
      </c>
    </row>
    <row r="84" spans="11:13" x14ac:dyDescent="0.25">
      <c r="L84" s="15">
        <f>SUBTOTAL(9,L79:L83)</f>
        <v>12122</v>
      </c>
      <c r="M84" s="15">
        <f>M79</f>
        <v>15</v>
      </c>
    </row>
    <row r="86" spans="11:13" x14ac:dyDescent="0.25">
      <c r="K86" s="13" t="s">
        <v>20</v>
      </c>
      <c r="L86" s="13" t="s">
        <v>91</v>
      </c>
      <c r="M86" s="13" t="s">
        <v>90</v>
      </c>
    </row>
    <row r="87" spans="11:13" x14ac:dyDescent="0.25">
      <c r="K87" t="s">
        <v>95</v>
      </c>
      <c r="L87">
        <f>SUMIFS(G$3:G$66,J$3:J$66,K$86)</f>
        <v>1400</v>
      </c>
      <c r="M87">
        <f>SUMIFS(Q$3:Q$66,J$3:J$66,K$86)</f>
        <v>2</v>
      </c>
    </row>
    <row r="88" spans="11:13" x14ac:dyDescent="0.25">
      <c r="K88" t="s">
        <v>98</v>
      </c>
      <c r="L88">
        <f>-SUMIFS(H$3:H$66,J$3:J$66,K$86)+M88*5</f>
        <v>-50</v>
      </c>
      <c r="M88">
        <f>SUMIFS(Q$3:Q$66,J$3:J$66,K$86)-COUNTIFS(J$3:J$66,K$86,M$3:M$66,"*gộp*")</f>
        <v>2</v>
      </c>
    </row>
    <row r="89" spans="11:13" x14ac:dyDescent="0.25">
      <c r="K89" t="s">
        <v>100</v>
      </c>
    </row>
    <row r="90" spans="11:13" x14ac:dyDescent="0.25">
      <c r="K90" s="8" t="s">
        <v>102</v>
      </c>
    </row>
    <row r="91" spans="11:13" x14ac:dyDescent="0.25">
      <c r="K91" s="8" t="s">
        <v>105</v>
      </c>
    </row>
    <row r="92" spans="11:13" x14ac:dyDescent="0.25">
      <c r="L92" s="15">
        <f>SUBTOTAL(9,L87:L91)</f>
        <v>1350</v>
      </c>
      <c r="M92" s="15">
        <f>M87</f>
        <v>2</v>
      </c>
    </row>
    <row r="94" spans="11:13" x14ac:dyDescent="0.25">
      <c r="K94" s="13" t="s">
        <v>165</v>
      </c>
      <c r="L94" s="13" t="s">
        <v>91</v>
      </c>
      <c r="M94" s="13" t="s">
        <v>90</v>
      </c>
    </row>
    <row r="95" spans="11:13" x14ac:dyDescent="0.25">
      <c r="K95" t="s">
        <v>95</v>
      </c>
      <c r="L95">
        <f>SUMIFS(G$3:G$66,J$3:J$66,K$94)</f>
        <v>11610</v>
      </c>
      <c r="M95">
        <f>SUMIFS(Q$3:Q$66,J$3:J$66,K$94)</f>
        <v>20</v>
      </c>
    </row>
    <row r="96" spans="11:13" x14ac:dyDescent="0.25">
      <c r="K96" t="s">
        <v>98</v>
      </c>
      <c r="L96">
        <f>-SUMIFS(H$3:H$66,J$3:J$66,K$94)+M96*5</f>
        <v>-390</v>
      </c>
      <c r="M96">
        <f>SUMIFS(Q$3:Q$66,J$3:J$66,K$94)-COUNTIFS(J$3:J$66,K$94,M$3:M$66,"*gộp*")</f>
        <v>18</v>
      </c>
    </row>
    <row r="97" spans="11:13" x14ac:dyDescent="0.25">
      <c r="K97" t="s">
        <v>100</v>
      </c>
    </row>
    <row r="98" spans="11:13" x14ac:dyDescent="0.25">
      <c r="K98" s="8" t="s">
        <v>102</v>
      </c>
      <c r="L98" s="8">
        <v>-795</v>
      </c>
      <c r="M98" s="19" t="s">
        <v>451</v>
      </c>
    </row>
    <row r="99" spans="11:13" x14ac:dyDescent="0.25">
      <c r="K99" s="8" t="s">
        <v>105</v>
      </c>
    </row>
    <row r="100" spans="11:13" x14ac:dyDescent="0.25">
      <c r="L100" s="15">
        <f>SUBTOTAL(9,L95:L99)</f>
        <v>10425</v>
      </c>
      <c r="M100" s="15">
        <f>M95</f>
        <v>20</v>
      </c>
    </row>
  </sheetData>
  <autoFilter ref="A2:P66" xr:uid="{00000000-0009-0000-0000-00000A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60"/>
  <sheetViews>
    <sheetView workbookViewId="0">
      <selection activeCell="C26" sqref="C26"/>
    </sheetView>
  </sheetViews>
  <sheetFormatPr defaultRowHeight="15" x14ac:dyDescent="0.25"/>
  <cols>
    <col min="1" max="1" width="12.7109375" customWidth="1"/>
    <col min="2" max="2" width="17.7109375" customWidth="1"/>
    <col min="3" max="3" width="21.7109375" customWidth="1"/>
    <col min="4" max="4" width="9.85546875" customWidth="1"/>
    <col min="5" max="5" width="8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3" bestFit="1" customWidth="1"/>
    <col min="16" max="16" width="7" bestFit="1" customWidth="1"/>
    <col min="17" max="17" width="6.42578125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3" t="s">
        <v>324</v>
      </c>
    </row>
    <row r="3" spans="1:17" x14ac:dyDescent="0.25">
      <c r="A3" s="24"/>
      <c r="B3" s="24" t="s">
        <v>16</v>
      </c>
      <c r="C3" s="24" t="s">
        <v>1308</v>
      </c>
      <c r="D3" s="24" t="s">
        <v>1309</v>
      </c>
      <c r="E3" s="24" t="s">
        <v>1310</v>
      </c>
      <c r="F3" s="25">
        <v>9</v>
      </c>
      <c r="G3" s="25">
        <v>520</v>
      </c>
      <c r="H3" s="25">
        <v>30</v>
      </c>
      <c r="I3" s="25">
        <f>G3-H3</f>
        <v>490</v>
      </c>
      <c r="J3" s="24" t="s">
        <v>20</v>
      </c>
      <c r="K3" s="24" t="s">
        <v>21</v>
      </c>
      <c r="L3" s="24" t="s">
        <v>1311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1312</v>
      </c>
      <c r="D4" s="24" t="s">
        <v>1313</v>
      </c>
      <c r="E4" s="24" t="s">
        <v>1314</v>
      </c>
      <c r="F4" s="25">
        <v>9</v>
      </c>
      <c r="G4" s="25">
        <v>820</v>
      </c>
      <c r="H4" s="25">
        <v>30</v>
      </c>
      <c r="I4" s="25">
        <f>G4-H4</f>
        <v>790</v>
      </c>
      <c r="J4" s="24" t="s">
        <v>20</v>
      </c>
      <c r="K4" s="24" t="s">
        <v>21</v>
      </c>
      <c r="L4" s="24" t="s">
        <v>1311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1315</v>
      </c>
      <c r="D5" s="24" t="s">
        <v>1316</v>
      </c>
      <c r="E5" s="24" t="s">
        <v>1317</v>
      </c>
      <c r="F5" s="25">
        <v>5</v>
      </c>
      <c r="G5" s="25">
        <v>0</v>
      </c>
      <c r="H5" s="25">
        <v>25</v>
      </c>
      <c r="I5" s="25">
        <f>-H5</f>
        <v>-25</v>
      </c>
      <c r="J5" s="24" t="s">
        <v>20</v>
      </c>
      <c r="K5" s="24" t="s">
        <v>21</v>
      </c>
      <c r="L5" s="24" t="s">
        <v>1311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1318</v>
      </c>
      <c r="D6" s="24" t="s">
        <v>1319</v>
      </c>
      <c r="E6" s="24" t="s">
        <v>1320</v>
      </c>
      <c r="F6" s="24" t="s">
        <v>26</v>
      </c>
      <c r="G6" s="25">
        <v>740</v>
      </c>
      <c r="H6" s="25">
        <v>30</v>
      </c>
      <c r="I6" s="25">
        <f>G6-H6</f>
        <v>710</v>
      </c>
      <c r="J6" s="24" t="s">
        <v>1321</v>
      </c>
      <c r="K6" s="24" t="s">
        <v>21</v>
      </c>
      <c r="L6" s="24" t="s">
        <v>1311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982</v>
      </c>
      <c r="D7" s="24" t="s">
        <v>1322</v>
      </c>
      <c r="E7" s="24" t="s">
        <v>1323</v>
      </c>
      <c r="F7" s="25">
        <v>10</v>
      </c>
      <c r="G7" s="25">
        <v>1075</v>
      </c>
      <c r="H7" s="25">
        <v>25</v>
      </c>
      <c r="I7" s="25">
        <f>G7-H7</f>
        <v>1050</v>
      </c>
      <c r="J7" s="24" t="s">
        <v>1321</v>
      </c>
      <c r="K7" s="24" t="s">
        <v>21</v>
      </c>
      <c r="L7" s="24" t="s">
        <v>1311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1324</v>
      </c>
      <c r="D8" s="24" t="s">
        <v>1325</v>
      </c>
      <c r="E8" s="24" t="s">
        <v>1326</v>
      </c>
      <c r="F8" s="25">
        <v>1</v>
      </c>
      <c r="G8" s="25">
        <v>0</v>
      </c>
      <c r="H8" s="25">
        <v>25</v>
      </c>
      <c r="I8" s="25">
        <f>-H8</f>
        <v>-25</v>
      </c>
      <c r="J8" s="24" t="s">
        <v>1321</v>
      </c>
      <c r="K8" s="24" t="s">
        <v>21</v>
      </c>
      <c r="L8" s="24" t="s">
        <v>1311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1327</v>
      </c>
      <c r="D9" s="24" t="s">
        <v>1328</v>
      </c>
      <c r="E9" s="24" t="s">
        <v>1329</v>
      </c>
      <c r="F9" s="25">
        <v>1</v>
      </c>
      <c r="G9" s="25">
        <v>835</v>
      </c>
      <c r="H9" s="25">
        <v>25</v>
      </c>
      <c r="I9" s="25">
        <f>G9-H9</f>
        <v>810</v>
      </c>
      <c r="J9" s="24" t="s">
        <v>1321</v>
      </c>
      <c r="K9" s="24" t="s">
        <v>21</v>
      </c>
      <c r="L9" s="24" t="s">
        <v>1311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1330</v>
      </c>
      <c r="D10" s="24" t="s">
        <v>1331</v>
      </c>
      <c r="E10" s="24" t="s">
        <v>1332</v>
      </c>
      <c r="F10" s="24" t="s">
        <v>128</v>
      </c>
      <c r="G10" s="25">
        <v>135</v>
      </c>
      <c r="H10" s="25">
        <v>35</v>
      </c>
      <c r="I10" s="25">
        <f>G10-H10</f>
        <v>100</v>
      </c>
      <c r="J10" s="24" t="s">
        <v>1321</v>
      </c>
      <c r="K10" s="24" t="s">
        <v>21</v>
      </c>
      <c r="L10" s="24" t="s">
        <v>1311</v>
      </c>
      <c r="M10" s="24" t="s">
        <v>49</v>
      </c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1253</v>
      </c>
      <c r="D11" s="24" t="s">
        <v>1333</v>
      </c>
      <c r="E11" s="24" t="s">
        <v>1255</v>
      </c>
      <c r="F11" s="24" t="s">
        <v>72</v>
      </c>
      <c r="G11" s="25">
        <v>25</v>
      </c>
      <c r="H11" s="25">
        <v>25</v>
      </c>
      <c r="I11" s="25">
        <f>G11-H11</f>
        <v>0</v>
      </c>
      <c r="J11" s="24" t="s">
        <v>21</v>
      </c>
      <c r="K11" s="24" t="s">
        <v>21</v>
      </c>
      <c r="L11" s="24" t="s">
        <v>1311</v>
      </c>
      <c r="M11" s="24" t="s">
        <v>49</v>
      </c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1334</v>
      </c>
      <c r="D12" s="24" t="s">
        <v>1335</v>
      </c>
      <c r="E12" s="24" t="s">
        <v>1158</v>
      </c>
      <c r="F12" s="25">
        <v>12</v>
      </c>
      <c r="G12" s="25">
        <v>0</v>
      </c>
      <c r="H12" s="25">
        <v>30</v>
      </c>
      <c r="I12" s="25">
        <f>-H12</f>
        <v>-30</v>
      </c>
      <c r="J12" s="24" t="s">
        <v>21</v>
      </c>
      <c r="K12" s="24" t="s">
        <v>21</v>
      </c>
      <c r="L12" s="24" t="s">
        <v>1311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943</v>
      </c>
      <c r="D13" s="24" t="s">
        <v>1336</v>
      </c>
      <c r="E13" s="24" t="s">
        <v>945</v>
      </c>
      <c r="F13" s="25">
        <v>2</v>
      </c>
      <c r="G13" s="25">
        <v>820</v>
      </c>
      <c r="H13" s="25">
        <v>30</v>
      </c>
      <c r="I13" s="25">
        <f t="shared" ref="I13:I19" si="0">G13-H13</f>
        <v>790</v>
      </c>
      <c r="J13" s="24" t="s">
        <v>21</v>
      </c>
      <c r="K13" s="24" t="s">
        <v>21</v>
      </c>
      <c r="L13" s="24" t="s">
        <v>1311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1337</v>
      </c>
      <c r="D14" s="24" t="s">
        <v>1338</v>
      </c>
      <c r="E14" s="24" t="s">
        <v>1339</v>
      </c>
      <c r="F14" s="25">
        <v>12</v>
      </c>
      <c r="G14" s="25">
        <v>720</v>
      </c>
      <c r="H14" s="25">
        <v>30</v>
      </c>
      <c r="I14" s="25">
        <f t="shared" si="0"/>
        <v>690</v>
      </c>
      <c r="J14" s="24" t="s">
        <v>21</v>
      </c>
      <c r="K14" s="24" t="s">
        <v>21</v>
      </c>
      <c r="L14" s="24" t="s">
        <v>1311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1340</v>
      </c>
      <c r="D15" s="24" t="s">
        <v>1341</v>
      </c>
      <c r="E15" s="24" t="s">
        <v>1342</v>
      </c>
      <c r="F15" s="24" t="s">
        <v>72</v>
      </c>
      <c r="G15" s="25">
        <v>1115</v>
      </c>
      <c r="H15" s="25">
        <v>25</v>
      </c>
      <c r="I15" s="25">
        <f t="shared" si="0"/>
        <v>1090</v>
      </c>
      <c r="J15" s="24" t="s">
        <v>21</v>
      </c>
      <c r="K15" s="24" t="s">
        <v>21</v>
      </c>
      <c r="L15" s="24" t="s">
        <v>1311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539</v>
      </c>
      <c r="D16" s="24" t="s">
        <v>1343</v>
      </c>
      <c r="E16" s="24" t="s">
        <v>1344</v>
      </c>
      <c r="F16" s="24" t="s">
        <v>68</v>
      </c>
      <c r="G16" s="25">
        <v>770</v>
      </c>
      <c r="H16" s="25">
        <v>20</v>
      </c>
      <c r="I16" s="25">
        <f t="shared" si="0"/>
        <v>750</v>
      </c>
      <c r="J16" s="24" t="s">
        <v>21</v>
      </c>
      <c r="K16" s="24" t="s">
        <v>21</v>
      </c>
      <c r="L16" s="24" t="s">
        <v>1311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1345</v>
      </c>
      <c r="D17" s="24" t="s">
        <v>1346</v>
      </c>
      <c r="E17" s="24" t="s">
        <v>1347</v>
      </c>
      <c r="F17" s="25">
        <v>12</v>
      </c>
      <c r="G17" s="25">
        <v>1530</v>
      </c>
      <c r="H17" s="25">
        <v>30</v>
      </c>
      <c r="I17" s="25">
        <f t="shared" si="0"/>
        <v>1500</v>
      </c>
      <c r="J17" s="24" t="s">
        <v>21</v>
      </c>
      <c r="K17" s="24" t="s">
        <v>21</v>
      </c>
      <c r="L17" s="24" t="s">
        <v>1311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1348</v>
      </c>
      <c r="D18" s="24" t="s">
        <v>1349</v>
      </c>
      <c r="E18" s="24" t="s">
        <v>1350</v>
      </c>
      <c r="F18" s="24" t="s">
        <v>68</v>
      </c>
      <c r="G18" s="25">
        <v>840</v>
      </c>
      <c r="H18" s="25">
        <v>20</v>
      </c>
      <c r="I18" s="25">
        <f t="shared" si="0"/>
        <v>820</v>
      </c>
      <c r="J18" s="24" t="s">
        <v>21</v>
      </c>
      <c r="K18" s="24" t="s">
        <v>21</v>
      </c>
      <c r="L18" s="24" t="s">
        <v>1311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838</v>
      </c>
      <c r="D19" s="24" t="s">
        <v>1351</v>
      </c>
      <c r="E19" s="24" t="s">
        <v>1352</v>
      </c>
      <c r="F19" s="24" t="s">
        <v>153</v>
      </c>
      <c r="G19" s="25">
        <v>570</v>
      </c>
      <c r="H19" s="25">
        <v>30</v>
      </c>
      <c r="I19" s="25">
        <f t="shared" si="0"/>
        <v>540</v>
      </c>
      <c r="J19" s="24" t="s">
        <v>21</v>
      </c>
      <c r="K19" s="24" t="s">
        <v>21</v>
      </c>
      <c r="L19" s="24" t="s">
        <v>1311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1353</v>
      </c>
      <c r="D20" s="24" t="s">
        <v>1354</v>
      </c>
      <c r="E20" s="24" t="s">
        <v>416</v>
      </c>
      <c r="F20" s="25">
        <v>12</v>
      </c>
      <c r="G20" s="25">
        <v>0</v>
      </c>
      <c r="H20" s="25">
        <v>30</v>
      </c>
      <c r="I20" s="25">
        <f>-H20</f>
        <v>-30</v>
      </c>
      <c r="J20" s="24" t="s">
        <v>21</v>
      </c>
      <c r="K20" s="24" t="s">
        <v>21</v>
      </c>
      <c r="L20" s="24" t="s">
        <v>1311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1355</v>
      </c>
      <c r="D21" s="24" t="s">
        <v>1356</v>
      </c>
      <c r="E21" s="24" t="s">
        <v>1357</v>
      </c>
      <c r="F21" s="24" t="s">
        <v>72</v>
      </c>
      <c r="G21" s="25">
        <v>865</v>
      </c>
      <c r="H21" s="25">
        <v>25</v>
      </c>
      <c r="I21" s="25">
        <f t="shared" ref="I21:I26" si="1">G21-H21</f>
        <v>840</v>
      </c>
      <c r="J21" s="24" t="s">
        <v>21</v>
      </c>
      <c r="K21" s="24" t="s">
        <v>21</v>
      </c>
      <c r="L21" s="24" t="s">
        <v>1311</v>
      </c>
      <c r="M21" s="24"/>
      <c r="N21" s="24"/>
      <c r="O21" s="24"/>
      <c r="P21" s="24"/>
      <c r="Q21" s="24">
        <v>1</v>
      </c>
    </row>
    <row r="22" spans="1:17" x14ac:dyDescent="0.25">
      <c r="A22" s="24" t="s">
        <v>62</v>
      </c>
      <c r="B22" s="24" t="s">
        <v>16</v>
      </c>
      <c r="C22" s="24" t="s">
        <v>1358</v>
      </c>
      <c r="D22" s="24"/>
      <c r="E22" s="24" t="s">
        <v>1359</v>
      </c>
      <c r="F22" s="24" t="s">
        <v>88</v>
      </c>
      <c r="G22" s="25">
        <v>30</v>
      </c>
      <c r="H22" s="25">
        <v>30</v>
      </c>
      <c r="I22" s="25">
        <f t="shared" si="1"/>
        <v>0</v>
      </c>
      <c r="J22" s="24" t="s">
        <v>165</v>
      </c>
      <c r="K22" s="24" t="s">
        <v>21</v>
      </c>
      <c r="L22" s="24" t="s">
        <v>1311</v>
      </c>
      <c r="M22" s="24"/>
      <c r="N22" s="24"/>
      <c r="O22" s="24"/>
      <c r="P22" s="24"/>
      <c r="Q22" s="24">
        <v>1</v>
      </c>
    </row>
    <row r="23" spans="1:17" s="8" customFormat="1" x14ac:dyDescent="0.25">
      <c r="A23" s="26"/>
      <c r="B23" s="26" t="s">
        <v>16</v>
      </c>
      <c r="C23" s="26" t="s">
        <v>1360</v>
      </c>
      <c r="D23" s="26" t="s">
        <v>1361</v>
      </c>
      <c r="E23" s="26" t="s">
        <v>1362</v>
      </c>
      <c r="F23" s="27">
        <v>12</v>
      </c>
      <c r="G23" s="27">
        <v>740</v>
      </c>
      <c r="H23" s="27">
        <v>30</v>
      </c>
      <c r="I23" s="27">
        <f t="shared" si="1"/>
        <v>710</v>
      </c>
      <c r="J23" s="26" t="s">
        <v>1363</v>
      </c>
      <c r="K23" s="26" t="s">
        <v>21</v>
      </c>
      <c r="L23" s="26" t="s">
        <v>447</v>
      </c>
      <c r="M23" s="26" t="s">
        <v>102</v>
      </c>
      <c r="N23" s="26" t="s">
        <v>448</v>
      </c>
      <c r="O23" s="26" t="s">
        <v>448</v>
      </c>
      <c r="P23" s="26" t="s">
        <v>449</v>
      </c>
      <c r="Q23" s="27">
        <v>1</v>
      </c>
    </row>
    <row r="24" spans="1:17" s="8" customFormat="1" x14ac:dyDescent="0.25">
      <c r="A24" s="26"/>
      <c r="B24" s="26" t="s">
        <v>16</v>
      </c>
      <c r="C24" s="26" t="s">
        <v>1364</v>
      </c>
      <c r="D24" s="26" t="s">
        <v>1365</v>
      </c>
      <c r="E24" s="26" t="s">
        <v>1366</v>
      </c>
      <c r="F24" s="27">
        <v>2</v>
      </c>
      <c r="G24" s="27">
        <v>700</v>
      </c>
      <c r="H24" s="27">
        <v>30</v>
      </c>
      <c r="I24" s="27">
        <f t="shared" si="1"/>
        <v>670</v>
      </c>
      <c r="J24" s="26" t="s">
        <v>1363</v>
      </c>
      <c r="K24" s="26" t="s">
        <v>21</v>
      </c>
      <c r="L24" s="26" t="s">
        <v>447</v>
      </c>
      <c r="M24" s="26" t="s">
        <v>102</v>
      </c>
      <c r="N24" s="26" t="s">
        <v>448</v>
      </c>
      <c r="O24" s="26" t="s">
        <v>448</v>
      </c>
      <c r="P24" s="26" t="s">
        <v>449</v>
      </c>
      <c r="Q24" s="27">
        <v>1</v>
      </c>
    </row>
    <row r="25" spans="1:17" s="8" customFormat="1" x14ac:dyDescent="0.25">
      <c r="A25" s="26"/>
      <c r="B25" s="26" t="s">
        <v>16</v>
      </c>
      <c r="C25" s="26" t="s">
        <v>56</v>
      </c>
      <c r="D25" s="26" t="s">
        <v>57</v>
      </c>
      <c r="E25" s="26" t="s">
        <v>58</v>
      </c>
      <c r="F25" s="27">
        <v>7</v>
      </c>
      <c r="G25" s="27">
        <v>850</v>
      </c>
      <c r="H25" s="27">
        <v>30</v>
      </c>
      <c r="I25" s="27">
        <f t="shared" si="1"/>
        <v>820</v>
      </c>
      <c r="J25" s="26" t="s">
        <v>1363</v>
      </c>
      <c r="K25" s="26" t="s">
        <v>21</v>
      </c>
      <c r="L25" s="26" t="s">
        <v>22</v>
      </c>
      <c r="M25" s="26" t="s">
        <v>102</v>
      </c>
      <c r="N25" s="26" t="s">
        <v>448</v>
      </c>
      <c r="O25" s="26" t="s">
        <v>448</v>
      </c>
      <c r="P25" s="26" t="s">
        <v>449</v>
      </c>
      <c r="Q25" s="27">
        <v>1</v>
      </c>
    </row>
    <row r="26" spans="1:17" s="8" customFormat="1" x14ac:dyDescent="0.25">
      <c r="A26" s="26"/>
      <c r="B26" s="26" t="s">
        <v>16</v>
      </c>
      <c r="C26" s="26" t="s">
        <v>1367</v>
      </c>
      <c r="D26" s="26" t="s">
        <v>1368</v>
      </c>
      <c r="E26" s="26" t="s">
        <v>1369</v>
      </c>
      <c r="F26" s="26" t="s">
        <v>128</v>
      </c>
      <c r="G26" s="27">
        <v>745</v>
      </c>
      <c r="H26" s="27">
        <v>35</v>
      </c>
      <c r="I26" s="27">
        <f t="shared" si="1"/>
        <v>710</v>
      </c>
      <c r="J26" s="26" t="s">
        <v>1363</v>
      </c>
      <c r="K26" s="26" t="s">
        <v>21</v>
      </c>
      <c r="L26" s="26" t="s">
        <v>1370</v>
      </c>
      <c r="M26" s="26" t="s">
        <v>102</v>
      </c>
      <c r="N26" s="26" t="s">
        <v>448</v>
      </c>
      <c r="O26" s="26" t="s">
        <v>448</v>
      </c>
      <c r="P26" s="26" t="s">
        <v>449</v>
      </c>
      <c r="Q26" s="27">
        <v>1</v>
      </c>
    </row>
    <row r="28" spans="1:17" x14ac:dyDescent="0.25">
      <c r="D28" s="7">
        <f>COUNTA(D3:D26)</f>
        <v>23</v>
      </c>
      <c r="G28" s="7">
        <f t="shared" ref="G28:Q28" si="2">SUBTOTAL(9,G3:G26)</f>
        <v>14445</v>
      </c>
      <c r="H28" s="7">
        <f t="shared" si="2"/>
        <v>675</v>
      </c>
      <c r="I28" s="7">
        <f t="shared" si="2"/>
        <v>13770</v>
      </c>
      <c r="J28" s="7">
        <f t="shared" si="2"/>
        <v>0</v>
      </c>
      <c r="K28" s="7">
        <f t="shared" si="2"/>
        <v>0</v>
      </c>
      <c r="L28" s="7">
        <f t="shared" si="2"/>
        <v>0</v>
      </c>
      <c r="M28" s="7">
        <f t="shared" si="2"/>
        <v>0</v>
      </c>
      <c r="N28" s="7">
        <f t="shared" si="2"/>
        <v>0</v>
      </c>
      <c r="O28" s="7">
        <f t="shared" si="2"/>
        <v>0</v>
      </c>
      <c r="P28" s="7">
        <f t="shared" si="2"/>
        <v>0</v>
      </c>
      <c r="Q28" s="7">
        <f t="shared" si="2"/>
        <v>24</v>
      </c>
    </row>
    <row r="29" spans="1:17" x14ac:dyDescent="0.25">
      <c r="H29">
        <f>-3*17</f>
        <v>-51</v>
      </c>
    </row>
    <row r="30" spans="1:17" x14ac:dyDescent="0.25">
      <c r="A30" s="7" t="s">
        <v>16</v>
      </c>
      <c r="C30" s="6" t="s">
        <v>89</v>
      </c>
      <c r="D30" s="6"/>
      <c r="E30" s="10" t="s">
        <v>90</v>
      </c>
      <c r="H30">
        <f>-1*25</f>
        <v>-25</v>
      </c>
      <c r="K30" s="13" t="s">
        <v>1321</v>
      </c>
      <c r="L30" s="13" t="s">
        <v>91</v>
      </c>
      <c r="M30" s="13" t="s">
        <v>90</v>
      </c>
      <c r="O30" s="10" t="s">
        <v>92</v>
      </c>
    </row>
    <row r="31" spans="1:17" x14ac:dyDescent="0.25">
      <c r="A31" t="s">
        <v>1311</v>
      </c>
      <c r="B31" s="9" t="s">
        <v>93</v>
      </c>
      <c r="C31" s="5">
        <f>SUMIFS(I$3:I$26,B$3:B$26,A$30,L$3:L$26,A$31)</f>
        <v>10860</v>
      </c>
      <c r="D31" s="5"/>
      <c r="E31" s="9">
        <f>SUMIFS(Q$3:Q$26,B$3:B$26,A$30,L$3:L$26,A$31)</f>
        <v>20</v>
      </c>
      <c r="F31" t="s">
        <v>94</v>
      </c>
      <c r="H31">
        <f>-1*30</f>
        <v>-30</v>
      </c>
      <c r="K31" t="s">
        <v>95</v>
      </c>
      <c r="L31">
        <f>SUMIFS(G$3:G$26,J$3:J$26,K$30)</f>
        <v>2785</v>
      </c>
      <c r="M31">
        <f>SUMIFS(Q$3:Q$26,J$3:J$26,K$30)</f>
        <v>5</v>
      </c>
      <c r="O31" t="s">
        <v>1371</v>
      </c>
      <c r="P31">
        <f>L36</f>
        <v>-328</v>
      </c>
    </row>
    <row r="32" spans="1:17" x14ac:dyDescent="0.25">
      <c r="B32" s="8" t="s">
        <v>97</v>
      </c>
      <c r="C32" s="4">
        <v>0</v>
      </c>
      <c r="D32" s="4"/>
      <c r="K32" t="s">
        <v>98</v>
      </c>
      <c r="L32">
        <f>SUM(H29:H31)</f>
        <v>-106</v>
      </c>
      <c r="M32">
        <f>SUMIFS(Q$3:Q$26,J$3:J$26,K$30)</f>
        <v>5</v>
      </c>
      <c r="O32" t="s">
        <v>20</v>
      </c>
      <c r="P32">
        <f>L44</f>
        <v>1270</v>
      </c>
    </row>
    <row r="33" spans="2:16" x14ac:dyDescent="0.25">
      <c r="B33" s="8" t="s">
        <v>99</v>
      </c>
      <c r="C33" s="4">
        <f>-SUMIFS(I$3:I$26,B$3:B$26,A$30,P$3:P$26,"xx",N$3:N$26,"x")</f>
        <v>-2910</v>
      </c>
      <c r="D33" s="4"/>
      <c r="E33" s="8">
        <f>SUMIFS(Q$3:Q$26,B$3:B$26,A$30,P$3:P$26,"xx",N$3:N$26,"x")</f>
        <v>4</v>
      </c>
      <c r="K33" t="s">
        <v>100</v>
      </c>
      <c r="O33" t="s">
        <v>21</v>
      </c>
      <c r="P33">
        <f>L52</f>
        <v>6983</v>
      </c>
    </row>
    <row r="34" spans="2:16" x14ac:dyDescent="0.25">
      <c r="B34" s="10" t="s">
        <v>101</v>
      </c>
      <c r="C34" s="6">
        <f>SUBTOTAL(9,C31:C33)</f>
        <v>7950</v>
      </c>
      <c r="D34" s="6"/>
      <c r="E34">
        <f>E31</f>
        <v>20</v>
      </c>
      <c r="K34" s="8" t="s">
        <v>102</v>
      </c>
      <c r="L34" s="35">
        <v>-3007</v>
      </c>
      <c r="M34" s="35" t="s">
        <v>1372</v>
      </c>
      <c r="O34" t="s">
        <v>165</v>
      </c>
      <c r="P34">
        <f>L60</f>
        <v>5</v>
      </c>
    </row>
    <row r="35" spans="2:16" x14ac:dyDescent="0.25">
      <c r="B35" s="8" t="s">
        <v>104</v>
      </c>
      <c r="C35" s="3"/>
      <c r="D35" s="3"/>
      <c r="K35" s="8" t="s">
        <v>105</v>
      </c>
      <c r="O35" t="s">
        <v>103</v>
      </c>
      <c r="P35">
        <f>-C38</f>
        <v>-7950</v>
      </c>
    </row>
    <row r="36" spans="2:16" x14ac:dyDescent="0.25">
      <c r="B36" s="14" t="s">
        <v>107</v>
      </c>
      <c r="C36" s="3"/>
      <c r="D36" s="3"/>
      <c r="L36" s="15">
        <f>SUBTOTAL(9,L31:L35)</f>
        <v>-328</v>
      </c>
      <c r="M36" s="15">
        <f>M31</f>
        <v>5</v>
      </c>
      <c r="O36" s="10" t="s">
        <v>106</v>
      </c>
      <c r="P36" s="10">
        <f>SUBTOTAL(9,P31:P35)</f>
        <v>-20</v>
      </c>
    </row>
    <row r="38" spans="2:16" x14ac:dyDescent="0.25">
      <c r="B38" s="7" t="s">
        <v>108</v>
      </c>
      <c r="C38" s="2">
        <f>C34+C35+C36</f>
        <v>7950</v>
      </c>
      <c r="D38" s="2"/>
      <c r="E38" s="7" t="s">
        <v>109</v>
      </c>
      <c r="K38" s="13" t="s">
        <v>20</v>
      </c>
      <c r="L38" s="13" t="s">
        <v>91</v>
      </c>
      <c r="M38" s="13" t="s">
        <v>90</v>
      </c>
    </row>
    <row r="39" spans="2:16" x14ac:dyDescent="0.25">
      <c r="K39" t="s">
        <v>95</v>
      </c>
      <c r="L39">
        <f>SUMIFS(G$3:G$26,J$3:J$26,K$38)</f>
        <v>1340</v>
      </c>
      <c r="M39">
        <f>SUMIFS(Q$3:Q$26,J$3:J$26,K$38)</f>
        <v>3</v>
      </c>
    </row>
    <row r="40" spans="2:16" x14ac:dyDescent="0.25">
      <c r="K40" t="s">
        <v>98</v>
      </c>
      <c r="L40">
        <f>-SUMIFS(H$3:H$26,J$3:J$26,K$38)+M40*5</f>
        <v>-70</v>
      </c>
      <c r="M40">
        <f>SUMIFS(Q$3:Q$26,J$3:J$26,K$38)-COUNTIFS(J$3:J$26,K$38,M$3:M$26,"*gộp*")</f>
        <v>3</v>
      </c>
    </row>
    <row r="41" spans="2:16" x14ac:dyDescent="0.25">
      <c r="K41" t="s">
        <v>100</v>
      </c>
    </row>
    <row r="42" spans="2:16" x14ac:dyDescent="0.25">
      <c r="K42" s="8" t="s">
        <v>102</v>
      </c>
    </row>
    <row r="43" spans="2:16" x14ac:dyDescent="0.25">
      <c r="K43" s="8" t="s">
        <v>105</v>
      </c>
    </row>
    <row r="44" spans="2:16" x14ac:dyDescent="0.25">
      <c r="L44" s="15">
        <f>SUBTOTAL(9,L39:L43)</f>
        <v>1270</v>
      </c>
      <c r="M44" s="15">
        <f>M39</f>
        <v>3</v>
      </c>
    </row>
    <row r="46" spans="2:16" x14ac:dyDescent="0.25">
      <c r="K46" s="13" t="s">
        <v>21</v>
      </c>
      <c r="L46" s="13" t="s">
        <v>91</v>
      </c>
      <c r="M46" s="13" t="s">
        <v>90</v>
      </c>
    </row>
    <row r="47" spans="2:16" x14ac:dyDescent="0.25">
      <c r="K47" t="s">
        <v>95</v>
      </c>
      <c r="L47">
        <f>SUMIFS(G$3:G$26,J$3:J$26,K$46)</f>
        <v>7255</v>
      </c>
      <c r="M47">
        <f>SUMIFS(Q$3:Q$26,J$3:J$26,K$46)</f>
        <v>11</v>
      </c>
    </row>
    <row r="48" spans="2:16" x14ac:dyDescent="0.25">
      <c r="K48" t="s">
        <v>98</v>
      </c>
      <c r="L48">
        <f>-SUMIFS(H$3:H$26,J$3:J$26,K$46)+M48*5</f>
        <v>-240</v>
      </c>
      <c r="M48">
        <f>SUMIFS(Q$3:Q$26,J$3:J$26,K$46)-COUNTIFS(J$3:J$26,K$46,M$3:M$26,"*gộp*")</f>
        <v>11</v>
      </c>
    </row>
    <row r="49" spans="11:13" x14ac:dyDescent="0.25">
      <c r="K49" t="s">
        <v>100</v>
      </c>
      <c r="L49">
        <f>-M49*2</f>
        <v>-32</v>
      </c>
      <c r="M49">
        <f>Q28-(COUNTIFS(M$3:M$26,"*gộp*")/2)-COUNTIFS(P$3:P$26,"*xx*")*2</f>
        <v>16</v>
      </c>
    </row>
    <row r="50" spans="11:13" x14ac:dyDescent="0.25">
      <c r="K50" s="8" t="s">
        <v>102</v>
      </c>
    </row>
    <row r="51" spans="11:13" x14ac:dyDescent="0.25">
      <c r="K51" s="8" t="s">
        <v>105</v>
      </c>
    </row>
    <row r="52" spans="11:13" x14ac:dyDescent="0.25">
      <c r="L52" s="15">
        <f>SUBTOTAL(9,L47:L51)</f>
        <v>6983</v>
      </c>
      <c r="M52" s="15">
        <f>M47</f>
        <v>11</v>
      </c>
    </row>
    <row r="54" spans="11:13" x14ac:dyDescent="0.25">
      <c r="K54" s="13" t="s">
        <v>165</v>
      </c>
      <c r="L54" s="13" t="s">
        <v>91</v>
      </c>
      <c r="M54" s="13" t="s">
        <v>90</v>
      </c>
    </row>
    <row r="55" spans="11:13" x14ac:dyDescent="0.25">
      <c r="K55" t="s">
        <v>95</v>
      </c>
      <c r="L55">
        <f>SUMIFS(G$3:G$26,J$3:J$26,K$54)</f>
        <v>30</v>
      </c>
      <c r="M55">
        <f>SUMIFS(Q$3:Q$26,J$3:J$26,K$54)</f>
        <v>1</v>
      </c>
    </row>
    <row r="56" spans="11:13" x14ac:dyDescent="0.25">
      <c r="K56" t="s">
        <v>98</v>
      </c>
      <c r="L56">
        <f>-SUMIFS(H$3:H$26,J$3:J$26,K$54)+M56*5</f>
        <v>-25</v>
      </c>
      <c r="M56">
        <f>SUMIFS(Q$3:Q$26,J$3:J$26,K$54)-COUNTIFS(J$3:J$26,K$54,M$3:M$26,"*gộp*")</f>
        <v>1</v>
      </c>
    </row>
    <row r="57" spans="11:13" x14ac:dyDescent="0.25">
      <c r="K57" t="s">
        <v>100</v>
      </c>
    </row>
    <row r="58" spans="11:13" x14ac:dyDescent="0.25">
      <c r="K58" s="8" t="s">
        <v>102</v>
      </c>
    </row>
    <row r="59" spans="11:13" x14ac:dyDescent="0.25">
      <c r="K59" s="8" t="s">
        <v>105</v>
      </c>
    </row>
    <row r="60" spans="11:13" x14ac:dyDescent="0.25">
      <c r="L60" s="15">
        <f>SUBTOTAL(9,L55:L59)</f>
        <v>5</v>
      </c>
      <c r="M60" s="15">
        <f>M55</f>
        <v>1</v>
      </c>
    </row>
  </sheetData>
  <autoFilter ref="A2:P26" xr:uid="{00000000-0009-0000-0000-00000B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Q69"/>
  <sheetViews>
    <sheetView topLeftCell="A22" workbookViewId="0">
      <selection activeCell="E40" sqref="E40"/>
    </sheetView>
  </sheetViews>
  <sheetFormatPr defaultRowHeight="15" x14ac:dyDescent="0.25"/>
  <cols>
    <col min="1" max="1" width="12.7109375" customWidth="1"/>
    <col min="2" max="2" width="17.7109375" customWidth="1"/>
    <col min="3" max="3" width="24.85546875" customWidth="1"/>
    <col min="4" max="4" width="9.85546875" customWidth="1"/>
    <col min="5" max="5" width="4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1373</v>
      </c>
      <c r="D3" s="24" t="s">
        <v>1374</v>
      </c>
      <c r="E3" s="24" t="s">
        <v>1375</v>
      </c>
      <c r="F3" s="25">
        <v>9</v>
      </c>
      <c r="G3" s="25">
        <v>820</v>
      </c>
      <c r="H3" s="25">
        <v>30</v>
      </c>
      <c r="I3" s="25">
        <f>G3-H3</f>
        <v>790</v>
      </c>
      <c r="J3" s="24" t="s">
        <v>20</v>
      </c>
      <c r="K3" s="24" t="s">
        <v>21</v>
      </c>
      <c r="L3" s="24" t="s">
        <v>1376</v>
      </c>
      <c r="M3" s="24"/>
      <c r="N3" s="24"/>
      <c r="O3" s="24"/>
      <c r="P3" s="24"/>
      <c r="Q3" s="24">
        <v>1</v>
      </c>
    </row>
    <row r="4" spans="1:17" x14ac:dyDescent="0.25">
      <c r="A4" s="24" t="s">
        <v>62</v>
      </c>
      <c r="B4" s="24" t="s">
        <v>16</v>
      </c>
      <c r="C4" s="24" t="s">
        <v>1377</v>
      </c>
      <c r="D4" s="24"/>
      <c r="E4" s="24" t="s">
        <v>1378</v>
      </c>
      <c r="F4" s="25">
        <v>9</v>
      </c>
      <c r="G4" s="25">
        <v>35</v>
      </c>
      <c r="H4" s="25">
        <v>35</v>
      </c>
      <c r="I4" s="25">
        <f>G4-H4</f>
        <v>0</v>
      </c>
      <c r="J4" s="24" t="s">
        <v>20</v>
      </c>
      <c r="K4" s="24" t="s">
        <v>21</v>
      </c>
      <c r="L4" s="24" t="s">
        <v>1376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1200</v>
      </c>
      <c r="D5" s="24" t="s">
        <v>1379</v>
      </c>
      <c r="E5" s="24" t="s">
        <v>1202</v>
      </c>
      <c r="F5" s="24" t="s">
        <v>26</v>
      </c>
      <c r="G5" s="25">
        <v>0</v>
      </c>
      <c r="H5" s="25">
        <v>30</v>
      </c>
      <c r="I5" s="25">
        <f>-H5</f>
        <v>-30</v>
      </c>
      <c r="J5" s="24" t="s">
        <v>1380</v>
      </c>
      <c r="K5" s="24" t="s">
        <v>21</v>
      </c>
      <c r="L5" s="24" t="s">
        <v>1376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116</v>
      </c>
      <c r="D6" s="24" t="s">
        <v>1381</v>
      </c>
      <c r="E6" s="24" t="s">
        <v>1382</v>
      </c>
      <c r="F6" s="24" t="s">
        <v>26</v>
      </c>
      <c r="G6" s="25">
        <v>2420</v>
      </c>
      <c r="H6" s="25">
        <v>35</v>
      </c>
      <c r="I6" s="25">
        <f>G6-H6</f>
        <v>2385</v>
      </c>
      <c r="J6" s="24" t="s">
        <v>1380</v>
      </c>
      <c r="K6" s="24" t="s">
        <v>21</v>
      </c>
      <c r="L6" s="24" t="s">
        <v>1376</v>
      </c>
      <c r="M6" s="24" t="s">
        <v>398</v>
      </c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1383</v>
      </c>
      <c r="D7" s="24" t="s">
        <v>1384</v>
      </c>
      <c r="E7" s="24" t="s">
        <v>1385</v>
      </c>
      <c r="F7" s="25">
        <v>6</v>
      </c>
      <c r="G7" s="25">
        <v>0</v>
      </c>
      <c r="H7" s="25">
        <v>25</v>
      </c>
      <c r="I7" s="25">
        <f>-H7</f>
        <v>-25</v>
      </c>
      <c r="J7" s="24" t="s">
        <v>1380</v>
      </c>
      <c r="K7" s="24" t="s">
        <v>21</v>
      </c>
      <c r="L7" s="24" t="s">
        <v>1376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1386</v>
      </c>
      <c r="D8" s="24" t="s">
        <v>1387</v>
      </c>
      <c r="E8" s="24" t="s">
        <v>1388</v>
      </c>
      <c r="F8" s="24" t="s">
        <v>128</v>
      </c>
      <c r="G8" s="25">
        <v>1565</v>
      </c>
      <c r="H8" s="25">
        <v>35</v>
      </c>
      <c r="I8" s="25">
        <f>G8-H8</f>
        <v>1530</v>
      </c>
      <c r="J8" s="24" t="s">
        <v>1380</v>
      </c>
      <c r="K8" s="24" t="s">
        <v>21</v>
      </c>
      <c r="L8" s="24" t="s">
        <v>1376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1389</v>
      </c>
      <c r="D9" s="24" t="s">
        <v>1390</v>
      </c>
      <c r="E9" s="24" t="s">
        <v>416</v>
      </c>
      <c r="F9" s="25">
        <v>12</v>
      </c>
      <c r="G9" s="25">
        <v>0</v>
      </c>
      <c r="H9" s="25">
        <v>30</v>
      </c>
      <c r="I9" s="25">
        <f>-H9</f>
        <v>-30</v>
      </c>
      <c r="J9" s="24" t="s">
        <v>1380</v>
      </c>
      <c r="K9" s="24" t="s">
        <v>21</v>
      </c>
      <c r="L9" s="24" t="s">
        <v>1376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1391</v>
      </c>
      <c r="D10" s="24" t="s">
        <v>1392</v>
      </c>
      <c r="E10" s="24" t="s">
        <v>1393</v>
      </c>
      <c r="F10" s="24" t="s">
        <v>259</v>
      </c>
      <c r="G10" s="25">
        <v>35</v>
      </c>
      <c r="H10" s="25">
        <v>35</v>
      </c>
      <c r="I10" s="25">
        <f t="shared" ref="I10:I15" si="0">G10-H10</f>
        <v>0</v>
      </c>
      <c r="J10" s="24" t="s">
        <v>1380</v>
      </c>
      <c r="K10" s="24" t="s">
        <v>21</v>
      </c>
      <c r="L10" s="24" t="s">
        <v>1376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1394</v>
      </c>
      <c r="D11" s="24" t="s">
        <v>1395</v>
      </c>
      <c r="E11" s="24" t="s">
        <v>1396</v>
      </c>
      <c r="F11" s="25">
        <v>8</v>
      </c>
      <c r="G11" s="25">
        <v>720</v>
      </c>
      <c r="H11" s="25">
        <v>30</v>
      </c>
      <c r="I11" s="25">
        <f t="shared" si="0"/>
        <v>690</v>
      </c>
      <c r="J11" s="24" t="s">
        <v>1380</v>
      </c>
      <c r="K11" s="24" t="s">
        <v>21</v>
      </c>
      <c r="L11" s="24" t="s">
        <v>1376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1397</v>
      </c>
      <c r="D12" s="24" t="s">
        <v>1398</v>
      </c>
      <c r="E12" s="24" t="s">
        <v>1399</v>
      </c>
      <c r="F12" s="25">
        <v>8</v>
      </c>
      <c r="G12" s="25">
        <v>915</v>
      </c>
      <c r="H12" s="25">
        <v>25</v>
      </c>
      <c r="I12" s="25">
        <f t="shared" si="0"/>
        <v>890</v>
      </c>
      <c r="J12" s="24" t="s">
        <v>1380</v>
      </c>
      <c r="K12" s="24" t="s">
        <v>21</v>
      </c>
      <c r="L12" s="24" t="s">
        <v>1376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1400</v>
      </c>
      <c r="D13" s="24" t="s">
        <v>1401</v>
      </c>
      <c r="E13" s="24" t="s">
        <v>1402</v>
      </c>
      <c r="F13" s="24" t="s">
        <v>217</v>
      </c>
      <c r="G13" s="25">
        <v>895</v>
      </c>
      <c r="H13" s="25">
        <v>25</v>
      </c>
      <c r="I13" s="25">
        <f t="shared" si="0"/>
        <v>870</v>
      </c>
      <c r="J13" s="24" t="s">
        <v>1380</v>
      </c>
      <c r="K13" s="24" t="s">
        <v>21</v>
      </c>
      <c r="L13" s="24" t="s">
        <v>1376</v>
      </c>
      <c r="M13" s="24"/>
      <c r="N13" s="24"/>
      <c r="O13" s="24"/>
      <c r="P13" s="24"/>
      <c r="Q13" s="24">
        <v>1</v>
      </c>
    </row>
    <row r="14" spans="1:17" x14ac:dyDescent="0.25">
      <c r="A14" s="24" t="s">
        <v>62</v>
      </c>
      <c r="B14" s="24" t="s">
        <v>16</v>
      </c>
      <c r="C14" s="24" t="s">
        <v>588</v>
      </c>
      <c r="D14" s="24"/>
      <c r="E14" s="24" t="s">
        <v>589</v>
      </c>
      <c r="F14" s="24" t="s">
        <v>217</v>
      </c>
      <c r="G14" s="25">
        <v>30</v>
      </c>
      <c r="H14" s="25">
        <v>30</v>
      </c>
      <c r="I14" s="25">
        <f t="shared" si="0"/>
        <v>0</v>
      </c>
      <c r="J14" s="24" t="s">
        <v>1380</v>
      </c>
      <c r="K14" s="24" t="s">
        <v>21</v>
      </c>
      <c r="L14" s="24" t="s">
        <v>1376</v>
      </c>
      <c r="M14" s="24"/>
      <c r="N14" s="24"/>
      <c r="O14" s="24"/>
      <c r="P14" s="24"/>
      <c r="Q14" s="24">
        <v>1</v>
      </c>
    </row>
    <row r="15" spans="1:17" x14ac:dyDescent="0.25">
      <c r="A15" s="24" t="s">
        <v>62</v>
      </c>
      <c r="B15" s="24" t="s">
        <v>16</v>
      </c>
      <c r="C15" s="24" t="s">
        <v>670</v>
      </c>
      <c r="D15" s="24"/>
      <c r="E15" s="24" t="s">
        <v>671</v>
      </c>
      <c r="F15" s="24" t="s">
        <v>259</v>
      </c>
      <c r="G15" s="25">
        <v>1340</v>
      </c>
      <c r="H15" s="25">
        <v>40</v>
      </c>
      <c r="I15" s="25">
        <f t="shared" si="0"/>
        <v>1300</v>
      </c>
      <c r="J15" s="24" t="s">
        <v>1380</v>
      </c>
      <c r="K15" s="24" t="s">
        <v>21</v>
      </c>
      <c r="L15" s="24" t="s">
        <v>1376</v>
      </c>
      <c r="M15" s="24"/>
      <c r="N15" s="24"/>
      <c r="O15" s="24"/>
      <c r="P15" s="24"/>
      <c r="Q15" s="24">
        <v>1</v>
      </c>
    </row>
    <row r="16" spans="1:17" s="8" customFormat="1" x14ac:dyDescent="0.25">
      <c r="A16" s="24"/>
      <c r="B16" s="24" t="s">
        <v>16</v>
      </c>
      <c r="C16" s="24" t="s">
        <v>1403</v>
      </c>
      <c r="D16" s="24" t="s">
        <v>1404</v>
      </c>
      <c r="E16" s="24" t="s">
        <v>1405</v>
      </c>
      <c r="F16" s="24" t="s">
        <v>153</v>
      </c>
      <c r="G16" s="25">
        <v>0</v>
      </c>
      <c r="H16" s="25">
        <v>30</v>
      </c>
      <c r="I16" s="25">
        <f>-H16</f>
        <v>-30</v>
      </c>
      <c r="J16" s="24" t="s">
        <v>21</v>
      </c>
      <c r="K16" s="24" t="s">
        <v>21</v>
      </c>
      <c r="L16" s="24" t="s">
        <v>1376</v>
      </c>
      <c r="M16" s="24"/>
      <c r="N16" s="24"/>
      <c r="O16" s="24"/>
      <c r="P16" s="24"/>
      <c r="Q16" s="26">
        <v>1</v>
      </c>
    </row>
    <row r="17" spans="1:17" x14ac:dyDescent="0.25">
      <c r="A17" s="24"/>
      <c r="B17" s="24" t="s">
        <v>16</v>
      </c>
      <c r="C17" s="24" t="s">
        <v>726</v>
      </c>
      <c r="D17" s="24" t="s">
        <v>1406</v>
      </c>
      <c r="E17" s="24" t="s">
        <v>728</v>
      </c>
      <c r="F17" s="24" t="s">
        <v>68</v>
      </c>
      <c r="G17" s="25">
        <v>730</v>
      </c>
      <c r="H17" s="25">
        <v>20</v>
      </c>
      <c r="I17" s="25">
        <f t="shared" ref="I17:I24" si="1">G17-H17</f>
        <v>710</v>
      </c>
      <c r="J17" s="24" t="s">
        <v>21</v>
      </c>
      <c r="K17" s="24" t="s">
        <v>21</v>
      </c>
      <c r="L17" s="24" t="s">
        <v>1376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1407</v>
      </c>
      <c r="D18" s="24" t="s">
        <v>1408</v>
      </c>
      <c r="E18" s="24" t="s">
        <v>1409</v>
      </c>
      <c r="F18" s="24" t="s">
        <v>153</v>
      </c>
      <c r="G18" s="25">
        <v>900</v>
      </c>
      <c r="H18" s="25">
        <v>30</v>
      </c>
      <c r="I18" s="25">
        <f t="shared" si="1"/>
        <v>870</v>
      </c>
      <c r="J18" s="24" t="s">
        <v>21</v>
      </c>
      <c r="K18" s="24" t="s">
        <v>21</v>
      </c>
      <c r="L18" s="24" t="s">
        <v>1376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1410</v>
      </c>
      <c r="D19" s="24" t="s">
        <v>1411</v>
      </c>
      <c r="E19" s="24" t="s">
        <v>1412</v>
      </c>
      <c r="F19" s="24" t="s">
        <v>88</v>
      </c>
      <c r="G19" s="25">
        <v>1735</v>
      </c>
      <c r="H19" s="25">
        <v>25</v>
      </c>
      <c r="I19" s="25">
        <f t="shared" si="1"/>
        <v>1710</v>
      </c>
      <c r="J19" s="24" t="s">
        <v>21</v>
      </c>
      <c r="K19" s="24" t="s">
        <v>21</v>
      </c>
      <c r="L19" s="24" t="s">
        <v>1376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628</v>
      </c>
      <c r="D20" s="24" t="s">
        <v>1413</v>
      </c>
      <c r="E20" s="24" t="s">
        <v>630</v>
      </c>
      <c r="F20" s="24" t="s">
        <v>72</v>
      </c>
      <c r="G20" s="25">
        <v>775</v>
      </c>
      <c r="H20" s="25">
        <v>25</v>
      </c>
      <c r="I20" s="25">
        <f t="shared" si="1"/>
        <v>750</v>
      </c>
      <c r="J20" s="24" t="s">
        <v>21</v>
      </c>
      <c r="K20" s="24" t="s">
        <v>21</v>
      </c>
      <c r="L20" s="24" t="s">
        <v>1376</v>
      </c>
      <c r="M20" s="24"/>
      <c r="N20" s="24"/>
      <c r="O20" s="24"/>
      <c r="P20" s="24"/>
      <c r="Q20" s="24">
        <v>1</v>
      </c>
    </row>
    <row r="21" spans="1:17" x14ac:dyDescent="0.25">
      <c r="A21" s="24" t="s">
        <v>62</v>
      </c>
      <c r="B21" s="24" t="s">
        <v>16</v>
      </c>
      <c r="C21" s="24" t="s">
        <v>143</v>
      </c>
      <c r="D21" s="24"/>
      <c r="E21" s="24" t="s">
        <v>1414</v>
      </c>
      <c r="F21" s="24" t="s">
        <v>72</v>
      </c>
      <c r="G21" s="25">
        <v>1510</v>
      </c>
      <c r="H21" s="25">
        <v>30</v>
      </c>
      <c r="I21" s="25">
        <f t="shared" si="1"/>
        <v>1480</v>
      </c>
      <c r="J21" s="24" t="s">
        <v>21</v>
      </c>
      <c r="K21" s="24" t="s">
        <v>21</v>
      </c>
      <c r="L21" s="24" t="s">
        <v>1376</v>
      </c>
      <c r="M21" s="24"/>
      <c r="N21" s="24"/>
      <c r="O21" s="24"/>
      <c r="P21" s="24"/>
      <c r="Q21" s="24">
        <v>1</v>
      </c>
    </row>
    <row r="22" spans="1:17" x14ac:dyDescent="0.25">
      <c r="A22" s="24" t="s">
        <v>62</v>
      </c>
      <c r="B22" s="24" t="s">
        <v>16</v>
      </c>
      <c r="C22" s="24" t="s">
        <v>591</v>
      </c>
      <c r="D22" s="24"/>
      <c r="E22" s="24" t="s">
        <v>592</v>
      </c>
      <c r="F22" s="24" t="s">
        <v>153</v>
      </c>
      <c r="G22" s="25">
        <v>2375</v>
      </c>
      <c r="H22" s="25">
        <v>35</v>
      </c>
      <c r="I22" s="25">
        <f t="shared" si="1"/>
        <v>2340</v>
      </c>
      <c r="J22" s="24" t="s">
        <v>21</v>
      </c>
      <c r="K22" s="24" t="s">
        <v>21</v>
      </c>
      <c r="L22" s="24" t="s">
        <v>1376</v>
      </c>
      <c r="M22" s="24"/>
      <c r="N22" s="24"/>
      <c r="O22" s="24"/>
      <c r="P22" s="24"/>
      <c r="Q22" s="24">
        <v>1</v>
      </c>
    </row>
    <row r="23" spans="1:17" x14ac:dyDescent="0.25">
      <c r="A23" s="24" t="s">
        <v>62</v>
      </c>
      <c r="B23" s="24" t="s">
        <v>16</v>
      </c>
      <c r="C23" s="24" t="s">
        <v>640</v>
      </c>
      <c r="D23" s="24"/>
      <c r="E23" s="24" t="s">
        <v>641</v>
      </c>
      <c r="F23" s="24" t="s">
        <v>72</v>
      </c>
      <c r="G23" s="25">
        <v>1690</v>
      </c>
      <c r="H23" s="25">
        <v>30</v>
      </c>
      <c r="I23" s="25">
        <f t="shared" si="1"/>
        <v>1660</v>
      </c>
      <c r="J23" s="24" t="s">
        <v>21</v>
      </c>
      <c r="K23" s="24" t="s">
        <v>21</v>
      </c>
      <c r="L23" s="24" t="s">
        <v>1376</v>
      </c>
      <c r="M23" s="24"/>
      <c r="N23" s="24"/>
      <c r="O23" s="24"/>
      <c r="P23" s="24"/>
      <c r="Q23" s="24">
        <v>1</v>
      </c>
    </row>
    <row r="24" spans="1:17" x14ac:dyDescent="0.25">
      <c r="A24" s="24" t="s">
        <v>62</v>
      </c>
      <c r="B24" s="24" t="s">
        <v>16</v>
      </c>
      <c r="C24" s="24" t="s">
        <v>1415</v>
      </c>
      <c r="D24" s="24"/>
      <c r="E24" s="24" t="s">
        <v>1416</v>
      </c>
      <c r="F24" s="24" t="s">
        <v>68</v>
      </c>
      <c r="G24" s="25">
        <v>30</v>
      </c>
      <c r="H24" s="25">
        <v>30</v>
      </c>
      <c r="I24" s="25">
        <f t="shared" si="1"/>
        <v>0</v>
      </c>
      <c r="J24" s="24" t="s">
        <v>21</v>
      </c>
      <c r="K24" s="24" t="s">
        <v>21</v>
      </c>
      <c r="L24" s="24" t="s">
        <v>1376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1417</v>
      </c>
      <c r="D25" s="24" t="s">
        <v>1418</v>
      </c>
      <c r="E25" s="24" t="s">
        <v>1419</v>
      </c>
      <c r="F25" s="24" t="s">
        <v>88</v>
      </c>
      <c r="G25" s="25">
        <v>0</v>
      </c>
      <c r="H25" s="25">
        <v>25</v>
      </c>
      <c r="I25" s="25">
        <f>-H25</f>
        <v>-25</v>
      </c>
      <c r="J25" s="24" t="s">
        <v>165</v>
      </c>
      <c r="K25" s="24" t="s">
        <v>21</v>
      </c>
      <c r="L25" s="24" t="s">
        <v>1376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729</v>
      </c>
      <c r="D26" s="24" t="s">
        <v>1420</v>
      </c>
      <c r="E26" s="24" t="s">
        <v>1421</v>
      </c>
      <c r="F26" s="25">
        <v>1</v>
      </c>
      <c r="G26" s="25">
        <v>775</v>
      </c>
      <c r="H26" s="25">
        <v>25</v>
      </c>
      <c r="I26" s="25">
        <f>G26-H26</f>
        <v>750</v>
      </c>
      <c r="J26" s="24" t="s">
        <v>165</v>
      </c>
      <c r="K26" s="24" t="s">
        <v>21</v>
      </c>
      <c r="L26" s="24" t="s">
        <v>1376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1422</v>
      </c>
      <c r="D27" s="24" t="s">
        <v>1423</v>
      </c>
      <c r="E27" s="24" t="s">
        <v>868</v>
      </c>
      <c r="F27" s="25">
        <v>1</v>
      </c>
      <c r="G27" s="25">
        <v>535</v>
      </c>
      <c r="H27" s="25">
        <v>25</v>
      </c>
      <c r="I27" s="25">
        <f>G27-H27</f>
        <v>510</v>
      </c>
      <c r="J27" s="24" t="s">
        <v>165</v>
      </c>
      <c r="K27" s="24" t="s">
        <v>21</v>
      </c>
      <c r="L27" s="24" t="s">
        <v>1376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1424</v>
      </c>
      <c r="D28" s="24" t="s">
        <v>1425</v>
      </c>
      <c r="E28" s="24" t="s">
        <v>1426</v>
      </c>
      <c r="F28" s="25">
        <v>5</v>
      </c>
      <c r="G28" s="25">
        <v>535</v>
      </c>
      <c r="H28" s="25">
        <v>25</v>
      </c>
      <c r="I28" s="25">
        <f>G28-H28</f>
        <v>510</v>
      </c>
      <c r="J28" s="24" t="s">
        <v>165</v>
      </c>
      <c r="K28" s="24" t="s">
        <v>21</v>
      </c>
      <c r="L28" s="24" t="s">
        <v>1376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1427</v>
      </c>
      <c r="D29" s="24" t="s">
        <v>1428</v>
      </c>
      <c r="E29" s="24" t="s">
        <v>1429</v>
      </c>
      <c r="F29" s="25">
        <v>1</v>
      </c>
      <c r="G29" s="25">
        <v>715</v>
      </c>
      <c r="H29" s="25">
        <v>25</v>
      </c>
      <c r="I29" s="25">
        <f>G29-H29</f>
        <v>690</v>
      </c>
      <c r="J29" s="24" t="s">
        <v>165</v>
      </c>
      <c r="K29" s="24" t="s">
        <v>21</v>
      </c>
      <c r="L29" s="24" t="s">
        <v>1376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1430</v>
      </c>
      <c r="D30" s="24" t="s">
        <v>1431</v>
      </c>
      <c r="E30" s="24" t="s">
        <v>1432</v>
      </c>
      <c r="F30" s="25">
        <v>5</v>
      </c>
      <c r="G30" s="25">
        <v>1185</v>
      </c>
      <c r="H30" s="25">
        <v>25</v>
      </c>
      <c r="I30" s="25">
        <f>G30-H30</f>
        <v>1160</v>
      </c>
      <c r="J30" s="24" t="s">
        <v>165</v>
      </c>
      <c r="K30" s="24" t="s">
        <v>21</v>
      </c>
      <c r="L30" s="24" t="s">
        <v>1376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659</v>
      </c>
      <c r="D31" s="24" t="s">
        <v>660</v>
      </c>
      <c r="E31" s="24" t="s">
        <v>661</v>
      </c>
      <c r="F31" s="24" t="s">
        <v>88</v>
      </c>
      <c r="G31" s="25">
        <v>0</v>
      </c>
      <c r="H31" s="25">
        <v>25</v>
      </c>
      <c r="I31" s="25">
        <f>-H31</f>
        <v>-25</v>
      </c>
      <c r="J31" s="24" t="s">
        <v>165</v>
      </c>
      <c r="K31" s="24" t="s">
        <v>21</v>
      </c>
      <c r="L31" s="24" t="s">
        <v>1376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1433</v>
      </c>
      <c r="D32" s="24" t="s">
        <v>1434</v>
      </c>
      <c r="E32" s="24" t="s">
        <v>1435</v>
      </c>
      <c r="F32" s="24" t="s">
        <v>85</v>
      </c>
      <c r="G32" s="25">
        <v>780</v>
      </c>
      <c r="H32" s="25">
        <v>20</v>
      </c>
      <c r="I32" s="25">
        <f>G32-H32</f>
        <v>760</v>
      </c>
      <c r="J32" s="24" t="s">
        <v>165</v>
      </c>
      <c r="K32" s="24" t="s">
        <v>21</v>
      </c>
      <c r="L32" s="24" t="s">
        <v>1376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1436</v>
      </c>
      <c r="D33" s="24" t="s">
        <v>1437</v>
      </c>
      <c r="E33" s="24" t="s">
        <v>1438</v>
      </c>
      <c r="F33" s="25">
        <v>10</v>
      </c>
      <c r="G33" s="25">
        <v>695</v>
      </c>
      <c r="H33" s="25">
        <v>25</v>
      </c>
      <c r="I33" s="25">
        <f>G33-H33</f>
        <v>670</v>
      </c>
      <c r="J33" s="24" t="s">
        <v>165</v>
      </c>
      <c r="K33" s="24" t="s">
        <v>21</v>
      </c>
      <c r="L33" s="24" t="s">
        <v>1376</v>
      </c>
      <c r="M33" s="24"/>
      <c r="N33" s="24"/>
      <c r="O33" s="24"/>
      <c r="P33" s="24"/>
      <c r="Q33" s="24">
        <v>1</v>
      </c>
    </row>
    <row r="34" spans="1:17" x14ac:dyDescent="0.25">
      <c r="A34" s="24" t="s">
        <v>62</v>
      </c>
      <c r="B34" s="24" t="s">
        <v>16</v>
      </c>
      <c r="C34" s="24" t="s">
        <v>1439</v>
      </c>
      <c r="D34" s="24"/>
      <c r="E34" s="24" t="s">
        <v>1440</v>
      </c>
      <c r="F34" s="24" t="s">
        <v>88</v>
      </c>
      <c r="G34" s="25">
        <v>30</v>
      </c>
      <c r="H34" s="25">
        <v>30</v>
      </c>
      <c r="I34" s="25">
        <f>G34-H34</f>
        <v>0</v>
      </c>
      <c r="J34" s="24" t="s">
        <v>165</v>
      </c>
      <c r="K34" s="24" t="s">
        <v>21</v>
      </c>
      <c r="L34" s="24" t="s">
        <v>1376</v>
      </c>
      <c r="M34" s="24"/>
      <c r="N34" s="24"/>
      <c r="O34" s="24"/>
      <c r="P34" s="24"/>
      <c r="Q34" s="24">
        <v>1</v>
      </c>
    </row>
    <row r="35" spans="1:17" x14ac:dyDescent="0.25">
      <c r="A35" s="26"/>
      <c r="B35" s="26" t="s">
        <v>16</v>
      </c>
      <c r="C35" s="26" t="s">
        <v>1214</v>
      </c>
      <c r="D35" s="26" t="s">
        <v>1215</v>
      </c>
      <c r="E35" s="26" t="s">
        <v>1216</v>
      </c>
      <c r="F35" s="27">
        <v>12</v>
      </c>
      <c r="G35" s="27">
        <v>870</v>
      </c>
      <c r="H35" s="27">
        <v>0</v>
      </c>
      <c r="I35" s="27">
        <f>G35-H35</f>
        <v>870</v>
      </c>
      <c r="J35" s="26" t="s">
        <v>446</v>
      </c>
      <c r="K35" s="26" t="s">
        <v>21</v>
      </c>
      <c r="L35" s="26" t="s">
        <v>1148</v>
      </c>
      <c r="M35" s="26"/>
      <c r="N35" s="26" t="s">
        <v>448</v>
      </c>
      <c r="O35" s="26" t="s">
        <v>448</v>
      </c>
      <c r="P35" s="26" t="s">
        <v>449</v>
      </c>
      <c r="Q35" s="24">
        <v>1</v>
      </c>
    </row>
    <row r="37" spans="1:17" x14ac:dyDescent="0.25">
      <c r="D37" s="7">
        <f>COUNTA(D3:D35)</f>
        <v>25</v>
      </c>
      <c r="G37" s="7">
        <f t="shared" ref="G37:Q37" si="2">SUBTOTAL(9,G3:G35)</f>
        <v>24640</v>
      </c>
      <c r="H37" s="7">
        <f t="shared" si="2"/>
        <v>910</v>
      </c>
      <c r="I37" s="7">
        <f t="shared" si="2"/>
        <v>23730</v>
      </c>
      <c r="J37" s="7">
        <f t="shared" si="2"/>
        <v>0</v>
      </c>
      <c r="K37" s="7">
        <f t="shared" si="2"/>
        <v>0</v>
      </c>
      <c r="L37" s="7">
        <f t="shared" si="2"/>
        <v>0</v>
      </c>
      <c r="M37" s="7">
        <f t="shared" si="2"/>
        <v>0</v>
      </c>
      <c r="N37" s="7">
        <f t="shared" si="2"/>
        <v>0</v>
      </c>
      <c r="O37" s="7">
        <f t="shared" si="2"/>
        <v>0</v>
      </c>
      <c r="P37" s="7">
        <f t="shared" si="2"/>
        <v>0</v>
      </c>
      <c r="Q37" s="7">
        <f t="shared" si="2"/>
        <v>33</v>
      </c>
    </row>
    <row r="38" spans="1:17" x14ac:dyDescent="0.25">
      <c r="H38">
        <f>-5*17</f>
        <v>-85</v>
      </c>
    </row>
    <row r="39" spans="1:17" x14ac:dyDescent="0.25">
      <c r="A39" s="7" t="s">
        <v>16</v>
      </c>
      <c r="C39" s="6" t="s">
        <v>89</v>
      </c>
      <c r="D39" s="6"/>
      <c r="E39" s="10" t="s">
        <v>90</v>
      </c>
      <c r="H39">
        <f>-3*25</f>
        <v>-75</v>
      </c>
      <c r="K39" s="13" t="s">
        <v>165</v>
      </c>
      <c r="L39" s="13" t="s">
        <v>91</v>
      </c>
      <c r="M39" s="13" t="s">
        <v>90</v>
      </c>
      <c r="O39" s="10" t="s">
        <v>92</v>
      </c>
    </row>
    <row r="40" spans="1:17" x14ac:dyDescent="0.25">
      <c r="A40" t="s">
        <v>1376</v>
      </c>
      <c r="B40" s="9" t="s">
        <v>93</v>
      </c>
      <c r="C40" s="5">
        <f>SUMIFS(I$3:I$35,B$3:B$35,A$39,L$3:L$35,A$40)</f>
        <v>22860</v>
      </c>
      <c r="D40" s="5"/>
      <c r="E40" s="9">
        <f>SUMIFS(Q$3:Q$35,B$3:B$35,A$39,L$3:L$35,A$40)</f>
        <v>32</v>
      </c>
      <c r="F40" t="s">
        <v>94</v>
      </c>
      <c r="H40">
        <f>-3*30</f>
        <v>-90</v>
      </c>
      <c r="K40" t="s">
        <v>95</v>
      </c>
      <c r="L40">
        <f>SUMIFS(G$3:G$35,J$3:J$35,K$39)</f>
        <v>5250</v>
      </c>
      <c r="M40">
        <f>SUMIFS(Q$3:Q$35,J$3:J$35,K$39)</f>
        <v>10</v>
      </c>
      <c r="O40" t="s">
        <v>165</v>
      </c>
      <c r="P40">
        <f>L45</f>
        <v>5050</v>
      </c>
    </row>
    <row r="41" spans="1:17" x14ac:dyDescent="0.25">
      <c r="B41" s="8" t="s">
        <v>97</v>
      </c>
      <c r="C41" s="4">
        <v>0</v>
      </c>
      <c r="D41" s="4"/>
      <c r="K41" t="s">
        <v>98</v>
      </c>
      <c r="L41">
        <f>-SUMIFS(H$3:H$35,J$3:J$35,K$39)+M41*5</f>
        <v>-200</v>
      </c>
      <c r="M41">
        <f>SUMIFS(Q$3:Q$35,J$3:J$35,K$39)-COUNTIFS(J$3:J$35,K$39,M$3:M$35,"*gộp*")</f>
        <v>10</v>
      </c>
      <c r="O41" t="s">
        <v>1441</v>
      </c>
      <c r="P41">
        <f>L53</f>
        <v>6805</v>
      </c>
    </row>
    <row r="42" spans="1:17" x14ac:dyDescent="0.25">
      <c r="B42" s="8" t="s">
        <v>99</v>
      </c>
      <c r="C42" s="4">
        <f>-SUMIFS(I$3:I$35,B$3:B$35,A$39,P$3:P$35,"xx",N$3:N$35,"x")</f>
        <v>-870</v>
      </c>
      <c r="D42" s="4"/>
      <c r="E42" s="8">
        <f>SUMIFS(Q$3:Q$35,B$3:B$35,A$39,P$3:P$35,"xx",N$3:N$35,"x")</f>
        <v>1</v>
      </c>
      <c r="K42" t="s">
        <v>100</v>
      </c>
      <c r="O42" t="s">
        <v>20</v>
      </c>
      <c r="P42">
        <f>L61</f>
        <v>800</v>
      </c>
    </row>
    <row r="43" spans="1:17" x14ac:dyDescent="0.25">
      <c r="B43" s="10" t="s">
        <v>101</v>
      </c>
      <c r="C43" s="6">
        <f>SUBTOTAL(9,C40:C42)</f>
        <v>21990</v>
      </c>
      <c r="D43" s="6"/>
      <c r="E43">
        <f>E40</f>
        <v>32</v>
      </c>
      <c r="K43" s="8" t="s">
        <v>102</v>
      </c>
      <c r="O43" t="s">
        <v>21</v>
      </c>
      <c r="P43">
        <f>L69</f>
        <v>9471</v>
      </c>
    </row>
    <row r="44" spans="1:17" x14ac:dyDescent="0.25">
      <c r="B44" s="8" t="s">
        <v>104</v>
      </c>
      <c r="C44" s="3"/>
      <c r="D44" s="3"/>
      <c r="K44" s="8" t="s">
        <v>105</v>
      </c>
      <c r="O44" t="s">
        <v>103</v>
      </c>
      <c r="P44">
        <f>-C47</f>
        <v>-21990</v>
      </c>
    </row>
    <row r="45" spans="1:17" x14ac:dyDescent="0.25">
      <c r="B45" s="14" t="s">
        <v>107</v>
      </c>
      <c r="C45" s="3"/>
      <c r="D45" s="3"/>
      <c r="L45" s="15">
        <f>SUBTOTAL(9,L40:L44)</f>
        <v>5050</v>
      </c>
      <c r="M45" s="15">
        <f>M40</f>
        <v>10</v>
      </c>
      <c r="O45" s="10" t="s">
        <v>106</v>
      </c>
      <c r="P45" s="10">
        <f>SUBTOTAL(9,P40:P44)</f>
        <v>136</v>
      </c>
    </row>
    <row r="47" spans="1:17" x14ac:dyDescent="0.25">
      <c r="B47" s="7" t="s">
        <v>108</v>
      </c>
      <c r="C47" s="2">
        <f>C43+C44+C45</f>
        <v>21990</v>
      </c>
      <c r="D47" s="2"/>
      <c r="E47" s="7" t="s">
        <v>109</v>
      </c>
      <c r="K47" s="13" t="s">
        <v>1380</v>
      </c>
      <c r="L47" s="13" t="s">
        <v>91</v>
      </c>
      <c r="M47" s="13" t="s">
        <v>90</v>
      </c>
    </row>
    <row r="48" spans="1:17" x14ac:dyDescent="0.25">
      <c r="K48" t="s">
        <v>95</v>
      </c>
      <c r="L48">
        <f>SUMIFS(G$3:G$35,J$3:J$35,K$47)</f>
        <v>7920</v>
      </c>
      <c r="M48">
        <f>SUMIFS(Q$3:Q$35,J$3:J$35,K$47)</f>
        <v>11</v>
      </c>
    </row>
    <row r="49" spans="11:13" x14ac:dyDescent="0.25">
      <c r="K49" t="s">
        <v>98</v>
      </c>
      <c r="L49">
        <f>SUM(H38:H40)</f>
        <v>-250</v>
      </c>
      <c r="M49">
        <f>SUMIFS(Q$3:Q$35,J$3:J$35,K$47)</f>
        <v>11</v>
      </c>
    </row>
    <row r="50" spans="11:13" x14ac:dyDescent="0.25">
      <c r="K50" t="s">
        <v>100</v>
      </c>
    </row>
    <row r="51" spans="11:13" x14ac:dyDescent="0.25">
      <c r="K51" s="8" t="s">
        <v>102</v>
      </c>
    </row>
    <row r="52" spans="11:13" x14ac:dyDescent="0.25">
      <c r="K52" s="8" t="s">
        <v>105</v>
      </c>
      <c r="L52" s="8">
        <v>-865</v>
      </c>
      <c r="M52" s="35" t="s">
        <v>451</v>
      </c>
    </row>
    <row r="53" spans="11:13" x14ac:dyDescent="0.25">
      <c r="L53" s="15">
        <f>SUBTOTAL(9,L48:L52)</f>
        <v>6805</v>
      </c>
      <c r="M53" s="15">
        <f>M48</f>
        <v>11</v>
      </c>
    </row>
    <row r="55" spans="11:13" x14ac:dyDescent="0.25">
      <c r="K55" s="13" t="s">
        <v>20</v>
      </c>
      <c r="L55" s="13" t="s">
        <v>91</v>
      </c>
      <c r="M55" s="13" t="s">
        <v>90</v>
      </c>
    </row>
    <row r="56" spans="11:13" x14ac:dyDescent="0.25">
      <c r="K56" t="s">
        <v>95</v>
      </c>
      <c r="L56">
        <f>SUMIFS(G$3:G$35,J$3:J$35,K$55)</f>
        <v>855</v>
      </c>
      <c r="M56">
        <f>SUMIFS(Q$3:Q$35,J$3:J$35,K$55)</f>
        <v>2</v>
      </c>
    </row>
    <row r="57" spans="11:13" x14ac:dyDescent="0.25">
      <c r="K57" t="s">
        <v>98</v>
      </c>
      <c r="L57">
        <f>-SUMIFS(H$3:H$35,J$3:J$35,K$55)+M57*5</f>
        <v>-55</v>
      </c>
      <c r="M57">
        <f>SUMIFS(Q$3:Q$35,J$3:J$35,K$55)-COUNTIFS(J$3:J$35,K$55,M$3:M$35,"*gộp*")</f>
        <v>2</v>
      </c>
    </row>
    <row r="58" spans="11:13" x14ac:dyDescent="0.25">
      <c r="K58" t="s">
        <v>100</v>
      </c>
    </row>
    <row r="59" spans="11:13" x14ac:dyDescent="0.25">
      <c r="K59" s="8" t="s">
        <v>102</v>
      </c>
    </row>
    <row r="60" spans="11:13" x14ac:dyDescent="0.25">
      <c r="K60" s="8" t="s">
        <v>105</v>
      </c>
    </row>
    <row r="61" spans="11:13" x14ac:dyDescent="0.25">
      <c r="L61" s="15">
        <f>SUBTOTAL(9,L56:L60)</f>
        <v>800</v>
      </c>
      <c r="M61" s="15">
        <f>M56</f>
        <v>2</v>
      </c>
    </row>
    <row r="63" spans="11:13" x14ac:dyDescent="0.25">
      <c r="K63" s="13" t="s">
        <v>21</v>
      </c>
      <c r="L63" s="13" t="s">
        <v>91</v>
      </c>
      <c r="M63" s="13" t="s">
        <v>90</v>
      </c>
    </row>
    <row r="64" spans="11:13" x14ac:dyDescent="0.25">
      <c r="K64" t="s">
        <v>95</v>
      </c>
      <c r="L64">
        <f>SUMIFS(G$3:G$35,J$3:J$35,K$63)</f>
        <v>9745</v>
      </c>
      <c r="M64">
        <f>SUMIFS(Q$3:Q$35,J$3:J$35,K$63)</f>
        <v>9</v>
      </c>
    </row>
    <row r="65" spans="11:13" x14ac:dyDescent="0.25">
      <c r="K65" t="s">
        <v>98</v>
      </c>
      <c r="L65">
        <f>-SUMIFS(H$3:H$35,J$3:J$35,K$63)+M65*5</f>
        <v>-210</v>
      </c>
      <c r="M65">
        <f>SUMIFS(Q$3:Q$35,J$3:J$35,K$63)-COUNTIFS(J$3:J$35,K$63,M$3:M$35,"*gộp*")</f>
        <v>9</v>
      </c>
    </row>
    <row r="66" spans="11:13" x14ac:dyDescent="0.25">
      <c r="K66" t="s">
        <v>100</v>
      </c>
      <c r="L66">
        <f>-M66*2</f>
        <v>-64</v>
      </c>
      <c r="M66">
        <f>E40-(COUNTIFS(M$3:M$35,"*gộp*")/2)-COUNTIFS(M$3:M$35,"*đơn trả*")*2</f>
        <v>32</v>
      </c>
    </row>
    <row r="67" spans="11:13" x14ac:dyDescent="0.25">
      <c r="K67" s="8" t="s">
        <v>102</v>
      </c>
    </row>
    <row r="68" spans="11:13" x14ac:dyDescent="0.25">
      <c r="K68" s="8" t="s">
        <v>105</v>
      </c>
    </row>
    <row r="69" spans="11:13" x14ac:dyDescent="0.25">
      <c r="L69" s="15">
        <f>SUBTOTAL(9,L64:L68)</f>
        <v>9471</v>
      </c>
      <c r="M69" s="15">
        <f>M64</f>
        <v>9</v>
      </c>
    </row>
  </sheetData>
  <autoFilter ref="A2:P35" xr:uid="{00000000-0009-0000-0000-00000C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Q86"/>
  <sheetViews>
    <sheetView topLeftCell="B1" workbookViewId="0">
      <selection activeCell="E27" sqref="E27"/>
    </sheetView>
  </sheetViews>
  <sheetFormatPr defaultRowHeight="15" x14ac:dyDescent="0.25"/>
  <cols>
    <col min="1" max="1" width="12.7109375" customWidth="1"/>
    <col min="2" max="2" width="17.7109375" customWidth="1"/>
    <col min="3" max="3" width="53.85546875" customWidth="1"/>
    <col min="4" max="4" width="9.85546875" customWidth="1"/>
    <col min="5" max="5" width="71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3" t="s">
        <v>324</v>
      </c>
    </row>
    <row r="3" spans="1:17" x14ac:dyDescent="0.25">
      <c r="A3" s="24"/>
      <c r="B3" s="24" t="s">
        <v>16</v>
      </c>
      <c r="C3" s="24" t="s">
        <v>1442</v>
      </c>
      <c r="D3" s="24" t="s">
        <v>1443</v>
      </c>
      <c r="E3" s="24" t="s">
        <v>1444</v>
      </c>
      <c r="F3" s="25">
        <v>9</v>
      </c>
      <c r="G3" s="25">
        <v>1420</v>
      </c>
      <c r="H3" s="25">
        <v>30</v>
      </c>
      <c r="I3" s="25">
        <f>G3-H3</f>
        <v>1390</v>
      </c>
      <c r="J3" s="24" t="s">
        <v>20</v>
      </c>
      <c r="K3" s="24" t="s">
        <v>21</v>
      </c>
      <c r="L3" s="24" t="s">
        <v>1445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1446</v>
      </c>
      <c r="D4" s="24" t="s">
        <v>1447</v>
      </c>
      <c r="E4" s="24" t="s">
        <v>1448</v>
      </c>
      <c r="F4" s="25">
        <v>9</v>
      </c>
      <c r="G4" s="25">
        <v>1170</v>
      </c>
      <c r="H4" s="25">
        <v>30</v>
      </c>
      <c r="I4" s="25">
        <f>G4-H4</f>
        <v>1140</v>
      </c>
      <c r="J4" s="24" t="s">
        <v>20</v>
      </c>
      <c r="K4" s="24" t="s">
        <v>21</v>
      </c>
      <c r="L4" s="24" t="s">
        <v>1445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1449</v>
      </c>
      <c r="D5" s="24" t="s">
        <v>1450</v>
      </c>
      <c r="E5" s="24" t="s">
        <v>1451</v>
      </c>
      <c r="F5" s="25">
        <v>9</v>
      </c>
      <c r="G5" s="25">
        <v>1910</v>
      </c>
      <c r="H5" s="25">
        <v>30</v>
      </c>
      <c r="I5" s="25">
        <f>G5-H5</f>
        <v>1880</v>
      </c>
      <c r="J5" s="24" t="s">
        <v>20</v>
      </c>
      <c r="K5" s="24" t="s">
        <v>21</v>
      </c>
      <c r="L5" s="24" t="s">
        <v>1445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325</v>
      </c>
      <c r="D6" s="24" t="s">
        <v>1452</v>
      </c>
      <c r="E6" s="24" t="s">
        <v>327</v>
      </c>
      <c r="F6" s="25">
        <v>9</v>
      </c>
      <c r="G6" s="25">
        <v>380</v>
      </c>
      <c r="H6" s="25">
        <v>30</v>
      </c>
      <c r="I6" s="25">
        <f>G6-H6</f>
        <v>350</v>
      </c>
      <c r="J6" s="24" t="s">
        <v>20</v>
      </c>
      <c r="K6" s="24" t="s">
        <v>21</v>
      </c>
      <c r="L6" s="24" t="s">
        <v>1445</v>
      </c>
      <c r="M6" s="24"/>
      <c r="N6" s="24"/>
      <c r="O6" s="24"/>
      <c r="P6" s="24"/>
      <c r="Q6" s="24">
        <v>1</v>
      </c>
    </row>
    <row r="7" spans="1:17" x14ac:dyDescent="0.25">
      <c r="A7" s="24" t="s">
        <v>62</v>
      </c>
      <c r="B7" s="24" t="s">
        <v>16</v>
      </c>
      <c r="C7" s="24" t="s">
        <v>1453</v>
      </c>
      <c r="D7" s="24"/>
      <c r="E7" s="24" t="s">
        <v>1454</v>
      </c>
      <c r="F7" s="25">
        <v>9</v>
      </c>
      <c r="G7" s="25">
        <v>0</v>
      </c>
      <c r="H7" s="25">
        <v>35</v>
      </c>
      <c r="I7" s="25">
        <f>-H7</f>
        <v>-35</v>
      </c>
      <c r="J7" s="24" t="s">
        <v>20</v>
      </c>
      <c r="K7" s="24" t="s">
        <v>21</v>
      </c>
      <c r="L7" s="24" t="s">
        <v>1445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1455</v>
      </c>
      <c r="D8" s="24" t="s">
        <v>1456</v>
      </c>
      <c r="E8" s="24" t="s">
        <v>1457</v>
      </c>
      <c r="F8" s="25">
        <v>9</v>
      </c>
      <c r="G8" s="25">
        <v>1120</v>
      </c>
      <c r="H8" s="25">
        <v>30</v>
      </c>
      <c r="I8" s="25">
        <f t="shared" ref="I8:I13" si="0">G8-H8</f>
        <v>1090</v>
      </c>
      <c r="J8" s="24" t="s">
        <v>20</v>
      </c>
      <c r="K8" s="24" t="s">
        <v>21</v>
      </c>
      <c r="L8" s="24" t="s">
        <v>1445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1458</v>
      </c>
      <c r="D9" s="24" t="s">
        <v>1459</v>
      </c>
      <c r="E9" s="24" t="s">
        <v>1460</v>
      </c>
      <c r="F9" s="25">
        <v>7</v>
      </c>
      <c r="G9" s="25">
        <v>950</v>
      </c>
      <c r="H9" s="25">
        <v>30</v>
      </c>
      <c r="I9" s="25">
        <f t="shared" si="0"/>
        <v>920</v>
      </c>
      <c r="J9" s="24" t="s">
        <v>1461</v>
      </c>
      <c r="K9" s="24" t="s">
        <v>21</v>
      </c>
      <c r="L9" s="24" t="s">
        <v>1445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1462</v>
      </c>
      <c r="D10" s="24" t="s">
        <v>1463</v>
      </c>
      <c r="E10" s="24" t="s">
        <v>1464</v>
      </c>
      <c r="F10" s="25">
        <v>7</v>
      </c>
      <c r="G10" s="25">
        <v>670</v>
      </c>
      <c r="H10" s="25">
        <v>30</v>
      </c>
      <c r="I10" s="25">
        <f t="shared" si="0"/>
        <v>640</v>
      </c>
      <c r="J10" s="24" t="s">
        <v>1461</v>
      </c>
      <c r="K10" s="24" t="s">
        <v>21</v>
      </c>
      <c r="L10" s="24" t="s">
        <v>1445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1465</v>
      </c>
      <c r="D11" s="24" t="s">
        <v>1466</v>
      </c>
      <c r="E11" s="24" t="s">
        <v>1467</v>
      </c>
      <c r="F11" s="24" t="s">
        <v>26</v>
      </c>
      <c r="G11" s="25">
        <v>780</v>
      </c>
      <c r="H11" s="25">
        <v>30</v>
      </c>
      <c r="I11" s="25">
        <f t="shared" si="0"/>
        <v>750</v>
      </c>
      <c r="J11" s="24" t="s">
        <v>1461</v>
      </c>
      <c r="K11" s="24" t="s">
        <v>21</v>
      </c>
      <c r="L11" s="24" t="s">
        <v>1445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1468</v>
      </c>
      <c r="D12" s="24" t="s">
        <v>1469</v>
      </c>
      <c r="E12" s="24" t="s">
        <v>1470</v>
      </c>
      <c r="F12" s="25">
        <v>7</v>
      </c>
      <c r="G12" s="25">
        <v>850</v>
      </c>
      <c r="H12" s="25">
        <v>30</v>
      </c>
      <c r="I12" s="25">
        <f t="shared" si="0"/>
        <v>820</v>
      </c>
      <c r="J12" s="24" t="s">
        <v>1461</v>
      </c>
      <c r="K12" s="24" t="s">
        <v>21</v>
      </c>
      <c r="L12" s="24" t="s">
        <v>1445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1171</v>
      </c>
      <c r="D13" s="24" t="s">
        <v>1471</v>
      </c>
      <c r="E13" s="24" t="s">
        <v>1472</v>
      </c>
      <c r="F13" s="25">
        <v>7</v>
      </c>
      <c r="G13" s="25">
        <v>520</v>
      </c>
      <c r="H13" s="25">
        <v>30</v>
      </c>
      <c r="I13" s="25">
        <f t="shared" si="0"/>
        <v>490</v>
      </c>
      <c r="J13" s="24" t="s">
        <v>1461</v>
      </c>
      <c r="K13" s="24" t="s">
        <v>21</v>
      </c>
      <c r="L13" s="24" t="s">
        <v>1445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1473</v>
      </c>
      <c r="D14" s="24" t="s">
        <v>1474</v>
      </c>
      <c r="E14" s="24" t="s">
        <v>1475</v>
      </c>
      <c r="F14" s="25">
        <v>11</v>
      </c>
      <c r="G14" s="25">
        <v>0</v>
      </c>
      <c r="H14" s="25">
        <v>25</v>
      </c>
      <c r="I14" s="25">
        <f>-H14</f>
        <v>-25</v>
      </c>
      <c r="J14" s="24" t="s">
        <v>1461</v>
      </c>
      <c r="K14" s="24" t="s">
        <v>21</v>
      </c>
      <c r="L14" s="24" t="s">
        <v>1445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1476</v>
      </c>
      <c r="D15" s="24" t="s">
        <v>1477</v>
      </c>
      <c r="E15" s="24" t="s">
        <v>1478</v>
      </c>
      <c r="F15" s="25">
        <v>7</v>
      </c>
      <c r="G15" s="25">
        <v>30</v>
      </c>
      <c r="H15" s="25">
        <v>30</v>
      </c>
      <c r="I15" s="25">
        <f>G15-H15</f>
        <v>0</v>
      </c>
      <c r="J15" s="24" t="s">
        <v>1461</v>
      </c>
      <c r="K15" s="24" t="s">
        <v>21</v>
      </c>
      <c r="L15" s="24" t="s">
        <v>1445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1479</v>
      </c>
      <c r="D16" s="24" t="s">
        <v>1480</v>
      </c>
      <c r="E16" s="24" t="s">
        <v>1481</v>
      </c>
      <c r="F16" s="24" t="s">
        <v>217</v>
      </c>
      <c r="G16" s="25">
        <v>1015</v>
      </c>
      <c r="H16" s="25">
        <v>25</v>
      </c>
      <c r="I16" s="25">
        <f>G16-H16</f>
        <v>990</v>
      </c>
      <c r="J16" s="24" t="s">
        <v>1461</v>
      </c>
      <c r="K16" s="24" t="s">
        <v>21</v>
      </c>
      <c r="L16" s="24" t="s">
        <v>1445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808</v>
      </c>
      <c r="D17" s="24" t="s">
        <v>1482</v>
      </c>
      <c r="E17" s="24" t="s">
        <v>1483</v>
      </c>
      <c r="F17" s="25">
        <v>12</v>
      </c>
      <c r="G17" s="25">
        <v>0</v>
      </c>
      <c r="H17" s="25">
        <v>30</v>
      </c>
      <c r="I17" s="25">
        <f>-H17</f>
        <v>-30</v>
      </c>
      <c r="J17" s="24" t="s">
        <v>1461</v>
      </c>
      <c r="K17" s="24" t="s">
        <v>21</v>
      </c>
      <c r="L17" s="24" t="s">
        <v>1445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1484</v>
      </c>
      <c r="D18" s="24" t="s">
        <v>1485</v>
      </c>
      <c r="E18" s="24" t="s">
        <v>1486</v>
      </c>
      <c r="F18" s="25">
        <v>7</v>
      </c>
      <c r="G18" s="25">
        <v>390</v>
      </c>
      <c r="H18" s="25">
        <v>30</v>
      </c>
      <c r="I18" s="25">
        <f>G18-H18</f>
        <v>360</v>
      </c>
      <c r="J18" s="24" t="s">
        <v>1461</v>
      </c>
      <c r="K18" s="24" t="s">
        <v>21</v>
      </c>
      <c r="L18" s="24" t="s">
        <v>1445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466</v>
      </c>
      <c r="D19" s="24" t="s">
        <v>1487</v>
      </c>
      <c r="E19" s="24" t="s">
        <v>468</v>
      </c>
      <c r="F19" s="25">
        <v>8</v>
      </c>
      <c r="G19" s="25">
        <v>1300</v>
      </c>
      <c r="H19" s="25">
        <v>30</v>
      </c>
      <c r="I19" s="25">
        <f>G19-H19</f>
        <v>1270</v>
      </c>
      <c r="J19" s="24" t="s">
        <v>1461</v>
      </c>
      <c r="K19" s="24" t="s">
        <v>21</v>
      </c>
      <c r="L19" s="24" t="s">
        <v>1445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1488</v>
      </c>
      <c r="D20" s="24" t="s">
        <v>1489</v>
      </c>
      <c r="E20" s="24" t="s">
        <v>1490</v>
      </c>
      <c r="F20" s="24" t="s">
        <v>217</v>
      </c>
      <c r="G20" s="25">
        <v>0</v>
      </c>
      <c r="H20" s="25">
        <v>25</v>
      </c>
      <c r="I20" s="25">
        <f>-H20</f>
        <v>-25</v>
      </c>
      <c r="J20" s="24" t="s">
        <v>1461</v>
      </c>
      <c r="K20" s="24" t="s">
        <v>21</v>
      </c>
      <c r="L20" s="24" t="s">
        <v>1445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1491</v>
      </c>
      <c r="D21" s="24" t="s">
        <v>1492</v>
      </c>
      <c r="E21" s="24" t="s">
        <v>1493</v>
      </c>
      <c r="F21" s="25">
        <v>11</v>
      </c>
      <c r="G21" s="25">
        <v>0</v>
      </c>
      <c r="H21" s="25">
        <v>25</v>
      </c>
      <c r="I21" s="25">
        <f>-H21</f>
        <v>-25</v>
      </c>
      <c r="J21" s="24" t="s">
        <v>1461</v>
      </c>
      <c r="K21" s="24" t="s">
        <v>21</v>
      </c>
      <c r="L21" s="24" t="s">
        <v>1445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1494</v>
      </c>
      <c r="D22" s="24" t="s">
        <v>1495</v>
      </c>
      <c r="E22" s="24" t="s">
        <v>1496</v>
      </c>
      <c r="F22" s="24" t="s">
        <v>26</v>
      </c>
      <c r="G22" s="25">
        <v>900</v>
      </c>
      <c r="H22" s="25">
        <v>30</v>
      </c>
      <c r="I22" s="25">
        <f>G22-H22</f>
        <v>870</v>
      </c>
      <c r="J22" s="24" t="s">
        <v>1461</v>
      </c>
      <c r="K22" s="24" t="s">
        <v>21</v>
      </c>
      <c r="L22" s="24" t="s">
        <v>1445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1497</v>
      </c>
      <c r="D23" s="24" t="s">
        <v>1498</v>
      </c>
      <c r="E23" s="24" t="s">
        <v>1499</v>
      </c>
      <c r="F23" s="25">
        <v>6</v>
      </c>
      <c r="G23" s="25">
        <v>0</v>
      </c>
      <c r="H23" s="25">
        <v>25</v>
      </c>
      <c r="I23" s="25">
        <f>-H23</f>
        <v>-25</v>
      </c>
      <c r="J23" s="24" t="s">
        <v>1461</v>
      </c>
      <c r="K23" s="24" t="s">
        <v>21</v>
      </c>
      <c r="L23" s="24" t="s">
        <v>1445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1500</v>
      </c>
      <c r="D24" s="24" t="s">
        <v>1501</v>
      </c>
      <c r="E24" s="24" t="s">
        <v>1502</v>
      </c>
      <c r="F24" s="24" t="s">
        <v>26</v>
      </c>
      <c r="G24" s="25">
        <v>30</v>
      </c>
      <c r="H24" s="25">
        <v>30</v>
      </c>
      <c r="I24" s="25">
        <f t="shared" ref="I24:I29" si="1">G24-H24</f>
        <v>0</v>
      </c>
      <c r="J24" s="24" t="s">
        <v>1461</v>
      </c>
      <c r="K24" s="24" t="s">
        <v>21</v>
      </c>
      <c r="L24" s="24" t="s">
        <v>1445</v>
      </c>
      <c r="M24" s="24" t="s">
        <v>398</v>
      </c>
      <c r="N24" s="24"/>
      <c r="O24" s="24"/>
      <c r="P24" s="24"/>
      <c r="Q24" s="24">
        <v>1</v>
      </c>
    </row>
    <row r="25" spans="1:17" x14ac:dyDescent="0.25">
      <c r="A25" s="24" t="s">
        <v>62</v>
      </c>
      <c r="B25" s="24" t="s">
        <v>16</v>
      </c>
      <c r="C25" s="24" t="s">
        <v>1503</v>
      </c>
      <c r="D25" s="24"/>
      <c r="E25" s="24" t="s">
        <v>1504</v>
      </c>
      <c r="F25" s="24" t="s">
        <v>26</v>
      </c>
      <c r="G25" s="25">
        <v>40</v>
      </c>
      <c r="H25" s="25">
        <v>40</v>
      </c>
      <c r="I25" s="25">
        <f t="shared" si="1"/>
        <v>0</v>
      </c>
      <c r="J25" s="24" t="s">
        <v>1461</v>
      </c>
      <c r="K25" s="24" t="s">
        <v>21</v>
      </c>
      <c r="L25" s="24" t="s">
        <v>1445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1505</v>
      </c>
      <c r="D26" s="24" t="s">
        <v>1506</v>
      </c>
      <c r="E26" s="24" t="s">
        <v>1507</v>
      </c>
      <c r="F26" s="24" t="s">
        <v>68</v>
      </c>
      <c r="G26" s="25">
        <v>460</v>
      </c>
      <c r="H26" s="25">
        <v>20</v>
      </c>
      <c r="I26" s="25">
        <f t="shared" si="1"/>
        <v>440</v>
      </c>
      <c r="J26" s="24" t="s">
        <v>21</v>
      </c>
      <c r="K26" s="24" t="s">
        <v>21</v>
      </c>
      <c r="L26" s="24" t="s">
        <v>1445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1508</v>
      </c>
      <c r="D27" s="24" t="s">
        <v>1509</v>
      </c>
      <c r="E27" s="24" t="s">
        <v>1510</v>
      </c>
      <c r="F27" s="24" t="s">
        <v>72</v>
      </c>
      <c r="G27" s="25">
        <v>1855</v>
      </c>
      <c r="H27" s="25">
        <v>25</v>
      </c>
      <c r="I27" s="25">
        <f t="shared" si="1"/>
        <v>1830</v>
      </c>
      <c r="J27" s="24" t="s">
        <v>21</v>
      </c>
      <c r="K27" s="24" t="s">
        <v>21</v>
      </c>
      <c r="L27" s="24" t="s">
        <v>1445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1511</v>
      </c>
      <c r="D28" s="24" t="s">
        <v>1512</v>
      </c>
      <c r="E28" s="24" t="s">
        <v>1513</v>
      </c>
      <c r="F28" s="24" t="s">
        <v>153</v>
      </c>
      <c r="G28" s="25">
        <v>960</v>
      </c>
      <c r="H28" s="25">
        <v>30</v>
      </c>
      <c r="I28" s="25">
        <f t="shared" si="1"/>
        <v>930</v>
      </c>
      <c r="J28" s="24" t="s">
        <v>21</v>
      </c>
      <c r="K28" s="24" t="s">
        <v>21</v>
      </c>
      <c r="L28" s="24" t="s">
        <v>1445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1514</v>
      </c>
      <c r="D29" s="24" t="s">
        <v>1515</v>
      </c>
      <c r="E29" s="24" t="s">
        <v>1516</v>
      </c>
      <c r="F29" s="25">
        <v>2</v>
      </c>
      <c r="G29" s="25">
        <v>600</v>
      </c>
      <c r="H29" s="25">
        <v>30</v>
      </c>
      <c r="I29" s="25">
        <f t="shared" si="1"/>
        <v>570</v>
      </c>
      <c r="J29" s="24" t="s">
        <v>21</v>
      </c>
      <c r="K29" s="24" t="s">
        <v>21</v>
      </c>
      <c r="L29" s="24" t="s">
        <v>1445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136</v>
      </c>
      <c r="D30" s="24" t="s">
        <v>1517</v>
      </c>
      <c r="E30" s="24" t="s">
        <v>138</v>
      </c>
      <c r="F30" s="24" t="s">
        <v>68</v>
      </c>
      <c r="G30" s="25">
        <v>0</v>
      </c>
      <c r="H30" s="25">
        <v>20</v>
      </c>
      <c r="I30" s="25">
        <f>-H30</f>
        <v>-20</v>
      </c>
      <c r="J30" s="24" t="s">
        <v>21</v>
      </c>
      <c r="K30" s="24" t="s">
        <v>21</v>
      </c>
      <c r="L30" s="24" t="s">
        <v>1445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1518</v>
      </c>
      <c r="D31" s="24" t="s">
        <v>1519</v>
      </c>
      <c r="E31" s="24" t="s">
        <v>1520</v>
      </c>
      <c r="F31" s="24" t="s">
        <v>68</v>
      </c>
      <c r="G31" s="25">
        <v>840</v>
      </c>
      <c r="H31" s="25">
        <v>20</v>
      </c>
      <c r="I31" s="25">
        <f>G31-H31</f>
        <v>820</v>
      </c>
      <c r="J31" s="24" t="s">
        <v>21</v>
      </c>
      <c r="K31" s="24" t="s">
        <v>21</v>
      </c>
      <c r="L31" s="24" t="s">
        <v>1445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1521</v>
      </c>
      <c r="D32" s="24" t="s">
        <v>1522</v>
      </c>
      <c r="E32" s="24" t="s">
        <v>1523</v>
      </c>
      <c r="F32" s="24" t="s">
        <v>72</v>
      </c>
      <c r="G32" s="25">
        <v>0</v>
      </c>
      <c r="H32" s="25">
        <v>25</v>
      </c>
      <c r="I32" s="25">
        <f>-H32</f>
        <v>-25</v>
      </c>
      <c r="J32" s="24" t="s">
        <v>21</v>
      </c>
      <c r="K32" s="24" t="s">
        <v>21</v>
      </c>
      <c r="L32" s="24" t="s">
        <v>1445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1524</v>
      </c>
      <c r="D33" s="24" t="s">
        <v>1525</v>
      </c>
      <c r="E33" s="24" t="s">
        <v>1526</v>
      </c>
      <c r="F33" s="24" t="s">
        <v>68</v>
      </c>
      <c r="G33" s="25">
        <v>970</v>
      </c>
      <c r="H33" s="25">
        <v>20</v>
      </c>
      <c r="I33" s="25">
        <f>G33-H33</f>
        <v>950</v>
      </c>
      <c r="J33" s="24" t="s">
        <v>21</v>
      </c>
      <c r="K33" s="24" t="s">
        <v>21</v>
      </c>
      <c r="L33" s="24" t="s">
        <v>1445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1527</v>
      </c>
      <c r="D34" s="24" t="s">
        <v>1528</v>
      </c>
      <c r="E34" s="24" t="s">
        <v>1529</v>
      </c>
      <c r="F34" s="24" t="s">
        <v>72</v>
      </c>
      <c r="G34" s="25">
        <v>0</v>
      </c>
      <c r="H34" s="25">
        <v>25</v>
      </c>
      <c r="I34" s="25">
        <f>-H34</f>
        <v>-25</v>
      </c>
      <c r="J34" s="24" t="s">
        <v>21</v>
      </c>
      <c r="K34" s="24" t="s">
        <v>21</v>
      </c>
      <c r="L34" s="24" t="s">
        <v>1445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1530</v>
      </c>
      <c r="D35" s="24" t="s">
        <v>1531</v>
      </c>
      <c r="E35" s="24" t="s">
        <v>1532</v>
      </c>
      <c r="F35" s="24" t="s">
        <v>68</v>
      </c>
      <c r="G35" s="25">
        <v>810</v>
      </c>
      <c r="H35" s="25">
        <v>20</v>
      </c>
      <c r="I35" s="25">
        <f t="shared" ref="I35:I40" si="2">G35-H35</f>
        <v>790</v>
      </c>
      <c r="J35" s="24" t="s">
        <v>21</v>
      </c>
      <c r="K35" s="24" t="s">
        <v>21</v>
      </c>
      <c r="L35" s="24" t="s">
        <v>1445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1533</v>
      </c>
      <c r="D36" s="24" t="s">
        <v>1534</v>
      </c>
      <c r="E36" s="24" t="s">
        <v>1535</v>
      </c>
      <c r="F36" s="24" t="s">
        <v>68</v>
      </c>
      <c r="G36" s="25">
        <v>810</v>
      </c>
      <c r="H36" s="25">
        <v>20</v>
      </c>
      <c r="I36" s="25">
        <f t="shared" si="2"/>
        <v>790</v>
      </c>
      <c r="J36" s="24" t="s">
        <v>21</v>
      </c>
      <c r="K36" s="24" t="s">
        <v>21</v>
      </c>
      <c r="L36" s="24" t="s">
        <v>1445</v>
      </c>
      <c r="M36" s="24"/>
      <c r="N36" s="24"/>
      <c r="O36" s="24"/>
      <c r="P36" s="24"/>
      <c r="Q36" s="24">
        <v>1</v>
      </c>
    </row>
    <row r="37" spans="1:17" x14ac:dyDescent="0.25">
      <c r="A37" s="24" t="s">
        <v>62</v>
      </c>
      <c r="B37" s="24" t="s">
        <v>16</v>
      </c>
      <c r="C37" s="24" t="s">
        <v>1536</v>
      </c>
      <c r="D37" s="24"/>
      <c r="E37" s="24" t="s">
        <v>1537</v>
      </c>
      <c r="F37" s="24" t="s">
        <v>153</v>
      </c>
      <c r="G37" s="25">
        <v>35</v>
      </c>
      <c r="H37" s="25">
        <v>35</v>
      </c>
      <c r="I37" s="25">
        <f t="shared" si="2"/>
        <v>0</v>
      </c>
      <c r="J37" s="24" t="s">
        <v>21</v>
      </c>
      <c r="K37" s="24" t="s">
        <v>21</v>
      </c>
      <c r="L37" s="24" t="s">
        <v>1445</v>
      </c>
      <c r="M37" s="24"/>
      <c r="N37" s="24"/>
      <c r="O37" s="24"/>
      <c r="P37" s="24"/>
      <c r="Q37" s="24">
        <v>1</v>
      </c>
    </row>
    <row r="38" spans="1:17" x14ac:dyDescent="0.25">
      <c r="A38" s="24" t="s">
        <v>62</v>
      </c>
      <c r="B38" s="24" t="s">
        <v>16</v>
      </c>
      <c r="C38" s="24" t="s">
        <v>591</v>
      </c>
      <c r="D38" s="24"/>
      <c r="E38" s="24" t="s">
        <v>1538</v>
      </c>
      <c r="F38" s="24" t="s">
        <v>153</v>
      </c>
      <c r="G38" s="25">
        <v>1175</v>
      </c>
      <c r="H38" s="25">
        <v>35</v>
      </c>
      <c r="I38" s="25">
        <f t="shared" si="2"/>
        <v>1140</v>
      </c>
      <c r="J38" s="24" t="s">
        <v>21</v>
      </c>
      <c r="K38" s="24" t="s">
        <v>21</v>
      </c>
      <c r="L38" s="24" t="s">
        <v>1445</v>
      </c>
      <c r="M38" s="24"/>
      <c r="N38" s="24"/>
      <c r="O38" s="24"/>
      <c r="P38" s="24"/>
      <c r="Q38" s="24">
        <v>1</v>
      </c>
    </row>
    <row r="39" spans="1:17" s="8" customFormat="1" x14ac:dyDescent="0.25">
      <c r="A39" s="24"/>
      <c r="B39" s="24" t="s">
        <v>16</v>
      </c>
      <c r="C39" s="24" t="s">
        <v>651</v>
      </c>
      <c r="D39" s="24" t="s">
        <v>1539</v>
      </c>
      <c r="E39" s="24" t="s">
        <v>653</v>
      </c>
      <c r="F39" s="24" t="s">
        <v>88</v>
      </c>
      <c r="G39" s="25">
        <v>945</v>
      </c>
      <c r="H39" s="25">
        <v>25</v>
      </c>
      <c r="I39" s="25">
        <f t="shared" si="2"/>
        <v>920</v>
      </c>
      <c r="J39" s="24" t="s">
        <v>165</v>
      </c>
      <c r="K39" s="24" t="s">
        <v>21</v>
      </c>
      <c r="L39" s="24" t="s">
        <v>1445</v>
      </c>
      <c r="M39" s="24"/>
      <c r="N39" s="24"/>
      <c r="O39" s="24"/>
      <c r="P39" s="24"/>
      <c r="Q39" s="26">
        <v>1</v>
      </c>
    </row>
    <row r="40" spans="1:17" x14ac:dyDescent="0.25">
      <c r="A40" s="24"/>
      <c r="B40" s="24" t="s">
        <v>16</v>
      </c>
      <c r="C40" s="24" t="s">
        <v>1540</v>
      </c>
      <c r="D40" s="24" t="s">
        <v>1541</v>
      </c>
      <c r="E40" s="24" t="s">
        <v>1542</v>
      </c>
      <c r="F40" s="25">
        <v>1</v>
      </c>
      <c r="G40" s="25">
        <v>725</v>
      </c>
      <c r="H40" s="25">
        <v>25</v>
      </c>
      <c r="I40" s="25">
        <f t="shared" si="2"/>
        <v>700</v>
      </c>
      <c r="J40" s="24" t="s">
        <v>165</v>
      </c>
      <c r="K40" s="24" t="s">
        <v>21</v>
      </c>
      <c r="L40" s="24" t="s">
        <v>1445</v>
      </c>
      <c r="M40" s="24"/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1543</v>
      </c>
      <c r="D41" s="24" t="s">
        <v>1544</v>
      </c>
      <c r="E41" s="24" t="s">
        <v>1545</v>
      </c>
      <c r="F41" s="24" t="s">
        <v>88</v>
      </c>
      <c r="G41" s="25">
        <v>0</v>
      </c>
      <c r="H41" s="25">
        <v>25</v>
      </c>
      <c r="I41" s="25">
        <f>-H41</f>
        <v>-25</v>
      </c>
      <c r="J41" s="24" t="s">
        <v>165</v>
      </c>
      <c r="K41" s="24" t="s">
        <v>21</v>
      </c>
      <c r="L41" s="24" t="s">
        <v>1445</v>
      </c>
      <c r="M41" s="24"/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1546</v>
      </c>
      <c r="D42" s="24" t="s">
        <v>1547</v>
      </c>
      <c r="E42" s="24" t="s">
        <v>1548</v>
      </c>
      <c r="F42" s="25">
        <v>5</v>
      </c>
      <c r="G42" s="25">
        <v>0</v>
      </c>
      <c r="H42" s="25">
        <v>25</v>
      </c>
      <c r="I42" s="25">
        <f>-H42</f>
        <v>-25</v>
      </c>
      <c r="J42" s="24" t="s">
        <v>165</v>
      </c>
      <c r="K42" s="24" t="s">
        <v>21</v>
      </c>
      <c r="L42" s="24" t="s">
        <v>1445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991</v>
      </c>
      <c r="D43" s="24" t="s">
        <v>1549</v>
      </c>
      <c r="E43" s="24" t="s">
        <v>993</v>
      </c>
      <c r="F43" s="24" t="s">
        <v>88</v>
      </c>
      <c r="G43" s="25">
        <v>975</v>
      </c>
      <c r="H43" s="25">
        <v>25</v>
      </c>
      <c r="I43" s="25">
        <f>G43-H43</f>
        <v>950</v>
      </c>
      <c r="J43" s="24" t="s">
        <v>165</v>
      </c>
      <c r="K43" s="24" t="s">
        <v>21</v>
      </c>
      <c r="L43" s="24" t="s">
        <v>1445</v>
      </c>
      <c r="M43" s="24"/>
      <c r="N43" s="24"/>
      <c r="O43" s="24"/>
      <c r="P43" s="24"/>
      <c r="Q43" s="24">
        <v>1</v>
      </c>
    </row>
    <row r="44" spans="1:17" x14ac:dyDescent="0.25">
      <c r="A44" s="24"/>
      <c r="B44" s="24" t="s">
        <v>16</v>
      </c>
      <c r="C44" s="24" t="s">
        <v>774</v>
      </c>
      <c r="D44" s="24" t="s">
        <v>1550</v>
      </c>
      <c r="E44" s="24" t="s">
        <v>1551</v>
      </c>
      <c r="F44" s="25">
        <v>1</v>
      </c>
      <c r="G44" s="25">
        <v>0</v>
      </c>
      <c r="H44" s="25">
        <v>25</v>
      </c>
      <c r="I44" s="25">
        <f>-H44</f>
        <v>-25</v>
      </c>
      <c r="J44" s="24" t="s">
        <v>165</v>
      </c>
      <c r="K44" s="24" t="s">
        <v>21</v>
      </c>
      <c r="L44" s="24" t="s">
        <v>1445</v>
      </c>
      <c r="M44" s="24"/>
      <c r="N44" s="24"/>
      <c r="O44" s="24"/>
      <c r="P44" s="24"/>
      <c r="Q44" s="24">
        <v>1</v>
      </c>
    </row>
    <row r="45" spans="1:17" x14ac:dyDescent="0.25">
      <c r="A45" s="24"/>
      <c r="B45" s="24" t="s">
        <v>16</v>
      </c>
      <c r="C45" s="24" t="s">
        <v>1552</v>
      </c>
      <c r="D45" s="24" t="s">
        <v>1553</v>
      </c>
      <c r="E45" s="24" t="s">
        <v>1554</v>
      </c>
      <c r="F45" s="25">
        <v>10</v>
      </c>
      <c r="G45" s="25">
        <v>835</v>
      </c>
      <c r="H45" s="25">
        <v>25</v>
      </c>
      <c r="I45" s="25">
        <f>G45-H45</f>
        <v>810</v>
      </c>
      <c r="J45" s="24" t="s">
        <v>165</v>
      </c>
      <c r="K45" s="24" t="s">
        <v>21</v>
      </c>
      <c r="L45" s="24" t="s">
        <v>1445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1555</v>
      </c>
      <c r="D46" s="24" t="s">
        <v>1556</v>
      </c>
      <c r="E46" s="24" t="s">
        <v>1557</v>
      </c>
      <c r="F46" s="25">
        <v>4</v>
      </c>
      <c r="G46" s="25">
        <v>955</v>
      </c>
      <c r="H46" s="25">
        <v>25</v>
      </c>
      <c r="I46" s="25">
        <f>G46-H46</f>
        <v>930</v>
      </c>
      <c r="J46" s="24" t="s">
        <v>165</v>
      </c>
      <c r="K46" s="24" t="s">
        <v>21</v>
      </c>
      <c r="L46" s="24" t="s">
        <v>1445</v>
      </c>
      <c r="M46" s="24"/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1558</v>
      </c>
      <c r="D47" s="24" t="s">
        <v>1559</v>
      </c>
      <c r="E47" s="24" t="s">
        <v>1560</v>
      </c>
      <c r="F47" s="25">
        <v>1</v>
      </c>
      <c r="G47" s="25">
        <v>0</v>
      </c>
      <c r="H47" s="25">
        <v>25</v>
      </c>
      <c r="I47" s="25">
        <f>-H47</f>
        <v>-25</v>
      </c>
      <c r="J47" s="24" t="s">
        <v>165</v>
      </c>
      <c r="K47" s="24" t="s">
        <v>21</v>
      </c>
      <c r="L47" s="24" t="s">
        <v>1445</v>
      </c>
      <c r="M47" s="24"/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1292</v>
      </c>
      <c r="D48" s="24" t="s">
        <v>1561</v>
      </c>
      <c r="E48" s="24" t="s">
        <v>1294</v>
      </c>
      <c r="F48" s="25">
        <v>10</v>
      </c>
      <c r="G48" s="25">
        <v>975</v>
      </c>
      <c r="H48" s="25">
        <v>25</v>
      </c>
      <c r="I48" s="25">
        <f>G48-H48</f>
        <v>950</v>
      </c>
      <c r="J48" s="24" t="s">
        <v>165</v>
      </c>
      <c r="K48" s="24" t="s">
        <v>21</v>
      </c>
      <c r="L48" s="24" t="s">
        <v>1445</v>
      </c>
      <c r="M48" s="24"/>
      <c r="N48" s="24"/>
      <c r="O48" s="24"/>
      <c r="P48" s="24"/>
      <c r="Q48" s="24">
        <v>1</v>
      </c>
    </row>
    <row r="49" spans="1:17" x14ac:dyDescent="0.25">
      <c r="A49" s="24" t="s">
        <v>62</v>
      </c>
      <c r="B49" s="24" t="s">
        <v>16</v>
      </c>
      <c r="C49" s="24" t="s">
        <v>584</v>
      </c>
      <c r="D49" s="24"/>
      <c r="E49" s="24" t="s">
        <v>585</v>
      </c>
      <c r="F49" s="25">
        <v>4</v>
      </c>
      <c r="G49" s="25">
        <v>30</v>
      </c>
      <c r="H49" s="25">
        <v>30</v>
      </c>
      <c r="I49" s="25">
        <f>G49-H49</f>
        <v>0</v>
      </c>
      <c r="J49" s="24" t="s">
        <v>165</v>
      </c>
      <c r="K49" s="24" t="s">
        <v>21</v>
      </c>
      <c r="L49" s="24" t="s">
        <v>1445</v>
      </c>
      <c r="M49" s="24"/>
      <c r="N49" s="24"/>
      <c r="O49" s="24"/>
      <c r="P49" s="24"/>
      <c r="Q49" s="24">
        <v>1</v>
      </c>
    </row>
    <row r="50" spans="1:17" x14ac:dyDescent="0.25">
      <c r="A50" s="24" t="s">
        <v>62</v>
      </c>
      <c r="B50" s="24" t="s">
        <v>16</v>
      </c>
      <c r="C50" s="24" t="s">
        <v>1562</v>
      </c>
      <c r="D50" s="24"/>
      <c r="E50" s="24" t="s">
        <v>442</v>
      </c>
      <c r="F50" s="24" t="s">
        <v>88</v>
      </c>
      <c r="G50" s="25">
        <v>0</v>
      </c>
      <c r="H50" s="25">
        <v>30</v>
      </c>
      <c r="I50" s="25">
        <f>-H50</f>
        <v>-30</v>
      </c>
      <c r="J50" s="24" t="s">
        <v>165</v>
      </c>
      <c r="K50" s="24" t="s">
        <v>21</v>
      </c>
      <c r="L50" s="24" t="s">
        <v>1445</v>
      </c>
      <c r="M50" s="24"/>
      <c r="N50" s="24"/>
      <c r="O50" s="24"/>
      <c r="P50" s="24"/>
      <c r="Q50" s="24">
        <v>1</v>
      </c>
    </row>
    <row r="51" spans="1:17" x14ac:dyDescent="0.25">
      <c r="A51" s="26"/>
      <c r="B51" s="26" t="s">
        <v>16</v>
      </c>
      <c r="C51" s="26" t="s">
        <v>1340</v>
      </c>
      <c r="D51" s="26" t="s">
        <v>1341</v>
      </c>
      <c r="E51" s="26" t="s">
        <v>1342</v>
      </c>
      <c r="F51" s="26" t="s">
        <v>72</v>
      </c>
      <c r="G51" s="27">
        <v>1115</v>
      </c>
      <c r="H51" s="27">
        <v>0</v>
      </c>
      <c r="I51" s="27">
        <f>G51-H51</f>
        <v>1115</v>
      </c>
      <c r="J51" s="26" t="s">
        <v>446</v>
      </c>
      <c r="K51" s="26" t="s">
        <v>21</v>
      </c>
      <c r="L51" s="26" t="s">
        <v>1311</v>
      </c>
      <c r="M51" s="26" t="s">
        <v>105</v>
      </c>
      <c r="N51" s="26" t="s">
        <v>448</v>
      </c>
      <c r="O51" s="26" t="s">
        <v>448</v>
      </c>
      <c r="P51" s="26" t="s">
        <v>449</v>
      </c>
      <c r="Q51" s="26">
        <v>1</v>
      </c>
    </row>
    <row r="52" spans="1:17" s="8" customFormat="1" x14ac:dyDescent="0.25">
      <c r="A52" s="26"/>
      <c r="B52" s="26" t="s">
        <v>16</v>
      </c>
      <c r="C52" s="26" t="s">
        <v>1563</v>
      </c>
      <c r="D52" s="26" t="s">
        <v>1564</v>
      </c>
      <c r="E52" s="26" t="s">
        <v>1565</v>
      </c>
      <c r="F52" s="26" t="s">
        <v>780</v>
      </c>
      <c r="G52" s="27">
        <v>2040</v>
      </c>
      <c r="H52" s="27">
        <v>0</v>
      </c>
      <c r="I52" s="27">
        <f>G52-H52</f>
        <v>2040</v>
      </c>
      <c r="J52" s="26" t="s">
        <v>446</v>
      </c>
      <c r="K52" s="26" t="s">
        <v>21</v>
      </c>
      <c r="L52" s="26" t="s">
        <v>1445</v>
      </c>
      <c r="M52" s="26" t="s">
        <v>781</v>
      </c>
      <c r="N52" s="26" t="s">
        <v>448</v>
      </c>
      <c r="O52" s="26"/>
      <c r="P52" s="26" t="s">
        <v>449</v>
      </c>
      <c r="Q52" s="27">
        <v>1</v>
      </c>
    </row>
    <row r="54" spans="1:17" x14ac:dyDescent="0.25">
      <c r="D54" s="7">
        <f>COUNTA(D3:D52)</f>
        <v>44</v>
      </c>
      <c r="G54" s="7">
        <f t="shared" ref="G54:Q54" si="3">SUBTOTAL(9,G3:G52)</f>
        <v>30585</v>
      </c>
      <c r="H54" s="7">
        <f t="shared" si="3"/>
        <v>1315</v>
      </c>
      <c r="I54" s="7">
        <f t="shared" si="3"/>
        <v>29270</v>
      </c>
      <c r="J54" s="7">
        <f t="shared" si="3"/>
        <v>0</v>
      </c>
      <c r="K54" s="7">
        <f t="shared" si="3"/>
        <v>0</v>
      </c>
      <c r="L54" s="7">
        <f t="shared" si="3"/>
        <v>0</v>
      </c>
      <c r="M54" s="7">
        <f t="shared" si="3"/>
        <v>0</v>
      </c>
      <c r="N54" s="7">
        <f t="shared" si="3"/>
        <v>0</v>
      </c>
      <c r="O54" s="7">
        <f t="shared" si="3"/>
        <v>0</v>
      </c>
      <c r="P54" s="7">
        <f t="shared" si="3"/>
        <v>0</v>
      </c>
      <c r="Q54" s="7">
        <f t="shared" si="3"/>
        <v>50</v>
      </c>
    </row>
    <row r="55" spans="1:17" x14ac:dyDescent="0.25">
      <c r="H55">
        <f>-12*17</f>
        <v>-204</v>
      </c>
    </row>
    <row r="56" spans="1:17" x14ac:dyDescent="0.25">
      <c r="A56" s="7" t="s">
        <v>16</v>
      </c>
      <c r="C56" s="6" t="s">
        <v>89</v>
      </c>
      <c r="D56" s="6"/>
      <c r="E56" s="10" t="s">
        <v>90</v>
      </c>
      <c r="H56">
        <f>-5*25</f>
        <v>-125</v>
      </c>
      <c r="K56" s="13" t="s">
        <v>1461</v>
      </c>
      <c r="L56" s="13" t="s">
        <v>91</v>
      </c>
      <c r="M56" s="13" t="s">
        <v>90</v>
      </c>
      <c r="O56" s="10" t="s">
        <v>92</v>
      </c>
    </row>
    <row r="57" spans="1:17" x14ac:dyDescent="0.25">
      <c r="A57" t="s">
        <v>1445</v>
      </c>
      <c r="B57" s="9" t="s">
        <v>93</v>
      </c>
      <c r="C57" s="5">
        <f>SUMIFS(I$3:I$52,B$3:B$52,A$56,L$3:L$52,A$57)</f>
        <v>28155</v>
      </c>
      <c r="D57" s="5"/>
      <c r="E57" s="9">
        <f>SUMIFS(Q$3:Q$52,B$3:B$52,A$56,L$3:L$52,A$57)</f>
        <v>49</v>
      </c>
      <c r="F57" t="s">
        <v>94</v>
      </c>
      <c r="K57" t="s">
        <v>95</v>
      </c>
      <c r="L57">
        <f>SUMIFS(G$3:G$52,J$3:J$52,K$56)</f>
        <v>7475</v>
      </c>
      <c r="M57">
        <f>SUMIFS(Q$3:Q$52,J$3:J$52,K$56)</f>
        <v>17</v>
      </c>
      <c r="O57" t="s">
        <v>1566</v>
      </c>
      <c r="P57">
        <f>L62</f>
        <v>7146</v>
      </c>
    </row>
    <row r="58" spans="1:17" x14ac:dyDescent="0.25">
      <c r="B58" s="8" t="s">
        <v>97</v>
      </c>
      <c r="C58" s="4">
        <v>0</v>
      </c>
      <c r="D58" s="4"/>
      <c r="K58" t="s">
        <v>98</v>
      </c>
      <c r="L58">
        <f>SUM(H55:H56)</f>
        <v>-329</v>
      </c>
      <c r="M58">
        <f>SUMIFS(Q$3:Q$52,J$3:J$52,K$56)</f>
        <v>17</v>
      </c>
      <c r="O58" t="s">
        <v>165</v>
      </c>
      <c r="P58">
        <f>L70</f>
        <v>5190</v>
      </c>
    </row>
    <row r="59" spans="1:17" x14ac:dyDescent="0.25">
      <c r="B59" s="8" t="s">
        <v>99</v>
      </c>
      <c r="C59" s="4">
        <f>-SUMIFS(I$3:I$52,B$3:B$52,A$56,P$3:P$52,"xx",N$3:N$52,"x")</f>
        <v>-3155</v>
      </c>
      <c r="D59" s="4"/>
      <c r="E59" s="8">
        <f>SUMIFS(Q$3:Q$52,B$3:B$52,A$56,P$3:P$52,"xx",N$3:N$52,"x")</f>
        <v>2</v>
      </c>
      <c r="K59" t="s">
        <v>100</v>
      </c>
      <c r="O59" t="s">
        <v>21</v>
      </c>
      <c r="P59">
        <f>L78</f>
        <v>7042</v>
      </c>
    </row>
    <row r="60" spans="1:17" x14ac:dyDescent="0.25">
      <c r="B60" s="10" t="s">
        <v>101</v>
      </c>
      <c r="C60" s="6">
        <f>SUBTOTAL(9,C57:C59)</f>
        <v>25000</v>
      </c>
      <c r="D60" s="6"/>
      <c r="E60">
        <f>E57</f>
        <v>49</v>
      </c>
      <c r="K60" s="8" t="s">
        <v>102</v>
      </c>
      <c r="O60" t="s">
        <v>20</v>
      </c>
      <c r="P60">
        <f>L86</f>
        <v>5845</v>
      </c>
    </row>
    <row r="61" spans="1:17" x14ac:dyDescent="0.25">
      <c r="B61" s="8" t="s">
        <v>104</v>
      </c>
      <c r="C61" s="3"/>
      <c r="D61" s="3"/>
      <c r="K61" s="8" t="s">
        <v>105</v>
      </c>
      <c r="O61" t="s">
        <v>103</v>
      </c>
      <c r="P61">
        <f>-C64</f>
        <v>-25000</v>
      </c>
    </row>
    <row r="62" spans="1:17" x14ac:dyDescent="0.25">
      <c r="B62" s="14" t="s">
        <v>107</v>
      </c>
      <c r="C62" s="3"/>
      <c r="D62" s="3"/>
      <c r="L62" s="15">
        <f>SUBTOTAL(9,L57:L61)</f>
        <v>7146</v>
      </c>
      <c r="M62" s="15">
        <f>M57</f>
        <v>17</v>
      </c>
      <c r="O62" s="10" t="s">
        <v>106</v>
      </c>
      <c r="P62" s="10">
        <f>SUBTOTAL(9,P57:P61)</f>
        <v>223</v>
      </c>
    </row>
    <row r="64" spans="1:17" x14ac:dyDescent="0.25">
      <c r="B64" s="7" t="s">
        <v>108</v>
      </c>
      <c r="C64" s="2">
        <f>C60+C61+C62</f>
        <v>25000</v>
      </c>
      <c r="D64" s="2"/>
      <c r="E64" s="7" t="s">
        <v>109</v>
      </c>
      <c r="K64" s="13" t="s">
        <v>165</v>
      </c>
      <c r="L64" s="13" t="s">
        <v>91</v>
      </c>
      <c r="M64" s="13" t="s">
        <v>90</v>
      </c>
    </row>
    <row r="65" spans="11:13" x14ac:dyDescent="0.25">
      <c r="K65" t="s">
        <v>95</v>
      </c>
      <c r="L65">
        <f>SUMIFS(G$3:G$52,J$3:J$52,K$64)</f>
        <v>5440</v>
      </c>
      <c r="M65">
        <f>SUMIFS(Q$3:Q$52,J$3:J$52,K$64)</f>
        <v>12</v>
      </c>
    </row>
    <row r="66" spans="11:13" x14ac:dyDescent="0.25">
      <c r="K66" t="s">
        <v>98</v>
      </c>
      <c r="L66">
        <f>-SUMIFS(H$3:H$52,J$3:J$52,K$64)+M66*5</f>
        <v>-250</v>
      </c>
      <c r="M66">
        <f>SUMIFS(Q$3:Q$52,J$3:J$52,K$64)-COUNTIFS(J$3:J$52,K$64,M$3:M$52,"*gộp*")</f>
        <v>12</v>
      </c>
    </row>
    <row r="67" spans="11:13" x14ac:dyDescent="0.25">
      <c r="K67" t="s">
        <v>100</v>
      </c>
    </row>
    <row r="68" spans="11:13" x14ac:dyDescent="0.25">
      <c r="K68" s="8" t="s">
        <v>102</v>
      </c>
    </row>
    <row r="69" spans="11:13" x14ac:dyDescent="0.25">
      <c r="K69" s="8" t="s">
        <v>105</v>
      </c>
    </row>
    <row r="70" spans="11:13" x14ac:dyDescent="0.25">
      <c r="L70" s="15">
        <f>SUBTOTAL(9,L65:L69)</f>
        <v>5190</v>
      </c>
      <c r="M70" s="15">
        <f>M65</f>
        <v>12</v>
      </c>
    </row>
    <row r="72" spans="11:13" x14ac:dyDescent="0.25">
      <c r="K72" s="13" t="s">
        <v>21</v>
      </c>
      <c r="L72" s="13" t="s">
        <v>91</v>
      </c>
      <c r="M72" s="13" t="s">
        <v>90</v>
      </c>
    </row>
    <row r="73" spans="11:13" x14ac:dyDescent="0.25">
      <c r="K73" t="s">
        <v>95</v>
      </c>
      <c r="L73">
        <f>SUMIFS(G$3:G$52,J$3:J$52,K$72)</f>
        <v>8515</v>
      </c>
      <c r="M73">
        <f>SUMIFS(Q$3:Q$52,J$3:J$52,K$72)</f>
        <v>13</v>
      </c>
    </row>
    <row r="74" spans="11:13" x14ac:dyDescent="0.25">
      <c r="K74" t="s">
        <v>98</v>
      </c>
      <c r="L74">
        <f>-SUMIFS(H$3:H$52,J$3:J$52,K$72)+M74*5</f>
        <v>-260</v>
      </c>
      <c r="M74">
        <f>SUMIFS(Q$3:Q$52,J$3:J$52,K$72)-COUNTIFS(J$3:J$52,K$72,M$3:M$52,"*gộp*")</f>
        <v>13</v>
      </c>
    </row>
    <row r="75" spans="11:13" x14ac:dyDescent="0.25">
      <c r="K75" t="s">
        <v>100</v>
      </c>
      <c r="L75">
        <f>-M75*2</f>
        <v>-98</v>
      </c>
      <c r="M75">
        <f>E60-(COUNTIFS(M$3:M$52,"*gộp*")/2)-COUNTIFS(M$3:M$52,"*đơn trả*")/2</f>
        <v>49</v>
      </c>
    </row>
    <row r="76" spans="11:13" x14ac:dyDescent="0.25">
      <c r="K76" s="8" t="s">
        <v>102</v>
      </c>
    </row>
    <row r="77" spans="11:13" x14ac:dyDescent="0.25">
      <c r="K77" s="8" t="s">
        <v>105</v>
      </c>
      <c r="L77" s="8">
        <v>-1115</v>
      </c>
      <c r="M77" s="35" t="s">
        <v>451</v>
      </c>
    </row>
    <row r="78" spans="11:13" x14ac:dyDescent="0.25">
      <c r="L78" s="15">
        <f>SUBTOTAL(9,L73:L77)</f>
        <v>7042</v>
      </c>
      <c r="M78" s="15">
        <f>M73</f>
        <v>13</v>
      </c>
    </row>
    <row r="80" spans="11:13" x14ac:dyDescent="0.25">
      <c r="K80" s="13" t="s">
        <v>20</v>
      </c>
      <c r="L80" s="13" t="s">
        <v>91</v>
      </c>
      <c r="M80" s="13" t="s">
        <v>90</v>
      </c>
    </row>
    <row r="81" spans="11:13" x14ac:dyDescent="0.25">
      <c r="K81" t="s">
        <v>95</v>
      </c>
      <c r="L81">
        <f>SUMIFS(G$3:G$52,J$3:J$52,K$80)</f>
        <v>6000</v>
      </c>
      <c r="M81">
        <f>SUMIFS(Q$3:Q$52,J$3:J$52,K$80)</f>
        <v>6</v>
      </c>
    </row>
    <row r="82" spans="11:13" x14ac:dyDescent="0.25">
      <c r="K82" t="s">
        <v>98</v>
      </c>
      <c r="L82">
        <f>-SUMIFS(H$3:H$52,J$3:J$52,K$80)+M82*5</f>
        <v>-155</v>
      </c>
      <c r="M82">
        <f>SUMIFS(Q$3:Q$52,J$3:J$52,K$80)-COUNTIFS(J$3:J$52,K$80,M$3:M$52,"*gộp*")</f>
        <v>6</v>
      </c>
    </row>
    <row r="83" spans="11:13" x14ac:dyDescent="0.25">
      <c r="K83" t="s">
        <v>100</v>
      </c>
    </row>
    <row r="84" spans="11:13" x14ac:dyDescent="0.25">
      <c r="K84" s="8" t="s">
        <v>102</v>
      </c>
    </row>
    <row r="85" spans="11:13" x14ac:dyDescent="0.25">
      <c r="K85" s="8" t="s">
        <v>105</v>
      </c>
    </row>
    <row r="86" spans="11:13" x14ac:dyDescent="0.25">
      <c r="L86" s="15">
        <f>SUBTOTAL(9,L81:L85)</f>
        <v>5845</v>
      </c>
      <c r="M86" s="15">
        <f>M81</f>
        <v>6</v>
      </c>
    </row>
  </sheetData>
  <autoFilter ref="A2:P52" xr:uid="{00000000-0009-0000-0000-00000D000000}">
    <sortState xmlns:xlrd2="http://schemas.microsoft.com/office/spreadsheetml/2017/richdata2" ref="A3:P52">
      <sortCondition ref="J2:J52"/>
    </sortState>
  </autoFilter>
  <mergeCells count="8">
    <mergeCell ref="C61:D61"/>
    <mergeCell ref="C62:D62"/>
    <mergeCell ref="C64:D64"/>
    <mergeCell ref="C56:D56"/>
    <mergeCell ref="C57:D57"/>
    <mergeCell ref="C58:D58"/>
    <mergeCell ref="C59:D59"/>
    <mergeCell ref="C60:D60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Q87"/>
  <sheetViews>
    <sheetView topLeftCell="A34" workbookViewId="0">
      <selection activeCell="F58" sqref="F58"/>
    </sheetView>
  </sheetViews>
  <sheetFormatPr defaultRowHeight="15" x14ac:dyDescent="0.25"/>
  <cols>
    <col min="1" max="1" width="12.7109375" customWidth="1"/>
    <col min="2" max="2" width="17.7109375" customWidth="1"/>
    <col min="3" max="3" width="46.85546875" customWidth="1"/>
    <col min="4" max="4" width="9.85546875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1567</v>
      </c>
      <c r="D3" s="24" t="s">
        <v>1568</v>
      </c>
      <c r="E3" s="24" t="s">
        <v>1569</v>
      </c>
      <c r="F3" s="25">
        <v>9</v>
      </c>
      <c r="G3" s="25">
        <v>820</v>
      </c>
      <c r="H3" s="25">
        <v>30</v>
      </c>
      <c r="I3" s="25">
        <f>G3-H3</f>
        <v>790</v>
      </c>
      <c r="J3" s="24" t="s">
        <v>20</v>
      </c>
      <c r="K3" s="24" t="s">
        <v>21</v>
      </c>
      <c r="L3" s="24" t="s">
        <v>1570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1571</v>
      </c>
      <c r="D4" s="24" t="s">
        <v>1572</v>
      </c>
      <c r="E4" s="24" t="s">
        <v>1573</v>
      </c>
      <c r="F4" s="25">
        <v>9</v>
      </c>
      <c r="G4" s="25">
        <v>0</v>
      </c>
      <c r="H4" s="25">
        <v>30</v>
      </c>
      <c r="I4" s="25">
        <f>-H4</f>
        <v>-30</v>
      </c>
      <c r="J4" s="24" t="s">
        <v>20</v>
      </c>
      <c r="K4" s="24" t="s">
        <v>21</v>
      </c>
      <c r="L4" s="24" t="s">
        <v>1570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1574</v>
      </c>
      <c r="D5" s="24" t="s">
        <v>1575</v>
      </c>
      <c r="E5" s="24" t="s">
        <v>1576</v>
      </c>
      <c r="F5" s="25">
        <v>9</v>
      </c>
      <c r="G5" s="25">
        <v>750</v>
      </c>
      <c r="H5" s="25">
        <v>30</v>
      </c>
      <c r="I5" s="25">
        <f t="shared" ref="I5:I10" si="0">G5-H5</f>
        <v>720</v>
      </c>
      <c r="J5" s="24" t="s">
        <v>20</v>
      </c>
      <c r="K5" s="24" t="s">
        <v>21</v>
      </c>
      <c r="L5" s="24" t="s">
        <v>1570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1577</v>
      </c>
      <c r="D6" s="24" t="s">
        <v>1578</v>
      </c>
      <c r="E6" s="24" t="s">
        <v>1579</v>
      </c>
      <c r="F6" s="25">
        <v>8</v>
      </c>
      <c r="G6" s="25">
        <v>870</v>
      </c>
      <c r="H6" s="25">
        <v>30</v>
      </c>
      <c r="I6" s="25">
        <f t="shared" si="0"/>
        <v>840</v>
      </c>
      <c r="J6" s="24" t="s">
        <v>1580</v>
      </c>
      <c r="K6" s="24" t="s">
        <v>21</v>
      </c>
      <c r="L6" s="24" t="s">
        <v>1570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1581</v>
      </c>
      <c r="D7" s="24" t="s">
        <v>1582</v>
      </c>
      <c r="E7" s="24" t="s">
        <v>1583</v>
      </c>
      <c r="F7" s="24" t="s">
        <v>26</v>
      </c>
      <c r="G7" s="25">
        <v>980</v>
      </c>
      <c r="H7" s="25">
        <v>30</v>
      </c>
      <c r="I7" s="25">
        <f t="shared" si="0"/>
        <v>950</v>
      </c>
      <c r="J7" s="24" t="s">
        <v>1580</v>
      </c>
      <c r="K7" s="24" t="s">
        <v>21</v>
      </c>
      <c r="L7" s="24" t="s">
        <v>1570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1584</v>
      </c>
      <c r="D8" s="24" t="s">
        <v>1585</v>
      </c>
      <c r="E8" s="24" t="s">
        <v>1586</v>
      </c>
      <c r="F8" s="24" t="s">
        <v>26</v>
      </c>
      <c r="G8" s="25">
        <v>1440</v>
      </c>
      <c r="H8" s="25">
        <v>30</v>
      </c>
      <c r="I8" s="25">
        <f t="shared" si="0"/>
        <v>1410</v>
      </c>
      <c r="J8" s="24" t="s">
        <v>1580</v>
      </c>
      <c r="K8" s="24" t="s">
        <v>21</v>
      </c>
      <c r="L8" s="24" t="s">
        <v>1570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1587</v>
      </c>
      <c r="D9" s="24" t="s">
        <v>1588</v>
      </c>
      <c r="E9" s="24" t="s">
        <v>1589</v>
      </c>
      <c r="F9" s="24" t="s">
        <v>26</v>
      </c>
      <c r="G9" s="25">
        <v>1780</v>
      </c>
      <c r="H9" s="25">
        <v>30</v>
      </c>
      <c r="I9" s="25">
        <f t="shared" si="0"/>
        <v>1750</v>
      </c>
      <c r="J9" s="24" t="s">
        <v>1580</v>
      </c>
      <c r="K9" s="24" t="s">
        <v>21</v>
      </c>
      <c r="L9" s="24" t="s">
        <v>1570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1590</v>
      </c>
      <c r="D10" s="24" t="s">
        <v>1591</v>
      </c>
      <c r="E10" s="24" t="s">
        <v>1592</v>
      </c>
      <c r="F10" s="24" t="s">
        <v>88</v>
      </c>
      <c r="G10" s="25">
        <v>915</v>
      </c>
      <c r="H10" s="25">
        <v>25</v>
      </c>
      <c r="I10" s="25">
        <f t="shared" si="0"/>
        <v>890</v>
      </c>
      <c r="J10" s="24" t="s">
        <v>1580</v>
      </c>
      <c r="K10" s="24" t="s">
        <v>21</v>
      </c>
      <c r="L10" s="24" t="s">
        <v>1570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1593</v>
      </c>
      <c r="D11" s="24" t="s">
        <v>1594</v>
      </c>
      <c r="E11" s="24" t="s">
        <v>1595</v>
      </c>
      <c r="F11" s="25">
        <v>8</v>
      </c>
      <c r="G11" s="25">
        <v>0</v>
      </c>
      <c r="H11" s="25">
        <v>25</v>
      </c>
      <c r="I11" s="25">
        <f>-H11</f>
        <v>-25</v>
      </c>
      <c r="J11" s="24" t="s">
        <v>1580</v>
      </c>
      <c r="K11" s="24" t="s">
        <v>21</v>
      </c>
      <c r="L11" s="24" t="s">
        <v>1570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1596</v>
      </c>
      <c r="D12" s="24" t="s">
        <v>1597</v>
      </c>
      <c r="E12" s="24" t="s">
        <v>1598</v>
      </c>
      <c r="F12" s="24" t="s">
        <v>217</v>
      </c>
      <c r="G12" s="25">
        <v>955</v>
      </c>
      <c r="H12" s="25">
        <v>25</v>
      </c>
      <c r="I12" s="25">
        <f>G12-H12</f>
        <v>930</v>
      </c>
      <c r="J12" s="24" t="s">
        <v>1580</v>
      </c>
      <c r="K12" s="24" t="s">
        <v>21</v>
      </c>
      <c r="L12" s="24" t="s">
        <v>1570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1599</v>
      </c>
      <c r="D13" s="24" t="s">
        <v>1600</v>
      </c>
      <c r="E13" s="24" t="s">
        <v>1601</v>
      </c>
      <c r="F13" s="25">
        <v>7</v>
      </c>
      <c r="G13" s="25">
        <v>0</v>
      </c>
      <c r="H13" s="25">
        <v>30</v>
      </c>
      <c r="I13" s="25">
        <f>-H13</f>
        <v>-30</v>
      </c>
      <c r="J13" s="24" t="s">
        <v>1580</v>
      </c>
      <c r="K13" s="24" t="s">
        <v>21</v>
      </c>
      <c r="L13" s="24" t="s">
        <v>1570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1602</v>
      </c>
      <c r="D14" s="24" t="s">
        <v>1603</v>
      </c>
      <c r="E14" s="24" t="s">
        <v>1604</v>
      </c>
      <c r="F14" s="24" t="s">
        <v>128</v>
      </c>
      <c r="G14" s="25">
        <v>0</v>
      </c>
      <c r="H14" s="25">
        <v>35</v>
      </c>
      <c r="I14" s="25">
        <f>-H14</f>
        <v>-35</v>
      </c>
      <c r="J14" s="24" t="s">
        <v>1580</v>
      </c>
      <c r="K14" s="24" t="s">
        <v>21</v>
      </c>
      <c r="L14" s="24" t="s">
        <v>1570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1605</v>
      </c>
      <c r="D15" s="24" t="s">
        <v>1606</v>
      </c>
      <c r="E15" s="24" t="s">
        <v>1607</v>
      </c>
      <c r="F15" s="25">
        <v>6</v>
      </c>
      <c r="G15" s="25">
        <v>0</v>
      </c>
      <c r="H15" s="25">
        <v>25</v>
      </c>
      <c r="I15" s="25">
        <f>-H15</f>
        <v>-25</v>
      </c>
      <c r="J15" s="24" t="s">
        <v>1580</v>
      </c>
      <c r="K15" s="24" t="s">
        <v>21</v>
      </c>
      <c r="L15" s="24" t="s">
        <v>1570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1608</v>
      </c>
      <c r="D16" s="24" t="s">
        <v>1609</v>
      </c>
      <c r="E16" s="24" t="s">
        <v>1610</v>
      </c>
      <c r="F16" s="25">
        <v>11</v>
      </c>
      <c r="G16" s="25">
        <v>785</v>
      </c>
      <c r="H16" s="25">
        <v>25</v>
      </c>
      <c r="I16" s="25">
        <f t="shared" ref="I16:I21" si="1">G16-H16</f>
        <v>760</v>
      </c>
      <c r="J16" s="24" t="s">
        <v>1580</v>
      </c>
      <c r="K16" s="24" t="s">
        <v>21</v>
      </c>
      <c r="L16" s="24" t="s">
        <v>1570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1367</v>
      </c>
      <c r="D17" s="24" t="s">
        <v>1611</v>
      </c>
      <c r="E17" s="24" t="s">
        <v>1369</v>
      </c>
      <c r="F17" s="24" t="s">
        <v>128</v>
      </c>
      <c r="G17" s="25">
        <v>745</v>
      </c>
      <c r="H17" s="25">
        <v>35</v>
      </c>
      <c r="I17" s="25">
        <f t="shared" si="1"/>
        <v>710</v>
      </c>
      <c r="J17" s="24" t="s">
        <v>1580</v>
      </c>
      <c r="K17" s="24" t="s">
        <v>21</v>
      </c>
      <c r="L17" s="24" t="s">
        <v>1570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1612</v>
      </c>
      <c r="D18" s="24" t="s">
        <v>1613</v>
      </c>
      <c r="E18" s="24" t="s">
        <v>1614</v>
      </c>
      <c r="F18" s="24" t="s">
        <v>26</v>
      </c>
      <c r="G18" s="25">
        <v>920</v>
      </c>
      <c r="H18" s="25">
        <v>30</v>
      </c>
      <c r="I18" s="25">
        <f t="shared" si="1"/>
        <v>890</v>
      </c>
      <c r="J18" s="24" t="s">
        <v>1580</v>
      </c>
      <c r="K18" s="24" t="s">
        <v>21</v>
      </c>
      <c r="L18" s="24" t="s">
        <v>1570</v>
      </c>
      <c r="M18" s="24"/>
      <c r="N18" s="24"/>
      <c r="O18" s="24"/>
      <c r="P18" s="24"/>
      <c r="Q18" s="24">
        <v>1</v>
      </c>
    </row>
    <row r="19" spans="1:17" x14ac:dyDescent="0.25">
      <c r="A19" s="24" t="s">
        <v>62</v>
      </c>
      <c r="B19" s="24" t="s">
        <v>16</v>
      </c>
      <c r="C19" s="24" t="s">
        <v>1615</v>
      </c>
      <c r="D19" s="24"/>
      <c r="E19" s="24" t="s">
        <v>1616</v>
      </c>
      <c r="F19" s="25">
        <v>8</v>
      </c>
      <c r="G19" s="25">
        <v>40</v>
      </c>
      <c r="H19" s="25">
        <v>40</v>
      </c>
      <c r="I19" s="25">
        <f t="shared" si="1"/>
        <v>0</v>
      </c>
      <c r="J19" s="24" t="s">
        <v>1580</v>
      </c>
      <c r="K19" s="24" t="s">
        <v>21</v>
      </c>
      <c r="L19" s="24" t="s">
        <v>1570</v>
      </c>
      <c r="M19" s="24"/>
      <c r="N19" s="24"/>
      <c r="O19" s="24"/>
      <c r="P19" s="24"/>
      <c r="Q19" s="24">
        <v>1</v>
      </c>
    </row>
    <row r="20" spans="1:17" x14ac:dyDescent="0.25">
      <c r="A20" s="24" t="s">
        <v>62</v>
      </c>
      <c r="B20" s="24" t="s">
        <v>16</v>
      </c>
      <c r="C20" s="24" t="s">
        <v>1617</v>
      </c>
      <c r="D20" s="24"/>
      <c r="E20" s="24" t="s">
        <v>1618</v>
      </c>
      <c r="F20" s="24" t="s">
        <v>88</v>
      </c>
      <c r="G20" s="25">
        <v>30</v>
      </c>
      <c r="H20" s="25">
        <v>30</v>
      </c>
      <c r="I20" s="25">
        <f t="shared" si="1"/>
        <v>0</v>
      </c>
      <c r="J20" s="24" t="s">
        <v>1580</v>
      </c>
      <c r="K20" s="24" t="s">
        <v>21</v>
      </c>
      <c r="L20" s="24" t="s">
        <v>1570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313</v>
      </c>
      <c r="D21" s="24" t="s">
        <v>1619</v>
      </c>
      <c r="E21" s="24" t="s">
        <v>1620</v>
      </c>
      <c r="F21" s="24" t="s">
        <v>88</v>
      </c>
      <c r="G21" s="25">
        <v>0</v>
      </c>
      <c r="H21" s="25">
        <v>25</v>
      </c>
      <c r="I21" s="25">
        <f t="shared" si="1"/>
        <v>-25</v>
      </c>
      <c r="J21" s="24" t="s">
        <v>21</v>
      </c>
      <c r="K21" s="24" t="s">
        <v>21</v>
      </c>
      <c r="L21" s="24" t="s">
        <v>1570</v>
      </c>
      <c r="M21" s="41" t="s">
        <v>1621</v>
      </c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1622</v>
      </c>
      <c r="D22" s="24" t="s">
        <v>1623</v>
      </c>
      <c r="E22" s="24" t="s">
        <v>1624</v>
      </c>
      <c r="F22" s="24" t="s">
        <v>72</v>
      </c>
      <c r="G22" s="25">
        <v>0</v>
      </c>
      <c r="H22" s="25">
        <v>25</v>
      </c>
      <c r="I22" s="25">
        <f>-H22</f>
        <v>-25</v>
      </c>
      <c r="J22" s="24" t="s">
        <v>21</v>
      </c>
      <c r="K22" s="24" t="s">
        <v>21</v>
      </c>
      <c r="L22" s="24" t="s">
        <v>1570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1011</v>
      </c>
      <c r="D23" s="24" t="s">
        <v>1625</v>
      </c>
      <c r="E23" s="24" t="s">
        <v>1626</v>
      </c>
      <c r="F23" s="24" t="s">
        <v>68</v>
      </c>
      <c r="G23" s="25">
        <v>0</v>
      </c>
      <c r="H23" s="25">
        <v>20</v>
      </c>
      <c r="I23" s="25">
        <f>-H23</f>
        <v>-20</v>
      </c>
      <c r="J23" s="24" t="s">
        <v>21</v>
      </c>
      <c r="K23" s="24" t="s">
        <v>21</v>
      </c>
      <c r="L23" s="24" t="s">
        <v>1570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1627</v>
      </c>
      <c r="D24" s="24" t="s">
        <v>1628</v>
      </c>
      <c r="E24" s="24" t="s">
        <v>1629</v>
      </c>
      <c r="F24" s="24" t="s">
        <v>68</v>
      </c>
      <c r="G24" s="25">
        <v>1700</v>
      </c>
      <c r="H24" s="25">
        <v>20</v>
      </c>
      <c r="I24" s="25">
        <f>G24-H24</f>
        <v>1680</v>
      </c>
      <c r="J24" s="24" t="s">
        <v>21</v>
      </c>
      <c r="K24" s="24" t="s">
        <v>21</v>
      </c>
      <c r="L24" s="24" t="s">
        <v>1570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1630</v>
      </c>
      <c r="D25" s="24" t="s">
        <v>1631</v>
      </c>
      <c r="E25" s="24" t="s">
        <v>1632</v>
      </c>
      <c r="F25" s="25">
        <v>2</v>
      </c>
      <c r="G25" s="25">
        <v>820</v>
      </c>
      <c r="H25" s="25">
        <v>30</v>
      </c>
      <c r="I25" s="25">
        <f>G25-H25</f>
        <v>790</v>
      </c>
      <c r="J25" s="24" t="s">
        <v>21</v>
      </c>
      <c r="K25" s="24" t="s">
        <v>21</v>
      </c>
      <c r="L25" s="24" t="s">
        <v>1570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1633</v>
      </c>
      <c r="D26" s="24" t="s">
        <v>1634</v>
      </c>
      <c r="E26" s="24" t="s">
        <v>1635</v>
      </c>
      <c r="F26" s="24" t="s">
        <v>153</v>
      </c>
      <c r="G26" s="25">
        <v>1960</v>
      </c>
      <c r="H26" s="25">
        <v>30</v>
      </c>
      <c r="I26" s="25">
        <f>G26-H26</f>
        <v>1930</v>
      </c>
      <c r="J26" s="24" t="s">
        <v>21</v>
      </c>
      <c r="K26" s="24" t="s">
        <v>21</v>
      </c>
      <c r="L26" s="24" t="s">
        <v>1570</v>
      </c>
      <c r="M26" s="31" t="s">
        <v>398</v>
      </c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1636</v>
      </c>
      <c r="D27" s="24" t="s">
        <v>1637</v>
      </c>
      <c r="E27" s="24" t="s">
        <v>1638</v>
      </c>
      <c r="F27" s="24" t="s">
        <v>72</v>
      </c>
      <c r="G27" s="25">
        <v>475</v>
      </c>
      <c r="H27" s="25">
        <v>25</v>
      </c>
      <c r="I27" s="25">
        <f>G27-H27</f>
        <v>450</v>
      </c>
      <c r="J27" s="24" t="s">
        <v>21</v>
      </c>
      <c r="K27" s="24" t="s">
        <v>21</v>
      </c>
      <c r="L27" s="24" t="s">
        <v>1570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136</v>
      </c>
      <c r="D28" s="24" t="s">
        <v>1639</v>
      </c>
      <c r="E28" s="24" t="s">
        <v>138</v>
      </c>
      <c r="F28" s="24" t="s">
        <v>68</v>
      </c>
      <c r="G28" s="25">
        <v>0</v>
      </c>
      <c r="H28" s="25">
        <v>20</v>
      </c>
      <c r="I28" s="25">
        <f>-H28</f>
        <v>-20</v>
      </c>
      <c r="J28" s="24" t="s">
        <v>21</v>
      </c>
      <c r="K28" s="24" t="s">
        <v>21</v>
      </c>
      <c r="L28" s="24" t="s">
        <v>1570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1640</v>
      </c>
      <c r="D29" s="24" t="s">
        <v>1641</v>
      </c>
      <c r="E29" s="24" t="s">
        <v>1642</v>
      </c>
      <c r="F29" s="24" t="s">
        <v>72</v>
      </c>
      <c r="G29" s="25">
        <v>745</v>
      </c>
      <c r="H29" s="25">
        <v>25</v>
      </c>
      <c r="I29" s="25">
        <f>G29-H29</f>
        <v>720</v>
      </c>
      <c r="J29" s="24" t="s">
        <v>21</v>
      </c>
      <c r="K29" s="24" t="s">
        <v>21</v>
      </c>
      <c r="L29" s="24" t="s">
        <v>1570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1643</v>
      </c>
      <c r="D30" s="24" t="s">
        <v>1644</v>
      </c>
      <c r="E30" s="24" t="s">
        <v>416</v>
      </c>
      <c r="F30" s="25">
        <v>12</v>
      </c>
      <c r="G30" s="25">
        <v>0</v>
      </c>
      <c r="H30" s="25">
        <v>30</v>
      </c>
      <c r="I30" s="25">
        <f>-H30</f>
        <v>-30</v>
      </c>
      <c r="J30" s="24" t="s">
        <v>21</v>
      </c>
      <c r="K30" s="24" t="s">
        <v>21</v>
      </c>
      <c r="L30" s="24" t="s">
        <v>1570</v>
      </c>
      <c r="M30" s="24"/>
      <c r="N30" s="24"/>
      <c r="O30" s="24"/>
      <c r="P30" s="24"/>
      <c r="Q30" s="24">
        <v>1</v>
      </c>
    </row>
    <row r="31" spans="1:17" x14ac:dyDescent="0.25">
      <c r="A31" s="24" t="s">
        <v>62</v>
      </c>
      <c r="B31" s="24" t="s">
        <v>16</v>
      </c>
      <c r="C31" s="24" t="s">
        <v>1645</v>
      </c>
      <c r="D31" s="24"/>
      <c r="E31" s="24" t="s">
        <v>1646</v>
      </c>
      <c r="F31" s="24" t="s">
        <v>72</v>
      </c>
      <c r="G31" s="25">
        <v>0</v>
      </c>
      <c r="H31" s="25">
        <v>30</v>
      </c>
      <c r="I31" s="25">
        <f>-H31</f>
        <v>-30</v>
      </c>
      <c r="J31" s="24" t="s">
        <v>21</v>
      </c>
      <c r="K31" s="24" t="s">
        <v>21</v>
      </c>
      <c r="L31" s="24" t="s">
        <v>1570</v>
      </c>
      <c r="M31" s="24"/>
      <c r="N31" s="24"/>
      <c r="O31" s="24"/>
      <c r="P31" s="24"/>
      <c r="Q31" s="24">
        <v>1</v>
      </c>
    </row>
    <row r="32" spans="1:17" x14ac:dyDescent="0.25">
      <c r="A32" s="24" t="s">
        <v>62</v>
      </c>
      <c r="B32" s="24" t="s">
        <v>16</v>
      </c>
      <c r="C32" s="24" t="s">
        <v>1647</v>
      </c>
      <c r="D32" s="24"/>
      <c r="E32" s="24" t="s">
        <v>146</v>
      </c>
      <c r="F32" s="24" t="s">
        <v>88</v>
      </c>
      <c r="G32" s="25">
        <v>970</v>
      </c>
      <c r="H32" s="25">
        <v>30</v>
      </c>
      <c r="I32" s="25">
        <f t="shared" ref="I32:I41" si="2">G32-H32</f>
        <v>940</v>
      </c>
      <c r="J32" s="24" t="s">
        <v>21</v>
      </c>
      <c r="K32" s="24" t="s">
        <v>21</v>
      </c>
      <c r="L32" s="24" t="s">
        <v>1570</v>
      </c>
      <c r="M32" s="24"/>
      <c r="N32" s="24"/>
      <c r="O32" s="24"/>
      <c r="P32" s="24"/>
      <c r="Q32" s="24">
        <v>1</v>
      </c>
    </row>
    <row r="33" spans="1:17" x14ac:dyDescent="0.25">
      <c r="A33" s="24" t="s">
        <v>62</v>
      </c>
      <c r="B33" s="24" t="s">
        <v>16</v>
      </c>
      <c r="C33" s="24" t="s">
        <v>1648</v>
      </c>
      <c r="D33" s="24"/>
      <c r="E33" s="24" t="s">
        <v>1649</v>
      </c>
      <c r="F33" s="24" t="s">
        <v>72</v>
      </c>
      <c r="G33" s="25">
        <v>30</v>
      </c>
      <c r="H33" s="25">
        <v>30</v>
      </c>
      <c r="I33" s="25">
        <f t="shared" si="2"/>
        <v>0</v>
      </c>
      <c r="J33" s="24" t="s">
        <v>21</v>
      </c>
      <c r="K33" s="24" t="s">
        <v>21</v>
      </c>
      <c r="L33" s="24" t="s">
        <v>1570</v>
      </c>
      <c r="M33" s="24"/>
      <c r="N33" s="24"/>
      <c r="O33" s="24"/>
      <c r="P33" s="24"/>
      <c r="Q33" s="24">
        <v>1</v>
      </c>
    </row>
    <row r="34" spans="1:17" x14ac:dyDescent="0.25">
      <c r="A34" s="24" t="s">
        <v>62</v>
      </c>
      <c r="B34" s="24" t="s">
        <v>16</v>
      </c>
      <c r="C34" s="24" t="s">
        <v>1650</v>
      </c>
      <c r="D34" s="24"/>
      <c r="E34" s="24" t="s">
        <v>935</v>
      </c>
      <c r="F34" s="24" t="s">
        <v>88</v>
      </c>
      <c r="G34" s="25">
        <v>30</v>
      </c>
      <c r="H34" s="25">
        <v>30</v>
      </c>
      <c r="I34" s="25">
        <f t="shared" si="2"/>
        <v>0</v>
      </c>
      <c r="J34" s="24" t="s">
        <v>21</v>
      </c>
      <c r="K34" s="24" t="s">
        <v>21</v>
      </c>
      <c r="L34" s="24" t="s">
        <v>1570</v>
      </c>
      <c r="M34" s="24"/>
      <c r="N34" s="24"/>
      <c r="O34" s="24"/>
      <c r="P34" s="24"/>
      <c r="Q34" s="24">
        <v>1</v>
      </c>
    </row>
    <row r="35" spans="1:17" x14ac:dyDescent="0.25">
      <c r="A35" s="24" t="s">
        <v>62</v>
      </c>
      <c r="B35" s="24" t="s">
        <v>16</v>
      </c>
      <c r="C35" s="24" t="s">
        <v>582</v>
      </c>
      <c r="D35" s="24"/>
      <c r="E35" s="24" t="s">
        <v>583</v>
      </c>
      <c r="F35" s="24" t="s">
        <v>72</v>
      </c>
      <c r="G35" s="25">
        <v>30</v>
      </c>
      <c r="H35" s="25">
        <v>30</v>
      </c>
      <c r="I35" s="25">
        <f t="shared" si="2"/>
        <v>0</v>
      </c>
      <c r="J35" s="24" t="s">
        <v>21</v>
      </c>
      <c r="K35" s="24" t="s">
        <v>21</v>
      </c>
      <c r="L35" s="24" t="s">
        <v>1570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429</v>
      </c>
      <c r="D36" s="24" t="s">
        <v>1651</v>
      </c>
      <c r="E36" s="24" t="s">
        <v>1652</v>
      </c>
      <c r="F36" s="25">
        <v>4</v>
      </c>
      <c r="G36" s="25">
        <v>775</v>
      </c>
      <c r="H36" s="25">
        <v>25</v>
      </c>
      <c r="I36" s="25">
        <f t="shared" si="2"/>
        <v>750</v>
      </c>
      <c r="J36" s="24" t="s">
        <v>165</v>
      </c>
      <c r="K36" s="24" t="s">
        <v>21</v>
      </c>
      <c r="L36" s="24" t="s">
        <v>1570</v>
      </c>
      <c r="M36" s="24"/>
      <c r="N36" s="24"/>
      <c r="O36" s="24"/>
      <c r="P36" s="24"/>
      <c r="Q36" s="24">
        <v>1</v>
      </c>
    </row>
    <row r="37" spans="1:17" x14ac:dyDescent="0.25">
      <c r="A37" s="24"/>
      <c r="B37" s="24" t="s">
        <v>16</v>
      </c>
      <c r="C37" s="24" t="s">
        <v>1653</v>
      </c>
      <c r="D37" s="24" t="s">
        <v>1654</v>
      </c>
      <c r="E37" s="24" t="s">
        <v>1655</v>
      </c>
      <c r="F37" s="25">
        <v>3</v>
      </c>
      <c r="G37" s="25">
        <v>775</v>
      </c>
      <c r="H37" s="25">
        <v>25</v>
      </c>
      <c r="I37" s="25">
        <f t="shared" si="2"/>
        <v>750</v>
      </c>
      <c r="J37" s="24" t="s">
        <v>165</v>
      </c>
      <c r="K37" s="24" t="s">
        <v>21</v>
      </c>
      <c r="L37" s="24" t="s">
        <v>1570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729</v>
      </c>
      <c r="D38" s="24" t="s">
        <v>1656</v>
      </c>
      <c r="E38" s="24" t="s">
        <v>1421</v>
      </c>
      <c r="F38" s="25">
        <v>1</v>
      </c>
      <c r="G38" s="25">
        <v>895</v>
      </c>
      <c r="H38" s="25">
        <v>25</v>
      </c>
      <c r="I38" s="25">
        <f t="shared" si="2"/>
        <v>870</v>
      </c>
      <c r="J38" s="24" t="s">
        <v>165</v>
      </c>
      <c r="K38" s="24" t="s">
        <v>21</v>
      </c>
      <c r="L38" s="24" t="s">
        <v>1570</v>
      </c>
      <c r="M38" s="31" t="s">
        <v>312</v>
      </c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729</v>
      </c>
      <c r="D39" s="24" t="s">
        <v>1657</v>
      </c>
      <c r="E39" s="24" t="s">
        <v>1421</v>
      </c>
      <c r="F39" s="25">
        <v>1</v>
      </c>
      <c r="G39" s="25">
        <v>890</v>
      </c>
      <c r="H39" s="25">
        <v>0</v>
      </c>
      <c r="I39" s="25">
        <f t="shared" si="2"/>
        <v>890</v>
      </c>
      <c r="J39" s="24" t="s">
        <v>165</v>
      </c>
      <c r="K39" s="24" t="s">
        <v>21</v>
      </c>
      <c r="L39" s="24" t="s">
        <v>1570</v>
      </c>
      <c r="M39" s="31" t="s">
        <v>312</v>
      </c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1658</v>
      </c>
      <c r="D40" s="24" t="s">
        <v>1659</v>
      </c>
      <c r="E40" s="24" t="s">
        <v>1660</v>
      </c>
      <c r="F40" s="24" t="s">
        <v>85</v>
      </c>
      <c r="G40" s="25">
        <v>590</v>
      </c>
      <c r="H40" s="25">
        <v>20</v>
      </c>
      <c r="I40" s="25">
        <f t="shared" si="2"/>
        <v>570</v>
      </c>
      <c r="J40" s="24" t="s">
        <v>165</v>
      </c>
      <c r="K40" s="24" t="s">
        <v>21</v>
      </c>
      <c r="L40" s="24" t="s">
        <v>1570</v>
      </c>
      <c r="M40" s="24"/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1661</v>
      </c>
      <c r="D41" s="24" t="s">
        <v>1662</v>
      </c>
      <c r="E41" s="24" t="s">
        <v>1663</v>
      </c>
      <c r="F41" s="25">
        <v>10</v>
      </c>
      <c r="G41" s="25">
        <v>845</v>
      </c>
      <c r="H41" s="25">
        <v>25</v>
      </c>
      <c r="I41" s="25">
        <f t="shared" si="2"/>
        <v>820</v>
      </c>
      <c r="J41" s="24" t="s">
        <v>165</v>
      </c>
      <c r="K41" s="24" t="s">
        <v>21</v>
      </c>
      <c r="L41" s="24" t="s">
        <v>1570</v>
      </c>
      <c r="M41" s="24"/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1664</v>
      </c>
      <c r="D42" s="24" t="s">
        <v>1665</v>
      </c>
      <c r="E42" s="24" t="s">
        <v>1666</v>
      </c>
      <c r="F42" s="25">
        <v>10</v>
      </c>
      <c r="G42" s="25">
        <v>0</v>
      </c>
      <c r="H42" s="25">
        <v>25</v>
      </c>
      <c r="I42" s="25">
        <f>-H42</f>
        <v>-25</v>
      </c>
      <c r="J42" s="24" t="s">
        <v>165</v>
      </c>
      <c r="K42" s="24" t="s">
        <v>21</v>
      </c>
      <c r="L42" s="24" t="s">
        <v>1570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1667</v>
      </c>
      <c r="D43" s="24" t="s">
        <v>1668</v>
      </c>
      <c r="E43" s="24" t="s">
        <v>1669</v>
      </c>
      <c r="F43" s="24" t="s">
        <v>88</v>
      </c>
      <c r="G43" s="25">
        <v>1515</v>
      </c>
      <c r="H43" s="25">
        <v>25</v>
      </c>
      <c r="I43" s="25">
        <f t="shared" ref="I43:I53" si="3">G43-H43</f>
        <v>1490</v>
      </c>
      <c r="J43" s="24" t="s">
        <v>165</v>
      </c>
      <c r="K43" s="24" t="s">
        <v>21</v>
      </c>
      <c r="L43" s="24" t="s">
        <v>1570</v>
      </c>
      <c r="M43" s="24"/>
      <c r="N43" s="24"/>
      <c r="O43" s="24"/>
      <c r="P43" s="24"/>
      <c r="Q43" s="24">
        <v>1</v>
      </c>
    </row>
    <row r="44" spans="1:17" x14ac:dyDescent="0.25">
      <c r="A44" s="24"/>
      <c r="B44" s="24" t="s">
        <v>16</v>
      </c>
      <c r="C44" s="24" t="s">
        <v>1670</v>
      </c>
      <c r="D44" s="24" t="s">
        <v>1671</v>
      </c>
      <c r="E44" s="24" t="s">
        <v>1672</v>
      </c>
      <c r="F44" s="24" t="s">
        <v>88</v>
      </c>
      <c r="G44" s="25">
        <v>915</v>
      </c>
      <c r="H44" s="25">
        <v>25</v>
      </c>
      <c r="I44" s="25">
        <f t="shared" si="3"/>
        <v>890</v>
      </c>
      <c r="J44" s="24" t="s">
        <v>165</v>
      </c>
      <c r="K44" s="24" t="s">
        <v>21</v>
      </c>
      <c r="L44" s="24" t="s">
        <v>1570</v>
      </c>
      <c r="M44" s="24"/>
      <c r="N44" s="24"/>
      <c r="O44" s="24"/>
      <c r="P44" s="24"/>
      <c r="Q44" s="24">
        <v>1</v>
      </c>
    </row>
    <row r="45" spans="1:17" x14ac:dyDescent="0.25">
      <c r="A45" s="24"/>
      <c r="B45" s="24" t="s">
        <v>16</v>
      </c>
      <c r="C45" s="24" t="s">
        <v>1673</v>
      </c>
      <c r="D45" s="24" t="s">
        <v>1674</v>
      </c>
      <c r="E45" s="24" t="s">
        <v>1675</v>
      </c>
      <c r="F45" s="25">
        <v>1</v>
      </c>
      <c r="G45" s="25">
        <v>725</v>
      </c>
      <c r="H45" s="25">
        <v>25</v>
      </c>
      <c r="I45" s="25">
        <f t="shared" si="3"/>
        <v>700</v>
      </c>
      <c r="J45" s="24" t="s">
        <v>165</v>
      </c>
      <c r="K45" s="24" t="s">
        <v>21</v>
      </c>
      <c r="L45" s="24" t="s">
        <v>1570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1676</v>
      </c>
      <c r="D46" s="24" t="s">
        <v>1677</v>
      </c>
      <c r="E46" s="24" t="s">
        <v>1678</v>
      </c>
      <c r="F46" s="24" t="s">
        <v>85</v>
      </c>
      <c r="G46" s="25">
        <v>690</v>
      </c>
      <c r="H46" s="25">
        <v>20</v>
      </c>
      <c r="I46" s="25">
        <f t="shared" si="3"/>
        <v>670</v>
      </c>
      <c r="J46" s="24" t="s">
        <v>165</v>
      </c>
      <c r="K46" s="24" t="s">
        <v>21</v>
      </c>
      <c r="L46" s="24" t="s">
        <v>1570</v>
      </c>
      <c r="M46" s="24"/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1679</v>
      </c>
      <c r="D47" s="24" t="s">
        <v>1680</v>
      </c>
      <c r="E47" s="24" t="s">
        <v>1681</v>
      </c>
      <c r="F47" s="25">
        <v>10</v>
      </c>
      <c r="G47" s="25">
        <v>845</v>
      </c>
      <c r="H47" s="25">
        <v>25</v>
      </c>
      <c r="I47" s="25">
        <f t="shared" si="3"/>
        <v>820</v>
      </c>
      <c r="J47" s="24" t="s">
        <v>165</v>
      </c>
      <c r="K47" s="24" t="s">
        <v>21</v>
      </c>
      <c r="L47" s="24" t="s">
        <v>1570</v>
      </c>
      <c r="M47" s="24"/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1682</v>
      </c>
      <c r="D48" s="24" t="s">
        <v>1683</v>
      </c>
      <c r="E48" s="24" t="s">
        <v>1684</v>
      </c>
      <c r="F48" s="25">
        <v>5</v>
      </c>
      <c r="G48" s="25">
        <v>595</v>
      </c>
      <c r="H48" s="25">
        <v>25</v>
      </c>
      <c r="I48" s="25">
        <f t="shared" si="3"/>
        <v>570</v>
      </c>
      <c r="J48" s="24" t="s">
        <v>165</v>
      </c>
      <c r="K48" s="24" t="s">
        <v>21</v>
      </c>
      <c r="L48" s="24" t="s">
        <v>1570</v>
      </c>
      <c r="M48" s="24"/>
      <c r="N48" s="24"/>
      <c r="O48" s="24"/>
      <c r="P48" s="24"/>
      <c r="Q48" s="24">
        <v>1</v>
      </c>
    </row>
    <row r="49" spans="1:17" x14ac:dyDescent="0.25">
      <c r="A49" s="24"/>
      <c r="B49" s="24" t="s">
        <v>16</v>
      </c>
      <c r="C49" s="24" t="s">
        <v>481</v>
      </c>
      <c r="D49" s="24" t="s">
        <v>1685</v>
      </c>
      <c r="E49" s="24" t="s">
        <v>483</v>
      </c>
      <c r="F49" s="25">
        <v>4</v>
      </c>
      <c r="G49" s="25">
        <v>1015</v>
      </c>
      <c r="H49" s="25">
        <v>25</v>
      </c>
      <c r="I49" s="25">
        <f t="shared" si="3"/>
        <v>990</v>
      </c>
      <c r="J49" s="24" t="s">
        <v>165</v>
      </c>
      <c r="K49" s="24" t="s">
        <v>21</v>
      </c>
      <c r="L49" s="24" t="s">
        <v>1570</v>
      </c>
      <c r="M49" s="24"/>
      <c r="N49" s="24"/>
      <c r="O49" s="24"/>
      <c r="P49" s="24"/>
      <c r="Q49" s="24">
        <v>1</v>
      </c>
    </row>
    <row r="50" spans="1:17" x14ac:dyDescent="0.25">
      <c r="A50" s="24"/>
      <c r="B50" s="24" t="s">
        <v>16</v>
      </c>
      <c r="C50" s="24" t="s">
        <v>748</v>
      </c>
      <c r="D50" s="24" t="s">
        <v>1686</v>
      </c>
      <c r="E50" s="24" t="s">
        <v>1687</v>
      </c>
      <c r="F50" s="25">
        <v>1</v>
      </c>
      <c r="G50" s="25">
        <v>400</v>
      </c>
      <c r="H50" s="25">
        <v>20</v>
      </c>
      <c r="I50" s="25">
        <f t="shared" si="3"/>
        <v>380</v>
      </c>
      <c r="J50" s="24" t="s">
        <v>165</v>
      </c>
      <c r="K50" s="24" t="s">
        <v>21</v>
      </c>
      <c r="L50" s="24" t="s">
        <v>1570</v>
      </c>
      <c r="M50" s="24"/>
      <c r="N50" s="24"/>
      <c r="O50" s="24"/>
      <c r="P50" s="24"/>
      <c r="Q50" s="24">
        <v>1</v>
      </c>
    </row>
    <row r="51" spans="1:17" x14ac:dyDescent="0.25">
      <c r="A51" s="24"/>
      <c r="B51" s="24" t="s">
        <v>16</v>
      </c>
      <c r="C51" s="24" t="s">
        <v>651</v>
      </c>
      <c r="D51" s="24" t="s">
        <v>1688</v>
      </c>
      <c r="E51" s="24" t="s">
        <v>653</v>
      </c>
      <c r="F51" s="24" t="s">
        <v>88</v>
      </c>
      <c r="G51" s="25">
        <v>875</v>
      </c>
      <c r="H51" s="25">
        <v>25</v>
      </c>
      <c r="I51" s="25">
        <f t="shared" si="3"/>
        <v>850</v>
      </c>
      <c r="J51" s="24" t="s">
        <v>165</v>
      </c>
      <c r="K51" s="24" t="s">
        <v>21</v>
      </c>
      <c r="L51" s="24" t="s">
        <v>1570</v>
      </c>
      <c r="M51" s="24"/>
      <c r="N51" s="24"/>
      <c r="O51" s="24"/>
      <c r="P51" s="24"/>
      <c r="Q51" s="24">
        <v>1</v>
      </c>
    </row>
    <row r="52" spans="1:17" x14ac:dyDescent="0.25">
      <c r="A52" s="24"/>
      <c r="B52" s="24" t="s">
        <v>16</v>
      </c>
      <c r="C52" s="24" t="s">
        <v>1689</v>
      </c>
      <c r="D52" s="24" t="s">
        <v>1690</v>
      </c>
      <c r="E52" s="24" t="s">
        <v>1691</v>
      </c>
      <c r="F52" s="25">
        <v>1</v>
      </c>
      <c r="G52" s="25">
        <v>1665</v>
      </c>
      <c r="H52" s="25">
        <v>25</v>
      </c>
      <c r="I52" s="25">
        <f t="shared" si="3"/>
        <v>1640</v>
      </c>
      <c r="J52" s="24" t="s">
        <v>165</v>
      </c>
      <c r="K52" s="24" t="s">
        <v>21</v>
      </c>
      <c r="L52" s="24" t="s">
        <v>1570</v>
      </c>
      <c r="M52" s="24"/>
      <c r="N52" s="24"/>
      <c r="O52" s="24"/>
      <c r="P52" s="24"/>
      <c r="Q52" s="24">
        <v>1</v>
      </c>
    </row>
    <row r="53" spans="1:17" x14ac:dyDescent="0.25">
      <c r="A53" s="24" t="s">
        <v>62</v>
      </c>
      <c r="B53" s="24" t="s">
        <v>16</v>
      </c>
      <c r="C53" s="24" t="s">
        <v>1692</v>
      </c>
      <c r="D53" s="24"/>
      <c r="E53" s="24" t="s">
        <v>1693</v>
      </c>
      <c r="F53" s="24" t="s">
        <v>88</v>
      </c>
      <c r="G53" s="25">
        <v>35</v>
      </c>
      <c r="H53" s="25">
        <v>35</v>
      </c>
      <c r="I53" s="25">
        <f t="shared" si="3"/>
        <v>0</v>
      </c>
      <c r="J53" s="24" t="s">
        <v>165</v>
      </c>
      <c r="K53" s="24" t="s">
        <v>21</v>
      </c>
      <c r="L53" s="24" t="s">
        <v>1570</v>
      </c>
      <c r="M53" s="24"/>
      <c r="N53" s="24"/>
      <c r="O53" s="24"/>
      <c r="P53" s="24"/>
      <c r="Q53" s="24">
        <v>1</v>
      </c>
    </row>
    <row r="55" spans="1:17" x14ac:dyDescent="0.25">
      <c r="D55" s="7">
        <f>COUNTA(D3:D53)</f>
        <v>43</v>
      </c>
      <c r="G55" s="7">
        <f t="shared" ref="G55:Q55" si="4">SUBTOTAL(9,G3:G53)</f>
        <v>31835</v>
      </c>
      <c r="H55" s="7">
        <f t="shared" si="4"/>
        <v>1355</v>
      </c>
      <c r="I55" s="7">
        <f t="shared" si="4"/>
        <v>30480</v>
      </c>
      <c r="J55" s="7">
        <f t="shared" si="4"/>
        <v>0</v>
      </c>
      <c r="K55" s="7">
        <f t="shared" si="4"/>
        <v>0</v>
      </c>
      <c r="L55" s="7">
        <f t="shared" si="4"/>
        <v>0</v>
      </c>
      <c r="M55" s="7">
        <f t="shared" si="4"/>
        <v>0</v>
      </c>
      <c r="N55" s="7">
        <f t="shared" si="4"/>
        <v>0</v>
      </c>
      <c r="O55" s="7">
        <f t="shared" si="4"/>
        <v>0</v>
      </c>
      <c r="P55" s="7">
        <f t="shared" si="4"/>
        <v>0</v>
      </c>
      <c r="Q55" s="7">
        <f t="shared" si="4"/>
        <v>51</v>
      </c>
    </row>
    <row r="56" spans="1:17" x14ac:dyDescent="0.25">
      <c r="H56">
        <f>-9*17</f>
        <v>-153</v>
      </c>
    </row>
    <row r="57" spans="1:17" x14ac:dyDescent="0.25">
      <c r="A57" s="7" t="s">
        <v>16</v>
      </c>
      <c r="C57" s="6" t="s">
        <v>89</v>
      </c>
      <c r="D57" s="6"/>
      <c r="E57" s="10" t="s">
        <v>90</v>
      </c>
      <c r="H57">
        <f>-4*25</f>
        <v>-100</v>
      </c>
      <c r="K57" s="13" t="s">
        <v>165</v>
      </c>
      <c r="L57" s="13" t="s">
        <v>91</v>
      </c>
      <c r="M57" s="13" t="s">
        <v>90</v>
      </c>
      <c r="O57" s="10" t="s">
        <v>92</v>
      </c>
    </row>
    <row r="58" spans="1:17" x14ac:dyDescent="0.25">
      <c r="A58" t="s">
        <v>1570</v>
      </c>
      <c r="B58" s="9" t="s">
        <v>93</v>
      </c>
      <c r="C58" s="5">
        <f>SUMIFS(I$3:I$53,B$3:B$53,A$57,L$3:L$53,A$58)</f>
        <v>30480</v>
      </c>
      <c r="D58" s="5"/>
      <c r="E58" s="9">
        <f>SUMIFS(Q$3:Q$53,B$3:B$53,A$57,L$3:L$53,A$58)</f>
        <v>51</v>
      </c>
      <c r="F58" t="s">
        <v>94</v>
      </c>
      <c r="H58">
        <f>-2*30</f>
        <v>-60</v>
      </c>
      <c r="K58" t="s">
        <v>95</v>
      </c>
      <c r="L58">
        <f>SUMIFS(G$3:G$53,J$3:J$53,K$57)</f>
        <v>14045</v>
      </c>
      <c r="M58">
        <f>SUMIFS(Q$3:Q$53,J$3:J$53,K$57)</f>
        <v>18</v>
      </c>
      <c r="O58" t="s">
        <v>165</v>
      </c>
      <c r="P58">
        <f>L63</f>
        <v>13705</v>
      </c>
    </row>
    <row r="59" spans="1:17" x14ac:dyDescent="0.25">
      <c r="B59" s="8" t="s">
        <v>97</v>
      </c>
      <c r="C59" s="4">
        <v>0</v>
      </c>
      <c r="D59" s="4"/>
      <c r="K59" t="s">
        <v>98</v>
      </c>
      <c r="L59">
        <f>-SUMIFS(H$3:H$53,J$3:J$53,K$57)+M59*5</f>
        <v>-340</v>
      </c>
      <c r="M59">
        <f>SUMIFS(Q$3:Q$53,J$3:J$53,K$57)-COUNTIFS(J$3:J$53,K$57,M$3:M$53,"*gộp*")</f>
        <v>16</v>
      </c>
      <c r="O59" t="s">
        <v>21</v>
      </c>
      <c r="P59">
        <f>L71</f>
        <v>6335</v>
      </c>
    </row>
    <row r="60" spans="1:17" x14ac:dyDescent="0.25">
      <c r="B60" s="8" t="s">
        <v>99</v>
      </c>
      <c r="C60" s="4">
        <f>-SUMIFS(I$3:I$53,B$3:B$53,A$57,P$3:P$53,"xx",N$3:N$53,"x")</f>
        <v>0</v>
      </c>
      <c r="D60" s="4"/>
      <c r="E60" s="8">
        <f>SUMIFS(Q$3:Q$53,B$3:B$53,A$57,P$3:P$53,"xx",N$3:N$53,"x")</f>
        <v>0</v>
      </c>
      <c r="K60" t="s">
        <v>100</v>
      </c>
      <c r="O60" t="s">
        <v>20</v>
      </c>
      <c r="P60">
        <f>L79</f>
        <v>1495</v>
      </c>
    </row>
    <row r="61" spans="1:17" x14ac:dyDescent="0.25">
      <c r="B61" s="10" t="s">
        <v>101</v>
      </c>
      <c r="C61" s="6">
        <f>SUBTOTAL(9,C58:C60)</f>
        <v>30480</v>
      </c>
      <c r="D61" s="6"/>
      <c r="E61">
        <f>E58</f>
        <v>51</v>
      </c>
      <c r="K61" s="8" t="s">
        <v>102</v>
      </c>
      <c r="O61" t="s">
        <v>1694</v>
      </c>
      <c r="P61">
        <f>L87</f>
        <v>9147</v>
      </c>
    </row>
    <row r="62" spans="1:17" x14ac:dyDescent="0.25">
      <c r="B62" s="8" t="s">
        <v>104</v>
      </c>
      <c r="C62" s="3"/>
      <c r="D62" s="3"/>
      <c r="K62" s="8" t="s">
        <v>105</v>
      </c>
      <c r="O62" t="s">
        <v>103</v>
      </c>
      <c r="P62">
        <f>-C65</f>
        <v>-30480</v>
      </c>
    </row>
    <row r="63" spans="1:17" x14ac:dyDescent="0.25">
      <c r="B63" s="14" t="s">
        <v>107</v>
      </c>
      <c r="C63" s="3"/>
      <c r="D63" s="3"/>
      <c r="L63" s="15">
        <f>SUBTOTAL(9,L58:L62)</f>
        <v>13705</v>
      </c>
      <c r="M63" s="15">
        <f>M58</f>
        <v>18</v>
      </c>
      <c r="O63" s="10" t="s">
        <v>106</v>
      </c>
      <c r="P63" s="10">
        <f>SUBTOTAL(9,P58:P62)</f>
        <v>202</v>
      </c>
    </row>
    <row r="65" spans="2:13" x14ac:dyDescent="0.25">
      <c r="B65" s="7" t="s">
        <v>108</v>
      </c>
      <c r="C65" s="2">
        <f>C61+C62+C63</f>
        <v>30480</v>
      </c>
      <c r="D65" s="2"/>
      <c r="E65" s="7" t="s">
        <v>109</v>
      </c>
      <c r="K65" s="13" t="s">
        <v>21</v>
      </c>
      <c r="L65" s="13" t="s">
        <v>91</v>
      </c>
      <c r="M65" s="13" t="s">
        <v>90</v>
      </c>
    </row>
    <row r="66" spans="2:13" x14ac:dyDescent="0.25">
      <c r="K66" t="s">
        <v>95</v>
      </c>
      <c r="L66">
        <f>SUMIFS(G$3:G$53,J$3:J$53,K$65)</f>
        <v>6760</v>
      </c>
      <c r="M66">
        <f>SUMIFS(Q$3:Q$53,J$3:J$53,K$65)</f>
        <v>15</v>
      </c>
    </row>
    <row r="67" spans="2:13" x14ac:dyDescent="0.25">
      <c r="K67" t="s">
        <v>98</v>
      </c>
      <c r="L67">
        <f>-SUMIFS(H$3:H$53,J$3:J$53,K$65)+M67*5</f>
        <v>-325</v>
      </c>
      <c r="M67">
        <f>SUMIFS(Q$3:Q$53,J$3:J$53,K$65)-COUNTIFS(J$3:J$53,K$65,M$3:M$53,"*gộp*")</f>
        <v>15</v>
      </c>
    </row>
    <row r="68" spans="2:13" x14ac:dyDescent="0.25">
      <c r="K68" t="s">
        <v>100</v>
      </c>
      <c r="L68">
        <f>-M68*2</f>
        <v>-100</v>
      </c>
      <c r="M68">
        <f>E61-(COUNTIFS(M$3:M$53,"*gộp*")/2)-COUNTIFS(M$3:M$53,"*đơn trả*")/2</f>
        <v>50</v>
      </c>
    </row>
    <row r="69" spans="2:13" x14ac:dyDescent="0.25">
      <c r="K69" s="8" t="s">
        <v>102</v>
      </c>
    </row>
    <row r="70" spans="2:13" x14ac:dyDescent="0.25">
      <c r="K70" s="8" t="s">
        <v>105</v>
      </c>
    </row>
    <row r="71" spans="2:13" x14ac:dyDescent="0.25">
      <c r="L71" s="15">
        <f>SUBTOTAL(9,L66:L70)</f>
        <v>6335</v>
      </c>
      <c r="M71" s="15">
        <f>M66</f>
        <v>15</v>
      </c>
    </row>
    <row r="73" spans="2:13" x14ac:dyDescent="0.25">
      <c r="K73" s="13" t="s">
        <v>20</v>
      </c>
      <c r="L73" s="13" t="s">
        <v>91</v>
      </c>
      <c r="M73" s="13" t="s">
        <v>90</v>
      </c>
    </row>
    <row r="74" spans="2:13" x14ac:dyDescent="0.25">
      <c r="K74" t="s">
        <v>95</v>
      </c>
      <c r="L74">
        <f>SUMIFS(G$3:G$53,J$3:J$53,K$73)</f>
        <v>1570</v>
      </c>
      <c r="M74">
        <f>SUMIFS(Q$3:Q$53,J$3:J$53,K$73)</f>
        <v>3</v>
      </c>
    </row>
    <row r="75" spans="2:13" x14ac:dyDescent="0.25">
      <c r="K75" t="s">
        <v>98</v>
      </c>
      <c r="L75">
        <f>-SUMIFS(H$3:H$53,J$3:J$53,K$73)+M75*5</f>
        <v>-75</v>
      </c>
      <c r="M75">
        <f>SUMIFS(Q$3:Q$53,J$3:J$53,K$73)-COUNTIFS(J$3:J$53,K$73,M$3:M$53,"*gộp*")</f>
        <v>3</v>
      </c>
    </row>
    <row r="76" spans="2:13" x14ac:dyDescent="0.25">
      <c r="K76" t="s">
        <v>100</v>
      </c>
    </row>
    <row r="77" spans="2:13" x14ac:dyDescent="0.25">
      <c r="K77" s="8" t="s">
        <v>102</v>
      </c>
    </row>
    <row r="78" spans="2:13" x14ac:dyDescent="0.25">
      <c r="K78" s="8" t="s">
        <v>105</v>
      </c>
    </row>
    <row r="79" spans="2:13" x14ac:dyDescent="0.25">
      <c r="L79" s="15">
        <f>SUBTOTAL(9,L74:L78)</f>
        <v>1495</v>
      </c>
      <c r="M79" s="15">
        <f>M74</f>
        <v>3</v>
      </c>
    </row>
    <row r="81" spans="11:13" x14ac:dyDescent="0.25">
      <c r="K81" s="13" t="s">
        <v>1580</v>
      </c>
      <c r="L81" s="13" t="s">
        <v>91</v>
      </c>
      <c r="M81" s="13" t="s">
        <v>90</v>
      </c>
    </row>
    <row r="82" spans="11:13" x14ac:dyDescent="0.25">
      <c r="K82" t="s">
        <v>95</v>
      </c>
      <c r="L82">
        <f>SUMIFS(G$3:G$53,J$3:J$53,K$81)</f>
        <v>9460</v>
      </c>
      <c r="M82">
        <f>SUMIFS(Q$3:Q$53,J$3:J$53,K$81)</f>
        <v>15</v>
      </c>
    </row>
    <row r="83" spans="11:13" x14ac:dyDescent="0.25">
      <c r="K83" t="s">
        <v>98</v>
      </c>
      <c r="L83">
        <f>SUM(H56:H58)</f>
        <v>-313</v>
      </c>
      <c r="M83">
        <f>SUMIFS(Q$3:Q$53,J$3:J$53,K$81)</f>
        <v>15</v>
      </c>
    </row>
    <row r="84" spans="11:13" x14ac:dyDescent="0.25">
      <c r="K84" t="s">
        <v>100</v>
      </c>
    </row>
    <row r="85" spans="11:13" x14ac:dyDescent="0.25">
      <c r="K85" s="8" t="s">
        <v>102</v>
      </c>
    </row>
    <row r="86" spans="11:13" x14ac:dyDescent="0.25">
      <c r="K86" s="8" t="s">
        <v>105</v>
      </c>
    </row>
    <row r="87" spans="11:13" x14ac:dyDescent="0.25">
      <c r="L87" s="15">
        <f>SUBTOTAL(9,L82:L86)</f>
        <v>9147</v>
      </c>
      <c r="M87" s="15">
        <f>M82</f>
        <v>15</v>
      </c>
    </row>
  </sheetData>
  <autoFilter ref="A2:P53" xr:uid="{00000000-0009-0000-0000-00000E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Q72"/>
  <sheetViews>
    <sheetView topLeftCell="A25" zoomScale="95" zoomScaleNormal="95" workbookViewId="0">
      <selection activeCell="C45" sqref="C45:D45"/>
    </sheetView>
  </sheetViews>
  <sheetFormatPr defaultRowHeight="15" x14ac:dyDescent="0.25"/>
  <cols>
    <col min="1" max="1" width="12.7109375" customWidth="1"/>
    <col min="2" max="2" width="17.7109375" customWidth="1"/>
    <col min="3" max="3" width="26.7109375" customWidth="1"/>
    <col min="4" max="4" width="9.85546875" customWidth="1"/>
    <col min="5" max="5" width="71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34.28515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3" t="s">
        <v>324</v>
      </c>
    </row>
    <row r="3" spans="1:17" x14ac:dyDescent="0.25">
      <c r="A3" s="24"/>
      <c r="B3" s="24" t="s">
        <v>16</v>
      </c>
      <c r="C3" s="24" t="s">
        <v>1695</v>
      </c>
      <c r="D3" s="24" t="s">
        <v>1696</v>
      </c>
      <c r="E3" s="24" t="s">
        <v>1697</v>
      </c>
      <c r="F3" s="25">
        <v>9</v>
      </c>
      <c r="G3" s="25">
        <v>0</v>
      </c>
      <c r="H3" s="25">
        <v>30</v>
      </c>
      <c r="I3" s="25">
        <f>-H3</f>
        <v>-30</v>
      </c>
      <c r="J3" s="24" t="s">
        <v>20</v>
      </c>
      <c r="K3" s="24" t="s">
        <v>21</v>
      </c>
      <c r="L3" s="24" t="s">
        <v>1698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1699</v>
      </c>
      <c r="D4" s="24" t="s">
        <v>1700</v>
      </c>
      <c r="E4" s="24" t="s">
        <v>1701</v>
      </c>
      <c r="F4" s="25">
        <v>9</v>
      </c>
      <c r="G4" s="25">
        <v>780</v>
      </c>
      <c r="H4" s="25">
        <v>30</v>
      </c>
      <c r="I4" s="25">
        <f t="shared" ref="I4:I14" si="0">G4-H4</f>
        <v>750</v>
      </c>
      <c r="J4" s="24" t="s">
        <v>20</v>
      </c>
      <c r="K4" s="24" t="s">
        <v>21</v>
      </c>
      <c r="L4" s="24" t="s">
        <v>1698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1702</v>
      </c>
      <c r="D5" s="24" t="s">
        <v>1703</v>
      </c>
      <c r="E5" s="24" t="s">
        <v>1704</v>
      </c>
      <c r="F5" s="24" t="s">
        <v>26</v>
      </c>
      <c r="G5" s="25">
        <v>570</v>
      </c>
      <c r="H5" s="25">
        <v>30</v>
      </c>
      <c r="I5" s="25">
        <f t="shared" si="0"/>
        <v>540</v>
      </c>
      <c r="J5" s="24" t="s">
        <v>1705</v>
      </c>
      <c r="K5" s="24" t="s">
        <v>21</v>
      </c>
      <c r="L5" s="24" t="s">
        <v>1698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1706</v>
      </c>
      <c r="D6" s="24" t="s">
        <v>1707</v>
      </c>
      <c r="E6" s="24" t="s">
        <v>1610</v>
      </c>
      <c r="F6" s="25">
        <v>11</v>
      </c>
      <c r="G6" s="25">
        <v>895</v>
      </c>
      <c r="H6" s="25">
        <v>25</v>
      </c>
      <c r="I6" s="25">
        <f t="shared" si="0"/>
        <v>870</v>
      </c>
      <c r="J6" s="24" t="s">
        <v>1705</v>
      </c>
      <c r="K6" s="24" t="s">
        <v>21</v>
      </c>
      <c r="L6" s="24" t="s">
        <v>1698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911</v>
      </c>
      <c r="D7" s="24" t="s">
        <v>1708</v>
      </c>
      <c r="E7" s="24" t="s">
        <v>1709</v>
      </c>
      <c r="F7" s="24" t="s">
        <v>217</v>
      </c>
      <c r="G7" s="25">
        <v>1015</v>
      </c>
      <c r="H7" s="25">
        <v>25</v>
      </c>
      <c r="I7" s="25">
        <f t="shared" si="0"/>
        <v>990</v>
      </c>
      <c r="J7" s="24" t="s">
        <v>1705</v>
      </c>
      <c r="K7" s="24" t="s">
        <v>21</v>
      </c>
      <c r="L7" s="24" t="s">
        <v>1698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1710</v>
      </c>
      <c r="D8" s="24" t="s">
        <v>1711</v>
      </c>
      <c r="E8" s="24" t="s">
        <v>1712</v>
      </c>
      <c r="F8" s="25">
        <v>7</v>
      </c>
      <c r="G8" s="25">
        <v>520</v>
      </c>
      <c r="H8" s="25">
        <v>30</v>
      </c>
      <c r="I8" s="25">
        <f t="shared" si="0"/>
        <v>490</v>
      </c>
      <c r="J8" s="24" t="s">
        <v>1705</v>
      </c>
      <c r="K8" s="24" t="s">
        <v>21</v>
      </c>
      <c r="L8" s="24" t="s">
        <v>1698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1713</v>
      </c>
      <c r="D9" s="24" t="s">
        <v>1714</v>
      </c>
      <c r="E9" s="24" t="s">
        <v>1715</v>
      </c>
      <c r="F9" s="25">
        <v>7</v>
      </c>
      <c r="G9" s="25">
        <v>870</v>
      </c>
      <c r="H9" s="25">
        <v>30</v>
      </c>
      <c r="I9" s="25">
        <f t="shared" si="0"/>
        <v>840</v>
      </c>
      <c r="J9" s="24" t="s">
        <v>1705</v>
      </c>
      <c r="K9" s="24" t="s">
        <v>21</v>
      </c>
      <c r="L9" s="24" t="s">
        <v>1698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1716</v>
      </c>
      <c r="D10" s="24" t="s">
        <v>1717</v>
      </c>
      <c r="E10" s="24" t="s">
        <v>1718</v>
      </c>
      <c r="F10" s="25">
        <v>12</v>
      </c>
      <c r="G10" s="25">
        <v>700</v>
      </c>
      <c r="H10" s="25">
        <v>30</v>
      </c>
      <c r="I10" s="25">
        <f t="shared" si="0"/>
        <v>670</v>
      </c>
      <c r="J10" s="24" t="s">
        <v>1705</v>
      </c>
      <c r="K10" s="24" t="s">
        <v>21</v>
      </c>
      <c r="L10" s="24" t="s">
        <v>1698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1177</v>
      </c>
      <c r="D11" s="24" t="s">
        <v>1719</v>
      </c>
      <c r="E11" s="24" t="s">
        <v>610</v>
      </c>
      <c r="F11" s="25">
        <v>6</v>
      </c>
      <c r="G11" s="25">
        <v>815</v>
      </c>
      <c r="H11" s="25">
        <v>25</v>
      </c>
      <c r="I11" s="25">
        <f t="shared" si="0"/>
        <v>790</v>
      </c>
      <c r="J11" s="24" t="s">
        <v>1705</v>
      </c>
      <c r="K11" s="24" t="s">
        <v>21</v>
      </c>
      <c r="L11" s="24" t="s">
        <v>1698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1720</v>
      </c>
      <c r="D12" s="24" t="s">
        <v>1721</v>
      </c>
      <c r="E12" s="24" t="s">
        <v>1722</v>
      </c>
      <c r="F12" s="25">
        <v>12</v>
      </c>
      <c r="G12" s="25">
        <v>570</v>
      </c>
      <c r="H12" s="25">
        <v>30</v>
      </c>
      <c r="I12" s="25">
        <f t="shared" si="0"/>
        <v>540</v>
      </c>
      <c r="J12" s="24" t="s">
        <v>1705</v>
      </c>
      <c r="K12" s="24" t="s">
        <v>21</v>
      </c>
      <c r="L12" s="24" t="s">
        <v>1698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1723</v>
      </c>
      <c r="D13" s="24" t="s">
        <v>1724</v>
      </c>
      <c r="E13" s="24" t="s">
        <v>1725</v>
      </c>
      <c r="F13" s="24" t="s">
        <v>26</v>
      </c>
      <c r="G13" s="25">
        <v>1020</v>
      </c>
      <c r="H13" s="25">
        <v>30</v>
      </c>
      <c r="I13" s="25">
        <f t="shared" si="0"/>
        <v>990</v>
      </c>
      <c r="J13" s="24" t="s">
        <v>1705</v>
      </c>
      <c r="K13" s="24" t="s">
        <v>21</v>
      </c>
      <c r="L13" s="24" t="s">
        <v>1698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1726</v>
      </c>
      <c r="D14" s="24" t="s">
        <v>1727</v>
      </c>
      <c r="E14" s="24" t="s">
        <v>1728</v>
      </c>
      <c r="F14" s="24" t="s">
        <v>217</v>
      </c>
      <c r="G14" s="25">
        <v>775</v>
      </c>
      <c r="H14" s="25">
        <v>25</v>
      </c>
      <c r="I14" s="25">
        <f t="shared" si="0"/>
        <v>750</v>
      </c>
      <c r="J14" s="24" t="s">
        <v>1705</v>
      </c>
      <c r="K14" s="24" t="s">
        <v>21</v>
      </c>
      <c r="L14" s="24" t="s">
        <v>1698</v>
      </c>
      <c r="M14" s="24"/>
      <c r="N14" s="24"/>
      <c r="O14" s="24"/>
      <c r="P14" s="24"/>
      <c r="Q14" s="24">
        <v>1</v>
      </c>
    </row>
    <row r="15" spans="1:17" x14ac:dyDescent="0.25">
      <c r="A15" s="24" t="s">
        <v>62</v>
      </c>
      <c r="B15" s="24" t="s">
        <v>16</v>
      </c>
      <c r="C15" s="24" t="s">
        <v>1729</v>
      </c>
      <c r="D15" s="24"/>
      <c r="E15" s="24" t="s">
        <v>1730</v>
      </c>
      <c r="F15" s="24" t="s">
        <v>26</v>
      </c>
      <c r="G15" s="25">
        <v>0</v>
      </c>
      <c r="H15" s="25">
        <v>30</v>
      </c>
      <c r="I15" s="25">
        <f>-H15</f>
        <v>-30</v>
      </c>
      <c r="J15" s="24" t="s">
        <v>1705</v>
      </c>
      <c r="K15" s="24" t="s">
        <v>21</v>
      </c>
      <c r="L15" s="24" t="s">
        <v>1698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1731</v>
      </c>
      <c r="D16" s="24" t="s">
        <v>1732</v>
      </c>
      <c r="E16" s="24" t="s">
        <v>1733</v>
      </c>
      <c r="F16" s="24" t="s">
        <v>68</v>
      </c>
      <c r="G16" s="25">
        <v>0</v>
      </c>
      <c r="H16" s="25">
        <v>20</v>
      </c>
      <c r="I16" s="25">
        <f>-H16</f>
        <v>-20</v>
      </c>
      <c r="J16" s="24" t="s">
        <v>21</v>
      </c>
      <c r="K16" s="24" t="s">
        <v>21</v>
      </c>
      <c r="L16" s="24" t="s">
        <v>1698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1233</v>
      </c>
      <c r="D17" s="24" t="s">
        <v>1734</v>
      </c>
      <c r="E17" s="24" t="s">
        <v>1735</v>
      </c>
      <c r="F17" s="24" t="s">
        <v>72</v>
      </c>
      <c r="G17" s="25">
        <v>615</v>
      </c>
      <c r="H17" s="25">
        <v>25</v>
      </c>
      <c r="I17" s="25">
        <f>G17-H17</f>
        <v>590</v>
      </c>
      <c r="J17" s="24" t="s">
        <v>21</v>
      </c>
      <c r="K17" s="24" t="s">
        <v>21</v>
      </c>
      <c r="L17" s="24" t="s">
        <v>1698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1736</v>
      </c>
      <c r="D18" s="24" t="s">
        <v>1737</v>
      </c>
      <c r="E18" s="24" t="s">
        <v>1738</v>
      </c>
      <c r="F18" s="24" t="s">
        <v>72</v>
      </c>
      <c r="G18" s="25">
        <v>745</v>
      </c>
      <c r="H18" s="25">
        <v>25</v>
      </c>
      <c r="I18" s="25">
        <f>G18-H18</f>
        <v>720</v>
      </c>
      <c r="J18" s="24" t="s">
        <v>21</v>
      </c>
      <c r="K18" s="24" t="s">
        <v>21</v>
      </c>
      <c r="L18" s="24" t="s">
        <v>1698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1739</v>
      </c>
      <c r="D19" s="24" t="s">
        <v>1740</v>
      </c>
      <c r="E19" s="24" t="s">
        <v>1510</v>
      </c>
      <c r="F19" s="24" t="s">
        <v>72</v>
      </c>
      <c r="G19" s="25">
        <v>935</v>
      </c>
      <c r="H19" s="25">
        <v>25</v>
      </c>
      <c r="I19" s="25">
        <f>G19-H19</f>
        <v>910</v>
      </c>
      <c r="J19" s="24" t="s">
        <v>21</v>
      </c>
      <c r="K19" s="24" t="s">
        <v>21</v>
      </c>
      <c r="L19" s="24" t="s">
        <v>1698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1741</v>
      </c>
      <c r="D20" s="24" t="s">
        <v>1742</v>
      </c>
      <c r="E20" s="24" t="s">
        <v>1743</v>
      </c>
      <c r="F20" s="24" t="s">
        <v>68</v>
      </c>
      <c r="G20" s="25">
        <v>910</v>
      </c>
      <c r="H20" s="25">
        <v>20</v>
      </c>
      <c r="I20" s="25">
        <f>G20-H20</f>
        <v>890</v>
      </c>
      <c r="J20" s="24" t="s">
        <v>21</v>
      </c>
      <c r="K20" s="24" t="s">
        <v>21</v>
      </c>
      <c r="L20" s="24" t="s">
        <v>1698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1744</v>
      </c>
      <c r="D21" s="24" t="s">
        <v>1745</v>
      </c>
      <c r="E21" s="24" t="s">
        <v>1746</v>
      </c>
      <c r="F21" s="24" t="s">
        <v>68</v>
      </c>
      <c r="G21" s="25">
        <v>0</v>
      </c>
      <c r="H21" s="25">
        <v>20</v>
      </c>
      <c r="I21" s="25">
        <f>-H21</f>
        <v>-20</v>
      </c>
      <c r="J21" s="24" t="s">
        <v>21</v>
      </c>
      <c r="K21" s="24" t="s">
        <v>21</v>
      </c>
      <c r="L21" s="24" t="s">
        <v>1698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1747</v>
      </c>
      <c r="D22" s="24" t="s">
        <v>1748</v>
      </c>
      <c r="E22" s="24" t="s">
        <v>1749</v>
      </c>
      <c r="F22" s="24" t="s">
        <v>153</v>
      </c>
      <c r="G22" s="25">
        <v>865</v>
      </c>
      <c r="H22" s="25">
        <v>25</v>
      </c>
      <c r="I22" s="25">
        <f>G22-H22</f>
        <v>840</v>
      </c>
      <c r="J22" s="24" t="s">
        <v>21</v>
      </c>
      <c r="K22" s="24" t="s">
        <v>21</v>
      </c>
      <c r="L22" s="24" t="s">
        <v>1698</v>
      </c>
      <c r="M22" s="24"/>
      <c r="N22" s="24"/>
      <c r="O22" s="24"/>
      <c r="P22" s="24"/>
      <c r="Q22" s="24">
        <v>1</v>
      </c>
    </row>
    <row r="23" spans="1:17" s="8" customFormat="1" x14ac:dyDescent="0.25">
      <c r="A23" s="24"/>
      <c r="B23" s="24" t="s">
        <v>16</v>
      </c>
      <c r="C23" s="24" t="s">
        <v>1750</v>
      </c>
      <c r="D23" s="24" t="s">
        <v>1751</v>
      </c>
      <c r="E23" s="24" t="s">
        <v>1752</v>
      </c>
      <c r="F23" s="25">
        <v>12</v>
      </c>
      <c r="G23" s="25">
        <v>0</v>
      </c>
      <c r="H23" s="25">
        <v>30</v>
      </c>
      <c r="I23" s="25">
        <f>-H23</f>
        <v>-30</v>
      </c>
      <c r="J23" s="24" t="s">
        <v>21</v>
      </c>
      <c r="K23" s="24" t="s">
        <v>21</v>
      </c>
      <c r="L23" s="24" t="s">
        <v>1698</v>
      </c>
      <c r="M23" s="24"/>
      <c r="N23" s="24"/>
      <c r="O23" s="24"/>
      <c r="P23" s="24"/>
      <c r="Q23" s="26">
        <v>1</v>
      </c>
    </row>
    <row r="24" spans="1:17" x14ac:dyDescent="0.25">
      <c r="A24" s="24"/>
      <c r="B24" s="24" t="s">
        <v>16</v>
      </c>
      <c r="C24" s="24" t="s">
        <v>1753</v>
      </c>
      <c r="D24" s="24" t="s">
        <v>1754</v>
      </c>
      <c r="E24" s="24" t="s">
        <v>1755</v>
      </c>
      <c r="F24" s="24" t="s">
        <v>153</v>
      </c>
      <c r="G24" s="25">
        <v>0</v>
      </c>
      <c r="H24" s="25">
        <v>30</v>
      </c>
      <c r="I24" s="25">
        <f>-H24</f>
        <v>-30</v>
      </c>
      <c r="J24" s="24" t="s">
        <v>21</v>
      </c>
      <c r="K24" s="24" t="s">
        <v>21</v>
      </c>
      <c r="L24" s="24" t="s">
        <v>1698</v>
      </c>
      <c r="M24" s="24"/>
      <c r="N24" s="24"/>
      <c r="O24" s="24"/>
      <c r="P24" s="24"/>
      <c r="Q24" s="24">
        <v>1</v>
      </c>
    </row>
    <row r="25" spans="1:17" x14ac:dyDescent="0.25">
      <c r="A25" s="24" t="s">
        <v>62</v>
      </c>
      <c r="B25" s="24" t="s">
        <v>16</v>
      </c>
      <c r="C25" s="24" t="s">
        <v>1756</v>
      </c>
      <c r="D25" s="24"/>
      <c r="E25" s="24" t="s">
        <v>1757</v>
      </c>
      <c r="F25" s="24" t="s">
        <v>88</v>
      </c>
      <c r="G25" s="25">
        <v>0</v>
      </c>
      <c r="H25" s="25">
        <v>30</v>
      </c>
      <c r="I25" s="25">
        <f>-H25</f>
        <v>-30</v>
      </c>
      <c r="J25" s="24" t="s">
        <v>21</v>
      </c>
      <c r="K25" s="24" t="s">
        <v>21</v>
      </c>
      <c r="L25" s="24" t="s">
        <v>1698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1758</v>
      </c>
      <c r="D26" s="24" t="s">
        <v>1759</v>
      </c>
      <c r="E26" s="24" t="s">
        <v>1760</v>
      </c>
      <c r="F26" s="24" t="s">
        <v>68</v>
      </c>
      <c r="G26" s="25">
        <v>680</v>
      </c>
      <c r="H26" s="25">
        <v>20</v>
      </c>
      <c r="I26" s="25">
        <f>G26-H26</f>
        <v>660</v>
      </c>
      <c r="J26" s="24" t="s">
        <v>21</v>
      </c>
      <c r="K26" s="24" t="s">
        <v>21</v>
      </c>
      <c r="L26" s="24" t="s">
        <v>1698</v>
      </c>
      <c r="M26" s="24"/>
      <c r="N26" s="24"/>
      <c r="O26" s="24"/>
      <c r="P26" s="24"/>
      <c r="Q26" s="24">
        <v>1</v>
      </c>
    </row>
    <row r="27" spans="1:17" x14ac:dyDescent="0.25">
      <c r="A27" s="24" t="s">
        <v>62</v>
      </c>
      <c r="B27" s="24" t="s">
        <v>16</v>
      </c>
      <c r="C27" s="24" t="s">
        <v>383</v>
      </c>
      <c r="D27" s="24"/>
      <c r="E27" s="24" t="s">
        <v>1761</v>
      </c>
      <c r="F27" s="25">
        <v>2</v>
      </c>
      <c r="G27" s="25">
        <v>35</v>
      </c>
      <c r="H27" s="25">
        <v>35</v>
      </c>
      <c r="I27" s="25">
        <f>G27-H27</f>
        <v>0</v>
      </c>
      <c r="J27" s="24" t="s">
        <v>21</v>
      </c>
      <c r="K27" s="24" t="s">
        <v>21</v>
      </c>
      <c r="L27" s="24" t="s">
        <v>1698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1762</v>
      </c>
      <c r="D28" s="24" t="s">
        <v>1763</v>
      </c>
      <c r="E28" s="24" t="s">
        <v>1764</v>
      </c>
      <c r="F28" s="25">
        <v>1</v>
      </c>
      <c r="G28" s="25">
        <v>405</v>
      </c>
      <c r="H28" s="25">
        <v>25</v>
      </c>
      <c r="I28" s="25">
        <f>G28-H28</f>
        <v>380</v>
      </c>
      <c r="J28" s="24" t="s">
        <v>165</v>
      </c>
      <c r="K28" s="24" t="s">
        <v>21</v>
      </c>
      <c r="L28" s="24" t="s">
        <v>1698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645</v>
      </c>
      <c r="D29" s="24" t="s">
        <v>1765</v>
      </c>
      <c r="E29" s="24" t="s">
        <v>1766</v>
      </c>
      <c r="F29" s="25">
        <v>1</v>
      </c>
      <c r="G29" s="25">
        <v>405</v>
      </c>
      <c r="H29" s="25">
        <v>25</v>
      </c>
      <c r="I29" s="25">
        <f>G29-H29</f>
        <v>380</v>
      </c>
      <c r="J29" s="24" t="s">
        <v>165</v>
      </c>
      <c r="K29" s="24" t="s">
        <v>21</v>
      </c>
      <c r="L29" s="24" t="s">
        <v>1698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866</v>
      </c>
      <c r="D30" s="24" t="s">
        <v>1767</v>
      </c>
      <c r="E30" s="24" t="s">
        <v>868</v>
      </c>
      <c r="F30" s="25">
        <v>1</v>
      </c>
      <c r="G30" s="25">
        <v>0</v>
      </c>
      <c r="H30" s="25">
        <v>25</v>
      </c>
      <c r="I30" s="25">
        <f>-H30</f>
        <v>-25</v>
      </c>
      <c r="J30" s="24" t="s">
        <v>165</v>
      </c>
      <c r="K30" s="24" t="s">
        <v>21</v>
      </c>
      <c r="L30" s="24" t="s">
        <v>1698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1768</v>
      </c>
      <c r="D31" s="24" t="s">
        <v>1769</v>
      </c>
      <c r="E31" s="24" t="s">
        <v>1770</v>
      </c>
      <c r="F31" s="25">
        <v>10</v>
      </c>
      <c r="G31" s="25">
        <v>0</v>
      </c>
      <c r="H31" s="25">
        <v>25</v>
      </c>
      <c r="I31" s="25">
        <f>-H31</f>
        <v>-25</v>
      </c>
      <c r="J31" s="24" t="s">
        <v>165</v>
      </c>
      <c r="K31" s="24" t="s">
        <v>21</v>
      </c>
      <c r="L31" s="24" t="s">
        <v>1698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1771</v>
      </c>
      <c r="D32" s="24" t="s">
        <v>1772</v>
      </c>
      <c r="E32" s="24" t="s">
        <v>1773</v>
      </c>
      <c r="F32" s="25">
        <v>3</v>
      </c>
      <c r="G32" s="25">
        <v>1965</v>
      </c>
      <c r="H32" s="25">
        <v>25</v>
      </c>
      <c r="I32" s="25">
        <f>G32-H32</f>
        <v>1940</v>
      </c>
      <c r="J32" s="24" t="s">
        <v>165</v>
      </c>
      <c r="K32" s="24" t="s">
        <v>21</v>
      </c>
      <c r="L32" s="24" t="s">
        <v>1698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651</v>
      </c>
      <c r="D33" s="24" t="s">
        <v>1774</v>
      </c>
      <c r="E33" s="24" t="s">
        <v>653</v>
      </c>
      <c r="F33" s="24" t="s">
        <v>88</v>
      </c>
      <c r="G33" s="25">
        <v>0</v>
      </c>
      <c r="H33" s="25">
        <v>25</v>
      </c>
      <c r="I33" s="25">
        <f>-H33</f>
        <v>-25</v>
      </c>
      <c r="J33" s="24" t="s">
        <v>165</v>
      </c>
      <c r="K33" s="24" t="s">
        <v>21</v>
      </c>
      <c r="L33" s="24" t="s">
        <v>1698</v>
      </c>
      <c r="M33" s="24"/>
      <c r="N33" s="24"/>
      <c r="O33" s="24"/>
      <c r="P33" s="24"/>
      <c r="Q33" s="24">
        <v>1</v>
      </c>
    </row>
    <row r="34" spans="1:17" x14ac:dyDescent="0.25">
      <c r="A34" s="24" t="s">
        <v>62</v>
      </c>
      <c r="B34" s="24" t="s">
        <v>16</v>
      </c>
      <c r="C34" s="24" t="s">
        <v>1775</v>
      </c>
      <c r="D34" s="24"/>
      <c r="E34" s="24" t="s">
        <v>1776</v>
      </c>
      <c r="F34" s="24" t="s">
        <v>88</v>
      </c>
      <c r="G34" s="25">
        <v>35</v>
      </c>
      <c r="H34" s="25">
        <v>35</v>
      </c>
      <c r="I34" s="25">
        <f>G34-H34</f>
        <v>0</v>
      </c>
      <c r="J34" s="24" t="s">
        <v>165</v>
      </c>
      <c r="K34" s="24" t="s">
        <v>21</v>
      </c>
      <c r="L34" s="24" t="s">
        <v>1698</v>
      </c>
      <c r="M34" s="24"/>
      <c r="N34" s="24"/>
      <c r="O34" s="24"/>
      <c r="P34" s="24"/>
      <c r="Q34" s="24">
        <v>1</v>
      </c>
    </row>
    <row r="35" spans="1:17" x14ac:dyDescent="0.25">
      <c r="A35" s="26"/>
      <c r="B35" s="26" t="s">
        <v>16</v>
      </c>
      <c r="C35" s="26" t="s">
        <v>1777</v>
      </c>
      <c r="D35" s="26" t="s">
        <v>1778</v>
      </c>
      <c r="E35" s="26" t="s">
        <v>1779</v>
      </c>
      <c r="F35" s="26" t="s">
        <v>780</v>
      </c>
      <c r="G35" s="27">
        <v>790</v>
      </c>
      <c r="H35" s="27">
        <v>0</v>
      </c>
      <c r="I35" s="27">
        <f>G35-H35</f>
        <v>790</v>
      </c>
      <c r="J35" s="26" t="s">
        <v>446</v>
      </c>
      <c r="K35" s="26" t="s">
        <v>21</v>
      </c>
      <c r="L35" s="26" t="s">
        <v>1698</v>
      </c>
      <c r="M35" s="26" t="s">
        <v>781</v>
      </c>
      <c r="N35" s="26" t="s">
        <v>448</v>
      </c>
      <c r="O35" s="26"/>
      <c r="P35" s="26" t="s">
        <v>449</v>
      </c>
      <c r="Q35" s="24">
        <v>1</v>
      </c>
    </row>
    <row r="36" spans="1:17" s="8" customFormat="1" x14ac:dyDescent="0.25">
      <c r="A36" s="26"/>
      <c r="B36" s="26" t="s">
        <v>16</v>
      </c>
      <c r="C36" s="26" t="s">
        <v>1780</v>
      </c>
      <c r="D36" s="26" t="s">
        <v>1781</v>
      </c>
      <c r="E36" s="26" t="s">
        <v>1782</v>
      </c>
      <c r="F36" s="27">
        <v>7</v>
      </c>
      <c r="G36" s="27">
        <v>700</v>
      </c>
      <c r="H36" s="27">
        <v>0</v>
      </c>
      <c r="I36" s="27">
        <f>G36-H36</f>
        <v>700</v>
      </c>
      <c r="J36" s="26" t="s">
        <v>446</v>
      </c>
      <c r="K36" s="26" t="s">
        <v>21</v>
      </c>
      <c r="L36" s="26" t="s">
        <v>1370</v>
      </c>
      <c r="M36" s="26" t="s">
        <v>105</v>
      </c>
      <c r="N36" s="26" t="s">
        <v>448</v>
      </c>
      <c r="O36" s="26" t="s">
        <v>448</v>
      </c>
      <c r="P36" s="26" t="s">
        <v>449</v>
      </c>
      <c r="Q36" s="27">
        <v>1</v>
      </c>
    </row>
    <row r="37" spans="1:17" s="8" customFormat="1" x14ac:dyDescent="0.25">
      <c r="A37" s="26"/>
      <c r="B37" s="26" t="s">
        <v>16</v>
      </c>
      <c r="C37" s="26" t="s">
        <v>651</v>
      </c>
      <c r="D37" s="26" t="s">
        <v>1539</v>
      </c>
      <c r="E37" s="26" t="s">
        <v>653</v>
      </c>
      <c r="F37" s="26" t="s">
        <v>88</v>
      </c>
      <c r="G37" s="27">
        <v>945</v>
      </c>
      <c r="H37" s="27">
        <v>0</v>
      </c>
      <c r="I37" s="27">
        <f>G37-H37</f>
        <v>945</v>
      </c>
      <c r="J37" s="26" t="s">
        <v>446</v>
      </c>
      <c r="K37" s="26" t="s">
        <v>21</v>
      </c>
      <c r="L37" s="26" t="s">
        <v>1445</v>
      </c>
      <c r="M37" s="26" t="s">
        <v>105</v>
      </c>
      <c r="N37" s="26" t="s">
        <v>448</v>
      </c>
      <c r="O37" s="26" t="s">
        <v>448</v>
      </c>
      <c r="P37" s="26" t="s">
        <v>449</v>
      </c>
      <c r="Q37" s="27">
        <v>1</v>
      </c>
    </row>
    <row r="38" spans="1:17" s="8" customFormat="1" x14ac:dyDescent="0.25">
      <c r="A38" s="26"/>
      <c r="B38" s="26" t="s">
        <v>16</v>
      </c>
      <c r="C38" s="26" t="s">
        <v>651</v>
      </c>
      <c r="D38" s="26" t="s">
        <v>1688</v>
      </c>
      <c r="E38" s="26" t="s">
        <v>653</v>
      </c>
      <c r="F38" s="26" t="s">
        <v>88</v>
      </c>
      <c r="G38" s="27">
        <v>875</v>
      </c>
      <c r="H38" s="27">
        <v>0</v>
      </c>
      <c r="I38" s="27">
        <f>G38-H38</f>
        <v>875</v>
      </c>
      <c r="J38" s="26" t="s">
        <v>446</v>
      </c>
      <c r="K38" s="26" t="s">
        <v>21</v>
      </c>
      <c r="L38" s="26" t="s">
        <v>1570</v>
      </c>
      <c r="M38" s="26" t="s">
        <v>105</v>
      </c>
      <c r="N38" s="26" t="s">
        <v>448</v>
      </c>
      <c r="O38" s="26" t="s">
        <v>448</v>
      </c>
      <c r="P38" s="26" t="s">
        <v>449</v>
      </c>
      <c r="Q38" s="27">
        <v>1</v>
      </c>
    </row>
    <row r="40" spans="1:17" x14ac:dyDescent="0.25">
      <c r="D40" s="7">
        <f>COUNTA(D3:D38)</f>
        <v>32</v>
      </c>
      <c r="G40" s="7">
        <f t="shared" ref="G40:Q40" si="1">SUBTOTAL(9,G3:G38)</f>
        <v>19435</v>
      </c>
      <c r="H40" s="7">
        <f t="shared" si="1"/>
        <v>860</v>
      </c>
      <c r="I40" s="7">
        <f t="shared" si="1"/>
        <v>18575</v>
      </c>
      <c r="J40" s="7">
        <f t="shared" si="1"/>
        <v>0</v>
      </c>
      <c r="K40" s="7">
        <f t="shared" si="1"/>
        <v>0</v>
      </c>
      <c r="L40" s="7">
        <f t="shared" si="1"/>
        <v>0</v>
      </c>
      <c r="M40" s="7">
        <f t="shared" si="1"/>
        <v>0</v>
      </c>
      <c r="N40" s="7">
        <f t="shared" si="1"/>
        <v>0</v>
      </c>
      <c r="O40" s="7">
        <f t="shared" si="1"/>
        <v>0</v>
      </c>
      <c r="P40" s="7">
        <f t="shared" si="1"/>
        <v>0</v>
      </c>
      <c r="Q40" s="7">
        <f t="shared" si="1"/>
        <v>36</v>
      </c>
    </row>
    <row r="41" spans="1:17" x14ac:dyDescent="0.25">
      <c r="H41">
        <f>-6*17</f>
        <v>-102</v>
      </c>
    </row>
    <row r="42" spans="1:17" x14ac:dyDescent="0.25">
      <c r="A42" s="7" t="s">
        <v>16</v>
      </c>
      <c r="C42" s="6" t="s">
        <v>89</v>
      </c>
      <c r="D42" s="6"/>
      <c r="E42" s="10" t="s">
        <v>90</v>
      </c>
      <c r="H42">
        <f>-5*25</f>
        <v>-125</v>
      </c>
      <c r="K42" s="13" t="s">
        <v>165</v>
      </c>
      <c r="L42" s="13" t="s">
        <v>91</v>
      </c>
      <c r="M42" s="13" t="s">
        <v>90</v>
      </c>
      <c r="O42" s="10" t="s">
        <v>92</v>
      </c>
    </row>
    <row r="43" spans="1:17" x14ac:dyDescent="0.25">
      <c r="A43" t="s">
        <v>1698</v>
      </c>
      <c r="B43" s="9" t="s">
        <v>93</v>
      </c>
      <c r="C43" s="5">
        <f>SUMIFS(I$3:I$38,B$3:B$38,A$42,L$3:L$38,A$43)</f>
        <v>16055</v>
      </c>
      <c r="D43" s="5"/>
      <c r="E43" s="9">
        <f>SUMIFS(Q$3:Q$38,B$3:B$38,A$42,L$3:L$38,A$43)</f>
        <v>33</v>
      </c>
      <c r="F43" t="s">
        <v>94</v>
      </c>
      <c r="K43" t="s">
        <v>95</v>
      </c>
      <c r="L43">
        <f>SUMIFS(G$3:G$38,J$3:J$38,K$42)</f>
        <v>2810</v>
      </c>
      <c r="M43">
        <f>SUMIFS(Q$3:Q$38,J$3:J$38,K$42)</f>
        <v>7</v>
      </c>
      <c r="O43" t="s">
        <v>165</v>
      </c>
      <c r="P43">
        <f>L48</f>
        <v>840</v>
      </c>
    </row>
    <row r="44" spans="1:17" x14ac:dyDescent="0.25">
      <c r="B44" s="8" t="s">
        <v>97</v>
      </c>
      <c r="C44" s="4">
        <v>0</v>
      </c>
      <c r="D44" s="4"/>
      <c r="K44" t="s">
        <v>98</v>
      </c>
      <c r="L44">
        <f>-SUMIFS(H$3:H$38,J$3:J$38,K$42)+M44*5</f>
        <v>-150</v>
      </c>
      <c r="M44">
        <f>SUMIFS(Q$3:Q$38,J$3:J$38,K$42)-COUNTIFS(J$3:J$38,K$42,M$3:M$38,"*gộp*")</f>
        <v>7</v>
      </c>
      <c r="O44" t="s">
        <v>1783</v>
      </c>
      <c r="P44">
        <f>L56</f>
        <v>6823</v>
      </c>
    </row>
    <row r="45" spans="1:17" x14ac:dyDescent="0.25">
      <c r="B45" s="8" t="s">
        <v>99</v>
      </c>
      <c r="C45" s="4">
        <f>-SUMIFS(I$3:I$38,B$3:B$38,A$42,P$3:P$38,"xx",N$3:N$38,"x")</f>
        <v>-3310</v>
      </c>
      <c r="D45" s="4"/>
      <c r="E45" s="8">
        <f>SUMIFS(Q$3:Q$38,B$3:B$38,A$42,P$3:P$38,"xx",N$3:N$38,"x")</f>
        <v>4</v>
      </c>
      <c r="K45" t="s">
        <v>100</v>
      </c>
      <c r="O45" t="s">
        <v>21</v>
      </c>
      <c r="P45">
        <f>L64</f>
        <v>4476</v>
      </c>
    </row>
    <row r="46" spans="1:17" x14ac:dyDescent="0.25">
      <c r="B46" s="10" t="s">
        <v>101</v>
      </c>
      <c r="C46" s="6">
        <f>SUBTOTAL(9,C43:C45)</f>
        <v>12745</v>
      </c>
      <c r="D46" s="6"/>
      <c r="E46">
        <f>E43</f>
        <v>33</v>
      </c>
      <c r="K46" s="8" t="s">
        <v>102</v>
      </c>
      <c r="O46" t="s">
        <v>20</v>
      </c>
      <c r="P46">
        <f>L72</f>
        <v>730</v>
      </c>
    </row>
    <row r="47" spans="1:17" x14ac:dyDescent="0.25">
      <c r="B47" s="8" t="s">
        <v>104</v>
      </c>
      <c r="C47" s="3"/>
      <c r="D47" s="3"/>
      <c r="K47" s="8" t="s">
        <v>105</v>
      </c>
      <c r="L47" s="35">
        <v>-1820</v>
      </c>
      <c r="M47" s="35" t="s">
        <v>1784</v>
      </c>
      <c r="O47" t="s">
        <v>103</v>
      </c>
      <c r="P47">
        <f>-C50</f>
        <v>-12745</v>
      </c>
    </row>
    <row r="48" spans="1:17" x14ac:dyDescent="0.25">
      <c r="B48" s="14" t="s">
        <v>107</v>
      </c>
      <c r="C48" s="3"/>
      <c r="D48" s="3"/>
      <c r="L48" s="15">
        <f>SUBTOTAL(9,L43:L47)</f>
        <v>840</v>
      </c>
      <c r="M48" s="15">
        <f>M43</f>
        <v>7</v>
      </c>
      <c r="O48" s="10" t="s">
        <v>106</v>
      </c>
      <c r="P48" s="10">
        <f>SUBTOTAL(9,P43:P47)</f>
        <v>124</v>
      </c>
    </row>
    <row r="50" spans="2:13" x14ac:dyDescent="0.25">
      <c r="B50" s="7" t="s">
        <v>108</v>
      </c>
      <c r="C50" s="2">
        <f>C46+C47+C48</f>
        <v>12745</v>
      </c>
      <c r="D50" s="2"/>
      <c r="E50" s="7" t="s">
        <v>109</v>
      </c>
      <c r="K50" s="13" t="s">
        <v>1705</v>
      </c>
      <c r="L50" s="13" t="s">
        <v>91</v>
      </c>
      <c r="M50" s="13" t="s">
        <v>90</v>
      </c>
    </row>
    <row r="51" spans="2:13" x14ac:dyDescent="0.25">
      <c r="K51" t="s">
        <v>95</v>
      </c>
      <c r="L51">
        <f>SUMIFS(G$3:G$38,J$3:J$38,K$50)</f>
        <v>7750</v>
      </c>
      <c r="M51">
        <f>SUMIFS(Q$3:Q$38,J$3:J$38,K$50)</f>
        <v>11</v>
      </c>
    </row>
    <row r="52" spans="2:13" x14ac:dyDescent="0.25">
      <c r="K52" t="s">
        <v>98</v>
      </c>
      <c r="L52">
        <f>SUM(H41:H42)</f>
        <v>-227</v>
      </c>
      <c r="M52">
        <f>SUMIFS(Q$3:Q$38,J$3:J$38,K$50)</f>
        <v>11</v>
      </c>
    </row>
    <row r="53" spans="2:13" x14ac:dyDescent="0.25">
      <c r="K53" t="s">
        <v>100</v>
      </c>
    </row>
    <row r="54" spans="2:13" x14ac:dyDescent="0.25">
      <c r="K54" s="8" t="s">
        <v>102</v>
      </c>
    </row>
    <row r="55" spans="2:13" x14ac:dyDescent="0.25">
      <c r="K55" s="8" t="s">
        <v>105</v>
      </c>
      <c r="L55" s="35">
        <v>-700</v>
      </c>
      <c r="M55" s="35" t="s">
        <v>451</v>
      </c>
    </row>
    <row r="56" spans="2:13" x14ac:dyDescent="0.25">
      <c r="L56" s="15">
        <f>SUBTOTAL(9,L51:L55)</f>
        <v>6823</v>
      </c>
      <c r="M56" s="15">
        <f>M51</f>
        <v>11</v>
      </c>
    </row>
    <row r="58" spans="2:13" x14ac:dyDescent="0.25">
      <c r="K58" s="13" t="s">
        <v>21</v>
      </c>
      <c r="L58" s="13" t="s">
        <v>91</v>
      </c>
      <c r="M58" s="13" t="s">
        <v>90</v>
      </c>
    </row>
    <row r="59" spans="2:13" x14ac:dyDescent="0.25">
      <c r="K59" t="s">
        <v>95</v>
      </c>
      <c r="L59">
        <f>SUMIFS(G$3:G$38,J$3:J$38,K$58)</f>
        <v>4785</v>
      </c>
      <c r="M59">
        <f>SUMIFS(Q$3:Q$38,J$3:J$38,K$58)</f>
        <v>12</v>
      </c>
    </row>
    <row r="60" spans="2:13" x14ac:dyDescent="0.25">
      <c r="K60" t="s">
        <v>98</v>
      </c>
      <c r="L60">
        <f>-SUMIFS(H$3:H$38,J$3:J$38,K$58)+M60*5</f>
        <v>-245</v>
      </c>
      <c r="M60">
        <f>SUMIFS(Q$3:Q$38,J$3:J$38,K$58)-COUNTIFS(J$3:J$38,K$58,M$3:M$38,"*gộp*")</f>
        <v>12</v>
      </c>
    </row>
    <row r="61" spans="2:13" x14ac:dyDescent="0.25">
      <c r="K61" t="s">
        <v>100</v>
      </c>
      <c r="L61">
        <f>-M61*2</f>
        <v>-64</v>
      </c>
      <c r="M61">
        <f>E46-(COUNTIFS(M$3:M$38,"*gộp*"))-COUNTIFS(M$3:M$38,"*đơn trả*")/2-COUNTIFS(M$3:M$38,"*hàng tỉnh*")</f>
        <v>32</v>
      </c>
    </row>
    <row r="62" spans="2:13" x14ac:dyDescent="0.25">
      <c r="K62" s="8" t="s">
        <v>102</v>
      </c>
    </row>
    <row r="63" spans="2:13" x14ac:dyDescent="0.25">
      <c r="K63" s="8" t="s">
        <v>105</v>
      </c>
    </row>
    <row r="64" spans="2:13" x14ac:dyDescent="0.25">
      <c r="L64" s="15">
        <f>SUBTOTAL(9,L59:L63)</f>
        <v>4476</v>
      </c>
      <c r="M64" s="15">
        <f>M59</f>
        <v>12</v>
      </c>
    </row>
    <row r="66" spans="11:13" x14ac:dyDescent="0.25">
      <c r="K66" s="13" t="s">
        <v>20</v>
      </c>
      <c r="L66" s="13" t="s">
        <v>91</v>
      </c>
      <c r="M66" s="13" t="s">
        <v>90</v>
      </c>
    </row>
    <row r="67" spans="11:13" x14ac:dyDescent="0.25">
      <c r="K67" t="s">
        <v>95</v>
      </c>
      <c r="L67">
        <f>SUMIFS(G$3:G$38,J$3:J$38,K$66)</f>
        <v>780</v>
      </c>
      <c r="M67">
        <f>SUMIFS(Q$3:Q$38,J$3:J$38,K$66)</f>
        <v>2</v>
      </c>
    </row>
    <row r="68" spans="11:13" x14ac:dyDescent="0.25">
      <c r="K68" t="s">
        <v>98</v>
      </c>
      <c r="L68">
        <f>-SUMIFS(H$3:H$38,J$3:J$38,K$66)+M68*5</f>
        <v>-50</v>
      </c>
      <c r="M68">
        <f>SUMIFS(Q$3:Q$38,J$3:J$38,K$66)-COUNTIFS(J$3:J$38,K$66,M$3:M$38,"*gộp*")</f>
        <v>2</v>
      </c>
    </row>
    <row r="69" spans="11:13" x14ac:dyDescent="0.25">
      <c r="K69" t="s">
        <v>100</v>
      </c>
    </row>
    <row r="70" spans="11:13" x14ac:dyDescent="0.25">
      <c r="K70" s="8" t="s">
        <v>102</v>
      </c>
    </row>
    <row r="71" spans="11:13" x14ac:dyDescent="0.25">
      <c r="K71" s="8" t="s">
        <v>105</v>
      </c>
    </row>
    <row r="72" spans="11:13" x14ac:dyDescent="0.25">
      <c r="L72" s="15">
        <f>SUBTOTAL(9,L67:L71)</f>
        <v>730</v>
      </c>
      <c r="M72" s="15">
        <f>M67</f>
        <v>2</v>
      </c>
    </row>
  </sheetData>
  <autoFilter ref="A2:P38" xr:uid="{00000000-0009-0000-0000-00000F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Q131"/>
  <sheetViews>
    <sheetView topLeftCell="C70" workbookViewId="0">
      <selection activeCell="D21" sqref="D21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10" customWidth="1"/>
    <col min="5" max="5" width="8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28515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 t="s">
        <v>62</v>
      </c>
      <c r="B3" s="24" t="s">
        <v>16</v>
      </c>
      <c r="C3" s="24" t="s">
        <v>1785</v>
      </c>
      <c r="D3" s="24"/>
      <c r="E3" s="24" t="s">
        <v>1786</v>
      </c>
      <c r="F3" s="25">
        <v>9</v>
      </c>
      <c r="G3" s="25">
        <v>0</v>
      </c>
      <c r="H3" s="25">
        <v>35</v>
      </c>
      <c r="I3" s="25">
        <f t="shared" ref="I3:I34" si="0">G3-H3</f>
        <v>-35</v>
      </c>
      <c r="J3" s="24" t="s">
        <v>20</v>
      </c>
      <c r="K3" s="24" t="s">
        <v>21</v>
      </c>
      <c r="L3" s="24" t="s">
        <v>1787</v>
      </c>
      <c r="M3" s="24"/>
      <c r="N3" s="24"/>
      <c r="O3" s="24"/>
      <c r="P3" s="24"/>
      <c r="Q3" s="24">
        <v>1</v>
      </c>
    </row>
    <row r="4" spans="1:17" x14ac:dyDescent="0.25">
      <c r="A4" s="24" t="s">
        <v>62</v>
      </c>
      <c r="B4" s="24" t="s">
        <v>16</v>
      </c>
      <c r="C4" s="24" t="s">
        <v>1788</v>
      </c>
      <c r="D4" s="24"/>
      <c r="E4" s="24" t="s">
        <v>1378</v>
      </c>
      <c r="F4" s="25">
        <v>9</v>
      </c>
      <c r="G4" s="25">
        <v>35</v>
      </c>
      <c r="H4" s="25">
        <v>35</v>
      </c>
      <c r="I4" s="25">
        <f t="shared" si="0"/>
        <v>0</v>
      </c>
      <c r="J4" s="24" t="s">
        <v>20</v>
      </c>
      <c r="K4" s="24" t="s">
        <v>21</v>
      </c>
      <c r="L4" s="24" t="s">
        <v>1787</v>
      </c>
      <c r="M4" s="24"/>
      <c r="N4" s="24"/>
      <c r="O4" s="24"/>
      <c r="P4" s="24"/>
      <c r="Q4" s="24">
        <v>1</v>
      </c>
    </row>
    <row r="5" spans="1:17" x14ac:dyDescent="0.25">
      <c r="A5" s="24" t="s">
        <v>62</v>
      </c>
      <c r="B5" s="24" t="s">
        <v>16</v>
      </c>
      <c r="C5" s="24" t="s">
        <v>329</v>
      </c>
      <c r="D5" s="24"/>
      <c r="E5" s="24" t="s">
        <v>1789</v>
      </c>
      <c r="F5" s="25">
        <v>9</v>
      </c>
      <c r="G5" s="25">
        <v>1255</v>
      </c>
      <c r="H5" s="25">
        <v>35</v>
      </c>
      <c r="I5" s="25">
        <f t="shared" si="0"/>
        <v>1220</v>
      </c>
      <c r="J5" s="24" t="s">
        <v>20</v>
      </c>
      <c r="K5" s="24" t="s">
        <v>21</v>
      </c>
      <c r="L5" s="24" t="s">
        <v>1787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1790</v>
      </c>
      <c r="D6" s="24" t="s">
        <v>1791</v>
      </c>
      <c r="E6" s="24" t="s">
        <v>1792</v>
      </c>
      <c r="F6" s="24" t="s">
        <v>217</v>
      </c>
      <c r="G6" s="25">
        <v>1015</v>
      </c>
      <c r="H6" s="25">
        <v>25</v>
      </c>
      <c r="I6" s="25">
        <f t="shared" si="0"/>
        <v>990</v>
      </c>
      <c r="J6" s="24" t="s">
        <v>1793</v>
      </c>
      <c r="K6" s="24" t="s">
        <v>21</v>
      </c>
      <c r="L6" s="24" t="s">
        <v>1787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1794</v>
      </c>
      <c r="D7" s="24" t="s">
        <v>1795</v>
      </c>
      <c r="E7" s="24" t="s">
        <v>1796</v>
      </c>
      <c r="F7" s="24" t="s">
        <v>88</v>
      </c>
      <c r="G7" s="25">
        <v>515</v>
      </c>
      <c r="H7" s="25">
        <v>25</v>
      </c>
      <c r="I7" s="25">
        <f t="shared" si="0"/>
        <v>490</v>
      </c>
      <c r="J7" s="24" t="s">
        <v>1793</v>
      </c>
      <c r="K7" s="24" t="s">
        <v>21</v>
      </c>
      <c r="L7" s="24" t="s">
        <v>1787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1797</v>
      </c>
      <c r="D8" s="24" t="s">
        <v>1798</v>
      </c>
      <c r="E8" s="24" t="s">
        <v>1799</v>
      </c>
      <c r="F8" s="24" t="s">
        <v>26</v>
      </c>
      <c r="G8" s="25">
        <v>900</v>
      </c>
      <c r="H8" s="25">
        <v>30</v>
      </c>
      <c r="I8" s="25">
        <f t="shared" si="0"/>
        <v>870</v>
      </c>
      <c r="J8" s="24" t="s">
        <v>1793</v>
      </c>
      <c r="K8" s="24" t="s">
        <v>21</v>
      </c>
      <c r="L8" s="24" t="s">
        <v>1787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1800</v>
      </c>
      <c r="D9" s="24" t="s">
        <v>1801</v>
      </c>
      <c r="E9" s="24" t="s">
        <v>1802</v>
      </c>
      <c r="F9" s="24" t="s">
        <v>113</v>
      </c>
      <c r="G9" s="25">
        <v>415</v>
      </c>
      <c r="H9" s="25">
        <v>35</v>
      </c>
      <c r="I9" s="25">
        <f t="shared" si="0"/>
        <v>380</v>
      </c>
      <c r="J9" s="24" t="s">
        <v>1793</v>
      </c>
      <c r="K9" s="24" t="s">
        <v>21</v>
      </c>
      <c r="L9" s="24" t="s">
        <v>1787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1803</v>
      </c>
      <c r="D10" s="24" t="s">
        <v>1804</v>
      </c>
      <c r="E10" s="24" t="s">
        <v>1805</v>
      </c>
      <c r="F10" s="24" t="s">
        <v>26</v>
      </c>
      <c r="G10" s="25">
        <v>0</v>
      </c>
      <c r="H10" s="25">
        <v>30</v>
      </c>
      <c r="I10" s="25">
        <f t="shared" si="0"/>
        <v>-30</v>
      </c>
      <c r="J10" s="24" t="s">
        <v>1793</v>
      </c>
      <c r="K10" s="24" t="s">
        <v>21</v>
      </c>
      <c r="L10" s="24" t="s">
        <v>1787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1806</v>
      </c>
      <c r="D11" s="24" t="s">
        <v>1807</v>
      </c>
      <c r="E11" s="24" t="s">
        <v>1808</v>
      </c>
      <c r="F11" s="25">
        <v>12</v>
      </c>
      <c r="G11" s="25">
        <v>30</v>
      </c>
      <c r="H11" s="25">
        <v>30</v>
      </c>
      <c r="I11" s="25">
        <f t="shared" si="0"/>
        <v>0</v>
      </c>
      <c r="J11" s="24" t="s">
        <v>1793</v>
      </c>
      <c r="K11" s="24" t="s">
        <v>21</v>
      </c>
      <c r="L11" s="24" t="s">
        <v>1787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1809</v>
      </c>
      <c r="D12" s="24" t="s">
        <v>1810</v>
      </c>
      <c r="E12" s="24" t="s">
        <v>1811</v>
      </c>
      <c r="F12" s="25">
        <v>8</v>
      </c>
      <c r="G12" s="25">
        <v>690</v>
      </c>
      <c r="H12" s="25">
        <v>30</v>
      </c>
      <c r="I12" s="25">
        <f t="shared" si="0"/>
        <v>660</v>
      </c>
      <c r="J12" s="24" t="s">
        <v>1793</v>
      </c>
      <c r="K12" s="24" t="s">
        <v>21</v>
      </c>
      <c r="L12" s="24" t="s">
        <v>1787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1812</v>
      </c>
      <c r="D13" s="24" t="s">
        <v>1813</v>
      </c>
      <c r="E13" s="24" t="s">
        <v>1814</v>
      </c>
      <c r="F13" s="25">
        <v>7</v>
      </c>
      <c r="G13" s="25">
        <v>820</v>
      </c>
      <c r="H13" s="25">
        <v>30</v>
      </c>
      <c r="I13" s="25">
        <f t="shared" si="0"/>
        <v>790</v>
      </c>
      <c r="J13" s="24" t="s">
        <v>1793</v>
      </c>
      <c r="K13" s="24" t="s">
        <v>21</v>
      </c>
      <c r="L13" s="24" t="s">
        <v>1787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1815</v>
      </c>
      <c r="D14" s="24" t="s">
        <v>1816</v>
      </c>
      <c r="E14" s="24" t="s">
        <v>1817</v>
      </c>
      <c r="F14" s="25">
        <v>12</v>
      </c>
      <c r="G14" s="25">
        <v>560</v>
      </c>
      <c r="H14" s="25">
        <v>30</v>
      </c>
      <c r="I14" s="25">
        <f t="shared" si="0"/>
        <v>530</v>
      </c>
      <c r="J14" s="24" t="s">
        <v>1793</v>
      </c>
      <c r="K14" s="24" t="s">
        <v>21</v>
      </c>
      <c r="L14" s="24" t="s">
        <v>1787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1818</v>
      </c>
      <c r="D15" s="24" t="s">
        <v>1819</v>
      </c>
      <c r="E15" s="24" t="s">
        <v>1820</v>
      </c>
      <c r="F15" s="25">
        <v>7</v>
      </c>
      <c r="G15" s="25">
        <v>1610</v>
      </c>
      <c r="H15" s="25">
        <v>30</v>
      </c>
      <c r="I15" s="25">
        <f t="shared" si="0"/>
        <v>1580</v>
      </c>
      <c r="J15" s="24" t="s">
        <v>1793</v>
      </c>
      <c r="K15" s="24" t="s">
        <v>21</v>
      </c>
      <c r="L15" s="24" t="s">
        <v>1787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1821</v>
      </c>
      <c r="D16" s="24" t="s">
        <v>1822</v>
      </c>
      <c r="E16" s="24" t="s">
        <v>1823</v>
      </c>
      <c r="F16" s="24" t="s">
        <v>26</v>
      </c>
      <c r="G16" s="25">
        <v>555</v>
      </c>
      <c r="H16" s="25">
        <v>25</v>
      </c>
      <c r="I16" s="25">
        <f t="shared" si="0"/>
        <v>530</v>
      </c>
      <c r="J16" s="24" t="s">
        <v>1793</v>
      </c>
      <c r="K16" s="24" t="s">
        <v>21</v>
      </c>
      <c r="L16" s="24" t="s">
        <v>1787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1824</v>
      </c>
      <c r="D17" s="24" t="s">
        <v>1825</v>
      </c>
      <c r="E17" s="24" t="s">
        <v>1826</v>
      </c>
      <c r="F17" s="24" t="s">
        <v>217</v>
      </c>
      <c r="G17" s="25">
        <v>845</v>
      </c>
      <c r="H17" s="25">
        <v>25</v>
      </c>
      <c r="I17" s="25">
        <f t="shared" si="0"/>
        <v>820</v>
      </c>
      <c r="J17" s="24" t="s">
        <v>1793</v>
      </c>
      <c r="K17" s="24" t="s">
        <v>21</v>
      </c>
      <c r="L17" s="24" t="s">
        <v>1787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221</v>
      </c>
      <c r="D18" s="24" t="s">
        <v>1827</v>
      </c>
      <c r="E18" s="24" t="s">
        <v>223</v>
      </c>
      <c r="F18" s="25">
        <v>8</v>
      </c>
      <c r="G18" s="25">
        <v>2000</v>
      </c>
      <c r="H18" s="25">
        <v>30</v>
      </c>
      <c r="I18" s="25">
        <f t="shared" si="0"/>
        <v>1970</v>
      </c>
      <c r="J18" s="24" t="s">
        <v>1793</v>
      </c>
      <c r="K18" s="24" t="s">
        <v>21</v>
      </c>
      <c r="L18" s="24" t="s">
        <v>1787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1828</v>
      </c>
      <c r="D19" s="24" t="s">
        <v>1829</v>
      </c>
      <c r="E19" s="24" t="s">
        <v>1830</v>
      </c>
      <c r="F19" s="24" t="s">
        <v>128</v>
      </c>
      <c r="G19" s="25">
        <v>35</v>
      </c>
      <c r="H19" s="25">
        <v>35</v>
      </c>
      <c r="I19" s="25">
        <f t="shared" si="0"/>
        <v>0</v>
      </c>
      <c r="J19" s="24" t="s">
        <v>1793</v>
      </c>
      <c r="K19" s="24" t="s">
        <v>21</v>
      </c>
      <c r="L19" s="24" t="s">
        <v>1787</v>
      </c>
      <c r="M19" s="24" t="s">
        <v>49</v>
      </c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1831</v>
      </c>
      <c r="D20" s="24" t="s">
        <v>1832</v>
      </c>
      <c r="E20" s="24" t="s">
        <v>1833</v>
      </c>
      <c r="F20" s="25">
        <v>11</v>
      </c>
      <c r="G20" s="25">
        <v>955</v>
      </c>
      <c r="H20" s="25">
        <v>25</v>
      </c>
      <c r="I20" s="25">
        <f t="shared" si="0"/>
        <v>930</v>
      </c>
      <c r="J20" s="24" t="s">
        <v>1793</v>
      </c>
      <c r="K20" s="24" t="s">
        <v>21</v>
      </c>
      <c r="L20" s="24" t="s">
        <v>1787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1834</v>
      </c>
      <c r="D21" s="24" t="s">
        <v>1835</v>
      </c>
      <c r="E21" s="24" t="s">
        <v>1836</v>
      </c>
      <c r="F21" s="25">
        <v>7</v>
      </c>
      <c r="G21" s="25">
        <v>800</v>
      </c>
      <c r="H21" s="25">
        <v>30</v>
      </c>
      <c r="I21" s="25">
        <f t="shared" si="0"/>
        <v>770</v>
      </c>
      <c r="J21" s="24" t="s">
        <v>1793</v>
      </c>
      <c r="K21" s="24" t="s">
        <v>21</v>
      </c>
      <c r="L21" s="24" t="s">
        <v>1787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1837</v>
      </c>
      <c r="D22" s="24" t="s">
        <v>1838</v>
      </c>
      <c r="E22" s="24" t="s">
        <v>1839</v>
      </c>
      <c r="F22" s="24" t="s">
        <v>128</v>
      </c>
      <c r="G22" s="25">
        <v>695</v>
      </c>
      <c r="H22" s="25">
        <v>35</v>
      </c>
      <c r="I22" s="25">
        <f t="shared" si="0"/>
        <v>660</v>
      </c>
      <c r="J22" s="24" t="s">
        <v>1793</v>
      </c>
      <c r="K22" s="24" t="s">
        <v>21</v>
      </c>
      <c r="L22" s="24" t="s">
        <v>1787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1840</v>
      </c>
      <c r="D23" s="24" t="s">
        <v>1841</v>
      </c>
      <c r="E23" s="24" t="s">
        <v>1842</v>
      </c>
      <c r="F23" s="24" t="s">
        <v>217</v>
      </c>
      <c r="G23" s="25">
        <v>955</v>
      </c>
      <c r="H23" s="25">
        <v>25</v>
      </c>
      <c r="I23" s="25">
        <f t="shared" si="0"/>
        <v>930</v>
      </c>
      <c r="J23" s="24" t="s">
        <v>1793</v>
      </c>
      <c r="K23" s="24" t="s">
        <v>21</v>
      </c>
      <c r="L23" s="24" t="s">
        <v>1787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687</v>
      </c>
      <c r="D24" s="24" t="s">
        <v>1843</v>
      </c>
      <c r="E24" s="24" t="s">
        <v>1844</v>
      </c>
      <c r="F24" s="24" t="s">
        <v>26</v>
      </c>
      <c r="G24" s="25">
        <v>1450</v>
      </c>
      <c r="H24" s="25">
        <v>30</v>
      </c>
      <c r="I24" s="25">
        <f t="shared" si="0"/>
        <v>1420</v>
      </c>
      <c r="J24" s="24" t="s">
        <v>1793</v>
      </c>
      <c r="K24" s="24" t="s">
        <v>21</v>
      </c>
      <c r="L24" s="24" t="s">
        <v>1787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1845</v>
      </c>
      <c r="D25" s="24" t="s">
        <v>1846</v>
      </c>
      <c r="E25" s="24" t="s">
        <v>1847</v>
      </c>
      <c r="F25" s="25">
        <v>6</v>
      </c>
      <c r="G25" s="25">
        <v>685</v>
      </c>
      <c r="H25" s="25">
        <v>25</v>
      </c>
      <c r="I25" s="25">
        <f t="shared" si="0"/>
        <v>660</v>
      </c>
      <c r="J25" s="24" t="s">
        <v>1793</v>
      </c>
      <c r="K25" s="24" t="s">
        <v>21</v>
      </c>
      <c r="L25" s="24" t="s">
        <v>1787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1848</v>
      </c>
      <c r="D26" s="24" t="s">
        <v>1849</v>
      </c>
      <c r="E26" s="24" t="s">
        <v>1850</v>
      </c>
      <c r="F26" s="24" t="s">
        <v>259</v>
      </c>
      <c r="G26" s="25">
        <v>0</v>
      </c>
      <c r="H26" s="25">
        <v>35</v>
      </c>
      <c r="I26" s="25">
        <f t="shared" si="0"/>
        <v>-35</v>
      </c>
      <c r="J26" s="24" t="s">
        <v>1793</v>
      </c>
      <c r="K26" s="24" t="s">
        <v>21</v>
      </c>
      <c r="L26" s="24" t="s">
        <v>1787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1851</v>
      </c>
      <c r="D27" s="24" t="s">
        <v>1852</v>
      </c>
      <c r="E27" s="24" t="s">
        <v>1853</v>
      </c>
      <c r="F27" s="24" t="s">
        <v>26</v>
      </c>
      <c r="G27" s="25">
        <v>900</v>
      </c>
      <c r="H27" s="25">
        <v>30</v>
      </c>
      <c r="I27" s="25">
        <f t="shared" si="0"/>
        <v>870</v>
      </c>
      <c r="J27" s="24" t="s">
        <v>1793</v>
      </c>
      <c r="K27" s="24" t="s">
        <v>21</v>
      </c>
      <c r="L27" s="24" t="s">
        <v>1787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346</v>
      </c>
      <c r="D28" s="24" t="s">
        <v>1854</v>
      </c>
      <c r="E28" s="24" t="s">
        <v>348</v>
      </c>
      <c r="F28" s="24" t="s">
        <v>26</v>
      </c>
      <c r="G28" s="25">
        <v>720</v>
      </c>
      <c r="H28" s="25">
        <v>30</v>
      </c>
      <c r="I28" s="25">
        <f t="shared" si="0"/>
        <v>690</v>
      </c>
      <c r="J28" s="24" t="s">
        <v>1793</v>
      </c>
      <c r="K28" s="24" t="s">
        <v>21</v>
      </c>
      <c r="L28" s="24" t="s">
        <v>1787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1330</v>
      </c>
      <c r="D29" s="24" t="s">
        <v>1855</v>
      </c>
      <c r="E29" s="24" t="s">
        <v>1332</v>
      </c>
      <c r="F29" s="24" t="s">
        <v>128</v>
      </c>
      <c r="G29" s="25">
        <v>895</v>
      </c>
      <c r="H29" s="25">
        <v>35</v>
      </c>
      <c r="I29" s="25">
        <f t="shared" si="0"/>
        <v>860</v>
      </c>
      <c r="J29" s="24" t="s">
        <v>1793</v>
      </c>
      <c r="K29" s="24" t="s">
        <v>21</v>
      </c>
      <c r="L29" s="24" t="s">
        <v>1787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701</v>
      </c>
      <c r="D30" s="24" t="s">
        <v>1856</v>
      </c>
      <c r="E30" s="24" t="s">
        <v>703</v>
      </c>
      <c r="F30" s="24" t="s">
        <v>217</v>
      </c>
      <c r="G30" s="25">
        <v>825</v>
      </c>
      <c r="H30" s="25">
        <v>25</v>
      </c>
      <c r="I30" s="25">
        <f t="shared" si="0"/>
        <v>800</v>
      </c>
      <c r="J30" s="24" t="s">
        <v>1793</v>
      </c>
      <c r="K30" s="24" t="s">
        <v>21</v>
      </c>
      <c r="L30" s="24" t="s">
        <v>1787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1857</v>
      </c>
      <c r="D31" s="24" t="s">
        <v>1858</v>
      </c>
      <c r="E31" s="24" t="s">
        <v>1859</v>
      </c>
      <c r="F31" s="25">
        <v>11</v>
      </c>
      <c r="G31" s="25">
        <v>2050</v>
      </c>
      <c r="H31" s="25">
        <v>25</v>
      </c>
      <c r="I31" s="25">
        <f t="shared" si="0"/>
        <v>2025</v>
      </c>
      <c r="J31" s="24" t="s">
        <v>1793</v>
      </c>
      <c r="K31" s="24" t="s">
        <v>21</v>
      </c>
      <c r="L31" s="24" t="s">
        <v>1787</v>
      </c>
      <c r="M31" s="31" t="s">
        <v>398</v>
      </c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1860</v>
      </c>
      <c r="D32" s="24" t="s">
        <v>1861</v>
      </c>
      <c r="E32" s="24" t="s">
        <v>1862</v>
      </c>
      <c r="F32" s="24" t="s">
        <v>26</v>
      </c>
      <c r="G32" s="25">
        <v>750</v>
      </c>
      <c r="H32" s="25">
        <v>30</v>
      </c>
      <c r="I32" s="25">
        <f t="shared" si="0"/>
        <v>720</v>
      </c>
      <c r="J32" s="24" t="s">
        <v>1793</v>
      </c>
      <c r="K32" s="24" t="s">
        <v>21</v>
      </c>
      <c r="L32" s="24" t="s">
        <v>1787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1863</v>
      </c>
      <c r="D33" s="24" t="s">
        <v>1864</v>
      </c>
      <c r="E33" s="24" t="s">
        <v>1865</v>
      </c>
      <c r="F33" s="25">
        <v>8</v>
      </c>
      <c r="G33" s="25">
        <v>0</v>
      </c>
      <c r="H33" s="25">
        <v>25</v>
      </c>
      <c r="I33" s="25">
        <f t="shared" si="0"/>
        <v>-25</v>
      </c>
      <c r="J33" s="24" t="s">
        <v>1793</v>
      </c>
      <c r="K33" s="24" t="s">
        <v>21</v>
      </c>
      <c r="L33" s="24" t="s">
        <v>1787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1866</v>
      </c>
      <c r="D34" s="24" t="s">
        <v>1867</v>
      </c>
      <c r="E34" s="24" t="s">
        <v>1868</v>
      </c>
      <c r="F34" s="24" t="s">
        <v>113</v>
      </c>
      <c r="G34" s="25">
        <v>965</v>
      </c>
      <c r="H34" s="25">
        <v>35</v>
      </c>
      <c r="I34" s="25">
        <f t="shared" si="0"/>
        <v>930</v>
      </c>
      <c r="J34" s="24" t="s">
        <v>1793</v>
      </c>
      <c r="K34" s="24" t="s">
        <v>21</v>
      </c>
      <c r="L34" s="24" t="s">
        <v>1787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1869</v>
      </c>
      <c r="D35" s="24" t="s">
        <v>1870</v>
      </c>
      <c r="E35" s="24" t="s">
        <v>1871</v>
      </c>
      <c r="F35" s="24" t="s">
        <v>113</v>
      </c>
      <c r="G35" s="25">
        <v>0</v>
      </c>
      <c r="H35" s="25">
        <v>35</v>
      </c>
      <c r="I35" s="25">
        <f t="shared" ref="I35:I66" si="1">G35-H35</f>
        <v>-35</v>
      </c>
      <c r="J35" s="24" t="s">
        <v>1793</v>
      </c>
      <c r="K35" s="24" t="s">
        <v>21</v>
      </c>
      <c r="L35" s="24" t="s">
        <v>1787</v>
      </c>
      <c r="M35" s="24" t="s">
        <v>49</v>
      </c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1171</v>
      </c>
      <c r="D36" s="24" t="s">
        <v>1872</v>
      </c>
      <c r="E36" s="24" t="s">
        <v>1873</v>
      </c>
      <c r="F36" s="25">
        <v>7</v>
      </c>
      <c r="G36" s="25">
        <v>690</v>
      </c>
      <c r="H36" s="25">
        <v>30</v>
      </c>
      <c r="I36" s="25">
        <f t="shared" si="1"/>
        <v>660</v>
      </c>
      <c r="J36" s="24" t="s">
        <v>1793</v>
      </c>
      <c r="K36" s="24" t="s">
        <v>21</v>
      </c>
      <c r="L36" s="24" t="s">
        <v>1787</v>
      </c>
      <c r="M36" s="24"/>
      <c r="N36" s="24"/>
      <c r="O36" s="24"/>
      <c r="P36" s="24"/>
      <c r="Q36" s="24">
        <v>1</v>
      </c>
    </row>
    <row r="37" spans="1:17" x14ac:dyDescent="0.25">
      <c r="A37" s="24"/>
      <c r="B37" s="24" t="s">
        <v>16</v>
      </c>
      <c r="C37" s="24" t="s">
        <v>1874</v>
      </c>
      <c r="D37" s="24" t="s">
        <v>1875</v>
      </c>
      <c r="E37" s="24" t="s">
        <v>1876</v>
      </c>
      <c r="F37" s="24" t="s">
        <v>128</v>
      </c>
      <c r="G37" s="25">
        <v>895</v>
      </c>
      <c r="H37" s="25">
        <v>35</v>
      </c>
      <c r="I37" s="25">
        <f t="shared" si="1"/>
        <v>860</v>
      </c>
      <c r="J37" s="24" t="s">
        <v>1793</v>
      </c>
      <c r="K37" s="24" t="s">
        <v>21</v>
      </c>
      <c r="L37" s="24" t="s">
        <v>1787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247</v>
      </c>
      <c r="D38" s="24" t="s">
        <v>1877</v>
      </c>
      <c r="E38" s="24" t="s">
        <v>918</v>
      </c>
      <c r="F38" s="24" t="s">
        <v>26</v>
      </c>
      <c r="G38" s="25">
        <v>1420</v>
      </c>
      <c r="H38" s="25">
        <v>30</v>
      </c>
      <c r="I38" s="25">
        <f t="shared" si="1"/>
        <v>1390</v>
      </c>
      <c r="J38" s="24" t="s">
        <v>1793</v>
      </c>
      <c r="K38" s="24" t="s">
        <v>21</v>
      </c>
      <c r="L38" s="24" t="s">
        <v>1787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1878</v>
      </c>
      <c r="D39" s="24" t="s">
        <v>1879</v>
      </c>
      <c r="E39" s="24" t="s">
        <v>1880</v>
      </c>
      <c r="F39" s="25">
        <v>8</v>
      </c>
      <c r="G39" s="25">
        <v>890</v>
      </c>
      <c r="H39" s="25">
        <v>30</v>
      </c>
      <c r="I39" s="25">
        <f t="shared" si="1"/>
        <v>860</v>
      </c>
      <c r="J39" s="24" t="s">
        <v>1793</v>
      </c>
      <c r="K39" s="24" t="s">
        <v>21</v>
      </c>
      <c r="L39" s="24" t="s">
        <v>1787</v>
      </c>
      <c r="M39" s="24"/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1881</v>
      </c>
      <c r="D40" s="24" t="s">
        <v>1882</v>
      </c>
      <c r="E40" s="24" t="s">
        <v>1883</v>
      </c>
      <c r="F40" s="25">
        <v>8</v>
      </c>
      <c r="G40" s="25">
        <v>0</v>
      </c>
      <c r="H40" s="25">
        <v>25</v>
      </c>
      <c r="I40" s="25">
        <f t="shared" si="1"/>
        <v>-25</v>
      </c>
      <c r="J40" s="24" t="s">
        <v>1793</v>
      </c>
      <c r="K40" s="24" t="s">
        <v>21</v>
      </c>
      <c r="L40" s="24" t="s">
        <v>1787</v>
      </c>
      <c r="M40" s="24"/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1884</v>
      </c>
      <c r="D41" s="24" t="s">
        <v>1885</v>
      </c>
      <c r="E41" s="24" t="s">
        <v>1886</v>
      </c>
      <c r="F41" s="24" t="s">
        <v>88</v>
      </c>
      <c r="G41" s="25">
        <v>0</v>
      </c>
      <c r="H41" s="25">
        <v>25</v>
      </c>
      <c r="I41" s="25">
        <f t="shared" si="1"/>
        <v>-25</v>
      </c>
      <c r="J41" s="24" t="s">
        <v>1793</v>
      </c>
      <c r="K41" s="24" t="s">
        <v>21</v>
      </c>
      <c r="L41" s="24" t="s">
        <v>1787</v>
      </c>
      <c r="M41" s="24"/>
      <c r="N41" s="24"/>
      <c r="O41" s="24"/>
      <c r="P41" s="24"/>
      <c r="Q41" s="24">
        <v>1</v>
      </c>
    </row>
    <row r="42" spans="1:17" x14ac:dyDescent="0.25">
      <c r="A42" s="24" t="s">
        <v>62</v>
      </c>
      <c r="B42" s="24" t="s">
        <v>16</v>
      </c>
      <c r="C42" s="24" t="s">
        <v>63</v>
      </c>
      <c r="D42" s="24"/>
      <c r="E42" s="24" t="s">
        <v>64</v>
      </c>
      <c r="F42" s="25">
        <v>6</v>
      </c>
      <c r="G42" s="25">
        <v>0</v>
      </c>
      <c r="H42" s="25">
        <v>30</v>
      </c>
      <c r="I42" s="25">
        <f t="shared" si="1"/>
        <v>-30</v>
      </c>
      <c r="J42" s="24" t="s">
        <v>1793</v>
      </c>
      <c r="K42" s="24" t="s">
        <v>21</v>
      </c>
      <c r="L42" s="24" t="s">
        <v>1787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1887</v>
      </c>
      <c r="D43" s="24" t="s">
        <v>1888</v>
      </c>
      <c r="E43" s="24" t="s">
        <v>1889</v>
      </c>
      <c r="F43" s="24" t="s">
        <v>153</v>
      </c>
      <c r="G43" s="25">
        <v>520</v>
      </c>
      <c r="H43" s="25">
        <v>30</v>
      </c>
      <c r="I43" s="25">
        <f t="shared" si="1"/>
        <v>490</v>
      </c>
      <c r="J43" s="24" t="s">
        <v>21</v>
      </c>
      <c r="K43" s="24" t="s">
        <v>21</v>
      </c>
      <c r="L43" s="24" t="s">
        <v>1787</v>
      </c>
      <c r="M43" s="24"/>
      <c r="N43" s="24"/>
      <c r="O43" s="24"/>
      <c r="P43" s="24"/>
      <c r="Q43" s="24">
        <v>1</v>
      </c>
    </row>
    <row r="44" spans="1:17" x14ac:dyDescent="0.25">
      <c r="A44" s="24"/>
      <c r="B44" s="24" t="s">
        <v>16</v>
      </c>
      <c r="C44" s="24" t="s">
        <v>1890</v>
      </c>
      <c r="D44" s="24" t="s">
        <v>1891</v>
      </c>
      <c r="E44" s="24" t="s">
        <v>1892</v>
      </c>
      <c r="F44" s="24" t="s">
        <v>68</v>
      </c>
      <c r="G44" s="25">
        <v>550</v>
      </c>
      <c r="H44" s="25">
        <v>20</v>
      </c>
      <c r="I44" s="25">
        <f t="shared" si="1"/>
        <v>530</v>
      </c>
      <c r="J44" s="24" t="s">
        <v>21</v>
      </c>
      <c r="K44" s="24" t="s">
        <v>21</v>
      </c>
      <c r="L44" s="24" t="s">
        <v>1787</v>
      </c>
      <c r="M44" s="24"/>
      <c r="N44" s="24"/>
      <c r="O44" s="24"/>
      <c r="P44" s="24"/>
      <c r="Q44" s="24">
        <v>1</v>
      </c>
    </row>
    <row r="45" spans="1:17" x14ac:dyDescent="0.25">
      <c r="A45" s="24"/>
      <c r="B45" s="24" t="s">
        <v>16</v>
      </c>
      <c r="C45" s="24" t="s">
        <v>1893</v>
      </c>
      <c r="D45" s="24" t="s">
        <v>1894</v>
      </c>
      <c r="E45" s="24" t="s">
        <v>1895</v>
      </c>
      <c r="F45" s="24" t="s">
        <v>72</v>
      </c>
      <c r="G45" s="25">
        <v>1085</v>
      </c>
      <c r="H45" s="25">
        <v>25</v>
      </c>
      <c r="I45" s="25">
        <f t="shared" si="1"/>
        <v>1060</v>
      </c>
      <c r="J45" s="24" t="s">
        <v>21</v>
      </c>
      <c r="K45" s="24" t="s">
        <v>21</v>
      </c>
      <c r="L45" s="24" t="s">
        <v>1787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136</v>
      </c>
      <c r="D46" s="24" t="s">
        <v>1896</v>
      </c>
      <c r="E46" s="24" t="s">
        <v>138</v>
      </c>
      <c r="F46" s="24" t="s">
        <v>68</v>
      </c>
      <c r="G46" s="25">
        <v>0</v>
      </c>
      <c r="H46" s="25">
        <v>20</v>
      </c>
      <c r="I46" s="25">
        <f t="shared" si="1"/>
        <v>-20</v>
      </c>
      <c r="J46" s="24" t="s">
        <v>21</v>
      </c>
      <c r="K46" s="24" t="s">
        <v>21</v>
      </c>
      <c r="L46" s="24" t="s">
        <v>1787</v>
      </c>
      <c r="M46" s="24"/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1897</v>
      </c>
      <c r="D47" s="24" t="s">
        <v>1898</v>
      </c>
      <c r="E47" s="24" t="s">
        <v>1752</v>
      </c>
      <c r="F47" s="25">
        <v>12</v>
      </c>
      <c r="G47" s="25">
        <v>0</v>
      </c>
      <c r="H47" s="25">
        <v>30</v>
      </c>
      <c r="I47" s="25">
        <f t="shared" si="1"/>
        <v>-30</v>
      </c>
      <c r="J47" s="24" t="s">
        <v>21</v>
      </c>
      <c r="K47" s="24" t="s">
        <v>21</v>
      </c>
      <c r="L47" s="24" t="s">
        <v>1787</v>
      </c>
      <c r="M47" s="24"/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1574</v>
      </c>
      <c r="D48" s="24" t="s">
        <v>1899</v>
      </c>
      <c r="E48" s="24" t="s">
        <v>1900</v>
      </c>
      <c r="F48" s="25">
        <v>2</v>
      </c>
      <c r="G48" s="25">
        <v>100</v>
      </c>
      <c r="H48" s="25">
        <v>30</v>
      </c>
      <c r="I48" s="25">
        <f t="shared" si="1"/>
        <v>70</v>
      </c>
      <c r="J48" s="24" t="s">
        <v>21</v>
      </c>
      <c r="K48" s="24" t="s">
        <v>21</v>
      </c>
      <c r="L48" s="24" t="s">
        <v>1787</v>
      </c>
      <c r="M48" s="24" t="s">
        <v>49</v>
      </c>
      <c r="N48" s="24"/>
      <c r="O48" s="24"/>
      <c r="P48" s="24"/>
      <c r="Q48" s="24">
        <v>1</v>
      </c>
    </row>
    <row r="49" spans="1:17" x14ac:dyDescent="0.25">
      <c r="A49" s="24"/>
      <c r="B49" s="24" t="s">
        <v>16</v>
      </c>
      <c r="C49" s="24" t="s">
        <v>1901</v>
      </c>
      <c r="D49" s="24" t="s">
        <v>1902</v>
      </c>
      <c r="E49" s="24" t="s">
        <v>1903</v>
      </c>
      <c r="F49" s="24" t="s">
        <v>68</v>
      </c>
      <c r="G49" s="25">
        <v>1270</v>
      </c>
      <c r="H49" s="25">
        <v>20</v>
      </c>
      <c r="I49" s="25">
        <f t="shared" si="1"/>
        <v>1250</v>
      </c>
      <c r="J49" s="24" t="s">
        <v>21</v>
      </c>
      <c r="K49" s="24" t="s">
        <v>21</v>
      </c>
      <c r="L49" s="24" t="s">
        <v>1787</v>
      </c>
      <c r="M49" s="24"/>
      <c r="N49" s="24"/>
      <c r="O49" s="24"/>
      <c r="P49" s="24"/>
      <c r="Q49" s="24">
        <v>1</v>
      </c>
    </row>
    <row r="50" spans="1:17" x14ac:dyDescent="0.25">
      <c r="A50" s="24"/>
      <c r="B50" s="24" t="s">
        <v>16</v>
      </c>
      <c r="C50" s="24" t="s">
        <v>1904</v>
      </c>
      <c r="D50" s="24" t="s">
        <v>1905</v>
      </c>
      <c r="E50" s="24" t="s">
        <v>1906</v>
      </c>
      <c r="F50" s="24" t="s">
        <v>68</v>
      </c>
      <c r="G50" s="25">
        <v>0</v>
      </c>
      <c r="H50" s="25">
        <v>20</v>
      </c>
      <c r="I50" s="25">
        <f t="shared" si="1"/>
        <v>-20</v>
      </c>
      <c r="J50" s="24" t="s">
        <v>21</v>
      </c>
      <c r="K50" s="24" t="s">
        <v>21</v>
      </c>
      <c r="L50" s="24" t="s">
        <v>1787</v>
      </c>
      <c r="M50" s="31" t="s">
        <v>312</v>
      </c>
      <c r="N50" s="24"/>
      <c r="O50" s="24"/>
      <c r="P50" s="24"/>
      <c r="Q50" s="24">
        <v>1</v>
      </c>
    </row>
    <row r="51" spans="1:17" x14ac:dyDescent="0.25">
      <c r="A51" s="24"/>
      <c r="B51" s="24" t="s">
        <v>16</v>
      </c>
      <c r="C51" s="24" t="s">
        <v>1904</v>
      </c>
      <c r="D51" s="24" t="s">
        <v>1907</v>
      </c>
      <c r="E51" s="24" t="s">
        <v>1906</v>
      </c>
      <c r="F51" s="24" t="s">
        <v>68</v>
      </c>
      <c r="G51" s="25">
        <v>0</v>
      </c>
      <c r="H51" s="25">
        <v>0</v>
      </c>
      <c r="I51" s="25">
        <f t="shared" si="1"/>
        <v>0</v>
      </c>
      <c r="J51" s="24" t="s">
        <v>21</v>
      </c>
      <c r="K51" s="24" t="s">
        <v>21</v>
      </c>
      <c r="L51" s="24" t="s">
        <v>1787</v>
      </c>
      <c r="M51" s="31" t="s">
        <v>312</v>
      </c>
      <c r="N51" s="24"/>
      <c r="O51" s="24"/>
      <c r="P51" s="24"/>
      <c r="Q51" s="24">
        <v>1</v>
      </c>
    </row>
    <row r="52" spans="1:17" x14ac:dyDescent="0.25">
      <c r="A52" s="24"/>
      <c r="B52" s="24" t="s">
        <v>16</v>
      </c>
      <c r="C52" s="24" t="s">
        <v>1908</v>
      </c>
      <c r="D52" s="24" t="s">
        <v>1909</v>
      </c>
      <c r="E52" s="24" t="s">
        <v>1910</v>
      </c>
      <c r="F52" s="24" t="s">
        <v>72</v>
      </c>
      <c r="G52" s="25">
        <v>895</v>
      </c>
      <c r="H52" s="25">
        <v>25</v>
      </c>
      <c r="I52" s="25">
        <f t="shared" si="1"/>
        <v>870</v>
      </c>
      <c r="J52" s="24" t="s">
        <v>21</v>
      </c>
      <c r="K52" s="24" t="s">
        <v>21</v>
      </c>
      <c r="L52" s="24" t="s">
        <v>1787</v>
      </c>
      <c r="M52" s="24"/>
      <c r="N52" s="24"/>
      <c r="O52" s="24"/>
      <c r="P52" s="24"/>
      <c r="Q52" s="24">
        <v>1</v>
      </c>
    </row>
    <row r="53" spans="1:17" x14ac:dyDescent="0.25">
      <c r="A53" s="24"/>
      <c r="B53" s="24" t="s">
        <v>16</v>
      </c>
      <c r="C53" s="24" t="s">
        <v>1911</v>
      </c>
      <c r="D53" s="24" t="s">
        <v>1912</v>
      </c>
      <c r="E53" s="24" t="s">
        <v>1913</v>
      </c>
      <c r="F53" s="24" t="s">
        <v>72</v>
      </c>
      <c r="G53" s="25">
        <v>0</v>
      </c>
      <c r="H53" s="25">
        <v>25</v>
      </c>
      <c r="I53" s="25">
        <f t="shared" si="1"/>
        <v>-25</v>
      </c>
      <c r="J53" s="24" t="s">
        <v>21</v>
      </c>
      <c r="K53" s="24" t="s">
        <v>21</v>
      </c>
      <c r="L53" s="24" t="s">
        <v>1787</v>
      </c>
      <c r="M53" s="24"/>
      <c r="N53" s="24"/>
      <c r="O53" s="24"/>
      <c r="P53" s="24"/>
      <c r="Q53" s="24">
        <v>1</v>
      </c>
    </row>
    <row r="54" spans="1:17" x14ac:dyDescent="0.25">
      <c r="A54" s="24"/>
      <c r="B54" s="24" t="s">
        <v>16</v>
      </c>
      <c r="C54" s="24" t="s">
        <v>1914</v>
      </c>
      <c r="D54" s="24" t="s">
        <v>1915</v>
      </c>
      <c r="E54" s="24" t="s">
        <v>1916</v>
      </c>
      <c r="F54" s="25">
        <v>2</v>
      </c>
      <c r="G54" s="25">
        <v>690</v>
      </c>
      <c r="H54" s="25">
        <v>30</v>
      </c>
      <c r="I54" s="25">
        <f t="shared" si="1"/>
        <v>660</v>
      </c>
      <c r="J54" s="24" t="s">
        <v>21</v>
      </c>
      <c r="K54" s="24" t="s">
        <v>21</v>
      </c>
      <c r="L54" s="24" t="s">
        <v>1787</v>
      </c>
      <c r="M54" s="24"/>
      <c r="N54" s="24"/>
      <c r="O54" s="24"/>
      <c r="P54" s="24"/>
      <c r="Q54" s="24">
        <v>1</v>
      </c>
    </row>
    <row r="55" spans="1:17" x14ac:dyDescent="0.25">
      <c r="A55" s="24"/>
      <c r="B55" s="24" t="s">
        <v>16</v>
      </c>
      <c r="C55" s="42" t="s">
        <v>1917</v>
      </c>
      <c r="D55" s="24" t="s">
        <v>1918</v>
      </c>
      <c r="E55" s="24" t="s">
        <v>1919</v>
      </c>
      <c r="F55" s="25">
        <v>2</v>
      </c>
      <c r="G55" s="25">
        <v>1560</v>
      </c>
      <c r="H55" s="25">
        <v>30</v>
      </c>
      <c r="I55" s="25">
        <f t="shared" si="1"/>
        <v>1530</v>
      </c>
      <c r="J55" s="24" t="s">
        <v>21</v>
      </c>
      <c r="K55" s="24" t="s">
        <v>21</v>
      </c>
      <c r="L55" s="24" t="s">
        <v>1787</v>
      </c>
      <c r="M55" s="24"/>
      <c r="N55" s="24"/>
      <c r="O55" s="24"/>
      <c r="P55" s="24"/>
      <c r="Q55" s="24">
        <v>1</v>
      </c>
    </row>
    <row r="56" spans="1:17" x14ac:dyDescent="0.25">
      <c r="A56" s="24"/>
      <c r="B56" s="24" t="s">
        <v>16</v>
      </c>
      <c r="C56" s="24" t="s">
        <v>1920</v>
      </c>
      <c r="D56" s="24" t="s">
        <v>1921</v>
      </c>
      <c r="E56" s="24" t="s">
        <v>1922</v>
      </c>
      <c r="F56" s="24" t="s">
        <v>88</v>
      </c>
      <c r="G56" s="25">
        <v>685</v>
      </c>
      <c r="H56" s="25">
        <v>25</v>
      </c>
      <c r="I56" s="25">
        <f t="shared" si="1"/>
        <v>660</v>
      </c>
      <c r="J56" s="24" t="s">
        <v>21</v>
      </c>
      <c r="K56" s="24" t="s">
        <v>21</v>
      </c>
      <c r="L56" s="24" t="s">
        <v>1787</v>
      </c>
      <c r="M56" s="24"/>
      <c r="N56" s="24"/>
      <c r="O56" s="24"/>
      <c r="P56" s="24"/>
      <c r="Q56" s="24">
        <v>1</v>
      </c>
    </row>
    <row r="57" spans="1:17" x14ac:dyDescent="0.25">
      <c r="A57" s="24"/>
      <c r="B57" s="24" t="s">
        <v>16</v>
      </c>
      <c r="C57" s="24" t="s">
        <v>1923</v>
      </c>
      <c r="D57" s="24" t="s">
        <v>1924</v>
      </c>
      <c r="E57" s="24" t="s">
        <v>1925</v>
      </c>
      <c r="F57" s="25">
        <v>2</v>
      </c>
      <c r="G57" s="25">
        <v>1090</v>
      </c>
      <c r="H57" s="25">
        <v>30</v>
      </c>
      <c r="I57" s="25">
        <f t="shared" si="1"/>
        <v>1060</v>
      </c>
      <c r="J57" s="24" t="s">
        <v>21</v>
      </c>
      <c r="K57" s="24" t="s">
        <v>21</v>
      </c>
      <c r="L57" s="24" t="s">
        <v>1787</v>
      </c>
      <c r="M57" s="24"/>
      <c r="N57" s="24"/>
      <c r="O57" s="24"/>
      <c r="P57" s="24"/>
      <c r="Q57" s="24">
        <v>1</v>
      </c>
    </row>
    <row r="58" spans="1:17" x14ac:dyDescent="0.25">
      <c r="A58" s="24"/>
      <c r="B58" s="24" t="s">
        <v>16</v>
      </c>
      <c r="C58" s="24" t="s">
        <v>1926</v>
      </c>
      <c r="D58" s="24" t="s">
        <v>1927</v>
      </c>
      <c r="E58" s="24" t="s">
        <v>1928</v>
      </c>
      <c r="F58" s="24" t="s">
        <v>72</v>
      </c>
      <c r="G58" s="25">
        <v>725</v>
      </c>
      <c r="H58" s="25">
        <v>25</v>
      </c>
      <c r="I58" s="25">
        <f t="shared" si="1"/>
        <v>700</v>
      </c>
      <c r="J58" s="24" t="s">
        <v>21</v>
      </c>
      <c r="K58" s="24" t="s">
        <v>21</v>
      </c>
      <c r="L58" s="24" t="s">
        <v>1787</v>
      </c>
      <c r="M58" s="24"/>
      <c r="N58" s="24"/>
      <c r="O58" s="24"/>
      <c r="P58" s="24"/>
      <c r="Q58" s="24">
        <v>1</v>
      </c>
    </row>
    <row r="59" spans="1:17" x14ac:dyDescent="0.25">
      <c r="A59" s="24"/>
      <c r="B59" s="24" t="s">
        <v>16</v>
      </c>
      <c r="C59" s="24" t="s">
        <v>1514</v>
      </c>
      <c r="D59" s="24" t="s">
        <v>1929</v>
      </c>
      <c r="E59" s="24" t="s">
        <v>1930</v>
      </c>
      <c r="F59" s="25">
        <v>2</v>
      </c>
      <c r="G59" s="25">
        <v>2190</v>
      </c>
      <c r="H59" s="25">
        <v>35</v>
      </c>
      <c r="I59" s="25">
        <f t="shared" si="1"/>
        <v>2155</v>
      </c>
      <c r="J59" s="24" t="s">
        <v>21</v>
      </c>
      <c r="K59" s="24" t="s">
        <v>21</v>
      </c>
      <c r="L59" s="24" t="s">
        <v>1787</v>
      </c>
      <c r="M59" s="31" t="s">
        <v>398</v>
      </c>
      <c r="N59" s="24"/>
      <c r="O59" s="24"/>
      <c r="P59" s="24"/>
      <c r="Q59" s="24">
        <v>1</v>
      </c>
    </row>
    <row r="60" spans="1:17" x14ac:dyDescent="0.25">
      <c r="A60" s="24"/>
      <c r="B60" s="24" t="s">
        <v>16</v>
      </c>
      <c r="C60" s="24" t="s">
        <v>1931</v>
      </c>
      <c r="D60" s="24" t="s">
        <v>1932</v>
      </c>
      <c r="E60" s="24" t="s">
        <v>1933</v>
      </c>
      <c r="F60" s="24" t="s">
        <v>68</v>
      </c>
      <c r="G60" s="25">
        <v>2770</v>
      </c>
      <c r="H60" s="25">
        <v>25</v>
      </c>
      <c r="I60" s="25">
        <f t="shared" si="1"/>
        <v>2745</v>
      </c>
      <c r="J60" s="24" t="s">
        <v>21</v>
      </c>
      <c r="K60" s="24" t="s">
        <v>21</v>
      </c>
      <c r="L60" s="24" t="s">
        <v>1787</v>
      </c>
      <c r="M60" s="31" t="s">
        <v>398</v>
      </c>
      <c r="N60" s="24"/>
      <c r="O60" s="24"/>
      <c r="P60" s="24"/>
      <c r="Q60" s="24">
        <v>1</v>
      </c>
    </row>
    <row r="61" spans="1:17" x14ac:dyDescent="0.25">
      <c r="A61" s="24"/>
      <c r="B61" s="24" t="s">
        <v>16</v>
      </c>
      <c r="C61" s="24" t="s">
        <v>1934</v>
      </c>
      <c r="D61" s="24" t="s">
        <v>1935</v>
      </c>
      <c r="E61" s="24" t="s">
        <v>1936</v>
      </c>
      <c r="F61" s="24" t="s">
        <v>153</v>
      </c>
      <c r="G61" s="25">
        <v>820</v>
      </c>
      <c r="H61" s="25">
        <v>30</v>
      </c>
      <c r="I61" s="25">
        <f t="shared" si="1"/>
        <v>790</v>
      </c>
      <c r="J61" s="24" t="s">
        <v>21</v>
      </c>
      <c r="K61" s="24" t="s">
        <v>21</v>
      </c>
      <c r="L61" s="24" t="s">
        <v>1787</v>
      </c>
      <c r="M61" s="24"/>
      <c r="N61" s="24"/>
      <c r="O61" s="24"/>
      <c r="P61" s="24"/>
      <c r="Q61" s="24">
        <v>1</v>
      </c>
    </row>
    <row r="62" spans="1:17" x14ac:dyDescent="0.25">
      <c r="A62" s="24"/>
      <c r="B62" s="24" t="s">
        <v>16</v>
      </c>
      <c r="C62" s="24" t="s">
        <v>1937</v>
      </c>
      <c r="D62" s="24" t="s">
        <v>1938</v>
      </c>
      <c r="E62" s="24" t="s">
        <v>1939</v>
      </c>
      <c r="F62" s="25">
        <v>2</v>
      </c>
      <c r="G62" s="25">
        <v>720</v>
      </c>
      <c r="H62" s="25">
        <v>30</v>
      </c>
      <c r="I62" s="25">
        <f t="shared" si="1"/>
        <v>690</v>
      </c>
      <c r="J62" s="24" t="s">
        <v>21</v>
      </c>
      <c r="K62" s="24" t="s">
        <v>21</v>
      </c>
      <c r="L62" s="24" t="s">
        <v>1787</v>
      </c>
      <c r="M62" s="24"/>
      <c r="N62" s="24"/>
      <c r="O62" s="24"/>
      <c r="P62" s="24"/>
      <c r="Q62" s="24">
        <v>1</v>
      </c>
    </row>
    <row r="63" spans="1:17" x14ac:dyDescent="0.25">
      <c r="A63" s="24"/>
      <c r="B63" s="24" t="s">
        <v>16</v>
      </c>
      <c r="C63" s="24" t="s">
        <v>829</v>
      </c>
      <c r="D63" s="24" t="s">
        <v>1940</v>
      </c>
      <c r="E63" s="24" t="s">
        <v>831</v>
      </c>
      <c r="F63" s="25">
        <v>2</v>
      </c>
      <c r="G63" s="25">
        <v>0</v>
      </c>
      <c r="H63" s="25">
        <v>30</v>
      </c>
      <c r="I63" s="25">
        <f t="shared" si="1"/>
        <v>-30</v>
      </c>
      <c r="J63" s="24" t="s">
        <v>21</v>
      </c>
      <c r="K63" s="24" t="s">
        <v>21</v>
      </c>
      <c r="L63" s="24" t="s">
        <v>1787</v>
      </c>
      <c r="M63" s="24"/>
      <c r="N63" s="24"/>
      <c r="O63" s="24"/>
      <c r="P63" s="24"/>
      <c r="Q63" s="24">
        <v>1</v>
      </c>
    </row>
    <row r="64" spans="1:17" x14ac:dyDescent="0.25">
      <c r="A64" s="24"/>
      <c r="B64" s="24" t="s">
        <v>16</v>
      </c>
      <c r="C64" s="24" t="s">
        <v>1750</v>
      </c>
      <c r="D64" s="24" t="s">
        <v>1941</v>
      </c>
      <c r="E64" s="24" t="s">
        <v>1752</v>
      </c>
      <c r="F64" s="25">
        <v>12</v>
      </c>
      <c r="G64" s="25">
        <v>0</v>
      </c>
      <c r="H64" s="25">
        <v>30</v>
      </c>
      <c r="I64" s="25">
        <f t="shared" si="1"/>
        <v>-30</v>
      </c>
      <c r="J64" s="24" t="s">
        <v>21</v>
      </c>
      <c r="K64" s="24" t="s">
        <v>21</v>
      </c>
      <c r="L64" s="24" t="s">
        <v>1787</v>
      </c>
      <c r="M64" s="24"/>
      <c r="N64" s="24"/>
      <c r="O64" s="24"/>
      <c r="P64" s="24"/>
      <c r="Q64" s="24">
        <v>1</v>
      </c>
    </row>
    <row r="65" spans="1:17" x14ac:dyDescent="0.25">
      <c r="A65" s="24"/>
      <c r="B65" s="24" t="s">
        <v>16</v>
      </c>
      <c r="C65" s="24" t="s">
        <v>1942</v>
      </c>
      <c r="D65" s="24" t="s">
        <v>1943</v>
      </c>
      <c r="E65" s="24" t="s">
        <v>1944</v>
      </c>
      <c r="F65" s="24" t="s">
        <v>72</v>
      </c>
      <c r="G65" s="25">
        <v>1305</v>
      </c>
      <c r="H65" s="25">
        <v>25</v>
      </c>
      <c r="I65" s="25">
        <f t="shared" si="1"/>
        <v>1280</v>
      </c>
      <c r="J65" s="24" t="s">
        <v>21</v>
      </c>
      <c r="K65" s="24" t="s">
        <v>21</v>
      </c>
      <c r="L65" s="24" t="s">
        <v>1787</v>
      </c>
      <c r="M65" s="24"/>
      <c r="N65" s="24"/>
      <c r="O65" s="24"/>
      <c r="P65" s="24"/>
      <c r="Q65" s="24">
        <v>1</v>
      </c>
    </row>
    <row r="66" spans="1:17" x14ac:dyDescent="0.25">
      <c r="A66" s="24"/>
      <c r="B66" s="24" t="s">
        <v>16</v>
      </c>
      <c r="C66" s="24" t="s">
        <v>1945</v>
      </c>
      <c r="D66" s="24" t="s">
        <v>1946</v>
      </c>
      <c r="E66" s="24" t="s">
        <v>1947</v>
      </c>
      <c r="F66" s="25">
        <v>2</v>
      </c>
      <c r="G66" s="25">
        <v>960</v>
      </c>
      <c r="H66" s="25">
        <v>30</v>
      </c>
      <c r="I66" s="25">
        <f t="shared" si="1"/>
        <v>930</v>
      </c>
      <c r="J66" s="24" t="s">
        <v>21</v>
      </c>
      <c r="K66" s="24" t="s">
        <v>21</v>
      </c>
      <c r="L66" s="24" t="s">
        <v>1787</v>
      </c>
      <c r="M66" s="24"/>
      <c r="N66" s="24"/>
      <c r="O66" s="24"/>
      <c r="P66" s="24"/>
      <c r="Q66" s="24">
        <v>1</v>
      </c>
    </row>
    <row r="67" spans="1:17" x14ac:dyDescent="0.25">
      <c r="A67" s="24"/>
      <c r="B67" s="24" t="s">
        <v>16</v>
      </c>
      <c r="C67" s="24" t="s">
        <v>1948</v>
      </c>
      <c r="D67" s="24" t="s">
        <v>1949</v>
      </c>
      <c r="E67" s="24" t="s">
        <v>1950</v>
      </c>
      <c r="F67" s="24" t="s">
        <v>68</v>
      </c>
      <c r="G67" s="25">
        <v>550</v>
      </c>
      <c r="H67" s="25">
        <v>20</v>
      </c>
      <c r="I67" s="25">
        <f t="shared" ref="I67:I98" si="2">G67-H67</f>
        <v>530</v>
      </c>
      <c r="J67" s="24" t="s">
        <v>21</v>
      </c>
      <c r="K67" s="24" t="s">
        <v>21</v>
      </c>
      <c r="L67" s="24" t="s">
        <v>1787</v>
      </c>
      <c r="M67" s="24"/>
      <c r="N67" s="24"/>
      <c r="O67" s="24"/>
      <c r="P67" s="24"/>
      <c r="Q67" s="24">
        <v>1</v>
      </c>
    </row>
    <row r="68" spans="1:17" x14ac:dyDescent="0.25">
      <c r="A68" s="24"/>
      <c r="B68" s="24" t="s">
        <v>16</v>
      </c>
      <c r="C68" s="24" t="s">
        <v>1951</v>
      </c>
      <c r="D68" s="24" t="s">
        <v>1952</v>
      </c>
      <c r="E68" s="24" t="s">
        <v>1953</v>
      </c>
      <c r="F68" s="24" t="s">
        <v>68</v>
      </c>
      <c r="G68" s="25">
        <v>0</v>
      </c>
      <c r="H68" s="25">
        <v>20</v>
      </c>
      <c r="I68" s="25">
        <f t="shared" si="2"/>
        <v>-20</v>
      </c>
      <c r="J68" s="24" t="s">
        <v>21</v>
      </c>
      <c r="K68" s="24" t="s">
        <v>21</v>
      </c>
      <c r="L68" s="24" t="s">
        <v>1787</v>
      </c>
      <c r="M68" s="24"/>
      <c r="N68" s="24"/>
      <c r="O68" s="24"/>
      <c r="P68" s="24"/>
      <c r="Q68" s="24">
        <v>1</v>
      </c>
    </row>
    <row r="69" spans="1:17" x14ac:dyDescent="0.25">
      <c r="A69" s="24"/>
      <c r="B69" s="24" t="s">
        <v>16</v>
      </c>
      <c r="C69" s="24" t="s">
        <v>1954</v>
      </c>
      <c r="D69" s="24" t="s">
        <v>1955</v>
      </c>
      <c r="E69" s="24" t="s">
        <v>1956</v>
      </c>
      <c r="F69" s="24" t="s">
        <v>68</v>
      </c>
      <c r="G69" s="25">
        <v>890</v>
      </c>
      <c r="H69" s="25">
        <v>20</v>
      </c>
      <c r="I69" s="25">
        <f t="shared" si="2"/>
        <v>870</v>
      </c>
      <c r="J69" s="24" t="s">
        <v>21</v>
      </c>
      <c r="K69" s="24" t="s">
        <v>21</v>
      </c>
      <c r="L69" s="24" t="s">
        <v>1787</v>
      </c>
      <c r="M69" s="24"/>
      <c r="N69" s="24"/>
      <c r="O69" s="24"/>
      <c r="P69" s="24"/>
      <c r="Q69" s="24">
        <v>1</v>
      </c>
    </row>
    <row r="70" spans="1:17" x14ac:dyDescent="0.25">
      <c r="A70" s="24" t="s">
        <v>62</v>
      </c>
      <c r="B70" s="24" t="s">
        <v>16</v>
      </c>
      <c r="C70" s="24" t="s">
        <v>1957</v>
      </c>
      <c r="D70" s="24"/>
      <c r="E70" s="24" t="s">
        <v>1958</v>
      </c>
      <c r="F70" s="24" t="s">
        <v>68</v>
      </c>
      <c r="G70" s="25">
        <v>275</v>
      </c>
      <c r="H70" s="25">
        <v>25</v>
      </c>
      <c r="I70" s="25">
        <f t="shared" si="2"/>
        <v>250</v>
      </c>
      <c r="J70" s="24" t="s">
        <v>21</v>
      </c>
      <c r="K70" s="24" t="s">
        <v>21</v>
      </c>
      <c r="L70" s="24" t="s">
        <v>1787</v>
      </c>
      <c r="M70" s="24"/>
      <c r="N70" s="24"/>
      <c r="O70" s="24"/>
      <c r="P70" s="24"/>
      <c r="Q70" s="24">
        <v>1</v>
      </c>
    </row>
    <row r="71" spans="1:17" x14ac:dyDescent="0.25">
      <c r="A71" s="24" t="s">
        <v>62</v>
      </c>
      <c r="B71" s="24" t="s">
        <v>16</v>
      </c>
      <c r="C71" s="24" t="s">
        <v>1959</v>
      </c>
      <c r="D71" s="24"/>
      <c r="E71" s="24" t="s">
        <v>264</v>
      </c>
      <c r="F71" s="25">
        <v>12</v>
      </c>
      <c r="G71" s="25">
        <v>0</v>
      </c>
      <c r="H71" s="25">
        <v>35</v>
      </c>
      <c r="I71" s="25">
        <f t="shared" si="2"/>
        <v>-35</v>
      </c>
      <c r="J71" s="24" t="s">
        <v>21</v>
      </c>
      <c r="K71" s="24" t="s">
        <v>21</v>
      </c>
      <c r="L71" s="24" t="s">
        <v>1787</v>
      </c>
      <c r="M71" s="24"/>
      <c r="N71" s="24"/>
      <c r="O71" s="24"/>
      <c r="P71" s="24"/>
      <c r="Q71" s="24">
        <v>1</v>
      </c>
    </row>
    <row r="72" spans="1:17" x14ac:dyDescent="0.25">
      <c r="A72" s="24" t="s">
        <v>62</v>
      </c>
      <c r="B72" s="24" t="s">
        <v>16</v>
      </c>
      <c r="C72" s="24" t="s">
        <v>1960</v>
      </c>
      <c r="D72" s="24"/>
      <c r="E72" s="24" t="s">
        <v>264</v>
      </c>
      <c r="F72" s="25">
        <v>12</v>
      </c>
      <c r="G72" s="25">
        <v>0</v>
      </c>
      <c r="H72" s="25">
        <v>35</v>
      </c>
      <c r="I72" s="25">
        <f t="shared" si="2"/>
        <v>-35</v>
      </c>
      <c r="J72" s="24" t="s">
        <v>21</v>
      </c>
      <c r="K72" s="24" t="s">
        <v>21</v>
      </c>
      <c r="L72" s="24" t="s">
        <v>1787</v>
      </c>
      <c r="M72" s="24"/>
      <c r="N72" s="24"/>
      <c r="O72" s="24"/>
      <c r="P72" s="24"/>
      <c r="Q72" s="24">
        <v>1</v>
      </c>
    </row>
    <row r="73" spans="1:17" x14ac:dyDescent="0.25">
      <c r="A73" s="24" t="s">
        <v>62</v>
      </c>
      <c r="B73" s="24" t="s">
        <v>16</v>
      </c>
      <c r="C73" s="24" t="s">
        <v>320</v>
      </c>
      <c r="D73" s="24"/>
      <c r="E73" s="24" t="s">
        <v>321</v>
      </c>
      <c r="F73" s="24" t="s">
        <v>72</v>
      </c>
      <c r="G73" s="25">
        <v>30</v>
      </c>
      <c r="H73" s="25">
        <v>30</v>
      </c>
      <c r="I73" s="25">
        <f t="shared" si="2"/>
        <v>0</v>
      </c>
      <c r="J73" s="24" t="s">
        <v>21</v>
      </c>
      <c r="K73" s="24" t="s">
        <v>21</v>
      </c>
      <c r="L73" s="24" t="s">
        <v>1787</v>
      </c>
      <c r="M73" s="24"/>
      <c r="N73" s="24"/>
      <c r="O73" s="24"/>
      <c r="P73" s="24"/>
      <c r="Q73" s="24">
        <v>1</v>
      </c>
    </row>
    <row r="74" spans="1:17" x14ac:dyDescent="0.25">
      <c r="A74" s="24" t="s">
        <v>62</v>
      </c>
      <c r="B74" s="24" t="s">
        <v>16</v>
      </c>
      <c r="C74" s="24" t="s">
        <v>1961</v>
      </c>
      <c r="D74" s="24"/>
      <c r="E74" s="24" t="s">
        <v>1962</v>
      </c>
      <c r="F74" s="25">
        <v>12</v>
      </c>
      <c r="G74" s="25">
        <v>35</v>
      </c>
      <c r="H74" s="25">
        <v>35</v>
      </c>
      <c r="I74" s="25">
        <f t="shared" si="2"/>
        <v>0</v>
      </c>
      <c r="J74" s="24" t="s">
        <v>21</v>
      </c>
      <c r="K74" s="24" t="s">
        <v>21</v>
      </c>
      <c r="L74" s="24" t="s">
        <v>1787</v>
      </c>
      <c r="M74" s="24"/>
      <c r="N74" s="24"/>
      <c r="O74" s="24"/>
      <c r="P74" s="24"/>
      <c r="Q74" s="24">
        <v>1</v>
      </c>
    </row>
    <row r="75" spans="1:17" x14ac:dyDescent="0.25">
      <c r="A75" s="24"/>
      <c r="B75" s="24" t="s">
        <v>16</v>
      </c>
      <c r="C75" s="24" t="s">
        <v>1963</v>
      </c>
      <c r="D75" s="24" t="s">
        <v>1964</v>
      </c>
      <c r="E75" s="24" t="s">
        <v>1432</v>
      </c>
      <c r="F75" s="25">
        <v>5</v>
      </c>
      <c r="G75" s="25">
        <v>785</v>
      </c>
      <c r="H75" s="25">
        <v>25</v>
      </c>
      <c r="I75" s="25">
        <f t="shared" si="2"/>
        <v>760</v>
      </c>
      <c r="J75" s="24" t="s">
        <v>165</v>
      </c>
      <c r="K75" s="24" t="s">
        <v>21</v>
      </c>
      <c r="L75" s="24" t="s">
        <v>1787</v>
      </c>
      <c r="M75" s="24"/>
      <c r="N75" s="24"/>
      <c r="O75" s="24"/>
      <c r="P75" s="24"/>
      <c r="Q75" s="24">
        <v>1</v>
      </c>
    </row>
    <row r="76" spans="1:17" x14ac:dyDescent="0.25">
      <c r="A76" s="24"/>
      <c r="B76" s="24" t="s">
        <v>16</v>
      </c>
      <c r="C76" s="24" t="s">
        <v>1965</v>
      </c>
      <c r="D76" s="24" t="s">
        <v>1966</v>
      </c>
      <c r="E76" s="24" t="s">
        <v>1967</v>
      </c>
      <c r="F76" s="24" t="s">
        <v>88</v>
      </c>
      <c r="G76" s="25">
        <v>0</v>
      </c>
      <c r="H76" s="25">
        <v>25</v>
      </c>
      <c r="I76" s="25">
        <f t="shared" si="2"/>
        <v>-25</v>
      </c>
      <c r="J76" s="24" t="s">
        <v>165</v>
      </c>
      <c r="K76" s="24" t="s">
        <v>21</v>
      </c>
      <c r="L76" s="24" t="s">
        <v>1787</v>
      </c>
      <c r="M76" s="24"/>
      <c r="N76" s="24"/>
      <c r="O76" s="24"/>
      <c r="P76" s="24"/>
      <c r="Q76" s="24">
        <v>1</v>
      </c>
    </row>
    <row r="77" spans="1:17" x14ac:dyDescent="0.25">
      <c r="A77" s="24"/>
      <c r="B77" s="24" t="s">
        <v>16</v>
      </c>
      <c r="C77" s="24" t="s">
        <v>1968</v>
      </c>
      <c r="D77" s="24" t="s">
        <v>1969</v>
      </c>
      <c r="E77" s="24" t="s">
        <v>1970</v>
      </c>
      <c r="F77" s="25">
        <v>10</v>
      </c>
      <c r="G77" s="25">
        <v>0</v>
      </c>
      <c r="H77" s="25">
        <v>25</v>
      </c>
      <c r="I77" s="25">
        <f t="shared" si="2"/>
        <v>-25</v>
      </c>
      <c r="J77" s="24" t="s">
        <v>165</v>
      </c>
      <c r="K77" s="24" t="s">
        <v>21</v>
      </c>
      <c r="L77" s="24" t="s">
        <v>1787</v>
      </c>
      <c r="M77" s="24"/>
      <c r="N77" s="24"/>
      <c r="O77" s="24"/>
      <c r="P77" s="24"/>
      <c r="Q77" s="24">
        <v>1</v>
      </c>
    </row>
    <row r="78" spans="1:17" x14ac:dyDescent="0.25">
      <c r="A78" s="24"/>
      <c r="B78" s="24" t="s">
        <v>16</v>
      </c>
      <c r="C78" s="24" t="s">
        <v>1971</v>
      </c>
      <c r="D78" s="24" t="s">
        <v>1972</v>
      </c>
      <c r="E78" s="24" t="s">
        <v>1973</v>
      </c>
      <c r="F78" s="25">
        <v>10</v>
      </c>
      <c r="G78" s="25">
        <v>0</v>
      </c>
      <c r="H78" s="25">
        <v>25</v>
      </c>
      <c r="I78" s="25">
        <f t="shared" si="2"/>
        <v>-25</v>
      </c>
      <c r="J78" s="24" t="s">
        <v>165</v>
      </c>
      <c r="K78" s="24" t="s">
        <v>21</v>
      </c>
      <c r="L78" s="24" t="s">
        <v>1787</v>
      </c>
      <c r="M78" s="31" t="s">
        <v>1974</v>
      </c>
      <c r="N78" s="24"/>
      <c r="O78" s="24"/>
      <c r="P78" s="24"/>
      <c r="Q78" s="24">
        <v>1</v>
      </c>
    </row>
    <row r="79" spans="1:17" x14ac:dyDescent="0.25">
      <c r="A79" s="24"/>
      <c r="B79" s="24" t="s">
        <v>16</v>
      </c>
      <c r="C79" s="24" t="s">
        <v>1971</v>
      </c>
      <c r="D79" s="24" t="s">
        <v>1975</v>
      </c>
      <c r="E79" s="24" t="s">
        <v>1973</v>
      </c>
      <c r="F79" s="25">
        <v>10</v>
      </c>
      <c r="G79" s="25">
        <v>0</v>
      </c>
      <c r="H79" s="25">
        <v>0</v>
      </c>
      <c r="I79" s="25">
        <f t="shared" si="2"/>
        <v>0</v>
      </c>
      <c r="J79" s="24" t="s">
        <v>165</v>
      </c>
      <c r="K79" s="24" t="s">
        <v>21</v>
      </c>
      <c r="L79" s="24" t="s">
        <v>1787</v>
      </c>
      <c r="M79" s="31" t="s">
        <v>1976</v>
      </c>
      <c r="N79" s="24"/>
      <c r="O79" s="24"/>
      <c r="P79" s="24"/>
      <c r="Q79" s="24">
        <v>1</v>
      </c>
    </row>
    <row r="80" spans="1:17" x14ac:dyDescent="0.25">
      <c r="A80" s="24"/>
      <c r="B80" s="24" t="s">
        <v>16</v>
      </c>
      <c r="C80" s="24" t="s">
        <v>1977</v>
      </c>
      <c r="D80" s="24" t="s">
        <v>1978</v>
      </c>
      <c r="E80" s="24" t="s">
        <v>1979</v>
      </c>
      <c r="F80" s="25">
        <v>4</v>
      </c>
      <c r="G80" s="25">
        <v>895</v>
      </c>
      <c r="H80" s="25">
        <v>25</v>
      </c>
      <c r="I80" s="25">
        <f t="shared" si="2"/>
        <v>870</v>
      </c>
      <c r="J80" s="24" t="s">
        <v>165</v>
      </c>
      <c r="K80" s="24" t="s">
        <v>21</v>
      </c>
      <c r="L80" s="24" t="s">
        <v>1787</v>
      </c>
      <c r="M80" s="24"/>
      <c r="N80" s="24"/>
      <c r="O80" s="24"/>
      <c r="P80" s="24"/>
      <c r="Q80" s="24">
        <v>1</v>
      </c>
    </row>
    <row r="81" spans="1:17" x14ac:dyDescent="0.25">
      <c r="A81" s="24"/>
      <c r="B81" s="24" t="s">
        <v>16</v>
      </c>
      <c r="C81" s="24" t="s">
        <v>1980</v>
      </c>
      <c r="D81" s="24" t="s">
        <v>1981</v>
      </c>
      <c r="E81" s="24" t="s">
        <v>1982</v>
      </c>
      <c r="F81" s="25">
        <v>1</v>
      </c>
      <c r="G81" s="25">
        <v>695</v>
      </c>
      <c r="H81" s="25">
        <v>25</v>
      </c>
      <c r="I81" s="25">
        <f t="shared" si="2"/>
        <v>670</v>
      </c>
      <c r="J81" s="24" t="s">
        <v>165</v>
      </c>
      <c r="K81" s="24" t="s">
        <v>21</v>
      </c>
      <c r="L81" s="24" t="s">
        <v>1787</v>
      </c>
      <c r="M81" s="24"/>
      <c r="N81" s="24"/>
      <c r="O81" s="24"/>
      <c r="P81" s="24"/>
      <c r="Q81" s="24">
        <v>1</v>
      </c>
    </row>
    <row r="82" spans="1:17" x14ac:dyDescent="0.25">
      <c r="A82" s="24"/>
      <c r="B82" s="24" t="s">
        <v>16</v>
      </c>
      <c r="C82" s="24" t="s">
        <v>1983</v>
      </c>
      <c r="D82" s="24" t="s">
        <v>1984</v>
      </c>
      <c r="E82" s="24" t="s">
        <v>1985</v>
      </c>
      <c r="F82" s="25">
        <v>1</v>
      </c>
      <c r="G82" s="25">
        <v>595</v>
      </c>
      <c r="H82" s="25">
        <v>25</v>
      </c>
      <c r="I82" s="25">
        <f t="shared" si="2"/>
        <v>570</v>
      </c>
      <c r="J82" s="24" t="s">
        <v>165</v>
      </c>
      <c r="K82" s="24" t="s">
        <v>21</v>
      </c>
      <c r="L82" s="24" t="s">
        <v>1787</v>
      </c>
      <c r="M82" s="24"/>
      <c r="N82" s="24"/>
      <c r="O82" s="24"/>
      <c r="P82" s="24"/>
      <c r="Q82" s="24">
        <v>1</v>
      </c>
    </row>
    <row r="83" spans="1:17" x14ac:dyDescent="0.25">
      <c r="A83" s="24"/>
      <c r="B83" s="24" t="s">
        <v>16</v>
      </c>
      <c r="C83" s="24" t="s">
        <v>1986</v>
      </c>
      <c r="D83" s="24" t="s">
        <v>1987</v>
      </c>
      <c r="E83" s="24" t="s">
        <v>1988</v>
      </c>
      <c r="F83" s="25">
        <v>10</v>
      </c>
      <c r="G83" s="25">
        <v>1725</v>
      </c>
      <c r="H83" s="25">
        <v>25</v>
      </c>
      <c r="I83" s="25">
        <f t="shared" si="2"/>
        <v>1700</v>
      </c>
      <c r="J83" s="24" t="s">
        <v>165</v>
      </c>
      <c r="K83" s="24" t="s">
        <v>21</v>
      </c>
      <c r="L83" s="24" t="s">
        <v>1787</v>
      </c>
      <c r="M83" s="24"/>
      <c r="N83" s="24"/>
      <c r="O83" s="24"/>
      <c r="P83" s="24"/>
      <c r="Q83" s="24">
        <v>1</v>
      </c>
    </row>
    <row r="84" spans="1:17" x14ac:dyDescent="0.25">
      <c r="A84" s="24"/>
      <c r="B84" s="24" t="s">
        <v>16</v>
      </c>
      <c r="C84" s="24" t="s">
        <v>313</v>
      </c>
      <c r="D84" s="24" t="s">
        <v>1989</v>
      </c>
      <c r="E84" s="24" t="s">
        <v>315</v>
      </c>
      <c r="F84" s="24" t="s">
        <v>88</v>
      </c>
      <c r="G84" s="25">
        <v>1545</v>
      </c>
      <c r="H84" s="25">
        <v>25</v>
      </c>
      <c r="I84" s="25">
        <f t="shared" si="2"/>
        <v>1520</v>
      </c>
      <c r="J84" s="24" t="s">
        <v>165</v>
      </c>
      <c r="K84" s="24" t="s">
        <v>21</v>
      </c>
      <c r="L84" s="24" t="s">
        <v>1787</v>
      </c>
      <c r="M84" s="24"/>
      <c r="N84" s="24"/>
      <c r="O84" s="24"/>
      <c r="P84" s="24"/>
      <c r="Q84" s="24">
        <v>1</v>
      </c>
    </row>
    <row r="85" spans="1:17" x14ac:dyDescent="0.25">
      <c r="A85" s="24"/>
      <c r="B85" s="24" t="s">
        <v>16</v>
      </c>
      <c r="C85" s="24" t="s">
        <v>1990</v>
      </c>
      <c r="D85" s="24" t="s">
        <v>1991</v>
      </c>
      <c r="E85" s="24" t="s">
        <v>1992</v>
      </c>
      <c r="F85" s="25">
        <v>1</v>
      </c>
      <c r="G85" s="25">
        <v>0</v>
      </c>
      <c r="H85" s="25">
        <v>25</v>
      </c>
      <c r="I85" s="25">
        <f t="shared" si="2"/>
        <v>-25</v>
      </c>
      <c r="J85" s="24" t="s">
        <v>165</v>
      </c>
      <c r="K85" s="24" t="s">
        <v>21</v>
      </c>
      <c r="L85" s="24" t="s">
        <v>1787</v>
      </c>
      <c r="M85" s="24"/>
      <c r="N85" s="24"/>
      <c r="O85" s="24"/>
      <c r="P85" s="24"/>
      <c r="Q85" s="24">
        <v>1</v>
      </c>
    </row>
    <row r="86" spans="1:17" x14ac:dyDescent="0.25">
      <c r="A86" s="24"/>
      <c r="B86" s="24" t="s">
        <v>16</v>
      </c>
      <c r="C86" s="24" t="s">
        <v>1993</v>
      </c>
      <c r="D86" s="24" t="s">
        <v>1994</v>
      </c>
      <c r="E86" s="24" t="s">
        <v>1995</v>
      </c>
      <c r="F86" s="24" t="s">
        <v>88</v>
      </c>
      <c r="G86" s="25">
        <v>0</v>
      </c>
      <c r="H86" s="25">
        <v>25</v>
      </c>
      <c r="I86" s="25">
        <f t="shared" si="2"/>
        <v>-25</v>
      </c>
      <c r="J86" s="24" t="s">
        <v>165</v>
      </c>
      <c r="K86" s="24" t="s">
        <v>21</v>
      </c>
      <c r="L86" s="24" t="s">
        <v>1787</v>
      </c>
      <c r="M86" s="24"/>
      <c r="N86" s="24"/>
      <c r="O86" s="24"/>
      <c r="P86" s="24"/>
      <c r="Q86" s="24">
        <v>1</v>
      </c>
    </row>
    <row r="87" spans="1:17" x14ac:dyDescent="0.25">
      <c r="A87" s="24"/>
      <c r="B87" s="24" t="s">
        <v>16</v>
      </c>
      <c r="C87" s="24" t="s">
        <v>1996</v>
      </c>
      <c r="D87" s="24" t="s">
        <v>1997</v>
      </c>
      <c r="E87" s="24" t="s">
        <v>1998</v>
      </c>
      <c r="F87" s="25">
        <v>10</v>
      </c>
      <c r="G87" s="25">
        <v>885</v>
      </c>
      <c r="H87" s="25">
        <v>25</v>
      </c>
      <c r="I87" s="25">
        <f t="shared" si="2"/>
        <v>860</v>
      </c>
      <c r="J87" s="24" t="s">
        <v>165</v>
      </c>
      <c r="K87" s="24" t="s">
        <v>21</v>
      </c>
      <c r="L87" s="24" t="s">
        <v>1787</v>
      </c>
      <c r="M87" s="24"/>
      <c r="N87" s="24"/>
      <c r="O87" s="24"/>
      <c r="P87" s="24"/>
      <c r="Q87" s="24">
        <v>1</v>
      </c>
    </row>
    <row r="88" spans="1:17" x14ac:dyDescent="0.25">
      <c r="A88" s="24"/>
      <c r="B88" s="24" t="s">
        <v>16</v>
      </c>
      <c r="C88" s="24" t="s">
        <v>1999</v>
      </c>
      <c r="D88" s="24" t="s">
        <v>2000</v>
      </c>
      <c r="E88" s="24" t="s">
        <v>2001</v>
      </c>
      <c r="F88" s="25">
        <v>5</v>
      </c>
      <c r="G88" s="25">
        <v>0</v>
      </c>
      <c r="H88" s="25">
        <v>25</v>
      </c>
      <c r="I88" s="25">
        <f t="shared" si="2"/>
        <v>-25</v>
      </c>
      <c r="J88" s="24" t="s">
        <v>165</v>
      </c>
      <c r="K88" s="24" t="s">
        <v>21</v>
      </c>
      <c r="L88" s="24" t="s">
        <v>1787</v>
      </c>
      <c r="M88" s="24"/>
      <c r="N88" s="24"/>
      <c r="O88" s="24"/>
      <c r="P88" s="24"/>
      <c r="Q88" s="24">
        <v>1</v>
      </c>
    </row>
    <row r="89" spans="1:17" x14ac:dyDescent="0.25">
      <c r="A89" s="24"/>
      <c r="B89" s="24" t="s">
        <v>16</v>
      </c>
      <c r="C89" s="24" t="s">
        <v>2002</v>
      </c>
      <c r="D89" s="24" t="s">
        <v>2003</v>
      </c>
      <c r="E89" s="24" t="s">
        <v>2004</v>
      </c>
      <c r="F89" s="25">
        <v>3</v>
      </c>
      <c r="G89" s="25">
        <v>515</v>
      </c>
      <c r="H89" s="25">
        <v>25</v>
      </c>
      <c r="I89" s="25">
        <f t="shared" si="2"/>
        <v>490</v>
      </c>
      <c r="J89" s="24" t="s">
        <v>165</v>
      </c>
      <c r="K89" s="24" t="s">
        <v>21</v>
      </c>
      <c r="L89" s="24" t="s">
        <v>1787</v>
      </c>
      <c r="M89" s="24"/>
      <c r="N89" s="24"/>
      <c r="O89" s="24"/>
      <c r="P89" s="24"/>
      <c r="Q89" s="24">
        <v>1</v>
      </c>
    </row>
    <row r="90" spans="1:17" x14ac:dyDescent="0.25">
      <c r="A90" s="24"/>
      <c r="B90" s="24" t="s">
        <v>16</v>
      </c>
      <c r="C90" s="24" t="s">
        <v>863</v>
      </c>
      <c r="D90" s="24" t="s">
        <v>2005</v>
      </c>
      <c r="E90" s="24" t="s">
        <v>865</v>
      </c>
      <c r="F90" s="25">
        <v>4</v>
      </c>
      <c r="G90" s="25">
        <v>0</v>
      </c>
      <c r="H90" s="25">
        <v>25</v>
      </c>
      <c r="I90" s="25">
        <f t="shared" si="2"/>
        <v>-25</v>
      </c>
      <c r="J90" s="24" t="s">
        <v>165</v>
      </c>
      <c r="K90" s="24" t="s">
        <v>21</v>
      </c>
      <c r="L90" s="24" t="s">
        <v>1787</v>
      </c>
      <c r="M90" s="24"/>
      <c r="N90" s="24"/>
      <c r="O90" s="24"/>
      <c r="P90" s="24"/>
      <c r="Q90" s="24">
        <v>1</v>
      </c>
    </row>
    <row r="91" spans="1:17" x14ac:dyDescent="0.25">
      <c r="A91" s="24" t="s">
        <v>62</v>
      </c>
      <c r="B91" s="24" t="s">
        <v>16</v>
      </c>
      <c r="C91" s="24" t="s">
        <v>584</v>
      </c>
      <c r="D91" s="24"/>
      <c r="E91" s="24" t="s">
        <v>585</v>
      </c>
      <c r="F91" s="25">
        <v>4</v>
      </c>
      <c r="G91" s="25">
        <v>30</v>
      </c>
      <c r="H91" s="25">
        <v>30</v>
      </c>
      <c r="I91" s="25">
        <f t="shared" si="2"/>
        <v>0</v>
      </c>
      <c r="J91" s="24" t="s">
        <v>165</v>
      </c>
      <c r="K91" s="24" t="s">
        <v>21</v>
      </c>
      <c r="L91" s="24" t="s">
        <v>1787</v>
      </c>
      <c r="M91" s="24"/>
      <c r="N91" s="24"/>
      <c r="O91" s="24"/>
      <c r="P91" s="24"/>
      <c r="Q91" s="24">
        <v>1</v>
      </c>
    </row>
    <row r="92" spans="1:17" x14ac:dyDescent="0.25">
      <c r="A92" s="24" t="s">
        <v>62</v>
      </c>
      <c r="B92" s="24" t="s">
        <v>16</v>
      </c>
      <c r="C92" s="24" t="s">
        <v>2006</v>
      </c>
      <c r="D92" s="24"/>
      <c r="E92" s="24" t="s">
        <v>1315</v>
      </c>
      <c r="F92" s="25">
        <v>5</v>
      </c>
      <c r="G92" s="25">
        <v>40</v>
      </c>
      <c r="H92" s="25">
        <v>40</v>
      </c>
      <c r="I92" s="25">
        <f t="shared" si="2"/>
        <v>0</v>
      </c>
      <c r="J92" s="24" t="s">
        <v>165</v>
      </c>
      <c r="K92" s="24" t="s">
        <v>21</v>
      </c>
      <c r="L92" s="24" t="s">
        <v>1787</v>
      </c>
      <c r="M92" s="24"/>
      <c r="N92" s="24"/>
      <c r="O92" s="24"/>
      <c r="P92" s="24"/>
      <c r="Q92" s="24">
        <v>1</v>
      </c>
    </row>
    <row r="93" spans="1:17" x14ac:dyDescent="0.25">
      <c r="A93" s="24" t="s">
        <v>62</v>
      </c>
      <c r="B93" s="24" t="s">
        <v>16</v>
      </c>
      <c r="C93" s="24" t="s">
        <v>2007</v>
      </c>
      <c r="D93" s="24"/>
      <c r="E93" s="24" t="s">
        <v>87</v>
      </c>
      <c r="F93" s="24" t="s">
        <v>88</v>
      </c>
      <c r="G93" s="25">
        <v>0</v>
      </c>
      <c r="H93" s="25">
        <v>30</v>
      </c>
      <c r="I93" s="25">
        <f t="shared" si="2"/>
        <v>-30</v>
      </c>
      <c r="J93" s="24" t="s">
        <v>165</v>
      </c>
      <c r="K93" s="24" t="s">
        <v>21</v>
      </c>
      <c r="L93" s="24" t="s">
        <v>1787</v>
      </c>
      <c r="M93" s="24"/>
      <c r="N93" s="24"/>
      <c r="O93" s="24"/>
      <c r="P93" s="24"/>
      <c r="Q93" s="24">
        <v>1</v>
      </c>
    </row>
    <row r="94" spans="1:17" x14ac:dyDescent="0.25">
      <c r="A94" s="24" t="s">
        <v>62</v>
      </c>
      <c r="B94" s="24" t="s">
        <v>16</v>
      </c>
      <c r="C94" s="24" t="s">
        <v>2008</v>
      </c>
      <c r="D94" s="24"/>
      <c r="E94" s="24" t="s">
        <v>2009</v>
      </c>
      <c r="F94" s="25">
        <v>5</v>
      </c>
      <c r="G94" s="25">
        <v>950</v>
      </c>
      <c r="H94" s="25">
        <v>30</v>
      </c>
      <c r="I94" s="25">
        <f t="shared" si="2"/>
        <v>920</v>
      </c>
      <c r="J94" s="24" t="s">
        <v>165</v>
      </c>
      <c r="K94" s="24" t="s">
        <v>21</v>
      </c>
      <c r="L94" s="24" t="s">
        <v>1787</v>
      </c>
      <c r="M94" s="24"/>
      <c r="N94" s="24"/>
      <c r="O94" s="24"/>
      <c r="P94" s="24"/>
      <c r="Q94" s="24">
        <v>1</v>
      </c>
    </row>
    <row r="95" spans="1:17" s="8" customFormat="1" x14ac:dyDescent="0.25">
      <c r="A95" s="26"/>
      <c r="B95" s="26" t="s">
        <v>16</v>
      </c>
      <c r="C95" s="26" t="s">
        <v>2010</v>
      </c>
      <c r="D95" s="26" t="s">
        <v>2011</v>
      </c>
      <c r="E95" s="26" t="s">
        <v>2012</v>
      </c>
      <c r="F95" s="26" t="s">
        <v>780</v>
      </c>
      <c r="G95" s="27">
        <v>870</v>
      </c>
      <c r="H95" s="27">
        <v>0</v>
      </c>
      <c r="I95" s="27">
        <f t="shared" si="2"/>
        <v>870</v>
      </c>
      <c r="J95" s="26" t="s">
        <v>446</v>
      </c>
      <c r="K95" s="26" t="s">
        <v>21</v>
      </c>
      <c r="L95" s="26" t="s">
        <v>1787</v>
      </c>
      <c r="M95" s="26" t="s">
        <v>781</v>
      </c>
      <c r="N95" s="26" t="s">
        <v>448</v>
      </c>
      <c r="O95" s="26"/>
      <c r="P95" s="26" t="s">
        <v>449</v>
      </c>
      <c r="Q95" s="26">
        <v>1</v>
      </c>
    </row>
    <row r="96" spans="1:17" s="8" customFormat="1" x14ac:dyDescent="0.25">
      <c r="A96" s="26"/>
      <c r="B96" s="26" t="s">
        <v>16</v>
      </c>
      <c r="C96" s="26" t="s">
        <v>2013</v>
      </c>
      <c r="D96" s="26" t="s">
        <v>2014</v>
      </c>
      <c r="E96" s="26" t="s">
        <v>2015</v>
      </c>
      <c r="F96" s="26" t="s">
        <v>780</v>
      </c>
      <c r="G96" s="27">
        <v>450</v>
      </c>
      <c r="H96" s="27">
        <v>0</v>
      </c>
      <c r="I96" s="27">
        <f t="shared" si="2"/>
        <v>450</v>
      </c>
      <c r="J96" s="26" t="s">
        <v>446</v>
      </c>
      <c r="K96" s="26" t="s">
        <v>21</v>
      </c>
      <c r="L96" s="26" t="s">
        <v>1787</v>
      </c>
      <c r="M96" s="26" t="s">
        <v>781</v>
      </c>
      <c r="N96" s="26" t="s">
        <v>448</v>
      </c>
      <c r="O96" s="26"/>
      <c r="P96" s="26" t="s">
        <v>449</v>
      </c>
      <c r="Q96" s="26">
        <v>1</v>
      </c>
    </row>
    <row r="97" spans="1:17" s="8" customFormat="1" x14ac:dyDescent="0.25">
      <c r="A97" s="26"/>
      <c r="B97" s="26" t="s">
        <v>16</v>
      </c>
      <c r="C97" s="26" t="s">
        <v>2016</v>
      </c>
      <c r="D97" s="26" t="s">
        <v>2017</v>
      </c>
      <c r="E97" s="26" t="s">
        <v>2018</v>
      </c>
      <c r="F97" s="26" t="s">
        <v>780</v>
      </c>
      <c r="G97" s="27">
        <v>1460</v>
      </c>
      <c r="H97" s="27">
        <v>0</v>
      </c>
      <c r="I97" s="27">
        <f t="shared" si="2"/>
        <v>1460</v>
      </c>
      <c r="J97" s="26" t="s">
        <v>446</v>
      </c>
      <c r="K97" s="26" t="s">
        <v>21</v>
      </c>
      <c r="L97" s="26" t="s">
        <v>1787</v>
      </c>
      <c r="M97" s="26" t="s">
        <v>781</v>
      </c>
      <c r="N97" s="26" t="s">
        <v>448</v>
      </c>
      <c r="O97" s="26"/>
      <c r="P97" s="26" t="s">
        <v>449</v>
      </c>
      <c r="Q97" s="26">
        <v>1</v>
      </c>
    </row>
    <row r="99" spans="1:17" x14ac:dyDescent="0.25">
      <c r="D99" s="7">
        <f>COUNTA(D3:D97)</f>
        <v>82</v>
      </c>
      <c r="G99" s="7">
        <f t="shared" ref="G99:Q99" si="3">SUBTOTAL(9,G3:G97)</f>
        <v>58975</v>
      </c>
      <c r="H99" s="7">
        <f t="shared" si="3"/>
        <v>2540</v>
      </c>
      <c r="I99" s="7">
        <f t="shared" si="3"/>
        <v>56435</v>
      </c>
      <c r="J99" s="7">
        <f t="shared" si="3"/>
        <v>0</v>
      </c>
      <c r="K99" s="7">
        <f t="shared" si="3"/>
        <v>0</v>
      </c>
      <c r="L99" s="7">
        <f t="shared" si="3"/>
        <v>0</v>
      </c>
      <c r="M99" s="7">
        <f t="shared" si="3"/>
        <v>0</v>
      </c>
      <c r="N99" s="7">
        <f t="shared" si="3"/>
        <v>0</v>
      </c>
      <c r="O99" s="7">
        <f t="shared" si="3"/>
        <v>0</v>
      </c>
      <c r="P99" s="7">
        <f t="shared" si="3"/>
        <v>0</v>
      </c>
      <c r="Q99" s="7">
        <f t="shared" si="3"/>
        <v>95</v>
      </c>
    </row>
    <row r="100" spans="1:17" x14ac:dyDescent="0.25">
      <c r="H100">
        <f>-19*17</f>
        <v>-323</v>
      </c>
    </row>
    <row r="101" spans="1:17" x14ac:dyDescent="0.25">
      <c r="A101" s="7" t="s">
        <v>16</v>
      </c>
      <c r="C101" s="6" t="s">
        <v>89</v>
      </c>
      <c r="D101" s="6"/>
      <c r="E101" s="10" t="s">
        <v>90</v>
      </c>
      <c r="H101">
        <f>-10*25</f>
        <v>-250</v>
      </c>
      <c r="K101" s="13" t="s">
        <v>165</v>
      </c>
      <c r="L101" s="13" t="s">
        <v>91</v>
      </c>
      <c r="M101" s="13" t="s">
        <v>90</v>
      </c>
      <c r="O101" s="10" t="s">
        <v>92</v>
      </c>
    </row>
    <row r="102" spans="1:17" x14ac:dyDescent="0.25">
      <c r="A102" t="s">
        <v>1787</v>
      </c>
      <c r="B102" s="9" t="s">
        <v>93</v>
      </c>
      <c r="C102" s="5">
        <f>SUMIFS(I$3:I$97,B$3:B$97,A$101,L$3:L$97,A$102)</f>
        <v>56435</v>
      </c>
      <c r="D102" s="5"/>
      <c r="E102" s="9">
        <f>SUMIFS(Q$3:Q$97,B$3:B$97,A$101,L$3:L$97,A$102)</f>
        <v>95</v>
      </c>
      <c r="F102" t="s">
        <v>94</v>
      </c>
      <c r="H102">
        <f>-8*30</f>
        <v>-240</v>
      </c>
      <c r="K102" t="s">
        <v>95</v>
      </c>
      <c r="L102">
        <f>SUMIFS(G$3:G$97,J$3:J$97,K$101)</f>
        <v>8660</v>
      </c>
      <c r="M102">
        <f>SUMIFS(Q$3:Q$97,J$3:J$97,K$101)</f>
        <v>20</v>
      </c>
      <c r="O102" t="s">
        <v>165</v>
      </c>
      <c r="P102">
        <f>L107</f>
        <v>8245</v>
      </c>
    </row>
    <row r="103" spans="1:17" x14ac:dyDescent="0.25">
      <c r="B103" s="8" t="s">
        <v>97</v>
      </c>
      <c r="C103" s="4">
        <v>0</v>
      </c>
      <c r="D103" s="4"/>
      <c r="K103" t="s">
        <v>98</v>
      </c>
      <c r="L103">
        <f>-SUMIFS(H$3:H$97,J$3:J$97,K$101)+M103*5</f>
        <v>-415</v>
      </c>
      <c r="M103">
        <f>SUMIFS(Q$3:Q$97,J$3:J$97,K$101)-COUNTIFS(J$3:J$97,K$101,M$3:M$97,"*gộp*")</f>
        <v>18</v>
      </c>
      <c r="O103" t="s">
        <v>20</v>
      </c>
      <c r="P103">
        <f>L115</f>
        <v>1200</v>
      </c>
    </row>
    <row r="104" spans="1:17" x14ac:dyDescent="0.25">
      <c r="B104" s="8" t="s">
        <v>99</v>
      </c>
      <c r="C104" s="4">
        <f>-SUMIFS(I$3:I$97,B$3:B$97,A$101,P$3:P$97,"xx",N$3:N$97,"x")</f>
        <v>-2780</v>
      </c>
      <c r="D104" s="4"/>
      <c r="E104" s="8">
        <f>SUMIFS(Q$3:Q$97,B$3:B$97,A$101,P$3:P$97,"xx",N$3:N$97,"x")</f>
        <v>3</v>
      </c>
      <c r="K104" t="s">
        <v>100</v>
      </c>
      <c r="O104" t="s">
        <v>21</v>
      </c>
      <c r="P104">
        <f>L123</f>
        <v>18845</v>
      </c>
    </row>
    <row r="105" spans="1:17" x14ac:dyDescent="0.25">
      <c r="B105" s="10" t="s">
        <v>101</v>
      </c>
      <c r="C105" s="6">
        <f>SUBTOTAL(9,C102:C104)</f>
        <v>53655</v>
      </c>
      <c r="D105" s="6"/>
      <c r="E105">
        <f>E102</f>
        <v>95</v>
      </c>
      <c r="K105" s="8" t="s">
        <v>102</v>
      </c>
      <c r="O105" t="s">
        <v>2019</v>
      </c>
      <c r="P105">
        <f>L131</f>
        <v>25717</v>
      </c>
    </row>
    <row r="106" spans="1:17" x14ac:dyDescent="0.25">
      <c r="B106" s="8" t="s">
        <v>104</v>
      </c>
      <c r="C106" s="3"/>
      <c r="D106" s="3"/>
      <c r="K106" s="8" t="s">
        <v>105</v>
      </c>
      <c r="O106" t="s">
        <v>103</v>
      </c>
      <c r="P106">
        <f>-C109</f>
        <v>-53655</v>
      </c>
    </row>
    <row r="107" spans="1:17" x14ac:dyDescent="0.25">
      <c r="B107" s="14" t="s">
        <v>107</v>
      </c>
      <c r="C107" s="3"/>
      <c r="D107" s="3"/>
      <c r="L107" s="15">
        <f>SUBTOTAL(9,L102:L106)</f>
        <v>8245</v>
      </c>
      <c r="M107" s="15">
        <f>M102</f>
        <v>20</v>
      </c>
      <c r="O107" s="10" t="s">
        <v>106</v>
      </c>
      <c r="P107" s="10">
        <f>SUBTOTAL(9,P102:P106)</f>
        <v>352</v>
      </c>
    </row>
    <row r="109" spans="1:17" x14ac:dyDescent="0.25">
      <c r="B109" s="7" t="s">
        <v>108</v>
      </c>
      <c r="C109" s="2">
        <f>C105+C106+C107</f>
        <v>53655</v>
      </c>
      <c r="D109" s="2"/>
      <c r="E109" s="7" t="s">
        <v>109</v>
      </c>
      <c r="K109" s="13" t="s">
        <v>20</v>
      </c>
      <c r="L109" s="13" t="s">
        <v>91</v>
      </c>
      <c r="M109" s="13" t="s">
        <v>90</v>
      </c>
    </row>
    <row r="110" spans="1:17" x14ac:dyDescent="0.25">
      <c r="K110" t="s">
        <v>95</v>
      </c>
      <c r="L110">
        <f>SUMIFS(G$3:G$97,J$3:J$97,K$109)</f>
        <v>1290</v>
      </c>
      <c r="M110">
        <f>SUMIFS(Q$3:Q$97,J$3:J$97,K$109)</f>
        <v>3</v>
      </c>
    </row>
    <row r="111" spans="1:17" x14ac:dyDescent="0.25">
      <c r="K111" t="s">
        <v>98</v>
      </c>
      <c r="L111">
        <f>-SUMIFS(H$3:H$97,J$3:J$97,K$109)+M111*5</f>
        <v>-90</v>
      </c>
      <c r="M111">
        <f>SUMIFS(Q$3:Q$97,J$3:J$97,K$109)-COUNTIFS(J$3:J$97,K$109,M$3:M$97,"*gộp*")</f>
        <v>3</v>
      </c>
    </row>
    <row r="112" spans="1:17" x14ac:dyDescent="0.25">
      <c r="K112" t="s">
        <v>100</v>
      </c>
    </row>
    <row r="113" spans="11:13" x14ac:dyDescent="0.25">
      <c r="K113" s="8" t="s">
        <v>102</v>
      </c>
    </row>
    <row r="114" spans="11:13" x14ac:dyDescent="0.25">
      <c r="K114" s="8" t="s">
        <v>105</v>
      </c>
    </row>
    <row r="115" spans="11:13" x14ac:dyDescent="0.25">
      <c r="L115" s="15">
        <f>SUBTOTAL(9,L110:L114)</f>
        <v>1200</v>
      </c>
      <c r="M115" s="15">
        <f>M110</f>
        <v>3</v>
      </c>
    </row>
    <row r="117" spans="11:13" x14ac:dyDescent="0.25">
      <c r="K117" s="13" t="s">
        <v>21</v>
      </c>
      <c r="L117" s="13" t="s">
        <v>91</v>
      </c>
      <c r="M117" s="13" t="s">
        <v>90</v>
      </c>
    </row>
    <row r="118" spans="11:13" x14ac:dyDescent="0.25">
      <c r="K118" t="s">
        <v>95</v>
      </c>
      <c r="L118">
        <f>SUMIFS(G$3:G$97,J$3:J$97,K$117)</f>
        <v>19715</v>
      </c>
      <c r="M118">
        <f>SUMIFS(Q$3:Q$97,J$3:J$97,K$117)</f>
        <v>32</v>
      </c>
    </row>
    <row r="119" spans="11:13" x14ac:dyDescent="0.25">
      <c r="K119" t="s">
        <v>98</v>
      </c>
      <c r="L119">
        <f>-SUMIFS(H$3:H$97,J$3:J$97,K$117)+M119*5</f>
        <v>-690</v>
      </c>
      <c r="M119">
        <f>SUMIFS(Q$3:Q$97,J$3:J$97,K$117)-COUNTIFS(J$3:J$97,K$117,M$3:M$97,"*gộp*")</f>
        <v>30</v>
      </c>
    </row>
    <row r="120" spans="11:13" x14ac:dyDescent="0.25">
      <c r="K120" t="s">
        <v>100</v>
      </c>
      <c r="L120">
        <f>-M120*2</f>
        <v>-180</v>
      </c>
      <c r="M120">
        <f>E105-(COUNTIFS(M$3:M$97,"*gộp*")/2)-COUNTIFS(M$3:M$97,"*đơn trả*")/2-COUNTIFS(M$3:M$97,"*hàng tỉnh*")</f>
        <v>90</v>
      </c>
    </row>
    <row r="121" spans="11:13" x14ac:dyDescent="0.25">
      <c r="K121" s="8" t="s">
        <v>102</v>
      </c>
    </row>
    <row r="122" spans="11:13" x14ac:dyDescent="0.25">
      <c r="K122" s="8" t="s">
        <v>105</v>
      </c>
    </row>
    <row r="123" spans="11:13" x14ac:dyDescent="0.25">
      <c r="L123" s="15">
        <f>SUBTOTAL(9,L118:L122)</f>
        <v>18845</v>
      </c>
      <c r="M123" s="15">
        <f>M118</f>
        <v>32</v>
      </c>
    </row>
    <row r="125" spans="11:13" x14ac:dyDescent="0.25">
      <c r="K125" s="13" t="s">
        <v>1793</v>
      </c>
      <c r="L125" s="13" t="s">
        <v>91</v>
      </c>
      <c r="M125" s="13" t="s">
        <v>90</v>
      </c>
    </row>
    <row r="126" spans="11:13" x14ac:dyDescent="0.25">
      <c r="K126" t="s">
        <v>95</v>
      </c>
      <c r="L126">
        <f>SUMIFS(G$3:G$97,J$3:J$97,K$125)</f>
        <v>26530</v>
      </c>
      <c r="M126">
        <f>SUMIFS(Q$3:Q$97,J$3:J$97,K$125)</f>
        <v>37</v>
      </c>
    </row>
    <row r="127" spans="11:13" x14ac:dyDescent="0.25">
      <c r="K127" t="s">
        <v>98</v>
      </c>
      <c r="L127">
        <f>SUM(H100:H102)</f>
        <v>-813</v>
      </c>
      <c r="M127">
        <f>SUMIFS(Q$3:Q$97,J$3:J$97,K$125)</f>
        <v>37</v>
      </c>
    </row>
    <row r="128" spans="11:13" x14ac:dyDescent="0.25">
      <c r="K128" t="s">
        <v>100</v>
      </c>
    </row>
    <row r="129" spans="11:13" x14ac:dyDescent="0.25">
      <c r="K129" s="8" t="s">
        <v>102</v>
      </c>
    </row>
    <row r="130" spans="11:13" x14ac:dyDescent="0.25">
      <c r="K130" s="8" t="s">
        <v>105</v>
      </c>
    </row>
    <row r="131" spans="11:13" x14ac:dyDescent="0.25">
      <c r="L131" s="15">
        <f>SUBTOTAL(9,L126:L130)</f>
        <v>25717</v>
      </c>
      <c r="M131" s="15">
        <f>M126</f>
        <v>37</v>
      </c>
    </row>
  </sheetData>
  <autoFilter ref="A2:P97" xr:uid="{00000000-0009-0000-0000-000010000000}">
    <sortState xmlns:xlrd2="http://schemas.microsoft.com/office/spreadsheetml/2017/richdata2" ref="A3:P97">
      <sortCondition ref="J2:J97"/>
    </sortState>
  </autoFilter>
  <mergeCells count="8">
    <mergeCell ref="C106:D106"/>
    <mergeCell ref="C107:D107"/>
    <mergeCell ref="C109:D109"/>
    <mergeCell ref="C101:D101"/>
    <mergeCell ref="C102:D102"/>
    <mergeCell ref="C103:D103"/>
    <mergeCell ref="C104:D104"/>
    <mergeCell ref="C105:D105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Q98"/>
  <sheetViews>
    <sheetView topLeftCell="A49" workbookViewId="0">
      <selection activeCell="L81" sqref="L81"/>
    </sheetView>
  </sheetViews>
  <sheetFormatPr defaultRowHeight="15" x14ac:dyDescent="0.25"/>
  <cols>
    <col min="1" max="1" width="12.7109375" customWidth="1"/>
    <col min="2" max="2" width="17.7109375" customWidth="1"/>
    <col min="3" max="3" width="31.85546875" customWidth="1"/>
    <col min="4" max="4" width="10.28515625" customWidth="1"/>
    <col min="5" max="5" width="66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2020</v>
      </c>
      <c r="D3" s="24" t="s">
        <v>2021</v>
      </c>
      <c r="E3" s="24" t="s">
        <v>2022</v>
      </c>
      <c r="F3" s="25">
        <v>9</v>
      </c>
      <c r="G3" s="25">
        <v>0</v>
      </c>
      <c r="H3" s="25">
        <v>30</v>
      </c>
      <c r="I3" s="25">
        <f>-H3</f>
        <v>-30</v>
      </c>
      <c r="J3" s="24" t="s">
        <v>20</v>
      </c>
      <c r="K3" s="24" t="s">
        <v>21</v>
      </c>
      <c r="L3" s="24" t="s">
        <v>2023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2024</v>
      </c>
      <c r="D4" s="24" t="s">
        <v>2025</v>
      </c>
      <c r="E4" s="24" t="s">
        <v>2026</v>
      </c>
      <c r="F4" s="25">
        <v>9</v>
      </c>
      <c r="G4" s="25">
        <v>0</v>
      </c>
      <c r="H4" s="25">
        <v>30</v>
      </c>
      <c r="I4" s="25">
        <f>-H4</f>
        <v>-30</v>
      </c>
      <c r="J4" s="24" t="s">
        <v>20</v>
      </c>
      <c r="K4" s="24" t="s">
        <v>21</v>
      </c>
      <c r="L4" s="24" t="s">
        <v>2023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2027</v>
      </c>
      <c r="D5" s="24" t="s">
        <v>2028</v>
      </c>
      <c r="E5" s="24" t="s">
        <v>2029</v>
      </c>
      <c r="F5" s="25">
        <v>9</v>
      </c>
      <c r="G5" s="25">
        <v>900</v>
      </c>
      <c r="H5" s="25">
        <v>30</v>
      </c>
      <c r="I5" s="25">
        <f t="shared" ref="I5:I14" si="0">G5-H5</f>
        <v>870</v>
      </c>
      <c r="J5" s="24" t="s">
        <v>20</v>
      </c>
      <c r="K5" s="24" t="s">
        <v>21</v>
      </c>
      <c r="L5" s="24" t="s">
        <v>2023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1446</v>
      </c>
      <c r="D6" s="24" t="s">
        <v>2030</v>
      </c>
      <c r="E6" s="24" t="s">
        <v>1448</v>
      </c>
      <c r="F6" s="25">
        <v>9</v>
      </c>
      <c r="G6" s="25">
        <v>480</v>
      </c>
      <c r="H6" s="25">
        <v>30</v>
      </c>
      <c r="I6" s="25">
        <f t="shared" si="0"/>
        <v>450</v>
      </c>
      <c r="J6" s="24" t="s">
        <v>20</v>
      </c>
      <c r="K6" s="24" t="s">
        <v>21</v>
      </c>
      <c r="L6" s="24" t="s">
        <v>2023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2031</v>
      </c>
      <c r="D7" s="24" t="s">
        <v>2032</v>
      </c>
      <c r="E7" s="24" t="s">
        <v>2033</v>
      </c>
      <c r="F7" s="25">
        <v>9</v>
      </c>
      <c r="G7" s="25">
        <v>1040</v>
      </c>
      <c r="H7" s="25">
        <v>30</v>
      </c>
      <c r="I7" s="25">
        <f t="shared" si="0"/>
        <v>1010</v>
      </c>
      <c r="J7" s="24" t="s">
        <v>20</v>
      </c>
      <c r="K7" s="24" t="s">
        <v>21</v>
      </c>
      <c r="L7" s="24" t="s">
        <v>2023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2034</v>
      </c>
      <c r="D8" s="24" t="s">
        <v>2035</v>
      </c>
      <c r="E8" s="24" t="s">
        <v>2036</v>
      </c>
      <c r="F8" s="25">
        <v>9</v>
      </c>
      <c r="G8" s="25">
        <v>3740</v>
      </c>
      <c r="H8" s="25">
        <v>35</v>
      </c>
      <c r="I8" s="25">
        <f t="shared" si="0"/>
        <v>3705</v>
      </c>
      <c r="J8" s="24" t="s">
        <v>20</v>
      </c>
      <c r="K8" s="24" t="s">
        <v>21</v>
      </c>
      <c r="L8" s="24" t="s">
        <v>2023</v>
      </c>
      <c r="M8" s="31" t="s">
        <v>398</v>
      </c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729</v>
      </c>
      <c r="D9" s="24" t="s">
        <v>2037</v>
      </c>
      <c r="E9" s="24" t="s">
        <v>2038</v>
      </c>
      <c r="F9" s="25">
        <v>9</v>
      </c>
      <c r="G9" s="25">
        <v>870</v>
      </c>
      <c r="H9" s="25">
        <v>30</v>
      </c>
      <c r="I9" s="25">
        <f t="shared" si="0"/>
        <v>840</v>
      </c>
      <c r="J9" s="24" t="s">
        <v>20</v>
      </c>
      <c r="K9" s="24" t="s">
        <v>21</v>
      </c>
      <c r="L9" s="24" t="s">
        <v>2023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466</v>
      </c>
      <c r="D10" s="24" t="s">
        <v>2039</v>
      </c>
      <c r="E10" s="24" t="s">
        <v>2040</v>
      </c>
      <c r="F10" s="25">
        <v>8</v>
      </c>
      <c r="G10" s="25">
        <v>690</v>
      </c>
      <c r="H10" s="25">
        <v>30</v>
      </c>
      <c r="I10" s="25">
        <f t="shared" si="0"/>
        <v>660</v>
      </c>
      <c r="J10" s="24" t="s">
        <v>2041</v>
      </c>
      <c r="K10" s="24" t="s">
        <v>21</v>
      </c>
      <c r="L10" s="24" t="s">
        <v>2023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2042</v>
      </c>
      <c r="D11" s="24" t="s">
        <v>2043</v>
      </c>
      <c r="E11" s="24" t="s">
        <v>2044</v>
      </c>
      <c r="F11" s="24" t="s">
        <v>217</v>
      </c>
      <c r="G11" s="25">
        <v>475</v>
      </c>
      <c r="H11" s="25">
        <v>25</v>
      </c>
      <c r="I11" s="25">
        <f t="shared" si="0"/>
        <v>450</v>
      </c>
      <c r="J11" s="24" t="s">
        <v>2041</v>
      </c>
      <c r="K11" s="24" t="s">
        <v>21</v>
      </c>
      <c r="L11" s="24" t="s">
        <v>2023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2045</v>
      </c>
      <c r="D12" s="24" t="s">
        <v>2046</v>
      </c>
      <c r="E12" s="24" t="s">
        <v>2047</v>
      </c>
      <c r="F12" s="25">
        <v>6</v>
      </c>
      <c r="G12" s="25">
        <v>1840</v>
      </c>
      <c r="H12" s="25">
        <v>25</v>
      </c>
      <c r="I12" s="25">
        <f t="shared" si="0"/>
        <v>1815</v>
      </c>
      <c r="J12" s="24" t="s">
        <v>2041</v>
      </c>
      <c r="K12" s="24" t="s">
        <v>21</v>
      </c>
      <c r="L12" s="24" t="s">
        <v>2023</v>
      </c>
      <c r="M12" s="31" t="s">
        <v>398</v>
      </c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2048</v>
      </c>
      <c r="D13" s="24" t="s">
        <v>2049</v>
      </c>
      <c r="E13" s="24" t="s">
        <v>2050</v>
      </c>
      <c r="F13" s="25">
        <v>12</v>
      </c>
      <c r="G13" s="25">
        <v>600</v>
      </c>
      <c r="H13" s="25">
        <v>30</v>
      </c>
      <c r="I13" s="25">
        <f t="shared" si="0"/>
        <v>570</v>
      </c>
      <c r="J13" s="24" t="s">
        <v>2041</v>
      </c>
      <c r="K13" s="24" t="s">
        <v>21</v>
      </c>
      <c r="L13" s="24" t="s">
        <v>2023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247</v>
      </c>
      <c r="D14" s="24" t="s">
        <v>2051</v>
      </c>
      <c r="E14" s="24" t="s">
        <v>249</v>
      </c>
      <c r="F14" s="24" t="s">
        <v>128</v>
      </c>
      <c r="G14" s="25">
        <v>385</v>
      </c>
      <c r="H14" s="25">
        <v>35</v>
      </c>
      <c r="I14" s="25">
        <f t="shared" si="0"/>
        <v>350</v>
      </c>
      <c r="J14" s="24" t="s">
        <v>2041</v>
      </c>
      <c r="K14" s="24" t="s">
        <v>21</v>
      </c>
      <c r="L14" s="24" t="s">
        <v>2023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2052</v>
      </c>
      <c r="D15" s="24" t="s">
        <v>2053</v>
      </c>
      <c r="E15" s="24" t="s">
        <v>2054</v>
      </c>
      <c r="F15" s="25">
        <v>12</v>
      </c>
      <c r="G15" s="25">
        <v>0</v>
      </c>
      <c r="H15" s="25">
        <v>30</v>
      </c>
      <c r="I15" s="25">
        <f>-H15</f>
        <v>-30</v>
      </c>
      <c r="J15" s="24" t="s">
        <v>2041</v>
      </c>
      <c r="K15" s="24" t="s">
        <v>21</v>
      </c>
      <c r="L15" s="24" t="s">
        <v>2023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2055</v>
      </c>
      <c r="D16" s="24" t="s">
        <v>2056</v>
      </c>
      <c r="E16" s="24" t="s">
        <v>2057</v>
      </c>
      <c r="F16" s="24" t="s">
        <v>26</v>
      </c>
      <c r="G16" s="25">
        <v>790</v>
      </c>
      <c r="H16" s="25">
        <v>30</v>
      </c>
      <c r="I16" s="25">
        <f>G16-H16</f>
        <v>760</v>
      </c>
      <c r="J16" s="24" t="s">
        <v>2041</v>
      </c>
      <c r="K16" s="24" t="s">
        <v>21</v>
      </c>
      <c r="L16" s="24" t="s">
        <v>2023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2058</v>
      </c>
      <c r="D17" s="24" t="s">
        <v>2059</v>
      </c>
      <c r="E17" s="24" t="s">
        <v>2060</v>
      </c>
      <c r="F17" s="24" t="s">
        <v>26</v>
      </c>
      <c r="G17" s="25">
        <v>700</v>
      </c>
      <c r="H17" s="25">
        <v>30</v>
      </c>
      <c r="I17" s="25">
        <f>G17-H17</f>
        <v>670</v>
      </c>
      <c r="J17" s="24" t="s">
        <v>2041</v>
      </c>
      <c r="K17" s="24" t="s">
        <v>21</v>
      </c>
      <c r="L17" s="24" t="s">
        <v>2023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2061</v>
      </c>
      <c r="D18" s="24" t="s">
        <v>2062</v>
      </c>
      <c r="E18" s="24" t="s">
        <v>2063</v>
      </c>
      <c r="F18" s="25">
        <v>7</v>
      </c>
      <c r="G18" s="25">
        <v>470</v>
      </c>
      <c r="H18" s="25">
        <v>30</v>
      </c>
      <c r="I18" s="25">
        <f>G18-H18</f>
        <v>440</v>
      </c>
      <c r="J18" s="24" t="s">
        <v>2041</v>
      </c>
      <c r="K18" s="24" t="s">
        <v>21</v>
      </c>
      <c r="L18" s="24" t="s">
        <v>2023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2064</v>
      </c>
      <c r="D19" s="24" t="s">
        <v>2065</v>
      </c>
      <c r="E19" s="24" t="s">
        <v>2066</v>
      </c>
      <c r="F19" s="25">
        <v>12</v>
      </c>
      <c r="G19" s="25">
        <v>480</v>
      </c>
      <c r="H19" s="25">
        <v>30</v>
      </c>
      <c r="I19" s="25">
        <f>G19-H19</f>
        <v>450</v>
      </c>
      <c r="J19" s="24" t="s">
        <v>2041</v>
      </c>
      <c r="K19" s="24" t="s">
        <v>21</v>
      </c>
      <c r="L19" s="24" t="s">
        <v>2023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343</v>
      </c>
      <c r="D20" s="24" t="s">
        <v>2067</v>
      </c>
      <c r="E20" s="24" t="s">
        <v>2068</v>
      </c>
      <c r="F20" s="24" t="s">
        <v>217</v>
      </c>
      <c r="G20" s="25">
        <v>0</v>
      </c>
      <c r="H20" s="25">
        <v>25</v>
      </c>
      <c r="I20" s="25">
        <f>-H20</f>
        <v>-25</v>
      </c>
      <c r="J20" s="24" t="s">
        <v>2041</v>
      </c>
      <c r="K20" s="24" t="s">
        <v>21</v>
      </c>
      <c r="L20" s="24" t="s">
        <v>2023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2069</v>
      </c>
      <c r="D21" s="24" t="s">
        <v>2070</v>
      </c>
      <c r="E21" s="24" t="s">
        <v>2071</v>
      </c>
      <c r="F21" s="24" t="s">
        <v>26</v>
      </c>
      <c r="G21" s="25">
        <v>890</v>
      </c>
      <c r="H21" s="25">
        <v>30</v>
      </c>
      <c r="I21" s="25">
        <f t="shared" ref="I21:I30" si="1">G21-H21</f>
        <v>860</v>
      </c>
      <c r="J21" s="24" t="s">
        <v>2041</v>
      </c>
      <c r="K21" s="24" t="s">
        <v>21</v>
      </c>
      <c r="L21" s="24" t="s">
        <v>2023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28</v>
      </c>
      <c r="D22" s="24" t="s">
        <v>2072</v>
      </c>
      <c r="E22" s="24" t="s">
        <v>30</v>
      </c>
      <c r="F22" s="25">
        <v>7</v>
      </c>
      <c r="G22" s="25">
        <v>870</v>
      </c>
      <c r="H22" s="25">
        <v>30</v>
      </c>
      <c r="I22" s="25">
        <f t="shared" si="1"/>
        <v>840</v>
      </c>
      <c r="J22" s="24" t="s">
        <v>2041</v>
      </c>
      <c r="K22" s="24" t="s">
        <v>21</v>
      </c>
      <c r="L22" s="24" t="s">
        <v>2023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2073</v>
      </c>
      <c r="D23" s="24" t="s">
        <v>2074</v>
      </c>
      <c r="E23" s="24" t="s">
        <v>2075</v>
      </c>
      <c r="F23" s="25">
        <v>9</v>
      </c>
      <c r="G23" s="25">
        <v>560</v>
      </c>
      <c r="H23" s="25">
        <v>30</v>
      </c>
      <c r="I23" s="25">
        <f t="shared" si="1"/>
        <v>530</v>
      </c>
      <c r="J23" s="24" t="s">
        <v>2041</v>
      </c>
      <c r="K23" s="24" t="s">
        <v>21</v>
      </c>
      <c r="L23" s="24" t="s">
        <v>2023</v>
      </c>
      <c r="M23" s="24"/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1831</v>
      </c>
      <c r="D24" s="24" t="s">
        <v>2076</v>
      </c>
      <c r="E24" s="24" t="s">
        <v>2077</v>
      </c>
      <c r="F24" s="25">
        <v>11</v>
      </c>
      <c r="G24" s="25">
        <v>955</v>
      </c>
      <c r="H24" s="25">
        <v>25</v>
      </c>
      <c r="I24" s="25">
        <f t="shared" si="1"/>
        <v>930</v>
      </c>
      <c r="J24" s="24" t="s">
        <v>2041</v>
      </c>
      <c r="K24" s="24" t="s">
        <v>21</v>
      </c>
      <c r="L24" s="24" t="s">
        <v>2023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2078</v>
      </c>
      <c r="D25" s="24" t="s">
        <v>2079</v>
      </c>
      <c r="E25" s="24" t="s">
        <v>2080</v>
      </c>
      <c r="F25" s="24" t="s">
        <v>26</v>
      </c>
      <c r="G25" s="25">
        <v>900</v>
      </c>
      <c r="H25" s="25">
        <v>30</v>
      </c>
      <c r="I25" s="25">
        <f t="shared" si="1"/>
        <v>870</v>
      </c>
      <c r="J25" s="24" t="s">
        <v>2041</v>
      </c>
      <c r="K25" s="24" t="s">
        <v>21</v>
      </c>
      <c r="L25" s="24" t="s">
        <v>2023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676</v>
      </c>
      <c r="D26" s="24" t="s">
        <v>2081</v>
      </c>
      <c r="E26" s="24" t="s">
        <v>678</v>
      </c>
      <c r="F26" s="25">
        <v>6</v>
      </c>
      <c r="G26" s="25">
        <v>475</v>
      </c>
      <c r="H26" s="25">
        <v>25</v>
      </c>
      <c r="I26" s="25">
        <f t="shared" si="1"/>
        <v>450</v>
      </c>
      <c r="J26" s="24" t="s">
        <v>2041</v>
      </c>
      <c r="K26" s="24" t="s">
        <v>21</v>
      </c>
      <c r="L26" s="24" t="s">
        <v>2023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2082</v>
      </c>
      <c r="D27" s="24" t="s">
        <v>2083</v>
      </c>
      <c r="E27" s="24" t="s">
        <v>2084</v>
      </c>
      <c r="F27" s="25">
        <v>12</v>
      </c>
      <c r="G27" s="25">
        <v>480</v>
      </c>
      <c r="H27" s="25">
        <v>30</v>
      </c>
      <c r="I27" s="25">
        <f t="shared" si="1"/>
        <v>450</v>
      </c>
      <c r="J27" s="24" t="s">
        <v>2041</v>
      </c>
      <c r="K27" s="24" t="s">
        <v>21</v>
      </c>
      <c r="L27" s="24" t="s">
        <v>2023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2085</v>
      </c>
      <c r="D28" s="24" t="s">
        <v>2086</v>
      </c>
      <c r="E28" s="24" t="s">
        <v>2087</v>
      </c>
      <c r="F28" s="25">
        <v>6</v>
      </c>
      <c r="G28" s="25">
        <v>975</v>
      </c>
      <c r="H28" s="25">
        <v>25</v>
      </c>
      <c r="I28" s="25">
        <f t="shared" si="1"/>
        <v>950</v>
      </c>
      <c r="J28" s="24" t="s">
        <v>2041</v>
      </c>
      <c r="K28" s="24" t="s">
        <v>21</v>
      </c>
      <c r="L28" s="24" t="s">
        <v>2023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2088</v>
      </c>
      <c r="D29" s="24" t="s">
        <v>2089</v>
      </c>
      <c r="E29" s="24" t="s">
        <v>2090</v>
      </c>
      <c r="F29" s="25">
        <v>7</v>
      </c>
      <c r="G29" s="25">
        <v>850</v>
      </c>
      <c r="H29" s="25">
        <v>30</v>
      </c>
      <c r="I29" s="25">
        <f t="shared" si="1"/>
        <v>820</v>
      </c>
      <c r="J29" s="24" t="s">
        <v>2041</v>
      </c>
      <c r="K29" s="24" t="s">
        <v>21</v>
      </c>
      <c r="L29" s="24" t="s">
        <v>2023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2091</v>
      </c>
      <c r="D30" s="24" t="s">
        <v>2092</v>
      </c>
      <c r="E30" s="24" t="s">
        <v>2093</v>
      </c>
      <c r="F30" s="25">
        <v>7</v>
      </c>
      <c r="G30" s="25">
        <v>920</v>
      </c>
      <c r="H30" s="25">
        <v>30</v>
      </c>
      <c r="I30" s="25">
        <f t="shared" si="1"/>
        <v>890</v>
      </c>
      <c r="J30" s="24" t="s">
        <v>2041</v>
      </c>
      <c r="K30" s="24" t="s">
        <v>21</v>
      </c>
      <c r="L30" s="24" t="s">
        <v>2023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2094</v>
      </c>
      <c r="D31" s="24" t="s">
        <v>2095</v>
      </c>
      <c r="E31" s="24" t="s">
        <v>2096</v>
      </c>
      <c r="F31" s="24" t="s">
        <v>88</v>
      </c>
      <c r="G31" s="25">
        <v>0</v>
      </c>
      <c r="H31" s="25">
        <v>25</v>
      </c>
      <c r="I31" s="25">
        <f>-H31</f>
        <v>-25</v>
      </c>
      <c r="J31" s="24" t="s">
        <v>2041</v>
      </c>
      <c r="K31" s="24" t="s">
        <v>21</v>
      </c>
      <c r="L31" s="24" t="s">
        <v>2023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116</v>
      </c>
      <c r="D32" s="24" t="s">
        <v>2097</v>
      </c>
      <c r="E32" s="24" t="s">
        <v>1382</v>
      </c>
      <c r="F32" s="24" t="s">
        <v>26</v>
      </c>
      <c r="G32" s="25">
        <v>1220</v>
      </c>
      <c r="H32" s="25">
        <v>30</v>
      </c>
      <c r="I32" s="25">
        <f>G32-H32</f>
        <v>1190</v>
      </c>
      <c r="J32" s="24" t="s">
        <v>2041</v>
      </c>
      <c r="K32" s="24" t="s">
        <v>21</v>
      </c>
      <c r="L32" s="24" t="s">
        <v>2023</v>
      </c>
      <c r="M32" s="24"/>
      <c r="N32" s="24"/>
      <c r="O32" s="24"/>
      <c r="P32" s="24"/>
      <c r="Q32" s="24">
        <v>1</v>
      </c>
    </row>
    <row r="33" spans="1:17" x14ac:dyDescent="0.25">
      <c r="A33" s="24" t="s">
        <v>62</v>
      </c>
      <c r="B33" s="24" t="s">
        <v>16</v>
      </c>
      <c r="C33" s="24" t="s">
        <v>2098</v>
      </c>
      <c r="D33" s="24"/>
      <c r="E33" s="24" t="s">
        <v>2099</v>
      </c>
      <c r="F33" s="24" t="s">
        <v>26</v>
      </c>
      <c r="G33" s="25">
        <v>0</v>
      </c>
      <c r="H33" s="25">
        <v>35</v>
      </c>
      <c r="I33" s="25">
        <f>-H33</f>
        <v>-35</v>
      </c>
      <c r="J33" s="24" t="s">
        <v>2041</v>
      </c>
      <c r="K33" s="24" t="s">
        <v>21</v>
      </c>
      <c r="L33" s="24" t="s">
        <v>2023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2100</v>
      </c>
      <c r="D34" s="24" t="s">
        <v>2101</v>
      </c>
      <c r="E34" s="24" t="s">
        <v>2102</v>
      </c>
      <c r="F34" s="24" t="s">
        <v>68</v>
      </c>
      <c r="G34" s="25">
        <v>470</v>
      </c>
      <c r="H34" s="25">
        <v>20</v>
      </c>
      <c r="I34" s="25">
        <f>G34-H34</f>
        <v>450</v>
      </c>
      <c r="J34" s="24" t="s">
        <v>21</v>
      </c>
      <c r="K34" s="24" t="s">
        <v>21</v>
      </c>
      <c r="L34" s="24" t="s">
        <v>2023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414</v>
      </c>
      <c r="D35" s="24" t="s">
        <v>2103</v>
      </c>
      <c r="E35" s="24" t="s">
        <v>2104</v>
      </c>
      <c r="F35" s="25">
        <v>12</v>
      </c>
      <c r="G35" s="25">
        <v>0</v>
      </c>
      <c r="H35" s="25">
        <v>40</v>
      </c>
      <c r="I35" s="25">
        <f>-H35</f>
        <v>-40</v>
      </c>
      <c r="J35" s="24" t="s">
        <v>21</v>
      </c>
      <c r="K35" s="24" t="s">
        <v>21</v>
      </c>
      <c r="L35" s="24" t="s">
        <v>2023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2105</v>
      </c>
      <c r="D36" s="24" t="s">
        <v>2106</v>
      </c>
      <c r="E36" s="24" t="s">
        <v>2107</v>
      </c>
      <c r="F36" s="25">
        <v>2</v>
      </c>
      <c r="G36" s="25">
        <v>890</v>
      </c>
      <c r="H36" s="25">
        <v>30</v>
      </c>
      <c r="I36" s="25">
        <f t="shared" ref="I36:I44" si="2">G36-H36</f>
        <v>860</v>
      </c>
      <c r="J36" s="24" t="s">
        <v>21</v>
      </c>
      <c r="K36" s="24" t="s">
        <v>21</v>
      </c>
      <c r="L36" s="24" t="s">
        <v>2023</v>
      </c>
      <c r="M36" s="24"/>
      <c r="N36" s="24"/>
      <c r="O36" s="24"/>
      <c r="P36" s="24"/>
      <c r="Q36" s="24">
        <v>1</v>
      </c>
    </row>
    <row r="37" spans="1:17" x14ac:dyDescent="0.25">
      <c r="A37" s="24"/>
      <c r="B37" s="24" t="s">
        <v>16</v>
      </c>
      <c r="C37" s="24" t="s">
        <v>2108</v>
      </c>
      <c r="D37" s="24" t="s">
        <v>2109</v>
      </c>
      <c r="E37" s="24" t="s">
        <v>2110</v>
      </c>
      <c r="F37" s="24" t="s">
        <v>72</v>
      </c>
      <c r="G37" s="25">
        <v>2000</v>
      </c>
      <c r="H37" s="25">
        <v>25</v>
      </c>
      <c r="I37" s="25">
        <f t="shared" si="2"/>
        <v>1975</v>
      </c>
      <c r="J37" s="24" t="s">
        <v>21</v>
      </c>
      <c r="K37" s="24" t="s">
        <v>21</v>
      </c>
      <c r="L37" s="24" t="s">
        <v>2023</v>
      </c>
      <c r="M37" s="31" t="s">
        <v>398</v>
      </c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247</v>
      </c>
      <c r="D38" s="24" t="s">
        <v>2111</v>
      </c>
      <c r="E38" s="24" t="s">
        <v>2112</v>
      </c>
      <c r="F38" s="24" t="s">
        <v>72</v>
      </c>
      <c r="G38" s="25">
        <v>555</v>
      </c>
      <c r="H38" s="25">
        <v>25</v>
      </c>
      <c r="I38" s="25">
        <f t="shared" si="2"/>
        <v>530</v>
      </c>
      <c r="J38" s="24" t="s">
        <v>21</v>
      </c>
      <c r="K38" s="24" t="s">
        <v>21</v>
      </c>
      <c r="L38" s="24" t="s">
        <v>2023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2113</v>
      </c>
      <c r="D39" s="24" t="s">
        <v>2114</v>
      </c>
      <c r="E39" s="24" t="s">
        <v>2115</v>
      </c>
      <c r="F39" s="24" t="s">
        <v>68</v>
      </c>
      <c r="G39" s="25">
        <v>550</v>
      </c>
      <c r="H39" s="25">
        <v>20</v>
      </c>
      <c r="I39" s="25">
        <f t="shared" si="2"/>
        <v>530</v>
      </c>
      <c r="J39" s="24" t="s">
        <v>21</v>
      </c>
      <c r="K39" s="24" t="s">
        <v>21</v>
      </c>
      <c r="L39" s="24" t="s">
        <v>2023</v>
      </c>
      <c r="M39" s="24"/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147</v>
      </c>
      <c r="D40" s="24" t="s">
        <v>2116</v>
      </c>
      <c r="E40" s="24" t="s">
        <v>149</v>
      </c>
      <c r="F40" s="24" t="s">
        <v>68</v>
      </c>
      <c r="G40" s="25">
        <v>4910</v>
      </c>
      <c r="H40" s="25">
        <v>30</v>
      </c>
      <c r="I40" s="25">
        <f t="shared" si="2"/>
        <v>4880</v>
      </c>
      <c r="J40" s="24" t="s">
        <v>21</v>
      </c>
      <c r="K40" s="24" t="s">
        <v>21</v>
      </c>
      <c r="L40" s="24" t="s">
        <v>2023</v>
      </c>
      <c r="M40" s="31" t="s">
        <v>398</v>
      </c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2117</v>
      </c>
      <c r="D41" s="24" t="s">
        <v>2118</v>
      </c>
      <c r="E41" s="24" t="s">
        <v>2119</v>
      </c>
      <c r="F41" s="25">
        <v>2</v>
      </c>
      <c r="G41" s="25">
        <v>880</v>
      </c>
      <c r="H41" s="25">
        <v>30</v>
      </c>
      <c r="I41" s="25">
        <f t="shared" si="2"/>
        <v>850</v>
      </c>
      <c r="J41" s="24" t="s">
        <v>21</v>
      </c>
      <c r="K41" s="24" t="s">
        <v>21</v>
      </c>
      <c r="L41" s="24" t="s">
        <v>2023</v>
      </c>
      <c r="M41" s="24"/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349</v>
      </c>
      <c r="D42" s="24" t="s">
        <v>2120</v>
      </c>
      <c r="E42" s="24" t="s">
        <v>949</v>
      </c>
      <c r="F42" s="24" t="s">
        <v>72</v>
      </c>
      <c r="G42" s="25">
        <v>1395</v>
      </c>
      <c r="H42" s="25">
        <v>25</v>
      </c>
      <c r="I42" s="25">
        <f t="shared" si="2"/>
        <v>1370</v>
      </c>
      <c r="J42" s="24" t="s">
        <v>21</v>
      </c>
      <c r="K42" s="24" t="s">
        <v>21</v>
      </c>
      <c r="L42" s="24" t="s">
        <v>2023</v>
      </c>
      <c r="M42" s="24"/>
      <c r="N42" s="24"/>
      <c r="O42" s="24"/>
      <c r="P42" s="24"/>
      <c r="Q42" s="24">
        <v>1</v>
      </c>
    </row>
    <row r="43" spans="1:17" x14ac:dyDescent="0.25">
      <c r="A43" s="24" t="s">
        <v>62</v>
      </c>
      <c r="B43" s="24" t="s">
        <v>16</v>
      </c>
      <c r="C43" s="24" t="s">
        <v>2121</v>
      </c>
      <c r="D43" s="24"/>
      <c r="E43" s="24" t="s">
        <v>2122</v>
      </c>
      <c r="F43" s="24" t="s">
        <v>153</v>
      </c>
      <c r="G43" s="25">
        <v>35</v>
      </c>
      <c r="H43" s="25">
        <v>35</v>
      </c>
      <c r="I43" s="25">
        <f t="shared" si="2"/>
        <v>0</v>
      </c>
      <c r="J43" s="24" t="s">
        <v>21</v>
      </c>
      <c r="K43" s="24" t="s">
        <v>21</v>
      </c>
      <c r="L43" s="24" t="s">
        <v>2023</v>
      </c>
      <c r="M43" s="24"/>
      <c r="N43" s="24"/>
      <c r="O43" s="24"/>
      <c r="P43" s="24"/>
      <c r="Q43" s="24">
        <v>1</v>
      </c>
    </row>
    <row r="44" spans="1:17" x14ac:dyDescent="0.25">
      <c r="A44" s="24" t="s">
        <v>62</v>
      </c>
      <c r="B44" s="24" t="s">
        <v>16</v>
      </c>
      <c r="C44" s="24" t="s">
        <v>640</v>
      </c>
      <c r="D44" s="24"/>
      <c r="E44" s="24" t="s">
        <v>641</v>
      </c>
      <c r="F44" s="24" t="s">
        <v>72</v>
      </c>
      <c r="G44" s="25">
        <v>2310</v>
      </c>
      <c r="H44" s="25">
        <v>30</v>
      </c>
      <c r="I44" s="25">
        <f t="shared" si="2"/>
        <v>2280</v>
      </c>
      <c r="J44" s="24" t="s">
        <v>21</v>
      </c>
      <c r="K44" s="24" t="s">
        <v>21</v>
      </c>
      <c r="L44" s="24" t="s">
        <v>2023</v>
      </c>
      <c r="M44" s="24"/>
      <c r="N44" s="24"/>
      <c r="O44" s="24"/>
      <c r="P44" s="24"/>
      <c r="Q44" s="24">
        <v>1</v>
      </c>
    </row>
    <row r="45" spans="1:17" x14ac:dyDescent="0.25">
      <c r="A45" s="24" t="s">
        <v>62</v>
      </c>
      <c r="B45" s="24" t="s">
        <v>16</v>
      </c>
      <c r="C45" s="24" t="s">
        <v>320</v>
      </c>
      <c r="D45" s="24"/>
      <c r="E45" s="24" t="s">
        <v>321</v>
      </c>
      <c r="F45" s="24" t="s">
        <v>72</v>
      </c>
      <c r="G45" s="25">
        <v>0</v>
      </c>
      <c r="H45" s="25">
        <v>30</v>
      </c>
      <c r="I45" s="25">
        <f>-H45</f>
        <v>-30</v>
      </c>
      <c r="J45" s="24" t="s">
        <v>21</v>
      </c>
      <c r="K45" s="24" t="s">
        <v>21</v>
      </c>
      <c r="L45" s="24" t="s">
        <v>2023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2123</v>
      </c>
      <c r="D46" s="24" t="s">
        <v>2124</v>
      </c>
      <c r="E46" s="24" t="s">
        <v>2125</v>
      </c>
      <c r="F46" s="25">
        <v>3</v>
      </c>
      <c r="G46" s="25">
        <v>555</v>
      </c>
      <c r="H46" s="25">
        <v>25</v>
      </c>
      <c r="I46" s="25">
        <f>G46-H46</f>
        <v>530</v>
      </c>
      <c r="J46" s="24" t="s">
        <v>165</v>
      </c>
      <c r="K46" s="24" t="s">
        <v>21</v>
      </c>
      <c r="L46" s="24" t="s">
        <v>2023</v>
      </c>
      <c r="M46" s="24"/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991</v>
      </c>
      <c r="D47" s="24" t="s">
        <v>2126</v>
      </c>
      <c r="E47" s="24" t="s">
        <v>993</v>
      </c>
      <c r="F47" s="24" t="s">
        <v>88</v>
      </c>
      <c r="G47" s="25">
        <v>1925</v>
      </c>
      <c r="H47" s="25">
        <v>25</v>
      </c>
      <c r="I47" s="25">
        <f>G47-H47</f>
        <v>1900</v>
      </c>
      <c r="J47" s="24" t="s">
        <v>165</v>
      </c>
      <c r="K47" s="24" t="s">
        <v>21</v>
      </c>
      <c r="L47" s="24" t="s">
        <v>2023</v>
      </c>
      <c r="M47" s="24"/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645</v>
      </c>
      <c r="D48" s="24" t="s">
        <v>2127</v>
      </c>
      <c r="E48" s="24" t="s">
        <v>647</v>
      </c>
      <c r="F48" s="25">
        <v>1</v>
      </c>
      <c r="G48" s="25">
        <v>595</v>
      </c>
      <c r="H48" s="25">
        <v>25</v>
      </c>
      <c r="I48" s="25">
        <f>G48-H48</f>
        <v>570</v>
      </c>
      <c r="J48" s="24" t="s">
        <v>165</v>
      </c>
      <c r="K48" s="24" t="s">
        <v>21</v>
      </c>
      <c r="L48" s="24" t="s">
        <v>2023</v>
      </c>
      <c r="M48" s="24"/>
      <c r="N48" s="24"/>
      <c r="O48" s="24"/>
      <c r="P48" s="24"/>
      <c r="Q48" s="24">
        <v>1</v>
      </c>
    </row>
    <row r="49" spans="1:17" x14ac:dyDescent="0.25">
      <c r="A49" s="24"/>
      <c r="B49" s="24" t="s">
        <v>16</v>
      </c>
      <c r="C49" s="24" t="s">
        <v>2128</v>
      </c>
      <c r="D49" s="24" t="s">
        <v>2129</v>
      </c>
      <c r="E49" s="24" t="s">
        <v>2130</v>
      </c>
      <c r="F49" s="24" t="s">
        <v>88</v>
      </c>
      <c r="G49" s="25">
        <v>0</v>
      </c>
      <c r="H49" s="25">
        <v>25</v>
      </c>
      <c r="I49" s="25">
        <f>-H49</f>
        <v>-25</v>
      </c>
      <c r="J49" s="24" t="s">
        <v>165</v>
      </c>
      <c r="K49" s="24" t="s">
        <v>21</v>
      </c>
      <c r="L49" s="24" t="s">
        <v>2023</v>
      </c>
      <c r="M49" s="24"/>
      <c r="N49" s="24"/>
      <c r="O49" s="24"/>
      <c r="P49" s="24"/>
      <c r="Q49" s="24">
        <v>1</v>
      </c>
    </row>
    <row r="50" spans="1:17" x14ac:dyDescent="0.25">
      <c r="A50" s="24"/>
      <c r="B50" s="24" t="s">
        <v>16</v>
      </c>
      <c r="C50" s="24" t="s">
        <v>887</v>
      </c>
      <c r="D50" s="24" t="s">
        <v>2131</v>
      </c>
      <c r="E50" s="24" t="s">
        <v>889</v>
      </c>
      <c r="F50" s="24" t="s">
        <v>85</v>
      </c>
      <c r="G50" s="25">
        <v>880</v>
      </c>
      <c r="H50" s="25">
        <v>20</v>
      </c>
      <c r="I50" s="25">
        <f>G50-H50</f>
        <v>860</v>
      </c>
      <c r="J50" s="24" t="s">
        <v>165</v>
      </c>
      <c r="K50" s="24" t="s">
        <v>21</v>
      </c>
      <c r="L50" s="24" t="s">
        <v>2023</v>
      </c>
      <c r="M50" s="24"/>
      <c r="N50" s="24"/>
      <c r="O50" s="24"/>
      <c r="P50" s="24"/>
      <c r="Q50" s="24">
        <v>1</v>
      </c>
    </row>
    <row r="51" spans="1:17" x14ac:dyDescent="0.25">
      <c r="A51" s="24"/>
      <c r="B51" s="24" t="s">
        <v>16</v>
      </c>
      <c r="C51" s="24" t="s">
        <v>2132</v>
      </c>
      <c r="D51" s="24" t="s">
        <v>2133</v>
      </c>
      <c r="E51" s="24" t="s">
        <v>2134</v>
      </c>
      <c r="F51" s="25">
        <v>1</v>
      </c>
      <c r="G51" s="25">
        <v>275</v>
      </c>
      <c r="H51" s="25">
        <v>25</v>
      </c>
      <c r="I51" s="25">
        <f>G51-H51</f>
        <v>250</v>
      </c>
      <c r="J51" s="24" t="s">
        <v>165</v>
      </c>
      <c r="K51" s="24" t="s">
        <v>21</v>
      </c>
      <c r="L51" s="24" t="s">
        <v>2023</v>
      </c>
      <c r="M51" s="24"/>
      <c r="N51" s="24"/>
      <c r="O51" s="24"/>
      <c r="P51" s="24"/>
      <c r="Q51" s="24">
        <v>1</v>
      </c>
    </row>
    <row r="52" spans="1:17" x14ac:dyDescent="0.25">
      <c r="A52" s="24"/>
      <c r="B52" s="24" t="s">
        <v>16</v>
      </c>
      <c r="C52" s="24" t="s">
        <v>2135</v>
      </c>
      <c r="D52" s="24" t="s">
        <v>2136</v>
      </c>
      <c r="E52" s="24" t="s">
        <v>2137</v>
      </c>
      <c r="F52" s="25">
        <v>5</v>
      </c>
      <c r="G52" s="25">
        <v>0</v>
      </c>
      <c r="H52" s="25">
        <v>25</v>
      </c>
      <c r="I52" s="25">
        <f>G52-H52</f>
        <v>-25</v>
      </c>
      <c r="J52" s="24" t="s">
        <v>165</v>
      </c>
      <c r="K52" s="24" t="s">
        <v>21</v>
      </c>
      <c r="L52" s="24" t="s">
        <v>2023</v>
      </c>
      <c r="M52" s="31" t="s">
        <v>2138</v>
      </c>
      <c r="N52" s="24"/>
      <c r="O52" s="24"/>
      <c r="P52" s="24"/>
      <c r="Q52" s="24">
        <v>1</v>
      </c>
    </row>
    <row r="53" spans="1:17" x14ac:dyDescent="0.25">
      <c r="A53" s="24"/>
      <c r="B53" s="24" t="s">
        <v>16</v>
      </c>
      <c r="C53" s="24" t="s">
        <v>2139</v>
      </c>
      <c r="D53" s="24" t="s">
        <v>2140</v>
      </c>
      <c r="E53" s="24" t="s">
        <v>2141</v>
      </c>
      <c r="F53" s="25">
        <v>5</v>
      </c>
      <c r="G53" s="25">
        <v>755</v>
      </c>
      <c r="H53" s="25">
        <v>25</v>
      </c>
      <c r="I53" s="25">
        <f>G53-H53</f>
        <v>730</v>
      </c>
      <c r="J53" s="24" t="s">
        <v>165</v>
      </c>
      <c r="K53" s="24" t="s">
        <v>21</v>
      </c>
      <c r="L53" s="24" t="s">
        <v>2023</v>
      </c>
      <c r="M53" s="24"/>
      <c r="N53" s="24"/>
      <c r="O53" s="24"/>
      <c r="P53" s="24"/>
      <c r="Q53" s="24">
        <v>1</v>
      </c>
    </row>
    <row r="54" spans="1:17" x14ac:dyDescent="0.25">
      <c r="A54" s="24"/>
      <c r="B54" s="24" t="s">
        <v>16</v>
      </c>
      <c r="C54" s="24" t="s">
        <v>1276</v>
      </c>
      <c r="D54" s="24" t="s">
        <v>2142</v>
      </c>
      <c r="E54" s="24" t="s">
        <v>1278</v>
      </c>
      <c r="F54" s="24" t="s">
        <v>88</v>
      </c>
      <c r="G54" s="25">
        <v>915</v>
      </c>
      <c r="H54" s="25">
        <v>25</v>
      </c>
      <c r="I54" s="25">
        <f>G54-H54</f>
        <v>890</v>
      </c>
      <c r="J54" s="24" t="s">
        <v>165</v>
      </c>
      <c r="K54" s="24" t="s">
        <v>21</v>
      </c>
      <c r="L54" s="24" t="s">
        <v>2023</v>
      </c>
      <c r="M54" s="24"/>
      <c r="N54" s="24"/>
      <c r="O54" s="24"/>
      <c r="P54" s="24"/>
      <c r="Q54" s="24">
        <v>1</v>
      </c>
    </row>
    <row r="55" spans="1:17" x14ac:dyDescent="0.25">
      <c r="A55" s="24"/>
      <c r="B55" s="24" t="s">
        <v>16</v>
      </c>
      <c r="C55" s="24" t="s">
        <v>707</v>
      </c>
      <c r="D55" s="24" t="s">
        <v>2143</v>
      </c>
      <c r="E55" s="24" t="s">
        <v>2144</v>
      </c>
      <c r="F55" s="24" t="s">
        <v>85</v>
      </c>
      <c r="G55" s="25">
        <v>0</v>
      </c>
      <c r="H55" s="25">
        <v>20</v>
      </c>
      <c r="I55" s="25">
        <f>-H55</f>
        <v>-20</v>
      </c>
      <c r="J55" s="24" t="s">
        <v>165</v>
      </c>
      <c r="K55" s="24" t="s">
        <v>21</v>
      </c>
      <c r="L55" s="24" t="s">
        <v>2023</v>
      </c>
      <c r="M55" s="24"/>
      <c r="N55" s="24"/>
      <c r="O55" s="24"/>
      <c r="P55" s="24"/>
      <c r="Q55" s="24">
        <v>1</v>
      </c>
    </row>
    <row r="56" spans="1:17" x14ac:dyDescent="0.25">
      <c r="A56" s="24"/>
      <c r="B56" s="24" t="s">
        <v>16</v>
      </c>
      <c r="C56" s="24" t="s">
        <v>2145</v>
      </c>
      <c r="D56" s="24" t="s">
        <v>2146</v>
      </c>
      <c r="E56" s="24" t="s">
        <v>2147</v>
      </c>
      <c r="F56" s="25">
        <v>4</v>
      </c>
      <c r="G56" s="25">
        <v>3670</v>
      </c>
      <c r="H56" s="25">
        <v>30</v>
      </c>
      <c r="I56" s="25">
        <f>G56-H56</f>
        <v>3640</v>
      </c>
      <c r="J56" s="24" t="s">
        <v>165</v>
      </c>
      <c r="K56" s="24" t="s">
        <v>21</v>
      </c>
      <c r="L56" s="24" t="s">
        <v>2023</v>
      </c>
      <c r="M56" s="31" t="s">
        <v>398</v>
      </c>
      <c r="N56" s="24"/>
      <c r="O56" s="24"/>
      <c r="P56" s="24"/>
      <c r="Q56" s="24">
        <v>1</v>
      </c>
    </row>
    <row r="57" spans="1:17" x14ac:dyDescent="0.25">
      <c r="A57" s="24"/>
      <c r="B57" s="24" t="s">
        <v>16</v>
      </c>
      <c r="C57" s="24" t="s">
        <v>2148</v>
      </c>
      <c r="D57" s="24" t="s">
        <v>2149</v>
      </c>
      <c r="E57" s="24" t="s">
        <v>2150</v>
      </c>
      <c r="F57" s="24" t="s">
        <v>88</v>
      </c>
      <c r="G57" s="25">
        <v>1085</v>
      </c>
      <c r="H57" s="25">
        <v>25</v>
      </c>
      <c r="I57" s="25">
        <f>G57-H57</f>
        <v>1060</v>
      </c>
      <c r="J57" s="24" t="s">
        <v>165</v>
      </c>
      <c r="K57" s="24" t="s">
        <v>21</v>
      </c>
      <c r="L57" s="24" t="s">
        <v>2023</v>
      </c>
      <c r="M57" s="24"/>
      <c r="N57" s="24"/>
      <c r="O57" s="24"/>
      <c r="P57" s="24"/>
      <c r="Q57" s="24">
        <v>1</v>
      </c>
    </row>
    <row r="58" spans="1:17" x14ac:dyDescent="0.25">
      <c r="A58" s="24"/>
      <c r="B58" s="24" t="s">
        <v>16</v>
      </c>
      <c r="C58" s="24" t="s">
        <v>2151</v>
      </c>
      <c r="D58" s="24" t="s">
        <v>2152</v>
      </c>
      <c r="E58" s="24" t="s">
        <v>2153</v>
      </c>
      <c r="F58" s="24" t="s">
        <v>85</v>
      </c>
      <c r="G58" s="25">
        <v>0</v>
      </c>
      <c r="H58" s="25">
        <v>20</v>
      </c>
      <c r="I58" s="25">
        <f>-H58</f>
        <v>-20</v>
      </c>
      <c r="J58" s="24" t="s">
        <v>165</v>
      </c>
      <c r="K58" s="24" t="s">
        <v>21</v>
      </c>
      <c r="L58" s="24" t="s">
        <v>2023</v>
      </c>
      <c r="M58" s="24"/>
      <c r="N58" s="24"/>
      <c r="O58" s="24"/>
      <c r="P58" s="24"/>
      <c r="Q58" s="24">
        <v>1</v>
      </c>
    </row>
    <row r="59" spans="1:17" x14ac:dyDescent="0.25">
      <c r="A59" s="24"/>
      <c r="B59" s="24" t="s">
        <v>16</v>
      </c>
      <c r="C59" s="24" t="s">
        <v>2154</v>
      </c>
      <c r="D59" s="24" t="s">
        <v>2155</v>
      </c>
      <c r="E59" s="24" t="s">
        <v>2156</v>
      </c>
      <c r="F59" s="25">
        <v>4</v>
      </c>
      <c r="G59" s="25">
        <v>1485</v>
      </c>
      <c r="H59" s="25">
        <v>25</v>
      </c>
      <c r="I59" s="25">
        <f t="shared" ref="I59:I64" si="3">G59-H59</f>
        <v>1460</v>
      </c>
      <c r="J59" s="24" t="s">
        <v>165</v>
      </c>
      <c r="K59" s="24" t="s">
        <v>21</v>
      </c>
      <c r="L59" s="24" t="s">
        <v>2023</v>
      </c>
      <c r="M59" s="24"/>
      <c r="N59" s="24"/>
      <c r="O59" s="24"/>
      <c r="P59" s="24"/>
      <c r="Q59" s="24">
        <v>1</v>
      </c>
    </row>
    <row r="60" spans="1:17" s="8" customFormat="1" x14ac:dyDescent="0.25">
      <c r="A60" s="26"/>
      <c r="B60" s="26" t="s">
        <v>16</v>
      </c>
      <c r="C60" s="26" t="s">
        <v>2157</v>
      </c>
      <c r="D60" s="26" t="s">
        <v>2158</v>
      </c>
      <c r="E60" s="26" t="s">
        <v>2159</v>
      </c>
      <c r="F60" s="26" t="s">
        <v>780</v>
      </c>
      <c r="G60" s="27">
        <v>570</v>
      </c>
      <c r="H60" s="27">
        <v>0</v>
      </c>
      <c r="I60" s="27">
        <f t="shared" si="3"/>
        <v>570</v>
      </c>
      <c r="J60" s="26" t="s">
        <v>446</v>
      </c>
      <c r="K60" s="26" t="s">
        <v>21</v>
      </c>
      <c r="L60" s="26" t="s">
        <v>2023</v>
      </c>
      <c r="M60" s="26" t="s">
        <v>781</v>
      </c>
      <c r="N60" s="26" t="s">
        <v>448</v>
      </c>
      <c r="O60" s="26"/>
      <c r="P60" s="26" t="s">
        <v>449</v>
      </c>
      <c r="Q60" s="26">
        <v>1</v>
      </c>
    </row>
    <row r="61" spans="1:17" s="8" customFormat="1" x14ac:dyDescent="0.25">
      <c r="A61" s="26"/>
      <c r="B61" s="26" t="s">
        <v>16</v>
      </c>
      <c r="C61" s="26" t="s">
        <v>1194</v>
      </c>
      <c r="D61" s="26" t="s">
        <v>1195</v>
      </c>
      <c r="E61" s="26" t="s">
        <v>1196</v>
      </c>
      <c r="F61" s="27">
        <v>8</v>
      </c>
      <c r="G61" s="27">
        <v>380</v>
      </c>
      <c r="H61" s="27">
        <v>30</v>
      </c>
      <c r="I61" s="27">
        <f t="shared" si="3"/>
        <v>350</v>
      </c>
      <c r="J61" s="26" t="s">
        <v>446</v>
      </c>
      <c r="K61" s="26" t="s">
        <v>21</v>
      </c>
      <c r="L61" s="26" t="s">
        <v>1148</v>
      </c>
      <c r="M61" s="26" t="s">
        <v>102</v>
      </c>
      <c r="N61" s="26" t="s">
        <v>448</v>
      </c>
      <c r="O61" s="26" t="s">
        <v>448</v>
      </c>
      <c r="P61" s="26" t="s">
        <v>449</v>
      </c>
      <c r="Q61" s="26">
        <v>1</v>
      </c>
    </row>
    <row r="62" spans="1:17" s="8" customFormat="1" x14ac:dyDescent="0.25">
      <c r="A62" s="26"/>
      <c r="B62" s="26" t="s">
        <v>16</v>
      </c>
      <c r="C62" s="26" t="s">
        <v>1053</v>
      </c>
      <c r="D62" s="26" t="s">
        <v>1054</v>
      </c>
      <c r="E62" s="26" t="s">
        <v>1055</v>
      </c>
      <c r="F62" s="26" t="s">
        <v>217</v>
      </c>
      <c r="G62" s="27">
        <v>2970</v>
      </c>
      <c r="H62" s="27">
        <v>30</v>
      </c>
      <c r="I62" s="27">
        <f t="shared" si="3"/>
        <v>2940</v>
      </c>
      <c r="J62" s="26" t="s">
        <v>446</v>
      </c>
      <c r="K62" s="26" t="s">
        <v>21</v>
      </c>
      <c r="L62" s="26" t="s">
        <v>1032</v>
      </c>
      <c r="M62" s="26" t="s">
        <v>102</v>
      </c>
      <c r="N62" s="26" t="s">
        <v>448</v>
      </c>
      <c r="O62" s="26" t="s">
        <v>448</v>
      </c>
      <c r="P62" s="26" t="s">
        <v>449</v>
      </c>
      <c r="Q62" s="26">
        <v>1</v>
      </c>
    </row>
    <row r="63" spans="1:17" s="8" customFormat="1" x14ac:dyDescent="0.25">
      <c r="A63" s="26"/>
      <c r="B63" s="26" t="s">
        <v>16</v>
      </c>
      <c r="C63" s="26" t="s">
        <v>1367</v>
      </c>
      <c r="D63" s="26" t="s">
        <v>1611</v>
      </c>
      <c r="E63" s="26" t="s">
        <v>1369</v>
      </c>
      <c r="F63" s="26" t="s">
        <v>128</v>
      </c>
      <c r="G63" s="27">
        <v>745</v>
      </c>
      <c r="H63" s="27">
        <v>35</v>
      </c>
      <c r="I63" s="27">
        <f t="shared" si="3"/>
        <v>710</v>
      </c>
      <c r="J63" s="26" t="s">
        <v>446</v>
      </c>
      <c r="K63" s="26" t="s">
        <v>21</v>
      </c>
      <c r="L63" s="26" t="s">
        <v>1570</v>
      </c>
      <c r="M63" s="26" t="s">
        <v>102</v>
      </c>
      <c r="N63" s="26" t="s">
        <v>448</v>
      </c>
      <c r="O63" s="26" t="s">
        <v>448</v>
      </c>
      <c r="P63" s="26" t="s">
        <v>449</v>
      </c>
      <c r="Q63" s="26">
        <v>1</v>
      </c>
    </row>
    <row r="64" spans="1:17" s="8" customFormat="1" x14ac:dyDescent="0.25">
      <c r="A64" s="26"/>
      <c r="B64" s="26" t="s">
        <v>16</v>
      </c>
      <c r="C64" s="26" t="s">
        <v>202</v>
      </c>
      <c r="D64" s="26" t="s">
        <v>1203</v>
      </c>
      <c r="E64" s="26" t="s">
        <v>1204</v>
      </c>
      <c r="F64" s="26" t="s">
        <v>88</v>
      </c>
      <c r="G64" s="27">
        <v>815</v>
      </c>
      <c r="H64" s="27">
        <v>25</v>
      </c>
      <c r="I64" s="27">
        <f t="shared" si="3"/>
        <v>790</v>
      </c>
      <c r="J64" s="26" t="s">
        <v>446</v>
      </c>
      <c r="K64" s="26" t="s">
        <v>21</v>
      </c>
      <c r="L64" s="26" t="s">
        <v>1148</v>
      </c>
      <c r="M64" s="26" t="s">
        <v>102</v>
      </c>
      <c r="N64" s="26" t="s">
        <v>448</v>
      </c>
      <c r="O64" s="26" t="s">
        <v>448</v>
      </c>
      <c r="P64" s="26" t="s">
        <v>449</v>
      </c>
      <c r="Q64" s="26">
        <v>1</v>
      </c>
    </row>
    <row r="66" spans="1:17" x14ac:dyDescent="0.25">
      <c r="D66" s="7">
        <f>COUNTA(D3:D64)</f>
        <v>58</v>
      </c>
      <c r="G66" s="7">
        <f t="shared" ref="G66:Q66" si="4">SUBTOTAL(9,G3:G64)</f>
        <v>54170</v>
      </c>
      <c r="H66" s="7">
        <f t="shared" si="4"/>
        <v>1710</v>
      </c>
      <c r="I66" s="7">
        <f t="shared" si="4"/>
        <v>52460</v>
      </c>
      <c r="J66" s="7">
        <f t="shared" si="4"/>
        <v>0</v>
      </c>
      <c r="K66" s="7">
        <f t="shared" si="4"/>
        <v>0</v>
      </c>
      <c r="L66" s="7">
        <f t="shared" si="4"/>
        <v>0</v>
      </c>
      <c r="M66" s="7">
        <f t="shared" si="4"/>
        <v>0</v>
      </c>
      <c r="N66" s="7">
        <f t="shared" si="4"/>
        <v>0</v>
      </c>
      <c r="O66" s="7">
        <f t="shared" si="4"/>
        <v>0</v>
      </c>
      <c r="P66" s="7">
        <f t="shared" si="4"/>
        <v>0</v>
      </c>
      <c r="Q66" s="7">
        <f t="shared" si="4"/>
        <v>62</v>
      </c>
    </row>
    <row r="67" spans="1:17" x14ac:dyDescent="0.25">
      <c r="H67">
        <f>-12*17</f>
        <v>-204</v>
      </c>
    </row>
    <row r="68" spans="1:17" x14ac:dyDescent="0.25">
      <c r="A68" s="7" t="s">
        <v>16</v>
      </c>
      <c r="C68" s="6" t="s">
        <v>89</v>
      </c>
      <c r="D68" s="6"/>
      <c r="E68" s="10" t="s">
        <v>90</v>
      </c>
      <c r="H68">
        <f>-11*25</f>
        <v>-275</v>
      </c>
      <c r="K68" s="13" t="s">
        <v>20</v>
      </c>
      <c r="L68" s="13" t="s">
        <v>91</v>
      </c>
      <c r="M68" s="13" t="s">
        <v>90</v>
      </c>
      <c r="O68" s="10" t="s">
        <v>92</v>
      </c>
    </row>
    <row r="69" spans="1:17" x14ac:dyDescent="0.25">
      <c r="A69" t="s">
        <v>2023</v>
      </c>
      <c r="B69" s="9" t="s">
        <v>93</v>
      </c>
      <c r="C69" s="5">
        <f>SUMIFS(I$3:I$64,B$3:B$64,A$68,L$3:L$64,A$69)</f>
        <v>47670</v>
      </c>
      <c r="D69" s="5"/>
      <c r="E69" s="9">
        <f>SUMIFS(Q$3:Q$64,B$3:B$64,A$68,L$3:L$64,A$69)</f>
        <v>58</v>
      </c>
      <c r="F69" t="s">
        <v>94</v>
      </c>
      <c r="H69">
        <f>-1*30</f>
        <v>-30</v>
      </c>
      <c r="K69" t="s">
        <v>95</v>
      </c>
      <c r="L69">
        <f>SUMIFS(G$3:G$64,J$3:J$64,K$68)</f>
        <v>7030</v>
      </c>
      <c r="M69">
        <f>SUMIFS(Q$3:Q$64,J$3:J$64,K$68)</f>
        <v>7</v>
      </c>
      <c r="O69" t="s">
        <v>20</v>
      </c>
      <c r="P69">
        <f>L74</f>
        <v>6850</v>
      </c>
    </row>
    <row r="70" spans="1:17" x14ac:dyDescent="0.25">
      <c r="B70" s="8" t="s">
        <v>97</v>
      </c>
      <c r="C70" s="4">
        <v>0</v>
      </c>
      <c r="D70" s="4"/>
      <c r="K70" t="s">
        <v>98</v>
      </c>
      <c r="L70">
        <f>-SUMIFS(H$3:H$64,J$3:J$64,K$68)+M70*5</f>
        <v>-180</v>
      </c>
      <c r="M70">
        <f>SUMIFS(Q$3:Q$64,J$3:J$64,K$68)-COUNTIFS(J$3:J$64,K$68,M$3:M$64,"*gộp*")</f>
        <v>7</v>
      </c>
      <c r="O70" t="s">
        <v>2160</v>
      </c>
      <c r="P70">
        <f>L82</f>
        <v>10175</v>
      </c>
    </row>
    <row r="71" spans="1:17" x14ac:dyDescent="0.25">
      <c r="B71" s="8" t="s">
        <v>99</v>
      </c>
      <c r="C71" s="4">
        <f>-SUMIFS(I$3:I$64,B$3:B$64,A$68,P$3:P$64,"xx",N$3:N$64,"x")</f>
        <v>-5360</v>
      </c>
      <c r="D71" s="4"/>
      <c r="E71" s="8">
        <f>SUMIFS(Q$3:Q$64,B$3:B$64,A$68,P$3:P$64,"xx",N$3:N$64,"x")</f>
        <v>5</v>
      </c>
      <c r="K71" t="s">
        <v>100</v>
      </c>
      <c r="O71" t="s">
        <v>21</v>
      </c>
      <c r="P71">
        <f>L90</f>
        <v>13609</v>
      </c>
    </row>
    <row r="72" spans="1:17" x14ac:dyDescent="0.25">
      <c r="B72" s="10" t="s">
        <v>101</v>
      </c>
      <c r="C72" s="6">
        <f>SUBTOTAL(9,C69:C71)</f>
        <v>42310</v>
      </c>
      <c r="D72" s="6"/>
      <c r="E72">
        <f>E69</f>
        <v>58</v>
      </c>
      <c r="K72" s="8" t="s">
        <v>102</v>
      </c>
      <c r="O72" t="s">
        <v>165</v>
      </c>
      <c r="P72">
        <f>L98</f>
        <v>11870</v>
      </c>
    </row>
    <row r="73" spans="1:17" x14ac:dyDescent="0.25">
      <c r="B73" s="8" t="s">
        <v>104</v>
      </c>
      <c r="C73" s="3"/>
      <c r="D73" s="3"/>
      <c r="K73" s="8" t="s">
        <v>105</v>
      </c>
      <c r="O73" t="s">
        <v>103</v>
      </c>
      <c r="P73">
        <f>-C76</f>
        <v>-42310</v>
      </c>
    </row>
    <row r="74" spans="1:17" x14ac:dyDescent="0.25">
      <c r="B74" s="14" t="s">
        <v>107</v>
      </c>
      <c r="C74" s="3"/>
      <c r="D74" s="3"/>
      <c r="L74" s="15">
        <f>SUBTOTAL(9,L69:L73)</f>
        <v>6850</v>
      </c>
      <c r="M74" s="15">
        <f>M69</f>
        <v>7</v>
      </c>
      <c r="O74" s="10" t="s">
        <v>106</v>
      </c>
      <c r="P74" s="10">
        <f>SUBTOTAL(9,P69:P73)</f>
        <v>194</v>
      </c>
    </row>
    <row r="76" spans="1:17" x14ac:dyDescent="0.25">
      <c r="B76" s="7" t="s">
        <v>108</v>
      </c>
      <c r="C76" s="2">
        <f>C72+C73+C74</f>
        <v>42310</v>
      </c>
      <c r="D76" s="2"/>
      <c r="E76" s="7" t="s">
        <v>109</v>
      </c>
      <c r="K76" s="13" t="s">
        <v>2041</v>
      </c>
      <c r="L76" s="13" t="s">
        <v>91</v>
      </c>
      <c r="M76" s="13" t="s">
        <v>90</v>
      </c>
    </row>
    <row r="77" spans="1:17" x14ac:dyDescent="0.25">
      <c r="K77" t="s">
        <v>95</v>
      </c>
      <c r="L77">
        <f>SUMIFS(G$3:G$64,J$3:J$64,K$76)</f>
        <v>15525</v>
      </c>
      <c r="M77">
        <f>SUMIFS(Q$3:Q$64,J$3:J$64,K$76)</f>
        <v>24</v>
      </c>
    </row>
    <row r="78" spans="1:17" x14ac:dyDescent="0.25">
      <c r="K78" t="s">
        <v>98</v>
      </c>
      <c r="L78">
        <f>SUM(H67:H69)</f>
        <v>-509</v>
      </c>
      <c r="M78">
        <f>SUMIFS(Q$3:Q$64,J$3:J$64,K$76)</f>
        <v>24</v>
      </c>
    </row>
    <row r="79" spans="1:17" x14ac:dyDescent="0.25">
      <c r="K79" t="s">
        <v>100</v>
      </c>
    </row>
    <row r="80" spans="1:17" x14ac:dyDescent="0.25">
      <c r="K80" s="8" t="s">
        <v>102</v>
      </c>
      <c r="L80" s="35">
        <v>-4841</v>
      </c>
      <c r="M80" s="35" t="s">
        <v>1372</v>
      </c>
    </row>
    <row r="81" spans="11:13" x14ac:dyDescent="0.25">
      <c r="K81" s="8" t="s">
        <v>105</v>
      </c>
    </row>
    <row r="82" spans="11:13" x14ac:dyDescent="0.25">
      <c r="L82" s="15">
        <f>SUBTOTAL(9,L77:L81)</f>
        <v>10175</v>
      </c>
      <c r="M82" s="15">
        <f>M77</f>
        <v>24</v>
      </c>
    </row>
    <row r="84" spans="11:13" x14ac:dyDescent="0.25">
      <c r="K84" s="13" t="s">
        <v>21</v>
      </c>
      <c r="L84" s="13" t="s">
        <v>91</v>
      </c>
      <c r="M84" s="13" t="s">
        <v>90</v>
      </c>
    </row>
    <row r="85" spans="11:13" x14ac:dyDescent="0.25">
      <c r="K85" t="s">
        <v>95</v>
      </c>
      <c r="L85">
        <f>SUMIFS(G$3:G$64,J$3:J$64,K$84)</f>
        <v>13995</v>
      </c>
      <c r="M85">
        <f>SUMIFS(Q$3:Q$64,J$3:J$64,K$84)</f>
        <v>12</v>
      </c>
    </row>
    <row r="86" spans="11:13" x14ac:dyDescent="0.25">
      <c r="K86" t="s">
        <v>98</v>
      </c>
      <c r="L86">
        <f>-SUMIFS(H$3:H$64,J$3:J$64,K$84)+M86*5</f>
        <v>-280</v>
      </c>
      <c r="M86">
        <f>SUMIFS(Q$3:Q$64,J$3:J$64,K$84)-COUNTIFS(J$3:J$64,K$84,M$3:M$64,"*gộp*")</f>
        <v>12</v>
      </c>
    </row>
    <row r="87" spans="11:13" x14ac:dyDescent="0.25">
      <c r="K87" t="s">
        <v>100</v>
      </c>
      <c r="L87">
        <f>-M87*2</f>
        <v>-106</v>
      </c>
      <c r="M87">
        <f>E72-(COUNTIFS(M$3:M$64,"*gộp*")/2)-COUNTIFS(M$3:M$64,"*đơn trả*")-COUNTIFS(M$3:M$64,"*hàng tỉnh*")</f>
        <v>53</v>
      </c>
    </row>
    <row r="88" spans="11:13" x14ac:dyDescent="0.25">
      <c r="K88" s="8" t="s">
        <v>102</v>
      </c>
    </row>
    <row r="89" spans="11:13" x14ac:dyDescent="0.25">
      <c r="K89" s="8" t="s">
        <v>105</v>
      </c>
    </row>
    <row r="90" spans="11:13" x14ac:dyDescent="0.25">
      <c r="L90" s="15">
        <f>SUBTOTAL(9,L85:L89)</f>
        <v>13609</v>
      </c>
      <c r="M90" s="15">
        <f>M85</f>
        <v>12</v>
      </c>
    </row>
    <row r="92" spans="11:13" x14ac:dyDescent="0.25">
      <c r="K92" s="13" t="s">
        <v>165</v>
      </c>
      <c r="L92" s="13" t="s">
        <v>91</v>
      </c>
      <c r="M92" s="13" t="s">
        <v>90</v>
      </c>
    </row>
    <row r="93" spans="11:13" x14ac:dyDescent="0.25">
      <c r="K93" t="s">
        <v>95</v>
      </c>
      <c r="L93">
        <f>SUMIFS(G$3:G$64,J$3:J$64,K$92)</f>
        <v>12140</v>
      </c>
      <c r="M93">
        <f>SUMIFS(Q$3:Q$64,J$3:J$64,K$92)</f>
        <v>14</v>
      </c>
    </row>
    <row r="94" spans="11:13" x14ac:dyDescent="0.25">
      <c r="K94" t="s">
        <v>98</v>
      </c>
      <c r="L94">
        <f>-SUMIFS(H$3:H$64,J$3:J$64,K$92)+M94*5</f>
        <v>-270</v>
      </c>
      <c r="M94">
        <f>SUMIFS(Q$3:Q$64,J$3:J$64,K$92)-COUNTIFS(J$3:J$64,K$92,M$3:M$64,"*gộp*")</f>
        <v>14</v>
      </c>
    </row>
    <row r="95" spans="11:13" x14ac:dyDescent="0.25">
      <c r="K95" t="s">
        <v>100</v>
      </c>
    </row>
    <row r="96" spans="11:13" x14ac:dyDescent="0.25">
      <c r="K96" s="8" t="s">
        <v>102</v>
      </c>
    </row>
    <row r="97" spans="11:13" x14ac:dyDescent="0.25">
      <c r="K97" s="8" t="s">
        <v>105</v>
      </c>
    </row>
    <row r="98" spans="11:13" x14ac:dyDescent="0.25">
      <c r="L98" s="15">
        <f>SUBTOTAL(9,L93:L97)</f>
        <v>11870</v>
      </c>
      <c r="M98" s="15">
        <f>M93</f>
        <v>14</v>
      </c>
    </row>
  </sheetData>
  <autoFilter ref="A2:P64" xr:uid="{00000000-0009-0000-0000-000011000000}">
    <sortState xmlns:xlrd2="http://schemas.microsoft.com/office/spreadsheetml/2017/richdata2" ref="A3:P64">
      <sortCondition ref="J2:J64"/>
    </sortState>
  </autoFilter>
  <mergeCells count="8">
    <mergeCell ref="C73:D73"/>
    <mergeCell ref="C74:D74"/>
    <mergeCell ref="C76:D76"/>
    <mergeCell ref="C68:D68"/>
    <mergeCell ref="C69:D69"/>
    <mergeCell ref="C70:D70"/>
    <mergeCell ref="C71:D71"/>
    <mergeCell ref="C72:D72"/>
  </mergeCell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Q90"/>
  <sheetViews>
    <sheetView topLeftCell="A58" workbookViewId="0">
      <selection activeCell="A56" sqref="A56"/>
    </sheetView>
  </sheetViews>
  <sheetFormatPr defaultRowHeight="15" x14ac:dyDescent="0.25"/>
  <cols>
    <col min="1" max="1" width="12.7109375" customWidth="1"/>
    <col min="2" max="2" width="17.7109375" customWidth="1"/>
    <col min="3" max="3" width="36.28515625" customWidth="1"/>
    <col min="4" max="4" width="9.85546875" customWidth="1"/>
    <col min="5" max="5" width="67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2161</v>
      </c>
      <c r="D3" s="24" t="s">
        <v>2162</v>
      </c>
      <c r="E3" s="24" t="s">
        <v>2163</v>
      </c>
      <c r="F3" s="25">
        <v>9</v>
      </c>
      <c r="G3" s="25">
        <v>0</v>
      </c>
      <c r="H3" s="25">
        <v>30</v>
      </c>
      <c r="I3" s="25">
        <f>-H3</f>
        <v>-30</v>
      </c>
      <c r="J3" s="24" t="s">
        <v>20</v>
      </c>
      <c r="K3" s="24" t="s">
        <v>21</v>
      </c>
      <c r="L3" s="24" t="s">
        <v>2164</v>
      </c>
      <c r="M3" s="24" t="s">
        <v>49</v>
      </c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2165</v>
      </c>
      <c r="D4" s="24" t="s">
        <v>2166</v>
      </c>
      <c r="E4" s="24" t="s">
        <v>2167</v>
      </c>
      <c r="F4" s="25">
        <v>9</v>
      </c>
      <c r="G4" s="25">
        <v>480</v>
      </c>
      <c r="H4" s="25">
        <v>30</v>
      </c>
      <c r="I4" s="25">
        <f>G4-H4</f>
        <v>450</v>
      </c>
      <c r="J4" s="24" t="s">
        <v>20</v>
      </c>
      <c r="K4" s="24" t="s">
        <v>21</v>
      </c>
      <c r="L4" s="24" t="s">
        <v>2164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2168</v>
      </c>
      <c r="D5" s="24" t="s">
        <v>2169</v>
      </c>
      <c r="E5" s="24" t="s">
        <v>2170</v>
      </c>
      <c r="F5" s="25">
        <v>9</v>
      </c>
      <c r="G5" s="25">
        <v>520</v>
      </c>
      <c r="H5" s="25">
        <v>30</v>
      </c>
      <c r="I5" s="25">
        <f>G5-H5</f>
        <v>490</v>
      </c>
      <c r="J5" s="24" t="s">
        <v>20</v>
      </c>
      <c r="K5" s="24" t="s">
        <v>21</v>
      </c>
      <c r="L5" s="24" t="s">
        <v>2164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2171</v>
      </c>
      <c r="D6" s="24" t="s">
        <v>2172</v>
      </c>
      <c r="E6" s="24" t="s">
        <v>2173</v>
      </c>
      <c r="F6" s="25">
        <v>9</v>
      </c>
      <c r="G6" s="25">
        <v>890</v>
      </c>
      <c r="H6" s="25">
        <v>30</v>
      </c>
      <c r="I6" s="25">
        <f>G6-H6</f>
        <v>860</v>
      </c>
      <c r="J6" s="24" t="s">
        <v>20</v>
      </c>
      <c r="K6" s="24" t="s">
        <v>21</v>
      </c>
      <c r="L6" s="24" t="s">
        <v>2164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2174</v>
      </c>
      <c r="D7" s="24" t="s">
        <v>2175</v>
      </c>
      <c r="E7" s="24" t="s">
        <v>2176</v>
      </c>
      <c r="F7" s="25">
        <v>9</v>
      </c>
      <c r="G7" s="25">
        <v>690</v>
      </c>
      <c r="H7" s="25">
        <v>30</v>
      </c>
      <c r="I7" s="25">
        <f>G7-H7</f>
        <v>660</v>
      </c>
      <c r="J7" s="24" t="s">
        <v>20</v>
      </c>
      <c r="K7" s="24" t="s">
        <v>21</v>
      </c>
      <c r="L7" s="24" t="s">
        <v>2164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2177</v>
      </c>
      <c r="D8" s="24" t="s">
        <v>2178</v>
      </c>
      <c r="E8" s="24" t="s">
        <v>2179</v>
      </c>
      <c r="F8" s="24" t="s">
        <v>26</v>
      </c>
      <c r="G8" s="25">
        <v>0</v>
      </c>
      <c r="H8" s="25">
        <v>30</v>
      </c>
      <c r="I8" s="25">
        <f>-H8</f>
        <v>-30</v>
      </c>
      <c r="J8" s="24" t="s">
        <v>2180</v>
      </c>
      <c r="K8" s="24" t="s">
        <v>21</v>
      </c>
      <c r="L8" s="24" t="s">
        <v>2164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1884</v>
      </c>
      <c r="D9" s="24" t="s">
        <v>2181</v>
      </c>
      <c r="E9" s="24" t="s">
        <v>1886</v>
      </c>
      <c r="F9" s="24" t="s">
        <v>88</v>
      </c>
      <c r="G9" s="25">
        <v>0</v>
      </c>
      <c r="H9" s="25">
        <v>25</v>
      </c>
      <c r="I9" s="25">
        <f>-H9</f>
        <v>-25</v>
      </c>
      <c r="J9" s="24" t="s">
        <v>2180</v>
      </c>
      <c r="K9" s="24" t="s">
        <v>21</v>
      </c>
      <c r="L9" s="24" t="s">
        <v>2164</v>
      </c>
      <c r="M9" s="24" t="s">
        <v>49</v>
      </c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2182</v>
      </c>
      <c r="D10" s="24" t="s">
        <v>2183</v>
      </c>
      <c r="E10" s="24" t="s">
        <v>2184</v>
      </c>
      <c r="F10" s="25">
        <v>7</v>
      </c>
      <c r="G10" s="25">
        <v>1380</v>
      </c>
      <c r="H10" s="25">
        <v>30</v>
      </c>
      <c r="I10" s="25">
        <f t="shared" ref="I10:I15" si="0">G10-H10</f>
        <v>1350</v>
      </c>
      <c r="J10" s="24" t="s">
        <v>2180</v>
      </c>
      <c r="K10" s="24" t="s">
        <v>21</v>
      </c>
      <c r="L10" s="24" t="s">
        <v>2164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2064</v>
      </c>
      <c r="D11" s="24" t="s">
        <v>2185</v>
      </c>
      <c r="E11" s="24" t="s">
        <v>2066</v>
      </c>
      <c r="F11" s="25">
        <v>12</v>
      </c>
      <c r="G11" s="25">
        <v>30</v>
      </c>
      <c r="H11" s="25">
        <v>30</v>
      </c>
      <c r="I11" s="25">
        <f t="shared" si="0"/>
        <v>0</v>
      </c>
      <c r="J11" s="24" t="s">
        <v>2180</v>
      </c>
      <c r="K11" s="24" t="s">
        <v>21</v>
      </c>
      <c r="L11" s="24" t="s">
        <v>2164</v>
      </c>
      <c r="M11" s="24" t="s">
        <v>49</v>
      </c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46</v>
      </c>
      <c r="D12" s="24" t="s">
        <v>2186</v>
      </c>
      <c r="E12" s="24" t="s">
        <v>2187</v>
      </c>
      <c r="F12" s="25">
        <v>7</v>
      </c>
      <c r="G12" s="25">
        <v>1220</v>
      </c>
      <c r="H12" s="25">
        <v>30</v>
      </c>
      <c r="I12" s="25">
        <f t="shared" si="0"/>
        <v>1190</v>
      </c>
      <c r="J12" s="24" t="s">
        <v>2180</v>
      </c>
      <c r="K12" s="24" t="s">
        <v>21</v>
      </c>
      <c r="L12" s="24" t="s">
        <v>2164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908</v>
      </c>
      <c r="D13" s="24" t="s">
        <v>2188</v>
      </c>
      <c r="E13" s="24" t="s">
        <v>2189</v>
      </c>
      <c r="F13" s="25">
        <v>5</v>
      </c>
      <c r="G13" s="25">
        <v>595</v>
      </c>
      <c r="H13" s="25">
        <v>25</v>
      </c>
      <c r="I13" s="25">
        <f t="shared" si="0"/>
        <v>570</v>
      </c>
      <c r="J13" s="24" t="s">
        <v>2180</v>
      </c>
      <c r="K13" s="24" t="s">
        <v>21</v>
      </c>
      <c r="L13" s="24" t="s">
        <v>2164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2190</v>
      </c>
      <c r="D14" s="24" t="s">
        <v>2191</v>
      </c>
      <c r="E14" s="24" t="s">
        <v>1499</v>
      </c>
      <c r="F14" s="25">
        <v>6</v>
      </c>
      <c r="G14" s="25">
        <v>405</v>
      </c>
      <c r="H14" s="25">
        <v>25</v>
      </c>
      <c r="I14" s="25">
        <f t="shared" si="0"/>
        <v>380</v>
      </c>
      <c r="J14" s="24" t="s">
        <v>2180</v>
      </c>
      <c r="K14" s="24" t="s">
        <v>21</v>
      </c>
      <c r="L14" s="24" t="s">
        <v>2164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2192</v>
      </c>
      <c r="D15" s="24" t="s">
        <v>2193</v>
      </c>
      <c r="E15" s="24" t="s">
        <v>2194</v>
      </c>
      <c r="F15" s="24" t="s">
        <v>128</v>
      </c>
      <c r="G15" s="25">
        <v>485</v>
      </c>
      <c r="H15" s="25">
        <v>35</v>
      </c>
      <c r="I15" s="25">
        <f t="shared" si="0"/>
        <v>450</v>
      </c>
      <c r="J15" s="24" t="s">
        <v>2180</v>
      </c>
      <c r="K15" s="24" t="s">
        <v>21</v>
      </c>
      <c r="L15" s="24" t="s">
        <v>2164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221</v>
      </c>
      <c r="D16" s="24" t="s">
        <v>2195</v>
      </c>
      <c r="E16" s="24" t="s">
        <v>223</v>
      </c>
      <c r="F16" s="25">
        <v>8</v>
      </c>
      <c r="G16" s="25">
        <v>0</v>
      </c>
      <c r="H16" s="25">
        <v>25</v>
      </c>
      <c r="I16" s="25">
        <f>-H16</f>
        <v>-25</v>
      </c>
      <c r="J16" s="24" t="s">
        <v>2180</v>
      </c>
      <c r="K16" s="24" t="s">
        <v>21</v>
      </c>
      <c r="L16" s="24" t="s">
        <v>2164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2196</v>
      </c>
      <c r="D17" s="24" t="s">
        <v>2197</v>
      </c>
      <c r="E17" s="24" t="s">
        <v>2198</v>
      </c>
      <c r="F17" s="24" t="s">
        <v>113</v>
      </c>
      <c r="G17" s="25">
        <v>745</v>
      </c>
      <c r="H17" s="25">
        <v>35</v>
      </c>
      <c r="I17" s="25">
        <f>G17-H17</f>
        <v>710</v>
      </c>
      <c r="J17" s="24" t="s">
        <v>2180</v>
      </c>
      <c r="K17" s="24" t="s">
        <v>21</v>
      </c>
      <c r="L17" s="24" t="s">
        <v>2164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2199</v>
      </c>
      <c r="D18" s="24" t="s">
        <v>2200</v>
      </c>
      <c r="E18" s="24" t="s">
        <v>933</v>
      </c>
      <c r="F18" s="25">
        <v>7</v>
      </c>
      <c r="G18" s="25">
        <v>900</v>
      </c>
      <c r="H18" s="25">
        <v>30</v>
      </c>
      <c r="I18" s="25">
        <f>G18-H18</f>
        <v>870</v>
      </c>
      <c r="J18" s="24" t="s">
        <v>2180</v>
      </c>
      <c r="K18" s="24" t="s">
        <v>21</v>
      </c>
      <c r="L18" s="24" t="s">
        <v>2164</v>
      </c>
      <c r="M18" s="24"/>
      <c r="N18" s="24"/>
      <c r="O18" s="24"/>
      <c r="P18" s="24"/>
      <c r="Q18" s="24">
        <v>1</v>
      </c>
    </row>
    <row r="19" spans="1:17" x14ac:dyDescent="0.25">
      <c r="A19" s="24" t="s">
        <v>62</v>
      </c>
      <c r="B19" s="24" t="s">
        <v>16</v>
      </c>
      <c r="C19" s="24" t="s">
        <v>63</v>
      </c>
      <c r="D19" s="24"/>
      <c r="E19" s="24" t="s">
        <v>64</v>
      </c>
      <c r="F19" s="25">
        <v>6</v>
      </c>
      <c r="G19" s="25">
        <v>0</v>
      </c>
      <c r="H19" s="25">
        <v>30</v>
      </c>
      <c r="I19" s="25">
        <f>-H19</f>
        <v>-30</v>
      </c>
      <c r="J19" s="24" t="s">
        <v>2180</v>
      </c>
      <c r="K19" s="24" t="s">
        <v>21</v>
      </c>
      <c r="L19" s="24" t="s">
        <v>2164</v>
      </c>
      <c r="M19" s="24"/>
      <c r="N19" s="24"/>
      <c r="O19" s="24"/>
      <c r="P19" s="24"/>
      <c r="Q19" s="24">
        <v>1</v>
      </c>
    </row>
    <row r="20" spans="1:17" x14ac:dyDescent="0.25">
      <c r="A20" s="24" t="s">
        <v>62</v>
      </c>
      <c r="B20" s="24" t="s">
        <v>16</v>
      </c>
      <c r="C20" s="24" t="s">
        <v>2201</v>
      </c>
      <c r="D20" s="24"/>
      <c r="E20" s="24" t="s">
        <v>2202</v>
      </c>
      <c r="F20" s="24" t="s">
        <v>88</v>
      </c>
      <c r="G20" s="25">
        <v>0</v>
      </c>
      <c r="H20" s="25">
        <v>30</v>
      </c>
      <c r="I20" s="25">
        <f>-H20</f>
        <v>-30</v>
      </c>
      <c r="J20" s="24" t="s">
        <v>2180</v>
      </c>
      <c r="K20" s="24" t="s">
        <v>21</v>
      </c>
      <c r="L20" s="24" t="s">
        <v>2164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2203</v>
      </c>
      <c r="D21" s="24" t="s">
        <v>2204</v>
      </c>
      <c r="E21" s="24" t="s">
        <v>2205</v>
      </c>
      <c r="F21" s="24" t="s">
        <v>68</v>
      </c>
      <c r="G21" s="25">
        <v>470</v>
      </c>
      <c r="H21" s="25">
        <v>20</v>
      </c>
      <c r="I21" s="25">
        <f t="shared" ref="I21:I26" si="1">G21-H21</f>
        <v>450</v>
      </c>
      <c r="J21" s="24" t="s">
        <v>21</v>
      </c>
      <c r="K21" s="24" t="s">
        <v>21</v>
      </c>
      <c r="L21" s="24" t="s">
        <v>2164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1945</v>
      </c>
      <c r="D22" s="24" t="s">
        <v>2206</v>
      </c>
      <c r="E22" s="24" t="s">
        <v>1947</v>
      </c>
      <c r="F22" s="25">
        <v>2</v>
      </c>
      <c r="G22" s="25">
        <v>1490</v>
      </c>
      <c r="H22" s="25">
        <v>30</v>
      </c>
      <c r="I22" s="25">
        <f t="shared" si="1"/>
        <v>1460</v>
      </c>
      <c r="J22" s="24" t="s">
        <v>21</v>
      </c>
      <c r="K22" s="24" t="s">
        <v>21</v>
      </c>
      <c r="L22" s="24" t="s">
        <v>2164</v>
      </c>
      <c r="M22" s="24"/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1508</v>
      </c>
      <c r="D23" s="24" t="s">
        <v>2207</v>
      </c>
      <c r="E23" s="24" t="s">
        <v>1510</v>
      </c>
      <c r="F23" s="24" t="s">
        <v>72</v>
      </c>
      <c r="G23" s="25">
        <v>2020</v>
      </c>
      <c r="H23" s="25">
        <v>30</v>
      </c>
      <c r="I23" s="25">
        <f t="shared" si="1"/>
        <v>1990</v>
      </c>
      <c r="J23" s="24" t="s">
        <v>21</v>
      </c>
      <c r="K23" s="24" t="s">
        <v>21</v>
      </c>
      <c r="L23" s="24" t="s">
        <v>2164</v>
      </c>
      <c r="M23" s="24" t="s">
        <v>398</v>
      </c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2113</v>
      </c>
      <c r="D24" s="24" t="s">
        <v>2208</v>
      </c>
      <c r="E24" s="24" t="s">
        <v>2115</v>
      </c>
      <c r="F24" s="24" t="s">
        <v>68</v>
      </c>
      <c r="G24" s="25">
        <v>20</v>
      </c>
      <c r="H24" s="25">
        <v>20</v>
      </c>
      <c r="I24" s="25">
        <f t="shared" si="1"/>
        <v>0</v>
      </c>
      <c r="J24" s="24" t="s">
        <v>21</v>
      </c>
      <c r="K24" s="24" t="s">
        <v>21</v>
      </c>
      <c r="L24" s="24" t="s">
        <v>2164</v>
      </c>
      <c r="M24" s="24" t="s">
        <v>49</v>
      </c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2209</v>
      </c>
      <c r="D25" s="24" t="s">
        <v>2210</v>
      </c>
      <c r="E25" s="24" t="s">
        <v>2211</v>
      </c>
      <c r="F25" s="24" t="s">
        <v>68</v>
      </c>
      <c r="G25" s="25">
        <v>860</v>
      </c>
      <c r="H25" s="25">
        <v>20</v>
      </c>
      <c r="I25" s="25">
        <f t="shared" si="1"/>
        <v>840</v>
      </c>
      <c r="J25" s="24" t="s">
        <v>21</v>
      </c>
      <c r="K25" s="24" t="s">
        <v>21</v>
      </c>
      <c r="L25" s="24" t="s">
        <v>2164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1622</v>
      </c>
      <c r="D26" s="24" t="s">
        <v>2212</v>
      </c>
      <c r="E26" s="24" t="s">
        <v>1624</v>
      </c>
      <c r="F26" s="24" t="s">
        <v>72</v>
      </c>
      <c r="G26" s="25">
        <v>475</v>
      </c>
      <c r="H26" s="25">
        <v>25</v>
      </c>
      <c r="I26" s="25">
        <f t="shared" si="1"/>
        <v>450</v>
      </c>
      <c r="J26" s="24" t="s">
        <v>21</v>
      </c>
      <c r="K26" s="24" t="s">
        <v>21</v>
      </c>
      <c r="L26" s="24" t="s">
        <v>2164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2213</v>
      </c>
      <c r="D27" s="24" t="s">
        <v>2214</v>
      </c>
      <c r="E27" s="24" t="s">
        <v>2215</v>
      </c>
      <c r="F27" s="24" t="s">
        <v>153</v>
      </c>
      <c r="G27" s="25">
        <v>0</v>
      </c>
      <c r="H27" s="25">
        <v>30</v>
      </c>
      <c r="I27" s="25">
        <f>-H27</f>
        <v>-30</v>
      </c>
      <c r="J27" s="24" t="s">
        <v>21</v>
      </c>
      <c r="K27" s="24" t="s">
        <v>21</v>
      </c>
      <c r="L27" s="24" t="s">
        <v>2164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2216</v>
      </c>
      <c r="D28" s="24" t="s">
        <v>2217</v>
      </c>
      <c r="E28" s="24" t="s">
        <v>2218</v>
      </c>
      <c r="F28" s="24" t="s">
        <v>153</v>
      </c>
      <c r="G28" s="25">
        <v>890</v>
      </c>
      <c r="H28" s="25">
        <v>30</v>
      </c>
      <c r="I28" s="25">
        <f>G28-H28</f>
        <v>860</v>
      </c>
      <c r="J28" s="24" t="s">
        <v>21</v>
      </c>
      <c r="K28" s="24" t="s">
        <v>21</v>
      </c>
      <c r="L28" s="24" t="s">
        <v>2164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2219</v>
      </c>
      <c r="D29" s="24" t="s">
        <v>2220</v>
      </c>
      <c r="E29" s="24" t="s">
        <v>2221</v>
      </c>
      <c r="F29" s="24" t="s">
        <v>153</v>
      </c>
      <c r="G29" s="25">
        <v>2290</v>
      </c>
      <c r="H29" s="25">
        <v>35</v>
      </c>
      <c r="I29" s="25">
        <f>G29-H29</f>
        <v>2255</v>
      </c>
      <c r="J29" s="24" t="s">
        <v>21</v>
      </c>
      <c r="K29" s="24" t="s">
        <v>21</v>
      </c>
      <c r="L29" s="24" t="s">
        <v>2164</v>
      </c>
      <c r="M29" s="24" t="s">
        <v>398</v>
      </c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233</v>
      </c>
      <c r="D30" s="24" t="s">
        <v>2222</v>
      </c>
      <c r="E30" s="24" t="s">
        <v>2223</v>
      </c>
      <c r="F30" s="24" t="s">
        <v>153</v>
      </c>
      <c r="G30" s="25">
        <v>0</v>
      </c>
      <c r="H30" s="25">
        <v>30</v>
      </c>
      <c r="I30" s="25">
        <f>-H30</f>
        <v>-30</v>
      </c>
      <c r="J30" s="24" t="s">
        <v>21</v>
      </c>
      <c r="K30" s="24" t="s">
        <v>21</v>
      </c>
      <c r="L30" s="24" t="s">
        <v>2164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2224</v>
      </c>
      <c r="D31" s="24" t="s">
        <v>2225</v>
      </c>
      <c r="E31" s="24" t="s">
        <v>2226</v>
      </c>
      <c r="F31" s="24" t="s">
        <v>72</v>
      </c>
      <c r="G31" s="25">
        <v>0</v>
      </c>
      <c r="H31" s="25">
        <v>25</v>
      </c>
      <c r="I31" s="25">
        <f>-H31</f>
        <v>-25</v>
      </c>
      <c r="J31" s="24" t="s">
        <v>21</v>
      </c>
      <c r="K31" s="24" t="s">
        <v>21</v>
      </c>
      <c r="L31" s="24" t="s">
        <v>2164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399</v>
      </c>
      <c r="D32" s="24" t="s">
        <v>2227</v>
      </c>
      <c r="E32" s="24" t="s">
        <v>2228</v>
      </c>
      <c r="F32" s="24" t="s">
        <v>68</v>
      </c>
      <c r="G32" s="25">
        <v>1140</v>
      </c>
      <c r="H32" s="25">
        <v>20</v>
      </c>
      <c r="I32" s="25">
        <f>G32-H32</f>
        <v>1120</v>
      </c>
      <c r="J32" s="24" t="s">
        <v>21</v>
      </c>
      <c r="K32" s="24" t="s">
        <v>21</v>
      </c>
      <c r="L32" s="24" t="s">
        <v>2164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2229</v>
      </c>
      <c r="D33" s="24" t="s">
        <v>2230</v>
      </c>
      <c r="E33" s="24" t="s">
        <v>2231</v>
      </c>
      <c r="F33" s="24" t="s">
        <v>72</v>
      </c>
      <c r="G33" s="25">
        <v>885</v>
      </c>
      <c r="H33" s="25">
        <v>25</v>
      </c>
      <c r="I33" s="25">
        <f>G33-H33</f>
        <v>860</v>
      </c>
      <c r="J33" s="24" t="s">
        <v>21</v>
      </c>
      <c r="K33" s="24" t="s">
        <v>21</v>
      </c>
      <c r="L33" s="24" t="s">
        <v>2164</v>
      </c>
      <c r="M33" s="24"/>
      <c r="N33" s="24"/>
      <c r="O33" s="24"/>
      <c r="P33" s="24"/>
      <c r="Q33" s="24">
        <v>1</v>
      </c>
    </row>
    <row r="34" spans="1:17" x14ac:dyDescent="0.25">
      <c r="A34" s="24" t="s">
        <v>62</v>
      </c>
      <c r="B34" s="24" t="s">
        <v>16</v>
      </c>
      <c r="C34" s="24" t="s">
        <v>320</v>
      </c>
      <c r="D34" s="24"/>
      <c r="E34" s="24" t="s">
        <v>321</v>
      </c>
      <c r="F34" s="24" t="s">
        <v>72</v>
      </c>
      <c r="G34" s="25">
        <v>0</v>
      </c>
      <c r="H34" s="25">
        <v>30</v>
      </c>
      <c r="I34" s="25">
        <f>-H34</f>
        <v>-30</v>
      </c>
      <c r="J34" s="24" t="s">
        <v>21</v>
      </c>
      <c r="K34" s="24" t="s">
        <v>21</v>
      </c>
      <c r="L34" s="24" t="s">
        <v>2164</v>
      </c>
      <c r="M34" s="24"/>
      <c r="N34" s="24"/>
      <c r="O34" s="24"/>
      <c r="P34" s="24"/>
      <c r="Q34" s="24">
        <v>1</v>
      </c>
    </row>
    <row r="35" spans="1:17" x14ac:dyDescent="0.25">
      <c r="A35" s="24" t="s">
        <v>62</v>
      </c>
      <c r="B35" s="24" t="s">
        <v>16</v>
      </c>
      <c r="C35" s="24" t="s">
        <v>1645</v>
      </c>
      <c r="D35" s="24"/>
      <c r="E35" s="24" t="s">
        <v>1646</v>
      </c>
      <c r="F35" s="24" t="s">
        <v>72</v>
      </c>
      <c r="G35" s="25">
        <v>0</v>
      </c>
      <c r="H35" s="25">
        <v>30</v>
      </c>
      <c r="I35" s="25">
        <f>-H35</f>
        <v>-30</v>
      </c>
      <c r="J35" s="24" t="s">
        <v>21</v>
      </c>
      <c r="K35" s="24" t="s">
        <v>21</v>
      </c>
      <c r="L35" s="24" t="s">
        <v>2164</v>
      </c>
      <c r="M35" s="24"/>
      <c r="N35" s="24"/>
      <c r="O35" s="24"/>
      <c r="P35" s="24"/>
      <c r="Q35" s="24">
        <v>1</v>
      </c>
    </row>
    <row r="36" spans="1:17" x14ac:dyDescent="0.25">
      <c r="A36" s="24" t="s">
        <v>62</v>
      </c>
      <c r="B36" s="24" t="s">
        <v>16</v>
      </c>
      <c r="C36" s="24" t="s">
        <v>2232</v>
      </c>
      <c r="D36" s="24"/>
      <c r="E36" s="24" t="s">
        <v>2233</v>
      </c>
      <c r="F36" s="24" t="s">
        <v>217</v>
      </c>
      <c r="G36" s="25">
        <v>23400</v>
      </c>
      <c r="H36" s="25">
        <v>135</v>
      </c>
      <c r="I36" s="25">
        <f>G36-H36</f>
        <v>23265</v>
      </c>
      <c r="J36" s="24" t="s">
        <v>21</v>
      </c>
      <c r="K36" s="24" t="s">
        <v>21</v>
      </c>
      <c r="L36" s="24" t="s">
        <v>2164</v>
      </c>
      <c r="M36" s="24" t="s">
        <v>398</v>
      </c>
      <c r="N36" s="24"/>
      <c r="O36" s="24"/>
      <c r="P36" s="24"/>
      <c r="Q36" s="24">
        <v>1</v>
      </c>
    </row>
    <row r="37" spans="1:17" x14ac:dyDescent="0.25">
      <c r="A37" s="24"/>
      <c r="B37" s="24" t="s">
        <v>16</v>
      </c>
      <c r="C37" s="24" t="s">
        <v>2234</v>
      </c>
      <c r="D37" s="24" t="s">
        <v>2235</v>
      </c>
      <c r="E37" s="24" t="s">
        <v>2236</v>
      </c>
      <c r="F37" s="25">
        <v>1</v>
      </c>
      <c r="G37" s="25">
        <v>0</v>
      </c>
      <c r="H37" s="25">
        <v>25</v>
      </c>
      <c r="I37" s="25">
        <f>-H37</f>
        <v>-25</v>
      </c>
      <c r="J37" s="24" t="s">
        <v>165</v>
      </c>
      <c r="K37" s="24" t="s">
        <v>21</v>
      </c>
      <c r="L37" s="24" t="s">
        <v>2164</v>
      </c>
      <c r="M37" s="24"/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2237</v>
      </c>
      <c r="D38" s="24" t="s">
        <v>2238</v>
      </c>
      <c r="E38" s="24" t="s">
        <v>2239</v>
      </c>
      <c r="F38" s="24" t="s">
        <v>85</v>
      </c>
      <c r="G38" s="25">
        <v>470</v>
      </c>
      <c r="H38" s="25">
        <v>20</v>
      </c>
      <c r="I38" s="25">
        <f>G38-H38</f>
        <v>450</v>
      </c>
      <c r="J38" s="24" t="s">
        <v>165</v>
      </c>
      <c r="K38" s="24" t="s">
        <v>21</v>
      </c>
      <c r="L38" s="24" t="s">
        <v>2164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2240</v>
      </c>
      <c r="D39" s="24" t="s">
        <v>2241</v>
      </c>
      <c r="E39" s="24" t="s">
        <v>2242</v>
      </c>
      <c r="F39" s="24" t="s">
        <v>88</v>
      </c>
      <c r="G39" s="25">
        <v>865</v>
      </c>
      <c r="H39" s="25">
        <v>25</v>
      </c>
      <c r="I39" s="25">
        <f>G39-H39</f>
        <v>840</v>
      </c>
      <c r="J39" s="24" t="s">
        <v>165</v>
      </c>
      <c r="K39" s="24" t="s">
        <v>21</v>
      </c>
      <c r="L39" s="24" t="s">
        <v>2164</v>
      </c>
      <c r="M39" s="24"/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2243</v>
      </c>
      <c r="D40" s="24" t="s">
        <v>2244</v>
      </c>
      <c r="E40" s="24" t="s">
        <v>1016</v>
      </c>
      <c r="F40" s="24" t="s">
        <v>88</v>
      </c>
      <c r="G40" s="25">
        <v>0</v>
      </c>
      <c r="H40" s="25">
        <v>25</v>
      </c>
      <c r="I40" s="25">
        <f>-H40</f>
        <v>-25</v>
      </c>
      <c r="J40" s="24" t="s">
        <v>165</v>
      </c>
      <c r="K40" s="24" t="s">
        <v>21</v>
      </c>
      <c r="L40" s="24" t="s">
        <v>2164</v>
      </c>
      <c r="M40" s="24"/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2245</v>
      </c>
      <c r="D41" s="24" t="s">
        <v>2246</v>
      </c>
      <c r="E41" s="24" t="s">
        <v>2247</v>
      </c>
      <c r="F41" s="25">
        <v>1</v>
      </c>
      <c r="G41" s="25">
        <v>475</v>
      </c>
      <c r="H41" s="25">
        <v>25</v>
      </c>
      <c r="I41" s="25">
        <f>G41-H41</f>
        <v>450</v>
      </c>
      <c r="J41" s="24" t="s">
        <v>165</v>
      </c>
      <c r="K41" s="24" t="s">
        <v>21</v>
      </c>
      <c r="L41" s="24" t="s">
        <v>2164</v>
      </c>
      <c r="M41" s="24"/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2248</v>
      </c>
      <c r="D42" s="24" t="s">
        <v>2249</v>
      </c>
      <c r="E42" s="24" t="s">
        <v>1016</v>
      </c>
      <c r="F42" s="24" t="s">
        <v>88</v>
      </c>
      <c r="G42" s="25">
        <v>0</v>
      </c>
      <c r="H42" s="25">
        <v>25</v>
      </c>
      <c r="I42" s="25">
        <f>-H42</f>
        <v>-25</v>
      </c>
      <c r="J42" s="24" t="s">
        <v>165</v>
      </c>
      <c r="K42" s="24" t="s">
        <v>21</v>
      </c>
      <c r="L42" s="24" t="s">
        <v>2164</v>
      </c>
      <c r="M42" s="24" t="s">
        <v>312</v>
      </c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2248</v>
      </c>
      <c r="D43" s="24" t="s">
        <v>2250</v>
      </c>
      <c r="E43" s="24" t="s">
        <v>1016</v>
      </c>
      <c r="F43" s="24" t="s">
        <v>88</v>
      </c>
      <c r="G43" s="25">
        <v>0</v>
      </c>
      <c r="H43" s="25">
        <v>0</v>
      </c>
      <c r="I43" s="25">
        <f>H43</f>
        <v>0</v>
      </c>
      <c r="J43" s="24" t="s">
        <v>165</v>
      </c>
      <c r="K43" s="24" t="s">
        <v>21</v>
      </c>
      <c r="L43" s="24" t="s">
        <v>2164</v>
      </c>
      <c r="M43" s="24" t="s">
        <v>312</v>
      </c>
      <c r="N43" s="24"/>
      <c r="O43" s="24"/>
      <c r="P43" s="24"/>
      <c r="Q43" s="24">
        <v>1</v>
      </c>
    </row>
    <row r="44" spans="1:17" x14ac:dyDescent="0.25">
      <c r="A44" s="24"/>
      <c r="B44" s="24" t="s">
        <v>16</v>
      </c>
      <c r="C44" s="24" t="s">
        <v>2251</v>
      </c>
      <c r="D44" s="24" t="s">
        <v>2252</v>
      </c>
      <c r="E44" s="24" t="s">
        <v>2253</v>
      </c>
      <c r="F44" s="25">
        <v>1</v>
      </c>
      <c r="G44" s="25">
        <v>405</v>
      </c>
      <c r="H44" s="25">
        <v>25</v>
      </c>
      <c r="I44" s="25">
        <f>G44-H44</f>
        <v>380</v>
      </c>
      <c r="J44" s="24" t="s">
        <v>165</v>
      </c>
      <c r="K44" s="24" t="s">
        <v>21</v>
      </c>
      <c r="L44" s="24" t="s">
        <v>2164</v>
      </c>
      <c r="M44" s="24"/>
      <c r="N44" s="24"/>
      <c r="O44" s="24"/>
      <c r="P44" s="24"/>
      <c r="Q44" s="24">
        <v>1</v>
      </c>
    </row>
    <row r="45" spans="1:17" x14ac:dyDescent="0.25">
      <c r="A45" s="24"/>
      <c r="B45" s="24" t="s">
        <v>16</v>
      </c>
      <c r="C45" s="24" t="s">
        <v>2254</v>
      </c>
      <c r="D45" s="24" t="s">
        <v>2255</v>
      </c>
      <c r="E45" s="24" t="s">
        <v>2256</v>
      </c>
      <c r="F45" s="25">
        <v>1</v>
      </c>
      <c r="G45" s="25">
        <v>685</v>
      </c>
      <c r="H45" s="25">
        <v>25</v>
      </c>
      <c r="I45" s="25">
        <f>G45-H45</f>
        <v>660</v>
      </c>
      <c r="J45" s="24" t="s">
        <v>165</v>
      </c>
      <c r="K45" s="24" t="s">
        <v>21</v>
      </c>
      <c r="L45" s="24" t="s">
        <v>2164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2257</v>
      </c>
      <c r="D46" s="24" t="s">
        <v>2258</v>
      </c>
      <c r="E46" s="24" t="s">
        <v>2259</v>
      </c>
      <c r="F46" s="25">
        <v>1</v>
      </c>
      <c r="G46" s="25">
        <v>795</v>
      </c>
      <c r="H46" s="25">
        <v>25</v>
      </c>
      <c r="I46" s="25">
        <f>G46-H46</f>
        <v>770</v>
      </c>
      <c r="J46" s="24" t="s">
        <v>165</v>
      </c>
      <c r="K46" s="24" t="s">
        <v>21</v>
      </c>
      <c r="L46" s="24" t="s">
        <v>2164</v>
      </c>
      <c r="M46" s="24"/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2260</v>
      </c>
      <c r="D47" s="24" t="s">
        <v>2261</v>
      </c>
      <c r="E47" s="24" t="s">
        <v>2262</v>
      </c>
      <c r="F47" s="25">
        <v>1</v>
      </c>
      <c r="G47" s="25">
        <v>515</v>
      </c>
      <c r="H47" s="25">
        <v>25</v>
      </c>
      <c r="I47" s="25">
        <f>G47-H47</f>
        <v>490</v>
      </c>
      <c r="J47" s="24" t="s">
        <v>165</v>
      </c>
      <c r="K47" s="24" t="s">
        <v>21</v>
      </c>
      <c r="L47" s="24" t="s">
        <v>2164</v>
      </c>
      <c r="M47" s="24"/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2263</v>
      </c>
      <c r="D48" s="24" t="s">
        <v>2264</v>
      </c>
      <c r="E48" s="24" t="s">
        <v>2137</v>
      </c>
      <c r="F48" s="25">
        <v>5</v>
      </c>
      <c r="G48" s="25">
        <v>0</v>
      </c>
      <c r="H48" s="25">
        <v>25</v>
      </c>
      <c r="I48" s="25">
        <f>-H48</f>
        <v>-25</v>
      </c>
      <c r="J48" s="24" t="s">
        <v>165</v>
      </c>
      <c r="K48" s="24" t="s">
        <v>21</v>
      </c>
      <c r="L48" s="24" t="s">
        <v>2164</v>
      </c>
      <c r="M48" s="24"/>
      <c r="N48" s="24"/>
      <c r="O48" s="24"/>
      <c r="P48" s="24"/>
      <c r="Q48" s="24">
        <v>1</v>
      </c>
    </row>
    <row r="49" spans="1:17" x14ac:dyDescent="0.25">
      <c r="A49" s="24"/>
      <c r="B49" s="24" t="s">
        <v>16</v>
      </c>
      <c r="C49" s="24" t="s">
        <v>1141</v>
      </c>
      <c r="D49" s="24" t="s">
        <v>2265</v>
      </c>
      <c r="E49" s="24" t="s">
        <v>1143</v>
      </c>
      <c r="F49" s="25">
        <v>4</v>
      </c>
      <c r="G49" s="25">
        <v>685</v>
      </c>
      <c r="H49" s="25">
        <v>25</v>
      </c>
      <c r="I49" s="25">
        <f t="shared" ref="I49:I56" si="2">G49-H49</f>
        <v>660</v>
      </c>
      <c r="J49" s="24" t="s">
        <v>165</v>
      </c>
      <c r="K49" s="24" t="s">
        <v>21</v>
      </c>
      <c r="L49" s="24" t="s">
        <v>2164</v>
      </c>
      <c r="M49" s="24"/>
      <c r="N49" s="24"/>
      <c r="O49" s="24"/>
      <c r="P49" s="24"/>
      <c r="Q49" s="24">
        <v>1</v>
      </c>
    </row>
    <row r="50" spans="1:17" x14ac:dyDescent="0.25">
      <c r="A50" s="24"/>
      <c r="B50" s="24" t="s">
        <v>16</v>
      </c>
      <c r="C50" s="24" t="s">
        <v>2266</v>
      </c>
      <c r="D50" s="24" t="s">
        <v>2267</v>
      </c>
      <c r="E50" s="24" t="s">
        <v>2268</v>
      </c>
      <c r="F50" s="25">
        <v>4</v>
      </c>
      <c r="G50" s="25">
        <v>1145</v>
      </c>
      <c r="H50" s="25">
        <v>25</v>
      </c>
      <c r="I50" s="25">
        <f t="shared" si="2"/>
        <v>1120</v>
      </c>
      <c r="J50" s="24" t="s">
        <v>165</v>
      </c>
      <c r="K50" s="24" t="s">
        <v>21</v>
      </c>
      <c r="L50" s="24" t="s">
        <v>2164</v>
      </c>
      <c r="M50" s="24"/>
      <c r="N50" s="24"/>
      <c r="O50" s="24"/>
      <c r="P50" s="24"/>
      <c r="Q50" s="24">
        <v>1</v>
      </c>
    </row>
    <row r="51" spans="1:17" x14ac:dyDescent="0.25">
      <c r="A51" s="24"/>
      <c r="B51" s="24" t="s">
        <v>16</v>
      </c>
      <c r="C51" s="24" t="s">
        <v>2269</v>
      </c>
      <c r="D51" s="24" t="s">
        <v>2270</v>
      </c>
      <c r="E51" s="24" t="s">
        <v>2271</v>
      </c>
      <c r="F51" s="25">
        <v>1</v>
      </c>
      <c r="G51" s="25">
        <v>0</v>
      </c>
      <c r="H51" s="25">
        <v>25</v>
      </c>
      <c r="I51" s="25">
        <f t="shared" si="2"/>
        <v>-25</v>
      </c>
      <c r="J51" s="24" t="s">
        <v>165</v>
      </c>
      <c r="K51" s="24" t="s">
        <v>21</v>
      </c>
      <c r="L51" s="24" t="s">
        <v>2164</v>
      </c>
      <c r="M51" s="24" t="s">
        <v>2272</v>
      </c>
      <c r="N51" s="24"/>
      <c r="O51" s="24"/>
      <c r="P51" s="24"/>
      <c r="Q51" s="24">
        <v>1</v>
      </c>
    </row>
    <row r="52" spans="1:17" x14ac:dyDescent="0.25">
      <c r="A52" s="24"/>
      <c r="B52" s="24" t="s">
        <v>16</v>
      </c>
      <c r="C52" s="24" t="s">
        <v>2273</v>
      </c>
      <c r="D52" s="24" t="s">
        <v>2274</v>
      </c>
      <c r="E52" s="24" t="s">
        <v>2275</v>
      </c>
      <c r="F52" s="25">
        <v>1</v>
      </c>
      <c r="G52" s="25">
        <v>595</v>
      </c>
      <c r="H52" s="25">
        <v>25</v>
      </c>
      <c r="I52" s="25">
        <f t="shared" si="2"/>
        <v>570</v>
      </c>
      <c r="J52" s="24" t="s">
        <v>165</v>
      </c>
      <c r="K52" s="24" t="s">
        <v>21</v>
      </c>
      <c r="L52" s="24" t="s">
        <v>2164</v>
      </c>
      <c r="M52" s="24"/>
      <c r="N52" s="24"/>
      <c r="O52" s="24"/>
      <c r="P52" s="24"/>
      <c r="Q52" s="24">
        <v>1</v>
      </c>
    </row>
    <row r="53" spans="1:17" x14ac:dyDescent="0.25">
      <c r="A53" s="24"/>
      <c r="B53" s="24" t="s">
        <v>16</v>
      </c>
      <c r="C53" s="24" t="s">
        <v>2276</v>
      </c>
      <c r="D53" s="24" t="s">
        <v>2277</v>
      </c>
      <c r="E53" s="24" t="s">
        <v>2278</v>
      </c>
      <c r="F53" s="25">
        <v>10</v>
      </c>
      <c r="G53" s="25">
        <v>685</v>
      </c>
      <c r="H53" s="25">
        <v>25</v>
      </c>
      <c r="I53" s="25">
        <f t="shared" si="2"/>
        <v>660</v>
      </c>
      <c r="J53" s="24" t="s">
        <v>165</v>
      </c>
      <c r="K53" s="24" t="s">
        <v>21</v>
      </c>
      <c r="L53" s="24" t="s">
        <v>2164</v>
      </c>
      <c r="M53" s="24"/>
      <c r="N53" s="24"/>
      <c r="O53" s="24"/>
      <c r="P53" s="24"/>
      <c r="Q53" s="24">
        <v>1</v>
      </c>
    </row>
    <row r="54" spans="1:17" x14ac:dyDescent="0.25">
      <c r="A54" s="24"/>
      <c r="B54" s="24" t="s">
        <v>16</v>
      </c>
      <c r="C54" s="24" t="s">
        <v>2279</v>
      </c>
      <c r="D54" s="24" t="s">
        <v>2280</v>
      </c>
      <c r="E54" s="24" t="s">
        <v>2281</v>
      </c>
      <c r="F54" s="24" t="s">
        <v>85</v>
      </c>
      <c r="G54" s="25">
        <v>1140</v>
      </c>
      <c r="H54" s="25">
        <v>20</v>
      </c>
      <c r="I54" s="25">
        <f t="shared" si="2"/>
        <v>1120</v>
      </c>
      <c r="J54" s="24" t="s">
        <v>165</v>
      </c>
      <c r="K54" s="24" t="s">
        <v>21</v>
      </c>
      <c r="L54" s="24" t="s">
        <v>2164</v>
      </c>
      <c r="M54" s="24"/>
      <c r="N54" s="24"/>
      <c r="O54" s="24"/>
      <c r="P54" s="24"/>
      <c r="Q54" s="24">
        <v>1</v>
      </c>
    </row>
    <row r="55" spans="1:17" x14ac:dyDescent="0.25">
      <c r="A55" s="24"/>
      <c r="B55" s="24" t="s">
        <v>16</v>
      </c>
      <c r="C55" s="24" t="s">
        <v>2282</v>
      </c>
      <c r="D55" s="24" t="s">
        <v>2283</v>
      </c>
      <c r="E55" s="24" t="s">
        <v>2284</v>
      </c>
      <c r="F55" s="25">
        <v>10</v>
      </c>
      <c r="G55" s="25">
        <v>1145</v>
      </c>
      <c r="H55" s="25">
        <v>25</v>
      </c>
      <c r="I55" s="25">
        <f t="shared" si="2"/>
        <v>1120</v>
      </c>
      <c r="J55" s="24" t="s">
        <v>165</v>
      </c>
      <c r="K55" s="24" t="s">
        <v>21</v>
      </c>
      <c r="L55" s="24" t="s">
        <v>2164</v>
      </c>
      <c r="M55" s="24"/>
      <c r="N55" s="24"/>
      <c r="O55" s="24"/>
      <c r="P55" s="24"/>
      <c r="Q55" s="24">
        <v>1</v>
      </c>
    </row>
    <row r="56" spans="1:17" x14ac:dyDescent="0.25">
      <c r="A56" s="24" t="s">
        <v>62</v>
      </c>
      <c r="B56" s="24" t="s">
        <v>16</v>
      </c>
      <c r="C56" s="24" t="s">
        <v>2285</v>
      </c>
      <c r="D56" s="24"/>
      <c r="E56" s="24" t="s">
        <v>2286</v>
      </c>
      <c r="F56" s="24" t="s">
        <v>85</v>
      </c>
      <c r="G56" s="25">
        <v>30</v>
      </c>
      <c r="H56" s="25">
        <v>30</v>
      </c>
      <c r="I56" s="25">
        <f t="shared" si="2"/>
        <v>0</v>
      </c>
      <c r="J56" s="24" t="s">
        <v>165</v>
      </c>
      <c r="K56" s="24" t="s">
        <v>21</v>
      </c>
      <c r="L56" s="24" t="s">
        <v>2164</v>
      </c>
      <c r="M56" s="24"/>
      <c r="N56" s="24"/>
      <c r="O56" s="24"/>
      <c r="P56" s="24"/>
      <c r="Q56" s="24">
        <v>1</v>
      </c>
    </row>
    <row r="58" spans="1:17" x14ac:dyDescent="0.25">
      <c r="D58" s="7">
        <f>COUNTA(D3:D56)</f>
        <v>48</v>
      </c>
      <c r="G58" s="7">
        <f t="shared" ref="G58:Q58" si="3">SUBTOTAL(9,G3:G56)</f>
        <v>51915</v>
      </c>
      <c r="H58" s="7">
        <f t="shared" si="3"/>
        <v>1535</v>
      </c>
      <c r="I58" s="7">
        <f t="shared" si="3"/>
        <v>50380</v>
      </c>
      <c r="J58" s="7">
        <f t="shared" si="3"/>
        <v>0</v>
      </c>
      <c r="K58" s="7">
        <f t="shared" si="3"/>
        <v>0</v>
      </c>
      <c r="L58" s="7">
        <f t="shared" si="3"/>
        <v>0</v>
      </c>
      <c r="M58" s="7">
        <f t="shared" si="3"/>
        <v>0</v>
      </c>
      <c r="N58" s="7">
        <f t="shared" si="3"/>
        <v>0</v>
      </c>
      <c r="O58" s="7">
        <f t="shared" si="3"/>
        <v>0</v>
      </c>
      <c r="P58" s="7">
        <f t="shared" si="3"/>
        <v>0</v>
      </c>
      <c r="Q58" s="7">
        <f t="shared" si="3"/>
        <v>54</v>
      </c>
    </row>
    <row r="59" spans="1:17" x14ac:dyDescent="0.25">
      <c r="H59">
        <f>-9*17</f>
        <v>-153</v>
      </c>
    </row>
    <row r="60" spans="1:17" x14ac:dyDescent="0.25">
      <c r="A60" s="7" t="s">
        <v>16</v>
      </c>
      <c r="C60" s="6" t="s">
        <v>89</v>
      </c>
      <c r="D60" s="6"/>
      <c r="E60" s="10" t="s">
        <v>90</v>
      </c>
      <c r="H60">
        <f>-2*25</f>
        <v>-50</v>
      </c>
      <c r="K60" s="13" t="s">
        <v>21</v>
      </c>
      <c r="L60" s="13" t="s">
        <v>91</v>
      </c>
      <c r="M60" s="13" t="s">
        <v>90</v>
      </c>
      <c r="O60" s="10" t="s">
        <v>92</v>
      </c>
    </row>
    <row r="61" spans="1:17" x14ac:dyDescent="0.25">
      <c r="A61" t="s">
        <v>2164</v>
      </c>
      <c r="B61" s="9" t="s">
        <v>93</v>
      </c>
      <c r="C61" s="5">
        <f>SUMIFS(I$3:I$56,B$3:B$56,A$60,L$3:L$56,A$61)</f>
        <v>50380</v>
      </c>
      <c r="D61" s="5"/>
      <c r="E61" s="9">
        <f>SUMIFS(Q$3:Q$56,B$3:B$56,A$60,L$3:L$56,A$61)</f>
        <v>54</v>
      </c>
      <c r="F61" t="s">
        <v>94</v>
      </c>
      <c r="H61">
        <f>-2*30</f>
        <v>-60</v>
      </c>
      <c r="K61" t="s">
        <v>95</v>
      </c>
      <c r="L61">
        <f>SUMIFS(G$3:G$56,J$3:J$56,K$60)</f>
        <v>33940</v>
      </c>
      <c r="M61">
        <f>SUMIFS(Q$3:Q$56,J$3:J$56,K$60)</f>
        <v>16</v>
      </c>
      <c r="O61" t="s">
        <v>21</v>
      </c>
      <c r="P61">
        <f>L66</f>
        <v>33379</v>
      </c>
    </row>
    <row r="62" spans="1:17" x14ac:dyDescent="0.25">
      <c r="B62" s="8" t="s">
        <v>97</v>
      </c>
      <c r="C62" s="4">
        <v>0</v>
      </c>
      <c r="D62" s="4"/>
      <c r="K62" t="s">
        <v>98</v>
      </c>
      <c r="L62">
        <f>-SUMIFS(H$3:H$56,J$3:J$56,K$60)+M62*5</f>
        <v>-455</v>
      </c>
      <c r="M62">
        <f>SUMIFS(Q$3:Q$56,J$3:J$56,K$60)-COUNTIFS(J$3:J$56,K$60,M$3:M$56,"*gộp*")</f>
        <v>16</v>
      </c>
      <c r="O62" t="s">
        <v>165</v>
      </c>
      <c r="P62">
        <f>L74</f>
        <v>9255</v>
      </c>
    </row>
    <row r="63" spans="1:17" x14ac:dyDescent="0.25">
      <c r="B63" s="8" t="s">
        <v>99</v>
      </c>
      <c r="C63" s="4">
        <f>-SUMIFS(I$3:I$56,B$3:B$56,A$60,P$3:P$56,"xx",N$3:N$56,"x")</f>
        <v>0</v>
      </c>
      <c r="D63" s="4"/>
      <c r="E63" s="8">
        <f>SUMIFS(Q$3:Q$56,B$3:B$56,A$60,P$3:P$56,"xx",N$3:N$56,"x")</f>
        <v>0</v>
      </c>
      <c r="K63" t="s">
        <v>100</v>
      </c>
      <c r="L63">
        <f>-M63*2</f>
        <v>-106</v>
      </c>
      <c r="M63">
        <f>E64-(COUNTIFS(M$3:M$56,"*gộp*")/2)-COUNTIFS(M$3:M$56,"*đơn trả*")-COUNTIFS(M$3:M$56,"*hàng tỉnh*")</f>
        <v>53</v>
      </c>
      <c r="O63" t="s">
        <v>20</v>
      </c>
      <c r="P63">
        <f>L82</f>
        <v>2455</v>
      </c>
    </row>
    <row r="64" spans="1:17" x14ac:dyDescent="0.25">
      <c r="B64" s="10" t="s">
        <v>101</v>
      </c>
      <c r="C64" s="6">
        <f>SUBTOTAL(9,C61:C63)</f>
        <v>50380</v>
      </c>
      <c r="D64" s="6"/>
      <c r="E64">
        <f>E61</f>
        <v>54</v>
      </c>
      <c r="K64" s="8" t="s">
        <v>102</v>
      </c>
      <c r="O64" t="s">
        <v>2287</v>
      </c>
      <c r="P64">
        <f>L90</f>
        <v>5497</v>
      </c>
    </row>
    <row r="65" spans="2:16" x14ac:dyDescent="0.25">
      <c r="B65" s="8" t="s">
        <v>104</v>
      </c>
      <c r="C65" s="3"/>
      <c r="D65" s="3"/>
      <c r="K65" s="8" t="s">
        <v>105</v>
      </c>
      <c r="O65" t="s">
        <v>103</v>
      </c>
      <c r="P65">
        <f>-C68</f>
        <v>-50380</v>
      </c>
    </row>
    <row r="66" spans="2:16" x14ac:dyDescent="0.25">
      <c r="B66" s="14" t="s">
        <v>107</v>
      </c>
      <c r="C66" s="3"/>
      <c r="D66" s="3"/>
      <c r="L66" s="15">
        <f>SUBTOTAL(9,L61:L65)</f>
        <v>33379</v>
      </c>
      <c r="M66" s="15">
        <f>M61</f>
        <v>16</v>
      </c>
      <c r="O66" s="10" t="s">
        <v>106</v>
      </c>
      <c r="P66" s="10">
        <f>SUBTOTAL(9,P61:P65)</f>
        <v>206</v>
      </c>
    </row>
    <row r="68" spans="2:16" x14ac:dyDescent="0.25">
      <c r="B68" s="7" t="s">
        <v>108</v>
      </c>
      <c r="C68" s="2">
        <f>C64+C65+C66</f>
        <v>50380</v>
      </c>
      <c r="D68" s="2"/>
      <c r="E68" s="7" t="s">
        <v>109</v>
      </c>
      <c r="K68" s="13" t="s">
        <v>165</v>
      </c>
      <c r="L68" s="13" t="s">
        <v>91</v>
      </c>
      <c r="M68" s="13" t="s">
        <v>90</v>
      </c>
    </row>
    <row r="69" spans="2:16" x14ac:dyDescent="0.25">
      <c r="K69" t="s">
        <v>95</v>
      </c>
      <c r="L69">
        <f>SUMIFS(G$3:G$56,J$3:J$56,K$68)</f>
        <v>9635</v>
      </c>
      <c r="M69">
        <f>SUMIFS(Q$3:Q$56,J$3:J$56,K$68)</f>
        <v>20</v>
      </c>
    </row>
    <row r="70" spans="2:16" x14ac:dyDescent="0.25">
      <c r="K70" t="s">
        <v>98</v>
      </c>
      <c r="L70">
        <f>-SUMIFS(H$3:H$56,J$3:J$56,K$68)+M70*5</f>
        <v>-380</v>
      </c>
      <c r="M70">
        <f>SUMIFS(Q$3:Q$56,J$3:J$56,K$68)-COUNTIFS(J$3:J$56,K$68,M$3:M$56,"*gộp*")</f>
        <v>18</v>
      </c>
    </row>
    <row r="71" spans="2:16" x14ac:dyDescent="0.25">
      <c r="K71" t="s">
        <v>100</v>
      </c>
    </row>
    <row r="72" spans="2:16" x14ac:dyDescent="0.25">
      <c r="K72" s="8" t="s">
        <v>102</v>
      </c>
    </row>
    <row r="73" spans="2:16" x14ac:dyDescent="0.25">
      <c r="K73" s="8" t="s">
        <v>105</v>
      </c>
    </row>
    <row r="74" spans="2:16" x14ac:dyDescent="0.25">
      <c r="L74" s="15">
        <f>SUBTOTAL(9,L69:L73)</f>
        <v>9255</v>
      </c>
      <c r="M74" s="15">
        <f>M69</f>
        <v>20</v>
      </c>
    </row>
    <row r="76" spans="2:16" x14ac:dyDescent="0.25">
      <c r="K76" s="13" t="s">
        <v>20</v>
      </c>
      <c r="L76" s="13" t="s">
        <v>91</v>
      </c>
      <c r="M76" s="13" t="s">
        <v>90</v>
      </c>
    </row>
    <row r="77" spans="2:16" x14ac:dyDescent="0.25">
      <c r="K77" t="s">
        <v>95</v>
      </c>
      <c r="L77">
        <f>SUMIFS(G$3:G$56,J$3:J$56,K$76)</f>
        <v>2580</v>
      </c>
      <c r="M77">
        <f>SUMIFS(Q$3:Q$56,J$3:J$56,K$76)</f>
        <v>5</v>
      </c>
    </row>
    <row r="78" spans="2:16" x14ac:dyDescent="0.25">
      <c r="K78" t="s">
        <v>98</v>
      </c>
      <c r="L78">
        <f>-SUMIFS(H$3:H$56,J$3:J$56,K$76)+M78*5</f>
        <v>-125</v>
      </c>
      <c r="M78">
        <f>SUMIFS(Q$3:Q$56,J$3:J$56,K$76)-COUNTIFS(J$3:J$56,K$76,M$3:M$56,"*gộp*")</f>
        <v>5</v>
      </c>
    </row>
    <row r="79" spans="2:16" x14ac:dyDescent="0.25">
      <c r="K79" t="s">
        <v>100</v>
      </c>
    </row>
    <row r="80" spans="2:16" x14ac:dyDescent="0.25">
      <c r="K80" s="8" t="s">
        <v>102</v>
      </c>
    </row>
    <row r="81" spans="11:13" x14ac:dyDescent="0.25">
      <c r="K81" s="8" t="s">
        <v>105</v>
      </c>
    </row>
    <row r="82" spans="11:13" x14ac:dyDescent="0.25">
      <c r="L82" s="15">
        <f>SUBTOTAL(9,L77:L81)</f>
        <v>2455</v>
      </c>
      <c r="M82" s="15">
        <f>M77</f>
        <v>5</v>
      </c>
    </row>
    <row r="84" spans="11:13" x14ac:dyDescent="0.25">
      <c r="K84" s="13" t="s">
        <v>2180</v>
      </c>
      <c r="L84" s="13" t="s">
        <v>91</v>
      </c>
      <c r="M84" s="13" t="s">
        <v>90</v>
      </c>
    </row>
    <row r="85" spans="11:13" x14ac:dyDescent="0.25">
      <c r="K85" t="s">
        <v>95</v>
      </c>
      <c r="L85">
        <f>SUMIFS(G$3:G$56,J$3:J$56,K$84)</f>
        <v>5760</v>
      </c>
      <c r="M85">
        <f>SUMIFS(Q$3:Q$56,J$3:J$56,K$84)</f>
        <v>13</v>
      </c>
    </row>
    <row r="86" spans="11:13" x14ac:dyDescent="0.25">
      <c r="K86" t="s">
        <v>98</v>
      </c>
      <c r="L86">
        <f>SUM(H59:H61)</f>
        <v>-263</v>
      </c>
      <c r="M86">
        <f>SUMIFS(Q$3:Q$56,J$3:J$56,K$84)</f>
        <v>13</v>
      </c>
    </row>
    <row r="87" spans="11:13" x14ac:dyDescent="0.25">
      <c r="K87" t="s">
        <v>100</v>
      </c>
    </row>
    <row r="88" spans="11:13" x14ac:dyDescent="0.25">
      <c r="K88" s="8" t="s">
        <v>102</v>
      </c>
    </row>
    <row r="89" spans="11:13" x14ac:dyDescent="0.25">
      <c r="K89" s="8" t="s">
        <v>105</v>
      </c>
    </row>
    <row r="90" spans="11:13" x14ac:dyDescent="0.25">
      <c r="L90" s="15">
        <f>SUBTOTAL(9,L85:L89)</f>
        <v>5497</v>
      </c>
      <c r="M90" s="15">
        <f>M85</f>
        <v>13</v>
      </c>
    </row>
  </sheetData>
  <autoFilter ref="A2:P56" xr:uid="{00000000-0009-0000-0000-000012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R95"/>
  <sheetViews>
    <sheetView topLeftCell="A61" zoomScale="90" zoomScaleNormal="90" workbookViewId="0">
      <selection activeCell="M5" sqref="M5"/>
    </sheetView>
  </sheetViews>
  <sheetFormatPr defaultRowHeight="15" x14ac:dyDescent="0.25"/>
  <cols>
    <col min="1" max="1" width="12.7109375" customWidth="1"/>
    <col min="2" max="2" width="17.7109375" customWidth="1"/>
    <col min="3" max="3" width="44.85546875" customWidth="1"/>
    <col min="4" max="4" width="9.85546875" customWidth="1"/>
    <col min="5" max="5" width="78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8" x14ac:dyDescent="0.25">
      <c r="A3" s="24"/>
      <c r="B3" s="24" t="s">
        <v>16</v>
      </c>
      <c r="C3" s="24" t="s">
        <v>1075</v>
      </c>
      <c r="D3" s="24" t="s">
        <v>2288</v>
      </c>
      <c r="E3" s="24" t="s">
        <v>2289</v>
      </c>
      <c r="F3" s="25">
        <v>9</v>
      </c>
      <c r="G3" s="25">
        <v>50</v>
      </c>
      <c r="H3" s="25">
        <v>20</v>
      </c>
      <c r="I3" s="25">
        <f>G3-H3</f>
        <v>30</v>
      </c>
      <c r="J3" s="24" t="s">
        <v>20</v>
      </c>
      <c r="K3" s="24" t="s">
        <v>21</v>
      </c>
      <c r="L3" s="24" t="s">
        <v>2290</v>
      </c>
      <c r="M3" s="24"/>
      <c r="N3" s="24"/>
      <c r="O3" s="24"/>
      <c r="P3" s="24"/>
      <c r="Q3" s="24">
        <v>1</v>
      </c>
    </row>
    <row r="4" spans="1:18" s="45" customFormat="1" x14ac:dyDescent="0.25">
      <c r="A4" s="43"/>
      <c r="B4" s="43" t="s">
        <v>16</v>
      </c>
      <c r="C4" s="43" t="s">
        <v>2291</v>
      </c>
      <c r="D4" s="43" t="s">
        <v>2292</v>
      </c>
      <c r="E4" s="43" t="s">
        <v>2293</v>
      </c>
      <c r="F4" s="44">
        <v>1</v>
      </c>
      <c r="G4" s="44">
        <v>1145</v>
      </c>
      <c r="H4" s="44">
        <v>25</v>
      </c>
      <c r="I4" s="44">
        <f>G4-H4</f>
        <v>1120</v>
      </c>
      <c r="J4" s="43" t="s">
        <v>2294</v>
      </c>
      <c r="K4" s="43" t="s">
        <v>21</v>
      </c>
      <c r="L4" s="43" t="s">
        <v>2290</v>
      </c>
      <c r="M4" s="43"/>
      <c r="N4" s="43"/>
      <c r="O4" s="43"/>
      <c r="P4" s="43"/>
      <c r="Q4" s="43">
        <v>1</v>
      </c>
    </row>
    <row r="5" spans="1:18" s="45" customFormat="1" x14ac:dyDescent="0.25">
      <c r="A5" s="43"/>
      <c r="B5" s="43" t="s">
        <v>16</v>
      </c>
      <c r="C5" s="43" t="s">
        <v>1200</v>
      </c>
      <c r="D5" s="43" t="s">
        <v>2295</v>
      </c>
      <c r="E5" s="43" t="s">
        <v>1202</v>
      </c>
      <c r="F5" s="43" t="s">
        <v>26</v>
      </c>
      <c r="G5" s="44">
        <v>0</v>
      </c>
      <c r="H5" s="44">
        <v>30</v>
      </c>
      <c r="I5" s="44">
        <f>-H5</f>
        <v>-30</v>
      </c>
      <c r="J5" s="43" t="s">
        <v>2294</v>
      </c>
      <c r="K5" s="43" t="s">
        <v>21</v>
      </c>
      <c r="L5" s="43" t="s">
        <v>2290</v>
      </c>
      <c r="M5" s="24" t="s">
        <v>312</v>
      </c>
      <c r="N5" s="43"/>
      <c r="O5" s="43"/>
      <c r="P5" s="43"/>
      <c r="Q5" s="43">
        <v>1</v>
      </c>
    </row>
    <row r="6" spans="1:18" x14ac:dyDescent="0.25">
      <c r="A6" s="24"/>
      <c r="B6" s="24" t="s">
        <v>16</v>
      </c>
      <c r="C6" s="24" t="s">
        <v>1200</v>
      </c>
      <c r="D6" s="24" t="s">
        <v>2296</v>
      </c>
      <c r="E6" s="24" t="s">
        <v>1202</v>
      </c>
      <c r="F6" s="24" t="s">
        <v>26</v>
      </c>
      <c r="G6" s="25">
        <v>0</v>
      </c>
      <c r="H6" s="25">
        <v>0</v>
      </c>
      <c r="I6" s="25">
        <f>-H6</f>
        <v>0</v>
      </c>
      <c r="J6" s="24" t="s">
        <v>2294</v>
      </c>
      <c r="K6" s="24" t="s">
        <v>21</v>
      </c>
      <c r="L6" s="24" t="s">
        <v>2290</v>
      </c>
      <c r="M6" s="24" t="s">
        <v>312</v>
      </c>
      <c r="N6" s="24"/>
      <c r="O6" s="24"/>
      <c r="P6" s="24"/>
      <c r="Q6" s="24">
        <v>1</v>
      </c>
      <c r="R6" s="12">
        <f>H6</f>
        <v>0</v>
      </c>
    </row>
    <row r="7" spans="1:18" s="45" customFormat="1" x14ac:dyDescent="0.25">
      <c r="A7" s="43"/>
      <c r="B7" s="43" t="s">
        <v>16</v>
      </c>
      <c r="C7" s="43" t="s">
        <v>2297</v>
      </c>
      <c r="D7" s="43" t="s">
        <v>2298</v>
      </c>
      <c r="E7" s="43" t="s">
        <v>2299</v>
      </c>
      <c r="F7" s="44">
        <v>7</v>
      </c>
      <c r="G7" s="44">
        <v>470</v>
      </c>
      <c r="H7" s="44">
        <v>30</v>
      </c>
      <c r="I7" s="44">
        <f>G7-H7</f>
        <v>440</v>
      </c>
      <c r="J7" s="43" t="s">
        <v>2294</v>
      </c>
      <c r="K7" s="43" t="s">
        <v>21</v>
      </c>
      <c r="L7" s="43" t="s">
        <v>2290</v>
      </c>
      <c r="M7" s="43"/>
      <c r="N7" s="43"/>
      <c r="O7" s="43"/>
      <c r="P7" s="43"/>
      <c r="Q7" s="43">
        <v>1</v>
      </c>
    </row>
    <row r="8" spans="1:18" s="45" customFormat="1" x14ac:dyDescent="0.25">
      <c r="A8" s="43"/>
      <c r="B8" s="43" t="s">
        <v>16</v>
      </c>
      <c r="C8" s="43" t="s">
        <v>891</v>
      </c>
      <c r="D8" s="43" t="s">
        <v>2300</v>
      </c>
      <c r="E8" s="43" t="s">
        <v>893</v>
      </c>
      <c r="F8" s="43" t="s">
        <v>26</v>
      </c>
      <c r="G8" s="44">
        <v>380</v>
      </c>
      <c r="H8" s="44">
        <v>30</v>
      </c>
      <c r="I8" s="44">
        <f>G8-H8</f>
        <v>350</v>
      </c>
      <c r="J8" s="43" t="s">
        <v>2294</v>
      </c>
      <c r="K8" s="43" t="s">
        <v>21</v>
      </c>
      <c r="L8" s="43" t="s">
        <v>2290</v>
      </c>
      <c r="M8" s="43"/>
      <c r="N8" s="43"/>
      <c r="O8" s="43"/>
      <c r="P8" s="43"/>
      <c r="Q8" s="43">
        <v>1</v>
      </c>
    </row>
    <row r="9" spans="1:18" s="45" customFormat="1" x14ac:dyDescent="0.25">
      <c r="A9" s="43"/>
      <c r="B9" s="43" t="s">
        <v>16</v>
      </c>
      <c r="C9" s="43" t="s">
        <v>2301</v>
      </c>
      <c r="D9" s="43" t="s">
        <v>2302</v>
      </c>
      <c r="E9" s="43" t="s">
        <v>2303</v>
      </c>
      <c r="F9" s="44">
        <v>8</v>
      </c>
      <c r="G9" s="44">
        <v>560</v>
      </c>
      <c r="H9" s="44">
        <v>30</v>
      </c>
      <c r="I9" s="44">
        <f>G9-H9</f>
        <v>530</v>
      </c>
      <c r="J9" s="43" t="s">
        <v>2294</v>
      </c>
      <c r="K9" s="43" t="s">
        <v>21</v>
      </c>
      <c r="L9" s="43" t="s">
        <v>2290</v>
      </c>
      <c r="M9" s="43"/>
      <c r="N9" s="43"/>
      <c r="O9" s="43"/>
      <c r="P9" s="43"/>
      <c r="Q9" s="43">
        <v>1</v>
      </c>
    </row>
    <row r="10" spans="1:18" s="45" customFormat="1" x14ac:dyDescent="0.25">
      <c r="A10" s="43"/>
      <c r="B10" s="43" t="s">
        <v>16</v>
      </c>
      <c r="C10" s="43" t="s">
        <v>2304</v>
      </c>
      <c r="D10" s="43" t="s">
        <v>2305</v>
      </c>
      <c r="E10" s="43" t="s">
        <v>2306</v>
      </c>
      <c r="F10" s="43" t="s">
        <v>26</v>
      </c>
      <c r="G10" s="44">
        <v>0</v>
      </c>
      <c r="H10" s="44">
        <v>30</v>
      </c>
      <c r="I10" s="44">
        <f>-H10</f>
        <v>-30</v>
      </c>
      <c r="J10" s="43" t="s">
        <v>2294</v>
      </c>
      <c r="K10" s="43" t="s">
        <v>21</v>
      </c>
      <c r="L10" s="43" t="s">
        <v>2290</v>
      </c>
      <c r="M10" s="43"/>
      <c r="N10" s="43"/>
      <c r="O10" s="43"/>
      <c r="P10" s="43"/>
      <c r="Q10" s="43">
        <v>1</v>
      </c>
    </row>
    <row r="11" spans="1:18" s="45" customFormat="1" x14ac:dyDescent="0.25">
      <c r="A11" s="43"/>
      <c r="B11" s="43" t="s">
        <v>16</v>
      </c>
      <c r="C11" s="43" t="s">
        <v>594</v>
      </c>
      <c r="D11" s="43" t="s">
        <v>2307</v>
      </c>
      <c r="E11" s="43" t="s">
        <v>596</v>
      </c>
      <c r="F11" s="43" t="s">
        <v>217</v>
      </c>
      <c r="G11" s="44">
        <v>525</v>
      </c>
      <c r="H11" s="44">
        <v>25</v>
      </c>
      <c r="I11" s="44">
        <f>G11-H11</f>
        <v>500</v>
      </c>
      <c r="J11" s="43" t="s">
        <v>2294</v>
      </c>
      <c r="K11" s="43" t="s">
        <v>21</v>
      </c>
      <c r="L11" s="43" t="s">
        <v>2290</v>
      </c>
      <c r="M11" s="43"/>
      <c r="N11" s="43"/>
      <c r="O11" s="43"/>
      <c r="P11" s="43"/>
      <c r="Q11" s="43">
        <v>1</v>
      </c>
    </row>
    <row r="12" spans="1:18" s="45" customFormat="1" x14ac:dyDescent="0.25">
      <c r="A12" s="43"/>
      <c r="B12" s="43" t="s">
        <v>16</v>
      </c>
      <c r="C12" s="43" t="s">
        <v>2308</v>
      </c>
      <c r="D12" s="43" t="s">
        <v>2309</v>
      </c>
      <c r="E12" s="43" t="s">
        <v>2310</v>
      </c>
      <c r="F12" s="44">
        <v>7</v>
      </c>
      <c r="G12" s="44">
        <v>690</v>
      </c>
      <c r="H12" s="44">
        <v>30</v>
      </c>
      <c r="I12" s="44">
        <f>G12-H12</f>
        <v>660</v>
      </c>
      <c r="J12" s="43" t="s">
        <v>2294</v>
      </c>
      <c r="K12" s="43" t="s">
        <v>21</v>
      </c>
      <c r="L12" s="43" t="s">
        <v>2290</v>
      </c>
      <c r="M12" s="43"/>
      <c r="N12" s="43"/>
      <c r="O12" s="43"/>
      <c r="P12" s="43"/>
      <c r="Q12" s="43">
        <v>1</v>
      </c>
    </row>
    <row r="13" spans="1:18" s="45" customFormat="1" x14ac:dyDescent="0.25">
      <c r="A13" s="43"/>
      <c r="B13" s="43" t="s">
        <v>16</v>
      </c>
      <c r="C13" s="43" t="s">
        <v>707</v>
      </c>
      <c r="D13" s="43" t="s">
        <v>2311</v>
      </c>
      <c r="E13" s="43" t="s">
        <v>709</v>
      </c>
      <c r="F13" s="44">
        <v>6</v>
      </c>
      <c r="G13" s="44">
        <v>475</v>
      </c>
      <c r="H13" s="44">
        <v>25</v>
      </c>
      <c r="I13" s="44">
        <f>G13-H13</f>
        <v>450</v>
      </c>
      <c r="J13" s="43" t="s">
        <v>2294</v>
      </c>
      <c r="K13" s="43" t="s">
        <v>21</v>
      </c>
      <c r="L13" s="43" t="s">
        <v>2290</v>
      </c>
      <c r="M13" s="43"/>
      <c r="N13" s="43"/>
      <c r="O13" s="43"/>
      <c r="P13" s="43"/>
      <c r="Q13" s="43">
        <v>1</v>
      </c>
    </row>
    <row r="14" spans="1:18" s="45" customFormat="1" x14ac:dyDescent="0.25">
      <c r="A14" s="43"/>
      <c r="B14" s="43" t="s">
        <v>16</v>
      </c>
      <c r="C14" s="43" t="s">
        <v>2055</v>
      </c>
      <c r="D14" s="43" t="s">
        <v>2312</v>
      </c>
      <c r="E14" s="43" t="s">
        <v>2313</v>
      </c>
      <c r="F14" s="43" t="s">
        <v>88</v>
      </c>
      <c r="G14" s="44">
        <v>480</v>
      </c>
      <c r="H14" s="44">
        <v>30</v>
      </c>
      <c r="I14" s="44">
        <f>G14-H14</f>
        <v>450</v>
      </c>
      <c r="J14" s="43" t="s">
        <v>2294</v>
      </c>
      <c r="K14" s="43" t="s">
        <v>21</v>
      </c>
      <c r="L14" s="43" t="s">
        <v>2290</v>
      </c>
      <c r="M14" s="43"/>
      <c r="N14" s="43"/>
      <c r="O14" s="43"/>
      <c r="P14" s="43"/>
      <c r="Q14" s="43">
        <v>1</v>
      </c>
    </row>
    <row r="15" spans="1:18" s="45" customFormat="1" x14ac:dyDescent="0.25">
      <c r="A15" s="43"/>
      <c r="B15" s="43" t="s">
        <v>16</v>
      </c>
      <c r="C15" s="43" t="s">
        <v>2314</v>
      </c>
      <c r="D15" s="43" t="s">
        <v>2315</v>
      </c>
      <c r="E15" s="43" t="s">
        <v>2316</v>
      </c>
      <c r="F15" s="44">
        <v>4</v>
      </c>
      <c r="G15" s="44">
        <v>685</v>
      </c>
      <c r="H15" s="44">
        <v>25</v>
      </c>
      <c r="I15" s="44">
        <f>G15-H15</f>
        <v>660</v>
      </c>
      <c r="J15" s="43" t="s">
        <v>2294</v>
      </c>
      <c r="K15" s="43" t="s">
        <v>21</v>
      </c>
      <c r="L15" s="43" t="s">
        <v>2290</v>
      </c>
      <c r="M15" s="43"/>
      <c r="N15" s="43"/>
      <c r="O15" s="43"/>
      <c r="P15" s="43"/>
      <c r="Q15" s="43">
        <v>1</v>
      </c>
    </row>
    <row r="16" spans="1:18" s="45" customFormat="1" x14ac:dyDescent="0.25">
      <c r="A16" s="43"/>
      <c r="B16" s="43" t="s">
        <v>16</v>
      </c>
      <c r="C16" s="43" t="s">
        <v>2317</v>
      </c>
      <c r="D16" s="43" t="s">
        <v>2318</v>
      </c>
      <c r="E16" s="43" t="s">
        <v>1850</v>
      </c>
      <c r="F16" s="43" t="s">
        <v>259</v>
      </c>
      <c r="G16" s="44">
        <v>0</v>
      </c>
      <c r="H16" s="44">
        <v>35</v>
      </c>
      <c r="I16" s="44">
        <f>-H16</f>
        <v>-35</v>
      </c>
      <c r="J16" s="43" t="s">
        <v>2294</v>
      </c>
      <c r="K16" s="43" t="s">
        <v>21</v>
      </c>
      <c r="L16" s="43" t="s">
        <v>2290</v>
      </c>
      <c r="M16" s="43"/>
      <c r="N16" s="43"/>
      <c r="O16" s="43"/>
      <c r="P16" s="43"/>
      <c r="Q16" s="43">
        <v>1</v>
      </c>
    </row>
    <row r="17" spans="1:17" s="45" customFormat="1" x14ac:dyDescent="0.25">
      <c r="A17" s="43"/>
      <c r="B17" s="43" t="s">
        <v>16</v>
      </c>
      <c r="C17" s="43" t="s">
        <v>2319</v>
      </c>
      <c r="D17" s="43" t="s">
        <v>2320</v>
      </c>
      <c r="E17" s="43" t="s">
        <v>2321</v>
      </c>
      <c r="F17" s="44">
        <v>1</v>
      </c>
      <c r="G17" s="44">
        <v>865</v>
      </c>
      <c r="H17" s="44">
        <v>25</v>
      </c>
      <c r="I17" s="44">
        <f>G17-H17</f>
        <v>840</v>
      </c>
      <c r="J17" s="43" t="s">
        <v>2294</v>
      </c>
      <c r="K17" s="43" t="s">
        <v>21</v>
      </c>
      <c r="L17" s="43" t="s">
        <v>2290</v>
      </c>
      <c r="M17" s="43"/>
      <c r="N17" s="43"/>
      <c r="O17" s="43"/>
      <c r="P17" s="43"/>
      <c r="Q17" s="43">
        <v>1</v>
      </c>
    </row>
    <row r="18" spans="1:17" s="45" customFormat="1" x14ac:dyDescent="0.25">
      <c r="A18" s="43"/>
      <c r="B18" s="43" t="s">
        <v>16</v>
      </c>
      <c r="C18" s="43" t="s">
        <v>2322</v>
      </c>
      <c r="D18" s="43" t="s">
        <v>2323</v>
      </c>
      <c r="E18" s="43" t="s">
        <v>2324</v>
      </c>
      <c r="F18" s="44">
        <v>1</v>
      </c>
      <c r="G18" s="44">
        <v>1915</v>
      </c>
      <c r="H18" s="44">
        <v>25</v>
      </c>
      <c r="I18" s="44">
        <f>G18-H18</f>
        <v>1890</v>
      </c>
      <c r="J18" s="43" t="s">
        <v>2294</v>
      </c>
      <c r="K18" s="43" t="s">
        <v>21</v>
      </c>
      <c r="L18" s="43" t="s">
        <v>2290</v>
      </c>
      <c r="M18" s="43"/>
      <c r="N18" s="43"/>
      <c r="O18" s="43"/>
      <c r="P18" s="43"/>
      <c r="Q18" s="43">
        <v>1</v>
      </c>
    </row>
    <row r="19" spans="1:17" s="45" customFormat="1" x14ac:dyDescent="0.25">
      <c r="A19" s="43"/>
      <c r="B19" s="43" t="s">
        <v>16</v>
      </c>
      <c r="C19" s="43" t="s">
        <v>2325</v>
      </c>
      <c r="D19" s="43" t="s">
        <v>2326</v>
      </c>
      <c r="E19" s="43" t="s">
        <v>2327</v>
      </c>
      <c r="F19" s="43" t="s">
        <v>113</v>
      </c>
      <c r="G19" s="44">
        <v>1355</v>
      </c>
      <c r="H19" s="44">
        <v>35</v>
      </c>
      <c r="I19" s="44">
        <f>G19-H19</f>
        <v>1320</v>
      </c>
      <c r="J19" s="43" t="s">
        <v>2294</v>
      </c>
      <c r="K19" s="43" t="s">
        <v>21</v>
      </c>
      <c r="L19" s="43" t="s">
        <v>2290</v>
      </c>
      <c r="M19" s="43"/>
      <c r="N19" s="43"/>
      <c r="O19" s="43"/>
      <c r="P19" s="43"/>
      <c r="Q19" s="43">
        <v>1</v>
      </c>
    </row>
    <row r="20" spans="1:17" s="45" customFormat="1" x14ac:dyDescent="0.25">
      <c r="A20" s="43"/>
      <c r="B20" s="43" t="s">
        <v>16</v>
      </c>
      <c r="C20" s="43" t="s">
        <v>1056</v>
      </c>
      <c r="D20" s="43" t="s">
        <v>2328</v>
      </c>
      <c r="E20" s="43" t="s">
        <v>1190</v>
      </c>
      <c r="F20" s="44">
        <v>7</v>
      </c>
      <c r="G20" s="44">
        <v>880</v>
      </c>
      <c r="H20" s="44">
        <v>30</v>
      </c>
      <c r="I20" s="44">
        <f>G20-H20</f>
        <v>850</v>
      </c>
      <c r="J20" s="43" t="s">
        <v>2294</v>
      </c>
      <c r="K20" s="43" t="s">
        <v>21</v>
      </c>
      <c r="L20" s="43" t="s">
        <v>2290</v>
      </c>
      <c r="M20" s="43"/>
      <c r="N20" s="43"/>
      <c r="O20" s="43"/>
      <c r="P20" s="43"/>
      <c r="Q20" s="43">
        <v>1</v>
      </c>
    </row>
    <row r="21" spans="1:17" s="45" customFormat="1" x14ac:dyDescent="0.25">
      <c r="A21" s="43"/>
      <c r="B21" s="43" t="s">
        <v>16</v>
      </c>
      <c r="C21" s="43" t="s">
        <v>2329</v>
      </c>
      <c r="D21" s="43" t="s">
        <v>2330</v>
      </c>
      <c r="E21" s="43" t="s">
        <v>2331</v>
      </c>
      <c r="F21" s="44">
        <v>7</v>
      </c>
      <c r="G21" s="44">
        <v>1990</v>
      </c>
      <c r="H21" s="44">
        <v>30</v>
      </c>
      <c r="I21" s="44">
        <f>G21-H21</f>
        <v>1960</v>
      </c>
      <c r="J21" s="43" t="s">
        <v>2294</v>
      </c>
      <c r="K21" s="43" t="s">
        <v>21</v>
      </c>
      <c r="L21" s="43" t="s">
        <v>2290</v>
      </c>
      <c r="M21" s="43"/>
      <c r="N21" s="43"/>
      <c r="O21" s="43"/>
      <c r="P21" s="43"/>
      <c r="Q21" s="43">
        <v>1</v>
      </c>
    </row>
    <row r="22" spans="1:17" s="45" customFormat="1" x14ac:dyDescent="0.25">
      <c r="A22" s="43"/>
      <c r="B22" s="43" t="s">
        <v>16</v>
      </c>
      <c r="C22" s="43" t="s">
        <v>2332</v>
      </c>
      <c r="D22" s="43" t="s">
        <v>2333</v>
      </c>
      <c r="E22" s="43" t="s">
        <v>2334</v>
      </c>
      <c r="F22" s="43" t="s">
        <v>128</v>
      </c>
      <c r="G22" s="44">
        <v>0</v>
      </c>
      <c r="H22" s="44">
        <v>35</v>
      </c>
      <c r="I22" s="44">
        <f>-H22</f>
        <v>-35</v>
      </c>
      <c r="J22" s="43" t="s">
        <v>2294</v>
      </c>
      <c r="K22" s="43" t="s">
        <v>21</v>
      </c>
      <c r="L22" s="43" t="s">
        <v>2290</v>
      </c>
      <c r="M22" s="43"/>
      <c r="N22" s="43"/>
      <c r="O22" s="43"/>
      <c r="P22" s="43"/>
      <c r="Q22" s="43">
        <v>1</v>
      </c>
    </row>
    <row r="23" spans="1:17" s="45" customFormat="1" x14ac:dyDescent="0.25">
      <c r="A23" s="43"/>
      <c r="B23" s="43" t="s">
        <v>16</v>
      </c>
      <c r="C23" s="43" t="s">
        <v>2335</v>
      </c>
      <c r="D23" s="43" t="s">
        <v>2336</v>
      </c>
      <c r="E23" s="43" t="s">
        <v>2337</v>
      </c>
      <c r="F23" s="43" t="s">
        <v>217</v>
      </c>
      <c r="G23" s="44">
        <v>1545</v>
      </c>
      <c r="H23" s="44">
        <v>25</v>
      </c>
      <c r="I23" s="44">
        <f>G23-H23</f>
        <v>1520</v>
      </c>
      <c r="J23" s="43" t="s">
        <v>2294</v>
      </c>
      <c r="K23" s="43" t="s">
        <v>21</v>
      </c>
      <c r="L23" s="43" t="s">
        <v>2290</v>
      </c>
      <c r="M23" s="43"/>
      <c r="N23" s="43"/>
      <c r="O23" s="43"/>
      <c r="P23" s="43"/>
      <c r="Q23" s="43">
        <v>1</v>
      </c>
    </row>
    <row r="24" spans="1:17" s="45" customFormat="1" x14ac:dyDescent="0.25">
      <c r="A24" s="43"/>
      <c r="B24" s="43" t="s">
        <v>16</v>
      </c>
      <c r="C24" s="43" t="s">
        <v>2338</v>
      </c>
      <c r="D24" s="43" t="s">
        <v>2339</v>
      </c>
      <c r="E24" s="43" t="s">
        <v>2340</v>
      </c>
      <c r="F24" s="44">
        <v>12</v>
      </c>
      <c r="G24" s="44">
        <v>920</v>
      </c>
      <c r="H24" s="44">
        <v>30</v>
      </c>
      <c r="I24" s="44">
        <f>G24-H24</f>
        <v>890</v>
      </c>
      <c r="J24" s="43" t="s">
        <v>2294</v>
      </c>
      <c r="K24" s="43" t="s">
        <v>21</v>
      </c>
      <c r="L24" s="43" t="s">
        <v>2290</v>
      </c>
      <c r="M24" s="43"/>
      <c r="N24" s="43"/>
      <c r="O24" s="43"/>
      <c r="P24" s="43"/>
      <c r="Q24" s="43">
        <v>1</v>
      </c>
    </row>
    <row r="25" spans="1:17" s="45" customFormat="1" x14ac:dyDescent="0.25">
      <c r="A25" s="43"/>
      <c r="B25" s="43" t="s">
        <v>16</v>
      </c>
      <c r="C25" s="43" t="s">
        <v>2094</v>
      </c>
      <c r="D25" s="43" t="s">
        <v>2341</v>
      </c>
      <c r="E25" s="43" t="s">
        <v>2096</v>
      </c>
      <c r="F25" s="43" t="s">
        <v>88</v>
      </c>
      <c r="G25" s="44">
        <v>0</v>
      </c>
      <c r="H25" s="44">
        <v>25</v>
      </c>
      <c r="I25" s="44">
        <f>-H25</f>
        <v>-25</v>
      </c>
      <c r="J25" s="43" t="s">
        <v>2294</v>
      </c>
      <c r="K25" s="43" t="s">
        <v>21</v>
      </c>
      <c r="L25" s="43" t="s">
        <v>2290</v>
      </c>
      <c r="M25" s="43"/>
      <c r="N25" s="43"/>
      <c r="O25" s="43"/>
      <c r="P25" s="43"/>
      <c r="Q25" s="43">
        <v>1</v>
      </c>
    </row>
    <row r="26" spans="1:17" s="45" customFormat="1" x14ac:dyDescent="0.25">
      <c r="A26" s="43"/>
      <c r="B26" s="43" t="s">
        <v>16</v>
      </c>
      <c r="C26" s="43" t="s">
        <v>481</v>
      </c>
      <c r="D26" s="43" t="s">
        <v>2342</v>
      </c>
      <c r="E26" s="43" t="s">
        <v>2343</v>
      </c>
      <c r="F26" s="44">
        <v>4</v>
      </c>
      <c r="G26" s="44">
        <v>915</v>
      </c>
      <c r="H26" s="44">
        <v>25</v>
      </c>
      <c r="I26" s="44">
        <f t="shared" ref="I26:I31" si="0">G26-H26</f>
        <v>890</v>
      </c>
      <c r="J26" s="43" t="s">
        <v>2294</v>
      </c>
      <c r="K26" s="43" t="s">
        <v>21</v>
      </c>
      <c r="L26" s="43" t="s">
        <v>2290</v>
      </c>
      <c r="M26" s="43"/>
      <c r="N26" s="43"/>
      <c r="O26" s="43"/>
      <c r="P26" s="43"/>
      <c r="Q26" s="43">
        <v>1</v>
      </c>
    </row>
    <row r="27" spans="1:17" s="45" customFormat="1" x14ac:dyDescent="0.25">
      <c r="A27" s="43"/>
      <c r="B27" s="43" t="s">
        <v>16</v>
      </c>
      <c r="C27" s="43" t="s">
        <v>2344</v>
      </c>
      <c r="D27" s="43" t="s">
        <v>2345</v>
      </c>
      <c r="E27" s="43" t="s">
        <v>2346</v>
      </c>
      <c r="F27" s="44">
        <v>11</v>
      </c>
      <c r="G27" s="44">
        <v>1175</v>
      </c>
      <c r="H27" s="44">
        <v>25</v>
      </c>
      <c r="I27" s="44">
        <f t="shared" si="0"/>
        <v>1150</v>
      </c>
      <c r="J27" s="43" t="s">
        <v>2294</v>
      </c>
      <c r="K27" s="43" t="s">
        <v>21</v>
      </c>
      <c r="L27" s="43" t="s">
        <v>2290</v>
      </c>
      <c r="M27" s="43"/>
      <c r="N27" s="43"/>
      <c r="O27" s="43"/>
      <c r="P27" s="43"/>
      <c r="Q27" s="43">
        <v>1</v>
      </c>
    </row>
    <row r="28" spans="1:17" s="45" customFormat="1" x14ac:dyDescent="0.25">
      <c r="A28" s="43"/>
      <c r="B28" s="43" t="s">
        <v>16</v>
      </c>
      <c r="C28" s="43" t="s">
        <v>1710</v>
      </c>
      <c r="D28" s="43" t="s">
        <v>2347</v>
      </c>
      <c r="E28" s="43" t="s">
        <v>1712</v>
      </c>
      <c r="F28" s="44">
        <v>7</v>
      </c>
      <c r="G28" s="44">
        <v>390</v>
      </c>
      <c r="H28" s="44">
        <v>30</v>
      </c>
      <c r="I28" s="44">
        <f t="shared" si="0"/>
        <v>360</v>
      </c>
      <c r="J28" s="43" t="s">
        <v>2294</v>
      </c>
      <c r="K28" s="43" t="s">
        <v>21</v>
      </c>
      <c r="L28" s="43" t="s">
        <v>2290</v>
      </c>
      <c r="M28" s="43"/>
      <c r="N28" s="43"/>
      <c r="O28" s="43"/>
      <c r="P28" s="43"/>
      <c r="Q28" s="43">
        <v>1</v>
      </c>
    </row>
    <row r="29" spans="1:17" s="45" customFormat="1" x14ac:dyDescent="0.25">
      <c r="A29" s="43"/>
      <c r="B29" s="43" t="s">
        <v>16</v>
      </c>
      <c r="C29" s="43" t="s">
        <v>997</v>
      </c>
      <c r="D29" s="43" t="s">
        <v>2348</v>
      </c>
      <c r="E29" s="43" t="s">
        <v>999</v>
      </c>
      <c r="F29" s="44">
        <v>1</v>
      </c>
      <c r="G29" s="44">
        <v>65</v>
      </c>
      <c r="H29" s="44">
        <v>25</v>
      </c>
      <c r="I29" s="44">
        <f t="shared" si="0"/>
        <v>40</v>
      </c>
      <c r="J29" s="43" t="s">
        <v>2294</v>
      </c>
      <c r="K29" s="43" t="s">
        <v>21</v>
      </c>
      <c r="L29" s="43" t="s">
        <v>2290</v>
      </c>
      <c r="M29" s="43" t="s">
        <v>49</v>
      </c>
      <c r="N29" s="43"/>
      <c r="O29" s="43"/>
      <c r="P29" s="43"/>
      <c r="Q29" s="43">
        <v>1</v>
      </c>
    </row>
    <row r="30" spans="1:17" s="45" customFormat="1" x14ac:dyDescent="0.25">
      <c r="A30" s="43"/>
      <c r="B30" s="43" t="s">
        <v>16</v>
      </c>
      <c r="C30" s="43" t="s">
        <v>2349</v>
      </c>
      <c r="D30" s="43" t="s">
        <v>2350</v>
      </c>
      <c r="E30" s="43" t="s">
        <v>2351</v>
      </c>
      <c r="F30" s="44">
        <v>1</v>
      </c>
      <c r="G30" s="44">
        <v>685</v>
      </c>
      <c r="H30" s="44">
        <v>25</v>
      </c>
      <c r="I30" s="44">
        <f t="shared" si="0"/>
        <v>660</v>
      </c>
      <c r="J30" s="43" t="s">
        <v>2294</v>
      </c>
      <c r="K30" s="43" t="s">
        <v>21</v>
      </c>
      <c r="L30" s="43" t="s">
        <v>2290</v>
      </c>
      <c r="M30" s="43"/>
      <c r="N30" s="43"/>
      <c r="O30" s="43"/>
      <c r="P30" s="43"/>
      <c r="Q30" s="43">
        <v>1</v>
      </c>
    </row>
    <row r="31" spans="1:17" s="45" customFormat="1" x14ac:dyDescent="0.25">
      <c r="A31" s="43"/>
      <c r="B31" s="43" t="s">
        <v>16</v>
      </c>
      <c r="C31" s="43" t="s">
        <v>2352</v>
      </c>
      <c r="D31" s="43" t="s">
        <v>2353</v>
      </c>
      <c r="E31" s="43" t="s">
        <v>2354</v>
      </c>
      <c r="F31" s="44">
        <v>12</v>
      </c>
      <c r="G31" s="44">
        <v>1670</v>
      </c>
      <c r="H31" s="44">
        <v>30</v>
      </c>
      <c r="I31" s="44">
        <f t="shared" si="0"/>
        <v>1640</v>
      </c>
      <c r="J31" s="43" t="s">
        <v>2294</v>
      </c>
      <c r="K31" s="43" t="s">
        <v>21</v>
      </c>
      <c r="L31" s="43" t="s">
        <v>2290</v>
      </c>
      <c r="M31" s="43"/>
      <c r="N31" s="43"/>
      <c r="O31" s="43"/>
      <c r="P31" s="43"/>
      <c r="Q31" s="43">
        <v>1</v>
      </c>
    </row>
    <row r="32" spans="1:17" s="45" customFormat="1" x14ac:dyDescent="0.25">
      <c r="A32" s="43"/>
      <c r="B32" s="43" t="s">
        <v>16</v>
      </c>
      <c r="C32" s="43" t="s">
        <v>2355</v>
      </c>
      <c r="D32" s="43" t="s">
        <v>2356</v>
      </c>
      <c r="E32" s="43" t="s">
        <v>2357</v>
      </c>
      <c r="F32" s="44">
        <v>11</v>
      </c>
      <c r="G32" s="44">
        <v>0</v>
      </c>
      <c r="H32" s="44">
        <v>25</v>
      </c>
      <c r="I32" s="44">
        <f>-H32</f>
        <v>-25</v>
      </c>
      <c r="J32" s="43" t="s">
        <v>2294</v>
      </c>
      <c r="K32" s="43" t="s">
        <v>21</v>
      </c>
      <c r="L32" s="43" t="s">
        <v>2290</v>
      </c>
      <c r="M32" s="43"/>
      <c r="N32" s="43"/>
      <c r="O32" s="43"/>
      <c r="P32" s="43"/>
      <c r="Q32" s="43">
        <v>1</v>
      </c>
    </row>
    <row r="33" spans="1:17" s="45" customFormat="1" x14ac:dyDescent="0.25">
      <c r="A33" s="43"/>
      <c r="B33" s="43" t="s">
        <v>16</v>
      </c>
      <c r="C33" s="43" t="s">
        <v>2358</v>
      </c>
      <c r="D33" s="43" t="s">
        <v>2359</v>
      </c>
      <c r="E33" s="43" t="s">
        <v>2360</v>
      </c>
      <c r="F33" s="43" t="s">
        <v>217</v>
      </c>
      <c r="G33" s="44">
        <v>685</v>
      </c>
      <c r="H33" s="44">
        <v>25</v>
      </c>
      <c r="I33" s="44">
        <f>G33-H33</f>
        <v>660</v>
      </c>
      <c r="J33" s="43" t="s">
        <v>2294</v>
      </c>
      <c r="K33" s="43" t="s">
        <v>21</v>
      </c>
      <c r="L33" s="43" t="s">
        <v>2290</v>
      </c>
      <c r="M33" s="43"/>
      <c r="N33" s="43"/>
      <c r="O33" s="43"/>
      <c r="P33" s="43"/>
      <c r="Q33" s="43">
        <v>1</v>
      </c>
    </row>
    <row r="34" spans="1:17" s="45" customFormat="1" x14ac:dyDescent="0.25">
      <c r="A34" s="43"/>
      <c r="B34" s="43" t="s">
        <v>16</v>
      </c>
      <c r="C34" s="43" t="s">
        <v>2361</v>
      </c>
      <c r="D34" s="43" t="s">
        <v>2362</v>
      </c>
      <c r="E34" s="43" t="s">
        <v>2363</v>
      </c>
      <c r="F34" s="44">
        <v>7</v>
      </c>
      <c r="G34" s="44">
        <v>1530</v>
      </c>
      <c r="H34" s="44">
        <v>30</v>
      </c>
      <c r="I34" s="44">
        <f>G34-H34</f>
        <v>1500</v>
      </c>
      <c r="J34" s="43" t="s">
        <v>2294</v>
      </c>
      <c r="K34" s="43" t="s">
        <v>21</v>
      </c>
      <c r="L34" s="43" t="s">
        <v>2290</v>
      </c>
      <c r="M34" s="43"/>
      <c r="N34" s="43"/>
      <c r="O34" s="43"/>
      <c r="P34" s="43"/>
      <c r="Q34" s="43">
        <v>1</v>
      </c>
    </row>
    <row r="35" spans="1:17" s="45" customFormat="1" x14ac:dyDescent="0.25">
      <c r="A35" s="43"/>
      <c r="B35" s="43" t="s">
        <v>16</v>
      </c>
      <c r="C35" s="43" t="s">
        <v>2364</v>
      </c>
      <c r="D35" s="43" t="s">
        <v>2365</v>
      </c>
      <c r="E35" s="43" t="s">
        <v>2366</v>
      </c>
      <c r="F35" s="44">
        <v>12</v>
      </c>
      <c r="G35" s="44">
        <v>0</v>
      </c>
      <c r="H35" s="44">
        <v>35</v>
      </c>
      <c r="I35" s="44">
        <f>-H35</f>
        <v>-35</v>
      </c>
      <c r="J35" s="43" t="s">
        <v>2294</v>
      </c>
      <c r="K35" s="43" t="s">
        <v>21</v>
      </c>
      <c r="L35" s="43" t="s">
        <v>2290</v>
      </c>
      <c r="M35" s="43" t="s">
        <v>398</v>
      </c>
      <c r="N35" s="43"/>
      <c r="O35" s="43"/>
      <c r="P35" s="43"/>
      <c r="Q35" s="43">
        <v>1</v>
      </c>
    </row>
    <row r="36" spans="1:17" s="45" customFormat="1" x14ac:dyDescent="0.25">
      <c r="A36" s="43"/>
      <c r="B36" s="43" t="s">
        <v>16</v>
      </c>
      <c r="C36" s="43" t="s">
        <v>991</v>
      </c>
      <c r="D36" s="43" t="s">
        <v>2367</v>
      </c>
      <c r="E36" s="43" t="s">
        <v>993</v>
      </c>
      <c r="F36" s="43" t="s">
        <v>88</v>
      </c>
      <c r="G36" s="44">
        <v>915</v>
      </c>
      <c r="H36" s="44">
        <v>25</v>
      </c>
      <c r="I36" s="44">
        <f t="shared" ref="I36:I41" si="1">G36-H36</f>
        <v>890</v>
      </c>
      <c r="J36" s="43" t="s">
        <v>2294</v>
      </c>
      <c r="K36" s="43" t="s">
        <v>21</v>
      </c>
      <c r="L36" s="43" t="s">
        <v>2290</v>
      </c>
      <c r="M36" s="43"/>
      <c r="N36" s="43"/>
      <c r="O36" s="43"/>
      <c r="P36" s="43"/>
      <c r="Q36" s="43">
        <v>1</v>
      </c>
    </row>
    <row r="37" spans="1:17" s="45" customFormat="1" x14ac:dyDescent="0.25">
      <c r="A37" s="43"/>
      <c r="B37" s="43" t="s">
        <v>16</v>
      </c>
      <c r="C37" s="43" t="s">
        <v>2368</v>
      </c>
      <c r="D37" s="43" t="s">
        <v>2369</v>
      </c>
      <c r="E37" s="43" t="s">
        <v>2370</v>
      </c>
      <c r="F37" s="44">
        <v>11</v>
      </c>
      <c r="G37" s="44">
        <v>855</v>
      </c>
      <c r="H37" s="44">
        <v>25</v>
      </c>
      <c r="I37" s="44">
        <f t="shared" si="1"/>
        <v>830</v>
      </c>
      <c r="J37" s="43" t="s">
        <v>2294</v>
      </c>
      <c r="K37" s="43" t="s">
        <v>21</v>
      </c>
      <c r="L37" s="43" t="s">
        <v>2290</v>
      </c>
      <c r="M37" s="43"/>
      <c r="N37" s="43"/>
      <c r="O37" s="43"/>
      <c r="P37" s="43"/>
      <c r="Q37" s="43">
        <v>1</v>
      </c>
    </row>
    <row r="38" spans="1:17" s="45" customFormat="1" x14ac:dyDescent="0.25">
      <c r="A38" s="43"/>
      <c r="B38" s="43" t="s">
        <v>16</v>
      </c>
      <c r="C38" s="43" t="s">
        <v>2371</v>
      </c>
      <c r="D38" s="43" t="s">
        <v>2372</v>
      </c>
      <c r="E38" s="43" t="s">
        <v>2373</v>
      </c>
      <c r="F38" s="44">
        <v>7</v>
      </c>
      <c r="G38" s="44">
        <v>1860</v>
      </c>
      <c r="H38" s="44">
        <v>30</v>
      </c>
      <c r="I38" s="44">
        <f t="shared" si="1"/>
        <v>1830</v>
      </c>
      <c r="J38" s="43" t="s">
        <v>2294</v>
      </c>
      <c r="K38" s="43" t="s">
        <v>21</v>
      </c>
      <c r="L38" s="43" t="s">
        <v>2290</v>
      </c>
      <c r="M38" s="43"/>
      <c r="N38" s="43"/>
      <c r="O38" s="43"/>
      <c r="P38" s="43"/>
      <c r="Q38" s="43">
        <v>1</v>
      </c>
    </row>
    <row r="39" spans="1:17" s="45" customFormat="1" x14ac:dyDescent="0.25">
      <c r="A39" s="43"/>
      <c r="B39" s="43" t="s">
        <v>16</v>
      </c>
      <c r="C39" s="43" t="s">
        <v>2374</v>
      </c>
      <c r="D39" s="43" t="s">
        <v>2375</v>
      </c>
      <c r="E39" s="43" t="s">
        <v>756</v>
      </c>
      <c r="F39" s="43" t="s">
        <v>88</v>
      </c>
      <c r="G39" s="44">
        <v>685</v>
      </c>
      <c r="H39" s="44">
        <v>25</v>
      </c>
      <c r="I39" s="44">
        <f t="shared" si="1"/>
        <v>660</v>
      </c>
      <c r="J39" s="43" t="s">
        <v>2294</v>
      </c>
      <c r="K39" s="43" t="s">
        <v>21</v>
      </c>
      <c r="L39" s="43" t="s">
        <v>2290</v>
      </c>
      <c r="M39" s="43"/>
      <c r="N39" s="43"/>
      <c r="O39" s="43"/>
      <c r="P39" s="43"/>
      <c r="Q39" s="43">
        <v>1</v>
      </c>
    </row>
    <row r="40" spans="1:17" s="45" customFormat="1" x14ac:dyDescent="0.25">
      <c r="A40" s="43"/>
      <c r="B40" s="43" t="s">
        <v>16</v>
      </c>
      <c r="C40" s="43" t="s">
        <v>2376</v>
      </c>
      <c r="D40" s="43" t="s">
        <v>2377</v>
      </c>
      <c r="E40" s="43" t="s">
        <v>1985</v>
      </c>
      <c r="F40" s="44">
        <v>1</v>
      </c>
      <c r="G40" s="44">
        <v>685</v>
      </c>
      <c r="H40" s="44">
        <v>25</v>
      </c>
      <c r="I40" s="44">
        <f t="shared" si="1"/>
        <v>660</v>
      </c>
      <c r="J40" s="43" t="s">
        <v>2294</v>
      </c>
      <c r="K40" s="43" t="s">
        <v>21</v>
      </c>
      <c r="L40" s="43" t="s">
        <v>2290</v>
      </c>
      <c r="M40" s="43"/>
      <c r="N40" s="43"/>
      <c r="O40" s="43"/>
      <c r="P40" s="43"/>
      <c r="Q40" s="43">
        <v>1</v>
      </c>
    </row>
    <row r="41" spans="1:17" x14ac:dyDescent="0.25">
      <c r="A41" s="24"/>
      <c r="B41" s="24" t="s">
        <v>16</v>
      </c>
      <c r="C41" s="24" t="s">
        <v>2378</v>
      </c>
      <c r="D41" s="24" t="s">
        <v>2379</v>
      </c>
      <c r="E41" s="24" t="s">
        <v>2380</v>
      </c>
      <c r="F41" s="25">
        <v>2</v>
      </c>
      <c r="G41" s="25">
        <v>690</v>
      </c>
      <c r="H41" s="25">
        <v>30</v>
      </c>
      <c r="I41" s="25">
        <f t="shared" si="1"/>
        <v>660</v>
      </c>
      <c r="J41" s="24" t="s">
        <v>21</v>
      </c>
      <c r="K41" s="24" t="s">
        <v>21</v>
      </c>
      <c r="L41" s="24" t="s">
        <v>2290</v>
      </c>
      <c r="M41" s="24"/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2381</v>
      </c>
      <c r="D42" s="24" t="s">
        <v>2382</v>
      </c>
      <c r="E42" s="24" t="s">
        <v>587</v>
      </c>
      <c r="F42" s="25">
        <v>12</v>
      </c>
      <c r="G42" s="25">
        <v>0</v>
      </c>
      <c r="H42" s="25">
        <v>30</v>
      </c>
      <c r="I42" s="25">
        <f>-H42</f>
        <v>-30</v>
      </c>
      <c r="J42" s="24" t="s">
        <v>21</v>
      </c>
      <c r="K42" s="24" t="s">
        <v>21</v>
      </c>
      <c r="L42" s="24" t="s">
        <v>2290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2383</v>
      </c>
      <c r="D43" s="24" t="s">
        <v>2384</v>
      </c>
      <c r="E43" s="24" t="s">
        <v>2385</v>
      </c>
      <c r="F43" s="24" t="s">
        <v>153</v>
      </c>
      <c r="G43" s="25">
        <v>480</v>
      </c>
      <c r="H43" s="25">
        <v>30</v>
      </c>
      <c r="I43" s="25">
        <f>G43-H43</f>
        <v>450</v>
      </c>
      <c r="J43" s="24" t="s">
        <v>21</v>
      </c>
      <c r="K43" s="24" t="s">
        <v>21</v>
      </c>
      <c r="L43" s="24" t="s">
        <v>2290</v>
      </c>
      <c r="M43" s="24"/>
      <c r="N43" s="24"/>
      <c r="O43" s="24"/>
      <c r="P43" s="24"/>
      <c r="Q43" s="24">
        <v>1</v>
      </c>
    </row>
    <row r="44" spans="1:17" x14ac:dyDescent="0.25">
      <c r="A44" s="24"/>
      <c r="B44" s="24" t="s">
        <v>16</v>
      </c>
      <c r="C44" s="24" t="s">
        <v>2386</v>
      </c>
      <c r="D44" s="24" t="s">
        <v>2387</v>
      </c>
      <c r="E44" s="24" t="s">
        <v>2388</v>
      </c>
      <c r="F44" s="24" t="s">
        <v>68</v>
      </c>
      <c r="G44" s="25">
        <v>1140</v>
      </c>
      <c r="H44" s="25">
        <v>20</v>
      </c>
      <c r="I44" s="25">
        <f>G44-H44</f>
        <v>1120</v>
      </c>
      <c r="J44" s="24" t="s">
        <v>21</v>
      </c>
      <c r="K44" s="24" t="s">
        <v>21</v>
      </c>
      <c r="L44" s="24" t="s">
        <v>2290</v>
      </c>
      <c r="M44" s="24"/>
      <c r="N44" s="24"/>
      <c r="O44" s="24"/>
      <c r="P44" s="24"/>
      <c r="Q44" s="24">
        <v>1</v>
      </c>
    </row>
    <row r="45" spans="1:17" x14ac:dyDescent="0.25">
      <c r="A45" s="24"/>
      <c r="B45" s="24" t="s">
        <v>16</v>
      </c>
      <c r="C45" s="24" t="s">
        <v>2389</v>
      </c>
      <c r="D45" s="24" t="s">
        <v>2390</v>
      </c>
      <c r="E45" s="24" t="s">
        <v>2391</v>
      </c>
      <c r="F45" s="24" t="s">
        <v>68</v>
      </c>
      <c r="G45" s="25">
        <v>0</v>
      </c>
      <c r="H45" s="25">
        <v>20</v>
      </c>
      <c r="I45" s="25">
        <f>-H45</f>
        <v>-20</v>
      </c>
      <c r="J45" s="24" t="s">
        <v>21</v>
      </c>
      <c r="K45" s="24" t="s">
        <v>21</v>
      </c>
      <c r="L45" s="24" t="s">
        <v>2290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2392</v>
      </c>
      <c r="D46" s="24" t="s">
        <v>2393</v>
      </c>
      <c r="E46" s="24" t="s">
        <v>2394</v>
      </c>
      <c r="F46" s="25">
        <v>12</v>
      </c>
      <c r="G46" s="25">
        <v>0</v>
      </c>
      <c r="H46" s="25">
        <v>30</v>
      </c>
      <c r="I46" s="25">
        <f>-H46</f>
        <v>-30</v>
      </c>
      <c r="J46" s="24" t="s">
        <v>21</v>
      </c>
      <c r="K46" s="24" t="s">
        <v>21</v>
      </c>
      <c r="L46" s="24" t="s">
        <v>2290</v>
      </c>
      <c r="M46" s="24"/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2395</v>
      </c>
      <c r="D47" s="24" t="s">
        <v>2396</v>
      </c>
      <c r="E47" s="24" t="s">
        <v>2397</v>
      </c>
      <c r="F47" s="24" t="s">
        <v>153</v>
      </c>
      <c r="G47" s="25">
        <v>890</v>
      </c>
      <c r="H47" s="25">
        <v>30</v>
      </c>
      <c r="I47" s="25">
        <f>G47-H47</f>
        <v>860</v>
      </c>
      <c r="J47" s="24" t="s">
        <v>21</v>
      </c>
      <c r="K47" s="24" t="s">
        <v>21</v>
      </c>
      <c r="L47" s="24" t="s">
        <v>2290</v>
      </c>
      <c r="M47" s="24"/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2398</v>
      </c>
      <c r="D48" s="24" t="s">
        <v>2399</v>
      </c>
      <c r="E48" s="24" t="s">
        <v>1752</v>
      </c>
      <c r="F48" s="25">
        <v>12</v>
      </c>
      <c r="G48" s="25">
        <v>0</v>
      </c>
      <c r="H48" s="25">
        <v>30</v>
      </c>
      <c r="I48" s="25">
        <f>-H48</f>
        <v>-30</v>
      </c>
      <c r="J48" s="24" t="s">
        <v>21</v>
      </c>
      <c r="K48" s="24" t="s">
        <v>21</v>
      </c>
      <c r="L48" s="24" t="s">
        <v>2290</v>
      </c>
      <c r="M48" s="24"/>
      <c r="N48" s="24"/>
      <c r="O48" s="24"/>
      <c r="P48" s="24"/>
      <c r="Q48" s="24">
        <v>1</v>
      </c>
    </row>
    <row r="49" spans="1:17" x14ac:dyDescent="0.25">
      <c r="A49" s="24"/>
      <c r="B49" s="24" t="s">
        <v>16</v>
      </c>
      <c r="C49" s="24" t="s">
        <v>2400</v>
      </c>
      <c r="D49" s="24" t="s">
        <v>2401</v>
      </c>
      <c r="E49" s="24" t="s">
        <v>2402</v>
      </c>
      <c r="F49" s="24" t="s">
        <v>88</v>
      </c>
      <c r="G49" s="25">
        <v>1245</v>
      </c>
      <c r="H49" s="25">
        <v>25</v>
      </c>
      <c r="I49" s="25">
        <f>G49-H49</f>
        <v>1220</v>
      </c>
      <c r="J49" s="24" t="s">
        <v>21</v>
      </c>
      <c r="K49" s="24" t="s">
        <v>21</v>
      </c>
      <c r="L49" s="24" t="s">
        <v>2290</v>
      </c>
      <c r="M49" s="24"/>
      <c r="N49" s="24"/>
      <c r="O49" s="24"/>
      <c r="P49" s="24"/>
      <c r="Q49" s="24">
        <v>1</v>
      </c>
    </row>
    <row r="50" spans="1:17" x14ac:dyDescent="0.25">
      <c r="A50" s="24"/>
      <c r="B50" s="24" t="s">
        <v>16</v>
      </c>
      <c r="C50" s="24" t="s">
        <v>2403</v>
      </c>
      <c r="D50" s="24" t="s">
        <v>2404</v>
      </c>
      <c r="E50" s="24" t="s">
        <v>2405</v>
      </c>
      <c r="F50" s="25">
        <v>2</v>
      </c>
      <c r="G50" s="25">
        <v>0</v>
      </c>
      <c r="H50" s="25">
        <v>30</v>
      </c>
      <c r="I50" s="25">
        <f>-H50</f>
        <v>-30</v>
      </c>
      <c r="J50" s="24" t="s">
        <v>21</v>
      </c>
      <c r="K50" s="24" t="s">
        <v>21</v>
      </c>
      <c r="L50" s="24" t="s">
        <v>2290</v>
      </c>
      <c r="M50" s="24"/>
      <c r="N50" s="24"/>
      <c r="O50" s="24"/>
      <c r="P50" s="24"/>
      <c r="Q50" s="24">
        <v>1</v>
      </c>
    </row>
    <row r="51" spans="1:17" x14ac:dyDescent="0.25">
      <c r="A51" s="24"/>
      <c r="B51" s="24" t="s">
        <v>16</v>
      </c>
      <c r="C51" s="24" t="s">
        <v>2406</v>
      </c>
      <c r="D51" s="24" t="s">
        <v>2407</v>
      </c>
      <c r="E51" s="24" t="s">
        <v>2408</v>
      </c>
      <c r="F51" s="24" t="s">
        <v>72</v>
      </c>
      <c r="G51" s="25">
        <v>0</v>
      </c>
      <c r="H51" s="25">
        <v>25</v>
      </c>
      <c r="I51" s="25">
        <f>-H51</f>
        <v>-25</v>
      </c>
      <c r="J51" s="24" t="s">
        <v>21</v>
      </c>
      <c r="K51" s="24" t="s">
        <v>21</v>
      </c>
      <c r="L51" s="24" t="s">
        <v>2290</v>
      </c>
      <c r="M51" s="24"/>
      <c r="N51" s="24"/>
      <c r="O51" s="24"/>
      <c r="P51" s="24"/>
      <c r="Q51" s="24">
        <v>1</v>
      </c>
    </row>
    <row r="52" spans="1:17" x14ac:dyDescent="0.25">
      <c r="A52" s="24"/>
      <c r="B52" s="24" t="s">
        <v>16</v>
      </c>
      <c r="C52" s="24" t="s">
        <v>2409</v>
      </c>
      <c r="D52" s="24" t="s">
        <v>2410</v>
      </c>
      <c r="E52" s="24" t="s">
        <v>2411</v>
      </c>
      <c r="F52" s="24" t="s">
        <v>72</v>
      </c>
      <c r="G52" s="25">
        <v>915</v>
      </c>
      <c r="H52" s="25">
        <v>25</v>
      </c>
      <c r="I52" s="25">
        <f t="shared" ref="I52:I57" si="2">G52-H52</f>
        <v>890</v>
      </c>
      <c r="J52" s="24" t="s">
        <v>21</v>
      </c>
      <c r="K52" s="24" t="s">
        <v>21</v>
      </c>
      <c r="L52" s="24" t="s">
        <v>2290</v>
      </c>
      <c r="M52" s="24"/>
      <c r="N52" s="24"/>
      <c r="O52" s="24"/>
      <c r="P52" s="24"/>
      <c r="Q52" s="24">
        <v>1</v>
      </c>
    </row>
    <row r="53" spans="1:17" x14ac:dyDescent="0.25">
      <c r="A53" s="24"/>
      <c r="B53" s="24" t="s">
        <v>16</v>
      </c>
      <c r="C53" s="24" t="s">
        <v>2412</v>
      </c>
      <c r="D53" s="24" t="s">
        <v>2413</v>
      </c>
      <c r="E53" s="24" t="s">
        <v>2414</v>
      </c>
      <c r="F53" s="24" t="s">
        <v>72</v>
      </c>
      <c r="G53" s="25">
        <v>875</v>
      </c>
      <c r="H53" s="25">
        <v>25</v>
      </c>
      <c r="I53" s="25">
        <f t="shared" si="2"/>
        <v>850</v>
      </c>
      <c r="J53" s="24" t="s">
        <v>21</v>
      </c>
      <c r="K53" s="24" t="s">
        <v>21</v>
      </c>
      <c r="L53" s="24" t="s">
        <v>2290</v>
      </c>
      <c r="M53" s="24"/>
      <c r="N53" s="24"/>
      <c r="O53" s="24"/>
      <c r="P53" s="24"/>
      <c r="Q53" s="24">
        <v>1</v>
      </c>
    </row>
    <row r="54" spans="1:17" x14ac:dyDescent="0.25">
      <c r="A54" s="24"/>
      <c r="B54" s="24" t="s">
        <v>16</v>
      </c>
      <c r="C54" s="24" t="s">
        <v>2415</v>
      </c>
      <c r="D54" s="24" t="s">
        <v>2416</v>
      </c>
      <c r="E54" s="24" t="s">
        <v>2417</v>
      </c>
      <c r="F54" s="24" t="s">
        <v>88</v>
      </c>
      <c r="G54" s="25">
        <v>1555</v>
      </c>
      <c r="H54" s="25">
        <v>25</v>
      </c>
      <c r="I54" s="25">
        <f t="shared" si="2"/>
        <v>1530</v>
      </c>
      <c r="J54" s="24" t="s">
        <v>21</v>
      </c>
      <c r="K54" s="24" t="s">
        <v>21</v>
      </c>
      <c r="L54" s="24" t="s">
        <v>2290</v>
      </c>
      <c r="M54" s="24"/>
      <c r="N54" s="24"/>
      <c r="O54" s="24"/>
      <c r="P54" s="24"/>
      <c r="Q54" s="24">
        <v>1</v>
      </c>
    </row>
    <row r="55" spans="1:17" x14ac:dyDescent="0.25">
      <c r="A55" s="24"/>
      <c r="B55" s="24" t="s">
        <v>16</v>
      </c>
      <c r="C55" s="24" t="s">
        <v>2418</v>
      </c>
      <c r="D55" s="24" t="s">
        <v>2419</v>
      </c>
      <c r="E55" s="24" t="s">
        <v>2420</v>
      </c>
      <c r="F55" s="24" t="s">
        <v>68</v>
      </c>
      <c r="G55" s="25">
        <v>690</v>
      </c>
      <c r="H55" s="25">
        <v>20</v>
      </c>
      <c r="I55" s="25">
        <f t="shared" si="2"/>
        <v>670</v>
      </c>
      <c r="J55" s="24" t="s">
        <v>21</v>
      </c>
      <c r="K55" s="24" t="s">
        <v>21</v>
      </c>
      <c r="L55" s="24" t="s">
        <v>2290</v>
      </c>
      <c r="M55" s="24"/>
      <c r="N55" s="24"/>
      <c r="O55" s="24"/>
      <c r="P55" s="24"/>
      <c r="Q55" s="24">
        <v>1</v>
      </c>
    </row>
    <row r="56" spans="1:17" x14ac:dyDescent="0.25">
      <c r="A56" s="24"/>
      <c r="B56" s="24" t="s">
        <v>16</v>
      </c>
      <c r="C56" s="24" t="s">
        <v>2421</v>
      </c>
      <c r="D56" s="24" t="s">
        <v>2422</v>
      </c>
      <c r="E56" s="24" t="s">
        <v>2423</v>
      </c>
      <c r="F56" s="24" t="s">
        <v>153</v>
      </c>
      <c r="G56" s="25">
        <v>480</v>
      </c>
      <c r="H56" s="25">
        <v>30</v>
      </c>
      <c r="I56" s="25">
        <f t="shared" si="2"/>
        <v>450</v>
      </c>
      <c r="J56" s="24" t="s">
        <v>21</v>
      </c>
      <c r="K56" s="24" t="s">
        <v>21</v>
      </c>
      <c r="L56" s="24" t="s">
        <v>2290</v>
      </c>
      <c r="M56" s="24"/>
      <c r="N56" s="24"/>
      <c r="O56" s="24"/>
      <c r="P56" s="24"/>
      <c r="Q56" s="24">
        <v>1</v>
      </c>
    </row>
    <row r="57" spans="1:17" x14ac:dyDescent="0.25">
      <c r="A57" s="24" t="s">
        <v>62</v>
      </c>
      <c r="B57" s="24" t="s">
        <v>16</v>
      </c>
      <c r="C57" s="24" t="s">
        <v>2424</v>
      </c>
      <c r="D57" s="24"/>
      <c r="E57" s="24" t="s">
        <v>2425</v>
      </c>
      <c r="F57" s="24" t="s">
        <v>88</v>
      </c>
      <c r="G57" s="25">
        <v>30</v>
      </c>
      <c r="H57" s="25">
        <v>30</v>
      </c>
      <c r="I57" s="25">
        <f t="shared" si="2"/>
        <v>0</v>
      </c>
      <c r="J57" s="24" t="s">
        <v>21</v>
      </c>
      <c r="K57" s="24" t="s">
        <v>21</v>
      </c>
      <c r="L57" s="24" t="s">
        <v>2290</v>
      </c>
      <c r="M57" s="24"/>
      <c r="N57" s="24"/>
      <c r="O57" s="24"/>
      <c r="P57" s="24"/>
      <c r="Q57" s="24">
        <v>1</v>
      </c>
    </row>
    <row r="58" spans="1:17" x14ac:dyDescent="0.25">
      <c r="A58" s="24" t="s">
        <v>62</v>
      </c>
      <c r="B58" s="24" t="s">
        <v>16</v>
      </c>
      <c r="C58" s="24" t="s">
        <v>2426</v>
      </c>
      <c r="D58" s="24"/>
      <c r="E58" s="24" t="s">
        <v>1752</v>
      </c>
      <c r="F58" s="25">
        <v>12</v>
      </c>
      <c r="G58" s="25">
        <v>0</v>
      </c>
      <c r="H58" s="25">
        <v>35</v>
      </c>
      <c r="I58" s="25">
        <f>-H58</f>
        <v>-35</v>
      </c>
      <c r="J58" s="24" t="s">
        <v>21</v>
      </c>
      <c r="K58" s="24" t="s">
        <v>21</v>
      </c>
      <c r="L58" s="24" t="s">
        <v>2290</v>
      </c>
      <c r="M58" s="24"/>
      <c r="N58" s="24"/>
      <c r="O58" s="24"/>
      <c r="P58" s="24"/>
      <c r="Q58" s="24">
        <v>1</v>
      </c>
    </row>
    <row r="59" spans="1:17" x14ac:dyDescent="0.25">
      <c r="A59" s="24" t="s">
        <v>62</v>
      </c>
      <c r="B59" s="24" t="s">
        <v>16</v>
      </c>
      <c r="C59" s="24" t="s">
        <v>1957</v>
      </c>
      <c r="D59" s="24"/>
      <c r="E59" s="24" t="s">
        <v>2427</v>
      </c>
      <c r="F59" s="24" t="s">
        <v>68</v>
      </c>
      <c r="G59" s="25">
        <v>275</v>
      </c>
      <c r="H59" s="25">
        <v>25</v>
      </c>
      <c r="I59" s="25">
        <f>G59-H59</f>
        <v>250</v>
      </c>
      <c r="J59" s="24" t="s">
        <v>21</v>
      </c>
      <c r="K59" s="24" t="s">
        <v>21</v>
      </c>
      <c r="L59" s="24" t="s">
        <v>2290</v>
      </c>
      <c r="M59" s="24"/>
      <c r="N59" s="24"/>
      <c r="O59" s="24"/>
      <c r="P59" s="24"/>
      <c r="Q59" s="24">
        <v>1</v>
      </c>
    </row>
    <row r="60" spans="1:17" x14ac:dyDescent="0.25">
      <c r="A60" s="24" t="s">
        <v>62</v>
      </c>
      <c r="B60" s="24" t="s">
        <v>16</v>
      </c>
      <c r="C60" s="24" t="s">
        <v>318</v>
      </c>
      <c r="D60" s="24"/>
      <c r="E60" s="24" t="s">
        <v>319</v>
      </c>
      <c r="F60" s="24" t="s">
        <v>72</v>
      </c>
      <c r="G60" s="25">
        <v>30</v>
      </c>
      <c r="H60" s="25">
        <v>30</v>
      </c>
      <c r="I60" s="25">
        <f>G60-H60</f>
        <v>0</v>
      </c>
      <c r="J60" s="24" t="s">
        <v>21</v>
      </c>
      <c r="K60" s="24" t="s">
        <v>21</v>
      </c>
      <c r="L60" s="24" t="s">
        <v>2290</v>
      </c>
      <c r="M60" s="24"/>
      <c r="N60" s="24"/>
      <c r="O60" s="24"/>
      <c r="P60" s="24"/>
      <c r="Q60" s="24">
        <v>1</v>
      </c>
    </row>
    <row r="61" spans="1:17" x14ac:dyDescent="0.25">
      <c r="A61" s="24"/>
      <c r="B61" s="24" t="s">
        <v>16</v>
      </c>
      <c r="C61" s="24" t="s">
        <v>2428</v>
      </c>
      <c r="D61" s="24" t="s">
        <v>2429</v>
      </c>
      <c r="E61" s="24" t="s">
        <v>2430</v>
      </c>
      <c r="F61" s="25">
        <v>5</v>
      </c>
      <c r="G61" s="25">
        <v>0</v>
      </c>
      <c r="H61" s="25">
        <v>25</v>
      </c>
      <c r="I61" s="25">
        <f>-H61</f>
        <v>-25</v>
      </c>
      <c r="J61" s="24" t="s">
        <v>165</v>
      </c>
      <c r="K61" s="24" t="s">
        <v>21</v>
      </c>
      <c r="L61" s="24" t="s">
        <v>2290</v>
      </c>
      <c r="M61" s="24"/>
      <c r="N61" s="24"/>
      <c r="O61" s="24"/>
      <c r="P61" s="24"/>
      <c r="Q61" s="24">
        <v>1</v>
      </c>
    </row>
    <row r="63" spans="1:17" x14ac:dyDescent="0.25">
      <c r="D63" s="7">
        <f>COUNTA(D3:D61)</f>
        <v>55</v>
      </c>
      <c r="G63" s="7">
        <f t="shared" ref="G63:Q63" si="3">SUBTOTAL(9,G3:G61)</f>
        <v>36340</v>
      </c>
      <c r="H63" s="7">
        <f t="shared" si="3"/>
        <v>1600</v>
      </c>
      <c r="I63" s="7">
        <f t="shared" si="3"/>
        <v>34740</v>
      </c>
      <c r="J63" s="7">
        <f t="shared" si="3"/>
        <v>0</v>
      </c>
      <c r="K63" s="7">
        <f t="shared" si="3"/>
        <v>0</v>
      </c>
      <c r="L63" s="7">
        <f t="shared" si="3"/>
        <v>0</v>
      </c>
      <c r="M63" s="7">
        <f t="shared" si="3"/>
        <v>0</v>
      </c>
      <c r="N63" s="7">
        <f t="shared" si="3"/>
        <v>0</v>
      </c>
      <c r="O63" s="7">
        <f t="shared" si="3"/>
        <v>0</v>
      </c>
      <c r="P63" s="7">
        <f t="shared" si="3"/>
        <v>0</v>
      </c>
      <c r="Q63" s="7">
        <f t="shared" si="3"/>
        <v>59</v>
      </c>
    </row>
    <row r="64" spans="1:17" x14ac:dyDescent="0.25">
      <c r="H64">
        <f>-27*17</f>
        <v>-459</v>
      </c>
    </row>
    <row r="65" spans="1:16" x14ac:dyDescent="0.25">
      <c r="A65" s="7" t="s">
        <v>16</v>
      </c>
      <c r="C65" s="6" t="s">
        <v>89</v>
      </c>
      <c r="D65" s="6"/>
      <c r="E65" s="10" t="s">
        <v>90</v>
      </c>
      <c r="H65">
        <f>-6*25</f>
        <v>-150</v>
      </c>
      <c r="K65" s="13" t="s">
        <v>2294</v>
      </c>
      <c r="L65" s="13" t="s">
        <v>91</v>
      </c>
      <c r="M65" s="13" t="s">
        <v>90</v>
      </c>
      <c r="O65" s="10" t="s">
        <v>92</v>
      </c>
    </row>
    <row r="66" spans="1:16" x14ac:dyDescent="0.25">
      <c r="A66" t="s">
        <v>2290</v>
      </c>
      <c r="B66" s="9" t="s">
        <v>93</v>
      </c>
      <c r="C66" s="5">
        <f>SUMIFS(I$3:I$61,B$3:B$61,A$65,L$3:L$61,A$66)</f>
        <v>34740</v>
      </c>
      <c r="D66" s="5"/>
      <c r="E66" s="9">
        <f>SUMIFS(Q$3:Q$61,B$3:B$61,A$65,L$3:L$61,A$66)</f>
        <v>59</v>
      </c>
      <c r="F66" t="s">
        <v>94</v>
      </c>
      <c r="H66">
        <f>-3*30</f>
        <v>-90</v>
      </c>
      <c r="K66" t="s">
        <v>95</v>
      </c>
      <c r="L66">
        <f>SUMIFS(G$3:G$61,J$3:J$61,K$65)</f>
        <v>26995</v>
      </c>
      <c r="M66">
        <f>SUMIFS(Q$3:Q$61,J$3:J$61,K$65)</f>
        <v>37</v>
      </c>
      <c r="O66" t="s">
        <v>2431</v>
      </c>
      <c r="P66">
        <f>L71</f>
        <v>26296</v>
      </c>
    </row>
    <row r="67" spans="1:16" x14ac:dyDescent="0.25">
      <c r="B67" s="8" t="s">
        <v>97</v>
      </c>
      <c r="C67" s="4">
        <v>0</v>
      </c>
      <c r="D67" s="4"/>
      <c r="K67" t="s">
        <v>98</v>
      </c>
      <c r="L67">
        <f>SUM(H64:H66)</f>
        <v>-699</v>
      </c>
      <c r="M67">
        <f>SUMIFS(Q$3:Q$61,J$3:J$61,K$65)</f>
        <v>37</v>
      </c>
      <c r="O67" t="s">
        <v>21</v>
      </c>
      <c r="P67">
        <f>L79</f>
        <v>8734</v>
      </c>
    </row>
    <row r="68" spans="1:16" x14ac:dyDescent="0.25">
      <c r="B68" s="8" t="s">
        <v>99</v>
      </c>
      <c r="C68" s="4">
        <f>-SUMIFS(I$3:I$61,B$3:B$61,A$65,P$3:P$61,"xx",N$3:N$61,"x")</f>
        <v>0</v>
      </c>
      <c r="D68" s="4"/>
      <c r="E68" s="8">
        <f>SUMIFS(Q$3:Q$61,B$3:B$61,A$65,P$3:P$61,"xx",N$3:N$61,"x")</f>
        <v>0</v>
      </c>
      <c r="K68" t="s">
        <v>100</v>
      </c>
      <c r="O68" t="s">
        <v>165</v>
      </c>
      <c r="P68">
        <f>L87</f>
        <v>-20</v>
      </c>
    </row>
    <row r="69" spans="1:16" x14ac:dyDescent="0.25">
      <c r="B69" s="10" t="s">
        <v>101</v>
      </c>
      <c r="C69" s="6">
        <f>SUBTOTAL(9,C66:C68)</f>
        <v>34740</v>
      </c>
      <c r="D69" s="6"/>
      <c r="E69">
        <f>E66</f>
        <v>59</v>
      </c>
      <c r="K69" s="8" t="s">
        <v>102</v>
      </c>
      <c r="O69" t="s">
        <v>20</v>
      </c>
      <c r="P69">
        <f>L95</f>
        <v>35</v>
      </c>
    </row>
    <row r="70" spans="1:16" x14ac:dyDescent="0.25">
      <c r="B70" s="8" t="s">
        <v>104</v>
      </c>
      <c r="C70" s="3"/>
      <c r="D70" s="3"/>
      <c r="K70" s="8" t="s">
        <v>105</v>
      </c>
      <c r="O70" t="s">
        <v>103</v>
      </c>
      <c r="P70">
        <f>-C73</f>
        <v>-34740</v>
      </c>
    </row>
    <row r="71" spans="1:16" x14ac:dyDescent="0.25">
      <c r="B71" s="14" t="s">
        <v>107</v>
      </c>
      <c r="C71" s="3"/>
      <c r="D71" s="3"/>
      <c r="L71" s="15">
        <f>SUBTOTAL(9,L66:L70)</f>
        <v>26296</v>
      </c>
      <c r="M71" s="15">
        <f>M66</f>
        <v>37</v>
      </c>
      <c r="O71" s="10" t="s">
        <v>106</v>
      </c>
      <c r="P71" s="10">
        <f>SUBTOTAL(9,P66:P70)</f>
        <v>305</v>
      </c>
    </row>
    <row r="73" spans="1:16" x14ac:dyDescent="0.25">
      <c r="B73" s="7" t="s">
        <v>108</v>
      </c>
      <c r="C73" s="2">
        <f>C69+C70+C71</f>
        <v>34740</v>
      </c>
      <c r="D73" s="2"/>
      <c r="E73" s="7" t="s">
        <v>109</v>
      </c>
      <c r="K73" s="13" t="s">
        <v>21</v>
      </c>
      <c r="L73" s="13" t="s">
        <v>91</v>
      </c>
      <c r="M73" s="13" t="s">
        <v>90</v>
      </c>
    </row>
    <row r="74" spans="1:16" x14ac:dyDescent="0.25">
      <c r="K74" t="s">
        <v>95</v>
      </c>
      <c r="L74">
        <f>SUMIFS(G$3:G$61,J$3:J$61,K$73)</f>
        <v>9295</v>
      </c>
      <c r="M74">
        <f>SUMIFS(Q$3:Q$61,J$3:J$61,K$73)</f>
        <v>20</v>
      </c>
    </row>
    <row r="75" spans="1:16" x14ac:dyDescent="0.25">
      <c r="K75" t="s">
        <v>98</v>
      </c>
      <c r="L75">
        <f>-SUMIFS(H$3:H$61,J$3:J$61,K$73)+M75*5</f>
        <v>-445</v>
      </c>
      <c r="M75">
        <f>SUMIFS(Q$3:Q$61,J$3:J$61,K$73)-COUNTIFS(J$3:J$61,K$73,M$3:M$61,"*gộp*")</f>
        <v>20</v>
      </c>
    </row>
    <row r="76" spans="1:16" x14ac:dyDescent="0.25">
      <c r="K76" t="s">
        <v>100</v>
      </c>
      <c r="L76">
        <f>-M76*2</f>
        <v>-116</v>
      </c>
      <c r="M76">
        <f>E69-(COUNTIFS(M$3:M$61,"*gộp*")/2)-COUNTIFS(M$3:M$61,"*đơn trả*")-COUNTIFS(M$3:M$61,"*hàng tỉnh*")</f>
        <v>58</v>
      </c>
    </row>
    <row r="77" spans="1:16" x14ac:dyDescent="0.25">
      <c r="K77" s="8" t="s">
        <v>102</v>
      </c>
    </row>
    <row r="78" spans="1:16" x14ac:dyDescent="0.25">
      <c r="K78" s="8" t="s">
        <v>105</v>
      </c>
    </row>
    <row r="79" spans="1:16" x14ac:dyDescent="0.25">
      <c r="L79" s="15">
        <f>SUBTOTAL(9,L74:L78)</f>
        <v>8734</v>
      </c>
      <c r="M79" s="15">
        <f>M74</f>
        <v>20</v>
      </c>
    </row>
    <row r="81" spans="11:13" x14ac:dyDescent="0.25">
      <c r="K81" s="13" t="s">
        <v>165</v>
      </c>
      <c r="L81" s="13" t="s">
        <v>91</v>
      </c>
      <c r="M81" s="13" t="s">
        <v>90</v>
      </c>
    </row>
    <row r="82" spans="11:13" x14ac:dyDescent="0.25">
      <c r="K82" t="s">
        <v>95</v>
      </c>
      <c r="L82">
        <f>SUMIFS(G$3:G$61,J$3:J$61,K$81)</f>
        <v>0</v>
      </c>
      <c r="M82">
        <f>SUMIFS(Q$3:Q$61,J$3:J$61,K$81)</f>
        <v>1</v>
      </c>
    </row>
    <row r="83" spans="11:13" x14ac:dyDescent="0.25">
      <c r="K83" t="s">
        <v>98</v>
      </c>
      <c r="L83">
        <f>-SUMIFS(H$3:H$61,J$3:J$61,K$81)+M83*5</f>
        <v>-20</v>
      </c>
      <c r="M83">
        <f>SUMIFS(Q$3:Q$61,J$3:J$61,K$81)-COUNTIFS(J$3:J$61,K$81,M$3:M$61,"*gộp*")</f>
        <v>1</v>
      </c>
    </row>
    <row r="84" spans="11:13" x14ac:dyDescent="0.25">
      <c r="K84" t="s">
        <v>100</v>
      </c>
    </row>
    <row r="85" spans="11:13" x14ac:dyDescent="0.25">
      <c r="K85" s="8" t="s">
        <v>102</v>
      </c>
    </row>
    <row r="86" spans="11:13" x14ac:dyDescent="0.25">
      <c r="K86" s="8" t="s">
        <v>105</v>
      </c>
    </row>
    <row r="87" spans="11:13" x14ac:dyDescent="0.25">
      <c r="L87" s="15">
        <f>SUBTOTAL(9,L82:L86)</f>
        <v>-20</v>
      </c>
      <c r="M87" s="15">
        <f>M82</f>
        <v>1</v>
      </c>
    </row>
    <row r="89" spans="11:13" x14ac:dyDescent="0.25">
      <c r="K89" s="13" t="s">
        <v>20</v>
      </c>
      <c r="L89" s="13" t="s">
        <v>91</v>
      </c>
      <c r="M89" s="13" t="s">
        <v>90</v>
      </c>
    </row>
    <row r="90" spans="11:13" x14ac:dyDescent="0.25">
      <c r="K90" t="s">
        <v>95</v>
      </c>
      <c r="L90">
        <f>SUMIFS(G$3:G$61,J$3:J$61,K$89)</f>
        <v>50</v>
      </c>
      <c r="M90">
        <f>SUMIFS(Q$3:Q$61,J$3:J$61,K$89)</f>
        <v>1</v>
      </c>
    </row>
    <row r="91" spans="11:13" x14ac:dyDescent="0.25">
      <c r="K91" t="s">
        <v>98</v>
      </c>
      <c r="L91">
        <f>-SUMIFS(H$3:H$61,J$3:J$61,K$89)+M91*5</f>
        <v>-15</v>
      </c>
      <c r="M91">
        <f>SUMIFS(Q$3:Q$61,J$3:J$61,K$89)-COUNTIFS(J$3:J$61,K$89,M$3:M$61,"*gộp*")</f>
        <v>1</v>
      </c>
    </row>
    <row r="92" spans="11:13" x14ac:dyDescent="0.25">
      <c r="K92" t="s">
        <v>100</v>
      </c>
    </row>
    <row r="93" spans="11:13" x14ac:dyDescent="0.25">
      <c r="K93" s="8" t="s">
        <v>102</v>
      </c>
    </row>
    <row r="94" spans="11:13" x14ac:dyDescent="0.25">
      <c r="K94" s="8" t="s">
        <v>105</v>
      </c>
    </row>
    <row r="95" spans="11:13" x14ac:dyDescent="0.25">
      <c r="L95" s="15">
        <f>SUBTOTAL(9,L90:L94)</f>
        <v>35</v>
      </c>
      <c r="M95" s="15">
        <f>M90</f>
        <v>1</v>
      </c>
    </row>
  </sheetData>
  <autoFilter ref="A2:P61" xr:uid="{00000000-0009-0000-0000-000013000000}">
    <sortState xmlns:xlrd2="http://schemas.microsoft.com/office/spreadsheetml/2017/richdata2" ref="A3:P61">
      <sortCondition ref="J2:J61"/>
    </sortState>
  </autoFilter>
  <mergeCells count="8">
    <mergeCell ref="C70:D70"/>
    <mergeCell ref="C71:D71"/>
    <mergeCell ref="C73:D73"/>
    <mergeCell ref="C65:D65"/>
    <mergeCell ref="C66:D66"/>
    <mergeCell ref="C67:D67"/>
    <mergeCell ref="C68:D68"/>
    <mergeCell ref="C69:D69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Q92"/>
  <sheetViews>
    <sheetView topLeftCell="A63" workbookViewId="0">
      <selection activeCell="D60" sqref="D60"/>
    </sheetView>
  </sheetViews>
  <sheetFormatPr defaultRowHeight="15" x14ac:dyDescent="0.25"/>
  <cols>
    <col min="1" max="1" width="12.7109375" customWidth="1"/>
    <col min="2" max="2" width="17.7109375" customWidth="1"/>
    <col min="3" max="3" width="29.140625" customWidth="1"/>
    <col min="4" max="4" width="9.85546875" customWidth="1"/>
    <col min="5" max="5" width="7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9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1695</v>
      </c>
      <c r="D3" s="24" t="s">
        <v>2432</v>
      </c>
      <c r="E3" s="24" t="s">
        <v>1697</v>
      </c>
      <c r="F3" s="25">
        <v>9</v>
      </c>
      <c r="G3" s="25">
        <v>0</v>
      </c>
      <c r="H3" s="25">
        <v>30</v>
      </c>
      <c r="I3" s="25">
        <f>-H3</f>
        <v>-30</v>
      </c>
      <c r="J3" s="24" t="s">
        <v>20</v>
      </c>
      <c r="K3" s="24" t="s">
        <v>21</v>
      </c>
      <c r="L3" s="24" t="s">
        <v>2433</v>
      </c>
      <c r="M3" s="24"/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2434</v>
      </c>
      <c r="D4" s="24" t="s">
        <v>2435</v>
      </c>
      <c r="E4" s="24" t="s">
        <v>2436</v>
      </c>
      <c r="F4" s="25">
        <v>7</v>
      </c>
      <c r="G4" s="25">
        <v>0</v>
      </c>
      <c r="H4" s="25">
        <v>30</v>
      </c>
      <c r="I4" s="25">
        <f>-H4</f>
        <v>-30</v>
      </c>
      <c r="J4" s="24" t="s">
        <v>2437</v>
      </c>
      <c r="K4" s="24" t="s">
        <v>21</v>
      </c>
      <c r="L4" s="24" t="s">
        <v>2433</v>
      </c>
      <c r="M4" s="24"/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2438</v>
      </c>
      <c r="D5" s="24" t="s">
        <v>2439</v>
      </c>
      <c r="E5" s="24" t="s">
        <v>2440</v>
      </c>
      <c r="F5" s="25">
        <v>8</v>
      </c>
      <c r="G5" s="25">
        <v>690</v>
      </c>
      <c r="H5" s="25">
        <v>30</v>
      </c>
      <c r="I5" s="25">
        <f>G5-H5</f>
        <v>660</v>
      </c>
      <c r="J5" s="24" t="s">
        <v>2437</v>
      </c>
      <c r="K5" s="24" t="s">
        <v>21</v>
      </c>
      <c r="L5" s="24" t="s">
        <v>2433</v>
      </c>
      <c r="M5" s="24"/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1200</v>
      </c>
      <c r="D6" s="24" t="s">
        <v>2441</v>
      </c>
      <c r="E6" s="24" t="s">
        <v>1202</v>
      </c>
      <c r="F6" s="24" t="s">
        <v>26</v>
      </c>
      <c r="G6" s="25">
        <v>0</v>
      </c>
      <c r="H6" s="25">
        <v>30</v>
      </c>
      <c r="I6" s="25">
        <f>-H6</f>
        <v>-30</v>
      </c>
      <c r="J6" s="24" t="s">
        <v>2437</v>
      </c>
      <c r="K6" s="24" t="s">
        <v>21</v>
      </c>
      <c r="L6" s="24" t="s">
        <v>2433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2442</v>
      </c>
      <c r="D7" s="24" t="s">
        <v>2443</v>
      </c>
      <c r="E7" s="24" t="s">
        <v>2444</v>
      </c>
      <c r="F7" s="24" t="s">
        <v>26</v>
      </c>
      <c r="G7" s="25">
        <v>820</v>
      </c>
      <c r="H7" s="25">
        <v>30</v>
      </c>
      <c r="I7" s="25">
        <f t="shared" ref="I7:I13" si="0">G7-H7</f>
        <v>790</v>
      </c>
      <c r="J7" s="24" t="s">
        <v>2437</v>
      </c>
      <c r="K7" s="24" t="s">
        <v>21</v>
      </c>
      <c r="L7" s="24" t="s">
        <v>2433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1468</v>
      </c>
      <c r="D8" s="24" t="s">
        <v>2445</v>
      </c>
      <c r="E8" s="24" t="s">
        <v>1470</v>
      </c>
      <c r="F8" s="25">
        <v>7</v>
      </c>
      <c r="G8" s="25">
        <v>950</v>
      </c>
      <c r="H8" s="25">
        <v>30</v>
      </c>
      <c r="I8" s="25">
        <f t="shared" si="0"/>
        <v>920</v>
      </c>
      <c r="J8" s="24" t="s">
        <v>2437</v>
      </c>
      <c r="K8" s="24" t="s">
        <v>21</v>
      </c>
      <c r="L8" s="24" t="s">
        <v>2433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726</v>
      </c>
      <c r="D9" s="24" t="s">
        <v>2446</v>
      </c>
      <c r="E9" s="24" t="s">
        <v>2447</v>
      </c>
      <c r="F9" s="25">
        <v>4</v>
      </c>
      <c r="G9" s="25">
        <v>715</v>
      </c>
      <c r="H9" s="25">
        <v>25</v>
      </c>
      <c r="I9" s="25">
        <f t="shared" si="0"/>
        <v>690</v>
      </c>
      <c r="J9" s="24" t="s">
        <v>2437</v>
      </c>
      <c r="K9" s="24" t="s">
        <v>21</v>
      </c>
      <c r="L9" s="24" t="s">
        <v>2433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2448</v>
      </c>
      <c r="D10" s="24" t="s">
        <v>2449</v>
      </c>
      <c r="E10" s="24" t="s">
        <v>2450</v>
      </c>
      <c r="F10" s="25">
        <v>8</v>
      </c>
      <c r="G10" s="25">
        <v>600</v>
      </c>
      <c r="H10" s="25">
        <v>30</v>
      </c>
      <c r="I10" s="25">
        <f t="shared" si="0"/>
        <v>570</v>
      </c>
      <c r="J10" s="24" t="s">
        <v>2437</v>
      </c>
      <c r="K10" s="24" t="s">
        <v>21</v>
      </c>
      <c r="L10" s="24" t="s">
        <v>2433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2376</v>
      </c>
      <c r="D11" s="24" t="s">
        <v>2451</v>
      </c>
      <c r="E11" s="24" t="s">
        <v>1985</v>
      </c>
      <c r="F11" s="25">
        <v>1</v>
      </c>
      <c r="G11" s="25">
        <v>765</v>
      </c>
      <c r="H11" s="25">
        <v>25</v>
      </c>
      <c r="I11" s="25">
        <f t="shared" si="0"/>
        <v>740</v>
      </c>
      <c r="J11" s="24" t="s">
        <v>2437</v>
      </c>
      <c r="K11" s="24" t="s">
        <v>21</v>
      </c>
      <c r="L11" s="24" t="s">
        <v>2433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2452</v>
      </c>
      <c r="D12" s="24" t="s">
        <v>2453</v>
      </c>
      <c r="E12" s="24" t="s">
        <v>2454</v>
      </c>
      <c r="F12" s="24" t="s">
        <v>217</v>
      </c>
      <c r="G12" s="25">
        <v>865</v>
      </c>
      <c r="H12" s="25">
        <v>25</v>
      </c>
      <c r="I12" s="25">
        <f t="shared" si="0"/>
        <v>840</v>
      </c>
      <c r="J12" s="24" t="s">
        <v>2437</v>
      </c>
      <c r="K12" s="24" t="s">
        <v>21</v>
      </c>
      <c r="L12" s="24" t="s">
        <v>2433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2455</v>
      </c>
      <c r="D13" s="24" t="s">
        <v>2456</v>
      </c>
      <c r="E13" s="24" t="s">
        <v>2457</v>
      </c>
      <c r="F13" s="25">
        <v>8</v>
      </c>
      <c r="G13" s="25">
        <v>720</v>
      </c>
      <c r="H13" s="25">
        <v>30</v>
      </c>
      <c r="I13" s="25">
        <f t="shared" si="0"/>
        <v>690</v>
      </c>
      <c r="J13" s="24" t="s">
        <v>2437</v>
      </c>
      <c r="K13" s="24" t="s">
        <v>21</v>
      </c>
      <c r="L13" s="24" t="s">
        <v>2433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2458</v>
      </c>
      <c r="D14" s="24" t="s">
        <v>2459</v>
      </c>
      <c r="E14" s="24" t="s">
        <v>2460</v>
      </c>
      <c r="F14" s="25">
        <v>4</v>
      </c>
      <c r="G14" s="25">
        <v>0</v>
      </c>
      <c r="H14" s="25">
        <v>25</v>
      </c>
      <c r="I14" s="25">
        <f>-H14</f>
        <v>-25</v>
      </c>
      <c r="J14" s="24" t="s">
        <v>2437</v>
      </c>
      <c r="K14" s="24" t="s">
        <v>21</v>
      </c>
      <c r="L14" s="24" t="s">
        <v>2433</v>
      </c>
      <c r="M14" s="24"/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2461</v>
      </c>
      <c r="D15" s="24" t="s">
        <v>2462</v>
      </c>
      <c r="E15" s="24" t="s">
        <v>1016</v>
      </c>
      <c r="F15" s="24" t="s">
        <v>88</v>
      </c>
      <c r="G15" s="25">
        <v>0</v>
      </c>
      <c r="H15" s="25">
        <v>25</v>
      </c>
      <c r="I15" s="25">
        <f>-H15</f>
        <v>-25</v>
      </c>
      <c r="J15" s="24" t="s">
        <v>2437</v>
      </c>
      <c r="K15" s="24" t="s">
        <v>21</v>
      </c>
      <c r="L15" s="24" t="s">
        <v>2433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1558</v>
      </c>
      <c r="D16" s="24" t="s">
        <v>2463</v>
      </c>
      <c r="E16" s="24" t="s">
        <v>1560</v>
      </c>
      <c r="F16" s="25">
        <v>1</v>
      </c>
      <c r="G16" s="25">
        <v>775</v>
      </c>
      <c r="H16" s="25">
        <v>25</v>
      </c>
      <c r="I16" s="25">
        <f>G16-H16</f>
        <v>750</v>
      </c>
      <c r="J16" s="24" t="s">
        <v>2437</v>
      </c>
      <c r="K16" s="24" t="s">
        <v>21</v>
      </c>
      <c r="L16" s="24" t="s">
        <v>2433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2464</v>
      </c>
      <c r="D17" s="24" t="s">
        <v>2465</v>
      </c>
      <c r="E17" s="24" t="s">
        <v>2466</v>
      </c>
      <c r="F17" s="24" t="s">
        <v>113</v>
      </c>
      <c r="G17" s="25">
        <v>695</v>
      </c>
      <c r="H17" s="25">
        <v>35</v>
      </c>
      <c r="I17" s="25">
        <f>G17-H17</f>
        <v>660</v>
      </c>
      <c r="J17" s="24" t="s">
        <v>2437</v>
      </c>
      <c r="K17" s="24" t="s">
        <v>21</v>
      </c>
      <c r="L17" s="24" t="s">
        <v>2433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2467</v>
      </c>
      <c r="D18" s="24" t="s">
        <v>2468</v>
      </c>
      <c r="E18" s="24" t="s">
        <v>2469</v>
      </c>
      <c r="F18" s="24" t="s">
        <v>113</v>
      </c>
      <c r="G18" s="25">
        <v>0</v>
      </c>
      <c r="H18" s="25">
        <v>35</v>
      </c>
      <c r="I18" s="25">
        <f>-H18</f>
        <v>-35</v>
      </c>
      <c r="J18" s="24" t="s">
        <v>2437</v>
      </c>
      <c r="K18" s="24" t="s">
        <v>21</v>
      </c>
      <c r="L18" s="24" t="s">
        <v>2433</v>
      </c>
      <c r="M18" s="24" t="s">
        <v>2470</v>
      </c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2467</v>
      </c>
      <c r="D19" s="24" t="s">
        <v>2471</v>
      </c>
      <c r="E19" s="24" t="s">
        <v>2469</v>
      </c>
      <c r="F19" s="24" t="s">
        <v>113</v>
      </c>
      <c r="G19" s="25">
        <v>0</v>
      </c>
      <c r="H19" s="25">
        <v>0</v>
      </c>
      <c r="I19" s="25">
        <f>H19</f>
        <v>0</v>
      </c>
      <c r="J19" s="24" t="s">
        <v>2437</v>
      </c>
      <c r="K19" s="24" t="s">
        <v>21</v>
      </c>
      <c r="L19" s="24" t="s">
        <v>2433</v>
      </c>
      <c r="M19" s="24" t="s">
        <v>312</v>
      </c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2472</v>
      </c>
      <c r="D20" s="24" t="s">
        <v>2473</v>
      </c>
      <c r="E20" s="24" t="s">
        <v>2474</v>
      </c>
      <c r="F20" s="25">
        <v>4</v>
      </c>
      <c r="G20" s="25">
        <v>815</v>
      </c>
      <c r="H20" s="25">
        <v>25</v>
      </c>
      <c r="I20" s="25">
        <f>G20-H20</f>
        <v>790</v>
      </c>
      <c r="J20" s="24" t="s">
        <v>2437</v>
      </c>
      <c r="K20" s="24" t="s">
        <v>21</v>
      </c>
      <c r="L20" s="24" t="s">
        <v>2433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2475</v>
      </c>
      <c r="D21" s="24" t="s">
        <v>2476</v>
      </c>
      <c r="E21" s="24" t="s">
        <v>2477</v>
      </c>
      <c r="F21" s="25">
        <v>3</v>
      </c>
      <c r="G21" s="25">
        <v>685</v>
      </c>
      <c r="H21" s="25">
        <v>25</v>
      </c>
      <c r="I21" s="25">
        <f>G21-H21</f>
        <v>660</v>
      </c>
      <c r="J21" s="24" t="s">
        <v>2437</v>
      </c>
      <c r="K21" s="24" t="s">
        <v>21</v>
      </c>
      <c r="L21" s="24" t="s">
        <v>2433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2478</v>
      </c>
      <c r="D22" s="24" t="s">
        <v>2479</v>
      </c>
      <c r="E22" s="24" t="s">
        <v>2480</v>
      </c>
      <c r="F22" s="24" t="s">
        <v>217</v>
      </c>
      <c r="G22" s="25">
        <v>1635</v>
      </c>
      <c r="H22" s="25">
        <v>25</v>
      </c>
      <c r="I22" s="25">
        <f>G22-H22</f>
        <v>1610</v>
      </c>
      <c r="J22" s="24" t="s">
        <v>2437</v>
      </c>
      <c r="K22" s="24" t="s">
        <v>21</v>
      </c>
      <c r="L22" s="24" t="s">
        <v>2433</v>
      </c>
      <c r="M22" s="24" t="s">
        <v>312</v>
      </c>
      <c r="N22" s="24"/>
      <c r="O22" s="24"/>
      <c r="P22" s="24"/>
      <c r="Q22" s="24">
        <v>1</v>
      </c>
    </row>
    <row r="23" spans="1:17" x14ac:dyDescent="0.25">
      <c r="A23" s="24"/>
      <c r="B23" s="24" t="s">
        <v>16</v>
      </c>
      <c r="C23" s="24" t="s">
        <v>2478</v>
      </c>
      <c r="D23" s="24" t="s">
        <v>2481</v>
      </c>
      <c r="E23" s="24" t="s">
        <v>2482</v>
      </c>
      <c r="F23" s="24" t="s">
        <v>217</v>
      </c>
      <c r="G23" s="25">
        <v>0</v>
      </c>
      <c r="H23" s="25">
        <v>0</v>
      </c>
      <c r="I23" s="25">
        <f>H23</f>
        <v>0</v>
      </c>
      <c r="J23" s="24" t="s">
        <v>2437</v>
      </c>
      <c r="K23" s="24" t="s">
        <v>21</v>
      </c>
      <c r="L23" s="24" t="s">
        <v>2433</v>
      </c>
      <c r="M23" s="24" t="s">
        <v>312</v>
      </c>
      <c r="N23" s="24"/>
      <c r="O23" s="24"/>
      <c r="P23" s="24"/>
      <c r="Q23" s="24">
        <v>1</v>
      </c>
    </row>
    <row r="24" spans="1:17" x14ac:dyDescent="0.25">
      <c r="A24" s="24"/>
      <c r="B24" s="24" t="s">
        <v>16</v>
      </c>
      <c r="C24" s="24" t="s">
        <v>2483</v>
      </c>
      <c r="D24" s="24" t="s">
        <v>2484</v>
      </c>
      <c r="E24" s="24" t="s">
        <v>2485</v>
      </c>
      <c r="F24" s="25">
        <v>12</v>
      </c>
      <c r="G24" s="25">
        <v>980</v>
      </c>
      <c r="H24" s="25">
        <v>30</v>
      </c>
      <c r="I24" s="25">
        <f t="shared" ref="I24:I29" si="1">G24-H24</f>
        <v>950</v>
      </c>
      <c r="J24" s="24" t="s">
        <v>2437</v>
      </c>
      <c r="K24" s="24" t="s">
        <v>21</v>
      </c>
      <c r="L24" s="24" t="s">
        <v>2433</v>
      </c>
      <c r="M24" s="24"/>
      <c r="N24" s="24"/>
      <c r="O24" s="24"/>
      <c r="P24" s="24"/>
      <c r="Q24" s="24">
        <v>1</v>
      </c>
    </row>
    <row r="25" spans="1:17" x14ac:dyDescent="0.25">
      <c r="A25" s="24"/>
      <c r="B25" s="24" t="s">
        <v>16</v>
      </c>
      <c r="C25" s="24" t="s">
        <v>2486</v>
      </c>
      <c r="D25" s="24" t="s">
        <v>2487</v>
      </c>
      <c r="E25" s="24" t="s">
        <v>2488</v>
      </c>
      <c r="F25" s="24" t="s">
        <v>26</v>
      </c>
      <c r="G25" s="25">
        <v>820</v>
      </c>
      <c r="H25" s="25">
        <v>30</v>
      </c>
      <c r="I25" s="25">
        <f t="shared" si="1"/>
        <v>790</v>
      </c>
      <c r="J25" s="24" t="s">
        <v>2437</v>
      </c>
      <c r="K25" s="24" t="s">
        <v>21</v>
      </c>
      <c r="L25" s="24" t="s">
        <v>2433</v>
      </c>
      <c r="M25" s="24"/>
      <c r="N25" s="24"/>
      <c r="O25" s="24"/>
      <c r="P25" s="24"/>
      <c r="Q25" s="24">
        <v>1</v>
      </c>
    </row>
    <row r="26" spans="1:17" x14ac:dyDescent="0.25">
      <c r="A26" s="24"/>
      <c r="B26" s="24" t="s">
        <v>16</v>
      </c>
      <c r="C26" s="24" t="s">
        <v>46</v>
      </c>
      <c r="D26" s="24" t="s">
        <v>2489</v>
      </c>
      <c r="E26" s="24" t="s">
        <v>1193</v>
      </c>
      <c r="F26" s="25">
        <v>7</v>
      </c>
      <c r="G26" s="25">
        <v>1090</v>
      </c>
      <c r="H26" s="25">
        <v>30</v>
      </c>
      <c r="I26" s="25">
        <f t="shared" si="1"/>
        <v>1060</v>
      </c>
      <c r="J26" s="24" t="s">
        <v>2437</v>
      </c>
      <c r="K26" s="24" t="s">
        <v>21</v>
      </c>
      <c r="L26" s="24" t="s">
        <v>2433</v>
      </c>
      <c r="M26" s="24"/>
      <c r="N26" s="24"/>
      <c r="O26" s="24"/>
      <c r="P26" s="24"/>
      <c r="Q26" s="24">
        <v>1</v>
      </c>
    </row>
    <row r="27" spans="1:17" x14ac:dyDescent="0.25">
      <c r="A27" s="24"/>
      <c r="B27" s="24" t="s">
        <v>16</v>
      </c>
      <c r="C27" s="24" t="s">
        <v>2490</v>
      </c>
      <c r="D27" s="24" t="s">
        <v>2491</v>
      </c>
      <c r="E27" s="24" t="s">
        <v>2492</v>
      </c>
      <c r="F27" s="25">
        <v>1</v>
      </c>
      <c r="G27" s="25">
        <v>815</v>
      </c>
      <c r="H27" s="25">
        <v>25</v>
      </c>
      <c r="I27" s="25">
        <f t="shared" si="1"/>
        <v>790</v>
      </c>
      <c r="J27" s="24" t="s">
        <v>2437</v>
      </c>
      <c r="K27" s="24" t="s">
        <v>21</v>
      </c>
      <c r="L27" s="24" t="s">
        <v>2433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2493</v>
      </c>
      <c r="D28" s="24" t="s">
        <v>2494</v>
      </c>
      <c r="E28" s="24" t="s">
        <v>2495</v>
      </c>
      <c r="F28" s="24" t="s">
        <v>128</v>
      </c>
      <c r="G28" s="25">
        <v>985</v>
      </c>
      <c r="H28" s="25">
        <v>35</v>
      </c>
      <c r="I28" s="25">
        <f t="shared" si="1"/>
        <v>950</v>
      </c>
      <c r="J28" s="24" t="s">
        <v>2437</v>
      </c>
      <c r="K28" s="24" t="s">
        <v>21</v>
      </c>
      <c r="L28" s="24" t="s">
        <v>2433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2496</v>
      </c>
      <c r="D29" s="24" t="s">
        <v>2497</v>
      </c>
      <c r="E29" s="24" t="s">
        <v>2498</v>
      </c>
      <c r="F29" s="25">
        <v>7</v>
      </c>
      <c r="G29" s="25">
        <v>720</v>
      </c>
      <c r="H29" s="25">
        <v>30</v>
      </c>
      <c r="I29" s="25">
        <f t="shared" si="1"/>
        <v>690</v>
      </c>
      <c r="J29" s="24" t="s">
        <v>2437</v>
      </c>
      <c r="K29" s="24" t="s">
        <v>21</v>
      </c>
      <c r="L29" s="24" t="s">
        <v>2433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997</v>
      </c>
      <c r="D30" s="24" t="s">
        <v>2499</v>
      </c>
      <c r="E30" s="24" t="s">
        <v>999</v>
      </c>
      <c r="F30" s="25">
        <v>1</v>
      </c>
      <c r="G30" s="25">
        <v>0</v>
      </c>
      <c r="H30" s="25">
        <v>25</v>
      </c>
      <c r="I30" s="25">
        <f>-H30</f>
        <v>-25</v>
      </c>
      <c r="J30" s="24" t="s">
        <v>2437</v>
      </c>
      <c r="K30" s="24" t="s">
        <v>21</v>
      </c>
      <c r="L30" s="24" t="s">
        <v>2433</v>
      </c>
      <c r="M30" s="24" t="s">
        <v>49</v>
      </c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2500</v>
      </c>
      <c r="D31" s="24" t="s">
        <v>2501</v>
      </c>
      <c r="E31" s="24" t="s">
        <v>2502</v>
      </c>
      <c r="F31" s="25">
        <v>7</v>
      </c>
      <c r="G31" s="25">
        <v>870</v>
      </c>
      <c r="H31" s="25">
        <v>30</v>
      </c>
      <c r="I31" s="25">
        <f>G31-H31</f>
        <v>840</v>
      </c>
      <c r="J31" s="24" t="s">
        <v>2437</v>
      </c>
      <c r="K31" s="24" t="s">
        <v>21</v>
      </c>
      <c r="L31" s="24" t="s">
        <v>2433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247</v>
      </c>
      <c r="D32" s="24" t="s">
        <v>2503</v>
      </c>
      <c r="E32" s="24" t="s">
        <v>249</v>
      </c>
      <c r="F32" s="24" t="s">
        <v>128</v>
      </c>
      <c r="G32" s="25">
        <v>885</v>
      </c>
      <c r="H32" s="25">
        <v>35</v>
      </c>
      <c r="I32" s="25">
        <f>G32-H32</f>
        <v>850</v>
      </c>
      <c r="J32" s="24" t="s">
        <v>2437</v>
      </c>
      <c r="K32" s="24" t="s">
        <v>21</v>
      </c>
      <c r="L32" s="24" t="s">
        <v>2433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1458</v>
      </c>
      <c r="D33" s="24" t="s">
        <v>2504</v>
      </c>
      <c r="E33" s="24" t="s">
        <v>2505</v>
      </c>
      <c r="F33" s="25">
        <v>7</v>
      </c>
      <c r="G33" s="25">
        <v>1610</v>
      </c>
      <c r="H33" s="25">
        <v>30</v>
      </c>
      <c r="I33" s="25">
        <f>G33-H33</f>
        <v>1580</v>
      </c>
      <c r="J33" s="24" t="s">
        <v>2437</v>
      </c>
      <c r="K33" s="24" t="s">
        <v>21</v>
      </c>
      <c r="L33" s="24" t="s">
        <v>2433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2506</v>
      </c>
      <c r="D34" s="24" t="s">
        <v>2507</v>
      </c>
      <c r="E34" s="24" t="s">
        <v>2508</v>
      </c>
      <c r="F34" s="25">
        <v>10</v>
      </c>
      <c r="G34" s="25">
        <v>815</v>
      </c>
      <c r="H34" s="25">
        <v>25</v>
      </c>
      <c r="I34" s="25">
        <f>G34-H34</f>
        <v>790</v>
      </c>
      <c r="J34" s="24" t="s">
        <v>2437</v>
      </c>
      <c r="K34" s="24" t="s">
        <v>21</v>
      </c>
      <c r="L34" s="24" t="s">
        <v>2433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2509</v>
      </c>
      <c r="D35" s="24" t="s">
        <v>2510</v>
      </c>
      <c r="E35" s="24" t="s">
        <v>2511</v>
      </c>
      <c r="F35" s="25">
        <v>7</v>
      </c>
      <c r="G35" s="25">
        <v>1610</v>
      </c>
      <c r="H35" s="25">
        <v>30</v>
      </c>
      <c r="I35" s="25">
        <f>G35-H35</f>
        <v>1580</v>
      </c>
      <c r="J35" s="24" t="s">
        <v>2437</v>
      </c>
      <c r="K35" s="24" t="s">
        <v>21</v>
      </c>
      <c r="L35" s="24" t="s">
        <v>2433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2512</v>
      </c>
      <c r="D36" s="24" t="s">
        <v>2513</v>
      </c>
      <c r="E36" s="24" t="s">
        <v>2514</v>
      </c>
      <c r="F36" s="25">
        <v>1</v>
      </c>
      <c r="G36" s="25">
        <v>0</v>
      </c>
      <c r="H36" s="25">
        <v>25</v>
      </c>
      <c r="I36" s="25">
        <f>-H36</f>
        <v>-25</v>
      </c>
      <c r="J36" s="24" t="s">
        <v>2437</v>
      </c>
      <c r="K36" s="24" t="s">
        <v>21</v>
      </c>
      <c r="L36" s="24" t="s">
        <v>2433</v>
      </c>
      <c r="M36" s="24"/>
      <c r="N36" s="24"/>
      <c r="O36" s="24"/>
      <c r="P36" s="24"/>
      <c r="Q36" s="24">
        <v>1</v>
      </c>
    </row>
    <row r="37" spans="1:17" x14ac:dyDescent="0.25">
      <c r="A37" s="24"/>
      <c r="B37" s="24" t="s">
        <v>16</v>
      </c>
      <c r="C37" s="24" t="s">
        <v>1834</v>
      </c>
      <c r="D37" s="24" t="s">
        <v>2515</v>
      </c>
      <c r="E37" s="24" t="s">
        <v>1836</v>
      </c>
      <c r="F37" s="25">
        <v>7</v>
      </c>
      <c r="G37" s="25">
        <v>150</v>
      </c>
      <c r="H37" s="25">
        <v>30</v>
      </c>
      <c r="I37" s="25">
        <f>G37-H37</f>
        <v>120</v>
      </c>
      <c r="J37" s="24" t="s">
        <v>2437</v>
      </c>
      <c r="K37" s="24" t="s">
        <v>21</v>
      </c>
      <c r="L37" s="24" t="s">
        <v>2433</v>
      </c>
      <c r="M37" s="24" t="s">
        <v>49</v>
      </c>
      <c r="N37" s="24"/>
      <c r="O37" s="24"/>
      <c r="P37" s="24"/>
      <c r="Q37" s="24">
        <v>1</v>
      </c>
    </row>
    <row r="38" spans="1:17" x14ac:dyDescent="0.25">
      <c r="A38" s="24"/>
      <c r="B38" s="24" t="s">
        <v>16</v>
      </c>
      <c r="C38" s="24" t="s">
        <v>2516</v>
      </c>
      <c r="D38" s="24" t="s">
        <v>2517</v>
      </c>
      <c r="E38" s="24" t="s">
        <v>2518</v>
      </c>
      <c r="F38" s="24" t="s">
        <v>26</v>
      </c>
      <c r="G38" s="25">
        <v>840</v>
      </c>
      <c r="H38" s="25">
        <v>30</v>
      </c>
      <c r="I38" s="25">
        <f>G38-H38</f>
        <v>810</v>
      </c>
      <c r="J38" s="24" t="s">
        <v>2437</v>
      </c>
      <c r="K38" s="24" t="s">
        <v>21</v>
      </c>
      <c r="L38" s="24" t="s">
        <v>2433</v>
      </c>
      <c r="M38" s="24"/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2519</v>
      </c>
      <c r="D39" s="24" t="s">
        <v>2520</v>
      </c>
      <c r="E39" s="24" t="s">
        <v>2521</v>
      </c>
      <c r="F39" s="25">
        <v>8</v>
      </c>
      <c r="G39" s="25">
        <v>0</v>
      </c>
      <c r="H39" s="25">
        <v>25</v>
      </c>
      <c r="I39" s="25">
        <f>-H39</f>
        <v>-25</v>
      </c>
      <c r="J39" s="24" t="s">
        <v>2437</v>
      </c>
      <c r="K39" s="24" t="s">
        <v>21</v>
      </c>
      <c r="L39" s="24" t="s">
        <v>2433</v>
      </c>
      <c r="M39" s="24"/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2522</v>
      </c>
      <c r="D40" s="24" t="s">
        <v>2523</v>
      </c>
      <c r="E40" s="24" t="s">
        <v>2524</v>
      </c>
      <c r="F40" s="25">
        <v>4</v>
      </c>
      <c r="G40" s="25">
        <v>2410</v>
      </c>
      <c r="H40" s="25">
        <v>25</v>
      </c>
      <c r="I40" s="25">
        <f>G40-H40</f>
        <v>2385</v>
      </c>
      <c r="J40" s="24" t="s">
        <v>2437</v>
      </c>
      <c r="K40" s="24" t="s">
        <v>21</v>
      </c>
      <c r="L40" s="24" t="s">
        <v>2433</v>
      </c>
      <c r="M40" s="24" t="s">
        <v>398</v>
      </c>
      <c r="N40" s="24"/>
      <c r="O40" s="24"/>
      <c r="P40" s="24"/>
      <c r="Q40" s="24">
        <v>1</v>
      </c>
    </row>
    <row r="41" spans="1:17" x14ac:dyDescent="0.25">
      <c r="A41" s="24" t="s">
        <v>62</v>
      </c>
      <c r="B41" s="24" t="s">
        <v>16</v>
      </c>
      <c r="C41" s="24" t="s">
        <v>63</v>
      </c>
      <c r="D41" s="24"/>
      <c r="E41" s="24" t="s">
        <v>64</v>
      </c>
      <c r="F41" s="25">
        <v>6</v>
      </c>
      <c r="G41" s="25">
        <v>0</v>
      </c>
      <c r="H41" s="25">
        <v>30</v>
      </c>
      <c r="I41" s="25">
        <f>-H41</f>
        <v>-30</v>
      </c>
      <c r="J41" s="24" t="s">
        <v>2437</v>
      </c>
      <c r="K41" s="24" t="s">
        <v>21</v>
      </c>
      <c r="L41" s="24" t="s">
        <v>2433</v>
      </c>
      <c r="M41" s="24"/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2525</v>
      </c>
      <c r="D42" s="24" t="s">
        <v>2526</v>
      </c>
      <c r="E42" s="24" t="s">
        <v>2527</v>
      </c>
      <c r="F42" s="24" t="s">
        <v>68</v>
      </c>
      <c r="G42" s="25">
        <v>0</v>
      </c>
      <c r="H42" s="25">
        <v>20</v>
      </c>
      <c r="I42" s="25">
        <f>-H42</f>
        <v>-20</v>
      </c>
      <c r="J42" s="24" t="s">
        <v>21</v>
      </c>
      <c r="K42" s="24" t="s">
        <v>21</v>
      </c>
      <c r="L42" s="24" t="s">
        <v>2433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2216</v>
      </c>
      <c r="D43" s="24" t="s">
        <v>2528</v>
      </c>
      <c r="E43" s="24" t="s">
        <v>2529</v>
      </c>
      <c r="F43" s="24" t="s">
        <v>153</v>
      </c>
      <c r="G43" s="25">
        <v>30</v>
      </c>
      <c r="H43" s="25">
        <v>30</v>
      </c>
      <c r="I43" s="25">
        <f t="shared" ref="I43:I48" si="2">G43-H43</f>
        <v>0</v>
      </c>
      <c r="J43" s="24" t="s">
        <v>21</v>
      </c>
      <c r="K43" s="24" t="s">
        <v>21</v>
      </c>
      <c r="L43" s="24" t="s">
        <v>2433</v>
      </c>
      <c r="M43" s="24" t="s">
        <v>49</v>
      </c>
      <c r="N43" s="24"/>
      <c r="O43" s="24"/>
      <c r="P43" s="24"/>
      <c r="Q43" s="24">
        <v>1</v>
      </c>
    </row>
    <row r="44" spans="1:17" x14ac:dyDescent="0.25">
      <c r="A44" s="24"/>
      <c r="B44" s="24" t="s">
        <v>16</v>
      </c>
      <c r="C44" s="24" t="s">
        <v>2530</v>
      </c>
      <c r="D44" s="24" t="s">
        <v>2531</v>
      </c>
      <c r="E44" s="24" t="s">
        <v>2532</v>
      </c>
      <c r="F44" s="24" t="s">
        <v>68</v>
      </c>
      <c r="G44" s="25">
        <v>810</v>
      </c>
      <c r="H44" s="25">
        <v>20</v>
      </c>
      <c r="I44" s="25">
        <f t="shared" si="2"/>
        <v>790</v>
      </c>
      <c r="J44" s="24" t="s">
        <v>21</v>
      </c>
      <c r="K44" s="24" t="s">
        <v>21</v>
      </c>
      <c r="L44" s="24" t="s">
        <v>2433</v>
      </c>
      <c r="M44" s="24"/>
      <c r="N44" s="24"/>
      <c r="O44" s="24"/>
      <c r="P44" s="24"/>
      <c r="Q44" s="24">
        <v>1</v>
      </c>
    </row>
    <row r="45" spans="1:17" x14ac:dyDescent="0.25">
      <c r="A45" s="24"/>
      <c r="B45" s="24" t="s">
        <v>16</v>
      </c>
      <c r="C45" s="24" t="s">
        <v>2533</v>
      </c>
      <c r="D45" s="24" t="s">
        <v>2534</v>
      </c>
      <c r="E45" s="24" t="s">
        <v>759</v>
      </c>
      <c r="F45" s="25">
        <v>1</v>
      </c>
      <c r="G45" s="25">
        <v>815</v>
      </c>
      <c r="H45" s="25">
        <v>25</v>
      </c>
      <c r="I45" s="25">
        <f t="shared" si="2"/>
        <v>790</v>
      </c>
      <c r="J45" s="24" t="s">
        <v>21</v>
      </c>
      <c r="K45" s="24" t="s">
        <v>21</v>
      </c>
      <c r="L45" s="24" t="s">
        <v>2433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2535</v>
      </c>
      <c r="D46" s="24" t="s">
        <v>2536</v>
      </c>
      <c r="E46" s="24" t="s">
        <v>2537</v>
      </c>
      <c r="F46" s="24" t="s">
        <v>72</v>
      </c>
      <c r="G46" s="25">
        <v>1795</v>
      </c>
      <c r="H46" s="25">
        <v>25</v>
      </c>
      <c r="I46" s="25">
        <f t="shared" si="2"/>
        <v>1770</v>
      </c>
      <c r="J46" s="24" t="s">
        <v>21</v>
      </c>
      <c r="K46" s="24" t="s">
        <v>21</v>
      </c>
      <c r="L46" s="24" t="s">
        <v>2433</v>
      </c>
      <c r="M46" s="24"/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2538</v>
      </c>
      <c r="D47" s="24" t="s">
        <v>2539</v>
      </c>
      <c r="E47" s="24" t="s">
        <v>2540</v>
      </c>
      <c r="F47" s="25">
        <v>1</v>
      </c>
      <c r="G47" s="25">
        <v>2050</v>
      </c>
      <c r="H47" s="25">
        <v>25</v>
      </c>
      <c r="I47" s="25">
        <f t="shared" si="2"/>
        <v>2025</v>
      </c>
      <c r="J47" s="24" t="s">
        <v>21</v>
      </c>
      <c r="K47" s="24" t="s">
        <v>21</v>
      </c>
      <c r="L47" s="24" t="s">
        <v>2433</v>
      </c>
      <c r="M47" s="24" t="s">
        <v>398</v>
      </c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349</v>
      </c>
      <c r="D48" s="24" t="s">
        <v>2541</v>
      </c>
      <c r="E48" s="24" t="s">
        <v>949</v>
      </c>
      <c r="F48" s="24" t="s">
        <v>72</v>
      </c>
      <c r="G48" s="25">
        <v>1215</v>
      </c>
      <c r="H48" s="25">
        <v>25</v>
      </c>
      <c r="I48" s="25">
        <f t="shared" si="2"/>
        <v>1190</v>
      </c>
      <c r="J48" s="24" t="s">
        <v>21</v>
      </c>
      <c r="K48" s="24" t="s">
        <v>21</v>
      </c>
      <c r="L48" s="24" t="s">
        <v>2433</v>
      </c>
      <c r="M48" s="24"/>
      <c r="N48" s="24"/>
      <c r="O48" s="24"/>
      <c r="P48" s="24"/>
      <c r="Q48" s="24">
        <v>1</v>
      </c>
    </row>
    <row r="49" spans="1:17" x14ac:dyDescent="0.25">
      <c r="A49" s="24"/>
      <c r="B49" s="24" t="s">
        <v>16</v>
      </c>
      <c r="C49" s="24" t="s">
        <v>2542</v>
      </c>
      <c r="D49" s="24" t="s">
        <v>2543</v>
      </c>
      <c r="E49" s="24" t="s">
        <v>2544</v>
      </c>
      <c r="F49" s="25">
        <v>2</v>
      </c>
      <c r="G49" s="25">
        <v>0</v>
      </c>
      <c r="H49" s="25">
        <v>30</v>
      </c>
      <c r="I49" s="25">
        <f>-H49</f>
        <v>-30</v>
      </c>
      <c r="J49" s="24" t="s">
        <v>21</v>
      </c>
      <c r="K49" s="24" t="s">
        <v>21</v>
      </c>
      <c r="L49" s="24" t="s">
        <v>2433</v>
      </c>
      <c r="M49" s="24"/>
      <c r="N49" s="24"/>
      <c r="O49" s="24"/>
      <c r="P49" s="24"/>
      <c r="Q49" s="24">
        <v>1</v>
      </c>
    </row>
    <row r="50" spans="1:17" x14ac:dyDescent="0.25">
      <c r="A50" s="24"/>
      <c r="B50" s="24" t="s">
        <v>16</v>
      </c>
      <c r="C50" s="24" t="s">
        <v>991</v>
      </c>
      <c r="D50" s="24" t="s">
        <v>2545</v>
      </c>
      <c r="E50" s="24" t="s">
        <v>993</v>
      </c>
      <c r="F50" s="24" t="s">
        <v>88</v>
      </c>
      <c r="G50" s="25">
        <v>1345</v>
      </c>
      <c r="H50" s="25">
        <v>25</v>
      </c>
      <c r="I50" s="25">
        <f t="shared" ref="I50:I56" si="3">G50-H50</f>
        <v>1320</v>
      </c>
      <c r="J50" s="24" t="s">
        <v>21</v>
      </c>
      <c r="K50" s="24" t="s">
        <v>21</v>
      </c>
      <c r="L50" s="24" t="s">
        <v>2433</v>
      </c>
      <c r="M50" s="24"/>
      <c r="N50" s="24"/>
      <c r="O50" s="24"/>
      <c r="P50" s="24"/>
      <c r="Q50" s="24">
        <v>1</v>
      </c>
    </row>
    <row r="51" spans="1:17" x14ac:dyDescent="0.25">
      <c r="A51" s="24"/>
      <c r="B51" s="24" t="s">
        <v>16</v>
      </c>
      <c r="C51" s="24" t="s">
        <v>269</v>
      </c>
      <c r="D51" s="24" t="s">
        <v>2546</v>
      </c>
      <c r="E51" s="24" t="s">
        <v>271</v>
      </c>
      <c r="F51" s="24" t="s">
        <v>85</v>
      </c>
      <c r="G51" s="25">
        <v>710</v>
      </c>
      <c r="H51" s="25">
        <v>20</v>
      </c>
      <c r="I51" s="25">
        <f t="shared" si="3"/>
        <v>690</v>
      </c>
      <c r="J51" s="24" t="s">
        <v>21</v>
      </c>
      <c r="K51" s="24" t="s">
        <v>21</v>
      </c>
      <c r="L51" s="24" t="s">
        <v>2433</v>
      </c>
      <c r="M51" s="24"/>
      <c r="N51" s="24"/>
      <c r="O51" s="24"/>
      <c r="P51" s="24"/>
      <c r="Q51" s="24">
        <v>1</v>
      </c>
    </row>
    <row r="52" spans="1:17" x14ac:dyDescent="0.25">
      <c r="A52" s="24"/>
      <c r="B52" s="24" t="s">
        <v>16</v>
      </c>
      <c r="C52" s="24" t="s">
        <v>1449</v>
      </c>
      <c r="D52" s="24" t="s">
        <v>2547</v>
      </c>
      <c r="E52" s="24" t="s">
        <v>2548</v>
      </c>
      <c r="F52" s="25">
        <v>2</v>
      </c>
      <c r="G52" s="25">
        <v>920</v>
      </c>
      <c r="H52" s="25">
        <v>30</v>
      </c>
      <c r="I52" s="25">
        <f t="shared" si="3"/>
        <v>890</v>
      </c>
      <c r="J52" s="24" t="s">
        <v>21</v>
      </c>
      <c r="K52" s="24" t="s">
        <v>21</v>
      </c>
      <c r="L52" s="24" t="s">
        <v>2433</v>
      </c>
      <c r="M52" s="24"/>
      <c r="N52" s="24"/>
      <c r="O52" s="24"/>
      <c r="P52" s="24"/>
      <c r="Q52" s="24">
        <v>1</v>
      </c>
    </row>
    <row r="53" spans="1:17" x14ac:dyDescent="0.25">
      <c r="A53" s="24"/>
      <c r="B53" s="24" t="s">
        <v>16</v>
      </c>
      <c r="C53" s="24" t="s">
        <v>2549</v>
      </c>
      <c r="D53" s="24" t="s">
        <v>2550</v>
      </c>
      <c r="E53" s="24" t="s">
        <v>2551</v>
      </c>
      <c r="F53" s="24" t="s">
        <v>72</v>
      </c>
      <c r="G53" s="25">
        <v>865</v>
      </c>
      <c r="H53" s="25">
        <v>25</v>
      </c>
      <c r="I53" s="25">
        <f t="shared" si="3"/>
        <v>840</v>
      </c>
      <c r="J53" s="24" t="s">
        <v>21</v>
      </c>
      <c r="K53" s="24" t="s">
        <v>21</v>
      </c>
      <c r="L53" s="24" t="s">
        <v>2433</v>
      </c>
      <c r="M53" s="24"/>
      <c r="N53" s="24"/>
      <c r="O53" s="24"/>
      <c r="P53" s="24"/>
      <c r="Q53" s="24">
        <v>1</v>
      </c>
    </row>
    <row r="54" spans="1:17" x14ac:dyDescent="0.25">
      <c r="A54" s="24"/>
      <c r="B54" s="24" t="s">
        <v>16</v>
      </c>
      <c r="C54" s="24" t="s">
        <v>628</v>
      </c>
      <c r="D54" s="24" t="s">
        <v>2552</v>
      </c>
      <c r="E54" s="24" t="s">
        <v>630</v>
      </c>
      <c r="F54" s="24" t="s">
        <v>72</v>
      </c>
      <c r="G54" s="25">
        <v>1835</v>
      </c>
      <c r="H54" s="25">
        <v>25</v>
      </c>
      <c r="I54" s="25">
        <f t="shared" si="3"/>
        <v>1810</v>
      </c>
      <c r="J54" s="24" t="s">
        <v>21</v>
      </c>
      <c r="K54" s="24" t="s">
        <v>21</v>
      </c>
      <c r="L54" s="24" t="s">
        <v>2433</v>
      </c>
      <c r="M54" s="24"/>
      <c r="N54" s="24"/>
      <c r="O54" s="24"/>
      <c r="P54" s="24"/>
      <c r="Q54" s="24">
        <v>1</v>
      </c>
    </row>
    <row r="55" spans="1:17" x14ac:dyDescent="0.25">
      <c r="A55" s="24"/>
      <c r="B55" s="24" t="s">
        <v>16</v>
      </c>
      <c r="C55" s="24" t="s">
        <v>2553</v>
      </c>
      <c r="D55" s="24" t="s">
        <v>2554</v>
      </c>
      <c r="E55" s="24" t="s">
        <v>2555</v>
      </c>
      <c r="F55" s="24" t="s">
        <v>88</v>
      </c>
      <c r="G55" s="25">
        <v>715</v>
      </c>
      <c r="H55" s="25">
        <v>25</v>
      </c>
      <c r="I55" s="25">
        <f t="shared" si="3"/>
        <v>690</v>
      </c>
      <c r="J55" s="24" t="s">
        <v>21</v>
      </c>
      <c r="K55" s="24" t="s">
        <v>21</v>
      </c>
      <c r="L55" s="24" t="s">
        <v>2433</v>
      </c>
      <c r="M55" s="24"/>
      <c r="N55" s="24"/>
      <c r="O55" s="24"/>
      <c r="P55" s="24"/>
      <c r="Q55" s="24">
        <v>1</v>
      </c>
    </row>
    <row r="56" spans="1:17" x14ac:dyDescent="0.25">
      <c r="A56" s="24"/>
      <c r="B56" s="24" t="s">
        <v>16</v>
      </c>
      <c r="C56" s="24" t="s">
        <v>2556</v>
      </c>
      <c r="D56" s="24" t="s">
        <v>2557</v>
      </c>
      <c r="E56" s="24" t="s">
        <v>2558</v>
      </c>
      <c r="F56" s="24" t="s">
        <v>68</v>
      </c>
      <c r="G56" s="25">
        <v>680</v>
      </c>
      <c r="H56" s="25">
        <v>20</v>
      </c>
      <c r="I56" s="25">
        <f t="shared" si="3"/>
        <v>660</v>
      </c>
      <c r="J56" s="24" t="s">
        <v>21</v>
      </c>
      <c r="K56" s="24" t="s">
        <v>21</v>
      </c>
      <c r="L56" s="24" t="s">
        <v>2433</v>
      </c>
      <c r="M56" s="24"/>
      <c r="N56" s="24"/>
      <c r="O56" s="24"/>
      <c r="P56" s="24"/>
      <c r="Q56" s="24">
        <v>1</v>
      </c>
    </row>
    <row r="57" spans="1:17" x14ac:dyDescent="0.25">
      <c r="A57" s="24"/>
      <c r="B57" s="24" t="s">
        <v>16</v>
      </c>
      <c r="C57" s="24" t="s">
        <v>2559</v>
      </c>
      <c r="D57" s="24" t="s">
        <v>2560</v>
      </c>
      <c r="E57" s="24" t="s">
        <v>2561</v>
      </c>
      <c r="F57" s="24" t="s">
        <v>72</v>
      </c>
      <c r="G57" s="25">
        <v>0</v>
      </c>
      <c r="H57" s="25">
        <v>25</v>
      </c>
      <c r="I57" s="25">
        <f>-H57</f>
        <v>-25</v>
      </c>
      <c r="J57" s="24" t="s">
        <v>21</v>
      </c>
      <c r="K57" s="24" t="s">
        <v>21</v>
      </c>
      <c r="L57" s="24" t="s">
        <v>2433</v>
      </c>
      <c r="M57" s="24"/>
      <c r="N57" s="24"/>
      <c r="O57" s="24"/>
      <c r="P57" s="24"/>
      <c r="Q57" s="24">
        <v>1</v>
      </c>
    </row>
    <row r="58" spans="1:17" x14ac:dyDescent="0.25">
      <c r="A58" s="24"/>
      <c r="B58" s="24" t="s">
        <v>16</v>
      </c>
      <c r="C58" s="24" t="s">
        <v>2562</v>
      </c>
      <c r="D58" s="24" t="s">
        <v>2563</v>
      </c>
      <c r="E58" s="24" t="s">
        <v>2564</v>
      </c>
      <c r="F58" s="24" t="s">
        <v>85</v>
      </c>
      <c r="G58" s="25">
        <v>710</v>
      </c>
      <c r="H58" s="25">
        <v>20</v>
      </c>
      <c r="I58" s="25">
        <f t="shared" ref="I58:I66" si="4">G58-H58</f>
        <v>690</v>
      </c>
      <c r="J58" s="24" t="s">
        <v>21</v>
      </c>
      <c r="K58" s="24" t="s">
        <v>21</v>
      </c>
      <c r="L58" s="24" t="s">
        <v>2433</v>
      </c>
      <c r="M58" s="24"/>
      <c r="N58" s="24"/>
      <c r="O58" s="24"/>
      <c r="P58" s="24"/>
      <c r="Q58" s="24">
        <v>1</v>
      </c>
    </row>
    <row r="59" spans="1:17" x14ac:dyDescent="0.25">
      <c r="A59" s="24"/>
      <c r="B59" s="24" t="s">
        <v>16</v>
      </c>
      <c r="C59" s="24" t="s">
        <v>2565</v>
      </c>
      <c r="D59" s="24" t="s">
        <v>2566</v>
      </c>
      <c r="E59" s="24" t="s">
        <v>2567</v>
      </c>
      <c r="F59" s="24" t="s">
        <v>72</v>
      </c>
      <c r="G59" s="25">
        <v>1145</v>
      </c>
      <c r="H59" s="25">
        <v>25</v>
      </c>
      <c r="I59" s="25">
        <f t="shared" si="4"/>
        <v>1120</v>
      </c>
      <c r="J59" s="24" t="s">
        <v>21</v>
      </c>
      <c r="K59" s="24" t="s">
        <v>21</v>
      </c>
      <c r="L59" s="24" t="s">
        <v>2433</v>
      </c>
      <c r="M59" s="24"/>
      <c r="N59" s="24"/>
      <c r="O59" s="24"/>
      <c r="P59" s="24"/>
      <c r="Q59" s="24">
        <v>1</v>
      </c>
    </row>
    <row r="60" spans="1:17" x14ac:dyDescent="0.25">
      <c r="A60" s="24"/>
      <c r="B60" s="24" t="s">
        <v>16</v>
      </c>
      <c r="C60" s="24" t="s">
        <v>1739</v>
      </c>
      <c r="D60" s="24" t="s">
        <v>2568</v>
      </c>
      <c r="E60" s="24" t="s">
        <v>1510</v>
      </c>
      <c r="F60" s="24" t="s">
        <v>72</v>
      </c>
      <c r="G60" s="25">
        <v>765</v>
      </c>
      <c r="H60" s="25">
        <v>25</v>
      </c>
      <c r="I60" s="25">
        <f t="shared" si="4"/>
        <v>740</v>
      </c>
      <c r="J60" s="24" t="s">
        <v>21</v>
      </c>
      <c r="K60" s="24" t="s">
        <v>21</v>
      </c>
      <c r="L60" s="24" t="s">
        <v>2433</v>
      </c>
      <c r="M60" s="24"/>
      <c r="N60" s="24"/>
      <c r="O60" s="24"/>
      <c r="P60" s="24"/>
      <c r="Q60" s="24">
        <v>1</v>
      </c>
    </row>
    <row r="61" spans="1:17" x14ac:dyDescent="0.25">
      <c r="A61" s="24"/>
      <c r="B61" s="24" t="s">
        <v>16</v>
      </c>
      <c r="C61" s="24" t="s">
        <v>291</v>
      </c>
      <c r="D61" s="24" t="s">
        <v>2569</v>
      </c>
      <c r="E61" s="24" t="s">
        <v>2570</v>
      </c>
      <c r="F61" s="25">
        <v>2</v>
      </c>
      <c r="G61" s="25">
        <v>1460</v>
      </c>
      <c r="H61" s="25">
        <v>30</v>
      </c>
      <c r="I61" s="25">
        <f t="shared" si="4"/>
        <v>1430</v>
      </c>
      <c r="J61" s="24" t="s">
        <v>21</v>
      </c>
      <c r="K61" s="24" t="s">
        <v>21</v>
      </c>
      <c r="L61" s="24" t="s">
        <v>2433</v>
      </c>
      <c r="M61" s="24"/>
      <c r="N61" s="24"/>
      <c r="O61" s="24"/>
      <c r="P61" s="24"/>
      <c r="Q61" s="24">
        <v>1</v>
      </c>
    </row>
    <row r="62" spans="1:17" x14ac:dyDescent="0.25">
      <c r="A62" s="24"/>
      <c r="B62" s="24" t="s">
        <v>16</v>
      </c>
      <c r="C62" s="24" t="s">
        <v>1627</v>
      </c>
      <c r="D62" s="24" t="s">
        <v>2571</v>
      </c>
      <c r="E62" s="24" t="s">
        <v>2572</v>
      </c>
      <c r="F62" s="24" t="s">
        <v>68</v>
      </c>
      <c r="G62" s="25">
        <v>680</v>
      </c>
      <c r="H62" s="25">
        <v>20</v>
      </c>
      <c r="I62" s="25">
        <f t="shared" si="4"/>
        <v>660</v>
      </c>
      <c r="J62" s="24" t="s">
        <v>21</v>
      </c>
      <c r="K62" s="24" t="s">
        <v>21</v>
      </c>
      <c r="L62" s="24" t="s">
        <v>2433</v>
      </c>
      <c r="M62" s="24"/>
      <c r="N62" s="24"/>
      <c r="O62" s="24"/>
      <c r="P62" s="24"/>
      <c r="Q62" s="24">
        <v>1</v>
      </c>
    </row>
    <row r="63" spans="1:17" x14ac:dyDescent="0.25">
      <c r="A63" s="24"/>
      <c r="B63" s="24" t="s">
        <v>16</v>
      </c>
      <c r="C63" s="24" t="s">
        <v>125</v>
      </c>
      <c r="D63" s="24" t="s">
        <v>2573</v>
      </c>
      <c r="E63" s="24" t="s">
        <v>2574</v>
      </c>
      <c r="F63" s="25">
        <v>2</v>
      </c>
      <c r="G63" s="25">
        <v>1050</v>
      </c>
      <c r="H63" s="25">
        <v>30</v>
      </c>
      <c r="I63" s="25">
        <f t="shared" si="4"/>
        <v>1020</v>
      </c>
      <c r="J63" s="24" t="s">
        <v>21</v>
      </c>
      <c r="K63" s="24" t="s">
        <v>21</v>
      </c>
      <c r="L63" s="24" t="s">
        <v>2433</v>
      </c>
      <c r="M63" s="24"/>
      <c r="N63" s="24"/>
      <c r="O63" s="24"/>
      <c r="P63" s="24"/>
      <c r="Q63" s="24">
        <v>1</v>
      </c>
    </row>
    <row r="64" spans="1:17" x14ac:dyDescent="0.25">
      <c r="A64" s="24" t="s">
        <v>62</v>
      </c>
      <c r="B64" s="24" t="s">
        <v>16</v>
      </c>
      <c r="C64" s="24" t="s">
        <v>640</v>
      </c>
      <c r="D64" s="24"/>
      <c r="E64" s="24" t="s">
        <v>1257</v>
      </c>
      <c r="F64" s="24" t="s">
        <v>72</v>
      </c>
      <c r="G64" s="25">
        <v>7240</v>
      </c>
      <c r="H64" s="25">
        <v>45</v>
      </c>
      <c r="I64" s="25">
        <f t="shared" si="4"/>
        <v>7195</v>
      </c>
      <c r="J64" s="24" t="s">
        <v>21</v>
      </c>
      <c r="K64" s="24" t="s">
        <v>21</v>
      </c>
      <c r="L64" s="24" t="s">
        <v>2433</v>
      </c>
      <c r="M64" s="24" t="s">
        <v>398</v>
      </c>
      <c r="N64" s="24"/>
      <c r="O64" s="24"/>
      <c r="P64" s="24"/>
      <c r="Q64" s="24">
        <v>1</v>
      </c>
    </row>
    <row r="65" spans="1:17" x14ac:dyDescent="0.25">
      <c r="A65" s="24" t="s">
        <v>62</v>
      </c>
      <c r="B65" s="24" t="s">
        <v>16</v>
      </c>
      <c r="C65" s="24" t="s">
        <v>1648</v>
      </c>
      <c r="D65" s="24"/>
      <c r="E65" s="24" t="s">
        <v>1649</v>
      </c>
      <c r="F65" s="24" t="s">
        <v>72</v>
      </c>
      <c r="G65" s="25">
        <v>40</v>
      </c>
      <c r="H65" s="25">
        <v>40</v>
      </c>
      <c r="I65" s="25">
        <f t="shared" si="4"/>
        <v>0</v>
      </c>
      <c r="J65" s="24" t="s">
        <v>21</v>
      </c>
      <c r="K65" s="24" t="s">
        <v>21</v>
      </c>
      <c r="L65" s="24" t="s">
        <v>2433</v>
      </c>
      <c r="M65" s="24"/>
      <c r="N65" s="24"/>
      <c r="O65" s="24"/>
      <c r="P65" s="24"/>
      <c r="Q65" s="24">
        <v>1</v>
      </c>
    </row>
    <row r="66" spans="1:17" x14ac:dyDescent="0.25">
      <c r="A66" s="24" t="s">
        <v>62</v>
      </c>
      <c r="B66" s="24" t="s">
        <v>16</v>
      </c>
      <c r="C66" s="24" t="s">
        <v>2575</v>
      </c>
      <c r="D66" s="24"/>
      <c r="E66" s="24" t="s">
        <v>2576</v>
      </c>
      <c r="F66" s="24" t="s">
        <v>68</v>
      </c>
      <c r="G66" s="24">
        <v>0</v>
      </c>
      <c r="H66" s="24">
        <v>25</v>
      </c>
      <c r="I66" s="25">
        <f t="shared" si="4"/>
        <v>-25</v>
      </c>
      <c r="J66" s="24" t="s">
        <v>21</v>
      </c>
      <c r="K66" s="24" t="s">
        <v>21</v>
      </c>
      <c r="L66" s="24" t="s">
        <v>2433</v>
      </c>
      <c r="M66" s="24"/>
      <c r="N66" s="24"/>
      <c r="O66" s="24"/>
      <c r="P66" s="24"/>
      <c r="Q66" s="24">
        <v>1</v>
      </c>
    </row>
    <row r="68" spans="1:17" x14ac:dyDescent="0.25">
      <c r="D68" s="7">
        <f>COUNTA(D3:D66)</f>
        <v>60</v>
      </c>
      <c r="G68" s="7">
        <f t="shared" ref="G68:Q68" si="5">SUBTOTAL(9,G3:G66)</f>
        <v>52205</v>
      </c>
      <c r="H68" s="7">
        <f t="shared" si="5"/>
        <v>1710</v>
      </c>
      <c r="I68" s="7">
        <f t="shared" si="5"/>
        <v>50495</v>
      </c>
      <c r="J68" s="7">
        <f t="shared" si="5"/>
        <v>0</v>
      </c>
      <c r="K68" s="7">
        <f t="shared" si="5"/>
        <v>0</v>
      </c>
      <c r="L68" s="7">
        <f t="shared" si="5"/>
        <v>0</v>
      </c>
      <c r="M68" s="7">
        <f t="shared" si="5"/>
        <v>0</v>
      </c>
      <c r="N68" s="7">
        <f t="shared" si="5"/>
        <v>0</v>
      </c>
      <c r="O68" s="7">
        <f t="shared" si="5"/>
        <v>0</v>
      </c>
      <c r="P68" s="7">
        <f t="shared" si="5"/>
        <v>0</v>
      </c>
      <c r="Q68" s="7">
        <f t="shared" si="5"/>
        <v>64</v>
      </c>
    </row>
    <row r="69" spans="1:17" x14ac:dyDescent="0.25">
      <c r="H69">
        <f>-26*17</f>
        <v>-442</v>
      </c>
    </row>
    <row r="70" spans="1:17" x14ac:dyDescent="0.25">
      <c r="A70" s="7" t="s">
        <v>16</v>
      </c>
      <c r="C70" s="6" t="s">
        <v>89</v>
      </c>
      <c r="D70" s="6"/>
      <c r="E70" s="10" t="s">
        <v>90</v>
      </c>
      <c r="H70">
        <f>-5*25</f>
        <v>-125</v>
      </c>
      <c r="K70" s="13" t="s">
        <v>2437</v>
      </c>
      <c r="L70" s="13" t="s">
        <v>91</v>
      </c>
      <c r="M70" s="13" t="s">
        <v>90</v>
      </c>
      <c r="O70" s="10" t="s">
        <v>92</v>
      </c>
    </row>
    <row r="71" spans="1:17" x14ac:dyDescent="0.25">
      <c r="A71" t="s">
        <v>2433</v>
      </c>
      <c r="B71" s="9" t="s">
        <v>93</v>
      </c>
      <c r="C71" s="5">
        <f>SUMIFS(I$3:I$66,B$3:B$66,A$70,L$3:L$66,A$71)</f>
        <v>50495</v>
      </c>
      <c r="D71" s="5"/>
      <c r="E71" s="9">
        <f>SUMIFS(Q$3:Q$66,B$3:B$66,A$70,L$3:L$66,A$71)</f>
        <v>64</v>
      </c>
      <c r="F71" t="s">
        <v>94</v>
      </c>
      <c r="H71">
        <f>-5*30</f>
        <v>-150</v>
      </c>
      <c r="K71" t="s">
        <v>95</v>
      </c>
      <c r="L71">
        <f>SUMIFS(G$3:G$66,J$3:J$66,K$70)</f>
        <v>25330</v>
      </c>
      <c r="M71">
        <v>36</v>
      </c>
      <c r="O71" t="s">
        <v>2577</v>
      </c>
      <c r="P71">
        <f>L76</f>
        <v>24613</v>
      </c>
    </row>
    <row r="72" spans="1:17" x14ac:dyDescent="0.25">
      <c r="B72" s="8" t="s">
        <v>97</v>
      </c>
      <c r="C72" s="4">
        <v>0</v>
      </c>
      <c r="D72" s="4"/>
      <c r="K72" t="s">
        <v>98</v>
      </c>
      <c r="L72">
        <f>SUM(H69:H71)</f>
        <v>-717</v>
      </c>
      <c r="M72">
        <v>36</v>
      </c>
      <c r="O72" t="s">
        <v>21</v>
      </c>
      <c r="P72">
        <f>L84</f>
        <v>26221</v>
      </c>
    </row>
    <row r="73" spans="1:17" x14ac:dyDescent="0.25">
      <c r="B73" s="8" t="s">
        <v>99</v>
      </c>
      <c r="C73" s="4">
        <f>-SUMIFS(I$3:I$66,B$3:B$66,A$70,P$3:P$66,"xx",N$3:N$66,"x")</f>
        <v>0</v>
      </c>
      <c r="D73" s="4"/>
      <c r="E73" s="8">
        <f>SUMIFS(Q$3:Q$66,B$3:B$66,A$70,P$3:P$66,"xx",N$3:N$66,"x")</f>
        <v>0</v>
      </c>
      <c r="K73" t="s">
        <v>100</v>
      </c>
      <c r="O73" t="s">
        <v>20</v>
      </c>
      <c r="P73">
        <f>L92</f>
        <v>-25</v>
      </c>
    </row>
    <row r="74" spans="1:17" x14ac:dyDescent="0.25">
      <c r="B74" s="10" t="s">
        <v>101</v>
      </c>
      <c r="C74" s="6">
        <f>SUBTOTAL(9,C71:C73)</f>
        <v>50495</v>
      </c>
      <c r="D74" s="6"/>
      <c r="E74">
        <f>E71</f>
        <v>64</v>
      </c>
      <c r="K74" s="8" t="s">
        <v>102</v>
      </c>
      <c r="O74" t="s">
        <v>103</v>
      </c>
      <c r="P74">
        <f>-C78</f>
        <v>-50495</v>
      </c>
    </row>
    <row r="75" spans="1:17" x14ac:dyDescent="0.25">
      <c r="B75" s="8" t="s">
        <v>104</v>
      </c>
      <c r="C75" s="3"/>
      <c r="D75" s="3"/>
      <c r="K75" s="8" t="s">
        <v>105</v>
      </c>
      <c r="O75" s="10" t="s">
        <v>106</v>
      </c>
      <c r="P75" s="10">
        <f>SUBTOTAL(9,P71:P74)</f>
        <v>314</v>
      </c>
    </row>
    <row r="76" spans="1:17" x14ac:dyDescent="0.25">
      <c r="B76" s="14" t="s">
        <v>107</v>
      </c>
      <c r="C76" s="3"/>
      <c r="D76" s="3"/>
      <c r="L76" s="15">
        <f>SUBTOTAL(9,L71:L75)</f>
        <v>24613</v>
      </c>
      <c r="M76" s="15">
        <f>M71</f>
        <v>36</v>
      </c>
    </row>
    <row r="78" spans="1:17" x14ac:dyDescent="0.25">
      <c r="B78" s="7" t="s">
        <v>108</v>
      </c>
      <c r="C78" s="2">
        <f>C74+C75+C76</f>
        <v>50495</v>
      </c>
      <c r="D78" s="2"/>
      <c r="E78" s="7" t="s">
        <v>109</v>
      </c>
      <c r="K78" s="13" t="s">
        <v>21</v>
      </c>
      <c r="L78" s="13" t="s">
        <v>91</v>
      </c>
      <c r="M78" s="13" t="s">
        <v>90</v>
      </c>
    </row>
    <row r="79" spans="1:17" x14ac:dyDescent="0.25">
      <c r="K79" t="s">
        <v>95</v>
      </c>
      <c r="L79">
        <f>SUMIFS(G$3:G$66,J$3:J$66,K$78)</f>
        <v>26875</v>
      </c>
      <c r="M79">
        <f>SUMIFS(Q$3:Q$66,J$3:J$66,K$78)</f>
        <v>25</v>
      </c>
    </row>
    <row r="80" spans="1:17" x14ac:dyDescent="0.25">
      <c r="K80" t="s">
        <v>98</v>
      </c>
      <c r="L80">
        <f>-SUMIFS(H$3:H$66,J$3:J$66,K$78)+M80*5</f>
        <v>-530</v>
      </c>
      <c r="M80">
        <f>SUMIFS(Q$3:Q$66,J$3:J$66,K$78)-COUNTIFS(J$3:J$66,K$78,M$3:M$66,"*gộp*")</f>
        <v>25</v>
      </c>
    </row>
    <row r="81" spans="11:13" x14ac:dyDescent="0.25">
      <c r="K81" t="s">
        <v>100</v>
      </c>
      <c r="L81">
        <f>-M81*2</f>
        <v>-124</v>
      </c>
      <c r="M81">
        <f>E74-(COUNTIFS(M$3:M$66,"*gộp*")/2)-COUNTIFS(M$3:M$66,"*đơn trả*")-COUNTIFS(M$3:M$66,"*hàng tỉnh*")</f>
        <v>62</v>
      </c>
    </row>
    <row r="82" spans="11:13" x14ac:dyDescent="0.25">
      <c r="K82" s="8" t="s">
        <v>102</v>
      </c>
    </row>
    <row r="83" spans="11:13" x14ac:dyDescent="0.25">
      <c r="K83" s="8" t="s">
        <v>105</v>
      </c>
    </row>
    <row r="84" spans="11:13" x14ac:dyDescent="0.25">
      <c r="L84" s="15">
        <f>SUBTOTAL(9,L79:L83)</f>
        <v>26221</v>
      </c>
      <c r="M84" s="15">
        <f>M79</f>
        <v>25</v>
      </c>
    </row>
    <row r="86" spans="11:13" x14ac:dyDescent="0.25">
      <c r="K86" s="13" t="s">
        <v>20</v>
      </c>
      <c r="L86" s="13" t="s">
        <v>91</v>
      </c>
      <c r="M86" s="13" t="s">
        <v>90</v>
      </c>
    </row>
    <row r="87" spans="11:13" x14ac:dyDescent="0.25">
      <c r="K87" t="s">
        <v>95</v>
      </c>
      <c r="L87">
        <f>SUMIFS(G$3:G$66,J$3:J$66,K$86)</f>
        <v>0</v>
      </c>
      <c r="M87">
        <f>SUMIFS(Q$3:Q$66,J$3:J$66,K$86)</f>
        <v>1</v>
      </c>
    </row>
    <row r="88" spans="11:13" x14ac:dyDescent="0.25">
      <c r="K88" t="s">
        <v>98</v>
      </c>
      <c r="L88">
        <f>-SUMIFS(H$3:H$66,J$3:J$66,K$86)+M88*5</f>
        <v>-25</v>
      </c>
      <c r="M88">
        <f>SUMIFS(Q$3:Q$66,J$3:J$66,K$86)-COUNTIFS(J$3:J$66,K$86,M$3:M$66,"*gộp*")</f>
        <v>1</v>
      </c>
    </row>
    <row r="89" spans="11:13" x14ac:dyDescent="0.25">
      <c r="K89" t="s">
        <v>100</v>
      </c>
    </row>
    <row r="90" spans="11:13" x14ac:dyDescent="0.25">
      <c r="K90" s="8" t="s">
        <v>102</v>
      </c>
    </row>
    <row r="91" spans="11:13" x14ac:dyDescent="0.25">
      <c r="K91" s="8" t="s">
        <v>105</v>
      </c>
    </row>
    <row r="92" spans="11:13" x14ac:dyDescent="0.25">
      <c r="L92" s="15">
        <f>SUBTOTAL(9,L87:L91)</f>
        <v>-25</v>
      </c>
      <c r="M92" s="15">
        <f>M87</f>
        <v>1</v>
      </c>
    </row>
  </sheetData>
  <autoFilter ref="A2:P66" xr:uid="{00000000-0009-0000-0000-000014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Q79"/>
  <sheetViews>
    <sheetView tabSelected="1" topLeftCell="A37" workbookViewId="0">
      <selection activeCell="I62" sqref="I62"/>
    </sheetView>
  </sheetViews>
  <sheetFormatPr defaultRowHeight="15" x14ac:dyDescent="0.25"/>
  <cols>
    <col min="1" max="1" width="12.7109375" customWidth="1"/>
    <col min="2" max="2" width="17.7109375" customWidth="1"/>
    <col min="3" max="3" width="36.42578125" customWidth="1"/>
    <col min="4" max="4" width="9.85546875" customWidth="1"/>
    <col min="5" max="5" width="73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6.140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23" t="s">
        <v>0</v>
      </c>
      <c r="B2" s="23" t="s">
        <v>1</v>
      </c>
      <c r="C2" s="23" t="s">
        <v>2</v>
      </c>
      <c r="D2" s="23" t="s">
        <v>3</v>
      </c>
      <c r="E2" s="23" t="s">
        <v>4</v>
      </c>
      <c r="F2" s="23" t="s">
        <v>5</v>
      </c>
      <c r="G2" s="23" t="s">
        <v>6</v>
      </c>
      <c r="H2" s="23" t="s">
        <v>7</v>
      </c>
      <c r="I2" s="23" t="s">
        <v>8</v>
      </c>
      <c r="J2" s="23" t="s">
        <v>9</v>
      </c>
      <c r="K2" s="23" t="s">
        <v>10</v>
      </c>
      <c r="L2" s="23" t="s">
        <v>11</v>
      </c>
      <c r="M2" s="23" t="s">
        <v>12</v>
      </c>
      <c r="N2" s="23" t="s">
        <v>13</v>
      </c>
      <c r="O2" s="23" t="s">
        <v>14</v>
      </c>
      <c r="P2" s="23" t="s">
        <v>15</v>
      </c>
      <c r="Q2" s="24"/>
    </row>
    <row r="3" spans="1:17" x14ac:dyDescent="0.25">
      <c r="A3" s="24"/>
      <c r="B3" s="24" t="s">
        <v>16</v>
      </c>
      <c r="C3" s="24" t="s">
        <v>2024</v>
      </c>
      <c r="D3" s="24" t="s">
        <v>2620</v>
      </c>
      <c r="E3" s="24" t="s">
        <v>2621</v>
      </c>
      <c r="F3" s="25">
        <v>9</v>
      </c>
      <c r="G3" s="25">
        <v>0</v>
      </c>
      <c r="H3" s="25">
        <v>30</v>
      </c>
      <c r="I3" s="25">
        <f>-H3</f>
        <v>-30</v>
      </c>
      <c r="J3" s="24" t="s">
        <v>20</v>
      </c>
      <c r="K3" s="24" t="s">
        <v>21</v>
      </c>
      <c r="L3" s="24" t="s">
        <v>2590</v>
      </c>
      <c r="M3" s="31" t="s">
        <v>2622</v>
      </c>
      <c r="N3" s="24"/>
      <c r="O3" s="24"/>
      <c r="P3" s="24"/>
      <c r="Q3" s="24">
        <v>1</v>
      </c>
    </row>
    <row r="4" spans="1:17" x14ac:dyDescent="0.25">
      <c r="A4" s="24"/>
      <c r="B4" s="24" t="s">
        <v>16</v>
      </c>
      <c r="C4" s="24" t="s">
        <v>707</v>
      </c>
      <c r="D4" s="24" t="s">
        <v>2588</v>
      </c>
      <c r="E4" s="24" t="s">
        <v>709</v>
      </c>
      <c r="F4" s="25">
        <v>6</v>
      </c>
      <c r="G4" s="25">
        <v>785</v>
      </c>
      <c r="H4" s="25">
        <v>25</v>
      </c>
      <c r="I4" s="25">
        <f>G4-H4</f>
        <v>760</v>
      </c>
      <c r="J4" s="24" t="s">
        <v>2589</v>
      </c>
      <c r="K4" s="24" t="s">
        <v>21</v>
      </c>
      <c r="L4" s="24" t="s">
        <v>2590</v>
      </c>
      <c r="M4" s="31" t="s">
        <v>312</v>
      </c>
      <c r="N4" s="24"/>
      <c r="O4" s="24"/>
      <c r="P4" s="24"/>
      <c r="Q4" s="24">
        <v>1</v>
      </c>
    </row>
    <row r="5" spans="1:17" x14ac:dyDescent="0.25">
      <c r="A5" s="24"/>
      <c r="B5" s="24" t="s">
        <v>16</v>
      </c>
      <c r="C5" s="24" t="s">
        <v>707</v>
      </c>
      <c r="D5" s="24" t="s">
        <v>2699</v>
      </c>
      <c r="E5" s="24" t="s">
        <v>2700</v>
      </c>
      <c r="F5" s="25">
        <v>6</v>
      </c>
      <c r="G5" s="25">
        <v>0</v>
      </c>
      <c r="H5" s="25">
        <v>0</v>
      </c>
      <c r="I5" s="25">
        <f>H5</f>
        <v>0</v>
      </c>
      <c r="J5" s="24" t="s">
        <v>2589</v>
      </c>
      <c r="K5" s="24" t="s">
        <v>21</v>
      </c>
      <c r="L5" s="24" t="s">
        <v>2590</v>
      </c>
      <c r="M5" s="31" t="s">
        <v>312</v>
      </c>
      <c r="N5" s="24"/>
      <c r="O5" s="24"/>
      <c r="P5" s="24"/>
      <c r="Q5" s="24">
        <v>1</v>
      </c>
    </row>
    <row r="6" spans="1:17" x14ac:dyDescent="0.25">
      <c r="A6" s="24"/>
      <c r="B6" s="24" t="s">
        <v>16</v>
      </c>
      <c r="C6" s="24" t="s">
        <v>2591</v>
      </c>
      <c r="D6" s="24" t="s">
        <v>2592</v>
      </c>
      <c r="E6" s="24" t="s">
        <v>2593</v>
      </c>
      <c r="F6" s="24" t="s">
        <v>217</v>
      </c>
      <c r="G6" s="25">
        <v>775</v>
      </c>
      <c r="H6" s="25">
        <v>25</v>
      </c>
      <c r="I6" s="25">
        <f>G6-H6</f>
        <v>750</v>
      </c>
      <c r="J6" s="24" t="s">
        <v>2589</v>
      </c>
      <c r="K6" s="24" t="s">
        <v>21</v>
      </c>
      <c r="L6" s="24" t="s">
        <v>2590</v>
      </c>
      <c r="M6" s="24"/>
      <c r="N6" s="24"/>
      <c r="O6" s="24"/>
      <c r="P6" s="24"/>
      <c r="Q6" s="24">
        <v>1</v>
      </c>
    </row>
    <row r="7" spans="1:17" x14ac:dyDescent="0.25">
      <c r="A7" s="24"/>
      <c r="B7" s="24" t="s">
        <v>16</v>
      </c>
      <c r="C7" s="24" t="s">
        <v>2594</v>
      </c>
      <c r="D7" s="24" t="s">
        <v>2595</v>
      </c>
      <c r="E7" s="24" t="s">
        <v>2596</v>
      </c>
      <c r="F7" s="24" t="s">
        <v>217</v>
      </c>
      <c r="G7" s="25">
        <v>375</v>
      </c>
      <c r="H7" s="25">
        <v>25</v>
      </c>
      <c r="I7" s="25">
        <f>G7-H7</f>
        <v>350</v>
      </c>
      <c r="J7" s="24" t="s">
        <v>2589</v>
      </c>
      <c r="K7" s="24" t="s">
        <v>21</v>
      </c>
      <c r="L7" s="24" t="s">
        <v>2590</v>
      </c>
      <c r="M7" s="24"/>
      <c r="N7" s="24"/>
      <c r="O7" s="24"/>
      <c r="P7" s="24"/>
      <c r="Q7" s="24">
        <v>1</v>
      </c>
    </row>
    <row r="8" spans="1:17" x14ac:dyDescent="0.25">
      <c r="A8" s="24"/>
      <c r="B8" s="24" t="s">
        <v>16</v>
      </c>
      <c r="C8" s="24" t="s">
        <v>110</v>
      </c>
      <c r="D8" s="24" t="s">
        <v>2600</v>
      </c>
      <c r="E8" s="24" t="s">
        <v>2601</v>
      </c>
      <c r="F8" s="24" t="s">
        <v>26</v>
      </c>
      <c r="G8" s="25">
        <v>750</v>
      </c>
      <c r="H8" s="25">
        <v>30</v>
      </c>
      <c r="I8" s="25">
        <f>G8-H8</f>
        <v>720</v>
      </c>
      <c r="J8" s="24" t="s">
        <v>2589</v>
      </c>
      <c r="K8" s="24" t="s">
        <v>21</v>
      </c>
      <c r="L8" s="24" t="s">
        <v>2590</v>
      </c>
      <c r="M8" s="24"/>
      <c r="N8" s="24"/>
      <c r="O8" s="24"/>
      <c r="P8" s="24"/>
      <c r="Q8" s="24">
        <v>1</v>
      </c>
    </row>
    <row r="9" spans="1:17" x14ac:dyDescent="0.25">
      <c r="A9" s="24"/>
      <c r="B9" s="24" t="s">
        <v>16</v>
      </c>
      <c r="C9" s="24" t="s">
        <v>2602</v>
      </c>
      <c r="D9" s="24" t="s">
        <v>2603</v>
      </c>
      <c r="E9" s="24" t="s">
        <v>2604</v>
      </c>
      <c r="F9" s="24" t="s">
        <v>128</v>
      </c>
      <c r="G9" s="25">
        <v>775</v>
      </c>
      <c r="H9" s="25">
        <v>35</v>
      </c>
      <c r="I9" s="25">
        <f>G9-H9</f>
        <v>740</v>
      </c>
      <c r="J9" s="24" t="s">
        <v>2589</v>
      </c>
      <c r="K9" s="24" t="s">
        <v>21</v>
      </c>
      <c r="L9" s="24" t="s">
        <v>2590</v>
      </c>
      <c r="M9" s="24"/>
      <c r="N9" s="24"/>
      <c r="O9" s="24"/>
      <c r="P9" s="24"/>
      <c r="Q9" s="24">
        <v>1</v>
      </c>
    </row>
    <row r="10" spans="1:17" x14ac:dyDescent="0.25">
      <c r="A10" s="24"/>
      <c r="B10" s="24" t="s">
        <v>16</v>
      </c>
      <c r="C10" s="24" t="s">
        <v>687</v>
      </c>
      <c r="D10" s="24" t="s">
        <v>2611</v>
      </c>
      <c r="E10" s="24" t="s">
        <v>2612</v>
      </c>
      <c r="F10" s="25">
        <v>12</v>
      </c>
      <c r="G10" s="25">
        <v>690</v>
      </c>
      <c r="H10" s="25">
        <v>30</v>
      </c>
      <c r="I10" s="25">
        <f>G10-H10</f>
        <v>660</v>
      </c>
      <c r="J10" s="24" t="s">
        <v>2589</v>
      </c>
      <c r="K10" s="24" t="s">
        <v>21</v>
      </c>
      <c r="L10" s="24" t="s">
        <v>2590</v>
      </c>
      <c r="M10" s="24"/>
      <c r="N10" s="24"/>
      <c r="O10" s="24"/>
      <c r="P10" s="24"/>
      <c r="Q10" s="24">
        <v>1</v>
      </c>
    </row>
    <row r="11" spans="1:17" x14ac:dyDescent="0.25">
      <c r="A11" s="24"/>
      <c r="B11" s="24" t="s">
        <v>16</v>
      </c>
      <c r="C11" s="24" t="s">
        <v>2613</v>
      </c>
      <c r="D11" s="24" t="s">
        <v>2614</v>
      </c>
      <c r="E11" s="24" t="s">
        <v>2615</v>
      </c>
      <c r="F11" s="24" t="s">
        <v>217</v>
      </c>
      <c r="G11" s="25">
        <v>1455</v>
      </c>
      <c r="H11" s="25">
        <v>25</v>
      </c>
      <c r="I11" s="25">
        <f>G11-H11</f>
        <v>1430</v>
      </c>
      <c r="J11" s="24" t="s">
        <v>2589</v>
      </c>
      <c r="K11" s="24" t="s">
        <v>21</v>
      </c>
      <c r="L11" s="24" t="s">
        <v>2590</v>
      </c>
      <c r="M11" s="24"/>
      <c r="N11" s="24"/>
      <c r="O11" s="24"/>
      <c r="P11" s="24"/>
      <c r="Q11" s="24">
        <v>1</v>
      </c>
    </row>
    <row r="12" spans="1:17" x14ac:dyDescent="0.25">
      <c r="A12" s="24"/>
      <c r="B12" s="24" t="s">
        <v>16</v>
      </c>
      <c r="C12" s="24" t="s">
        <v>2616</v>
      </c>
      <c r="D12" s="24" t="s">
        <v>2617</v>
      </c>
      <c r="E12" s="24" t="s">
        <v>2618</v>
      </c>
      <c r="F12" s="25">
        <v>4</v>
      </c>
      <c r="G12" s="25">
        <v>0</v>
      </c>
      <c r="H12" s="25">
        <v>25</v>
      </c>
      <c r="I12" s="25">
        <f>-H12</f>
        <v>-25</v>
      </c>
      <c r="J12" s="24" t="s">
        <v>2589</v>
      </c>
      <c r="K12" s="24" t="s">
        <v>21</v>
      </c>
      <c r="L12" s="24" t="s">
        <v>2590</v>
      </c>
      <c r="M12" s="24"/>
      <c r="N12" s="24"/>
      <c r="O12" s="24"/>
      <c r="P12" s="24"/>
      <c r="Q12" s="24">
        <v>1</v>
      </c>
    </row>
    <row r="13" spans="1:17" x14ac:dyDescent="0.25">
      <c r="A13" s="24"/>
      <c r="B13" s="24" t="s">
        <v>16</v>
      </c>
      <c r="C13" s="24" t="s">
        <v>1171</v>
      </c>
      <c r="D13" s="24" t="s">
        <v>2619</v>
      </c>
      <c r="E13" s="24" t="s">
        <v>1873</v>
      </c>
      <c r="F13" s="25">
        <v>7</v>
      </c>
      <c r="G13" s="25">
        <v>0</v>
      </c>
      <c r="H13" s="25">
        <v>30</v>
      </c>
      <c r="I13" s="25">
        <f>-H13</f>
        <v>-30</v>
      </c>
      <c r="J13" s="24" t="s">
        <v>2589</v>
      </c>
      <c r="K13" s="24" t="s">
        <v>21</v>
      </c>
      <c r="L13" s="24" t="s">
        <v>2590</v>
      </c>
      <c r="M13" s="24"/>
      <c r="N13" s="24"/>
      <c r="O13" s="24"/>
      <c r="P13" s="24"/>
      <c r="Q13" s="24">
        <v>1</v>
      </c>
    </row>
    <row r="14" spans="1:17" x14ac:dyDescent="0.25">
      <c r="A14" s="24"/>
      <c r="B14" s="24" t="s">
        <v>16</v>
      </c>
      <c r="C14" s="24" t="s">
        <v>2628</v>
      </c>
      <c r="D14" s="24" t="s">
        <v>2629</v>
      </c>
      <c r="E14" s="24" t="s">
        <v>2630</v>
      </c>
      <c r="F14" s="25">
        <v>6</v>
      </c>
      <c r="G14" s="25">
        <v>0</v>
      </c>
      <c r="H14" s="25">
        <v>25</v>
      </c>
      <c r="I14" s="25">
        <f>-H14</f>
        <v>-25</v>
      </c>
      <c r="J14" s="24" t="s">
        <v>2589</v>
      </c>
      <c r="K14" s="24" t="s">
        <v>21</v>
      </c>
      <c r="L14" s="24" t="s">
        <v>2590</v>
      </c>
      <c r="M14" s="31" t="s">
        <v>2631</v>
      </c>
      <c r="N14" s="24"/>
      <c r="O14" s="24"/>
      <c r="P14" s="24"/>
      <c r="Q14" s="24">
        <v>1</v>
      </c>
    </row>
    <row r="15" spans="1:17" x14ac:dyDescent="0.25">
      <c r="A15" s="24"/>
      <c r="B15" s="24" t="s">
        <v>16</v>
      </c>
      <c r="C15" s="24" t="s">
        <v>1558</v>
      </c>
      <c r="D15" s="24" t="s">
        <v>2632</v>
      </c>
      <c r="E15" s="24" t="s">
        <v>1560</v>
      </c>
      <c r="F15" s="25">
        <v>1</v>
      </c>
      <c r="G15" s="25">
        <v>685</v>
      </c>
      <c r="H15" s="25">
        <v>25</v>
      </c>
      <c r="I15" s="25">
        <f>G15-H15</f>
        <v>660</v>
      </c>
      <c r="J15" s="24" t="s">
        <v>2589</v>
      </c>
      <c r="K15" s="24" t="s">
        <v>21</v>
      </c>
      <c r="L15" s="24" t="s">
        <v>2590</v>
      </c>
      <c r="M15" s="24"/>
      <c r="N15" s="24"/>
      <c r="O15" s="24"/>
      <c r="P15" s="24"/>
      <c r="Q15" s="24">
        <v>1</v>
      </c>
    </row>
    <row r="16" spans="1:17" x14ac:dyDescent="0.25">
      <c r="A16" s="24"/>
      <c r="B16" s="24" t="s">
        <v>16</v>
      </c>
      <c r="C16" s="24" t="s">
        <v>1555</v>
      </c>
      <c r="D16" s="24" t="s">
        <v>2633</v>
      </c>
      <c r="E16" s="24" t="s">
        <v>1557</v>
      </c>
      <c r="F16" s="25">
        <v>4</v>
      </c>
      <c r="G16" s="25">
        <v>745</v>
      </c>
      <c r="H16" s="25">
        <v>25</v>
      </c>
      <c r="I16" s="25">
        <f>G16-H16</f>
        <v>720</v>
      </c>
      <c r="J16" s="24" t="s">
        <v>2589</v>
      </c>
      <c r="K16" s="24" t="s">
        <v>21</v>
      </c>
      <c r="L16" s="24" t="s">
        <v>2590</v>
      </c>
      <c r="M16" s="24"/>
      <c r="N16" s="24"/>
      <c r="O16" s="24"/>
      <c r="P16" s="24"/>
      <c r="Q16" s="24">
        <v>1</v>
      </c>
    </row>
    <row r="17" spans="1:17" x14ac:dyDescent="0.25">
      <c r="A17" s="24"/>
      <c r="B17" s="24" t="s">
        <v>16</v>
      </c>
      <c r="C17" s="24" t="s">
        <v>1295</v>
      </c>
      <c r="D17" s="24" t="s">
        <v>2634</v>
      </c>
      <c r="E17" s="24" t="s">
        <v>1297</v>
      </c>
      <c r="F17" s="25">
        <v>5</v>
      </c>
      <c r="G17" s="25">
        <v>0</v>
      </c>
      <c r="H17" s="25">
        <v>25</v>
      </c>
      <c r="I17" s="25">
        <f>-H17</f>
        <v>-25</v>
      </c>
      <c r="J17" s="24" t="s">
        <v>2589</v>
      </c>
      <c r="K17" s="24" t="s">
        <v>21</v>
      </c>
      <c r="L17" s="24" t="s">
        <v>2590</v>
      </c>
      <c r="M17" s="24"/>
      <c r="N17" s="24"/>
      <c r="O17" s="24"/>
      <c r="P17" s="24"/>
      <c r="Q17" s="24">
        <v>1</v>
      </c>
    </row>
    <row r="18" spans="1:17" x14ac:dyDescent="0.25">
      <c r="A18" s="24"/>
      <c r="B18" s="24" t="s">
        <v>16</v>
      </c>
      <c r="C18" s="24" t="s">
        <v>2636</v>
      </c>
      <c r="D18" s="24" t="s">
        <v>2637</v>
      </c>
      <c r="E18" s="24" t="s">
        <v>2638</v>
      </c>
      <c r="F18" s="24" t="s">
        <v>88</v>
      </c>
      <c r="G18" s="25">
        <v>25</v>
      </c>
      <c r="H18" s="25">
        <v>25</v>
      </c>
      <c r="I18" s="25">
        <f>G18-H18</f>
        <v>0</v>
      </c>
      <c r="J18" s="24" t="s">
        <v>2589</v>
      </c>
      <c r="K18" s="24" t="s">
        <v>21</v>
      </c>
      <c r="L18" s="24" t="s">
        <v>2590</v>
      </c>
      <c r="M18" s="24"/>
      <c r="N18" s="24"/>
      <c r="O18" s="24"/>
      <c r="P18" s="24"/>
      <c r="Q18" s="24">
        <v>1</v>
      </c>
    </row>
    <row r="19" spans="1:17" x14ac:dyDescent="0.25">
      <c r="A19" s="24"/>
      <c r="B19" s="24" t="s">
        <v>16</v>
      </c>
      <c r="C19" s="24" t="s">
        <v>2639</v>
      </c>
      <c r="D19" s="24" t="s">
        <v>2640</v>
      </c>
      <c r="E19" s="24" t="s">
        <v>1216</v>
      </c>
      <c r="F19" s="25">
        <v>12</v>
      </c>
      <c r="G19" s="25">
        <v>0</v>
      </c>
      <c r="H19" s="25">
        <v>30</v>
      </c>
      <c r="I19" s="25">
        <f>-H19</f>
        <v>-30</v>
      </c>
      <c r="J19" s="24" t="s">
        <v>2589</v>
      </c>
      <c r="K19" s="24" t="s">
        <v>21</v>
      </c>
      <c r="L19" s="24" t="s">
        <v>2590</v>
      </c>
      <c r="M19" s="24"/>
      <c r="N19" s="24"/>
      <c r="O19" s="24"/>
      <c r="P19" s="24"/>
      <c r="Q19" s="24">
        <v>1</v>
      </c>
    </row>
    <row r="20" spans="1:17" x14ac:dyDescent="0.25">
      <c r="A20" s="24"/>
      <c r="B20" s="24" t="s">
        <v>16</v>
      </c>
      <c r="C20" s="24" t="s">
        <v>2641</v>
      </c>
      <c r="D20" s="24" t="s">
        <v>2642</v>
      </c>
      <c r="E20" s="24" t="s">
        <v>2643</v>
      </c>
      <c r="F20" s="24" t="s">
        <v>259</v>
      </c>
      <c r="G20" s="25">
        <v>1915</v>
      </c>
      <c r="H20" s="25">
        <v>35</v>
      </c>
      <c r="I20" s="25">
        <f>G20-H20</f>
        <v>1880</v>
      </c>
      <c r="J20" s="24" t="s">
        <v>2589</v>
      </c>
      <c r="K20" s="24" t="s">
        <v>21</v>
      </c>
      <c r="L20" s="24" t="s">
        <v>2590</v>
      </c>
      <c r="M20" s="24"/>
      <c r="N20" s="24"/>
      <c r="O20" s="24"/>
      <c r="P20" s="24"/>
      <c r="Q20" s="24">
        <v>1</v>
      </c>
    </row>
    <row r="21" spans="1:17" x14ac:dyDescent="0.25">
      <c r="A21" s="24"/>
      <c r="B21" s="24" t="s">
        <v>16</v>
      </c>
      <c r="C21" s="24" t="s">
        <v>1289</v>
      </c>
      <c r="D21" s="24" t="s">
        <v>2645</v>
      </c>
      <c r="E21" s="24" t="s">
        <v>2646</v>
      </c>
      <c r="F21" s="25">
        <v>4</v>
      </c>
      <c r="G21" s="25">
        <v>685</v>
      </c>
      <c r="H21" s="25">
        <v>25</v>
      </c>
      <c r="I21" s="25">
        <f>G21-H21</f>
        <v>660</v>
      </c>
      <c r="J21" s="24" t="s">
        <v>2589</v>
      </c>
      <c r="K21" s="24" t="s">
        <v>21</v>
      </c>
      <c r="L21" s="24" t="s">
        <v>2590</v>
      </c>
      <c r="M21" s="24"/>
      <c r="N21" s="24"/>
      <c r="O21" s="24"/>
      <c r="P21" s="24"/>
      <c r="Q21" s="24">
        <v>1</v>
      </c>
    </row>
    <row r="22" spans="1:17" x14ac:dyDescent="0.25">
      <c r="A22" s="24"/>
      <c r="B22" s="24" t="s">
        <v>16</v>
      </c>
      <c r="C22" s="24" t="s">
        <v>1599</v>
      </c>
      <c r="D22" s="24" t="s">
        <v>2647</v>
      </c>
      <c r="E22" s="24" t="s">
        <v>2648</v>
      </c>
      <c r="F22" s="25">
        <v>7</v>
      </c>
      <c r="G22" s="25">
        <v>1810</v>
      </c>
      <c r="H22" s="25">
        <v>30</v>
      </c>
      <c r="I22" s="25">
        <f>G22-H22</f>
        <v>1780</v>
      </c>
      <c r="J22" s="24" t="s">
        <v>2589</v>
      </c>
      <c r="K22" s="24" t="s">
        <v>21</v>
      </c>
      <c r="L22" s="24" t="s">
        <v>2590</v>
      </c>
      <c r="M22" s="24"/>
      <c r="N22" s="24"/>
      <c r="O22" s="24"/>
      <c r="P22" s="24"/>
      <c r="Q22" s="24">
        <v>1</v>
      </c>
    </row>
    <row r="23" spans="1:17" s="48" customFormat="1" x14ac:dyDescent="0.25">
      <c r="A23" s="46"/>
      <c r="B23" s="46" t="s">
        <v>16</v>
      </c>
      <c r="C23" s="46" t="s">
        <v>2649</v>
      </c>
      <c r="D23" s="46" t="s">
        <v>2650</v>
      </c>
      <c r="E23" s="46" t="s">
        <v>2651</v>
      </c>
      <c r="F23" s="47">
        <v>8</v>
      </c>
      <c r="G23" s="47">
        <v>690</v>
      </c>
      <c r="H23" s="47">
        <v>30</v>
      </c>
      <c r="I23" s="47">
        <f>G23-H23</f>
        <v>660</v>
      </c>
      <c r="J23" s="46" t="s">
        <v>2589</v>
      </c>
      <c r="K23" s="46" t="s">
        <v>21</v>
      </c>
      <c r="L23" s="46" t="s">
        <v>2590</v>
      </c>
      <c r="M23" s="46" t="s">
        <v>49</v>
      </c>
      <c r="N23" s="46"/>
      <c r="O23" s="46"/>
      <c r="P23" s="46"/>
      <c r="Q23" s="46">
        <v>1</v>
      </c>
    </row>
    <row r="24" spans="1:17" x14ac:dyDescent="0.25">
      <c r="A24" s="24"/>
      <c r="B24" s="24" t="s">
        <v>16</v>
      </c>
      <c r="C24" s="24" t="s">
        <v>2652</v>
      </c>
      <c r="D24" s="24" t="s">
        <v>2653</v>
      </c>
      <c r="E24" s="24" t="s">
        <v>2654</v>
      </c>
      <c r="F24" s="25">
        <v>7</v>
      </c>
      <c r="G24" s="25">
        <v>980</v>
      </c>
      <c r="H24" s="25">
        <v>30</v>
      </c>
      <c r="I24" s="25">
        <f>G24-H24</f>
        <v>950</v>
      </c>
      <c r="J24" s="24" t="s">
        <v>2589</v>
      </c>
      <c r="K24" s="24" t="s">
        <v>21</v>
      </c>
      <c r="L24" s="24" t="s">
        <v>2590</v>
      </c>
      <c r="M24" s="24"/>
      <c r="N24" s="24"/>
      <c r="O24" s="24"/>
      <c r="P24" s="24"/>
      <c r="Q24" s="24">
        <v>1</v>
      </c>
    </row>
    <row r="25" spans="1:17" s="48" customFormat="1" x14ac:dyDescent="0.25">
      <c r="A25" s="46"/>
      <c r="B25" s="46" t="s">
        <v>16</v>
      </c>
      <c r="C25" s="46" t="s">
        <v>2506</v>
      </c>
      <c r="D25" s="46" t="s">
        <v>2658</v>
      </c>
      <c r="E25" s="46" t="s">
        <v>2659</v>
      </c>
      <c r="F25" s="47">
        <v>10</v>
      </c>
      <c r="G25" s="47">
        <v>0</v>
      </c>
      <c r="H25" s="47">
        <v>25</v>
      </c>
      <c r="I25" s="47">
        <f>-H25</f>
        <v>-25</v>
      </c>
      <c r="J25" s="46" t="s">
        <v>2589</v>
      </c>
      <c r="K25" s="46" t="s">
        <v>21</v>
      </c>
      <c r="L25" s="46" t="s">
        <v>2590</v>
      </c>
      <c r="M25" s="46" t="s">
        <v>49</v>
      </c>
      <c r="N25" s="46"/>
      <c r="O25" s="46"/>
      <c r="P25" s="46"/>
      <c r="Q25" s="46">
        <v>1</v>
      </c>
    </row>
    <row r="26" spans="1:17" s="48" customFormat="1" x14ac:dyDescent="0.25">
      <c r="A26" s="46"/>
      <c r="B26" s="46" t="s">
        <v>16</v>
      </c>
      <c r="C26" s="46" t="s">
        <v>2192</v>
      </c>
      <c r="D26" s="46" t="s">
        <v>2660</v>
      </c>
      <c r="E26" s="46" t="s">
        <v>2194</v>
      </c>
      <c r="F26" s="46" t="s">
        <v>128</v>
      </c>
      <c r="G26" s="47">
        <v>35</v>
      </c>
      <c r="H26" s="47">
        <v>35</v>
      </c>
      <c r="I26" s="47">
        <f>G26-H26</f>
        <v>0</v>
      </c>
      <c r="J26" s="46" t="s">
        <v>2589</v>
      </c>
      <c r="K26" s="46" t="s">
        <v>21</v>
      </c>
      <c r="L26" s="46" t="s">
        <v>2590</v>
      </c>
      <c r="M26" s="46" t="s">
        <v>49</v>
      </c>
      <c r="N26" s="46"/>
      <c r="O26" s="46"/>
      <c r="P26" s="46"/>
      <c r="Q26" s="46">
        <v>1</v>
      </c>
    </row>
    <row r="27" spans="1:17" x14ac:dyDescent="0.25">
      <c r="A27" s="24"/>
      <c r="B27" s="24" t="s">
        <v>16</v>
      </c>
      <c r="C27" s="24" t="s">
        <v>2661</v>
      </c>
      <c r="D27" s="24" t="s">
        <v>2662</v>
      </c>
      <c r="E27" s="24" t="s">
        <v>2663</v>
      </c>
      <c r="F27" s="25">
        <v>6</v>
      </c>
      <c r="G27" s="25">
        <v>815</v>
      </c>
      <c r="H27" s="25">
        <v>25</v>
      </c>
      <c r="I27" s="25">
        <f>G27-H27</f>
        <v>790</v>
      </c>
      <c r="J27" s="24" t="s">
        <v>2589</v>
      </c>
      <c r="K27" s="24" t="s">
        <v>21</v>
      </c>
      <c r="L27" s="24" t="s">
        <v>2590</v>
      </c>
      <c r="M27" s="24"/>
      <c r="N27" s="24"/>
      <c r="O27" s="24"/>
      <c r="P27" s="24"/>
      <c r="Q27" s="24">
        <v>1</v>
      </c>
    </row>
    <row r="28" spans="1:17" x14ac:dyDescent="0.25">
      <c r="A28" s="24"/>
      <c r="B28" s="24" t="s">
        <v>16</v>
      </c>
      <c r="C28" s="24" t="s">
        <v>506</v>
      </c>
      <c r="D28" s="24" t="s">
        <v>2664</v>
      </c>
      <c r="E28" s="24" t="s">
        <v>508</v>
      </c>
      <c r="F28" s="25">
        <v>7</v>
      </c>
      <c r="G28" s="25">
        <v>690</v>
      </c>
      <c r="H28" s="25">
        <v>30</v>
      </c>
      <c r="I28" s="25">
        <f>G28-H28</f>
        <v>660</v>
      </c>
      <c r="J28" s="24" t="s">
        <v>2589</v>
      </c>
      <c r="K28" s="24" t="s">
        <v>21</v>
      </c>
      <c r="L28" s="24" t="s">
        <v>2590</v>
      </c>
      <c r="M28" s="24"/>
      <c r="N28" s="24"/>
      <c r="O28" s="24"/>
      <c r="P28" s="24"/>
      <c r="Q28" s="24">
        <v>1</v>
      </c>
    </row>
    <row r="29" spans="1:17" x14ac:dyDescent="0.25">
      <c r="A29" s="24"/>
      <c r="B29" s="24" t="s">
        <v>16</v>
      </c>
      <c r="C29" s="24" t="s">
        <v>2665</v>
      </c>
      <c r="D29" s="24" t="s">
        <v>2666</v>
      </c>
      <c r="E29" s="24" t="s">
        <v>2667</v>
      </c>
      <c r="F29" s="25">
        <v>1</v>
      </c>
      <c r="G29" s="25">
        <v>695</v>
      </c>
      <c r="H29" s="25">
        <v>25</v>
      </c>
      <c r="I29" s="25">
        <f>G29-H29</f>
        <v>670</v>
      </c>
      <c r="J29" s="24" t="s">
        <v>2589</v>
      </c>
      <c r="K29" s="24" t="s">
        <v>21</v>
      </c>
      <c r="L29" s="24" t="s">
        <v>2590</v>
      </c>
      <c r="M29" s="24"/>
      <c r="N29" s="24"/>
      <c r="O29" s="24"/>
      <c r="P29" s="24"/>
      <c r="Q29" s="24">
        <v>1</v>
      </c>
    </row>
    <row r="30" spans="1:17" x14ac:dyDescent="0.25">
      <c r="A30" s="24"/>
      <c r="B30" s="24" t="s">
        <v>16</v>
      </c>
      <c r="C30" s="24" t="s">
        <v>2668</v>
      </c>
      <c r="D30" s="24" t="s">
        <v>2669</v>
      </c>
      <c r="E30" s="24" t="s">
        <v>2670</v>
      </c>
      <c r="F30" s="25">
        <v>6</v>
      </c>
      <c r="G30" s="25">
        <v>815</v>
      </c>
      <c r="H30" s="25">
        <v>25</v>
      </c>
      <c r="I30" s="25">
        <f>G30-H30</f>
        <v>790</v>
      </c>
      <c r="J30" s="24" t="s">
        <v>2589</v>
      </c>
      <c r="K30" s="24" t="s">
        <v>21</v>
      </c>
      <c r="L30" s="24" t="s">
        <v>2590</v>
      </c>
      <c r="M30" s="24"/>
      <c r="N30" s="24"/>
      <c r="O30" s="24"/>
      <c r="P30" s="24"/>
      <c r="Q30" s="24">
        <v>1</v>
      </c>
    </row>
    <row r="31" spans="1:17" x14ac:dyDescent="0.25">
      <c r="A31" s="24"/>
      <c r="B31" s="24" t="s">
        <v>16</v>
      </c>
      <c r="C31" s="24" t="s">
        <v>2679</v>
      </c>
      <c r="D31" s="24" t="s">
        <v>2680</v>
      </c>
      <c r="E31" s="24" t="s">
        <v>2681</v>
      </c>
      <c r="F31" s="24" t="s">
        <v>26</v>
      </c>
      <c r="G31" s="25">
        <v>690</v>
      </c>
      <c r="H31" s="25">
        <v>30</v>
      </c>
      <c r="I31" s="25">
        <f>G31-H31</f>
        <v>660</v>
      </c>
      <c r="J31" s="24" t="s">
        <v>2589</v>
      </c>
      <c r="K31" s="24" t="s">
        <v>21</v>
      </c>
      <c r="L31" s="24" t="s">
        <v>2590</v>
      </c>
      <c r="M31" s="24"/>
      <c r="N31" s="24"/>
      <c r="O31" s="24"/>
      <c r="P31" s="24"/>
      <c r="Q31" s="24">
        <v>1</v>
      </c>
    </row>
    <row r="32" spans="1:17" x14ac:dyDescent="0.25">
      <c r="A32" s="24"/>
      <c r="B32" s="24" t="s">
        <v>16</v>
      </c>
      <c r="C32" s="24" t="s">
        <v>2685</v>
      </c>
      <c r="D32" s="24" t="s">
        <v>2686</v>
      </c>
      <c r="E32" s="24" t="s">
        <v>801</v>
      </c>
      <c r="F32" s="25">
        <v>6</v>
      </c>
      <c r="G32" s="25">
        <v>815</v>
      </c>
      <c r="H32" s="25">
        <v>25</v>
      </c>
      <c r="I32" s="25">
        <f>G32-H32</f>
        <v>790</v>
      </c>
      <c r="J32" s="24" t="s">
        <v>2589</v>
      </c>
      <c r="K32" s="24" t="s">
        <v>21</v>
      </c>
      <c r="L32" s="24" t="s">
        <v>2590</v>
      </c>
      <c r="M32" s="24"/>
      <c r="N32" s="24"/>
      <c r="O32" s="24"/>
      <c r="P32" s="24"/>
      <c r="Q32" s="24">
        <v>1</v>
      </c>
    </row>
    <row r="33" spans="1:17" x14ac:dyDescent="0.25">
      <c r="A33" s="24"/>
      <c r="B33" s="24" t="s">
        <v>16</v>
      </c>
      <c r="C33" s="24" t="s">
        <v>2687</v>
      </c>
      <c r="D33" s="24" t="s">
        <v>2688</v>
      </c>
      <c r="E33" s="24" t="s">
        <v>2689</v>
      </c>
      <c r="F33" s="24" t="s">
        <v>128</v>
      </c>
      <c r="G33" s="25">
        <v>345</v>
      </c>
      <c r="H33" s="25">
        <v>35</v>
      </c>
      <c r="I33" s="25">
        <f>G33-H33</f>
        <v>310</v>
      </c>
      <c r="J33" s="24" t="s">
        <v>2589</v>
      </c>
      <c r="K33" s="24" t="s">
        <v>21</v>
      </c>
      <c r="L33" s="24" t="s">
        <v>2590</v>
      </c>
      <c r="M33" s="24"/>
      <c r="N33" s="24"/>
      <c r="O33" s="24"/>
      <c r="P33" s="24"/>
      <c r="Q33" s="24">
        <v>1</v>
      </c>
    </row>
    <row r="34" spans="1:17" x14ac:dyDescent="0.25">
      <c r="A34" s="24"/>
      <c r="B34" s="24" t="s">
        <v>16</v>
      </c>
      <c r="C34" s="24" t="s">
        <v>2690</v>
      </c>
      <c r="D34" s="24" t="s">
        <v>2691</v>
      </c>
      <c r="E34" s="24" t="s">
        <v>2692</v>
      </c>
      <c r="F34" s="25">
        <v>10</v>
      </c>
      <c r="G34" s="25">
        <v>875</v>
      </c>
      <c r="H34" s="25">
        <v>25</v>
      </c>
      <c r="I34" s="25">
        <f>G34-H34</f>
        <v>850</v>
      </c>
      <c r="J34" s="24" t="s">
        <v>2589</v>
      </c>
      <c r="K34" s="24" t="s">
        <v>21</v>
      </c>
      <c r="L34" s="24" t="s">
        <v>2590</v>
      </c>
      <c r="M34" s="24"/>
      <c r="N34" s="24"/>
      <c r="O34" s="24"/>
      <c r="P34" s="24"/>
      <c r="Q34" s="24">
        <v>1</v>
      </c>
    </row>
    <row r="35" spans="1:17" x14ac:dyDescent="0.25">
      <c r="A35" s="24"/>
      <c r="B35" s="24" t="s">
        <v>16</v>
      </c>
      <c r="C35" s="24" t="s">
        <v>2696</v>
      </c>
      <c r="D35" s="24" t="s">
        <v>2697</v>
      </c>
      <c r="E35" s="24" t="s">
        <v>2698</v>
      </c>
      <c r="F35" s="25">
        <v>8</v>
      </c>
      <c r="G35" s="25">
        <v>690</v>
      </c>
      <c r="H35" s="25">
        <v>30</v>
      </c>
      <c r="I35" s="25">
        <f>G35-H35</f>
        <v>660</v>
      </c>
      <c r="J35" s="24" t="s">
        <v>2589</v>
      </c>
      <c r="K35" s="24" t="s">
        <v>21</v>
      </c>
      <c r="L35" s="24" t="s">
        <v>2590</v>
      </c>
      <c r="M35" s="24"/>
      <c r="N35" s="24"/>
      <c r="O35" s="24"/>
      <c r="P35" s="24"/>
      <c r="Q35" s="24">
        <v>1</v>
      </c>
    </row>
    <row r="36" spans="1:17" x14ac:dyDescent="0.25">
      <c r="A36" s="24"/>
      <c r="B36" s="24" t="s">
        <v>16</v>
      </c>
      <c r="C36" s="24" t="s">
        <v>2701</v>
      </c>
      <c r="D36" s="24" t="s">
        <v>2702</v>
      </c>
      <c r="E36" s="24" t="s">
        <v>2703</v>
      </c>
      <c r="F36" s="25">
        <v>5</v>
      </c>
      <c r="G36" s="25">
        <v>925</v>
      </c>
      <c r="H36" s="25">
        <v>25</v>
      </c>
      <c r="I36" s="25">
        <f>G36-H36</f>
        <v>900</v>
      </c>
      <c r="J36" s="24" t="s">
        <v>2589</v>
      </c>
      <c r="K36" s="24" t="s">
        <v>21</v>
      </c>
      <c r="L36" s="24" t="s">
        <v>2590</v>
      </c>
      <c r="M36" s="24"/>
      <c r="N36" s="24"/>
      <c r="O36" s="24"/>
      <c r="P36" s="24"/>
      <c r="Q36" s="24">
        <v>1</v>
      </c>
    </row>
    <row r="37" spans="1:17" s="48" customFormat="1" x14ac:dyDescent="0.25">
      <c r="A37" s="46"/>
      <c r="B37" s="46" t="s">
        <v>16</v>
      </c>
      <c r="C37" s="46" t="s">
        <v>2597</v>
      </c>
      <c r="D37" s="46" t="s">
        <v>2598</v>
      </c>
      <c r="E37" s="46" t="s">
        <v>2599</v>
      </c>
      <c r="F37" s="46" t="s">
        <v>153</v>
      </c>
      <c r="G37" s="47">
        <v>690</v>
      </c>
      <c r="H37" s="47">
        <v>30</v>
      </c>
      <c r="I37" s="47">
        <f>G37-H37</f>
        <v>660</v>
      </c>
      <c r="J37" s="46" t="s">
        <v>21</v>
      </c>
      <c r="K37" s="46" t="s">
        <v>21</v>
      </c>
      <c r="L37" s="46" t="s">
        <v>2590</v>
      </c>
      <c r="M37" s="46" t="s">
        <v>49</v>
      </c>
      <c r="N37" s="46"/>
      <c r="O37" s="46"/>
      <c r="P37" s="46"/>
      <c r="Q37" s="46">
        <v>1</v>
      </c>
    </row>
    <row r="38" spans="1:17" x14ac:dyDescent="0.25">
      <c r="A38" s="24"/>
      <c r="B38" s="24" t="s">
        <v>16</v>
      </c>
      <c r="C38" s="24" t="s">
        <v>969</v>
      </c>
      <c r="D38" s="24" t="s">
        <v>2605</v>
      </c>
      <c r="E38" s="24" t="s">
        <v>2606</v>
      </c>
      <c r="F38" s="24" t="s">
        <v>72</v>
      </c>
      <c r="G38" s="25">
        <v>0</v>
      </c>
      <c r="H38" s="25">
        <v>25</v>
      </c>
      <c r="I38" s="25">
        <f>-H38</f>
        <v>-25</v>
      </c>
      <c r="J38" s="24" t="s">
        <v>21</v>
      </c>
      <c r="K38" s="24" t="s">
        <v>21</v>
      </c>
      <c r="L38" s="24" t="s">
        <v>2590</v>
      </c>
      <c r="M38" s="31" t="s">
        <v>2607</v>
      </c>
      <c r="N38" s="24"/>
      <c r="O38" s="24"/>
      <c r="P38" s="24"/>
      <c r="Q38" s="24">
        <v>1</v>
      </c>
    </row>
    <row r="39" spans="1:17" x14ac:dyDescent="0.25">
      <c r="A39" s="24"/>
      <c r="B39" s="24" t="s">
        <v>16</v>
      </c>
      <c r="C39" s="24" t="s">
        <v>2608</v>
      </c>
      <c r="D39" s="24" t="s">
        <v>2609</v>
      </c>
      <c r="E39" s="24" t="s">
        <v>2610</v>
      </c>
      <c r="F39" s="24" t="s">
        <v>153</v>
      </c>
      <c r="G39" s="25">
        <v>820</v>
      </c>
      <c r="H39" s="25">
        <v>30</v>
      </c>
      <c r="I39" s="25">
        <f>G39-H39</f>
        <v>790</v>
      </c>
      <c r="J39" s="24" t="s">
        <v>21</v>
      </c>
      <c r="K39" s="24" t="s">
        <v>21</v>
      </c>
      <c r="L39" s="24" t="s">
        <v>2590</v>
      </c>
      <c r="M39" s="24"/>
      <c r="N39" s="24"/>
      <c r="O39" s="24"/>
      <c r="P39" s="24"/>
      <c r="Q39" s="24">
        <v>1</v>
      </c>
    </row>
    <row r="40" spans="1:17" x14ac:dyDescent="0.25">
      <c r="A40" s="24"/>
      <c r="B40" s="24" t="s">
        <v>16</v>
      </c>
      <c r="C40" s="24" t="s">
        <v>729</v>
      </c>
      <c r="D40" s="24" t="s">
        <v>2623</v>
      </c>
      <c r="E40" s="24" t="s">
        <v>2624</v>
      </c>
      <c r="F40" s="24" t="s">
        <v>153</v>
      </c>
      <c r="G40" s="25">
        <v>770</v>
      </c>
      <c r="H40" s="25">
        <v>30</v>
      </c>
      <c r="I40" s="25">
        <f>G40-H40</f>
        <v>740</v>
      </c>
      <c r="J40" s="24" t="s">
        <v>21</v>
      </c>
      <c r="K40" s="24" t="s">
        <v>21</v>
      </c>
      <c r="L40" s="24" t="s">
        <v>2590</v>
      </c>
      <c r="M40" s="24"/>
      <c r="N40" s="24"/>
      <c r="O40" s="24"/>
      <c r="P40" s="24"/>
      <c r="Q40" s="24">
        <v>1</v>
      </c>
    </row>
    <row r="41" spans="1:17" x14ac:dyDescent="0.25">
      <c r="A41" s="24"/>
      <c r="B41" s="24" t="s">
        <v>16</v>
      </c>
      <c r="C41" s="24" t="s">
        <v>2625</v>
      </c>
      <c r="D41" s="24" t="s">
        <v>2626</v>
      </c>
      <c r="E41" s="24" t="s">
        <v>2627</v>
      </c>
      <c r="F41" s="24" t="s">
        <v>68</v>
      </c>
      <c r="G41" s="25">
        <v>550</v>
      </c>
      <c r="H41" s="25">
        <v>20</v>
      </c>
      <c r="I41" s="25">
        <f>G41-H41</f>
        <v>530</v>
      </c>
      <c r="J41" s="24" t="s">
        <v>21</v>
      </c>
      <c r="K41" s="24" t="s">
        <v>21</v>
      </c>
      <c r="L41" s="24" t="s">
        <v>2590</v>
      </c>
      <c r="M41" s="24"/>
      <c r="N41" s="24"/>
      <c r="O41" s="24"/>
      <c r="P41" s="24"/>
      <c r="Q41" s="24">
        <v>1</v>
      </c>
    </row>
    <row r="42" spans="1:17" x14ac:dyDescent="0.25">
      <c r="A42" s="24"/>
      <c r="B42" s="24" t="s">
        <v>16</v>
      </c>
      <c r="C42" s="24" t="s">
        <v>1739</v>
      </c>
      <c r="D42" s="24" t="s">
        <v>2635</v>
      </c>
      <c r="E42" s="24" t="s">
        <v>1510</v>
      </c>
      <c r="F42" s="24" t="s">
        <v>72</v>
      </c>
      <c r="G42" s="25">
        <v>1455</v>
      </c>
      <c r="H42" s="25">
        <v>25</v>
      </c>
      <c r="I42" s="25">
        <f>G42-H42</f>
        <v>1430</v>
      </c>
      <c r="J42" s="24" t="s">
        <v>21</v>
      </c>
      <c r="K42" s="24" t="s">
        <v>21</v>
      </c>
      <c r="L42" s="24" t="s">
        <v>2590</v>
      </c>
      <c r="M42" s="24"/>
      <c r="N42" s="24"/>
      <c r="O42" s="24"/>
      <c r="P42" s="24"/>
      <c r="Q42" s="24">
        <v>1</v>
      </c>
    </row>
    <row r="43" spans="1:17" x14ac:dyDescent="0.25">
      <c r="A43" s="24"/>
      <c r="B43" s="24" t="s">
        <v>16</v>
      </c>
      <c r="C43" s="24" t="s">
        <v>136</v>
      </c>
      <c r="D43" s="24" t="s">
        <v>2644</v>
      </c>
      <c r="E43" s="24" t="s">
        <v>138</v>
      </c>
      <c r="F43" s="24" t="s">
        <v>68</v>
      </c>
      <c r="G43" s="25">
        <v>0</v>
      </c>
      <c r="H43" s="25">
        <v>20</v>
      </c>
      <c r="I43" s="25">
        <f>-H43</f>
        <v>-20</v>
      </c>
      <c r="J43" s="24" t="s">
        <v>21</v>
      </c>
      <c r="K43" s="24" t="s">
        <v>21</v>
      </c>
      <c r="L43" s="24" t="s">
        <v>2590</v>
      </c>
      <c r="M43" s="24"/>
      <c r="N43" s="24"/>
      <c r="O43" s="24"/>
      <c r="P43" s="24"/>
      <c r="Q43" s="24">
        <v>1</v>
      </c>
    </row>
    <row r="44" spans="1:17" x14ac:dyDescent="0.25">
      <c r="A44" s="24"/>
      <c r="B44" s="24" t="s">
        <v>16</v>
      </c>
      <c r="C44" s="24" t="s">
        <v>2655</v>
      </c>
      <c r="D44" s="24" t="s">
        <v>2656</v>
      </c>
      <c r="E44" s="24" t="s">
        <v>2657</v>
      </c>
      <c r="F44" s="24" t="s">
        <v>88</v>
      </c>
      <c r="G44" s="25">
        <v>715</v>
      </c>
      <c r="H44" s="25">
        <v>25</v>
      </c>
      <c r="I44" s="25">
        <f>G44-H44</f>
        <v>690</v>
      </c>
      <c r="J44" s="24" t="s">
        <v>21</v>
      </c>
      <c r="K44" s="24" t="s">
        <v>21</v>
      </c>
      <c r="L44" s="24" t="s">
        <v>2590</v>
      </c>
      <c r="M44" s="24"/>
      <c r="N44" s="24"/>
      <c r="O44" s="24"/>
      <c r="P44" s="24"/>
      <c r="Q44" s="24">
        <v>1</v>
      </c>
    </row>
    <row r="45" spans="1:17" x14ac:dyDescent="0.25">
      <c r="A45" s="24"/>
      <c r="B45" s="24" t="s">
        <v>16</v>
      </c>
      <c r="C45" s="24" t="s">
        <v>2671</v>
      </c>
      <c r="D45" s="24" t="s">
        <v>2672</v>
      </c>
      <c r="E45" s="24" t="s">
        <v>2673</v>
      </c>
      <c r="F45" s="24" t="s">
        <v>72</v>
      </c>
      <c r="G45" s="25">
        <v>685</v>
      </c>
      <c r="H45" s="25">
        <v>25</v>
      </c>
      <c r="I45" s="25">
        <f>G45-H45</f>
        <v>660</v>
      </c>
      <c r="J45" s="24" t="s">
        <v>21</v>
      </c>
      <c r="K45" s="24" t="s">
        <v>21</v>
      </c>
      <c r="L45" s="24" t="s">
        <v>2590</v>
      </c>
      <c r="M45" s="24"/>
      <c r="N45" s="24"/>
      <c r="O45" s="24"/>
      <c r="P45" s="24"/>
      <c r="Q45" s="24">
        <v>1</v>
      </c>
    </row>
    <row r="46" spans="1:17" x14ac:dyDescent="0.25">
      <c r="A46" s="24"/>
      <c r="B46" s="24" t="s">
        <v>16</v>
      </c>
      <c r="C46" s="24" t="s">
        <v>2674</v>
      </c>
      <c r="D46" s="24" t="s">
        <v>2675</v>
      </c>
      <c r="E46" s="24" t="s">
        <v>2676</v>
      </c>
      <c r="F46" s="24" t="s">
        <v>85</v>
      </c>
      <c r="G46" s="25">
        <v>680</v>
      </c>
      <c r="H46" s="25">
        <v>20</v>
      </c>
      <c r="I46" s="25">
        <f>G46-H46</f>
        <v>660</v>
      </c>
      <c r="J46" s="24" t="s">
        <v>21</v>
      </c>
      <c r="K46" s="24" t="s">
        <v>21</v>
      </c>
      <c r="L46" s="24" t="s">
        <v>2590</v>
      </c>
      <c r="M46" s="24"/>
      <c r="N46" s="24"/>
      <c r="O46" s="24"/>
      <c r="P46" s="24"/>
      <c r="Q46" s="24">
        <v>1</v>
      </c>
    </row>
    <row r="47" spans="1:17" x14ac:dyDescent="0.25">
      <c r="A47" s="24"/>
      <c r="B47" s="24" t="s">
        <v>16</v>
      </c>
      <c r="C47" s="24" t="s">
        <v>628</v>
      </c>
      <c r="D47" s="24" t="s">
        <v>2677</v>
      </c>
      <c r="E47" s="24" t="s">
        <v>2678</v>
      </c>
      <c r="F47" s="24" t="s">
        <v>72</v>
      </c>
      <c r="G47" s="25">
        <v>720</v>
      </c>
      <c r="H47" s="25">
        <v>25</v>
      </c>
      <c r="I47" s="25">
        <f>G47-H47</f>
        <v>695</v>
      </c>
      <c r="J47" s="24" t="s">
        <v>21</v>
      </c>
      <c r="K47" s="24" t="s">
        <v>21</v>
      </c>
      <c r="L47" s="24" t="s">
        <v>2590</v>
      </c>
      <c r="M47" s="31" t="s">
        <v>398</v>
      </c>
      <c r="N47" s="24"/>
      <c r="O47" s="24"/>
      <c r="P47" s="24"/>
      <c r="Q47" s="24">
        <v>1</v>
      </c>
    </row>
    <row r="48" spans="1:17" x14ac:dyDescent="0.25">
      <c r="A48" s="24"/>
      <c r="B48" s="24" t="s">
        <v>16</v>
      </c>
      <c r="C48" s="24" t="s">
        <v>2682</v>
      </c>
      <c r="D48" s="24" t="s">
        <v>2683</v>
      </c>
      <c r="E48" s="24" t="s">
        <v>2684</v>
      </c>
      <c r="F48" s="24" t="s">
        <v>88</v>
      </c>
      <c r="G48" s="25">
        <v>685</v>
      </c>
      <c r="H48" s="25">
        <v>25</v>
      </c>
      <c r="I48" s="25">
        <f>G48-H48</f>
        <v>660</v>
      </c>
      <c r="J48" s="24" t="s">
        <v>21</v>
      </c>
      <c r="K48" s="24" t="s">
        <v>21</v>
      </c>
      <c r="L48" s="24" t="s">
        <v>2590</v>
      </c>
      <c r="M48" s="24"/>
      <c r="N48" s="24"/>
      <c r="O48" s="24"/>
      <c r="P48" s="24"/>
      <c r="Q48" s="24">
        <v>1</v>
      </c>
    </row>
    <row r="49" spans="1:17" x14ac:dyDescent="0.25">
      <c r="A49" s="24"/>
      <c r="B49" s="24" t="s">
        <v>16</v>
      </c>
      <c r="C49" s="24" t="s">
        <v>2693</v>
      </c>
      <c r="D49" s="24" t="s">
        <v>2694</v>
      </c>
      <c r="E49" s="24" t="s">
        <v>2695</v>
      </c>
      <c r="F49" s="24" t="s">
        <v>68</v>
      </c>
      <c r="G49" s="25">
        <v>2260</v>
      </c>
      <c r="H49" s="25">
        <v>20</v>
      </c>
      <c r="I49" s="25">
        <f>G49-H49</f>
        <v>2240</v>
      </c>
      <c r="J49" s="24" t="s">
        <v>21</v>
      </c>
      <c r="K49" s="24" t="s">
        <v>21</v>
      </c>
      <c r="L49" s="24" t="s">
        <v>2590</v>
      </c>
      <c r="M49" s="31" t="s">
        <v>398</v>
      </c>
      <c r="N49" s="24"/>
      <c r="O49" s="24"/>
      <c r="P49" s="24"/>
      <c r="Q49" s="24">
        <v>1</v>
      </c>
    </row>
    <row r="50" spans="1:17" x14ac:dyDescent="0.25">
      <c r="A50" s="24" t="s">
        <v>62</v>
      </c>
      <c r="B50" s="24" t="s">
        <v>16</v>
      </c>
      <c r="C50" s="24" t="s">
        <v>640</v>
      </c>
      <c r="D50" s="24"/>
      <c r="E50" s="24" t="s">
        <v>641</v>
      </c>
      <c r="F50" s="24" t="s">
        <v>72</v>
      </c>
      <c r="G50" s="25">
        <v>3955</v>
      </c>
      <c r="H50" s="25">
        <v>35</v>
      </c>
      <c r="I50" s="25">
        <f>G50-H50</f>
        <v>3920</v>
      </c>
      <c r="J50" s="24" t="s">
        <v>21</v>
      </c>
      <c r="K50" s="24" t="s">
        <v>21</v>
      </c>
      <c r="L50" s="24" t="s">
        <v>2590</v>
      </c>
      <c r="M50" s="24"/>
      <c r="N50" s="24"/>
      <c r="O50" s="24"/>
      <c r="P50" s="24"/>
      <c r="Q50" s="24">
        <v>1</v>
      </c>
    </row>
    <row r="51" spans="1:17" x14ac:dyDescent="0.25">
      <c r="A51" s="24" t="s">
        <v>62</v>
      </c>
      <c r="B51" s="24" t="s">
        <v>16</v>
      </c>
      <c r="C51" s="24" t="s">
        <v>591</v>
      </c>
      <c r="D51" s="24"/>
      <c r="E51" s="24" t="s">
        <v>2704</v>
      </c>
      <c r="F51" s="24" t="s">
        <v>2705</v>
      </c>
      <c r="G51" s="25">
        <v>1415</v>
      </c>
      <c r="H51" s="25">
        <v>35</v>
      </c>
      <c r="I51" s="25">
        <f>G51-H51</f>
        <v>1380</v>
      </c>
      <c r="J51" s="24" t="s">
        <v>21</v>
      </c>
      <c r="K51" s="24" t="s">
        <v>21</v>
      </c>
      <c r="L51" s="24" t="s">
        <v>2590</v>
      </c>
      <c r="M51" s="24"/>
      <c r="N51" s="24"/>
      <c r="O51" s="24"/>
      <c r="P51" s="24"/>
      <c r="Q51" s="24">
        <v>1</v>
      </c>
    </row>
    <row r="52" spans="1:17" x14ac:dyDescent="0.25">
      <c r="A52" s="24" t="s">
        <v>62</v>
      </c>
      <c r="B52" s="24" t="s">
        <v>16</v>
      </c>
      <c r="C52" s="24" t="s">
        <v>318</v>
      </c>
      <c r="D52" s="24"/>
      <c r="E52" s="24" t="s">
        <v>2706</v>
      </c>
      <c r="F52" s="24" t="s">
        <v>72</v>
      </c>
      <c r="G52" s="25">
        <v>30</v>
      </c>
      <c r="H52" s="25">
        <v>30</v>
      </c>
      <c r="I52" s="25">
        <f>G52-H52</f>
        <v>0</v>
      </c>
      <c r="J52" s="24" t="s">
        <v>21</v>
      </c>
      <c r="K52" s="24" t="s">
        <v>21</v>
      </c>
      <c r="L52" s="24" t="s">
        <v>2590</v>
      </c>
      <c r="M52" s="24"/>
      <c r="N52" s="24"/>
      <c r="O52" s="24"/>
      <c r="P52" s="24"/>
      <c r="Q52" s="24">
        <v>1</v>
      </c>
    </row>
    <row r="53" spans="1:17" s="8" customFormat="1" x14ac:dyDescent="0.25">
      <c r="A53" s="26"/>
      <c r="B53" s="26" t="s">
        <v>16</v>
      </c>
      <c r="C53" s="26" t="s">
        <v>1739</v>
      </c>
      <c r="D53" s="26" t="s">
        <v>2568</v>
      </c>
      <c r="E53" s="26" t="s">
        <v>1510</v>
      </c>
      <c r="F53" s="26" t="s">
        <v>72</v>
      </c>
      <c r="G53" s="27">
        <v>765</v>
      </c>
      <c r="H53" s="27">
        <v>0</v>
      </c>
      <c r="I53" s="27">
        <f>G53-H53</f>
        <v>765</v>
      </c>
      <c r="J53" s="26" t="s">
        <v>446</v>
      </c>
      <c r="K53" s="26" t="s">
        <v>21</v>
      </c>
      <c r="L53" s="26" t="s">
        <v>2433</v>
      </c>
      <c r="M53" s="26" t="s">
        <v>102</v>
      </c>
      <c r="N53" s="26" t="s">
        <v>448</v>
      </c>
      <c r="O53" s="26" t="s">
        <v>448</v>
      </c>
      <c r="P53" s="26" t="s">
        <v>449</v>
      </c>
      <c r="Q53" s="26">
        <v>1</v>
      </c>
    </row>
    <row r="55" spans="1:17" x14ac:dyDescent="0.25">
      <c r="D55" s="7">
        <f>COUNTA(D3:D53)</f>
        <v>48</v>
      </c>
      <c r="G55" s="7">
        <f>SUBTOTAL(9,G3:G53)</f>
        <v>36725</v>
      </c>
      <c r="H55" s="7">
        <f>SUBTOTAL(9,H3:H53)</f>
        <v>1340</v>
      </c>
      <c r="I55" s="7">
        <f>SUBTOTAL(9,I3:I53)</f>
        <v>35385</v>
      </c>
      <c r="J55" s="7">
        <f>SUBTOTAL(9,J3:J53)</f>
        <v>0</v>
      </c>
      <c r="K55" s="7">
        <f>SUBTOTAL(9,K3:K53)</f>
        <v>0</v>
      </c>
      <c r="L55" s="7">
        <f>SUBTOTAL(9,L3:L53)</f>
        <v>0</v>
      </c>
      <c r="M55" s="7">
        <f>SUBTOTAL(9,M3:M53)</f>
        <v>0</v>
      </c>
      <c r="N55" s="7">
        <f>SUBTOTAL(9,N3:N53)</f>
        <v>0</v>
      </c>
      <c r="O55" s="7">
        <f>SUBTOTAL(9,O3:O53)</f>
        <v>0</v>
      </c>
      <c r="P55" s="7">
        <f>SUBTOTAL(9,P3:P53)</f>
        <v>0</v>
      </c>
      <c r="Q55" s="7">
        <f>SUBTOTAL(9,Q3:Q53)</f>
        <v>51</v>
      </c>
    </row>
    <row r="56" spans="1:17" x14ac:dyDescent="0.25">
      <c r="H56">
        <f>-25*17</f>
        <v>-425</v>
      </c>
    </row>
    <row r="57" spans="1:17" x14ac:dyDescent="0.25">
      <c r="A57" s="7" t="s">
        <v>16</v>
      </c>
      <c r="C57" s="6" t="s">
        <v>89</v>
      </c>
      <c r="D57" s="6"/>
      <c r="E57" s="10" t="s">
        <v>90</v>
      </c>
      <c r="H57">
        <f>-4*25</f>
        <v>-100</v>
      </c>
      <c r="K57" s="13" t="s">
        <v>2589</v>
      </c>
      <c r="L57" s="13" t="s">
        <v>91</v>
      </c>
      <c r="M57" s="13" t="s">
        <v>90</v>
      </c>
      <c r="O57" s="10" t="s">
        <v>92</v>
      </c>
    </row>
    <row r="58" spans="1:17" x14ac:dyDescent="0.25">
      <c r="A58" t="s">
        <v>2590</v>
      </c>
      <c r="B58" s="9" t="s">
        <v>93</v>
      </c>
      <c r="C58" s="5">
        <f>SUMIFS(I$3:I$53,B$3:B$53,A$57,L$3:L$53,A$58)</f>
        <v>34620</v>
      </c>
      <c r="D58" s="5"/>
      <c r="E58" s="9">
        <f>SUMIFS(Q$3:Q$53,B$3:B$53,A$57,L$3:L$53,A$58)</f>
        <v>50</v>
      </c>
      <c r="F58" t="s">
        <v>94</v>
      </c>
      <c r="H58">
        <f>-4*30</f>
        <v>-120</v>
      </c>
      <c r="K58" t="s">
        <v>95</v>
      </c>
      <c r="L58">
        <f>SUMIFS(G$3:G$53,J$3:J$53,K$57)</f>
        <v>20530</v>
      </c>
      <c r="M58">
        <f>SUMIFS(Q$3:Q$53,J$3:J$53,K$57)-INT(COUNTIFS(J$3:J$53,K$57,M$3:M$53,"*gộp*")/2)</f>
        <v>32</v>
      </c>
      <c r="O58" t="s">
        <v>2707</v>
      </c>
      <c r="P58">
        <f>L63</f>
        <v>19885</v>
      </c>
    </row>
    <row r="59" spans="1:17" x14ac:dyDescent="0.25">
      <c r="B59" s="8" t="s">
        <v>97</v>
      </c>
      <c r="C59" s="4">
        <v>0</v>
      </c>
      <c r="D59" s="4"/>
      <c r="K59" t="s">
        <v>98</v>
      </c>
      <c r="L59">
        <f>SUM(H56:H58)</f>
        <v>-645</v>
      </c>
      <c r="M59">
        <f>SUMIFS(Q$3:Q$53,J$3:J$53,K$57)</f>
        <v>33</v>
      </c>
      <c r="O59" t="s">
        <v>21</v>
      </c>
      <c r="P59">
        <f>L71</f>
        <v>14229</v>
      </c>
    </row>
    <row r="60" spans="1:17" x14ac:dyDescent="0.25">
      <c r="B60" s="8" t="s">
        <v>99</v>
      </c>
      <c r="C60" s="4">
        <f>-SUMIFS(I$3:I$53,B$3:B$53,A$57,P$3:P$53,"xx",N$3:N$53,"x")</f>
        <v>-765</v>
      </c>
      <c r="D60" s="4"/>
      <c r="E60" s="8">
        <f>SUMIFS(Q$3:Q$53,B$3:B$53,A$57,P$3:P$53,"xx",N$3:N$53,"x")</f>
        <v>1</v>
      </c>
      <c r="K60" t="s">
        <v>100</v>
      </c>
      <c r="O60" t="s">
        <v>20</v>
      </c>
      <c r="P60">
        <f>L79</f>
        <v>-25</v>
      </c>
    </row>
    <row r="61" spans="1:17" x14ac:dyDescent="0.25">
      <c r="B61" s="10" t="s">
        <v>101</v>
      </c>
      <c r="C61" s="6">
        <f>SUBTOTAL(9,C58:C60)</f>
        <v>33855</v>
      </c>
      <c r="D61" s="6"/>
      <c r="E61">
        <f>E58</f>
        <v>50</v>
      </c>
      <c r="K61" s="8" t="s">
        <v>102</v>
      </c>
      <c r="L61" s="8"/>
      <c r="M61" s="35"/>
      <c r="O61" t="s">
        <v>103</v>
      </c>
      <c r="P61">
        <f>-C65</f>
        <v>-33855</v>
      </c>
    </row>
    <row r="62" spans="1:17" x14ac:dyDescent="0.25">
      <c r="B62" s="8" t="s">
        <v>104</v>
      </c>
      <c r="C62" s="3"/>
      <c r="D62" s="3"/>
      <c r="K62" s="8" t="s">
        <v>105</v>
      </c>
      <c r="O62" s="10" t="s">
        <v>106</v>
      </c>
      <c r="P62" s="10">
        <f>SUBTOTAL(9,P58:P61)</f>
        <v>234</v>
      </c>
    </row>
    <row r="63" spans="1:17" x14ac:dyDescent="0.25">
      <c r="B63" s="14" t="s">
        <v>107</v>
      </c>
      <c r="C63" s="3"/>
      <c r="D63" s="3"/>
      <c r="L63" s="15">
        <f>SUBTOTAL(9,L58:L62)</f>
        <v>19885</v>
      </c>
      <c r="M63" s="15">
        <f>M58</f>
        <v>32</v>
      </c>
    </row>
    <row r="65" spans="2:13" x14ac:dyDescent="0.25">
      <c r="B65" s="7" t="s">
        <v>108</v>
      </c>
      <c r="C65" s="2">
        <f>C61+C62+C63</f>
        <v>33855</v>
      </c>
      <c r="D65" s="2"/>
      <c r="E65" s="7" t="s">
        <v>109</v>
      </c>
      <c r="K65" s="13" t="s">
        <v>21</v>
      </c>
      <c r="L65" s="13" t="s">
        <v>91</v>
      </c>
      <c r="M65" s="13" t="s">
        <v>90</v>
      </c>
    </row>
    <row r="66" spans="2:13" x14ac:dyDescent="0.25">
      <c r="K66" t="s">
        <v>95</v>
      </c>
      <c r="L66">
        <f>SUMIFS(G$3:G$53,J$3:J$53,K$65)</f>
        <v>15430</v>
      </c>
      <c r="M66">
        <f>SUMIFS(Q$3:Q$53,J$3:J$53,K$65)-INT(COUNTIFS(J$3:J$53,K$65,M$3:M$53,"*gộp*")/2)</f>
        <v>16</v>
      </c>
    </row>
    <row r="67" spans="2:13" x14ac:dyDescent="0.25">
      <c r="K67" t="s">
        <v>98</v>
      </c>
      <c r="L67">
        <f>-SUMIFS(H$3:H$53,J$3:J$53,K$65)+M67*5</f>
        <v>-340</v>
      </c>
      <c r="M67">
        <f>SUMIFS(Q$3:Q$53,J$3:J$53,K$65)-INT(COUNTIFS(J$3:J$53,K$65,M$3:M$53,"*gộp*")/2)</f>
        <v>16</v>
      </c>
    </row>
    <row r="68" spans="2:13" x14ac:dyDescent="0.25">
      <c r="K68" t="s">
        <v>100</v>
      </c>
      <c r="L68">
        <f>-M68*2</f>
        <v>-96</v>
      </c>
      <c r="M68">
        <f>E61-(COUNTIFS(M$3:M$53,"*gộp*")/2)-COUNTIFS(M$3:M$53,"*đơn trả*")-COUNTIFS(M$3:M$53,"*hàng tỉnh*")</f>
        <v>48</v>
      </c>
    </row>
    <row r="69" spans="2:13" x14ac:dyDescent="0.25">
      <c r="K69" s="8" t="s">
        <v>102</v>
      </c>
      <c r="L69" s="8">
        <v>-765</v>
      </c>
      <c r="M69" s="35" t="s">
        <v>451</v>
      </c>
    </row>
    <row r="70" spans="2:13" x14ac:dyDescent="0.25">
      <c r="K70" s="8" t="s">
        <v>105</v>
      </c>
    </row>
    <row r="71" spans="2:13" x14ac:dyDescent="0.25">
      <c r="L71" s="15">
        <f>SUBTOTAL(9,L66:L70)</f>
        <v>14229</v>
      </c>
      <c r="M71" s="15">
        <f>M66</f>
        <v>16</v>
      </c>
    </row>
    <row r="73" spans="2:13" x14ac:dyDescent="0.25">
      <c r="K73" s="13" t="s">
        <v>20</v>
      </c>
      <c r="L73" s="13" t="s">
        <v>91</v>
      </c>
      <c r="M73" s="13" t="s">
        <v>90</v>
      </c>
    </row>
    <row r="74" spans="2:13" x14ac:dyDescent="0.25">
      <c r="K74" t="s">
        <v>95</v>
      </c>
      <c r="L74">
        <f>SUMIFS(G$3:G$53,J$3:J$53,K$73)</f>
        <v>0</v>
      </c>
      <c r="M74">
        <f>SUMIFS(Q$3:Q$53,J$3:J$53,K$73)-INT(COUNTIFS(J$3:J$53,K$73,M$3:M$53,"*gộp*")/2)</f>
        <v>1</v>
      </c>
    </row>
    <row r="75" spans="2:13" x14ac:dyDescent="0.25">
      <c r="K75" t="s">
        <v>98</v>
      </c>
      <c r="L75">
        <f>-SUMIFS(H$3:H$53,J$3:J$53,K$73)+M75*5</f>
        <v>-25</v>
      </c>
      <c r="M75">
        <f>SUMIFS(Q$3:Q$53,J$3:J$53,K$73)-INT(COUNTIFS(J$3:J$53,K$73,M$3:M$53,"*gộp*")/2)</f>
        <v>1</v>
      </c>
    </row>
    <row r="76" spans="2:13" x14ac:dyDescent="0.25">
      <c r="K76" t="s">
        <v>100</v>
      </c>
    </row>
    <row r="77" spans="2:13" x14ac:dyDescent="0.25">
      <c r="K77" s="8" t="s">
        <v>102</v>
      </c>
    </row>
    <row r="78" spans="2:13" x14ac:dyDescent="0.25">
      <c r="K78" s="8" t="s">
        <v>105</v>
      </c>
    </row>
    <row r="79" spans="2:13" x14ac:dyDescent="0.25">
      <c r="L79" s="15">
        <f>SUBTOTAL(9,L74:L78)</f>
        <v>-25</v>
      </c>
      <c r="M79" s="15">
        <f>M74</f>
        <v>1</v>
      </c>
    </row>
  </sheetData>
  <autoFilter ref="A2:P53" xr:uid="{00000000-0009-0000-0000-000016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D26" sqref="D26"/>
    </sheetView>
  </sheetViews>
  <sheetFormatPr defaultColWidth="9.140625" defaultRowHeight="15" x14ac:dyDescent="0.25"/>
  <cols>
    <col min="1" max="1" width="9.42578125" style="36" bestFit="1" customWidth="1"/>
    <col min="2" max="2" width="10.85546875" style="36" bestFit="1" customWidth="1"/>
    <col min="3" max="3" width="9.42578125" style="36" bestFit="1" customWidth="1"/>
    <col min="4" max="4" width="17.5703125" style="36" bestFit="1" customWidth="1"/>
    <col min="5" max="5" width="15.85546875" style="36" bestFit="1" customWidth="1"/>
    <col min="6" max="6" width="9.140625" style="36" customWidth="1"/>
    <col min="7" max="16384" width="9.140625" style="36"/>
  </cols>
  <sheetData>
    <row r="1" spans="1:5" x14ac:dyDescent="0.25">
      <c r="A1" s="36" t="s">
        <v>2578</v>
      </c>
      <c r="B1" s="36">
        <v>2026</v>
      </c>
    </row>
    <row r="2" spans="1:5" x14ac:dyDescent="0.25">
      <c r="A2" s="37" t="s">
        <v>2579</v>
      </c>
      <c r="B2" s="37" t="s">
        <v>2580</v>
      </c>
      <c r="C2" s="37" t="s">
        <v>2581</v>
      </c>
      <c r="D2" s="37" t="s">
        <v>2582</v>
      </c>
      <c r="E2" s="37" t="s">
        <v>2583</v>
      </c>
    </row>
    <row r="3" spans="1:5" x14ac:dyDescent="0.25">
      <c r="A3" s="38">
        <v>46113</v>
      </c>
      <c r="B3" s="39">
        <f ca="1">IFERROR(COUNTIF(INDIRECT("'"&amp;TEXT(A3,"dd-mm")&amp;"'!L3:L100"),TEXT(A3,"dd-mm")&amp;"-"&amp;B$1),0)</f>
        <v>21</v>
      </c>
      <c r="C3" s="39">
        <f ca="1">IFERROR(COUNTIF(INDIRECT("'"&amp;TEXT(A3,"DD-MM")&amp;"'!M3:M100"),"*gộp*")/2,0)</f>
        <v>0</v>
      </c>
      <c r="D3" s="39" cm="1">
        <f t="array" ref="D3" ca="1">IFERROR(SUM(COUNTIF(INDIRECT("'"&amp;TEXT(A3,"DD-MM")&amp;"'!M3:M100"),{"*đơn trả*","*hàng tỉnh*"})),0)</f>
        <v>0</v>
      </c>
      <c r="E3" s="39">
        <f t="shared" ref="E3:E28" ca="1" si="0">B3-C3-D3</f>
        <v>21</v>
      </c>
    </row>
    <row r="4" spans="1:5" x14ac:dyDescent="0.25">
      <c r="A4" s="38">
        <v>46114</v>
      </c>
      <c r="B4" s="39">
        <f ca="1">IFERROR(COUNTIF(INDIRECT("'"&amp;TEXT(A4,"dd-mm")&amp;"'!L3:L100"),TEXT(A4,"dd-mm")&amp;"-"&amp;B$1),0)</f>
        <v>22</v>
      </c>
      <c r="C4" s="39">
        <f ca="1">IFERROR(COUNTIF(INDIRECT("'"&amp;TEXT(A4,"DD-MM")&amp;"'!M3:M100"),"*gộp*")/2,0)</f>
        <v>0</v>
      </c>
      <c r="D4" s="39" cm="1">
        <f t="array" ref="D4" ca="1">IFERROR(SUM(COUNTIF(INDIRECT("'"&amp;TEXT(A4,"DD-MM")&amp;"'!M3:M100"),{"*đơn trả*","*hàng tỉnh*"})),0)</f>
        <v>0</v>
      </c>
      <c r="E4" s="39">
        <f t="shared" ca="1" si="0"/>
        <v>22</v>
      </c>
    </row>
    <row r="5" spans="1:5" x14ac:dyDescent="0.25">
      <c r="A5" s="38">
        <v>46115</v>
      </c>
      <c r="B5" s="39">
        <f t="shared" ref="B5:B28" ca="1" si="1">IFERROR(COUNTIF(INDIRECT("'"&amp;TEXT(A5,"dd-mm")&amp;"'!L3:L100"),TEXT(A5,"dd-mm")&amp;"-"&amp;B$1),0)</f>
        <v>51</v>
      </c>
      <c r="C5" s="39">
        <f t="shared" ref="C5:C28" ca="1" si="2">IFERROR(COUNTIF(INDIRECT("'"&amp;TEXT(A5,"DD-MM")&amp;"'!M3:M100"),"*gộp*")/2,0)</f>
        <v>2</v>
      </c>
      <c r="D5" s="39" cm="1">
        <f t="array" aca="1" ref="D5" ca="1">IFERROR(SUM(COUNTIF(INDIRECT("'"&amp;TEXT(A5,"DD-MM")&amp;"'!M3:M100"),{"*đơn trả*","*hàng tỉnh*"})),0)</f>
        <v>0</v>
      </c>
      <c r="E5" s="39">
        <f t="shared" ca="1" si="0"/>
        <v>49</v>
      </c>
    </row>
    <row r="6" spans="1:5" x14ac:dyDescent="0.25">
      <c r="A6" s="38">
        <v>46116</v>
      </c>
      <c r="B6" s="39">
        <f t="shared" ca="1" si="1"/>
        <v>40</v>
      </c>
      <c r="C6" s="39">
        <f t="shared" ca="1" si="2"/>
        <v>0</v>
      </c>
      <c r="D6" s="39" cm="1">
        <f t="array" aca="1" ref="D6" ca="1">IFERROR(SUM(COUNTIF(INDIRECT("'"&amp;TEXT(A6,"DD-MM")&amp;"'!M3:M100"),{"*đơn trả*","*hàng tỉnh*"})),0)</f>
        <v>2</v>
      </c>
      <c r="E6" s="39">
        <f t="shared" ca="1" si="0"/>
        <v>38</v>
      </c>
    </row>
    <row r="7" spans="1:5" x14ac:dyDescent="0.25">
      <c r="A7" s="38">
        <v>46118</v>
      </c>
      <c r="B7" s="39">
        <f t="shared" ca="1" si="1"/>
        <v>52</v>
      </c>
      <c r="C7" s="39">
        <f t="shared" ca="1" si="2"/>
        <v>0</v>
      </c>
      <c r="D7" s="39" cm="1">
        <f t="array" aca="1" ref="D7" ca="1">IFERROR(SUM(COUNTIF(INDIRECT("'"&amp;TEXT(A7,"DD-MM")&amp;"'!M3:M100"),{"*đơn trả*","*hàng tỉnh*"})),0)</f>
        <v>1</v>
      </c>
      <c r="E7" s="39">
        <f t="shared" ca="1" si="0"/>
        <v>51</v>
      </c>
    </row>
    <row r="8" spans="1:5" x14ac:dyDescent="0.25">
      <c r="A8" s="38">
        <v>46119</v>
      </c>
      <c r="B8" s="39">
        <f t="shared" ca="1" si="1"/>
        <v>25</v>
      </c>
      <c r="C8" s="39">
        <f t="shared" ca="1" si="2"/>
        <v>0</v>
      </c>
      <c r="D8" s="39" cm="1">
        <f t="array" aca="1" ref="D8" ca="1">IFERROR(SUM(COUNTIF(INDIRECT("'"&amp;TEXT(A8,"DD-MM")&amp;"'!M3:M100"),{"*đơn trả*","*hàng tỉnh*"})),0)</f>
        <v>0</v>
      </c>
      <c r="E8" s="39">
        <f t="shared" ca="1" si="0"/>
        <v>25</v>
      </c>
    </row>
    <row r="9" spans="1:5" x14ac:dyDescent="0.25">
      <c r="A9" s="38">
        <v>46120</v>
      </c>
      <c r="B9" s="39">
        <f t="shared" ca="1" si="1"/>
        <v>43</v>
      </c>
      <c r="C9" s="39">
        <f t="shared" ca="1" si="2"/>
        <v>0</v>
      </c>
      <c r="D9" s="39" cm="1">
        <f t="array" aca="1" ref="D9" ca="1">IFERROR(SUM(COUNTIF(INDIRECT("'"&amp;TEXT(A9,"DD-MM")&amp;"'!M3:M100"),{"*đơn trả*","*hàng tỉnh*"})),0)</f>
        <v>3</v>
      </c>
      <c r="E9" s="39">
        <f t="shared" ca="1" si="0"/>
        <v>40</v>
      </c>
    </row>
    <row r="10" spans="1:5" x14ac:dyDescent="0.25">
      <c r="A10" s="38">
        <v>46121</v>
      </c>
      <c r="B10" s="39">
        <f t="shared" ca="1" si="1"/>
        <v>37</v>
      </c>
      <c r="C10" s="39">
        <f t="shared" ca="1" si="2"/>
        <v>0</v>
      </c>
      <c r="D10" s="39" cm="1">
        <f t="array" aca="1" ref="D10" ca="1">IFERROR(SUM(COUNTIF(INDIRECT("'"&amp;TEXT(A10,"DD-MM")&amp;"'!M3:M100"),{"*đơn trả*","*hàng tỉnh*"})),0)</f>
        <v>0</v>
      </c>
      <c r="E10" s="39">
        <f t="shared" ca="1" si="0"/>
        <v>37</v>
      </c>
    </row>
    <row r="11" spans="1:5" x14ac:dyDescent="0.25">
      <c r="A11" s="38">
        <v>46122</v>
      </c>
      <c r="B11" s="39">
        <f t="shared" ca="1" si="1"/>
        <v>51</v>
      </c>
      <c r="C11" s="39">
        <f t="shared" ca="1" si="2"/>
        <v>2</v>
      </c>
      <c r="D11" s="39" cm="1">
        <f t="array" aca="1" ref="D11" ca="1">IFERROR(SUM(COUNTIF(INDIRECT("'"&amp;TEXT(A11,"DD-MM")&amp;"'!M3:M100"),{"*đơn trả*","*hàng tỉnh*"})),0)</f>
        <v>1</v>
      </c>
      <c r="E11" s="39">
        <f t="shared" ca="1" si="0"/>
        <v>48</v>
      </c>
    </row>
    <row r="12" spans="1:5" x14ac:dyDescent="0.25">
      <c r="A12" s="38">
        <v>46123</v>
      </c>
      <c r="B12" s="39">
        <f t="shared" ca="1" si="1"/>
        <v>41</v>
      </c>
      <c r="C12" s="39">
        <f t="shared" ca="1" si="2"/>
        <v>0</v>
      </c>
      <c r="D12" s="39" cm="1">
        <f t="array" aca="1" ref="D12" ca="1">IFERROR(SUM(COUNTIF(INDIRECT("'"&amp;TEXT(A12,"DD-MM")&amp;"'!M3:M100"),{"*đơn trả*","*hàng tỉnh*"})),0)</f>
        <v>0</v>
      </c>
      <c r="E12" s="39">
        <f t="shared" ca="1" si="0"/>
        <v>41</v>
      </c>
    </row>
    <row r="13" spans="1:5" x14ac:dyDescent="0.25">
      <c r="A13" s="38">
        <v>46125</v>
      </c>
      <c r="B13" s="39">
        <f t="shared" ca="1" si="1"/>
        <v>63</v>
      </c>
      <c r="C13" s="39">
        <f t="shared" ca="1" si="2"/>
        <v>3</v>
      </c>
      <c r="D13" s="39" cm="1">
        <f t="array" aca="1" ref="D13" ca="1">IFERROR(SUM(COUNTIF(INDIRECT("'"&amp;TEXT(A13,"DD-MM")&amp;"'!M3:M100"),{"*đơn trả*","*hàng tỉnh*"})),0)</f>
        <v>0</v>
      </c>
      <c r="E13" s="39">
        <f t="shared" ca="1" si="0"/>
        <v>60</v>
      </c>
    </row>
    <row r="14" spans="1:5" x14ac:dyDescent="0.25">
      <c r="A14" s="38">
        <v>46126</v>
      </c>
      <c r="B14" s="39">
        <f t="shared" ca="1" si="1"/>
        <v>20</v>
      </c>
      <c r="C14" s="39">
        <f t="shared" ca="1" si="2"/>
        <v>0</v>
      </c>
      <c r="D14" s="39" cm="1">
        <f t="array" aca="1" ref="D14" ca="1">IFERROR(SUM(COUNTIF(INDIRECT("'"&amp;TEXT(A14,"DD-MM")&amp;"'!M3:M100"),{"*đơn trả*","*hàng tỉnh*"})),0)</f>
        <v>4</v>
      </c>
      <c r="E14" s="39">
        <f t="shared" ca="1" si="0"/>
        <v>16</v>
      </c>
    </row>
    <row r="15" spans="1:5" x14ac:dyDescent="0.25">
      <c r="A15" s="38">
        <v>46127</v>
      </c>
      <c r="B15" s="39">
        <f t="shared" ca="1" si="1"/>
        <v>32</v>
      </c>
      <c r="C15" s="39">
        <f t="shared" ca="1" si="2"/>
        <v>0</v>
      </c>
      <c r="D15" s="39" cm="1">
        <f t="array" aca="1" ref="D15" ca="1">IFERROR(SUM(COUNTIF(INDIRECT("'"&amp;TEXT(A15,"DD-MM")&amp;"'!M3:M100"),{"*đơn trả*","*hàng tỉnh*"})),0)</f>
        <v>0</v>
      </c>
      <c r="E15" s="39">
        <f t="shared" ca="1" si="0"/>
        <v>32</v>
      </c>
    </row>
    <row r="16" spans="1:5" x14ac:dyDescent="0.25">
      <c r="A16" s="38">
        <v>46128</v>
      </c>
      <c r="B16" s="39">
        <f t="shared" ca="1" si="1"/>
        <v>49</v>
      </c>
      <c r="C16" s="39">
        <f t="shared" ca="1" si="2"/>
        <v>0</v>
      </c>
      <c r="D16" s="39" cm="1">
        <f t="array" aca="1" ref="D16" ca="1">IFERROR(SUM(COUNTIF(INDIRECT("'"&amp;TEXT(A16,"DD-MM")&amp;"'!M3:M100"),{"*đơn trả*","*hàng tỉnh*"})),0)</f>
        <v>1</v>
      </c>
      <c r="E16" s="39">
        <f t="shared" ca="1" si="0"/>
        <v>48</v>
      </c>
    </row>
    <row r="17" spans="1:5" x14ac:dyDescent="0.25">
      <c r="A17" s="38">
        <v>46129</v>
      </c>
      <c r="B17" s="39">
        <f t="shared" ca="1" si="1"/>
        <v>51</v>
      </c>
      <c r="C17" s="39">
        <f t="shared" ca="1" si="2"/>
        <v>1</v>
      </c>
      <c r="D17" s="39" cm="1">
        <f t="array" aca="1" ref="D17" ca="1">IFERROR(SUM(COUNTIF(INDIRECT("'"&amp;TEXT(A17,"DD-MM")&amp;"'!M3:M100"),{"*đơn trả*","*hàng tỉnh*"})),0)</f>
        <v>0</v>
      </c>
      <c r="E17" s="39">
        <f t="shared" ca="1" si="0"/>
        <v>50</v>
      </c>
    </row>
    <row r="18" spans="1:5" x14ac:dyDescent="0.25">
      <c r="A18" s="38">
        <v>46130</v>
      </c>
      <c r="B18" s="39">
        <f t="shared" ca="1" si="1"/>
        <v>33</v>
      </c>
      <c r="C18" s="39">
        <f t="shared" ca="1" si="2"/>
        <v>0</v>
      </c>
      <c r="D18" s="39" cm="1">
        <f t="array" aca="1" ref="D18" ca="1">IFERROR(SUM(COUNTIF(INDIRECT("'"&amp;TEXT(A18,"DD-MM")&amp;"'!M3:M100"),{"*đơn trả*","*hàng tỉnh*"})),0)</f>
        <v>1</v>
      </c>
      <c r="E18" s="39">
        <f t="shared" ca="1" si="0"/>
        <v>32</v>
      </c>
    </row>
    <row r="19" spans="1:5" x14ac:dyDescent="0.25">
      <c r="A19" s="38">
        <v>46132</v>
      </c>
      <c r="B19" s="39">
        <f t="shared" ca="1" si="1"/>
        <v>95</v>
      </c>
      <c r="C19" s="39">
        <f t="shared" ca="1" si="2"/>
        <v>2</v>
      </c>
      <c r="D19" s="39" cm="1">
        <f t="array" aca="1" ref="D19" ca="1">IFERROR(SUM(COUNTIF(INDIRECT("'"&amp;TEXT(A19,"DD-MM")&amp;"'!M3:M100"),{"*đơn trả*","*hàng tỉnh*"})),0)</f>
        <v>3</v>
      </c>
      <c r="E19" s="39">
        <f t="shared" ca="1" si="0"/>
        <v>90</v>
      </c>
    </row>
    <row r="20" spans="1:5" x14ac:dyDescent="0.25">
      <c r="A20" s="38">
        <v>46133</v>
      </c>
      <c r="B20" s="39">
        <f t="shared" ca="1" si="1"/>
        <v>58</v>
      </c>
      <c r="C20" s="39">
        <f t="shared" ca="1" si="2"/>
        <v>0</v>
      </c>
      <c r="D20" s="39" cm="1">
        <f t="array" aca="1" ref="D20" ca="1">IFERROR(SUM(COUNTIF(INDIRECT("'"&amp;TEXT(A20,"DD-MM")&amp;"'!M3:M100"),{"*đơn trả*","*hàng tỉnh*"})),0)</f>
        <v>5</v>
      </c>
      <c r="E20" s="39">
        <f t="shared" ca="1" si="0"/>
        <v>53</v>
      </c>
    </row>
    <row r="21" spans="1:5" x14ac:dyDescent="0.25">
      <c r="A21" s="38">
        <v>46134</v>
      </c>
      <c r="B21" s="39">
        <f t="shared" ca="1" si="1"/>
        <v>54</v>
      </c>
      <c r="C21" s="39">
        <f t="shared" ca="1" si="2"/>
        <v>1</v>
      </c>
      <c r="D21" s="39" cm="1">
        <f t="array" aca="1" ref="D21" ca="1">IFERROR(SUM(COUNTIF(INDIRECT("'"&amp;TEXT(A21,"DD-MM")&amp;"'!M3:M100"),{"*đơn trả*","*hàng tỉnh*"})),0)</f>
        <v>0</v>
      </c>
      <c r="E21" s="39">
        <f t="shared" ca="1" si="0"/>
        <v>53</v>
      </c>
    </row>
    <row r="22" spans="1:5" x14ac:dyDescent="0.25">
      <c r="A22" s="38">
        <v>46135</v>
      </c>
      <c r="B22" s="39">
        <f t="shared" ca="1" si="1"/>
        <v>59</v>
      </c>
      <c r="C22" s="39">
        <f t="shared" ca="1" si="2"/>
        <v>1</v>
      </c>
      <c r="D22" s="39" cm="1">
        <f t="array" aca="1" ref="D22" ca="1">IFERROR(SUM(COUNTIF(INDIRECT("'"&amp;TEXT(A22,"DD-MM")&amp;"'!M3:M100"),{"*đơn trả*","*hàng tỉnh*"})),0)</f>
        <v>0</v>
      </c>
      <c r="E22" s="39">
        <f t="shared" ca="1" si="0"/>
        <v>58</v>
      </c>
    </row>
    <row r="23" spans="1:5" x14ac:dyDescent="0.25">
      <c r="A23" s="38">
        <v>46136</v>
      </c>
      <c r="B23" s="39">
        <f t="shared" ca="1" si="1"/>
        <v>64</v>
      </c>
      <c r="C23" s="39">
        <f t="shared" ca="1" si="2"/>
        <v>2</v>
      </c>
      <c r="D23" s="39" cm="1">
        <f t="array" aca="1" ref="D23" ca="1">IFERROR(SUM(COUNTIF(INDIRECT("'"&amp;TEXT(A23,"DD-MM")&amp;"'!M3:M100"),{"*đơn trả*","*hàng tỉnh*"})),0)</f>
        <v>0</v>
      </c>
      <c r="E23" s="39">
        <f t="shared" ca="1" si="0"/>
        <v>62</v>
      </c>
    </row>
    <row r="24" spans="1:5" x14ac:dyDescent="0.25">
      <c r="A24" s="38">
        <v>46137</v>
      </c>
      <c r="B24" s="39">
        <f t="shared" ca="1" si="1"/>
        <v>50</v>
      </c>
      <c r="C24" s="39">
        <f t="shared" ca="1" si="2"/>
        <v>1</v>
      </c>
      <c r="D24" s="39" cm="1">
        <f t="array" aca="1" ref="D24" ca="1">IFERROR(SUM(COUNTIF(INDIRECT("'"&amp;TEXT(A24,"DD-MM")&amp;"'!M3:M100"),{"*đơn trả*","*hàng tỉnh*"})),0)</f>
        <v>1</v>
      </c>
      <c r="E24" s="39">
        <f t="shared" ca="1" si="0"/>
        <v>48</v>
      </c>
    </row>
    <row r="25" spans="1:5" x14ac:dyDescent="0.25">
      <c r="A25" s="38">
        <v>46139</v>
      </c>
      <c r="B25" s="39">
        <f t="shared" ca="1" si="1"/>
        <v>0</v>
      </c>
      <c r="C25" s="39">
        <f t="shared" ca="1" si="2"/>
        <v>0</v>
      </c>
      <c r="D25" s="39" cm="1">
        <f t="array" aca="1" ref="D25" ca="1">IFERROR(SUM(COUNTIF(INDIRECT("'"&amp;TEXT(A25,"DD-MM")&amp;"'!M3:M100"),{"*đơn trả*","*hàng tỉnh*"})),0)</f>
        <v>0</v>
      </c>
      <c r="E25" s="39">
        <f t="shared" ca="1" si="0"/>
        <v>0</v>
      </c>
    </row>
    <row r="26" spans="1:5" x14ac:dyDescent="0.25">
      <c r="A26" s="38">
        <v>46140</v>
      </c>
      <c r="B26" s="39">
        <f t="shared" ca="1" si="1"/>
        <v>0</v>
      </c>
      <c r="C26" s="39">
        <f t="shared" ca="1" si="2"/>
        <v>0</v>
      </c>
      <c r="D26" s="39" cm="1">
        <f t="array" aca="1" ref="D26" ca="1">IFERROR(SUM(COUNTIF(INDIRECT("'"&amp;TEXT(A26,"DD-MM")&amp;"'!M3:M100"),{"*đơn trả*","*hàng tỉnh*"})),0)</f>
        <v>0</v>
      </c>
      <c r="E26" s="39">
        <f t="shared" ca="1" si="0"/>
        <v>0</v>
      </c>
    </row>
    <row r="27" spans="1:5" x14ac:dyDescent="0.25">
      <c r="A27" s="38">
        <v>46141</v>
      </c>
      <c r="B27" s="39">
        <f t="shared" ca="1" si="1"/>
        <v>0</v>
      </c>
      <c r="C27" s="39">
        <f t="shared" ca="1" si="2"/>
        <v>0</v>
      </c>
      <c r="D27" s="39" cm="1">
        <f t="array" aca="1" ref="D27" ca="1">IFERROR(SUM(COUNTIF(INDIRECT("'"&amp;TEXT(A27,"DD-MM")&amp;"'!M3:M100"),{"*đơn trả*","*hàng tỉnh*"})),0)</f>
        <v>0</v>
      </c>
      <c r="E27" s="39">
        <f t="shared" ca="1" si="0"/>
        <v>0</v>
      </c>
    </row>
    <row r="28" spans="1:5" x14ac:dyDescent="0.25">
      <c r="A28" s="38">
        <v>46142</v>
      </c>
      <c r="B28" s="39">
        <f t="shared" ca="1" si="1"/>
        <v>0</v>
      </c>
      <c r="C28" s="39">
        <f t="shared" ca="1" si="2"/>
        <v>0</v>
      </c>
      <c r="D28" s="39" cm="1">
        <f t="array" aca="1" ref="D28" ca="1">IFERROR(SUM(COUNTIF(INDIRECT("'"&amp;TEXT(A28,"DD-MM")&amp;"'!M3:M100"),{"*đơn trả*","*hàng tỉnh*"})),0)</f>
        <v>0</v>
      </c>
      <c r="E28" s="39">
        <f t="shared" ca="1" si="0"/>
        <v>0</v>
      </c>
    </row>
    <row r="29" spans="1:5" x14ac:dyDescent="0.25">
      <c r="D29" s="40" t="s">
        <v>2584</v>
      </c>
      <c r="E29" s="40">
        <f ca="1">SUBTOTAL(9,E3:E28)</f>
        <v>974</v>
      </c>
    </row>
    <row r="30" spans="1:5" x14ac:dyDescent="0.25">
      <c r="D30" s="40" t="s">
        <v>2585</v>
      </c>
      <c r="E30" s="40" cm="1">
        <f t="array" ref="E30" ca="1">SUMPRODUCT(
    IFERROR(
        SUMIF(
            INDIRECT("'"&amp;TEXT(A3:A28,"dd-mm")&amp;"'!O:O"),
            "tổng",
            INDIRECT("'"&amp;TEXT(A3:A28,"dd-mm")&amp;"'!P:P")
        ),
    0)
)</f>
        <v>4530</v>
      </c>
    </row>
    <row r="31" spans="1:5" x14ac:dyDescent="0.25">
      <c r="D31" s="40" t="s">
        <v>2586</v>
      </c>
      <c r="E31" s="40">
        <f ca="1">-E29*2</f>
        <v>-1948</v>
      </c>
    </row>
    <row r="32" spans="1:5" x14ac:dyDescent="0.25">
      <c r="D32" s="40" t="s">
        <v>2587</v>
      </c>
      <c r="E32" s="40">
        <f ca="1">SUBTOTAL(9,E30:E31)</f>
        <v>2582</v>
      </c>
    </row>
  </sheetData>
  <autoFilter ref="A2:E28" xr:uid="{00000000-0009-0000-0000-000015000000}"/>
  <phoneticPr fontId="6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2026-04-25T13:27:18Z</dcterms:modified>
</cp:coreProperties>
</file>