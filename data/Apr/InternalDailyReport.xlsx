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A49D5604-BA26-4A46-82C0-AAF1B3D09BBC}" xr6:coauthVersionLast="47" xr6:coauthVersionMax="47" xr10:uidLastSave="{00000000-0000-0000-0000-000000000000}"/>
  <bookViews>
    <workbookView xWindow="-120" yWindow="-120" windowWidth="29040" windowHeight="15720" activeTab="12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Sheet1" sheetId="19" r:id="rId14"/>
  </sheets>
  <externalReferences>
    <externalReference r:id="rId15"/>
  </externalReference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9" l="1"/>
  <c r="E18" i="19" s="1"/>
  <c r="D18" i="19"/>
  <c r="C18" i="19"/>
  <c r="B16" i="19"/>
  <c r="E16" i="19" s="1"/>
  <c r="C16" i="19"/>
  <c r="D16" i="19"/>
  <c r="B17" i="19"/>
  <c r="E17" i="19" s="1"/>
  <c r="C17" i="19"/>
  <c r="D17" i="19"/>
  <c r="B19" i="19"/>
  <c r="E19" i="19" s="1"/>
  <c r="C19" i="19"/>
  <c r="D19" i="19"/>
  <c r="B20" i="19"/>
  <c r="E20" i="19" s="1"/>
  <c r="C20" i="19"/>
  <c r="D20" i="19"/>
  <c r="B21" i="19"/>
  <c r="E21" i="19" s="1"/>
  <c r="C21" i="19"/>
  <c r="D21" i="19"/>
  <c r="B22" i="19"/>
  <c r="E22" i="19" s="1"/>
  <c r="C22" i="19"/>
  <c r="D22" i="19"/>
  <c r="B23" i="19"/>
  <c r="E23" i="19" s="1"/>
  <c r="C23" i="19"/>
  <c r="D23" i="19"/>
  <c r="B24" i="19"/>
  <c r="E24" i="19" s="1"/>
  <c r="C24" i="19"/>
  <c r="D24" i="19"/>
  <c r="B25" i="19"/>
  <c r="E25" i="19" s="1"/>
  <c r="C25" i="19"/>
  <c r="D25" i="19"/>
  <c r="B26" i="19"/>
  <c r="E26" i="19" s="1"/>
  <c r="C26" i="19"/>
  <c r="D26" i="19"/>
  <c r="B27" i="19"/>
  <c r="E27" i="19" s="1"/>
  <c r="C27" i="19"/>
  <c r="D27" i="19"/>
  <c r="B28" i="19"/>
  <c r="E28" i="19" s="1"/>
  <c r="C28" i="19"/>
  <c r="D28" i="19"/>
  <c r="B15" i="19"/>
  <c r="E15" i="19" s="1"/>
  <c r="C15" i="19"/>
  <c r="D15" i="19"/>
  <c r="C3" i="19"/>
  <c r="B4" i="19"/>
  <c r="E4" i="19" s="1"/>
  <c r="B5" i="19"/>
  <c r="E5" i="19" s="1"/>
  <c r="B6" i="19"/>
  <c r="E6" i="19" s="1"/>
  <c r="B7" i="19"/>
  <c r="E7" i="19" s="1"/>
  <c r="B8" i="19"/>
  <c r="E8" i="19" s="1"/>
  <c r="B9" i="19"/>
  <c r="E9" i="19" s="1"/>
  <c r="B10" i="19"/>
  <c r="E10" i="19" s="1"/>
  <c r="B11" i="19"/>
  <c r="E11" i="19" s="1"/>
  <c r="B12" i="19"/>
  <c r="E12" i="19" s="1"/>
  <c r="B13" i="19"/>
  <c r="B14" i="19"/>
  <c r="B3" i="19"/>
  <c r="D3" i="19"/>
  <c r="C4" i="19"/>
  <c r="D4" i="19"/>
  <c r="C5" i="19"/>
  <c r="D5" i="19"/>
  <c r="C6" i="19"/>
  <c r="D6" i="19"/>
  <c r="C7" i="19"/>
  <c r="D7" i="19"/>
  <c r="C8" i="19"/>
  <c r="D8" i="19"/>
  <c r="C9" i="19"/>
  <c r="D9" i="19"/>
  <c r="C10" i="19"/>
  <c r="D10" i="19"/>
  <c r="C11" i="19"/>
  <c r="D11" i="19"/>
  <c r="C12" i="19"/>
  <c r="D12" i="19"/>
  <c r="C13" i="19"/>
  <c r="D13" i="19"/>
  <c r="C14" i="19"/>
  <c r="D14" i="19"/>
  <c r="M81" i="16"/>
  <c r="E40" i="18"/>
  <c r="M66" i="18" s="1"/>
  <c r="M49" i="17"/>
  <c r="E30" i="19"/>
  <c r="I35" i="18"/>
  <c r="I4" i="2"/>
  <c r="I5" i="2"/>
  <c r="I6" i="2"/>
  <c r="I7" i="2"/>
  <c r="I17" i="2"/>
  <c r="I3" i="2"/>
  <c r="I18" i="2"/>
  <c r="I8" i="2"/>
  <c r="I9" i="2"/>
  <c r="I19" i="2"/>
  <c r="I10" i="2"/>
  <c r="I20" i="2"/>
  <c r="I21" i="2"/>
  <c r="I11" i="2"/>
  <c r="I12" i="2"/>
  <c r="I13" i="2"/>
  <c r="I14" i="2"/>
  <c r="I22" i="2"/>
  <c r="I15" i="2"/>
  <c r="I23" i="2"/>
  <c r="I16" i="2"/>
  <c r="D25" i="2"/>
  <c r="G25" i="2"/>
  <c r="H25" i="2"/>
  <c r="I25" i="2"/>
  <c r="J25" i="2"/>
  <c r="K25" i="2"/>
  <c r="L25" i="2"/>
  <c r="M25" i="2"/>
  <c r="N25" i="2"/>
  <c r="O25" i="2"/>
  <c r="P25" i="2"/>
  <c r="Q25" i="2"/>
  <c r="H26" i="2"/>
  <c r="H27" i="2"/>
  <c r="C28" i="2"/>
  <c r="C31" i="2" s="1"/>
  <c r="C35" i="2" s="1"/>
  <c r="P31" i="2" s="1"/>
  <c r="E28" i="2"/>
  <c r="L28" i="2"/>
  <c r="M28" i="2"/>
  <c r="M33" i="2" s="1"/>
  <c r="L29" i="2"/>
  <c r="M29" i="2"/>
  <c r="C30" i="2"/>
  <c r="E30" i="2"/>
  <c r="L33" i="2"/>
  <c r="P28" i="2" s="1"/>
  <c r="L36" i="2"/>
  <c r="M36" i="2"/>
  <c r="M37" i="2"/>
  <c r="L37" i="2" s="1"/>
  <c r="M38" i="2"/>
  <c r="L38" i="2" s="1"/>
  <c r="M41" i="2"/>
  <c r="L44" i="2"/>
  <c r="M44" i="2"/>
  <c r="M49" i="2" s="1"/>
  <c r="M45" i="2"/>
  <c r="L45" i="2" s="1"/>
  <c r="I3" i="6"/>
  <c r="C29" i="6" s="1"/>
  <c r="C32" i="6" s="1"/>
  <c r="C36" i="6" s="1"/>
  <c r="P32" i="6" s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I26" i="6"/>
  <c r="J26" i="6"/>
  <c r="K26" i="6"/>
  <c r="L26" i="6"/>
  <c r="M26" i="6"/>
  <c r="N26" i="6"/>
  <c r="O26" i="6"/>
  <c r="P26" i="6"/>
  <c r="Q26" i="6"/>
  <c r="H27" i="6"/>
  <c r="H28" i="6"/>
  <c r="E29" i="6"/>
  <c r="H29" i="6"/>
  <c r="L29" i="6"/>
  <c r="M29" i="6"/>
  <c r="M30" i="6"/>
  <c r="L30" i="6" s="1"/>
  <c r="C31" i="6"/>
  <c r="E31" i="6"/>
  <c r="M31" i="6"/>
  <c r="L31" i="6" s="1"/>
  <c r="E32" i="6"/>
  <c r="M34" i="6"/>
  <c r="L37" i="6"/>
  <c r="M37" i="6"/>
  <c r="M38" i="6"/>
  <c r="L38" i="6" s="1"/>
  <c r="L42" i="6" s="1"/>
  <c r="P30" i="6" s="1"/>
  <c r="M42" i="6"/>
  <c r="L45" i="6"/>
  <c r="M45" i="6"/>
  <c r="L46" i="6"/>
  <c r="M46" i="6"/>
  <c r="L50" i="6"/>
  <c r="P31" i="6" s="1"/>
  <c r="M50" i="6"/>
  <c r="I3" i="7"/>
  <c r="C58" i="7" s="1"/>
  <c r="C61" i="7" s="1"/>
  <c r="C65" i="7" s="1"/>
  <c r="P61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I55" i="7"/>
  <c r="J55" i="7"/>
  <c r="K55" i="7"/>
  <c r="L55" i="7"/>
  <c r="M55" i="7"/>
  <c r="N55" i="7"/>
  <c r="O55" i="7"/>
  <c r="P55" i="7"/>
  <c r="Q55" i="7"/>
  <c r="H56" i="7"/>
  <c r="H57" i="7"/>
  <c r="E58" i="7"/>
  <c r="H58" i="7"/>
  <c r="L58" i="7"/>
  <c r="M58" i="7"/>
  <c r="M59" i="7"/>
  <c r="L59" i="7" s="1"/>
  <c r="C60" i="7"/>
  <c r="E60" i="7"/>
  <c r="M60" i="7"/>
  <c r="L60" i="7" s="1"/>
  <c r="E61" i="7"/>
  <c r="M64" i="7"/>
  <c r="L67" i="7"/>
  <c r="M67" i="7"/>
  <c r="L68" i="7"/>
  <c r="L72" i="7" s="1"/>
  <c r="P59" i="7" s="1"/>
  <c r="M68" i="7"/>
  <c r="M72" i="7"/>
  <c r="L75" i="7"/>
  <c r="M75" i="7"/>
  <c r="M80" i="7" s="1"/>
  <c r="M76" i="7"/>
  <c r="L76" i="7" s="1"/>
  <c r="L80" i="7" s="1"/>
  <c r="P60" i="7" s="1"/>
  <c r="I3" i="8"/>
  <c r="C49" i="8" s="1"/>
  <c r="C52" i="8" s="1"/>
  <c r="C56" i="8" s="1"/>
  <c r="P53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I46" i="8"/>
  <c r="J46" i="8"/>
  <c r="K46" i="8"/>
  <c r="L46" i="8"/>
  <c r="M46" i="8"/>
  <c r="N46" i="8"/>
  <c r="O46" i="8"/>
  <c r="P46" i="8"/>
  <c r="Q46" i="8"/>
  <c r="H47" i="8"/>
  <c r="L50" i="8" s="1"/>
  <c r="L54" i="8" s="1"/>
  <c r="P49" i="8" s="1"/>
  <c r="H48" i="8"/>
  <c r="E49" i="8"/>
  <c r="H49" i="8"/>
  <c r="L49" i="8"/>
  <c r="M49" i="8"/>
  <c r="M50" i="8"/>
  <c r="C51" i="8"/>
  <c r="E51" i="8"/>
  <c r="E52" i="8"/>
  <c r="M54" i="8"/>
  <c r="L57" i="8"/>
  <c r="M57" i="8"/>
  <c r="M58" i="8"/>
  <c r="L58" i="8" s="1"/>
  <c r="M59" i="8"/>
  <c r="L59" i="8" s="1"/>
  <c r="M62" i="8"/>
  <c r="L65" i="8"/>
  <c r="M65" i="8"/>
  <c r="M70" i="8" s="1"/>
  <c r="M66" i="8"/>
  <c r="L66" i="8" s="1"/>
  <c r="L70" i="8" s="1"/>
  <c r="P51" i="8" s="1"/>
  <c r="L73" i="8"/>
  <c r="M73" i="8"/>
  <c r="M78" i="8" s="1"/>
  <c r="M74" i="8"/>
  <c r="L74" i="8" s="1"/>
  <c r="I3" i="10"/>
  <c r="C60" i="10" s="1"/>
  <c r="C63" i="10" s="1"/>
  <c r="C67" i="10" s="1"/>
  <c r="P6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C62" i="10" s="1"/>
  <c r="D57" i="10"/>
  <c r="G57" i="10"/>
  <c r="H57" i="10"/>
  <c r="I57" i="10"/>
  <c r="J57" i="10"/>
  <c r="K57" i="10"/>
  <c r="L57" i="10"/>
  <c r="M57" i="10"/>
  <c r="N57" i="10"/>
  <c r="O57" i="10"/>
  <c r="P57" i="10"/>
  <c r="Q57" i="10"/>
  <c r="H58" i="10"/>
  <c r="H59" i="10"/>
  <c r="E60" i="10"/>
  <c r="H60" i="10"/>
  <c r="L60" i="10"/>
  <c r="M60" i="10"/>
  <c r="M61" i="10"/>
  <c r="L61" i="10" s="1"/>
  <c r="E62" i="10"/>
  <c r="M62" i="10"/>
  <c r="L62" i="10" s="1"/>
  <c r="E63" i="10"/>
  <c r="M65" i="10"/>
  <c r="L68" i="10"/>
  <c r="M68" i="10"/>
  <c r="L69" i="10"/>
  <c r="M69" i="10"/>
  <c r="L73" i="10"/>
  <c r="P61" i="10" s="1"/>
  <c r="M73" i="10"/>
  <c r="L76" i="10"/>
  <c r="M76" i="10"/>
  <c r="M77" i="10"/>
  <c r="L77" i="10" s="1"/>
  <c r="L81" i="10" s="1"/>
  <c r="P62" i="10" s="1"/>
  <c r="M8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D31" i="11"/>
  <c r="G31" i="11"/>
  <c r="H31" i="11"/>
  <c r="I31" i="11"/>
  <c r="J31" i="11"/>
  <c r="K31" i="11"/>
  <c r="L31" i="11"/>
  <c r="M31" i="11"/>
  <c r="N31" i="11"/>
  <c r="O31" i="11"/>
  <c r="P31" i="11"/>
  <c r="Q31" i="11"/>
  <c r="M36" i="11" s="1"/>
  <c r="H32" i="11"/>
  <c r="L52" i="11" s="1"/>
  <c r="L56" i="11" s="1"/>
  <c r="P36" i="11" s="1"/>
  <c r="H33" i="11"/>
  <c r="C34" i="11"/>
  <c r="C37" i="11" s="1"/>
  <c r="C42" i="11" s="1"/>
  <c r="P37" i="11" s="1"/>
  <c r="E34" i="11"/>
  <c r="E37" i="11" s="1"/>
  <c r="H34" i="11"/>
  <c r="L34" i="11"/>
  <c r="M34" i="11"/>
  <c r="M35" i="11"/>
  <c r="L35" i="11" s="1"/>
  <c r="C36" i="11"/>
  <c r="E36" i="11"/>
  <c r="L43" i="11"/>
  <c r="M43" i="11"/>
  <c r="M44" i="11"/>
  <c r="L44" i="11" s="1"/>
  <c r="L48" i="11" s="1"/>
  <c r="P35" i="11" s="1"/>
  <c r="M48" i="11"/>
  <c r="L51" i="11"/>
  <c r="M51" i="11"/>
  <c r="M52" i="11"/>
  <c r="M56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I49" i="12"/>
  <c r="J49" i="12"/>
  <c r="K49" i="12"/>
  <c r="L49" i="12"/>
  <c r="M49" i="12"/>
  <c r="N49" i="12"/>
  <c r="O49" i="12"/>
  <c r="P49" i="12"/>
  <c r="Q49" i="12"/>
  <c r="H50" i="12"/>
  <c r="L61" i="12" s="1"/>
  <c r="L65" i="12" s="1"/>
  <c r="P53" i="12" s="1"/>
  <c r="H51" i="12"/>
  <c r="C52" i="12"/>
  <c r="C55" i="12" s="1"/>
  <c r="C59" i="12" s="1"/>
  <c r="P56" i="12" s="1"/>
  <c r="E52" i="12"/>
  <c r="E55" i="12" s="1"/>
  <c r="H52" i="12"/>
  <c r="L52" i="12"/>
  <c r="M52" i="12"/>
  <c r="M57" i="12" s="1"/>
  <c r="M53" i="12"/>
  <c r="L53" i="12" s="1"/>
  <c r="C54" i="12"/>
  <c r="E54" i="12"/>
  <c r="M54" i="12"/>
  <c r="L54" i="12" s="1"/>
  <c r="L60" i="12"/>
  <c r="M60" i="12"/>
  <c r="M61" i="12"/>
  <c r="M65" i="12"/>
  <c r="L68" i="12"/>
  <c r="M68" i="12"/>
  <c r="M69" i="12"/>
  <c r="L69" i="12" s="1"/>
  <c r="L73" i="12" s="1"/>
  <c r="P54" i="12" s="1"/>
  <c r="M73" i="12"/>
  <c r="L76" i="12"/>
  <c r="M76" i="12"/>
  <c r="M77" i="12"/>
  <c r="L77" i="12" s="1"/>
  <c r="L81" i="12" s="1"/>
  <c r="P55" i="12" s="1"/>
  <c r="M81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I41" i="13"/>
  <c r="J41" i="13"/>
  <c r="K41" i="13"/>
  <c r="L41" i="13"/>
  <c r="M41" i="13"/>
  <c r="N41" i="13"/>
  <c r="O41" i="13"/>
  <c r="P41" i="13"/>
  <c r="Q41" i="13"/>
  <c r="H42" i="13"/>
  <c r="H43" i="13"/>
  <c r="C44" i="13"/>
  <c r="C47" i="13" s="1"/>
  <c r="C51" i="13" s="1"/>
  <c r="P47" i="13" s="1"/>
  <c r="E44" i="13"/>
  <c r="E47" i="13" s="1"/>
  <c r="L44" i="13"/>
  <c r="M44" i="13"/>
  <c r="M45" i="13"/>
  <c r="L45" i="13" s="1"/>
  <c r="C46" i="13"/>
  <c r="E46" i="13"/>
  <c r="M46" i="13"/>
  <c r="L46" i="13" s="1"/>
  <c r="M49" i="13"/>
  <c r="L52" i="13"/>
  <c r="L57" i="13" s="1"/>
  <c r="P45" i="13" s="1"/>
  <c r="M52" i="13"/>
  <c r="M57" i="13" s="1"/>
  <c r="L53" i="13"/>
  <c r="M53" i="13"/>
  <c r="L60" i="13"/>
  <c r="M60" i="13"/>
  <c r="M61" i="13"/>
  <c r="L61" i="13" s="1"/>
  <c r="L65" i="13" s="1"/>
  <c r="P46" i="13" s="1"/>
  <c r="M65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D56" i="14"/>
  <c r="G56" i="14"/>
  <c r="H56" i="14"/>
  <c r="I56" i="14"/>
  <c r="J56" i="14"/>
  <c r="K56" i="14"/>
  <c r="L56" i="14"/>
  <c r="M56" i="14"/>
  <c r="N56" i="14"/>
  <c r="O56" i="14"/>
  <c r="P56" i="14"/>
  <c r="Q56" i="14"/>
  <c r="H57" i="14"/>
  <c r="H58" i="14"/>
  <c r="C59" i="14"/>
  <c r="E59" i="14"/>
  <c r="L59" i="14"/>
  <c r="M59" i="14"/>
  <c r="M60" i="14"/>
  <c r="L60" i="14" s="1"/>
  <c r="L64" i="14" s="1"/>
  <c r="P59" i="14" s="1"/>
  <c r="C61" i="14"/>
  <c r="E61" i="14"/>
  <c r="C62" i="14"/>
  <c r="E62" i="14"/>
  <c r="M64" i="14"/>
  <c r="C66" i="14"/>
  <c r="P62" i="14" s="1"/>
  <c r="L67" i="14"/>
  <c r="L72" i="14" s="1"/>
  <c r="P60" i="14" s="1"/>
  <c r="M67" i="14"/>
  <c r="M72" i="14" s="1"/>
  <c r="L68" i="14"/>
  <c r="M68" i="14"/>
  <c r="L69" i="14"/>
  <c r="L75" i="14"/>
  <c r="M75" i="14"/>
  <c r="L76" i="14"/>
  <c r="L80" i="14" s="1"/>
  <c r="P61" i="14" s="1"/>
  <c r="M76" i="14"/>
  <c r="M80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I45" i="15"/>
  <c r="J45" i="15"/>
  <c r="K45" i="15"/>
  <c r="L45" i="15"/>
  <c r="M45" i="15"/>
  <c r="N45" i="15"/>
  <c r="O45" i="15"/>
  <c r="P45" i="15"/>
  <c r="Q45" i="15"/>
  <c r="H46" i="15"/>
  <c r="H47" i="15"/>
  <c r="C48" i="15"/>
  <c r="E48" i="15"/>
  <c r="H48" i="15"/>
  <c r="L48" i="15"/>
  <c r="M48" i="15"/>
  <c r="M49" i="15"/>
  <c r="L49" i="15" s="1"/>
  <c r="C50" i="15"/>
  <c r="E50" i="15"/>
  <c r="M50" i="15"/>
  <c r="L50" i="15" s="1"/>
  <c r="C51" i="15"/>
  <c r="E51" i="15"/>
  <c r="M53" i="15"/>
  <c r="C55" i="15"/>
  <c r="P52" i="15" s="1"/>
  <c r="L56" i="15"/>
  <c r="M56" i="15"/>
  <c r="L57" i="15"/>
  <c r="M57" i="15"/>
  <c r="L61" i="15"/>
  <c r="P49" i="15" s="1"/>
  <c r="M61" i="15"/>
  <c r="L64" i="15"/>
  <c r="L69" i="15" s="1"/>
  <c r="P50" i="15" s="1"/>
  <c r="M64" i="15"/>
  <c r="M69" i="15" s="1"/>
  <c r="L65" i="15"/>
  <c r="M65" i="15"/>
  <c r="L72" i="15"/>
  <c r="M72" i="15"/>
  <c r="M73" i="15"/>
  <c r="L73" i="15" s="1"/>
  <c r="L77" i="15" s="1"/>
  <c r="P51" i="15" s="1"/>
  <c r="M77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I68" i="16"/>
  <c r="J68" i="16"/>
  <c r="K68" i="16"/>
  <c r="L68" i="16"/>
  <c r="M68" i="16"/>
  <c r="N68" i="16"/>
  <c r="O68" i="16"/>
  <c r="P68" i="16"/>
  <c r="Q68" i="16"/>
  <c r="H69" i="16"/>
  <c r="H70" i="16"/>
  <c r="C71" i="16"/>
  <c r="C74" i="16" s="1"/>
  <c r="C78" i="16" s="1"/>
  <c r="P75" i="16" s="1"/>
  <c r="E71" i="16"/>
  <c r="E74" i="16" s="1"/>
  <c r="H71" i="16"/>
  <c r="L71" i="16"/>
  <c r="L76" i="16" s="1"/>
  <c r="P71" i="16" s="1"/>
  <c r="M71" i="16"/>
  <c r="M76" i="16" s="1"/>
  <c r="L72" i="16"/>
  <c r="M72" i="16"/>
  <c r="C73" i="16"/>
  <c r="E73" i="16"/>
  <c r="L79" i="16"/>
  <c r="M79" i="16"/>
  <c r="M80" i="16"/>
  <c r="L80" i="16" s="1"/>
  <c r="M84" i="16"/>
  <c r="L87" i="16"/>
  <c r="M87" i="16"/>
  <c r="M88" i="16"/>
  <c r="L88" i="16" s="1"/>
  <c r="L92" i="16" s="1"/>
  <c r="P73" i="16" s="1"/>
  <c r="M92" i="16"/>
  <c r="L95" i="16"/>
  <c r="M95" i="16"/>
  <c r="M96" i="16"/>
  <c r="L96" i="16" s="1"/>
  <c r="L100" i="16" s="1"/>
  <c r="P74" i="16" s="1"/>
  <c r="M100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D28" i="17"/>
  <c r="G28" i="17"/>
  <c r="H28" i="17"/>
  <c r="I28" i="17"/>
  <c r="J28" i="17"/>
  <c r="K28" i="17"/>
  <c r="L28" i="17"/>
  <c r="M28" i="17"/>
  <c r="N28" i="17"/>
  <c r="O28" i="17"/>
  <c r="P28" i="17"/>
  <c r="Q28" i="17"/>
  <c r="H29" i="17"/>
  <c r="H30" i="17"/>
  <c r="C31" i="17"/>
  <c r="E31" i="17"/>
  <c r="H31" i="17"/>
  <c r="L31" i="17"/>
  <c r="M31" i="17"/>
  <c r="L32" i="17"/>
  <c r="M32" i="17"/>
  <c r="C33" i="17"/>
  <c r="E33" i="17"/>
  <c r="C34" i="17"/>
  <c r="E34" i="17"/>
  <c r="L36" i="17"/>
  <c r="P31" i="17" s="1"/>
  <c r="M36" i="17"/>
  <c r="C38" i="17"/>
  <c r="P35" i="17" s="1"/>
  <c r="L39" i="17"/>
  <c r="M39" i="17"/>
  <c r="M44" i="17" s="1"/>
  <c r="M40" i="17"/>
  <c r="L40" i="17" s="1"/>
  <c r="L44" i="17" s="1"/>
  <c r="P32" i="17" s="1"/>
  <c r="L47" i="17"/>
  <c r="M47" i="17"/>
  <c r="M52" i="17" s="1"/>
  <c r="L48" i="17"/>
  <c r="M48" i="17"/>
  <c r="L55" i="17"/>
  <c r="M55" i="17"/>
  <c r="M56" i="17"/>
  <c r="L56" i="17" s="1"/>
  <c r="L60" i="17" s="1"/>
  <c r="P34" i="17" s="1"/>
  <c r="M60" i="17"/>
  <c r="I25" i="18"/>
  <c r="I5" i="18"/>
  <c r="I26" i="18"/>
  <c r="I3" i="18"/>
  <c r="I6" i="18"/>
  <c r="I7" i="18"/>
  <c r="I27" i="18"/>
  <c r="I16" i="18"/>
  <c r="I8" i="18"/>
  <c r="I9" i="18"/>
  <c r="I17" i="18"/>
  <c r="I18" i="18"/>
  <c r="I19" i="18"/>
  <c r="I28" i="18"/>
  <c r="I10" i="18"/>
  <c r="I11" i="18"/>
  <c r="I12" i="18"/>
  <c r="I29" i="18"/>
  <c r="I30" i="18"/>
  <c r="I31" i="18"/>
  <c r="I32" i="18"/>
  <c r="I33" i="18"/>
  <c r="I13" i="18"/>
  <c r="I20" i="18"/>
  <c r="I21" i="18"/>
  <c r="I14" i="18"/>
  <c r="I4" i="18"/>
  <c r="I22" i="18"/>
  <c r="I15" i="18"/>
  <c r="I34" i="18"/>
  <c r="I23" i="18"/>
  <c r="I24" i="18"/>
  <c r="D37" i="18"/>
  <c r="G37" i="18"/>
  <c r="H37" i="18"/>
  <c r="I37" i="18"/>
  <c r="J37" i="18"/>
  <c r="K37" i="18"/>
  <c r="L37" i="18"/>
  <c r="M37" i="18"/>
  <c r="N37" i="18"/>
  <c r="O37" i="18"/>
  <c r="P37" i="18"/>
  <c r="Q37" i="18"/>
  <c r="H38" i="18"/>
  <c r="H39" i="18"/>
  <c r="C40" i="18"/>
  <c r="H40" i="18"/>
  <c r="L40" i="18"/>
  <c r="M40" i="18"/>
  <c r="M45" i="18" s="1"/>
  <c r="M41" i="18"/>
  <c r="L41" i="18" s="1"/>
  <c r="L45" i="18" s="1"/>
  <c r="P40" i="18" s="1"/>
  <c r="C42" i="18"/>
  <c r="E42" i="18"/>
  <c r="L48" i="18"/>
  <c r="M48" i="18"/>
  <c r="M53" i="18" s="1"/>
  <c r="L49" i="18"/>
  <c r="M49" i="18"/>
  <c r="L56" i="18"/>
  <c r="M56" i="18"/>
  <c r="M61" i="18" s="1"/>
  <c r="M57" i="18"/>
  <c r="L57" i="18" s="1"/>
  <c r="L61" i="18" s="1"/>
  <c r="P42" i="18" s="1"/>
  <c r="L64" i="18"/>
  <c r="M64" i="18"/>
  <c r="M69" i="18" s="1"/>
  <c r="M65" i="18"/>
  <c r="L65" i="18" s="1"/>
  <c r="L81" i="16" l="1"/>
  <c r="E13" i="19" s="1"/>
  <c r="L49" i="17"/>
  <c r="E14" i="19" s="1"/>
  <c r="E43" i="18"/>
  <c r="E31" i="2"/>
  <c r="E3" i="19"/>
  <c r="C43" i="18"/>
  <c r="C47" i="18" s="1"/>
  <c r="P44" i="18" s="1"/>
  <c r="L53" i="18"/>
  <c r="P41" i="18" s="1"/>
  <c r="L36" i="11"/>
  <c r="L41" i="11" s="1"/>
  <c r="P34" i="11" s="1"/>
  <c r="P38" i="11" s="1"/>
  <c r="M41" i="11"/>
  <c r="L41" i="2"/>
  <c r="P29" i="2" s="1"/>
  <c r="L49" i="2"/>
  <c r="P30" i="2" s="1"/>
  <c r="L34" i="6"/>
  <c r="P29" i="6" s="1"/>
  <c r="P33" i="6" s="1"/>
  <c r="L64" i="7"/>
  <c r="P58" i="7" s="1"/>
  <c r="P62" i="7" s="1"/>
  <c r="L62" i="8"/>
  <c r="P50" i="8" s="1"/>
  <c r="L78" i="8"/>
  <c r="P52" i="8" s="1"/>
  <c r="L65" i="10"/>
  <c r="P60" i="10" s="1"/>
  <c r="P64" i="10" s="1"/>
  <c r="L57" i="12"/>
  <c r="P52" i="12" s="1"/>
  <c r="P57" i="12" s="1"/>
  <c r="L49" i="13"/>
  <c r="P44" i="13" s="1"/>
  <c r="P48" i="13" s="1"/>
  <c r="P63" i="14"/>
  <c r="L53" i="15"/>
  <c r="P48" i="15" s="1"/>
  <c r="P53" i="15" s="1"/>
  <c r="L52" i="17"/>
  <c r="P33" i="17" s="1"/>
  <c r="P36" i="17" s="1"/>
  <c r="L84" i="16"/>
  <c r="P72" i="16" s="1"/>
  <c r="P76" i="16" s="1"/>
  <c r="L66" i="18" l="1"/>
  <c r="L69" i="18" s="1"/>
  <c r="P43" i="18" s="1"/>
  <c r="P45" i="18" s="1"/>
  <c r="E29" i="19"/>
  <c r="E31" i="19" s="1"/>
  <c r="E32" i="19" s="1"/>
  <c r="P32" i="2"/>
  <c r="P54" i="8"/>
</calcChain>
</file>

<file path=xl/sharedStrings.xml><?xml version="1.0" encoding="utf-8"?>
<sst xmlns="http://schemas.openxmlformats.org/spreadsheetml/2006/main" count="4782" uniqueCount="1452">
  <si>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</si>
  <si>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</si>
  <si>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</si>
  <si>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</si>
  <si>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</si>
  <si>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</si>
  <si>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</si>
  <si>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</si>
  <si>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</si>
  <si>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</si>
  <si>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</si>
  <si>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</si>
  <si>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</si>
  <si>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</si>
  <si>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</si>
  <si>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</si>
  <si>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</si>
  <si>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Fb: quỳnh vũ( minh hải)</t>
  </si>
  <si>
    <t>HD006847</t>
  </si>
  <si>
    <t>Số 17 đường số 13 phường bình hưng hòa</t>
  </si>
  <si>
    <t>binh tan</t>
  </si>
  <si>
    <t>AT 01-04</t>
  </si>
  <si>
    <t>c.cuong</t>
  </si>
  <si>
    <t>01-04-2026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</si>
  <si>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</si>
  <si>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</si>
  <si>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</si>
  <si>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</si>
  <si>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</si>
  <si>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</si>
  <si>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</si>
  <si>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</si>
  <si>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</si>
  <si>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Thu Ba DS</t>
  </si>
  <si>
    <t>HD006743</t>
  </si>
  <si>
    <t>395 Bùi Đình Tuý, p14</t>
  </si>
  <si>
    <t>binh thanh</t>
  </si>
  <si>
    <t>Quỳnh Anh</t>
  </si>
  <si>
    <t>HD006833</t>
  </si>
  <si>
    <t>754 Nguyễn xiển p. long bình</t>
  </si>
  <si>
    <t>a.quyen</t>
  </si>
  <si>
    <t>Ngọc Mơ</t>
  </si>
  <si>
    <t>HD006858</t>
  </si>
  <si>
    <t>107/7 huỳnh an khương p5</t>
  </si>
  <si>
    <t>go vap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</si>
  <si>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</si>
  <si>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</si>
  <si>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</si>
  <si>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</si>
  <si>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</si>
  <si>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</si>
  <si>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TC Tiên</t>
  </si>
  <si>
    <t>HD006773</t>
  </si>
  <si>
    <t>6 Thạch Thị Thanh, Tân Định</t>
  </si>
  <si>
    <t>Nguyễn thị huệ fb Jannie vu</t>
  </si>
  <si>
    <t>HD006846</t>
  </si>
  <si>
    <t>136 đông hưng thuận 3 phường đông hưng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</si>
  <si>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</si>
  <si>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</si>
  <si>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</si>
  <si>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</si>
  <si>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</si>
  <si>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</si>
  <si>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</si>
  <si>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</si>
  <si>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</si>
  <si>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</si>
  <si>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</si>
  <si>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</si>
  <si>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</si>
  <si>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</si>
  <si>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</si>
  <si>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</si>
  <si>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</si>
  <si>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</si>
  <si>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</si>
  <si>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X.Anh</t>
  </si>
  <si>
    <t>HD006728</t>
  </si>
  <si>
    <t>Căn 603, lô B2 chung cư orchard parkview, 130-132 hồng hà, p. Đức Nhuận</t>
  </si>
  <si>
    <t>phu nhuan</t>
  </si>
  <si>
    <t>Khánh Như</t>
  </si>
  <si>
    <t>HD006868</t>
  </si>
  <si>
    <t>688/23/1c Hương Lộ 2, phường Bình Trị Đông A</t>
  </si>
  <si>
    <t>hàng sỉ</t>
  </si>
  <si>
    <t>Kim Liên</t>
  </si>
  <si>
    <t>25/17/11 CỬU LONG PHƯỜNG 2</t>
  </si>
  <si>
    <t>tan binh</t>
  </si>
  <si>
    <t>Jess-9244</t>
  </si>
  <si>
    <t>275/14B1 Đặng Nguyên Cẩn, Phường Phú Lâm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</si>
  <si>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</si>
  <si>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</si>
  <si>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</si>
  <si>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</si>
  <si>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</si>
  <si>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</si>
  <si>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</si>
  <si>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</si>
  <si>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</si>
  <si>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</si>
  <si>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</si>
  <si>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</si>
  <si>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</si>
  <si>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</si>
  <si>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</si>
  <si>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</si>
  <si>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</si>
  <si>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</si>
  <si>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</si>
  <si>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</si>
  <si>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</si>
  <si>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</si>
  <si>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</si>
  <si>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</si>
  <si>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</si>
  <si>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</si>
  <si>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</si>
  <si>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</si>
  <si>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</si>
  <si>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</si>
  <si>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</si>
  <si>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</si>
  <si>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</si>
  <si>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</si>
  <si>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</si>
  <si>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</si>
  <si>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</si>
  <si>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</si>
  <si>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</si>
  <si>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</si>
  <si>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</si>
  <si>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</si>
  <si>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</si>
  <si>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</si>
  <si>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</si>
  <si>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</si>
  <si>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</si>
  <si>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</si>
  <si>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</si>
  <si>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</si>
  <si>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</si>
  <si>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</si>
  <si>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</si>
  <si>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</si>
  <si>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</si>
  <si>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</si>
  <si>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</si>
  <si>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</si>
  <si>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</si>
  <si>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</si>
  <si>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</si>
  <si>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</si>
  <si>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</si>
  <si>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</si>
  <si>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</si>
  <si>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</si>
  <si>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</si>
  <si>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</si>
  <si>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</si>
  <si>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</si>
  <si>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</si>
  <si>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</si>
  <si>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</si>
  <si>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</si>
  <si>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</si>
  <si>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</si>
  <si>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</si>
  <si>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</si>
  <si>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</si>
  <si>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</si>
  <si>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</si>
  <si>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</si>
  <si>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</si>
  <si>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</si>
  <si>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</si>
  <si>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</si>
  <si>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</si>
  <si>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</si>
  <si>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</si>
  <si>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</si>
  <si>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</si>
  <si>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</si>
  <si>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</si>
  <si>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</si>
  <si>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</si>
  <si>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</si>
  <si>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</si>
  <si>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</si>
  <si>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</si>
  <si>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</si>
  <si>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</si>
  <si>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</si>
  <si>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</si>
  <si>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</si>
  <si>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</si>
  <si>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</si>
  <si>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</si>
  <si>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</si>
  <si>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</si>
  <si>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</si>
  <si>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</si>
  <si>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</si>
  <si>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</si>
  <si>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</si>
  <si>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</si>
  <si>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</si>
  <si>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</si>
  <si>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</si>
  <si>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</si>
  <si>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</si>
  <si>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</si>
  <si>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</si>
  <si>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</si>
  <si>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</si>
  <si>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</si>
  <si>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</si>
  <si>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</si>
  <si>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</si>
  <si>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</si>
  <si>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</si>
  <si>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</si>
  <si>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</si>
  <si>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</si>
  <si>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</si>
  <si>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</si>
  <si>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</si>
  <si>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</si>
  <si>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</si>
  <si>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</si>
  <si>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</si>
  <si>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</si>
  <si>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</si>
  <si>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</si>
  <si>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</si>
  <si>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</si>
  <si>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</si>
  <si>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</si>
  <si>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</si>
  <si>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</si>
  <si>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</si>
  <si>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</si>
  <si>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</si>
  <si>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</si>
  <si>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</si>
  <si>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</si>
  <si>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</si>
  <si>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</si>
  <si>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</si>
  <si>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</si>
  <si>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</si>
  <si>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</si>
  <si>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</si>
  <si>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</si>
  <si>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</si>
  <si>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</si>
  <si>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</si>
  <si>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</si>
  <si>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</si>
  <si>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</si>
  <si>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</si>
  <si>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</si>
  <si>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</si>
  <si>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</si>
  <si>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</si>
  <si>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</si>
  <si>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</si>
  <si>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</si>
  <si>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</si>
  <si>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</si>
  <si>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</si>
  <si>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</si>
  <si>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</si>
  <si>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</si>
  <si>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</si>
  <si>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</si>
  <si>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</si>
  <si>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</si>
  <si>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</si>
  <si>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</si>
  <si>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</si>
  <si>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</si>
  <si>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</si>
  <si>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</si>
  <si>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</si>
  <si>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</si>
  <si>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</si>
  <si>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</si>
  <si>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</si>
  <si>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</si>
  <si>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</si>
  <si>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</si>
  <si>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</si>
  <si>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</si>
  <si>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</si>
  <si>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</si>
  <si>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</si>
  <si>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</si>
  <si>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</si>
  <si>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</si>
  <si>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</si>
  <si>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</si>
  <si>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</si>
  <si>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</si>
  <si>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</si>
  <si>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</si>
  <si>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</si>
  <si>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</si>
  <si>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</si>
  <si>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</si>
  <si>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</si>
  <si>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</si>
  <si>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</si>
  <si>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</si>
  <si>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</si>
  <si>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</si>
  <si>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</si>
  <si>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</si>
  <si>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</si>
  <si>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</si>
  <si>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</si>
  <si>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</si>
  <si>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</si>
  <si>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</si>
  <si>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</si>
  <si>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</si>
  <si>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</si>
  <si>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</si>
  <si>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</si>
  <si>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</si>
  <si>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</si>
  <si>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</si>
  <si>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</si>
  <si>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</si>
  <si>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</si>
  <si>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</si>
  <si>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</si>
  <si>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</si>
  <si>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</si>
  <si>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</si>
  <si>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</si>
  <si>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</si>
  <si>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</si>
  <si>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</si>
  <si>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</si>
  <si>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</si>
  <si>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</si>
  <si>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</si>
  <si>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</si>
  <si>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</si>
  <si>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</si>
  <si>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</si>
  <si>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</si>
  <si>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</si>
  <si>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</si>
  <si>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</si>
  <si>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</si>
  <si>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</si>
  <si>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</si>
  <si>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</si>
  <si>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</si>
  <si>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</si>
  <si>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</si>
  <si>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</si>
  <si>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</si>
  <si>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</si>
  <si>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</si>
  <si>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</si>
  <si>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</si>
  <si>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</si>
  <si>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</si>
  <si>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</si>
  <si>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</si>
  <si>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</si>
  <si>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</si>
  <si>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</si>
  <si>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</si>
  <si>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</si>
  <si>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</si>
  <si>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</si>
  <si>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</si>
  <si>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</si>
  <si>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</si>
  <si>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</si>
  <si>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</si>
  <si>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</si>
  <si>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</si>
  <si>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</si>
  <si>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</si>
  <si>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</si>
  <si>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</si>
  <si>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</si>
  <si>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</si>
  <si>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</si>
  <si>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</si>
  <si>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</si>
  <si>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</si>
  <si>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</si>
  <si>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</si>
  <si>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</si>
  <si>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</si>
  <si>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</si>
  <si>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</si>
  <si>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</si>
  <si>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</si>
  <si>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</si>
  <si>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</si>
  <si>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</si>
  <si>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</si>
  <si>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</si>
  <si>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</si>
  <si>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</si>
  <si>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</si>
  <si>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</si>
  <si>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</si>
  <si>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</si>
  <si>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</si>
  <si>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</si>
  <si>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</si>
  <si>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</si>
  <si>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</si>
  <si>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</si>
  <si>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</si>
  <si>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</si>
  <si>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</si>
  <si>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</si>
  <si>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</si>
  <si>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</si>
  <si>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</si>
  <si>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</si>
  <si>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</si>
  <si>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</si>
  <si>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</si>
  <si>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</si>
  <si>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</si>
  <si>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</si>
  <si>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</si>
  <si>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</si>
  <si>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</si>
  <si>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</si>
  <si>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</si>
  <si>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</si>
  <si>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</si>
  <si>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</si>
  <si>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</si>
  <si>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</si>
  <si>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</si>
  <si>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</si>
  <si>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</si>
  <si>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</si>
  <si>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</si>
  <si>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</si>
  <si>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</si>
  <si>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</si>
  <si>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</si>
  <si>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</si>
  <si>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</si>
  <si>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</si>
  <si>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</si>
  <si>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</si>
  <si>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</si>
  <si>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</si>
  <si>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</si>
  <si>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</si>
  <si>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</si>
  <si>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</si>
  <si>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</si>
  <si>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</si>
  <si>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</si>
  <si>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</si>
  <si>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</si>
  <si>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</si>
  <si>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</si>
  <si>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</si>
  <si>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</si>
  <si>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</si>
  <si>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</si>
  <si>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</si>
  <si>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</si>
  <si>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</si>
  <si>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</si>
  <si>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</si>
  <si>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</si>
  <si>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</si>
  <si>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</si>
  <si>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</si>
  <si>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</si>
  <si>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</si>
  <si>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</si>
  <si>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</si>
  <si>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</si>
  <si>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</si>
  <si>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</si>
  <si>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</si>
  <si>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</si>
  <si>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</si>
  <si>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</si>
  <si>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</si>
  <si>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</si>
  <si>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</si>
  <si>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</si>
  <si>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</si>
  <si>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</si>
  <si>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</si>
  <si>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</si>
  <si>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</si>
  <si>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</si>
  <si>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</si>
  <si>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</si>
  <si>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</si>
  <si>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</si>
  <si>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</si>
  <si>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</si>
  <si>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</si>
  <si>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</si>
  <si>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</si>
  <si>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</si>
  <si>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</si>
  <si>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</si>
  <si>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</si>
  <si>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</si>
  <si>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</si>
  <si>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</si>
  <si>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</si>
  <si>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</si>
  <si>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</si>
  <si>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</si>
  <si>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</si>
  <si>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</si>
  <si>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</si>
  <si>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</si>
  <si>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</si>
  <si>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</si>
  <si>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</si>
  <si>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</si>
  <si>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</si>
  <si>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</si>
  <si>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</si>
  <si>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</si>
  <si>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</si>
  <si>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</si>
  <si>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</si>
  <si>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</si>
  <si>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</si>
  <si>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</si>
  <si>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</si>
  <si>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</si>
  <si>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</si>
  <si>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</si>
  <si>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</si>
  <si>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</si>
  <si>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</si>
  <si>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</si>
  <si>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</si>
  <si>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</si>
  <si>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</si>
  <si>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</si>
  <si>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</si>
  <si>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</si>
  <si>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</si>
  <si>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</si>
  <si>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</si>
  <si>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</si>
  <si>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</si>
  <si>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</si>
  <si>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</si>
  <si>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</si>
  <si>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</si>
  <si>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</si>
  <si>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</si>
  <si>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</si>
  <si>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</si>
  <si>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</si>
  <si>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</si>
  <si>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</si>
  <si>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</si>
  <si>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</si>
  <si>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</si>
  <si>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</si>
  <si>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</si>
  <si>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</si>
  <si>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</si>
  <si>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</si>
  <si>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</si>
  <si>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</si>
  <si>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</si>
  <si>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</si>
  <si>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</si>
  <si>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</si>
  <si>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</si>
  <si>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</si>
  <si>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</si>
  <si>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</si>
  <si>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</si>
  <si>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</si>
  <si>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</si>
  <si>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</si>
  <si>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</si>
  <si>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</si>
  <si>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</si>
  <si>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</si>
  <si>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</si>
  <si>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</si>
  <si>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</si>
  <si>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</si>
  <si>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</si>
  <si>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</si>
  <si>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</si>
  <si>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</si>
  <si>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</si>
  <si>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</si>
  <si>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</si>
  <si>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</si>
  <si>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</si>
  <si>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</si>
  <si>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</si>
  <si>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</si>
  <si>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</si>
  <si>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</si>
  <si>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</si>
  <si>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</si>
  <si>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</si>
  <si>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</si>
  <si>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</si>
  <si>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</si>
  <si>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</si>
  <si>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</si>
  <si>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</si>
  <si>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</si>
  <si>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</si>
  <si>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</si>
  <si>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</si>
  <si>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</si>
  <si>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</si>
  <si>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</si>
  <si>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</si>
  <si>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</si>
  <si>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</si>
  <si>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</si>
  <si>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</si>
  <si>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</si>
  <si>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</si>
  <si>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</si>
  <si>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</si>
  <si>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</si>
  <si>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</si>
  <si>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</si>
  <si>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</si>
  <si>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</si>
  <si>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</si>
  <si>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</si>
  <si>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</si>
  <si>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</si>
  <si>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</si>
  <si>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</si>
  <si>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</si>
  <si>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</si>
  <si>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</si>
  <si>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</si>
  <si>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</si>
  <si>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</si>
  <si>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</si>
  <si>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</si>
  <si>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</si>
  <si>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</si>
  <si>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</si>
  <si>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</si>
  <si>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</si>
  <si>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</si>
  <si>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</si>
  <si>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</si>
  <si>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</si>
  <si>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</si>
  <si>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</si>
  <si>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</si>
  <si>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</si>
  <si>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</si>
  <si>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</si>
  <si>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</si>
  <si>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</si>
  <si>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</si>
  <si>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</si>
  <si>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</si>
  <si>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</si>
  <si>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</si>
  <si>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</si>
  <si>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</si>
  <si>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</si>
  <si>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</si>
  <si>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</si>
  <si>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</si>
  <si>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</si>
  <si>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</si>
  <si>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</si>
  <si>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</si>
  <si>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</si>
  <si>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</si>
  <si>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</si>
  <si>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</si>
  <si>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</si>
  <si>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</si>
  <si>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</si>
  <si>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</si>
  <si>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</si>
  <si>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</si>
  <si>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</si>
  <si>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</si>
  <si>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</si>
  <si>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</si>
  <si>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</si>
  <si>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</si>
  <si>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</si>
  <si>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</si>
  <si>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</si>
  <si>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</si>
  <si>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</si>
  <si>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</si>
  <si>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</si>
  <si>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</si>
  <si>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</si>
  <si>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</si>
  <si>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</si>
  <si>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</si>
  <si>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</si>
  <si>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</si>
  <si>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</si>
  <si>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</si>
  <si>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</si>
  <si>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</si>
  <si>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</si>
  <si>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</si>
  <si>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</si>
  <si>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</si>
  <si>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</si>
  <si>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</si>
  <si>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</si>
  <si>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</si>
  <si>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</si>
  <si>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</si>
  <si>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</si>
  <si>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</si>
  <si>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</si>
  <si>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</si>
  <si>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</si>
  <si>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</si>
  <si>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</si>
  <si>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</si>
  <si>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</si>
  <si>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</si>
  <si>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</si>
  <si>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</si>
  <si>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</si>
  <si>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</si>
  <si>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</si>
  <si>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</si>
  <si>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</si>
  <si>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</si>
  <si>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</si>
  <si>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</si>
  <si>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</si>
  <si>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</si>
  <si>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</si>
  <si>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</si>
  <si>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</si>
  <si>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</si>
  <si>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</si>
  <si>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</si>
  <si>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</si>
  <si>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</si>
  <si>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</si>
  <si>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</si>
  <si>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</si>
  <si>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</si>
  <si>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</si>
  <si>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</si>
  <si>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</si>
  <si>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</si>
  <si>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</si>
  <si>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</si>
  <si>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</si>
  <si>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</si>
  <si>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</si>
  <si>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</si>
  <si>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</si>
  <si>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</si>
  <si>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</si>
  <si>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</si>
  <si>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</si>
  <si>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</si>
  <si>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</si>
  <si>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</si>
  <si>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</si>
  <si>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</si>
  <si>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</si>
  <si>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</si>
  <si>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</si>
  <si>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</si>
  <si>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</si>
  <si>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</si>
  <si>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</si>
  <si>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</si>
  <si>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</si>
  <si>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</si>
  <si>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</si>
  <si>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</si>
  <si>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</si>
  <si>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</si>
  <si>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</si>
  <si>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</si>
  <si>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</si>
  <si>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</si>
  <si>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</si>
  <si>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</si>
  <si>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</si>
  <si>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</si>
  <si>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</si>
  <si>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</si>
  <si>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</si>
  <si>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</si>
  <si>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</si>
  <si>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</si>
  <si>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</si>
  <si>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</si>
  <si>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</si>
  <si>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</si>
  <si>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</si>
  <si>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</si>
  <si>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</si>
  <si>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</si>
  <si>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</si>
  <si>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</si>
  <si>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</si>
  <si>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</si>
  <si>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</si>
  <si>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</si>
  <si>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</si>
  <si>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</si>
  <si>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</si>
  <si>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</si>
  <si>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</si>
  <si>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</si>
  <si>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</si>
  <si>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</si>
  <si>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</si>
  <si>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</si>
  <si>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</si>
  <si>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</si>
  <si>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</si>
  <si>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</si>
  <si>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</si>
  <si>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</si>
  <si>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</si>
  <si>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</si>
  <si>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</si>
  <si>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</si>
  <si>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</si>
  <si>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</si>
  <si>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</si>
  <si>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</si>
  <si>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</si>
  <si>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</si>
  <si>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</si>
  <si>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</si>
  <si>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</si>
  <si>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</si>
  <si>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</si>
  <si>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</si>
  <si>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</si>
  <si>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</si>
  <si>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</si>
  <si>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</si>
  <si>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</si>
  <si>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</si>
  <si>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</si>
  <si>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</si>
  <si>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</si>
  <si>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</si>
  <si>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</si>
  <si>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</si>
  <si>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</si>
  <si>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</si>
  <si>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</si>
  <si>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</si>
  <si>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</si>
  <si>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</si>
  <si>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</si>
  <si>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</si>
  <si>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</si>
  <si>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</si>
  <si>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</si>
  <si>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</si>
  <si>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</si>
  <si>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</si>
  <si>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</si>
  <si>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</si>
  <si>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</si>
  <si>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</si>
  <si>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</si>
  <si>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</si>
  <si>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</si>
  <si>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</si>
  <si>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</si>
  <si>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</si>
  <si>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</si>
  <si>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</si>
  <si>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</si>
  <si>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</si>
  <si>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</si>
  <si>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</si>
  <si>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</si>
  <si>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</si>
  <si>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</si>
  <si>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</si>
  <si>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</si>
  <si>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</si>
  <si>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</si>
  <si>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</si>
  <si>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</si>
  <si>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</si>
  <si>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</si>
  <si>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</si>
  <si>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</si>
  <si>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</si>
  <si>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</si>
  <si>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</si>
  <si>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</si>
  <si>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</si>
  <si>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</si>
  <si>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</si>
  <si>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</si>
  <si>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</si>
  <si>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</si>
  <si>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</si>
  <si>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</si>
  <si>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</si>
  <si>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</si>
  <si>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</si>
  <si>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</si>
  <si>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</si>
  <si>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</si>
  <si>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</si>
  <si>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</si>
  <si>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</si>
  <si>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</si>
  <si>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</si>
  <si>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</si>
  <si>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</si>
  <si>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</si>
  <si>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</si>
  <si>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</si>
  <si>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</si>
  <si>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</si>
  <si>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</si>
  <si>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</si>
  <si>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</si>
  <si>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</si>
  <si>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</si>
  <si>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</si>
  <si>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</si>
  <si>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</si>
  <si>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</si>
  <si>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</si>
  <si>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</si>
  <si>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</si>
  <si>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</si>
  <si>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</si>
  <si>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</si>
  <si>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</si>
  <si>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</si>
  <si>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</si>
  <si>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</si>
  <si>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</si>
  <si>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</si>
  <si>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</si>
  <si>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</si>
  <si>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</si>
  <si>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</si>
  <si>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</si>
  <si>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</si>
  <si>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</si>
  <si>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</si>
  <si>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</si>
  <si>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</si>
  <si>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</si>
  <si>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</si>
  <si>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</si>
  <si>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</si>
  <si>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</si>
  <si>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</si>
  <si>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</si>
  <si>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</si>
  <si>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</si>
  <si>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</si>
  <si>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</si>
  <si>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</si>
  <si>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</si>
  <si>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</si>
  <si>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</si>
  <si>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</si>
  <si>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</si>
  <si>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</si>
  <si>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</si>
  <si>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</si>
  <si>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</si>
  <si>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</si>
  <si>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</si>
  <si>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</si>
  <si>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</si>
  <si>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</si>
  <si>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</si>
  <si>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</si>
  <si>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</si>
  <si>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</si>
  <si>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</si>
  <si>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</si>
  <si>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</si>
  <si>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</si>
  <si>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</si>
  <si>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</si>
  <si>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</si>
  <si>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</si>
  <si>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</si>
  <si>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</si>
  <si>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</si>
  <si>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</si>
  <si>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</si>
  <si>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</si>
  <si>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</si>
  <si>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</si>
  <si>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</si>
  <si>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</si>
  <si>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</si>
  <si>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</si>
  <si>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</si>
  <si>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</si>
  <si>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</si>
  <si>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</si>
  <si>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</si>
  <si>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</si>
  <si>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</si>
  <si>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</si>
  <si>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</si>
  <si>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</si>
  <si>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</si>
  <si>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</si>
  <si>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</si>
  <si>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</si>
  <si>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</si>
  <si>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</si>
  <si>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</si>
  <si>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</si>
  <si>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</si>
  <si>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</si>
  <si>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</si>
  <si>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</si>
  <si>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</si>
  <si>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</si>
  <si>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</si>
  <si>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</si>
  <si>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</si>
  <si>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</si>
  <si>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</si>
  <si>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</si>
  <si>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</si>
  <si>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</si>
  <si>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</si>
  <si>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</si>
  <si>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</si>
  <si>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</si>
  <si>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</si>
  <si>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</si>
  <si>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</si>
  <si>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</si>
  <si>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</si>
  <si>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</si>
  <si>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</si>
  <si>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</si>
  <si>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</si>
  <si>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</si>
  <si>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</si>
  <si>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</si>
  <si>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</si>
  <si>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</si>
  <si>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</si>
  <si>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</si>
  <si>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</si>
  <si>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</si>
  <si>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</si>
  <si>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</si>
  <si>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</si>
  <si>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</si>
  <si>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</si>
  <si>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</si>
  <si>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</si>
  <si>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</si>
  <si>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</si>
  <si>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</si>
  <si>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</si>
  <si>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</si>
  <si>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</si>
  <si>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</si>
  <si>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</si>
  <si>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</si>
  <si>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</si>
  <si>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</si>
  <si>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</si>
  <si>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</si>
  <si>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</si>
  <si>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</si>
  <si>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</si>
  <si>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</si>
  <si>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</si>
  <si>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</si>
  <si>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</si>
  <si>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</si>
  <si>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</si>
  <si>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</si>
  <si>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</si>
  <si>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</si>
  <si>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</si>
  <si>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</si>
  <si>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</si>
  <si>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</si>
  <si>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</si>
  <si>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</si>
  <si>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</si>
  <si>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</si>
  <si>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</si>
  <si>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</si>
  <si>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</si>
  <si>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</si>
  <si>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</si>
  <si>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</si>
  <si>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</si>
  <si>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</si>
  <si>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</si>
  <si>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</si>
  <si>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</si>
  <si>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</si>
  <si>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</si>
  <si>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</si>
  <si>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</si>
  <si>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</si>
  <si>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</si>
  <si>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</si>
  <si>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</si>
  <si>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</si>
  <si>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</si>
  <si>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</si>
  <si>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</si>
  <si>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</si>
  <si>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</si>
  <si>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</si>
  <si>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</si>
  <si>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</si>
  <si>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</si>
  <si>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</si>
  <si>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</si>
  <si>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</si>
  <si>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</si>
  <si>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</si>
  <si>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</si>
  <si>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</si>
  <si>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</si>
  <si>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</si>
  <si>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</si>
  <si>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</si>
  <si>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</si>
  <si>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</si>
  <si>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</si>
  <si>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</si>
  <si>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</si>
  <si>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</si>
  <si>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</si>
  <si>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</si>
  <si>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</si>
  <si>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</si>
  <si>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</si>
  <si>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</si>
  <si>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</si>
  <si>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</si>
  <si>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</si>
  <si>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</si>
  <si>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</si>
  <si>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</si>
  <si>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</si>
  <si>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</si>
  <si>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</si>
  <si>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</si>
  <si>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</si>
  <si>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</si>
  <si>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</si>
  <si>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</si>
  <si>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</si>
  <si>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</si>
  <si>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</si>
  <si>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</si>
  <si>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</si>
  <si>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</si>
  <si>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</si>
  <si>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</si>
  <si>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</si>
  <si>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</si>
  <si>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</si>
  <si>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</si>
  <si>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</si>
  <si>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</si>
  <si>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</si>
  <si>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</si>
  <si>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</si>
  <si>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</si>
  <si>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</si>
  <si>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</si>
  <si>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</si>
  <si>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</si>
  <si>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</si>
  <si>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</si>
  <si>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</si>
  <si>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</si>
  <si>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</si>
  <si>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</si>
  <si>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</si>
  <si>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</si>
  <si>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</si>
  <si>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</si>
  <si>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</si>
  <si>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</si>
  <si>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</si>
  <si>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</si>
  <si>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</si>
  <si>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</si>
  <si>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</si>
  <si>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</si>
  <si>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</si>
  <si>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</si>
  <si>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</si>
  <si>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</si>
  <si>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</si>
  <si>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</si>
  <si>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</si>
  <si>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</si>
  <si>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</si>
  <si>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</si>
  <si>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</si>
  <si>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</si>
  <si>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</si>
  <si>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</si>
  <si>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</si>
  <si>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</si>
  <si>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</si>
  <si>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</si>
  <si>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</si>
  <si>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</si>
  <si>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</si>
  <si>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</si>
  <si>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</si>
  <si>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</si>
  <si>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</si>
  <si>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</si>
  <si>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</si>
  <si>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</si>
  <si>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</si>
  <si>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</si>
  <si>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</si>
  <si>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</si>
  <si>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</si>
  <si>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</si>
  <si>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</si>
  <si>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</si>
  <si>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</si>
  <si>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</si>
  <si>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</si>
  <si>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</si>
  <si>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</si>
  <si>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</si>
  <si>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</si>
  <si>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</si>
  <si>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</si>
  <si>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</si>
  <si>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</si>
  <si>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</si>
  <si>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</si>
  <si>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</si>
  <si>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</si>
  <si>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</si>
  <si>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</si>
  <si>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</si>
  <si>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</si>
  <si>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</si>
  <si>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</si>
  <si>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</si>
  <si>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</si>
  <si>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</si>
  <si>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</si>
  <si>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</si>
  <si>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</si>
  <si>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</si>
  <si>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</si>
  <si>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</si>
  <si>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</si>
  <si>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</si>
  <si>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</si>
  <si>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</si>
  <si>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</si>
  <si>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</si>
  <si>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</si>
  <si>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</si>
  <si>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</si>
  <si>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</si>
  <si>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</si>
  <si>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</si>
  <si>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</si>
  <si>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</si>
  <si>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</si>
  <si>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</si>
  <si>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</si>
  <si>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</si>
  <si>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</si>
  <si>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</si>
  <si>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</si>
  <si>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</si>
  <si>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</si>
  <si>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</si>
  <si>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</si>
  <si>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</si>
  <si>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</si>
  <si>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</si>
  <si>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</si>
  <si>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</si>
  <si>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</si>
  <si>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</si>
  <si>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</si>
  <si>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</si>
  <si>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</si>
  <si>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</si>
  <si>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</si>
  <si>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</si>
  <si>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</si>
  <si>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</si>
  <si>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</si>
  <si>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</si>
  <si>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</si>
  <si>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</si>
  <si>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</si>
  <si>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</si>
  <si>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</si>
  <si>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</si>
  <si>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</si>
  <si>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</si>
  <si>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</si>
  <si>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</si>
  <si>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</si>
  <si>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</si>
  <si>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</si>
  <si>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</si>
  <si>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</si>
  <si>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</si>
  <si>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</si>
  <si>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</si>
  <si>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</si>
  <si>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</si>
  <si>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</si>
  <si>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</si>
  <si>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</si>
  <si>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</si>
  <si>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</si>
  <si>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</si>
  <si>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</si>
  <si>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</si>
  <si>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</si>
  <si>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</si>
  <si>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</si>
  <si>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</si>
  <si>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</si>
  <si>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</si>
  <si>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Diem Vy</t>
  </si>
  <si>
    <t>HD011509</t>
  </si>
  <si>
    <t>19 Tân Canh P.1</t>
  </si>
  <si>
    <t>15-04-2026</t>
  </si>
  <si>
    <t>HD011579</t>
  </si>
  <si>
    <t>AT 15-04</t>
  </si>
  <si>
    <t>HD011460</t>
  </si>
  <si>
    <t>103/23 cô giang phường cô giang</t>
  </si>
  <si>
    <t>Nguyễn Nhi</t>
  </si>
  <si>
    <t>HD011396</t>
  </si>
  <si>
    <t>Vinhomes - phường long thạnh mỹ</t>
  </si>
  <si>
    <t>HD011457</t>
  </si>
  <si>
    <t>số 25a đường 22 bình hưng hòa a</t>
  </si>
  <si>
    <t>linda tran ( fb Jin Jin)</t>
  </si>
  <si>
    <t>HD011491</t>
  </si>
  <si>
    <t>66 đường số 7, p10</t>
  </si>
  <si>
    <t>Dương Tường Vy.</t>
  </si>
  <si>
    <t>HD011607</t>
  </si>
  <si>
    <t>Cô Đông - fb Nali Liễu</t>
  </si>
  <si>
    <t>HD011348</t>
  </si>
  <si>
    <t>27/11 đường số 27 hiệp bình Chánh</t>
  </si>
  <si>
    <t>Moon Nguyễn</t>
  </si>
  <si>
    <t>HD011625</t>
  </si>
  <si>
    <t>16 kim ngân, khu dân cư phong phú 4, xã phong phú</t>
  </si>
  <si>
    <t>BN182 miki</t>
  </si>
  <si>
    <t>HD011425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</si>
  <si>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</si>
  <si>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</si>
  <si>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</si>
  <si>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</si>
  <si>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</si>
  <si>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</si>
  <si>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</si>
  <si>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chị linh</t>
  </si>
  <si>
    <t>HD011244</t>
  </si>
  <si>
    <t>68hùng vuong p9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</si>
  <si>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</si>
  <si>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</si>
  <si>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</si>
  <si>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</si>
  <si>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</si>
  <si>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</si>
  <si>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</si>
  <si>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</si>
  <si>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</si>
  <si>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</si>
  <si>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</si>
  <si>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</si>
  <si>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</si>
  <si>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</si>
  <si>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</si>
  <si>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</si>
  <si>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</si>
  <si>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</si>
  <si>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</si>
  <si>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</si>
  <si>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</si>
  <si>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Nam Diep Hung Tue</t>
  </si>
  <si>
    <t>HD011379</t>
  </si>
  <si>
    <t>Chung cư Sơn Kỳ 2 số 37 đường DC 13 p Tây Thạnh</t>
  </si>
  <si>
    <t>HD011391</t>
  </si>
  <si>
    <t>189/46a Bạch Đằng, phường Hạnh Thông</t>
  </si>
  <si>
    <t>linh sỉ lee</t>
  </si>
  <si>
    <t>Số nhà 97A, đường 22, phường phước long</t>
  </si>
  <si>
    <t>Ngọc</t>
  </si>
  <si>
    <t>120/6 Lê Bình, phường Tân Sơn Nhất</t>
  </si>
  <si>
    <t>Nguyễn Đắc Hội</t>
  </si>
  <si>
    <t>127/17 bình lợi p13</t>
  </si>
  <si>
    <t>at 15-04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</si>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</sst>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42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2" fillId="0" borderId="0" xfId="1"/>
    <xf numFmtId="0" fontId="2" fillId="8" borderId="1" xfId="1" applyFill="1" applyBorder="1"/>
    <xf numFmtId="0" fontId="2" fillId="0" borderId="1" xfId="1" applyBorder="1"/>
    <xf numFmtId="0" fontId="2" fillId="9" borderId="0" xfId="1" applyFill="1"/>
    <xf numFmtId="164" fontId="2" fillId="0" borderId="1" xfId="1" applyNumberForma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  <xf numFmtId="0" fontId="1" fillId="0" borderId="0" xfId="1" applyFont="1"/>
  </cellXfs>
  <cellStyles count="2">
    <cellStyle name="Normal" xfId="0" builtinId="0"/>
    <cellStyle name="Normal 2" xfId="1" xr:uid="{DB72F213-3AF7-4618-B5B3-4068D3F972D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ar/B&#7843;ng-&#273;&#7889;i-so&#225;t-t3-2026.xlsx" TargetMode="External"/><Relationship Id="rId2" Type="http://schemas.openxmlformats.org/officeDocument/2006/relationships/externalLinkPath" Target="file:///D:\Work\Freelance\TextInputter\data\Mar\B&#7843;ng-&#273;&#7889;i-so&#225;t-t3-2026.xlsx" TargetMode="External"/><Relationship Id="rId1" Type="http://schemas.openxmlformats.org/officeDocument/2006/relationships/externalLinkPath" Target="/Work/Freelance/TextInputter/data/Mar/B&#7843;ng-&#273;&#7889;i-so&#225;t-t3-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7-03"/>
      <sheetName val="18-03"/>
      <sheetName val="19-03"/>
      <sheetName val="20-03"/>
      <sheetName val="21-03"/>
      <sheetName val="23-03"/>
      <sheetName val="24-03"/>
      <sheetName val="25-03"/>
      <sheetName val="26-03"/>
      <sheetName val="27-03"/>
      <sheetName val="28-03"/>
      <sheetName val="30-03"/>
      <sheetName val="31-03"/>
      <sheetName val="Sheet1"/>
    </sheetNames>
    <sheetDataSet>
      <sheetData sheetId="0">
        <row r="35">
          <cell r="P35">
            <v>115</v>
          </cell>
        </row>
      </sheetData>
      <sheetData sheetId="1">
        <row r="32">
          <cell r="P32">
            <v>73</v>
          </cell>
        </row>
      </sheetData>
      <sheetData sheetId="2">
        <row r="47">
          <cell r="P47">
            <v>135</v>
          </cell>
        </row>
      </sheetData>
      <sheetData sheetId="3">
        <row r="37">
          <cell r="P37">
            <v>86</v>
          </cell>
        </row>
      </sheetData>
      <sheetData sheetId="4">
        <row r="44">
          <cell r="P44">
            <v>155</v>
          </cell>
        </row>
      </sheetData>
      <sheetData sheetId="5">
        <row r="87">
          <cell r="P87">
            <v>336</v>
          </cell>
        </row>
      </sheetData>
      <sheetData sheetId="6">
        <row r="27">
          <cell r="P27">
            <v>114</v>
          </cell>
        </row>
      </sheetData>
      <sheetData sheetId="7">
        <row r="28">
          <cell r="P28">
            <v>60</v>
          </cell>
        </row>
      </sheetData>
      <sheetData sheetId="8">
        <row r="43">
          <cell r="P43">
            <v>152</v>
          </cell>
        </row>
      </sheetData>
      <sheetData sheetId="9">
        <row r="47">
          <cell r="P47">
            <v>174</v>
          </cell>
        </row>
      </sheetData>
      <sheetData sheetId="10">
        <row r="38">
          <cell r="P38">
            <v>130</v>
          </cell>
        </row>
      </sheetData>
      <sheetData sheetId="11">
        <row r="78">
          <cell r="P78">
            <v>276</v>
          </cell>
        </row>
      </sheetData>
      <sheetData sheetId="12">
        <row r="44">
          <cell r="P44">
            <v>66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workbookViewId="0">
      <selection activeCell="A28" sqref="A28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37</v>
      </c>
      <c r="D3" t="s">
        <v>38</v>
      </c>
      <c r="E3" t="s">
        <v>39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40</v>
      </c>
      <c r="K3" t="s">
        <v>22</v>
      </c>
      <c r="L3" t="s">
        <v>23</v>
      </c>
      <c r="Q3">
        <v>1</v>
      </c>
    </row>
    <row r="4" spans="1:17" x14ac:dyDescent="0.25">
      <c r="B4" t="s">
        <v>16</v>
      </c>
      <c r="C4" t="s">
        <v>17</v>
      </c>
      <c r="D4" t="s">
        <v>18</v>
      </c>
      <c r="E4" t="s">
        <v>19</v>
      </c>
      <c r="F4" t="s">
        <v>20</v>
      </c>
      <c r="G4" s="6">
        <v>0</v>
      </c>
      <c r="H4" s="6">
        <v>30</v>
      </c>
      <c r="I4" s="6">
        <f>-H4</f>
        <v>-30</v>
      </c>
      <c r="J4" t="s">
        <v>21</v>
      </c>
      <c r="K4" t="s">
        <v>22</v>
      </c>
      <c r="L4" t="s">
        <v>23</v>
      </c>
      <c r="Q4">
        <v>1</v>
      </c>
    </row>
    <row r="5" spans="1:17" x14ac:dyDescent="0.25">
      <c r="B5" t="s">
        <v>16</v>
      </c>
      <c r="C5" t="s">
        <v>24</v>
      </c>
      <c r="D5" t="s">
        <v>25</v>
      </c>
      <c r="E5" t="s">
        <v>26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21</v>
      </c>
      <c r="K5" t="s">
        <v>22</v>
      </c>
      <c r="L5" t="s">
        <v>23</v>
      </c>
      <c r="Q5">
        <v>1</v>
      </c>
    </row>
    <row r="6" spans="1:17" x14ac:dyDescent="0.25">
      <c r="B6" t="s">
        <v>16</v>
      </c>
      <c r="C6" t="s">
        <v>27</v>
      </c>
      <c r="D6" t="s">
        <v>28</v>
      </c>
      <c r="E6" t="s">
        <v>29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21</v>
      </c>
      <c r="K6" t="s">
        <v>22</v>
      </c>
      <c r="L6" t="s">
        <v>23</v>
      </c>
      <c r="Q6">
        <v>1</v>
      </c>
    </row>
    <row r="7" spans="1:17" x14ac:dyDescent="0.25">
      <c r="B7" t="s">
        <v>16</v>
      </c>
      <c r="C7" t="s">
        <v>30</v>
      </c>
      <c r="D7" t="s">
        <v>31</v>
      </c>
      <c r="E7" t="s">
        <v>32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21</v>
      </c>
      <c r="K7" t="s">
        <v>22</v>
      </c>
      <c r="L7" t="s">
        <v>23</v>
      </c>
      <c r="Q7">
        <v>1</v>
      </c>
    </row>
    <row r="8" spans="1:17" x14ac:dyDescent="0.25">
      <c r="B8" t="s">
        <v>16</v>
      </c>
      <c r="C8" t="s">
        <v>45</v>
      </c>
      <c r="D8" t="s">
        <v>46</v>
      </c>
      <c r="E8" t="s">
        <v>47</v>
      </c>
      <c r="F8" t="s">
        <v>20</v>
      </c>
      <c r="G8" s="6">
        <v>610</v>
      </c>
      <c r="H8" s="6">
        <v>30</v>
      </c>
      <c r="I8" s="6">
        <f>G8-H8</f>
        <v>580</v>
      </c>
      <c r="J8" t="s">
        <v>21</v>
      </c>
      <c r="K8" t="s">
        <v>22</v>
      </c>
      <c r="L8" t="s">
        <v>23</v>
      </c>
      <c r="Q8">
        <v>1</v>
      </c>
    </row>
    <row r="9" spans="1:17" x14ac:dyDescent="0.25">
      <c r="B9" t="s">
        <v>16</v>
      </c>
      <c r="C9" t="s">
        <v>48</v>
      </c>
      <c r="D9" t="s">
        <v>49</v>
      </c>
      <c r="E9" t="s">
        <v>50</v>
      </c>
      <c r="F9" s="6">
        <v>8</v>
      </c>
      <c r="G9" s="6">
        <v>0</v>
      </c>
      <c r="H9" s="6">
        <v>25</v>
      </c>
      <c r="I9" s="6">
        <f>-H9</f>
        <v>-25</v>
      </c>
      <c r="J9" t="s">
        <v>21</v>
      </c>
      <c r="K9" t="s">
        <v>22</v>
      </c>
      <c r="L9" t="s">
        <v>23</v>
      </c>
      <c r="Q9">
        <v>1</v>
      </c>
    </row>
    <row r="10" spans="1:17" x14ac:dyDescent="0.25">
      <c r="B10" t="s">
        <v>16</v>
      </c>
      <c r="C10" t="s">
        <v>54</v>
      </c>
      <c r="D10" t="s">
        <v>55</v>
      </c>
      <c r="E10" t="s">
        <v>56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21</v>
      </c>
      <c r="K10" t="s">
        <v>22</v>
      </c>
      <c r="L10" t="s">
        <v>23</v>
      </c>
      <c r="Q10">
        <v>1</v>
      </c>
    </row>
    <row r="11" spans="1:17" x14ac:dyDescent="0.25">
      <c r="B11" t="s">
        <v>16</v>
      </c>
      <c r="C11" t="s">
        <v>63</v>
      </c>
      <c r="D11" t="s">
        <v>64</v>
      </c>
      <c r="E11" t="s">
        <v>65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21</v>
      </c>
      <c r="K11" t="s">
        <v>22</v>
      </c>
      <c r="L11" t="s">
        <v>23</v>
      </c>
      <c r="M11" t="s">
        <v>66</v>
      </c>
      <c r="Q11">
        <v>1</v>
      </c>
    </row>
    <row r="12" spans="1:17" x14ac:dyDescent="0.25">
      <c r="B12" t="s">
        <v>16</v>
      </c>
      <c r="C12" t="s">
        <v>67</v>
      </c>
      <c r="D12" t="s">
        <v>68</v>
      </c>
      <c r="E12" t="s">
        <v>69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21</v>
      </c>
      <c r="K12" t="s">
        <v>22</v>
      </c>
      <c r="L12" t="s">
        <v>23</v>
      </c>
      <c r="Q12">
        <v>1</v>
      </c>
    </row>
    <row r="13" spans="1:17" x14ac:dyDescent="0.25">
      <c r="B13" t="s">
        <v>16</v>
      </c>
      <c r="C13" t="s">
        <v>70</v>
      </c>
      <c r="D13" t="s">
        <v>71</v>
      </c>
      <c r="E13" t="s">
        <v>72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21</v>
      </c>
      <c r="K13" t="s">
        <v>22</v>
      </c>
      <c r="L13" t="s">
        <v>23</v>
      </c>
      <c r="Q13">
        <v>1</v>
      </c>
    </row>
    <row r="14" spans="1:17" x14ac:dyDescent="0.25">
      <c r="B14" t="s">
        <v>16</v>
      </c>
      <c r="C14" t="s">
        <v>73</v>
      </c>
      <c r="D14" t="s">
        <v>74</v>
      </c>
      <c r="E14" t="s">
        <v>75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21</v>
      </c>
      <c r="K14" t="s">
        <v>22</v>
      </c>
      <c r="L14" t="s">
        <v>23</v>
      </c>
      <c r="Q14">
        <v>1</v>
      </c>
    </row>
    <row r="15" spans="1:17" x14ac:dyDescent="0.25">
      <c r="B15" t="s">
        <v>16</v>
      </c>
      <c r="C15" t="s">
        <v>80</v>
      </c>
      <c r="D15" t="s">
        <v>81</v>
      </c>
      <c r="E15" t="s">
        <v>82</v>
      </c>
      <c r="F15" t="s">
        <v>20</v>
      </c>
      <c r="G15" s="6">
        <v>820</v>
      </c>
      <c r="H15" s="6">
        <v>30</v>
      </c>
      <c r="I15" s="6">
        <f t="shared" si="0"/>
        <v>790</v>
      </c>
      <c r="J15" t="s">
        <v>21</v>
      </c>
      <c r="K15" t="s">
        <v>22</v>
      </c>
      <c r="L15" t="s">
        <v>23</v>
      </c>
      <c r="Q15">
        <v>1</v>
      </c>
    </row>
    <row r="16" spans="1:17" x14ac:dyDescent="0.25">
      <c r="A16" t="s">
        <v>83</v>
      </c>
      <c r="B16" t="s">
        <v>16</v>
      </c>
      <c r="C16" t="s">
        <v>87</v>
      </c>
      <c r="E16" t="s">
        <v>88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22</v>
      </c>
      <c r="L16" t="s">
        <v>23</v>
      </c>
      <c r="Q16">
        <v>1</v>
      </c>
    </row>
    <row r="17" spans="1:17" x14ac:dyDescent="0.25">
      <c r="B17" t="s">
        <v>16</v>
      </c>
      <c r="C17" t="s">
        <v>33</v>
      </c>
      <c r="D17" t="s">
        <v>34</v>
      </c>
      <c r="E17" t="s">
        <v>35</v>
      </c>
      <c r="F17" t="s">
        <v>36</v>
      </c>
      <c r="G17" s="6">
        <v>0</v>
      </c>
      <c r="H17" s="6">
        <v>20</v>
      </c>
      <c r="I17" s="6">
        <f>-H17</f>
        <v>-20</v>
      </c>
      <c r="J17" t="s">
        <v>22</v>
      </c>
      <c r="K17" t="s">
        <v>22</v>
      </c>
      <c r="L17" t="s">
        <v>23</v>
      </c>
      <c r="Q17">
        <v>1</v>
      </c>
    </row>
    <row r="18" spans="1:17" x14ac:dyDescent="0.25">
      <c r="B18" t="s">
        <v>16</v>
      </c>
      <c r="C18" t="s">
        <v>41</v>
      </c>
      <c r="D18" t="s">
        <v>42</v>
      </c>
      <c r="E18" t="s">
        <v>43</v>
      </c>
      <c r="F18" t="s">
        <v>44</v>
      </c>
      <c r="G18" s="6">
        <v>615</v>
      </c>
      <c r="H18" s="6">
        <v>25</v>
      </c>
      <c r="I18" s="6">
        <f>G18-H18</f>
        <v>590</v>
      </c>
      <c r="J18" t="s">
        <v>22</v>
      </c>
      <c r="K18" t="s">
        <v>22</v>
      </c>
      <c r="L18" t="s">
        <v>23</v>
      </c>
      <c r="Q18">
        <v>1</v>
      </c>
    </row>
    <row r="19" spans="1:17" x14ac:dyDescent="0.25">
      <c r="B19" t="s">
        <v>16</v>
      </c>
      <c r="C19" t="s">
        <v>51</v>
      </c>
      <c r="D19" t="s">
        <v>52</v>
      </c>
      <c r="E19" t="s">
        <v>53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22</v>
      </c>
      <c r="K19" t="s">
        <v>22</v>
      </c>
      <c r="L19" t="s">
        <v>23</v>
      </c>
      <c r="Q19">
        <v>1</v>
      </c>
    </row>
    <row r="20" spans="1:17" x14ac:dyDescent="0.25">
      <c r="B20" t="s">
        <v>16</v>
      </c>
      <c r="C20" t="s">
        <v>57</v>
      </c>
      <c r="D20" t="s">
        <v>58</v>
      </c>
      <c r="E20" t="s">
        <v>59</v>
      </c>
      <c r="F20" t="s">
        <v>36</v>
      </c>
      <c r="G20" s="6">
        <v>1630</v>
      </c>
      <c r="H20" s="6">
        <v>20</v>
      </c>
      <c r="I20" s="6">
        <f>G20-H20</f>
        <v>1610</v>
      </c>
      <c r="J20" t="s">
        <v>22</v>
      </c>
      <c r="K20" t="s">
        <v>22</v>
      </c>
      <c r="L20" t="s">
        <v>23</v>
      </c>
      <c r="Q20">
        <v>1</v>
      </c>
    </row>
    <row r="21" spans="1:17" x14ac:dyDescent="0.25">
      <c r="B21" t="s">
        <v>16</v>
      </c>
      <c r="C21" t="s">
        <v>60</v>
      </c>
      <c r="D21" t="s">
        <v>61</v>
      </c>
      <c r="E21" t="s">
        <v>62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22</v>
      </c>
      <c r="K21" t="s">
        <v>22</v>
      </c>
      <c r="L21" t="s">
        <v>23</v>
      </c>
      <c r="Q21">
        <v>1</v>
      </c>
    </row>
    <row r="22" spans="1:17" x14ac:dyDescent="0.25">
      <c r="B22" t="s">
        <v>16</v>
      </c>
      <c r="C22" t="s">
        <v>76</v>
      </c>
      <c r="D22" t="s">
        <v>77</v>
      </c>
      <c r="E22" t="s">
        <v>78</v>
      </c>
      <c r="F22" t="s">
        <v>79</v>
      </c>
      <c r="G22" s="6">
        <v>20</v>
      </c>
      <c r="H22" s="6">
        <v>20</v>
      </c>
      <c r="I22" s="6">
        <f>G22-H22</f>
        <v>0</v>
      </c>
      <c r="J22" t="s">
        <v>22</v>
      </c>
      <c r="K22" t="s">
        <v>22</v>
      </c>
      <c r="L22" t="s">
        <v>23</v>
      </c>
      <c r="M22" t="s">
        <v>66</v>
      </c>
      <c r="Q22">
        <v>1</v>
      </c>
    </row>
    <row r="23" spans="1:17" x14ac:dyDescent="0.25">
      <c r="A23" t="s">
        <v>83</v>
      </c>
      <c r="B23" t="s">
        <v>16</v>
      </c>
      <c r="C23" t="s">
        <v>84</v>
      </c>
      <c r="E23" t="s">
        <v>85</v>
      </c>
      <c r="F23" t="s">
        <v>86</v>
      </c>
      <c r="G23" s="6">
        <v>0</v>
      </c>
      <c r="H23" s="6">
        <v>30</v>
      </c>
      <c r="I23" s="6">
        <f>-H23</f>
        <v>-30</v>
      </c>
      <c r="J23" t="s">
        <v>22</v>
      </c>
      <c r="K23" t="s">
        <v>22</v>
      </c>
      <c r="L23" t="s">
        <v>23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37" t="s">
        <v>89</v>
      </c>
      <c r="D27" s="37"/>
      <c r="E27" s="4" t="s">
        <v>90</v>
      </c>
      <c r="H27">
        <f>-5*25</f>
        <v>-125</v>
      </c>
      <c r="K27" s="7" t="s">
        <v>21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23</v>
      </c>
      <c r="B28" s="3" t="s">
        <v>93</v>
      </c>
      <c r="C28" s="38">
        <f>SUMIFS(I$3:I$23,B$3:B$23,A$27,L$3:L$23,A$28)</f>
        <v>11295</v>
      </c>
      <c r="D28" s="38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39">
        <v>0</v>
      </c>
      <c r="D29" s="39"/>
      <c r="K29" t="s">
        <v>98</v>
      </c>
      <c r="L29">
        <f>SUM(H26:H27)</f>
        <v>-261</v>
      </c>
      <c r="M29">
        <f>SUMIFS(Q$3:Q$23,J$3:J$23,K$27)</f>
        <v>13</v>
      </c>
      <c r="O29" t="s">
        <v>22</v>
      </c>
      <c r="P29">
        <f>L41</f>
        <v>3343</v>
      </c>
    </row>
    <row r="30" spans="1:17" x14ac:dyDescent="0.25">
      <c r="B30" s="2" t="s">
        <v>99</v>
      </c>
      <c r="C30" s="39">
        <f>-SUMIFS(I$3:I$23,B$3:B$23,A$27,P$3:P$23,"xx",N$3:N$23,"x")</f>
        <v>0</v>
      </c>
      <c r="D30" s="39"/>
      <c r="E30" s="2">
        <f>SUMIFS(Q$3:Q$23,B$3:B$23,A$27,P$3:P$23,"xx",N$3:N$23,"x")</f>
        <v>0</v>
      </c>
      <c r="K30" t="s">
        <v>100</v>
      </c>
      <c r="O30" t="s">
        <v>40</v>
      </c>
      <c r="P30">
        <f>L49</f>
        <v>755</v>
      </c>
    </row>
    <row r="31" spans="1:17" x14ac:dyDescent="0.25">
      <c r="B31" s="4" t="s">
        <v>101</v>
      </c>
      <c r="C31" s="37">
        <f>SUBTOTAL(9,C28:C30)</f>
        <v>11295</v>
      </c>
      <c r="D31" s="37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35"/>
      <c r="D32" s="35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35"/>
      <c r="D33" s="35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36">
        <f>C31+C32+C33</f>
        <v>11295</v>
      </c>
      <c r="D35" s="36"/>
      <c r="E35" s="1" t="s">
        <v>109</v>
      </c>
      <c r="K35" s="7" t="s">
        <v>22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40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8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9.85546875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22</v>
      </c>
      <c r="L3" t="s">
        <v>115</v>
      </c>
      <c r="M3" t="s">
        <v>66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20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22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22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22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22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22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20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22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36</v>
      </c>
      <c r="G10" s="6">
        <v>0</v>
      </c>
      <c r="H10" s="6">
        <v>20</v>
      </c>
      <c r="I10" s="6">
        <f t="shared" si="0"/>
        <v>-20</v>
      </c>
      <c r="J10" t="s">
        <v>22</v>
      </c>
      <c r="K10" t="s">
        <v>22</v>
      </c>
      <c r="L10" t="s">
        <v>115</v>
      </c>
      <c r="Q10">
        <v>1</v>
      </c>
    </row>
    <row r="11" spans="1:17" x14ac:dyDescent="0.25">
      <c r="A11" t="s">
        <v>83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22</v>
      </c>
      <c r="K11" t="s">
        <v>22</v>
      </c>
      <c r="L11" t="s">
        <v>115</v>
      </c>
      <c r="Q11">
        <v>1</v>
      </c>
    </row>
    <row r="12" spans="1:17" x14ac:dyDescent="0.25">
      <c r="A12" t="s">
        <v>83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22</v>
      </c>
      <c r="K12" t="s">
        <v>22</v>
      </c>
      <c r="L12" t="s">
        <v>115</v>
      </c>
      <c r="Q12">
        <v>1</v>
      </c>
    </row>
    <row r="13" spans="1:17" x14ac:dyDescent="0.25">
      <c r="A13" t="s">
        <v>83</v>
      </c>
      <c r="B13" t="s">
        <v>16</v>
      </c>
      <c r="C13" t="s">
        <v>143</v>
      </c>
      <c r="E13" t="s">
        <v>144</v>
      </c>
      <c r="F13" t="s">
        <v>44</v>
      </c>
      <c r="G13" s="6">
        <v>30</v>
      </c>
      <c r="H13" s="6">
        <v>30</v>
      </c>
      <c r="I13" s="6">
        <f t="shared" si="0"/>
        <v>0</v>
      </c>
      <c r="J13" t="s">
        <v>22</v>
      </c>
      <c r="K13" t="s">
        <v>22</v>
      </c>
      <c r="L13" t="s">
        <v>115</v>
      </c>
      <c r="Q13">
        <v>1</v>
      </c>
    </row>
    <row r="14" spans="1:17" x14ac:dyDescent="0.25">
      <c r="A14" t="s">
        <v>83</v>
      </c>
      <c r="B14" t="s">
        <v>16</v>
      </c>
      <c r="C14" t="s">
        <v>145</v>
      </c>
      <c r="E14" t="s">
        <v>146</v>
      </c>
      <c r="F14" t="s">
        <v>86</v>
      </c>
      <c r="G14" s="6">
        <v>530</v>
      </c>
      <c r="H14" s="6">
        <v>30</v>
      </c>
      <c r="I14" s="6">
        <f t="shared" si="0"/>
        <v>500</v>
      </c>
      <c r="J14" t="s">
        <v>22</v>
      </c>
      <c r="K14" t="s">
        <v>22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36</v>
      </c>
      <c r="G15" s="6">
        <v>740</v>
      </c>
      <c r="H15" s="6">
        <v>20</v>
      </c>
      <c r="I15" s="6">
        <f t="shared" si="0"/>
        <v>720</v>
      </c>
      <c r="J15" t="s">
        <v>22</v>
      </c>
      <c r="K15" t="s">
        <v>22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22</v>
      </c>
      <c r="K16" t="s">
        <v>22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36</v>
      </c>
      <c r="G17" s="6">
        <v>510</v>
      </c>
      <c r="H17" s="6">
        <v>20</v>
      </c>
      <c r="I17" s="6">
        <f t="shared" si="0"/>
        <v>490</v>
      </c>
      <c r="J17" t="s">
        <v>22</v>
      </c>
      <c r="K17" t="s">
        <v>22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44</v>
      </c>
      <c r="G18" s="6">
        <v>745</v>
      </c>
      <c r="H18" s="6">
        <v>25</v>
      </c>
      <c r="I18" s="6">
        <f t="shared" si="0"/>
        <v>720</v>
      </c>
      <c r="J18" t="s">
        <v>22</v>
      </c>
      <c r="K18" t="s">
        <v>22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36</v>
      </c>
      <c r="G19" s="6">
        <v>0</v>
      </c>
      <c r="H19" s="6">
        <v>20</v>
      </c>
      <c r="I19" s="6">
        <f t="shared" si="0"/>
        <v>-20</v>
      </c>
      <c r="J19" t="s">
        <v>22</v>
      </c>
      <c r="K19" t="s">
        <v>22</v>
      </c>
      <c r="L19" t="s">
        <v>115</v>
      </c>
      <c r="Q19">
        <v>1</v>
      </c>
    </row>
    <row r="20" spans="1:17" x14ac:dyDescent="0.25">
      <c r="A20" t="s">
        <v>83</v>
      </c>
      <c r="B20" t="s">
        <v>16</v>
      </c>
      <c r="C20" t="s">
        <v>163</v>
      </c>
      <c r="E20" t="s">
        <v>164</v>
      </c>
      <c r="F20" t="s">
        <v>86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22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22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22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22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22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37" t="s">
        <v>89</v>
      </c>
      <c r="D28" s="37"/>
      <c r="E28" s="4" t="s">
        <v>90</v>
      </c>
      <c r="H28">
        <f>-2*25</f>
        <v>-50</v>
      </c>
      <c r="K28" s="7" t="s">
        <v>22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38">
        <f>SUMIFS(I$3:I$24,B$3:B$24,A$28,L$3:L$24,A$29)</f>
        <v>7205</v>
      </c>
      <c r="D29" s="38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22</v>
      </c>
      <c r="P29">
        <f>L34</f>
        <v>2296</v>
      </c>
    </row>
    <row r="30" spans="1:17" x14ac:dyDescent="0.25">
      <c r="B30" s="2" t="s">
        <v>97</v>
      </c>
      <c r="C30" s="39">
        <v>0</v>
      </c>
      <c r="D30" s="39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39">
        <f>-SUMIFS(I$3:I$24,B$3:B$24,A$28,P$3:P$24,"xx",N$3:N$24,"x")</f>
        <v>0</v>
      </c>
      <c r="D31" s="39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37">
        <f>SUBTOTAL(9,C29:C31)</f>
        <v>7205</v>
      </c>
      <c r="D32" s="37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35"/>
      <c r="D33" s="35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35"/>
      <c r="D34" s="35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36">
        <f>C32+C33+C34</f>
        <v>7205</v>
      </c>
      <c r="D36" s="36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38" workbookViewId="0">
      <selection activeCell="M19" sqref="M19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40</v>
      </c>
      <c r="K3" t="s">
        <v>22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40</v>
      </c>
      <c r="K4" t="s">
        <v>22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40</v>
      </c>
      <c r="K5" t="s">
        <v>22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40</v>
      </c>
      <c r="K6" t="s">
        <v>22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22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22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22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86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22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22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22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22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22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22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22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22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22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22</v>
      </c>
      <c r="L19" t="s">
        <v>182</v>
      </c>
      <c r="M19" t="s">
        <v>66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22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22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22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22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22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22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20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22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22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22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22</v>
      </c>
      <c r="L29" t="s">
        <v>182</v>
      </c>
      <c r="Q29">
        <v>1</v>
      </c>
    </row>
    <row r="30" spans="1:17" x14ac:dyDescent="0.25">
      <c r="A30" t="s">
        <v>83</v>
      </c>
      <c r="B30" t="s">
        <v>16</v>
      </c>
      <c r="C30" t="s">
        <v>87</v>
      </c>
      <c r="E30" t="s">
        <v>88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22</v>
      </c>
      <c r="L30" t="s">
        <v>182</v>
      </c>
      <c r="Q30">
        <v>1</v>
      </c>
    </row>
    <row r="31" spans="1:17" x14ac:dyDescent="0.25">
      <c r="A31" t="s">
        <v>83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22</v>
      </c>
      <c r="L31" t="s">
        <v>182</v>
      </c>
      <c r="Q31">
        <v>1</v>
      </c>
    </row>
    <row r="32" spans="1:17" x14ac:dyDescent="0.25">
      <c r="A32" t="s">
        <v>83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22</v>
      </c>
      <c r="L32" t="s">
        <v>182</v>
      </c>
      <c r="Q32">
        <v>1</v>
      </c>
    </row>
    <row r="33" spans="1:17" x14ac:dyDescent="0.25">
      <c r="A33" t="s">
        <v>83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22</v>
      </c>
      <c r="L33" t="s">
        <v>182</v>
      </c>
      <c r="M33" t="s">
        <v>66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79</v>
      </c>
      <c r="G34" s="6">
        <v>680</v>
      </c>
      <c r="H34" s="6">
        <v>20</v>
      </c>
      <c r="I34" s="6">
        <f>G34-H34</f>
        <v>660</v>
      </c>
      <c r="J34" t="s">
        <v>22</v>
      </c>
      <c r="K34" t="s">
        <v>22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86</v>
      </c>
      <c r="G35" s="6">
        <v>685</v>
      </c>
      <c r="H35" s="6">
        <v>25</v>
      </c>
      <c r="I35" s="6">
        <f>G35-H35</f>
        <v>660</v>
      </c>
      <c r="J35" t="s">
        <v>22</v>
      </c>
      <c r="K35" t="s">
        <v>22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22</v>
      </c>
      <c r="K36" t="s">
        <v>22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44</v>
      </c>
      <c r="G37" s="6">
        <v>0</v>
      </c>
      <c r="H37" s="6">
        <v>25</v>
      </c>
      <c r="I37" s="6">
        <f>-H37</f>
        <v>-25</v>
      </c>
      <c r="J37" t="s">
        <v>22</v>
      </c>
      <c r="K37" t="s">
        <v>22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79</v>
      </c>
      <c r="G38" s="6">
        <v>0</v>
      </c>
      <c r="H38" s="6">
        <v>20</v>
      </c>
      <c r="I38" s="6">
        <f>-H38</f>
        <v>-20</v>
      </c>
      <c r="J38" t="s">
        <v>22</v>
      </c>
      <c r="K38" t="s">
        <v>22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22</v>
      </c>
      <c r="K39" t="s">
        <v>22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22</v>
      </c>
      <c r="K40" t="s">
        <v>22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36</v>
      </c>
      <c r="G41" s="6">
        <v>0</v>
      </c>
      <c r="H41" s="6">
        <v>20</v>
      </c>
      <c r="I41" s="6">
        <f>-H41</f>
        <v>-20</v>
      </c>
      <c r="J41" t="s">
        <v>22</v>
      </c>
      <c r="K41" t="s">
        <v>22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22</v>
      </c>
      <c r="K42" t="s">
        <v>22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22</v>
      </c>
      <c r="K43" t="s">
        <v>22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36</v>
      </c>
      <c r="G44" s="6">
        <v>770</v>
      </c>
      <c r="H44" s="6">
        <v>20</v>
      </c>
      <c r="I44" s="6">
        <f t="shared" si="1"/>
        <v>750</v>
      </c>
      <c r="J44" t="s">
        <v>22</v>
      </c>
      <c r="K44" t="s">
        <v>22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36</v>
      </c>
      <c r="G45" s="6">
        <v>680</v>
      </c>
      <c r="H45" s="6">
        <v>20</v>
      </c>
      <c r="I45" s="6">
        <f t="shared" si="1"/>
        <v>660</v>
      </c>
      <c r="J45" t="s">
        <v>22</v>
      </c>
      <c r="K45" t="s">
        <v>22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22</v>
      </c>
      <c r="K46" t="s">
        <v>22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36</v>
      </c>
      <c r="G47" s="6">
        <v>680</v>
      </c>
      <c r="H47" s="6">
        <v>20</v>
      </c>
      <c r="I47" s="6">
        <f t="shared" si="1"/>
        <v>660</v>
      </c>
      <c r="J47" t="s">
        <v>22</v>
      </c>
      <c r="K47" t="s">
        <v>22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44</v>
      </c>
      <c r="G48" s="6">
        <v>685</v>
      </c>
      <c r="H48" s="6">
        <v>25</v>
      </c>
      <c r="I48" s="6">
        <f t="shared" si="1"/>
        <v>660</v>
      </c>
      <c r="J48" t="s">
        <v>22</v>
      </c>
      <c r="K48" t="s">
        <v>22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86</v>
      </c>
      <c r="G49" s="6">
        <v>820</v>
      </c>
      <c r="H49" s="6">
        <v>0</v>
      </c>
      <c r="I49" s="6">
        <f t="shared" si="1"/>
        <v>820</v>
      </c>
      <c r="J49" t="s">
        <v>22</v>
      </c>
      <c r="K49" t="s">
        <v>22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86</v>
      </c>
      <c r="G50" s="6">
        <v>1585</v>
      </c>
      <c r="H50" s="6">
        <v>25</v>
      </c>
      <c r="I50" s="6">
        <f t="shared" si="1"/>
        <v>1560</v>
      </c>
      <c r="J50" t="s">
        <v>22</v>
      </c>
      <c r="K50" t="s">
        <v>22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44</v>
      </c>
      <c r="G51" s="6">
        <v>1050</v>
      </c>
      <c r="H51" s="6">
        <v>0</v>
      </c>
      <c r="I51" s="6">
        <f t="shared" si="1"/>
        <v>1050</v>
      </c>
      <c r="J51" t="s">
        <v>22</v>
      </c>
      <c r="K51" t="s">
        <v>22</v>
      </c>
      <c r="L51" t="s">
        <v>182</v>
      </c>
      <c r="M51" t="s">
        <v>312</v>
      </c>
      <c r="Q51">
        <v>1</v>
      </c>
    </row>
    <row r="52" spans="1:17" x14ac:dyDescent="0.25">
      <c r="A52" t="s">
        <v>83</v>
      </c>
      <c r="B52" t="s">
        <v>16</v>
      </c>
      <c r="C52" t="s">
        <v>318</v>
      </c>
      <c r="E52" t="s">
        <v>319</v>
      </c>
      <c r="F52" t="s">
        <v>44</v>
      </c>
      <c r="G52" s="6">
        <v>30</v>
      </c>
      <c r="H52" s="6">
        <v>30</v>
      </c>
      <c r="I52" s="6">
        <f t="shared" si="1"/>
        <v>0</v>
      </c>
      <c r="J52" t="s">
        <v>22</v>
      </c>
      <c r="K52" t="s">
        <v>22</v>
      </c>
      <c r="L52" t="s">
        <v>182</v>
      </c>
      <c r="Q52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 t="shared" si="1"/>
        <v>0</v>
      </c>
      <c r="J53" t="s">
        <v>22</v>
      </c>
      <c r="K53" t="s">
        <v>22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37" t="s">
        <v>89</v>
      </c>
      <c r="D57" s="37"/>
      <c r="E57" s="4" t="s">
        <v>90</v>
      </c>
      <c r="H57">
        <f>-5*25</f>
        <v>-125</v>
      </c>
      <c r="K57" s="7" t="s">
        <v>22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38">
        <f>SUMIFS(I$3:I$53,B$3:B$53,A$57,L$3:L$53,A$58)</f>
        <v>29790</v>
      </c>
      <c r="D58" s="38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22</v>
      </c>
      <c r="P58">
        <f>L64</f>
        <v>12637</v>
      </c>
    </row>
    <row r="59" spans="1:17" x14ac:dyDescent="0.25">
      <c r="B59" s="2" t="s">
        <v>97</v>
      </c>
      <c r="C59" s="39">
        <v>0</v>
      </c>
      <c r="D59" s="39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39">
        <f>-SUMIFS(I$3:I$53,B$3:B$53,A$57,P$3:P$53,"xx",N$3:N$53,"x")</f>
        <v>0</v>
      </c>
      <c r="D60" s="39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40</v>
      </c>
      <c r="P60">
        <f>L80</f>
        <v>1540</v>
      </c>
    </row>
    <row r="61" spans="1:17" x14ac:dyDescent="0.25">
      <c r="B61" s="4" t="s">
        <v>101</v>
      </c>
      <c r="C61" s="37">
        <f>SUBTOTAL(9,C58:C60)</f>
        <v>29790</v>
      </c>
      <c r="D61" s="37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35"/>
      <c r="D62" s="35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35"/>
      <c r="D63" s="35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36">
        <f>C61+C62+C63</f>
        <v>29790</v>
      </c>
      <c r="D65" s="36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40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A22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40</v>
      </c>
      <c r="K3" t="s">
        <v>22</v>
      </c>
      <c r="L3" t="s">
        <v>328</v>
      </c>
      <c r="Q3">
        <v>1</v>
      </c>
    </row>
    <row r="4" spans="1:17" x14ac:dyDescent="0.25">
      <c r="A4" t="s">
        <v>83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40</v>
      </c>
      <c r="K4" t="s">
        <v>22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22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22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22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22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22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20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22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22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22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22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22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22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20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22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22</v>
      </c>
      <c r="L17" t="s">
        <v>328</v>
      </c>
      <c r="Q17">
        <v>1</v>
      </c>
    </row>
    <row r="18" spans="1:17" x14ac:dyDescent="0.25">
      <c r="A18" t="s">
        <v>83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22</v>
      </c>
      <c r="L18" t="s">
        <v>328</v>
      </c>
      <c r="Q18">
        <v>1</v>
      </c>
    </row>
    <row r="19" spans="1:17" x14ac:dyDescent="0.25">
      <c r="A19" t="s">
        <v>83</v>
      </c>
      <c r="B19" t="s">
        <v>16</v>
      </c>
      <c r="C19" t="s">
        <v>372</v>
      </c>
      <c r="E19" t="s">
        <v>373</v>
      </c>
      <c r="F19" t="s">
        <v>20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22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22</v>
      </c>
      <c r="K20" t="s">
        <v>22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22</v>
      </c>
      <c r="K21" t="s">
        <v>22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22</v>
      </c>
      <c r="K22" t="s">
        <v>22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22</v>
      </c>
      <c r="K23" t="s">
        <v>22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44</v>
      </c>
      <c r="G24" s="6">
        <v>685</v>
      </c>
      <c r="H24" s="6">
        <v>25</v>
      </c>
      <c r="I24" s="6">
        <f t="shared" si="0"/>
        <v>660</v>
      </c>
      <c r="J24" t="s">
        <v>22</v>
      </c>
      <c r="K24" t="s">
        <v>22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44</v>
      </c>
      <c r="G25" s="6">
        <v>0</v>
      </c>
      <c r="H25" s="6">
        <v>25</v>
      </c>
      <c r="I25" s="6">
        <f t="shared" si="0"/>
        <v>-25</v>
      </c>
      <c r="J25" t="s">
        <v>22</v>
      </c>
      <c r="K25" t="s">
        <v>22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22</v>
      </c>
      <c r="K26" t="s">
        <v>22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44</v>
      </c>
      <c r="G27" s="6">
        <v>0</v>
      </c>
      <c r="H27" s="6">
        <v>25</v>
      </c>
      <c r="I27" s="6">
        <f t="shared" si="0"/>
        <v>-25</v>
      </c>
      <c r="J27" t="s">
        <v>22</v>
      </c>
      <c r="K27" t="s">
        <v>22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36</v>
      </c>
      <c r="G28" s="6">
        <v>910</v>
      </c>
      <c r="H28" s="6">
        <v>20</v>
      </c>
      <c r="I28" s="6">
        <f t="shared" si="0"/>
        <v>890</v>
      </c>
      <c r="J28" t="s">
        <v>22</v>
      </c>
      <c r="K28" t="s">
        <v>22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22</v>
      </c>
      <c r="K29" t="s">
        <v>22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36</v>
      </c>
      <c r="G30" s="6">
        <v>680</v>
      </c>
      <c r="H30" s="6">
        <v>20</v>
      </c>
      <c r="I30" s="6">
        <f t="shared" si="0"/>
        <v>660</v>
      </c>
      <c r="J30" t="s">
        <v>22</v>
      </c>
      <c r="K30" t="s">
        <v>22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36</v>
      </c>
      <c r="G31" s="6">
        <v>840</v>
      </c>
      <c r="H31" s="6">
        <v>20</v>
      </c>
      <c r="I31" s="6">
        <f t="shared" si="0"/>
        <v>820</v>
      </c>
      <c r="J31" t="s">
        <v>22</v>
      </c>
      <c r="K31" t="s">
        <v>22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86</v>
      </c>
      <c r="G32" s="6">
        <v>0</v>
      </c>
      <c r="H32" s="6">
        <v>25</v>
      </c>
      <c r="I32" s="6">
        <f t="shared" si="0"/>
        <v>-25</v>
      </c>
      <c r="J32" t="s">
        <v>22</v>
      </c>
      <c r="K32" t="s">
        <v>22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22</v>
      </c>
      <c r="K33" t="s">
        <v>22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22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22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22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22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22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86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22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79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22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22</v>
      </c>
      <c r="L41" t="s">
        <v>328</v>
      </c>
      <c r="Q41">
        <v>1</v>
      </c>
    </row>
    <row r="42" spans="1:17" x14ac:dyDescent="0.25">
      <c r="A42" t="s">
        <v>83</v>
      </c>
      <c r="B42" t="s">
        <v>16</v>
      </c>
      <c r="C42" t="s">
        <v>441</v>
      </c>
      <c r="E42" t="s">
        <v>442</v>
      </c>
      <c r="F42" t="s">
        <v>86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22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79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22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22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37" t="s">
        <v>89</v>
      </c>
      <c r="D48" s="37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38">
        <f>SUMIFS(I$3:I$44,B$3:B$44,A$48,L$3:L$44,A$49)</f>
        <v>20745</v>
      </c>
      <c r="D49" s="38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39">
        <v>0</v>
      </c>
      <c r="D50" s="39"/>
      <c r="K50" t="s">
        <v>98</v>
      </c>
      <c r="L50">
        <f>SUM(H47:H49)</f>
        <v>-321</v>
      </c>
      <c r="M50">
        <f>SUMIFS(Q$3:Q$44,J$3:J$44,K$48)</f>
        <v>15</v>
      </c>
      <c r="O50" t="s">
        <v>22</v>
      </c>
      <c r="P50">
        <f>L62</f>
        <v>6635</v>
      </c>
    </row>
    <row r="51" spans="1:16" x14ac:dyDescent="0.25">
      <c r="B51" s="2" t="s">
        <v>99</v>
      </c>
      <c r="C51" s="39">
        <f>-SUMIFS(I$3:I$44,B$3:B$44,A$48,P$3:P$44,"xx",N$3:N$44,"x")</f>
        <v>-970</v>
      </c>
      <c r="D51" s="39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37">
        <f>SUBTOTAL(9,C49:C51)</f>
        <v>19775</v>
      </c>
      <c r="D52" s="37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40</v>
      </c>
      <c r="P52">
        <f>L78</f>
        <v>670</v>
      </c>
    </row>
    <row r="53" spans="1:16" x14ac:dyDescent="0.25">
      <c r="B53" s="2" t="s">
        <v>104</v>
      </c>
      <c r="C53" s="35"/>
      <c r="D53" s="35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35"/>
      <c r="D54" s="35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36">
        <f>C52+C53+C54</f>
        <v>19775</v>
      </c>
      <c r="D56" s="36"/>
      <c r="E56" s="1" t="s">
        <v>109</v>
      </c>
      <c r="K56" s="7" t="s">
        <v>22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40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44" workbookViewId="0">
      <selection activeCell="A24" sqref="A24 A24:XFD2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86</v>
      </c>
      <c r="G3" s="6">
        <v>0</v>
      </c>
      <c r="H3" s="6">
        <v>25</v>
      </c>
      <c r="I3" s="6">
        <f>G3-H3</f>
        <v>-25</v>
      </c>
      <c r="J3" t="s">
        <v>22</v>
      </c>
      <c r="K3" t="s">
        <v>22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22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22</v>
      </c>
      <c r="K5" t="s">
        <v>22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20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22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22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22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20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22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20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22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22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22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22</v>
      </c>
      <c r="K13" t="s">
        <v>22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20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22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36</v>
      </c>
      <c r="G15" s="6">
        <v>680</v>
      </c>
      <c r="H15" s="6">
        <v>20</v>
      </c>
      <c r="I15" s="6">
        <f t="shared" si="0"/>
        <v>660</v>
      </c>
      <c r="J15" t="s">
        <v>22</v>
      </c>
      <c r="K15" t="s">
        <v>22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22</v>
      </c>
      <c r="K16" t="s">
        <v>22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22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86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22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22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22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22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22</v>
      </c>
      <c r="L23" t="s">
        <v>455</v>
      </c>
      <c r="M23" t="s">
        <v>66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22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22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22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20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22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22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22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22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86</v>
      </c>
      <c r="G31" s="6">
        <v>0</v>
      </c>
      <c r="H31" s="6">
        <v>25</v>
      </c>
      <c r="I31" s="6">
        <f>-H31</f>
        <v>-25</v>
      </c>
      <c r="J31" t="s">
        <v>22</v>
      </c>
      <c r="K31" t="s">
        <v>22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79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22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22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22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22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22</v>
      </c>
      <c r="K36" t="s">
        <v>22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22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22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86</v>
      </c>
      <c r="G39" s="6">
        <v>0</v>
      </c>
      <c r="H39" s="6">
        <v>25</v>
      </c>
      <c r="I39" s="6">
        <f>-H39</f>
        <v>-25</v>
      </c>
      <c r="J39" t="s">
        <v>22</v>
      </c>
      <c r="K39" t="s">
        <v>22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22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20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22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20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22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22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22</v>
      </c>
      <c r="K44" t="s">
        <v>22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22</v>
      </c>
      <c r="K45" t="s">
        <v>22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22</v>
      </c>
      <c r="K46" t="s">
        <v>22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20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22</v>
      </c>
      <c r="L47" t="s">
        <v>455</v>
      </c>
      <c r="Q47" s="6">
        <v>1</v>
      </c>
    </row>
    <row r="48" spans="1:17" x14ac:dyDescent="0.25">
      <c r="A48" t="s">
        <v>83</v>
      </c>
      <c r="B48" t="s">
        <v>16</v>
      </c>
      <c r="C48" t="s">
        <v>582</v>
      </c>
      <c r="E48" t="s">
        <v>583</v>
      </c>
      <c r="F48" t="s">
        <v>44</v>
      </c>
      <c r="G48" s="6">
        <v>30</v>
      </c>
      <c r="H48" s="6">
        <v>30</v>
      </c>
      <c r="I48" s="6">
        <f t="shared" si="3"/>
        <v>0</v>
      </c>
      <c r="J48" t="s">
        <v>22</v>
      </c>
      <c r="K48" t="s">
        <v>22</v>
      </c>
      <c r="L48" t="s">
        <v>455</v>
      </c>
      <c r="Q48" s="6">
        <v>1</v>
      </c>
    </row>
    <row r="49" spans="1:17" x14ac:dyDescent="0.25">
      <c r="A49" t="s">
        <v>83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22</v>
      </c>
      <c r="L49" t="s">
        <v>455</v>
      </c>
      <c r="Q49" s="6">
        <v>1</v>
      </c>
    </row>
    <row r="50" spans="1:17" x14ac:dyDescent="0.25">
      <c r="A50" t="s">
        <v>83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22</v>
      </c>
      <c r="K50" t="s">
        <v>22</v>
      </c>
      <c r="L50" t="s">
        <v>455</v>
      </c>
      <c r="Q50" s="6">
        <v>1</v>
      </c>
    </row>
    <row r="51" spans="1:17" x14ac:dyDescent="0.25">
      <c r="A51" t="s">
        <v>83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22</v>
      </c>
      <c r="L51" t="s">
        <v>455</v>
      </c>
      <c r="Q51" s="6">
        <v>1</v>
      </c>
    </row>
    <row r="52" spans="1:17" x14ac:dyDescent="0.25">
      <c r="A52" t="s">
        <v>83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22</v>
      </c>
      <c r="L52" t="s">
        <v>455</v>
      </c>
      <c r="Q52" s="6">
        <v>1</v>
      </c>
    </row>
    <row r="53" spans="1:17" x14ac:dyDescent="0.25">
      <c r="A53" t="s">
        <v>83</v>
      </c>
      <c r="B53" t="s">
        <v>16</v>
      </c>
      <c r="C53" t="s">
        <v>320</v>
      </c>
      <c r="E53" t="s">
        <v>321</v>
      </c>
      <c r="F53" t="s">
        <v>44</v>
      </c>
      <c r="G53" s="6">
        <v>30</v>
      </c>
      <c r="H53" s="6">
        <v>30</v>
      </c>
      <c r="I53" s="6">
        <f>G53-H53</f>
        <v>0</v>
      </c>
      <c r="J53" t="s">
        <v>22</v>
      </c>
      <c r="K53" t="s">
        <v>22</v>
      </c>
      <c r="L53" t="s">
        <v>455</v>
      </c>
      <c r="Q53" s="6">
        <v>1</v>
      </c>
    </row>
    <row r="54" spans="1:17" x14ac:dyDescent="0.25">
      <c r="A54" t="s">
        <v>83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22</v>
      </c>
      <c r="K54" t="s">
        <v>22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22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37" t="s">
        <v>89</v>
      </c>
      <c r="D59" s="37"/>
      <c r="E59" s="4" t="s">
        <v>90</v>
      </c>
      <c r="H59">
        <f>-8*25</f>
        <v>-200</v>
      </c>
      <c r="K59" s="7" t="s">
        <v>22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38">
        <f>SUMIFS(I$3:I$55,B$3:B$55,A$59,L$3:L$55,A$60)</f>
        <v>33510</v>
      </c>
      <c r="D60" s="38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22</v>
      </c>
      <c r="P60">
        <f>L65</f>
        <v>8748</v>
      </c>
    </row>
    <row r="61" spans="1:17" x14ac:dyDescent="0.25">
      <c r="B61" s="2" t="s">
        <v>97</v>
      </c>
      <c r="C61" s="39">
        <v>0</v>
      </c>
      <c r="D61" s="39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39">
        <f>-SUMIFS(I$3:I$55,B$3:B$55,A$59,P$3:P$55,"xx",N$3:N$55,"x")</f>
        <v>-860</v>
      </c>
      <c r="D62" s="39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37">
        <f>SUBTOTAL(9,C60:C62)</f>
        <v>32650</v>
      </c>
      <c r="D63" s="37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35"/>
      <c r="D64" s="35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35"/>
      <c r="D65" s="35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36">
        <f>C63+C64+C65</f>
        <v>32650</v>
      </c>
      <c r="D67" s="36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workbookViewId="0">
      <selection activeCell="L27" sqref="L2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22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20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22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22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20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22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22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22</v>
      </c>
      <c r="L8" t="s">
        <v>598</v>
      </c>
      <c r="Q8">
        <v>1</v>
      </c>
    </row>
    <row r="9" spans="1:17" x14ac:dyDescent="0.25">
      <c r="B9" t="s">
        <v>16</v>
      </c>
      <c r="C9" t="s">
        <v>24</v>
      </c>
      <c r="D9" t="s">
        <v>614</v>
      </c>
      <c r="E9" t="s">
        <v>26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22</v>
      </c>
      <c r="L9" t="s">
        <v>598</v>
      </c>
      <c r="Q9">
        <v>1</v>
      </c>
    </row>
    <row r="10" spans="1:17" x14ac:dyDescent="0.25">
      <c r="A10" t="s">
        <v>83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22</v>
      </c>
      <c r="L10" t="s">
        <v>598</v>
      </c>
      <c r="Q10">
        <v>1</v>
      </c>
    </row>
    <row r="11" spans="1:17" x14ac:dyDescent="0.25">
      <c r="A11" t="s">
        <v>83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22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22</v>
      </c>
      <c r="K12" t="s">
        <v>22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22</v>
      </c>
      <c r="K13" t="s">
        <v>22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36</v>
      </c>
      <c r="G14" s="6">
        <v>815</v>
      </c>
      <c r="H14" s="6">
        <v>25</v>
      </c>
      <c r="I14" s="6">
        <f t="shared" si="0"/>
        <v>790</v>
      </c>
      <c r="J14" t="s">
        <v>22</v>
      </c>
      <c r="K14" t="s">
        <v>22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44</v>
      </c>
      <c r="G15" s="6">
        <v>815</v>
      </c>
      <c r="H15" s="6">
        <v>25</v>
      </c>
      <c r="I15" s="6">
        <f t="shared" si="0"/>
        <v>790</v>
      </c>
      <c r="J15" t="s">
        <v>22</v>
      </c>
      <c r="K15" t="s">
        <v>22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22</v>
      </c>
      <c r="K16" t="s">
        <v>22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22</v>
      </c>
      <c r="K17" t="s">
        <v>22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44</v>
      </c>
      <c r="G18" s="6">
        <v>695</v>
      </c>
      <c r="H18" s="6">
        <v>25</v>
      </c>
      <c r="I18" s="6">
        <f>G18-H18</f>
        <v>670</v>
      </c>
      <c r="J18" t="s">
        <v>22</v>
      </c>
      <c r="K18" t="s">
        <v>22</v>
      </c>
      <c r="L18" t="s">
        <v>598</v>
      </c>
      <c r="Q18">
        <v>1</v>
      </c>
    </row>
    <row r="19" spans="1:17" x14ac:dyDescent="0.25">
      <c r="A19" t="s">
        <v>83</v>
      </c>
      <c r="B19" t="s">
        <v>16</v>
      </c>
      <c r="C19" t="s">
        <v>640</v>
      </c>
      <c r="E19" t="s">
        <v>641</v>
      </c>
      <c r="F19" t="s">
        <v>44</v>
      </c>
      <c r="G19" s="6">
        <v>4895</v>
      </c>
      <c r="H19" s="6">
        <v>35</v>
      </c>
      <c r="I19" s="6">
        <f>G19-H19</f>
        <v>4860</v>
      </c>
      <c r="J19" t="s">
        <v>22</v>
      </c>
      <c r="K19" t="s">
        <v>22</v>
      </c>
      <c r="L19" t="s">
        <v>598</v>
      </c>
      <c r="Q19">
        <v>1</v>
      </c>
    </row>
    <row r="20" spans="1:17" x14ac:dyDescent="0.25">
      <c r="A20" t="s">
        <v>83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22</v>
      </c>
      <c r="K20" t="s">
        <v>22</v>
      </c>
      <c r="L20" t="s">
        <v>598</v>
      </c>
      <c r="Q20">
        <v>1</v>
      </c>
    </row>
    <row r="21" spans="1:17" x14ac:dyDescent="0.25">
      <c r="A21" t="s">
        <v>83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22</v>
      </c>
      <c r="K21" t="s">
        <v>22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22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22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86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22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86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22</v>
      </c>
      <c r="L25" t="s">
        <v>598</v>
      </c>
      <c r="Q25">
        <v>1</v>
      </c>
    </row>
    <row r="26" spans="1:17" x14ac:dyDescent="0.25">
      <c r="A26" t="s">
        <v>83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22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86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22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22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22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37" t="s">
        <v>89</v>
      </c>
      <c r="D33" s="37"/>
      <c r="E33" s="4" t="s">
        <v>90</v>
      </c>
      <c r="H33">
        <f>-2*25</f>
        <v>-50</v>
      </c>
      <c r="K33" s="7" t="s">
        <v>22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40">
        <f>SUMIFS(I$3:I$29,B$3:B$29,A$33,L$3:L$29,A$34)+I32</f>
        <v>24145</v>
      </c>
      <c r="D34" s="38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22</v>
      </c>
      <c r="P34">
        <f>L41</f>
        <v>8612</v>
      </c>
    </row>
    <row r="35" spans="1:16" x14ac:dyDescent="0.25">
      <c r="B35" s="2" t="s">
        <v>97</v>
      </c>
      <c r="C35" s="39">
        <v>0</v>
      </c>
      <c r="D35" s="39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39">
        <f>-SUMIFS(I$3:I$29,B$3:B$29,A$33,P$3:P$29,"xx",N$3:N$29,"x")</f>
        <v>-1715</v>
      </c>
      <c r="D36" s="39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37">
        <f>SUBTOTAL(9,C34:C36)</f>
        <v>22430</v>
      </c>
      <c r="D37" s="37"/>
      <c r="E37">
        <f>E34</f>
        <v>25</v>
      </c>
      <c r="K37" s="2" t="s">
        <v>102</v>
      </c>
      <c r="O37" t="s">
        <v>103</v>
      </c>
      <c r="P37">
        <f>-C42</f>
        <v>-22360</v>
      </c>
    </row>
    <row r="38" spans="1:16" x14ac:dyDescent="0.25">
      <c r="B38" s="2" t="s">
        <v>104</v>
      </c>
      <c r="C38" s="35">
        <v>-70</v>
      </c>
      <c r="D38" s="35"/>
      <c r="K38" s="2" t="s">
        <v>105</v>
      </c>
      <c r="L38" s="2">
        <v>-1020</v>
      </c>
      <c r="O38" s="4" t="s">
        <v>106</v>
      </c>
      <c r="P38" s="4">
        <f>SUBTOTAL(9,P34:P37)</f>
        <v>-2170</v>
      </c>
    </row>
    <row r="39" spans="1:16" x14ac:dyDescent="0.25">
      <c r="B39" s="8" t="s">
        <v>107</v>
      </c>
      <c r="C39" s="35"/>
      <c r="D39" s="35"/>
      <c r="K39" s="10" t="s">
        <v>664</v>
      </c>
      <c r="L39" s="10">
        <v>2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36">
        <f>C37+C38+C39</f>
        <v>22360</v>
      </c>
      <c r="D42" s="36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26" workbookViewId="0">
      <selection activeCell="A4" sqref="A4 A4:XFD4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40</v>
      </c>
      <c r="K3" s="18" t="s">
        <v>22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40</v>
      </c>
      <c r="K4" s="18" t="s">
        <v>22</v>
      </c>
      <c r="L4" s="18" t="s">
        <v>668</v>
      </c>
      <c r="M4" s="18" t="s">
        <v>66</v>
      </c>
      <c r="N4" s="18"/>
      <c r="O4" s="18"/>
      <c r="P4" s="18"/>
      <c r="Q4" s="18">
        <v>1</v>
      </c>
    </row>
    <row r="5" spans="1:17" x14ac:dyDescent="0.25">
      <c r="A5" s="18" t="s">
        <v>83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22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22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22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22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44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22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22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20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22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22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22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22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22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22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22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22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20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22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22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22</v>
      </c>
      <c r="K21" s="18" t="s">
        <v>22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83</v>
      </c>
      <c r="B22" s="18" t="s">
        <v>16</v>
      </c>
      <c r="C22" s="18" t="s">
        <v>318</v>
      </c>
      <c r="D22" s="18"/>
      <c r="E22" s="18" t="s">
        <v>319</v>
      </c>
      <c r="F22" s="18" t="s">
        <v>44</v>
      </c>
      <c r="G22" s="19">
        <v>30</v>
      </c>
      <c r="H22" s="19">
        <v>30</v>
      </c>
      <c r="I22" s="19">
        <f>G22-H22</f>
        <v>0</v>
      </c>
      <c r="J22" s="18" t="s">
        <v>22</v>
      </c>
      <c r="K22" s="18" t="s">
        <v>22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22</v>
      </c>
      <c r="K23" s="18" t="s">
        <v>22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36</v>
      </c>
      <c r="G24" s="19">
        <v>0</v>
      </c>
      <c r="H24" s="19">
        <v>20</v>
      </c>
      <c r="I24" s="19">
        <f>-H24</f>
        <v>-20</v>
      </c>
      <c r="J24" s="18" t="s">
        <v>22</v>
      </c>
      <c r="K24" s="18" t="s">
        <v>22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22</v>
      </c>
      <c r="K25" s="18" t="s">
        <v>22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22</v>
      </c>
      <c r="K26" s="18" t="s">
        <v>22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36</v>
      </c>
      <c r="G27" s="19">
        <v>460</v>
      </c>
      <c r="H27" s="19">
        <v>20</v>
      </c>
      <c r="I27" s="19">
        <f>G27-H27</f>
        <v>440</v>
      </c>
      <c r="J27" s="18" t="s">
        <v>22</v>
      </c>
      <c r="K27" s="18" t="s">
        <v>22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22</v>
      </c>
      <c r="K28" s="18" t="s">
        <v>22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44</v>
      </c>
      <c r="G29" s="19">
        <v>1115</v>
      </c>
      <c r="H29" s="19">
        <v>25</v>
      </c>
      <c r="I29" s="19">
        <f>G29-H29</f>
        <v>1090</v>
      </c>
      <c r="J29" s="18" t="s">
        <v>22</v>
      </c>
      <c r="K29" s="18" t="s">
        <v>22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22</v>
      </c>
      <c r="K30" s="18" t="s">
        <v>22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22</v>
      </c>
      <c r="K31" s="18" t="s">
        <v>22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22</v>
      </c>
      <c r="K32" s="18" t="s">
        <v>22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79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22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22</v>
      </c>
      <c r="L34" s="18" t="s">
        <v>668</v>
      </c>
      <c r="M34" s="18" t="s">
        <v>66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79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22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22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86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22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22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79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22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22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22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22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79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22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22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22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22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79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22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37" t="s">
        <v>89</v>
      </c>
      <c r="D51" s="37"/>
      <c r="E51" s="4" t="s">
        <v>90</v>
      </c>
      <c r="H51">
        <f>-4*25</f>
        <v>-100</v>
      </c>
      <c r="K51" s="7" t="s">
        <v>22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38">
        <f>SUMIFS(I$3:I$47,B$3:B$47,A$51,L$3:L$47,A$52)</f>
        <v>25380</v>
      </c>
      <c r="D52" s="38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22</v>
      </c>
      <c r="P52">
        <f>L57</f>
        <v>4847</v>
      </c>
    </row>
    <row r="53" spans="1:17" x14ac:dyDescent="0.25">
      <c r="B53" s="2" t="s">
        <v>97</v>
      </c>
      <c r="C53" s="39">
        <v>0</v>
      </c>
      <c r="D53" s="39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39">
        <f>-SUMIFS(I$3:I$47,B$3:B$47,A$51,P$3:P$47,"xx",N$3:N$47,"x")</f>
        <v>-710</v>
      </c>
      <c r="D54" s="39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37">
        <f>SUBTOTAL(9,C52:C54)</f>
        <v>24670</v>
      </c>
      <c r="D55" s="37"/>
      <c r="E55">
        <f>E52</f>
        <v>43</v>
      </c>
      <c r="K55" s="2" t="s">
        <v>102</v>
      </c>
      <c r="O55" t="s">
        <v>40</v>
      </c>
      <c r="P55">
        <f>L81</f>
        <v>10</v>
      </c>
    </row>
    <row r="56" spans="1:17" x14ac:dyDescent="0.25">
      <c r="B56" s="2" t="s">
        <v>104</v>
      </c>
      <c r="C56" s="35"/>
      <c r="D56" s="35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35"/>
      <c r="D57" s="35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36">
        <f>C55+C56+C57</f>
        <v>24670</v>
      </c>
      <c r="D59" s="36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40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16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4.5703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83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22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22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22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22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22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22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20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22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22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22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86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22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22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20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22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86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22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22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22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83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22</v>
      </c>
      <c r="K18" s="18" t="s">
        <v>22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22</v>
      </c>
      <c r="K19" s="18" t="s">
        <v>22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44</v>
      </c>
      <c r="G20" s="19">
        <v>815</v>
      </c>
      <c r="H20" s="19">
        <v>25</v>
      </c>
      <c r="I20" s="19">
        <f>G20-H20</f>
        <v>790</v>
      </c>
      <c r="J20" s="18" t="s">
        <v>22</v>
      </c>
      <c r="K20" s="18" t="s">
        <v>22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86</v>
      </c>
      <c r="G21" s="19">
        <v>0</v>
      </c>
      <c r="H21" s="19">
        <v>25</v>
      </c>
      <c r="I21" s="19">
        <f>-H21</f>
        <v>-25</v>
      </c>
      <c r="J21" s="18" t="s">
        <v>22</v>
      </c>
      <c r="K21" s="18" t="s">
        <v>22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22</v>
      </c>
      <c r="K22" s="18" t="s">
        <v>22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44</v>
      </c>
      <c r="G23" s="19">
        <v>1345</v>
      </c>
      <c r="H23" s="19">
        <v>25</v>
      </c>
      <c r="I23" s="19">
        <f>G23-H23</f>
        <v>1320</v>
      </c>
      <c r="J23" s="18" t="s">
        <v>22</v>
      </c>
      <c r="K23" s="18" t="s">
        <v>22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86</v>
      </c>
      <c r="G24" s="19">
        <v>0</v>
      </c>
      <c r="H24" s="19">
        <v>25</v>
      </c>
      <c r="I24" s="19">
        <f>-H24</f>
        <v>-25</v>
      </c>
      <c r="J24" s="18" t="s">
        <v>22</v>
      </c>
      <c r="K24" s="18" t="s">
        <v>22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44</v>
      </c>
      <c r="G25" s="19">
        <v>0</v>
      </c>
      <c r="H25" s="19">
        <v>25</v>
      </c>
      <c r="I25" s="19">
        <f>-H25</f>
        <v>-25</v>
      </c>
      <c r="J25" s="18" t="s">
        <v>22</v>
      </c>
      <c r="K25" s="18" t="s">
        <v>22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22</v>
      </c>
      <c r="K26" s="18" t="s">
        <v>22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36</v>
      </c>
      <c r="G27" s="19">
        <v>1110</v>
      </c>
      <c r="H27" s="19">
        <v>20</v>
      </c>
      <c r="I27" s="19">
        <f>G27-H27</f>
        <v>1090</v>
      </c>
      <c r="J27" s="18" t="s">
        <v>22</v>
      </c>
      <c r="K27" s="18" t="s">
        <v>22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86</v>
      </c>
      <c r="G28" s="19">
        <v>815</v>
      </c>
      <c r="H28" s="19">
        <v>25</v>
      </c>
      <c r="I28" s="19">
        <f>G28-H28</f>
        <v>790</v>
      </c>
      <c r="J28" s="18" t="s">
        <v>22</v>
      </c>
      <c r="K28" s="18" t="s">
        <v>22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22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22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22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22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22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22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22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22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22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22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79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22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37" t="s">
        <v>89</v>
      </c>
      <c r="D43" s="37"/>
      <c r="E43" s="4" t="s">
        <v>90</v>
      </c>
      <c r="H43">
        <f>-3*25</f>
        <v>-75</v>
      </c>
      <c r="K43" s="7" t="s">
        <v>22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38">
        <f>SUMIFS(I$3:I$39,B$3:B$39,A$43,L$3:L$39,A$44)</f>
        <v>23985</v>
      </c>
      <c r="D44" s="38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22</v>
      </c>
      <c r="P44">
        <f>L49</f>
        <v>7556</v>
      </c>
    </row>
    <row r="45" spans="1:17" x14ac:dyDescent="0.25">
      <c r="B45" s="2" t="s">
        <v>97</v>
      </c>
      <c r="C45" s="39">
        <v>0</v>
      </c>
      <c r="D45" s="39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39">
        <f>-SUMIFS(I$3:I$39,B$3:B$39,A$43,P$3:P$39,"xx",N$3:N$39,"x")</f>
        <v>0</v>
      </c>
      <c r="D46" s="39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37">
        <f>SUBTOTAL(9,C44:C46)</f>
        <v>23985</v>
      </c>
      <c r="D47" s="37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35"/>
      <c r="D48" s="35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35"/>
      <c r="D49" s="35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36">
        <f>C47+C48+C49</f>
        <v>23985</v>
      </c>
      <c r="D51" s="36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37" zoomScale="90" zoomScaleNormal="90" workbookViewId="0">
      <selection activeCell="M43" sqref="M43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20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22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22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86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22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22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22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22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22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22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20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22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22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86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22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20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22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22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22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83</v>
      </c>
      <c r="B17" s="18" t="s">
        <v>16</v>
      </c>
      <c r="C17" s="18" t="s">
        <v>934</v>
      </c>
      <c r="D17" s="18"/>
      <c r="E17" s="18" t="s">
        <v>935</v>
      </c>
      <c r="F17" s="18" t="s">
        <v>86</v>
      </c>
      <c r="G17" s="19">
        <v>30</v>
      </c>
      <c r="H17" s="19">
        <v>30</v>
      </c>
      <c r="I17" s="19">
        <f t="shared" si="0"/>
        <v>0</v>
      </c>
      <c r="J17" s="18" t="s">
        <v>22</v>
      </c>
      <c r="K17" s="18" t="s">
        <v>22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83</v>
      </c>
      <c r="B18" s="18" t="s">
        <v>16</v>
      </c>
      <c r="C18" s="18" t="s">
        <v>640</v>
      </c>
      <c r="D18" s="18"/>
      <c r="E18" s="18" t="s">
        <v>641</v>
      </c>
      <c r="F18" s="18" t="s">
        <v>44</v>
      </c>
      <c r="G18" s="19">
        <v>3050</v>
      </c>
      <c r="H18" s="19">
        <v>30</v>
      </c>
      <c r="I18" s="19">
        <f t="shared" si="0"/>
        <v>3020</v>
      </c>
      <c r="J18" s="18" t="s">
        <v>22</v>
      </c>
      <c r="K18" s="18" t="s">
        <v>22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83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22</v>
      </c>
      <c r="K19" s="18" t="s">
        <v>22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83</v>
      </c>
      <c r="B20" s="18" t="s">
        <v>16</v>
      </c>
      <c r="C20" s="18" t="s">
        <v>343</v>
      </c>
      <c r="D20" s="18"/>
      <c r="E20" s="18" t="s">
        <v>938</v>
      </c>
      <c r="F20" s="18" t="s">
        <v>44</v>
      </c>
      <c r="G20" s="19">
        <v>845</v>
      </c>
      <c r="H20" s="19">
        <v>25</v>
      </c>
      <c r="I20" s="19">
        <f t="shared" si="0"/>
        <v>820</v>
      </c>
      <c r="J20" s="18" t="s">
        <v>22</v>
      </c>
      <c r="K20" s="18" t="s">
        <v>22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22</v>
      </c>
      <c r="K21" s="18" t="s">
        <v>22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36</v>
      </c>
      <c r="G22" s="19">
        <v>1570</v>
      </c>
      <c r="H22" s="19">
        <v>20</v>
      </c>
      <c r="I22" s="19">
        <f t="shared" si="0"/>
        <v>1550</v>
      </c>
      <c r="J22" s="18" t="s">
        <v>22</v>
      </c>
      <c r="K22" s="18" t="s">
        <v>22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22</v>
      </c>
      <c r="K23" s="18" t="s">
        <v>22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22</v>
      </c>
      <c r="K24" s="18" t="s">
        <v>22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36</v>
      </c>
      <c r="G25" s="19">
        <v>2670</v>
      </c>
      <c r="H25" s="19">
        <v>25</v>
      </c>
      <c r="I25" s="19">
        <f t="shared" si="0"/>
        <v>2645</v>
      </c>
      <c r="J25" s="18" t="s">
        <v>22</v>
      </c>
      <c r="K25" s="18" t="s">
        <v>22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44</v>
      </c>
      <c r="G26" s="19">
        <v>865</v>
      </c>
      <c r="H26" s="19">
        <v>25</v>
      </c>
      <c r="I26" s="19">
        <f t="shared" si="0"/>
        <v>840</v>
      </c>
      <c r="J26" s="18" t="s">
        <v>22</v>
      </c>
      <c r="K26" s="18" t="s">
        <v>22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44</v>
      </c>
      <c r="G27" s="19">
        <v>0</v>
      </c>
      <c r="H27" s="19">
        <v>25</v>
      </c>
      <c r="I27" s="19">
        <f>-H27</f>
        <v>-25</v>
      </c>
      <c r="J27" s="18" t="s">
        <v>22</v>
      </c>
      <c r="K27" s="18" t="s">
        <v>22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22</v>
      </c>
      <c r="K28" s="18" t="s">
        <v>22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22</v>
      </c>
      <c r="K29" s="18" t="s">
        <v>22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22</v>
      </c>
      <c r="K30" s="18" t="s">
        <v>22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22</v>
      </c>
      <c r="K31" s="18" t="s">
        <v>22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86</v>
      </c>
      <c r="G32" s="19">
        <v>845</v>
      </c>
      <c r="H32" s="19">
        <v>25</v>
      </c>
      <c r="I32" s="19">
        <f t="shared" si="1"/>
        <v>820</v>
      </c>
      <c r="J32" s="18" t="s">
        <v>22</v>
      </c>
      <c r="K32" s="18" t="s">
        <v>22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22</v>
      </c>
      <c r="K33" s="18" t="s">
        <v>22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44</v>
      </c>
      <c r="G34" s="19">
        <v>0</v>
      </c>
      <c r="H34" s="19">
        <v>25</v>
      </c>
      <c r="I34" s="19">
        <f t="shared" si="1"/>
        <v>-25</v>
      </c>
      <c r="J34" s="18" t="s">
        <v>22</v>
      </c>
      <c r="K34" s="18" t="s">
        <v>22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36</v>
      </c>
      <c r="G35" s="19">
        <v>0</v>
      </c>
      <c r="H35" s="19">
        <v>20</v>
      </c>
      <c r="I35" s="19">
        <f>-H35</f>
        <v>-20</v>
      </c>
      <c r="J35" s="18" t="s">
        <v>22</v>
      </c>
      <c r="K35" s="18" t="s">
        <v>22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86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22</v>
      </c>
      <c r="K36" s="18" t="s">
        <v>22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83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22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22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79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22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22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86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22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79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22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22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22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86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22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22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22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22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86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22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22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86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22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22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22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86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22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79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22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37" t="s">
        <v>89</v>
      </c>
      <c r="D58" s="37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38">
        <f>SUMIFS(I$3:I$55,B$3:B$55,A$58,L$3:L$55,A$59)</f>
        <v>43676</v>
      </c>
      <c r="D59" s="38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39">
        <v>0</v>
      </c>
      <c r="D60" s="39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22</v>
      </c>
      <c r="P60">
        <f>L72</f>
        <v>17129</v>
      </c>
    </row>
    <row r="61" spans="1:17" x14ac:dyDescent="0.25">
      <c r="B61" s="2" t="s">
        <v>99</v>
      </c>
      <c r="C61" s="39">
        <f>-SUMIFS(I$3:I$55,B$3:B$55,A$58,P$3:P$55,"xx",N$3:N$55,"x")</f>
        <v>-975</v>
      </c>
      <c r="D61" s="39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37">
        <f>SUBTOTAL(9,C59:C61)</f>
        <v>42701</v>
      </c>
      <c r="D62" s="37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35"/>
      <c r="D63" s="35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35"/>
      <c r="D64" s="35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36">
        <f>C62+C63+C64</f>
        <v>42701</v>
      </c>
      <c r="D66" s="36"/>
      <c r="E66" s="1" t="s">
        <v>109</v>
      </c>
      <c r="K66" s="7" t="s">
        <v>22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32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40</v>
      </c>
      <c r="K3" s="18" t="s">
        <v>22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22</v>
      </c>
      <c r="L4" s="18" t="s">
        <v>1032</v>
      </c>
      <c r="M4" s="18" t="s">
        <v>66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20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22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22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22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86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22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22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22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22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22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22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20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22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22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22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22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20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22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22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22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22</v>
      </c>
      <c r="K21" s="18" t="s">
        <v>22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83</v>
      </c>
      <c r="B22" s="18" t="s">
        <v>16</v>
      </c>
      <c r="C22" s="18" t="s">
        <v>318</v>
      </c>
      <c r="D22" s="18"/>
      <c r="E22" s="18" t="s">
        <v>319</v>
      </c>
      <c r="F22" s="18" t="s">
        <v>44</v>
      </c>
      <c r="G22" s="19">
        <v>30</v>
      </c>
      <c r="H22" s="19">
        <v>30</v>
      </c>
      <c r="I22" s="19">
        <f t="shared" si="1"/>
        <v>0</v>
      </c>
      <c r="J22" s="18" t="s">
        <v>22</v>
      </c>
      <c r="K22" s="18" t="s">
        <v>22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36</v>
      </c>
      <c r="G23" s="19">
        <v>510</v>
      </c>
      <c r="H23" s="19">
        <v>20</v>
      </c>
      <c r="I23" s="19">
        <f t="shared" si="1"/>
        <v>490</v>
      </c>
      <c r="J23" s="18" t="s">
        <v>22</v>
      </c>
      <c r="K23" s="18" t="s">
        <v>22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22</v>
      </c>
      <c r="K24" s="18" t="s">
        <v>22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36</v>
      </c>
      <c r="G25" s="19">
        <v>510</v>
      </c>
      <c r="H25" s="19">
        <v>20</v>
      </c>
      <c r="I25" s="19">
        <f t="shared" si="1"/>
        <v>490</v>
      </c>
      <c r="J25" s="18" t="s">
        <v>22</v>
      </c>
      <c r="K25" s="18" t="s">
        <v>22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22</v>
      </c>
      <c r="K26" s="18" t="s">
        <v>22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44</v>
      </c>
      <c r="G27" s="19">
        <v>0</v>
      </c>
      <c r="H27" s="19">
        <v>25</v>
      </c>
      <c r="I27" s="19">
        <f>-H27</f>
        <v>-25</v>
      </c>
      <c r="J27" s="18" t="s">
        <v>22</v>
      </c>
      <c r="K27" s="18" t="s">
        <v>22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22</v>
      </c>
      <c r="K28" s="18" t="s">
        <v>22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36</v>
      </c>
      <c r="G29" s="19">
        <v>910</v>
      </c>
      <c r="H29" s="19">
        <v>20</v>
      </c>
      <c r="I29" s="19">
        <f t="shared" si="2"/>
        <v>890</v>
      </c>
      <c r="J29" s="18" t="s">
        <v>22</v>
      </c>
      <c r="K29" s="18" t="s">
        <v>22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22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22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22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22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86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22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79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22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22</v>
      </c>
      <c r="L36" s="18" t="s">
        <v>1032</v>
      </c>
      <c r="M36" s="18" t="s">
        <v>66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22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79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22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22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22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22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79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22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22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37" t="s">
        <v>89</v>
      </c>
      <c r="D47" s="37"/>
      <c r="E47" s="4" t="s">
        <v>90</v>
      </c>
      <c r="H47">
        <f>-6*25</f>
        <v>-150</v>
      </c>
      <c r="K47" s="7" t="s">
        <v>22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38">
        <f>SUMIFS(I$3:I$43,B$3:B$43,A$47,L$3:L$43,A$48)</f>
        <v>28800</v>
      </c>
      <c r="D48" s="38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22</v>
      </c>
      <c r="P48">
        <f>L53</f>
        <v>3498</v>
      </c>
    </row>
    <row r="49" spans="2:16" x14ac:dyDescent="0.25">
      <c r="B49" s="2" t="s">
        <v>97</v>
      </c>
      <c r="C49" s="39">
        <v>0</v>
      </c>
      <c r="D49" s="39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39">
        <f>-SUMIFS(I$3:I$43,B$3:B$43,A$47,P$3:P$43,"xx",N$3:N$43,"x")</f>
        <v>0</v>
      </c>
      <c r="D50" s="39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37">
        <f>SUBTOTAL(9,C48:C50)</f>
        <v>28800</v>
      </c>
      <c r="D51" s="37"/>
      <c r="E51">
        <f>E48</f>
        <v>41</v>
      </c>
      <c r="K51" s="2" t="s">
        <v>102</v>
      </c>
      <c r="O51" t="s">
        <v>40</v>
      </c>
      <c r="P51">
        <f>L77</f>
        <v>1495</v>
      </c>
    </row>
    <row r="52" spans="2:16" x14ac:dyDescent="0.25">
      <c r="B52" s="2" t="s">
        <v>104</v>
      </c>
      <c r="C52" s="35"/>
      <c r="D52" s="35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35"/>
      <c r="D53" s="35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36">
        <f>C51+C52+C53</f>
        <v>28800</v>
      </c>
      <c r="D55" s="36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40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A43" workbookViewId="0">
      <selection activeCell="M82" sqref="M82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40</v>
      </c>
      <c r="K3" s="18" t="s">
        <v>22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40</v>
      </c>
      <c r="K4" s="18" t="s">
        <v>22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22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22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22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22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20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22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22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22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22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22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86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22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22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22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22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22</v>
      </c>
      <c r="L18" s="18" t="s">
        <v>1148</v>
      </c>
      <c r="M18" s="18" t="s">
        <v>66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22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22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20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22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20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22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86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22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20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22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22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20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22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22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22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86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22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83</v>
      </c>
      <c r="B30" s="18" t="s">
        <v>16</v>
      </c>
      <c r="C30" s="18"/>
      <c r="D30" s="18"/>
      <c r="E30" s="18" t="s">
        <v>1223</v>
      </c>
      <c r="F30" s="18" t="s">
        <v>20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22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22</v>
      </c>
      <c r="K31" s="18" t="s">
        <v>22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36</v>
      </c>
      <c r="G32" s="19">
        <v>0</v>
      </c>
      <c r="H32" s="19">
        <v>20</v>
      </c>
      <c r="I32" s="19">
        <f>-H32</f>
        <v>-20</v>
      </c>
      <c r="J32" s="18" t="s">
        <v>22</v>
      </c>
      <c r="K32" s="18" t="s">
        <v>22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22</v>
      </c>
      <c r="K33" s="18" t="s">
        <v>22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22</v>
      </c>
      <c r="K34" s="18" t="s">
        <v>22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44</v>
      </c>
      <c r="G35" s="19">
        <v>1455</v>
      </c>
      <c r="H35" s="19">
        <v>25</v>
      </c>
      <c r="I35" s="19">
        <f>G35-H35</f>
        <v>1430</v>
      </c>
      <c r="J35" s="18" t="s">
        <v>22</v>
      </c>
      <c r="K35" s="18" t="s">
        <v>22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83</v>
      </c>
      <c r="B36" s="18" t="s">
        <v>16</v>
      </c>
      <c r="C36" s="18" t="s">
        <v>1236</v>
      </c>
      <c r="D36" s="18"/>
      <c r="E36" s="18" t="s">
        <v>1237</v>
      </c>
      <c r="F36" s="18" t="s">
        <v>36</v>
      </c>
      <c r="G36" s="19">
        <v>0</v>
      </c>
      <c r="H36" s="19">
        <v>25</v>
      </c>
      <c r="I36" s="19">
        <f>-H36</f>
        <v>-25</v>
      </c>
      <c r="J36" s="18" t="s">
        <v>22</v>
      </c>
      <c r="K36" s="18" t="s">
        <v>22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22</v>
      </c>
      <c r="K37" s="18" t="s">
        <v>22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22</v>
      </c>
      <c r="K38" s="18" t="s">
        <v>22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22</v>
      </c>
      <c r="K39" s="18" t="s">
        <v>22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22</v>
      </c>
      <c r="K40" s="18" t="s">
        <v>22</v>
      </c>
      <c r="L40" s="18" t="s">
        <v>1148</v>
      </c>
      <c r="M40" s="18" t="s">
        <v>66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36</v>
      </c>
      <c r="G41" s="19">
        <v>810</v>
      </c>
      <c r="H41" s="19">
        <v>20</v>
      </c>
      <c r="I41" s="19">
        <f t="shared" ref="I41:I46" si="1">G41-H41</f>
        <v>790</v>
      </c>
      <c r="J41" s="18" t="s">
        <v>22</v>
      </c>
      <c r="K41" s="18" t="s">
        <v>22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22</v>
      </c>
      <c r="K42" s="18" t="s">
        <v>22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44</v>
      </c>
      <c r="G43" s="19">
        <v>515</v>
      </c>
      <c r="H43" s="19">
        <v>25</v>
      </c>
      <c r="I43" s="19">
        <f t="shared" si="1"/>
        <v>490</v>
      </c>
      <c r="J43" s="18" t="s">
        <v>22</v>
      </c>
      <c r="K43" s="18" t="s">
        <v>22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44</v>
      </c>
      <c r="G44" s="19">
        <v>450</v>
      </c>
      <c r="H44" s="19">
        <v>0</v>
      </c>
      <c r="I44" s="19">
        <f t="shared" si="1"/>
        <v>450</v>
      </c>
      <c r="J44" s="18" t="s">
        <v>22</v>
      </c>
      <c r="K44" s="18" t="s">
        <v>22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83</v>
      </c>
      <c r="B45" s="18" t="s">
        <v>16</v>
      </c>
      <c r="C45" s="18" t="s">
        <v>640</v>
      </c>
      <c r="D45" s="18"/>
      <c r="E45" s="18" t="s">
        <v>1257</v>
      </c>
      <c r="F45" s="18" t="s">
        <v>44</v>
      </c>
      <c r="G45" s="19">
        <v>4015</v>
      </c>
      <c r="H45" s="19">
        <v>35</v>
      </c>
      <c r="I45" s="19">
        <f t="shared" si="1"/>
        <v>3980</v>
      </c>
      <c r="J45" s="18" t="s">
        <v>22</v>
      </c>
      <c r="K45" s="18" t="s">
        <v>22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22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22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86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22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22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86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22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22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86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22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86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22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22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79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22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22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22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22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22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22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86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22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86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22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22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83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22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83</v>
      </c>
      <c r="B65" s="18" t="s">
        <v>16</v>
      </c>
      <c r="C65" s="18" t="s">
        <v>441</v>
      </c>
      <c r="D65" s="18"/>
      <c r="E65" s="18" t="s">
        <v>442</v>
      </c>
      <c r="F65" s="18" t="s">
        <v>86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22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22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37" t="s">
        <v>89</v>
      </c>
      <c r="D70" s="37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38">
        <f>SUMIFS(I$3:I$66,B$3:B$66,A$70,L$3:L$66,A$71)</f>
        <v>40275</v>
      </c>
      <c r="D71" s="38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39">
        <v>0</v>
      </c>
      <c r="D72" s="39"/>
      <c r="K72" t="s">
        <v>98</v>
      </c>
      <c r="L72">
        <f>SUM(H69:H71)</f>
        <v>-532</v>
      </c>
      <c r="M72">
        <f>SUMIFS(Q$3:Q$66,J$3:J$66,K$70)</f>
        <v>26</v>
      </c>
      <c r="O72" t="s">
        <v>22</v>
      </c>
      <c r="P72">
        <f>L84</f>
        <v>12122</v>
      </c>
    </row>
    <row r="73" spans="1:17" x14ac:dyDescent="0.25">
      <c r="B73" s="2" t="s">
        <v>99</v>
      </c>
      <c r="C73" s="39">
        <f>-SUMIFS(I$3:I$66,B$3:B$66,A$70,P$3:P$66,"xx",N$3:N$66,"x")</f>
        <v>-790</v>
      </c>
      <c r="D73" s="39"/>
      <c r="E73" s="2">
        <f>SUMIFS(Q$3:Q$66,B$3:B$66,A$70,P$3:P$66,"xx",N$3:N$66,"x")</f>
        <v>1</v>
      </c>
      <c r="K73" t="s">
        <v>100</v>
      </c>
      <c r="O73" t="s">
        <v>40</v>
      </c>
      <c r="P73">
        <f>L92</f>
        <v>1350</v>
      </c>
    </row>
    <row r="74" spans="1:17" x14ac:dyDescent="0.25">
      <c r="B74" s="4" t="s">
        <v>101</v>
      </c>
      <c r="C74" s="37">
        <f>SUBTOTAL(9,C71:C73)</f>
        <v>39485</v>
      </c>
      <c r="D74" s="37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35"/>
      <c r="D75" s="35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35"/>
      <c r="D76" s="35"/>
      <c r="L76" s="9">
        <f>SUBTOTAL(9,L71:L75)</f>
        <v>15833</v>
      </c>
      <c r="M76" s="9">
        <f>M71</f>
        <v>26</v>
      </c>
      <c r="O76" s="4" t="s">
        <v>106</v>
      </c>
      <c r="P76" s="4">
        <f>SUBTOTAL(9,P71:P75)</f>
        <v>245</v>
      </c>
    </row>
    <row r="78" spans="1:17" x14ac:dyDescent="0.25">
      <c r="B78" s="1" t="s">
        <v>108</v>
      </c>
      <c r="C78" s="36">
        <f>C74+C75+C76</f>
        <v>39485</v>
      </c>
      <c r="D78" s="36"/>
      <c r="E78" s="1" t="s">
        <v>109</v>
      </c>
      <c r="K78" s="7" t="s">
        <v>22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40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topLeftCell="A16" workbookViewId="0">
      <selection activeCell="M50" sqref="M50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1308</v>
      </c>
      <c r="D3" s="18" t="s">
        <v>1309</v>
      </c>
      <c r="E3" s="18" t="s">
        <v>1310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40</v>
      </c>
      <c r="K3" s="18" t="s">
        <v>22</v>
      </c>
      <c r="L3" s="18" t="s">
        <v>1311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1312</v>
      </c>
      <c r="D4" s="18" t="s">
        <v>1313</v>
      </c>
      <c r="E4" s="18" t="s">
        <v>1314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40</v>
      </c>
      <c r="K4" s="18" t="s">
        <v>22</v>
      </c>
      <c r="L4" s="18" t="s">
        <v>1311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1315</v>
      </c>
      <c r="D5" s="18" t="s">
        <v>1316</v>
      </c>
      <c r="E5" s="18" t="s">
        <v>1317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40</v>
      </c>
      <c r="K5" s="18" t="s">
        <v>22</v>
      </c>
      <c r="L5" s="18" t="s">
        <v>1311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1318</v>
      </c>
      <c r="D6" s="18" t="s">
        <v>1319</v>
      </c>
      <c r="E6" s="18" t="s">
        <v>1320</v>
      </c>
      <c r="F6" s="18" t="s">
        <v>20</v>
      </c>
      <c r="G6" s="19">
        <v>740</v>
      </c>
      <c r="H6" s="19">
        <v>30</v>
      </c>
      <c r="I6" s="19">
        <f>G6-H6</f>
        <v>710</v>
      </c>
      <c r="J6" s="18" t="s">
        <v>1321</v>
      </c>
      <c r="K6" s="18" t="s">
        <v>22</v>
      </c>
      <c r="L6" s="18" t="s">
        <v>1311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1322</v>
      </c>
      <c r="E7" s="18" t="s">
        <v>1323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1321</v>
      </c>
      <c r="K7" s="18" t="s">
        <v>22</v>
      </c>
      <c r="L7" s="18" t="s">
        <v>1311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1324</v>
      </c>
      <c r="D8" s="18" t="s">
        <v>1325</v>
      </c>
      <c r="E8" s="18" t="s">
        <v>1326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1321</v>
      </c>
      <c r="K8" s="18" t="s">
        <v>22</v>
      </c>
      <c r="L8" s="18" t="s">
        <v>1311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1327</v>
      </c>
      <c r="D9" s="18" t="s">
        <v>1328</v>
      </c>
      <c r="E9" s="18" t="s">
        <v>1329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1321</v>
      </c>
      <c r="K9" s="18" t="s">
        <v>22</v>
      </c>
      <c r="L9" s="18" t="s">
        <v>1311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1330</v>
      </c>
      <c r="D10" s="18" t="s">
        <v>1331</v>
      </c>
      <c r="E10" s="18" t="s">
        <v>1332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1321</v>
      </c>
      <c r="K10" s="18" t="s">
        <v>22</v>
      </c>
      <c r="L10" s="18" t="s">
        <v>1311</v>
      </c>
      <c r="M10" s="18" t="s">
        <v>66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1333</v>
      </c>
      <c r="E11" s="18" t="s">
        <v>1255</v>
      </c>
      <c r="F11" s="18" t="s">
        <v>44</v>
      </c>
      <c r="G11" s="19">
        <v>25</v>
      </c>
      <c r="H11" s="19">
        <v>25</v>
      </c>
      <c r="I11" s="19">
        <f>G11-H11</f>
        <v>0</v>
      </c>
      <c r="J11" s="18" t="s">
        <v>22</v>
      </c>
      <c r="K11" s="18" t="s">
        <v>22</v>
      </c>
      <c r="L11" s="18" t="s">
        <v>1311</v>
      </c>
      <c r="M11" s="18" t="s">
        <v>66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1334</v>
      </c>
      <c r="D12" s="18" t="s">
        <v>1335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22</v>
      </c>
      <c r="K12" s="18" t="s">
        <v>22</v>
      </c>
      <c r="L12" s="18" t="s">
        <v>1311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1336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22</v>
      </c>
      <c r="K13" s="18" t="s">
        <v>22</v>
      </c>
      <c r="L13" s="18" t="s">
        <v>1311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1337</v>
      </c>
      <c r="D14" s="18" t="s">
        <v>1338</v>
      </c>
      <c r="E14" s="18" t="s">
        <v>1339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22</v>
      </c>
      <c r="K14" s="18" t="s">
        <v>22</v>
      </c>
      <c r="L14" s="18" t="s">
        <v>1311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1340</v>
      </c>
      <c r="D15" s="18" t="s">
        <v>1341</v>
      </c>
      <c r="E15" s="18" t="s">
        <v>1342</v>
      </c>
      <c r="F15" s="18" t="s">
        <v>44</v>
      </c>
      <c r="G15" s="19">
        <v>1115</v>
      </c>
      <c r="H15" s="19">
        <v>25</v>
      </c>
      <c r="I15" s="19">
        <f t="shared" si="0"/>
        <v>1090</v>
      </c>
      <c r="J15" s="18" t="s">
        <v>22</v>
      </c>
      <c r="K15" s="18" t="s">
        <v>22</v>
      </c>
      <c r="L15" s="18" t="s">
        <v>1311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1343</v>
      </c>
      <c r="E16" s="18" t="s">
        <v>1344</v>
      </c>
      <c r="F16" s="18" t="s">
        <v>36</v>
      </c>
      <c r="G16" s="19">
        <v>770</v>
      </c>
      <c r="H16" s="19">
        <v>20</v>
      </c>
      <c r="I16" s="19">
        <f t="shared" si="0"/>
        <v>750</v>
      </c>
      <c r="J16" s="18" t="s">
        <v>22</v>
      </c>
      <c r="K16" s="18" t="s">
        <v>22</v>
      </c>
      <c r="L16" s="18" t="s">
        <v>1311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1345</v>
      </c>
      <c r="D17" s="18" t="s">
        <v>1346</v>
      </c>
      <c r="E17" s="18" t="s">
        <v>1347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22</v>
      </c>
      <c r="K17" s="18" t="s">
        <v>22</v>
      </c>
      <c r="L17" s="18" t="s">
        <v>1311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1348</v>
      </c>
      <c r="D18" s="18" t="s">
        <v>1349</v>
      </c>
      <c r="E18" s="18" t="s">
        <v>1350</v>
      </c>
      <c r="F18" s="18" t="s">
        <v>36</v>
      </c>
      <c r="G18" s="19">
        <v>840</v>
      </c>
      <c r="H18" s="19">
        <v>20</v>
      </c>
      <c r="I18" s="19">
        <f t="shared" si="0"/>
        <v>820</v>
      </c>
      <c r="J18" s="18" t="s">
        <v>22</v>
      </c>
      <c r="K18" s="18" t="s">
        <v>22</v>
      </c>
      <c r="L18" s="18" t="s">
        <v>1311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1351</v>
      </c>
      <c r="E19" s="18" t="s">
        <v>1352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22</v>
      </c>
      <c r="K19" s="18" t="s">
        <v>22</v>
      </c>
      <c r="L19" s="18" t="s">
        <v>1311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1353</v>
      </c>
      <c r="D20" s="18" t="s">
        <v>1354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22</v>
      </c>
      <c r="K20" s="18" t="s">
        <v>22</v>
      </c>
      <c r="L20" s="18" t="s">
        <v>1311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1355</v>
      </c>
      <c r="D21" s="18" t="s">
        <v>1356</v>
      </c>
      <c r="E21" s="18" t="s">
        <v>1357</v>
      </c>
      <c r="F21" s="18" t="s">
        <v>44</v>
      </c>
      <c r="G21" s="19">
        <v>865</v>
      </c>
      <c r="H21" s="19">
        <v>25</v>
      </c>
      <c r="I21" s="19">
        <f t="shared" ref="I21:I26" si="1">G21-H21</f>
        <v>840</v>
      </c>
      <c r="J21" s="18" t="s">
        <v>22</v>
      </c>
      <c r="K21" s="18" t="s">
        <v>22</v>
      </c>
      <c r="L21" s="18" t="s">
        <v>1311</v>
      </c>
      <c r="M21" s="18"/>
      <c r="N21" s="18"/>
      <c r="O21" s="18"/>
      <c r="P21" s="18"/>
      <c r="Q21" s="18">
        <v>1</v>
      </c>
    </row>
    <row r="22" spans="1:17" x14ac:dyDescent="0.25">
      <c r="A22" s="18" t="s">
        <v>83</v>
      </c>
      <c r="B22" s="18" t="s">
        <v>16</v>
      </c>
      <c r="C22" s="18" t="s">
        <v>1358</v>
      </c>
      <c r="D22" s="18"/>
      <c r="E22" s="18" t="s">
        <v>1359</v>
      </c>
      <c r="F22" s="18" t="s">
        <v>86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22</v>
      </c>
      <c r="L22" s="18" t="s">
        <v>1311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1360</v>
      </c>
      <c r="D23" s="20" t="s">
        <v>1361</v>
      </c>
      <c r="E23" s="20" t="s">
        <v>1362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1363</v>
      </c>
      <c r="K23" s="20" t="s">
        <v>22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1364</v>
      </c>
      <c r="D24" s="20" t="s">
        <v>1365</v>
      </c>
      <c r="E24" s="20" t="s">
        <v>1366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1363</v>
      </c>
      <c r="K24" s="20" t="s">
        <v>22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73</v>
      </c>
      <c r="D25" s="20" t="s">
        <v>74</v>
      </c>
      <c r="E25" s="20" t="s">
        <v>75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1363</v>
      </c>
      <c r="K25" s="20" t="s">
        <v>22</v>
      </c>
      <c r="L25" s="20" t="s">
        <v>23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1367</v>
      </c>
      <c r="D26" s="20" t="s">
        <v>1368</v>
      </c>
      <c r="E26" s="20" t="s">
        <v>1369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1363</v>
      </c>
      <c r="K26" s="20" t="s">
        <v>22</v>
      </c>
      <c r="L26" s="20" t="s">
        <v>1370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37" t="s">
        <v>89</v>
      </c>
      <c r="D30" s="37"/>
      <c r="E30" s="4" t="s">
        <v>90</v>
      </c>
      <c r="H30">
        <f>-1*25</f>
        <v>-25</v>
      </c>
      <c r="K30" s="7" t="s">
        <v>1321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1311</v>
      </c>
      <c r="B31" s="3" t="s">
        <v>93</v>
      </c>
      <c r="C31" s="38">
        <f>SUMIFS(I$3:I$26,B$3:B$26,A$30,L$3:L$26,A$31)</f>
        <v>10860</v>
      </c>
      <c r="D31" s="38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1371</v>
      </c>
      <c r="P31">
        <f>L36</f>
        <v>-328</v>
      </c>
    </row>
    <row r="32" spans="1:17" x14ac:dyDescent="0.25">
      <c r="B32" s="2" t="s">
        <v>97</v>
      </c>
      <c r="C32" s="39">
        <v>0</v>
      </c>
      <c r="D32" s="39"/>
      <c r="K32" t="s">
        <v>98</v>
      </c>
      <c r="L32">
        <f>SUM(H29:H31)</f>
        <v>-106</v>
      </c>
      <c r="M32">
        <f>SUMIFS(Q$3:Q$26,J$3:J$26,K$30)</f>
        <v>5</v>
      </c>
      <c r="O32" t="s">
        <v>40</v>
      </c>
      <c r="P32">
        <f>L44</f>
        <v>1270</v>
      </c>
    </row>
    <row r="33" spans="2:16" x14ac:dyDescent="0.25">
      <c r="B33" s="2" t="s">
        <v>99</v>
      </c>
      <c r="C33" s="39">
        <f>-SUMIFS(I$3:I$26,B$3:B$26,A$30,P$3:P$26,"xx",N$3:N$26,"x")</f>
        <v>-2910</v>
      </c>
      <c r="D33" s="39"/>
      <c r="E33" s="2">
        <f>SUMIFS(Q$3:Q$26,B$3:B$26,A$30,P$3:P$26,"xx",N$3:N$26,"x")</f>
        <v>4</v>
      </c>
      <c r="K33" t="s">
        <v>100</v>
      </c>
      <c r="O33" t="s">
        <v>22</v>
      </c>
      <c r="P33">
        <f>L52</f>
        <v>6983</v>
      </c>
    </row>
    <row r="34" spans="2:16" x14ac:dyDescent="0.25">
      <c r="B34" s="4" t="s">
        <v>101</v>
      </c>
      <c r="C34" s="37">
        <f>SUBTOTAL(9,C31:C33)</f>
        <v>7950</v>
      </c>
      <c r="D34" s="37"/>
      <c r="E34">
        <f>E31</f>
        <v>20</v>
      </c>
      <c r="K34" s="2" t="s">
        <v>102</v>
      </c>
      <c r="L34" s="29">
        <v>-3007</v>
      </c>
      <c r="M34" s="29" t="s">
        <v>1372</v>
      </c>
      <c r="O34" t="s">
        <v>165</v>
      </c>
      <c r="P34">
        <f>L60</f>
        <v>5</v>
      </c>
    </row>
    <row r="35" spans="2:16" x14ac:dyDescent="0.25">
      <c r="B35" s="2" t="s">
        <v>104</v>
      </c>
      <c r="C35" s="35"/>
      <c r="D35" s="35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35"/>
      <c r="D36" s="35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36">
        <f>C34+C35+C36</f>
        <v>7950</v>
      </c>
      <c r="D38" s="36"/>
      <c r="E38" s="1" t="s">
        <v>109</v>
      </c>
      <c r="K38" s="7" t="s">
        <v>40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22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abSelected="1" topLeftCell="A40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1381</v>
      </c>
      <c r="D3" s="18" t="s">
        <v>1382</v>
      </c>
      <c r="E3" s="18" t="s">
        <v>1383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40</v>
      </c>
      <c r="K3" s="18" t="s">
        <v>22</v>
      </c>
      <c r="L3" s="18" t="s">
        <v>1376</v>
      </c>
      <c r="M3" s="18"/>
      <c r="N3" s="18"/>
      <c r="O3" s="18"/>
      <c r="P3" s="18"/>
      <c r="Q3" s="18">
        <v>1</v>
      </c>
    </row>
    <row r="4" spans="1:17" x14ac:dyDescent="0.25">
      <c r="A4" s="18" t="s">
        <v>83</v>
      </c>
      <c r="B4" s="18" t="s">
        <v>16</v>
      </c>
      <c r="C4" s="18" t="s">
        <v>1435</v>
      </c>
      <c r="D4" s="18"/>
      <c r="E4" s="18" t="s">
        <v>1436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40</v>
      </c>
      <c r="K4" s="18" t="s">
        <v>22</v>
      </c>
      <c r="L4" s="18" t="s">
        <v>1376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1377</v>
      </c>
      <c r="E5" s="18" t="s">
        <v>1202</v>
      </c>
      <c r="F5" s="18" t="s">
        <v>20</v>
      </c>
      <c r="G5" s="19">
        <v>0</v>
      </c>
      <c r="H5" s="19">
        <v>30</v>
      </c>
      <c r="I5" s="19">
        <f>-H5</f>
        <v>-30</v>
      </c>
      <c r="J5" s="18" t="s">
        <v>1378</v>
      </c>
      <c r="K5" s="18" t="s">
        <v>22</v>
      </c>
      <c r="L5" s="18" t="s">
        <v>1376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1384</v>
      </c>
      <c r="E6" s="18" t="s">
        <v>1385</v>
      </c>
      <c r="F6" s="18" t="s">
        <v>20</v>
      </c>
      <c r="G6" s="19">
        <v>2420</v>
      </c>
      <c r="H6" s="19">
        <v>35</v>
      </c>
      <c r="I6" s="19">
        <f>G6-H6</f>
        <v>2385</v>
      </c>
      <c r="J6" s="18" t="s">
        <v>1378</v>
      </c>
      <c r="K6" s="18" t="s">
        <v>22</v>
      </c>
      <c r="L6" s="18" t="s">
        <v>1376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1386</v>
      </c>
      <c r="D7" s="18" t="s">
        <v>1387</v>
      </c>
      <c r="E7" s="18" t="s">
        <v>1388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1378</v>
      </c>
      <c r="K7" s="18" t="s">
        <v>22</v>
      </c>
      <c r="L7" s="18" t="s">
        <v>1376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1394</v>
      </c>
      <c r="D8" s="18" t="s">
        <v>1395</v>
      </c>
      <c r="E8" s="18" t="s">
        <v>1396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1378</v>
      </c>
      <c r="K8" s="18" t="s">
        <v>22</v>
      </c>
      <c r="L8" s="18" t="s">
        <v>1376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1397</v>
      </c>
      <c r="D9" s="18" t="s">
        <v>1398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1378</v>
      </c>
      <c r="K9" s="18" t="s">
        <v>22</v>
      </c>
      <c r="L9" s="18" t="s">
        <v>1376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1409</v>
      </c>
      <c r="D10" s="18" t="s">
        <v>1410</v>
      </c>
      <c r="E10" s="18" t="s">
        <v>1411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1378</v>
      </c>
      <c r="K10" s="18" t="s">
        <v>22</v>
      </c>
      <c r="L10" s="18" t="s">
        <v>1376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1412</v>
      </c>
      <c r="D11" s="18" t="s">
        <v>1413</v>
      </c>
      <c r="E11" s="18" t="s">
        <v>1414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1378</v>
      </c>
      <c r="K11" s="18" t="s">
        <v>22</v>
      </c>
      <c r="L11" s="18" t="s">
        <v>1376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1415</v>
      </c>
      <c r="D12" s="18" t="s">
        <v>1416</v>
      </c>
      <c r="E12" s="18" t="s">
        <v>1417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1378</v>
      </c>
      <c r="K12" s="18" t="s">
        <v>22</v>
      </c>
      <c r="L12" s="18" t="s">
        <v>1376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1430</v>
      </c>
      <c r="D13" s="18" t="s">
        <v>1431</v>
      </c>
      <c r="E13" s="18" t="s">
        <v>1432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1378</v>
      </c>
      <c r="K13" s="18" t="s">
        <v>22</v>
      </c>
      <c r="L13" s="18" t="s">
        <v>1376</v>
      </c>
      <c r="M13" s="18"/>
      <c r="N13" s="18"/>
      <c r="O13" s="18"/>
      <c r="P13" s="18"/>
      <c r="Q13" s="18">
        <v>1</v>
      </c>
    </row>
    <row r="14" spans="1:17" x14ac:dyDescent="0.25">
      <c r="A14" s="18" t="s">
        <v>83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1378</v>
      </c>
      <c r="K14" s="18" t="s">
        <v>22</v>
      </c>
      <c r="L14" s="18" t="s">
        <v>1376</v>
      </c>
      <c r="M14" s="18"/>
      <c r="N14" s="18"/>
      <c r="O14" s="18"/>
      <c r="P14" s="18"/>
      <c r="Q14" s="18">
        <v>1</v>
      </c>
    </row>
    <row r="15" spans="1:17" x14ac:dyDescent="0.25">
      <c r="A15" s="18" t="s">
        <v>83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1378</v>
      </c>
      <c r="K15" s="18" t="s">
        <v>22</v>
      </c>
      <c r="L15" s="18" t="s">
        <v>1376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1391</v>
      </c>
      <c r="D16" s="18" t="s">
        <v>1392</v>
      </c>
      <c r="E16" s="18" t="s">
        <v>1393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22</v>
      </c>
      <c r="K16" s="18" t="s">
        <v>22</v>
      </c>
      <c r="L16" s="18" t="s">
        <v>1376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1399</v>
      </c>
      <c r="E17" s="18" t="s">
        <v>728</v>
      </c>
      <c r="F17" s="18" t="s">
        <v>36</v>
      </c>
      <c r="G17" s="19">
        <v>730</v>
      </c>
      <c r="H17" s="19">
        <v>20</v>
      </c>
      <c r="I17" s="19">
        <f t="shared" ref="I17:I24" si="1">G17-H17</f>
        <v>710</v>
      </c>
      <c r="J17" s="18" t="s">
        <v>22</v>
      </c>
      <c r="K17" s="18" t="s">
        <v>22</v>
      </c>
      <c r="L17" s="18" t="s">
        <v>1376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1400</v>
      </c>
      <c r="D18" s="18" t="s">
        <v>1401</v>
      </c>
      <c r="E18" s="18" t="s">
        <v>1402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22</v>
      </c>
      <c r="K18" s="18" t="s">
        <v>22</v>
      </c>
      <c r="L18" s="18" t="s">
        <v>1376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1403</v>
      </c>
      <c r="D19" s="18" t="s">
        <v>1404</v>
      </c>
      <c r="E19" s="18" t="s">
        <v>1405</v>
      </c>
      <c r="F19" s="18" t="s">
        <v>86</v>
      </c>
      <c r="G19" s="19">
        <v>1735</v>
      </c>
      <c r="H19" s="19">
        <v>25</v>
      </c>
      <c r="I19" s="19">
        <f t="shared" si="1"/>
        <v>1710</v>
      </c>
      <c r="J19" s="18" t="s">
        <v>22</v>
      </c>
      <c r="K19" s="18" t="s">
        <v>22</v>
      </c>
      <c r="L19" s="18" t="s">
        <v>1376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1433</v>
      </c>
      <c r="E20" s="18" t="s">
        <v>630</v>
      </c>
      <c r="F20" s="18" t="s">
        <v>44</v>
      </c>
      <c r="G20" s="19">
        <v>775</v>
      </c>
      <c r="H20" s="19">
        <v>25</v>
      </c>
      <c r="I20" s="19">
        <f t="shared" si="1"/>
        <v>750</v>
      </c>
      <c r="J20" s="18" t="s">
        <v>22</v>
      </c>
      <c r="K20" s="18" t="s">
        <v>22</v>
      </c>
      <c r="L20" s="18" t="s">
        <v>1376</v>
      </c>
      <c r="M20" s="18"/>
      <c r="N20" s="18"/>
      <c r="O20" s="18"/>
      <c r="P20" s="18"/>
      <c r="Q20" s="18">
        <v>1</v>
      </c>
    </row>
    <row r="21" spans="1:17" x14ac:dyDescent="0.25">
      <c r="A21" s="18" t="s">
        <v>83</v>
      </c>
      <c r="B21" s="18" t="s">
        <v>16</v>
      </c>
      <c r="C21" s="18" t="s">
        <v>143</v>
      </c>
      <c r="D21" s="18"/>
      <c r="E21" s="18" t="s">
        <v>1434</v>
      </c>
      <c r="F21" s="18" t="s">
        <v>44</v>
      </c>
      <c r="G21" s="19">
        <v>1510</v>
      </c>
      <c r="H21" s="19">
        <v>30</v>
      </c>
      <c r="I21" s="19">
        <f t="shared" si="1"/>
        <v>1480</v>
      </c>
      <c r="J21" s="18" t="s">
        <v>22</v>
      </c>
      <c r="K21" s="18" t="s">
        <v>22</v>
      </c>
      <c r="L21" s="18" t="s">
        <v>1376</v>
      </c>
      <c r="M21" s="18"/>
      <c r="N21" s="18"/>
      <c r="O21" s="18"/>
      <c r="P21" s="18"/>
      <c r="Q21" s="18">
        <v>1</v>
      </c>
    </row>
    <row r="22" spans="1:17" x14ac:dyDescent="0.25">
      <c r="A22" s="18" t="s">
        <v>83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22</v>
      </c>
      <c r="K22" s="18" t="s">
        <v>22</v>
      </c>
      <c r="L22" s="18" t="s">
        <v>1376</v>
      </c>
      <c r="M22" s="18"/>
      <c r="N22" s="18"/>
      <c r="O22" s="18"/>
      <c r="P22" s="18"/>
      <c r="Q22" s="18">
        <v>1</v>
      </c>
    </row>
    <row r="23" spans="1:17" x14ac:dyDescent="0.25">
      <c r="A23" s="18" t="s">
        <v>83</v>
      </c>
      <c r="B23" s="18" t="s">
        <v>16</v>
      </c>
      <c r="C23" s="18" t="s">
        <v>640</v>
      </c>
      <c r="D23" s="18"/>
      <c r="E23" s="18" t="s">
        <v>641</v>
      </c>
      <c r="F23" s="18" t="s">
        <v>44</v>
      </c>
      <c r="G23" s="19">
        <v>1690</v>
      </c>
      <c r="H23" s="19">
        <v>30</v>
      </c>
      <c r="I23" s="19">
        <f t="shared" si="1"/>
        <v>1660</v>
      </c>
      <c r="J23" s="18" t="s">
        <v>22</v>
      </c>
      <c r="K23" s="18" t="s">
        <v>22</v>
      </c>
      <c r="L23" s="18" t="s">
        <v>1376</v>
      </c>
      <c r="M23" s="18"/>
      <c r="N23" s="18"/>
      <c r="O23" s="18"/>
      <c r="P23" s="18"/>
      <c r="Q23" s="18">
        <v>1</v>
      </c>
    </row>
    <row r="24" spans="1:17" x14ac:dyDescent="0.25">
      <c r="A24" s="18" t="s">
        <v>83</v>
      </c>
      <c r="B24" s="18" t="s">
        <v>16</v>
      </c>
      <c r="C24" s="18" t="s">
        <v>1439</v>
      </c>
      <c r="D24" s="18"/>
      <c r="E24" s="18" t="s">
        <v>1440</v>
      </c>
      <c r="F24" s="18" t="s">
        <v>36</v>
      </c>
      <c r="G24" s="19">
        <v>30</v>
      </c>
      <c r="H24" s="19">
        <v>30</v>
      </c>
      <c r="I24" s="19">
        <f t="shared" si="1"/>
        <v>0</v>
      </c>
      <c r="J24" s="18" t="s">
        <v>22</v>
      </c>
      <c r="K24" s="18" t="s">
        <v>22</v>
      </c>
      <c r="L24" s="18" t="s">
        <v>1376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1373</v>
      </c>
      <c r="D25" s="18" t="s">
        <v>1374</v>
      </c>
      <c r="E25" s="18" t="s">
        <v>1375</v>
      </c>
      <c r="F25" s="18" t="s">
        <v>86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22</v>
      </c>
      <c r="L25" s="18" t="s">
        <v>1376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1379</v>
      </c>
      <c r="E26" s="18" t="s">
        <v>1380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22</v>
      </c>
      <c r="L26" s="18" t="s">
        <v>1376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1389</v>
      </c>
      <c r="D27" s="18" t="s">
        <v>1390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22</v>
      </c>
      <c r="L27" s="18" t="s">
        <v>1376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1406</v>
      </c>
      <c r="D28" s="18" t="s">
        <v>1407</v>
      </c>
      <c r="E28" s="18" t="s">
        <v>1408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22</v>
      </c>
      <c r="L28" s="18" t="s">
        <v>1376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1418</v>
      </c>
      <c r="D29" s="18" t="s">
        <v>1419</v>
      </c>
      <c r="E29" s="18" t="s">
        <v>1420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22</v>
      </c>
      <c r="L29" s="18" t="s">
        <v>1376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1421</v>
      </c>
      <c r="D30" s="18" t="s">
        <v>1422</v>
      </c>
      <c r="E30" s="18" t="s">
        <v>1423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22</v>
      </c>
      <c r="L30" s="18" t="s">
        <v>1376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86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22</v>
      </c>
      <c r="L31" s="18" t="s">
        <v>1376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1424</v>
      </c>
      <c r="D32" s="18" t="s">
        <v>1425</v>
      </c>
      <c r="E32" s="18" t="s">
        <v>1426</v>
      </c>
      <c r="F32" s="18" t="s">
        <v>79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22</v>
      </c>
      <c r="L32" s="18" t="s">
        <v>1376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1427</v>
      </c>
      <c r="D33" s="18" t="s">
        <v>1428</v>
      </c>
      <c r="E33" s="18" t="s">
        <v>1429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22</v>
      </c>
      <c r="L33" s="18" t="s">
        <v>1376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83</v>
      </c>
      <c r="B34" s="18" t="s">
        <v>16</v>
      </c>
      <c r="C34" s="18" t="s">
        <v>1437</v>
      </c>
      <c r="D34" s="18"/>
      <c r="E34" s="18" t="s">
        <v>1438</v>
      </c>
      <c r="F34" s="18" t="s">
        <v>86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22</v>
      </c>
      <c r="L34" s="18" t="s">
        <v>1376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22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37" t="s">
        <v>89</v>
      </c>
      <c r="D39" s="37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1376</v>
      </c>
      <c r="B40" s="3" t="s">
        <v>93</v>
      </c>
      <c r="C40" s="38">
        <f>SUMIFS(I$3:I$35,B$3:B$35,A$39,L$3:L$35,A$40)</f>
        <v>22860</v>
      </c>
      <c r="D40" s="38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39">
        <v>0</v>
      </c>
      <c r="D41" s="39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1441</v>
      </c>
      <c r="P41">
        <f>L53</f>
        <v>6805</v>
      </c>
    </row>
    <row r="42" spans="1:17" x14ac:dyDescent="0.25">
      <c r="B42" s="2" t="s">
        <v>99</v>
      </c>
      <c r="C42" s="39">
        <f>-SUMIFS(I$3:I$35,B$3:B$35,A$39,P$3:P$35,"xx",N$3:N$35,"x")</f>
        <v>-870</v>
      </c>
      <c r="D42" s="39"/>
      <c r="E42" s="2">
        <f>SUMIFS(Q$3:Q$35,B$3:B$35,A$39,P$3:P$35,"xx",N$3:N$35,"x")</f>
        <v>1</v>
      </c>
      <c r="K42" t="s">
        <v>100</v>
      </c>
      <c r="O42" t="s">
        <v>40</v>
      </c>
      <c r="P42">
        <f>L61</f>
        <v>800</v>
      </c>
    </row>
    <row r="43" spans="1:17" x14ac:dyDescent="0.25">
      <c r="B43" s="4" t="s">
        <v>101</v>
      </c>
      <c r="C43" s="37">
        <f>SUBTOTAL(9,C40:C42)</f>
        <v>21990</v>
      </c>
      <c r="D43" s="37"/>
      <c r="E43">
        <f>E40</f>
        <v>32</v>
      </c>
      <c r="K43" s="2" t="s">
        <v>102</v>
      </c>
      <c r="O43" t="s">
        <v>22</v>
      </c>
      <c r="P43">
        <f>L69</f>
        <v>9471</v>
      </c>
    </row>
    <row r="44" spans="1:17" x14ac:dyDescent="0.25">
      <c r="B44" s="2" t="s">
        <v>104</v>
      </c>
      <c r="C44" s="35"/>
      <c r="D44" s="35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35"/>
      <c r="D45" s="35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36">
        <f>C43+C44+C45</f>
        <v>21990</v>
      </c>
      <c r="D47" s="36"/>
      <c r="E47" s="1" t="s">
        <v>109</v>
      </c>
      <c r="K47" s="7" t="s">
        <v>1378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40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22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F16" sqref="F16"/>
    </sheetView>
  </sheetViews>
  <sheetFormatPr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16384" width="9.140625" style="30"/>
  </cols>
  <sheetData>
    <row r="1" spans="1:5" x14ac:dyDescent="0.25">
      <c r="A1" s="41" t="s">
        <v>1451</v>
      </c>
      <c r="B1" s="30">
        <v>2026</v>
      </c>
    </row>
    <row r="2" spans="1:5" x14ac:dyDescent="0.25">
      <c r="A2" s="31" t="s">
        <v>1442</v>
      </c>
      <c r="B2" s="31" t="s">
        <v>1443</v>
      </c>
      <c r="C2" s="31" t="s">
        <v>1444</v>
      </c>
      <c r="D2" s="31" t="s">
        <v>1445</v>
      </c>
      <c r="E2" s="31" t="s">
        <v>1446</v>
      </c>
    </row>
    <row r="3" spans="1:5" x14ac:dyDescent="0.25">
      <c r="A3" s="34">
        <v>46113</v>
      </c>
      <c r="B3" s="32">
        <f ca="1">IFERROR(COUNTIF(INDIRECT("'"&amp;TEXT(A3,"dd-mm")&amp;"'!L3:L100"),TEXT(A3,"dd-mm")&amp;"-"&amp;B$1),0)</f>
        <v>21</v>
      </c>
      <c r="C3" s="32">
        <f ca="1">IFERROR(COUNTIF(INDIRECT("'"&amp;TEXT(A3,"DD-MM")&amp;"'!M3:M100"),"*gộp*")/2,0)</f>
        <v>0</v>
      </c>
      <c r="D3" s="32">
        <f t="shared" ref="D3:D14" ca="1" si="0">IFERROR(COUNTIFS(INDIRECT("'"&amp;TEXT(A3,"DD-MM")&amp;"'!M3:M100"),"*đơn trả*"),0)</f>
        <v>0</v>
      </c>
      <c r="E3" s="32">
        <f ca="1">B3-C3-D3</f>
        <v>21</v>
      </c>
    </row>
    <row r="4" spans="1:5" x14ac:dyDescent="0.25">
      <c r="A4" s="34">
        <v>46114</v>
      </c>
      <c r="B4" s="32">
        <f t="shared" ref="B4:B28" ca="1" si="1">IFERROR(COUNTIF(INDIRECT("'"&amp;TEXT(A4,"dd-mm")&amp;"'!L3:L100"),TEXT(A4,"dd-mm")&amp;"-"&amp;B$1),0)</f>
        <v>22</v>
      </c>
      <c r="C4" s="32">
        <f t="shared" ref="C4:C14" ca="1" si="2">IFERROR(COUNTIF(INDIRECT("'"&amp;TEXT(A4,"DD-MM")&amp;"'!M3:M100"),"*gộp*")/2,0)</f>
        <v>0</v>
      </c>
      <c r="D4" s="32">
        <f t="shared" ca="1" si="0"/>
        <v>0</v>
      </c>
      <c r="E4" s="32">
        <f t="shared" ref="E4:E15" ca="1" si="3">B4-C4-D4</f>
        <v>22</v>
      </c>
    </row>
    <row r="5" spans="1:5" x14ac:dyDescent="0.25">
      <c r="A5" s="34">
        <v>46115</v>
      </c>
      <c r="B5" s="32">
        <f t="shared" ca="1" si="1"/>
        <v>51</v>
      </c>
      <c r="C5" s="32">
        <f t="shared" ca="1" si="2"/>
        <v>2</v>
      </c>
      <c r="D5" s="32">
        <f t="shared" ca="1" si="0"/>
        <v>0</v>
      </c>
      <c r="E5" s="32">
        <f t="shared" ca="1" si="3"/>
        <v>49</v>
      </c>
    </row>
    <row r="6" spans="1:5" x14ac:dyDescent="0.25">
      <c r="A6" s="34">
        <v>46116</v>
      </c>
      <c r="B6" s="32">
        <f t="shared" ca="1" si="1"/>
        <v>40</v>
      </c>
      <c r="C6" s="32">
        <f t="shared" ca="1" si="2"/>
        <v>0</v>
      </c>
      <c r="D6" s="32">
        <f t="shared" ca="1" si="0"/>
        <v>2</v>
      </c>
      <c r="E6" s="32">
        <f t="shared" ca="1" si="3"/>
        <v>38</v>
      </c>
    </row>
    <row r="7" spans="1:5" x14ac:dyDescent="0.25">
      <c r="A7" s="34">
        <v>46118</v>
      </c>
      <c r="B7" s="32">
        <f t="shared" ca="1" si="1"/>
        <v>52</v>
      </c>
      <c r="C7" s="32">
        <f t="shared" ca="1" si="2"/>
        <v>0</v>
      </c>
      <c r="D7" s="32">
        <f t="shared" ca="1" si="0"/>
        <v>1</v>
      </c>
      <c r="E7" s="32">
        <f t="shared" ca="1" si="3"/>
        <v>51</v>
      </c>
    </row>
    <row r="8" spans="1:5" x14ac:dyDescent="0.25">
      <c r="A8" s="34">
        <v>46119</v>
      </c>
      <c r="B8" s="32">
        <f t="shared" ca="1" si="1"/>
        <v>25</v>
      </c>
      <c r="C8" s="32">
        <f t="shared" ca="1" si="2"/>
        <v>0</v>
      </c>
      <c r="D8" s="32">
        <f t="shared" ca="1" si="0"/>
        <v>0</v>
      </c>
      <c r="E8" s="32">
        <f t="shared" ca="1" si="3"/>
        <v>25</v>
      </c>
    </row>
    <row r="9" spans="1:5" x14ac:dyDescent="0.25">
      <c r="A9" s="34">
        <v>46120</v>
      </c>
      <c r="B9" s="32">
        <f t="shared" ca="1" si="1"/>
        <v>43</v>
      </c>
      <c r="C9" s="32">
        <f t="shared" ca="1" si="2"/>
        <v>0</v>
      </c>
      <c r="D9" s="32">
        <f t="shared" ca="1" si="0"/>
        <v>2</v>
      </c>
      <c r="E9" s="32">
        <f t="shared" ca="1" si="3"/>
        <v>41</v>
      </c>
    </row>
    <row r="10" spans="1:5" x14ac:dyDescent="0.25">
      <c r="A10" s="34">
        <v>46121</v>
      </c>
      <c r="B10" s="32">
        <f t="shared" ca="1" si="1"/>
        <v>37</v>
      </c>
      <c r="C10" s="32">
        <f t="shared" ca="1" si="2"/>
        <v>0</v>
      </c>
      <c r="D10" s="32">
        <f t="shared" ca="1" si="0"/>
        <v>0</v>
      </c>
      <c r="E10" s="32">
        <f t="shared" ca="1" si="3"/>
        <v>37</v>
      </c>
    </row>
    <row r="11" spans="1:5" x14ac:dyDescent="0.25">
      <c r="A11" s="34">
        <v>46122</v>
      </c>
      <c r="B11" s="32">
        <f t="shared" ca="1" si="1"/>
        <v>51</v>
      </c>
      <c r="C11" s="32">
        <f t="shared" ca="1" si="2"/>
        <v>2</v>
      </c>
      <c r="D11" s="32">
        <f t="shared" ca="1" si="0"/>
        <v>1</v>
      </c>
      <c r="E11" s="32">
        <f t="shared" ca="1" si="3"/>
        <v>48</v>
      </c>
    </row>
    <row r="12" spans="1:5" x14ac:dyDescent="0.25">
      <c r="A12" s="34">
        <v>46123</v>
      </c>
      <c r="B12" s="32">
        <f t="shared" ca="1" si="1"/>
        <v>41</v>
      </c>
      <c r="C12" s="32">
        <f t="shared" ca="1" si="2"/>
        <v>0</v>
      </c>
      <c r="D12" s="32">
        <f t="shared" ca="1" si="0"/>
        <v>0</v>
      </c>
      <c r="E12" s="32">
        <f t="shared" ca="1" si="3"/>
        <v>41</v>
      </c>
    </row>
    <row r="13" spans="1:5" x14ac:dyDescent="0.25">
      <c r="A13" s="34">
        <v>46125</v>
      </c>
      <c r="B13" s="32">
        <f t="shared" ca="1" si="1"/>
        <v>63</v>
      </c>
      <c r="C13" s="32">
        <f t="shared" ca="1" si="2"/>
        <v>3</v>
      </c>
      <c r="D13" s="32">
        <f t="shared" ca="1" si="0"/>
        <v>0</v>
      </c>
      <c r="E13" s="32">
        <f t="shared" ca="1" si="3"/>
        <v>60</v>
      </c>
    </row>
    <row r="14" spans="1:5" x14ac:dyDescent="0.25">
      <c r="A14" s="34">
        <v>46126</v>
      </c>
      <c r="B14" s="32">
        <f t="shared" ca="1" si="1"/>
        <v>20</v>
      </c>
      <c r="C14" s="32">
        <f t="shared" ca="1" si="2"/>
        <v>0</v>
      </c>
      <c r="D14" s="32">
        <f t="shared" ca="1" si="0"/>
        <v>4</v>
      </c>
      <c r="E14" s="32">
        <f t="shared" ca="1" si="3"/>
        <v>16</v>
      </c>
    </row>
    <row r="15" spans="1:5" x14ac:dyDescent="0.25">
      <c r="A15" s="34">
        <v>46127</v>
      </c>
      <c r="B15" s="32">
        <f t="shared" ca="1" si="1"/>
        <v>32</v>
      </c>
      <c r="C15" s="32">
        <f t="shared" ref="C15:C20" ca="1" si="4">IFERROR(COUNTIF(INDIRECT("'"&amp;TEXT(A15,"DD-MM")&amp;"'!M3:M100"),"*gộp*")/2,0)</f>
        <v>0</v>
      </c>
      <c r="D15" s="32">
        <f t="shared" ref="D15:D20" ca="1" si="5">IFERROR(COUNTIFS(INDIRECT("'"&amp;TEXT(A15,"DD-MM")&amp;"'!M3:M100"),"*đơn trả*"),0)</f>
        <v>0</v>
      </c>
      <c r="E15" s="32">
        <f t="shared" ca="1" si="3"/>
        <v>32</v>
      </c>
    </row>
    <row r="16" spans="1:5" x14ac:dyDescent="0.25">
      <c r="A16" s="34">
        <v>46128</v>
      </c>
      <c r="B16" s="32">
        <f ca="1">IFERROR(COUNTIF(INDIRECT("'"&amp;TEXT(A16,"dd-mm")&amp;"'!L3:L100"),TEXT(A16,"dd-mm")&amp;"-"&amp;B$1),0)</f>
        <v>0</v>
      </c>
      <c r="C16" s="32">
        <f t="shared" ca="1" si="4"/>
        <v>0</v>
      </c>
      <c r="D16" s="32">
        <f t="shared" ca="1" si="5"/>
        <v>0</v>
      </c>
      <c r="E16" s="32">
        <f t="shared" ref="E16:E28" ca="1" si="6">B16-C16-D16</f>
        <v>0</v>
      </c>
    </row>
    <row r="17" spans="1:5" x14ac:dyDescent="0.25">
      <c r="A17" s="34">
        <v>46129</v>
      </c>
      <c r="B17" s="32">
        <f t="shared" ca="1" si="1"/>
        <v>0</v>
      </c>
      <c r="C17" s="32">
        <f t="shared" ca="1" si="4"/>
        <v>0</v>
      </c>
      <c r="D17" s="32">
        <f t="shared" ca="1" si="5"/>
        <v>0</v>
      </c>
      <c r="E17" s="32">
        <f t="shared" ca="1" si="6"/>
        <v>0</v>
      </c>
    </row>
    <row r="18" spans="1:5" x14ac:dyDescent="0.25">
      <c r="A18" s="34">
        <v>46130</v>
      </c>
      <c r="B18" s="32">
        <f ca="1">IFERROR(COUNTIF(INDIRECT("'"&amp;TEXT(A18,"dd-mm")&amp;"'!L3:L100"),TEXT(A18,"dd-mm")&amp;"-"&amp;B$1),0)</f>
        <v>0</v>
      </c>
      <c r="C18" s="32">
        <f ca="1">IFERROR(COUNTIF(INDIRECT("'"&amp;TEXT(A18,"DD-MM")&amp;"'!M3:M100"),"*gộp*")/2,0)</f>
        <v>0</v>
      </c>
      <c r="D18" s="32">
        <f ca="1">IFERROR(COUNTIFS(INDIRECT("'"&amp;TEXT(A18,"DD-MM")&amp;"'!M3:M100"),"*đơn trả*"),0)</f>
        <v>0</v>
      </c>
      <c r="E18" s="32">
        <f t="shared" ca="1" si="6"/>
        <v>0</v>
      </c>
    </row>
    <row r="19" spans="1:5" x14ac:dyDescent="0.25">
      <c r="A19" s="34">
        <v>46132</v>
      </c>
      <c r="B19" s="32">
        <f t="shared" ca="1" si="1"/>
        <v>0</v>
      </c>
      <c r="C19" s="32">
        <f t="shared" ca="1" si="4"/>
        <v>0</v>
      </c>
      <c r="D19" s="32">
        <f t="shared" ca="1" si="5"/>
        <v>0</v>
      </c>
      <c r="E19" s="32">
        <f t="shared" ca="1" si="6"/>
        <v>0</v>
      </c>
    </row>
    <row r="20" spans="1:5" x14ac:dyDescent="0.25">
      <c r="A20" s="34">
        <v>46133</v>
      </c>
      <c r="B20" s="32">
        <f t="shared" ca="1" si="1"/>
        <v>0</v>
      </c>
      <c r="C20" s="32">
        <f t="shared" ca="1" si="4"/>
        <v>0</v>
      </c>
      <c r="D20" s="32">
        <f t="shared" ca="1" si="5"/>
        <v>0</v>
      </c>
      <c r="E20" s="32">
        <f t="shared" ca="1" si="6"/>
        <v>0</v>
      </c>
    </row>
    <row r="21" spans="1:5" x14ac:dyDescent="0.25">
      <c r="A21" s="34">
        <v>46134</v>
      </c>
      <c r="B21" s="32">
        <f t="shared" ca="1" si="1"/>
        <v>0</v>
      </c>
      <c r="C21" s="32">
        <f t="shared" ref="C21:C28" ca="1" si="7">IFERROR(COUNTIF(INDIRECT("'"&amp;TEXT(A21,"DD-MM")&amp;"'!M3:M100"),"*gộp*")/2,0)</f>
        <v>0</v>
      </c>
      <c r="D21" s="32">
        <f t="shared" ref="D21:D28" ca="1" si="8">IFERROR(COUNTIFS(INDIRECT("'"&amp;TEXT(A21,"DD-MM")&amp;"'!M3:M100"),"*đơn trả*"),0)</f>
        <v>0</v>
      </c>
      <c r="E21" s="32">
        <f t="shared" ca="1" si="6"/>
        <v>0</v>
      </c>
    </row>
    <row r="22" spans="1:5" x14ac:dyDescent="0.25">
      <c r="A22" s="34">
        <v>46135</v>
      </c>
      <c r="B22" s="32">
        <f t="shared" ca="1" si="1"/>
        <v>0</v>
      </c>
      <c r="C22" s="32">
        <f t="shared" ca="1" si="7"/>
        <v>0</v>
      </c>
      <c r="D22" s="32">
        <f t="shared" ca="1" si="8"/>
        <v>0</v>
      </c>
      <c r="E22" s="32">
        <f t="shared" ca="1" si="6"/>
        <v>0</v>
      </c>
    </row>
    <row r="23" spans="1:5" x14ac:dyDescent="0.25">
      <c r="A23" s="34">
        <v>46136</v>
      </c>
      <c r="B23" s="32">
        <f t="shared" ca="1" si="1"/>
        <v>0</v>
      </c>
      <c r="C23" s="32">
        <f t="shared" ca="1" si="7"/>
        <v>0</v>
      </c>
      <c r="D23" s="32">
        <f t="shared" ca="1" si="8"/>
        <v>0</v>
      </c>
      <c r="E23" s="32">
        <f t="shared" ca="1" si="6"/>
        <v>0</v>
      </c>
    </row>
    <row r="24" spans="1:5" x14ac:dyDescent="0.25">
      <c r="A24" s="34">
        <v>46137</v>
      </c>
      <c r="B24" s="32">
        <f t="shared" ca="1" si="1"/>
        <v>0</v>
      </c>
      <c r="C24" s="32">
        <f t="shared" ca="1" si="7"/>
        <v>0</v>
      </c>
      <c r="D24" s="32">
        <f t="shared" ca="1" si="8"/>
        <v>0</v>
      </c>
      <c r="E24" s="32">
        <f t="shared" ca="1" si="6"/>
        <v>0</v>
      </c>
    </row>
    <row r="25" spans="1:5" x14ac:dyDescent="0.25">
      <c r="A25" s="34">
        <v>46139</v>
      </c>
      <c r="B25" s="32">
        <f t="shared" ca="1" si="1"/>
        <v>0</v>
      </c>
      <c r="C25" s="32">
        <f t="shared" ca="1" si="7"/>
        <v>0</v>
      </c>
      <c r="D25" s="32">
        <f t="shared" ca="1" si="8"/>
        <v>0</v>
      </c>
      <c r="E25" s="32">
        <f t="shared" ca="1" si="6"/>
        <v>0</v>
      </c>
    </row>
    <row r="26" spans="1:5" x14ac:dyDescent="0.25">
      <c r="A26" s="34">
        <v>46140</v>
      </c>
      <c r="B26" s="32">
        <f t="shared" ca="1" si="1"/>
        <v>0</v>
      </c>
      <c r="C26" s="32">
        <f t="shared" ca="1" si="7"/>
        <v>0</v>
      </c>
      <c r="D26" s="32">
        <f t="shared" ca="1" si="8"/>
        <v>0</v>
      </c>
      <c r="E26" s="32">
        <f t="shared" ca="1" si="6"/>
        <v>0</v>
      </c>
    </row>
    <row r="27" spans="1:5" x14ac:dyDescent="0.25">
      <c r="A27" s="34">
        <v>46141</v>
      </c>
      <c r="B27" s="32">
        <f t="shared" ca="1" si="1"/>
        <v>0</v>
      </c>
      <c r="C27" s="32">
        <f t="shared" ca="1" si="7"/>
        <v>0</v>
      </c>
      <c r="D27" s="32">
        <f t="shared" ca="1" si="8"/>
        <v>0</v>
      </c>
      <c r="E27" s="32">
        <f t="shared" ca="1" si="6"/>
        <v>0</v>
      </c>
    </row>
    <row r="28" spans="1:5" x14ac:dyDescent="0.25">
      <c r="A28" s="34">
        <v>46142</v>
      </c>
      <c r="B28" s="32">
        <f t="shared" ca="1" si="1"/>
        <v>0</v>
      </c>
      <c r="C28" s="32">
        <f t="shared" ca="1" si="7"/>
        <v>0</v>
      </c>
      <c r="D28" s="32">
        <f t="shared" ca="1" si="8"/>
        <v>0</v>
      </c>
      <c r="E28" s="32">
        <f t="shared" ca="1" si="6"/>
        <v>0</v>
      </c>
    </row>
    <row r="29" spans="1:5" x14ac:dyDescent="0.25">
      <c r="D29" s="33" t="s">
        <v>1447</v>
      </c>
      <c r="E29" s="33">
        <f ca="1">SUBTOTAL(9,E3:E28)</f>
        <v>481</v>
      </c>
    </row>
    <row r="30" spans="1:5" x14ac:dyDescent="0.25">
      <c r="D30" s="33" t="s">
        <v>1448</v>
      </c>
      <c r="E30" s="33">
        <f>SUM('[1]17-03'!P35,'[1]18-03'!P32,'[1]19-03'!P47,'[1]20-03'!P37,'[1]21-03'!P44,'[1]23-03'!P87,'[1]24-03'!P27,'[1]25-03'!P28,'[1]26-03'!P43,'[1]27-03'!P47,'[1]28-03'!P38,'[1]30-03'!P78,'[1]31-03'!P44)</f>
        <v>1872</v>
      </c>
    </row>
    <row r="31" spans="1:5" x14ac:dyDescent="0.25">
      <c r="D31" s="33" t="s">
        <v>1449</v>
      </c>
      <c r="E31" s="33">
        <f ca="1">-E29*2</f>
        <v>-962</v>
      </c>
    </row>
    <row r="32" spans="1:5" x14ac:dyDescent="0.25">
      <c r="D32" s="33" t="s">
        <v>1450</v>
      </c>
      <c r="E32" s="33">
        <f ca="1">SUBTOTAL(9,E30:E31)</f>
        <v>910</v>
      </c>
    </row>
  </sheetData>
  <autoFilter ref="A2:E28" xr:uid="{00000000-0009-0000-0000-00000C000000}"/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2026-04-15T17:31:01Z</dcterms:modified>
</cp:coreProperties>
</file>