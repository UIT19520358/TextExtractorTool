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FDBB8521-5C68-49F5-AE04-FF4A3DB8877F}" xr6:coauthVersionLast="47" xr6:coauthVersionMax="47" xr10:uidLastSave="{00000000-0000-0000-0000-000000000000}"/>
  <bookViews>
    <workbookView xWindow="-120" yWindow="-120" windowWidth="29040" windowHeight="15720" firstSheet="1" activeTab="14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Sheet1" sheetId="19" r:id="rId16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9" l="1" a="1"/>
  <c r="D6" i="19" s="1"/>
  <c r="C6" i="19"/>
  <c r="B6" i="19"/>
  <c r="D5" i="19" a="1"/>
  <c r="D5" i="19" s="1"/>
  <c r="C5" i="19"/>
  <c r="B5" i="19"/>
  <c r="D4" i="19" a="1"/>
  <c r="D4" i="19" s="1"/>
  <c r="C4" i="19"/>
  <c r="B4" i="19"/>
  <c r="D3" i="19" a="1"/>
  <c r="D3" i="19" s="1"/>
  <c r="C3" i="19"/>
  <c r="B3" i="19"/>
  <c r="B7" i="19"/>
  <c r="C7" i="19"/>
  <c r="D7" i="19" a="1"/>
  <c r="D7" i="19" s="1"/>
  <c r="B8" i="19"/>
  <c r="C8" i="19"/>
  <c r="D8" i="19" a="1"/>
  <c r="D8" i="19" s="1"/>
  <c r="B9" i="19"/>
  <c r="C9" i="19"/>
  <c r="D9" i="19" a="1"/>
  <c r="D9" i="19" s="1"/>
  <c r="B10" i="19"/>
  <c r="C10" i="19"/>
  <c r="D10" i="19" a="1"/>
  <c r="D10" i="19" s="1"/>
  <c r="B11" i="19"/>
  <c r="C11" i="19"/>
  <c r="D11" i="19" a="1"/>
  <c r="D11" i="19" s="1"/>
  <c r="B12" i="19"/>
  <c r="C12" i="19"/>
  <c r="D12" i="19" a="1"/>
  <c r="D12" i="19" s="1"/>
  <c r="B13" i="19"/>
  <c r="C13" i="19"/>
  <c r="D13" i="19" a="1"/>
  <c r="D13" i="19" s="1"/>
  <c r="B14" i="19"/>
  <c r="C14" i="19"/>
  <c r="D14" i="19" a="1"/>
  <c r="D14" i="19" s="1"/>
  <c r="B15" i="19"/>
  <c r="C15" i="19"/>
  <c r="D15" i="19" a="1"/>
  <c r="D15" i="19" s="1"/>
  <c r="B16" i="19"/>
  <c r="C16" i="19"/>
  <c r="D16" i="19" a="1"/>
  <c r="D16" i="19" s="1"/>
  <c r="B18" i="19"/>
  <c r="C18" i="19"/>
  <c r="D18" i="19" a="1"/>
  <c r="D18" i="19" s="1"/>
  <c r="B19" i="19"/>
  <c r="C19" i="19"/>
  <c r="D19" i="19" a="1"/>
  <c r="D19" i="19" s="1"/>
  <c r="B20" i="19"/>
  <c r="C20" i="19"/>
  <c r="D20" i="19" a="1"/>
  <c r="D20" i="19" s="1"/>
  <c r="B21" i="19"/>
  <c r="C21" i="19"/>
  <c r="D21" i="19" a="1"/>
  <c r="D21" i="19" s="1"/>
  <c r="B22" i="19"/>
  <c r="C22" i="19"/>
  <c r="D22" i="19" a="1"/>
  <c r="D22" i="19" s="1"/>
  <c r="B23" i="19"/>
  <c r="C23" i="19"/>
  <c r="D23" i="19" a="1"/>
  <c r="D23" i="19" s="1"/>
  <c r="B24" i="19"/>
  <c r="C24" i="19"/>
  <c r="D24" i="19" a="1"/>
  <c r="D24" i="19" s="1"/>
  <c r="B25" i="19"/>
  <c r="C25" i="19"/>
  <c r="D25" i="19" a="1"/>
  <c r="D25" i="19" s="1"/>
  <c r="B26" i="19"/>
  <c r="C26" i="19"/>
  <c r="D26" i="19" a="1"/>
  <c r="D26" i="19" s="1"/>
  <c r="B27" i="19"/>
  <c r="C27" i="19"/>
  <c r="D27" i="19" a="1"/>
  <c r="D27" i="19" s="1"/>
  <c r="B28" i="19"/>
  <c r="C28" i="19"/>
  <c r="D28" i="19" a="1"/>
  <c r="D28" i="1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E28" i="2"/>
  <c r="L28" i="2"/>
  <c r="M28" i="2"/>
  <c r="L29" i="2"/>
  <c r="L33" i="2" s="1"/>
  <c r="M29" i="2"/>
  <c r="C30" i="2"/>
  <c r="E30" i="2"/>
  <c r="C31" i="2"/>
  <c r="E31" i="2"/>
  <c r="M33" i="2"/>
  <c r="C35" i="2"/>
  <c r="P31" i="2" s="1"/>
  <c r="L36" i="2"/>
  <c r="M36" i="2"/>
  <c r="M37" i="2"/>
  <c r="L37" i="2" s="1"/>
  <c r="M38" i="2"/>
  <c r="L38" i="2" s="1"/>
  <c r="M41" i="2"/>
  <c r="L44" i="2"/>
  <c r="M44" i="2"/>
  <c r="M45" i="2"/>
  <c r="L45" i="2" s="1"/>
  <c r="L49" i="2" s="1"/>
  <c r="P30" i="2" s="1"/>
  <c r="M49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H28" i="6"/>
  <c r="C29" i="6"/>
  <c r="E29" i="6"/>
  <c r="H29" i="6"/>
  <c r="L29" i="6"/>
  <c r="M29" i="6"/>
  <c r="M30" i="6"/>
  <c r="L30" i="6" s="1"/>
  <c r="C31" i="6"/>
  <c r="E31" i="6"/>
  <c r="M31" i="6"/>
  <c r="L31" i="6" s="1"/>
  <c r="C32" i="6"/>
  <c r="E32" i="6"/>
  <c r="M34" i="6"/>
  <c r="C36" i="6"/>
  <c r="P32" i="6" s="1"/>
  <c r="L37" i="6"/>
  <c r="L42" i="6" s="1"/>
  <c r="P30" i="6" s="1"/>
  <c r="M37" i="6"/>
  <c r="M38" i="6"/>
  <c r="L38" i="6" s="1"/>
  <c r="M42" i="6"/>
  <c r="L45" i="6"/>
  <c r="M45" i="6"/>
  <c r="L46" i="6"/>
  <c r="L50" i="6" s="1"/>
  <c r="P31" i="6" s="1"/>
  <c r="M46" i="6"/>
  <c r="M50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H56" i="7"/>
  <c r="H57" i="7"/>
  <c r="C58" i="7"/>
  <c r="E58" i="7"/>
  <c r="E61" i="7" s="1"/>
  <c r="H58" i="7"/>
  <c r="L58" i="7"/>
  <c r="M58" i="7"/>
  <c r="M59" i="7"/>
  <c r="L59" i="7" s="1"/>
  <c r="C60" i="7"/>
  <c r="E60" i="7"/>
  <c r="M60" i="7"/>
  <c r="L60" i="7" s="1"/>
  <c r="C61" i="7"/>
  <c r="M64" i="7"/>
  <c r="C65" i="7"/>
  <c r="P61" i="7" s="1"/>
  <c r="L67" i="7"/>
  <c r="M67" i="7"/>
  <c r="L68" i="7"/>
  <c r="M68" i="7"/>
  <c r="L72" i="7"/>
  <c r="P59" i="7" s="1"/>
  <c r="M72" i="7"/>
  <c r="L75" i="7"/>
  <c r="M75" i="7"/>
  <c r="M76" i="7"/>
  <c r="L76" i="7" s="1"/>
  <c r="L80" i="7" s="1"/>
  <c r="P60" i="7" s="1"/>
  <c r="M8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M49" i="8"/>
  <c r="L50" i="8"/>
  <c r="M50" i="8"/>
  <c r="C51" i="8"/>
  <c r="E51" i="8"/>
  <c r="E52" i="8"/>
  <c r="L54" i="8"/>
  <c r="P49" i="8" s="1"/>
  <c r="M54" i="8"/>
  <c r="L57" i="8"/>
  <c r="M57" i="8"/>
  <c r="M58" i="8"/>
  <c r="L58" i="8" s="1"/>
  <c r="M59" i="8"/>
  <c r="L59" i="8" s="1"/>
  <c r="M62" i="8"/>
  <c r="L65" i="8"/>
  <c r="M65" i="8"/>
  <c r="M66" i="8"/>
  <c r="L66" i="8" s="1"/>
  <c r="L70" i="8" s="1"/>
  <c r="P51" i="8" s="1"/>
  <c r="M70" i="8"/>
  <c r="L73" i="8"/>
  <c r="M73" i="8"/>
  <c r="M74" i="8"/>
  <c r="L74" i="8" s="1"/>
  <c r="L78" i="8" s="1"/>
  <c r="P52" i="8" s="1"/>
  <c r="M78" i="8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H59" i="10"/>
  <c r="E60" i="10"/>
  <c r="H60" i="10"/>
  <c r="L60" i="10"/>
  <c r="M60" i="10"/>
  <c r="M61" i="10"/>
  <c r="L61" i="10" s="1"/>
  <c r="C62" i="10"/>
  <c r="E62" i="10"/>
  <c r="M62" i="10"/>
  <c r="L62" i="10" s="1"/>
  <c r="E63" i="10"/>
  <c r="M65" i="10"/>
  <c r="L68" i="10"/>
  <c r="M68" i="10"/>
  <c r="L69" i="10"/>
  <c r="M69" i="10"/>
  <c r="L73" i="10"/>
  <c r="P61" i="10" s="1"/>
  <c r="M73" i="10"/>
  <c r="L76" i="10"/>
  <c r="M76" i="10"/>
  <c r="M77" i="10"/>
  <c r="L77" i="10" s="1"/>
  <c r="L81" i="10" s="1"/>
  <c r="P62" i="10" s="1"/>
  <c r="M8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I31" i="11"/>
  <c r="J31" i="11"/>
  <c r="K31" i="11"/>
  <c r="L31" i="11"/>
  <c r="M31" i="11"/>
  <c r="N31" i="11"/>
  <c r="O31" i="11"/>
  <c r="P31" i="11"/>
  <c r="Q31" i="11"/>
  <c r="H32" i="11"/>
  <c r="H33" i="11"/>
  <c r="C34" i="11"/>
  <c r="E34" i="11"/>
  <c r="E37" i="11" s="1"/>
  <c r="H34" i="11"/>
  <c r="L34" i="11"/>
  <c r="M34" i="11"/>
  <c r="M35" i="11"/>
  <c r="L35" i="11" s="1"/>
  <c r="L41" i="11" s="1"/>
  <c r="P34" i="11" s="1"/>
  <c r="C36" i="11"/>
  <c r="C37" i="11" s="1"/>
  <c r="C42" i="11" s="1"/>
  <c r="P37" i="11" s="1"/>
  <c r="E36" i="11"/>
  <c r="M36" i="11"/>
  <c r="L36" i="11" s="1"/>
  <c r="M41" i="11"/>
  <c r="L43" i="11"/>
  <c r="M43" i="11"/>
  <c r="M44" i="11"/>
  <c r="L44" i="11" s="1"/>
  <c r="M48" i="11"/>
  <c r="L51" i="11"/>
  <c r="L56" i="11" s="1"/>
  <c r="P36" i="11" s="1"/>
  <c r="M51" i="11"/>
  <c r="M56" i="11" s="1"/>
  <c r="L52" i="11"/>
  <c r="M5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I49" i="12"/>
  <c r="J49" i="12"/>
  <c r="K49" i="12"/>
  <c r="L49" i="12"/>
  <c r="M49" i="12"/>
  <c r="N49" i="12"/>
  <c r="O49" i="12"/>
  <c r="P49" i="12"/>
  <c r="Q49" i="12"/>
  <c r="H50" i="12"/>
  <c r="H51" i="12"/>
  <c r="C52" i="12"/>
  <c r="E52" i="12"/>
  <c r="H52" i="12"/>
  <c r="L52" i="12"/>
  <c r="M52" i="12"/>
  <c r="M53" i="12"/>
  <c r="L53" i="12" s="1"/>
  <c r="C54" i="12"/>
  <c r="E54" i="12"/>
  <c r="M54" i="12"/>
  <c r="L54" i="12" s="1"/>
  <c r="C55" i="12"/>
  <c r="E55" i="12"/>
  <c r="M57" i="12"/>
  <c r="C59" i="12"/>
  <c r="P56" i="12" s="1"/>
  <c r="L60" i="12"/>
  <c r="M60" i="12"/>
  <c r="L61" i="12"/>
  <c r="M61" i="12"/>
  <c r="L65" i="12"/>
  <c r="P53" i="12" s="1"/>
  <c r="M65" i="12"/>
  <c r="L68" i="12"/>
  <c r="M68" i="12"/>
  <c r="M69" i="12"/>
  <c r="L69" i="12" s="1"/>
  <c r="L73" i="12" s="1"/>
  <c r="P54" i="12" s="1"/>
  <c r="M73" i="12"/>
  <c r="L76" i="12"/>
  <c r="M76" i="12"/>
  <c r="M77" i="12"/>
  <c r="L77" i="12" s="1"/>
  <c r="L81" i="12" s="1"/>
  <c r="P55" i="12" s="1"/>
  <c r="M81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H42" i="13"/>
  <c r="H43" i="13"/>
  <c r="E44" i="13"/>
  <c r="L44" i="13"/>
  <c r="M44" i="13"/>
  <c r="M45" i="13"/>
  <c r="L45" i="13" s="1"/>
  <c r="L49" i="13" s="1"/>
  <c r="P44" i="13" s="1"/>
  <c r="C46" i="13"/>
  <c r="E46" i="13"/>
  <c r="M46" i="13"/>
  <c r="L46" i="13" s="1"/>
  <c r="E47" i="13"/>
  <c r="M49" i="13"/>
  <c r="L52" i="13"/>
  <c r="L57" i="13" s="1"/>
  <c r="P45" i="13" s="1"/>
  <c r="M52" i="13"/>
  <c r="M57" i="13" s="1"/>
  <c r="L53" i="13"/>
  <c r="M53" i="13"/>
  <c r="L60" i="13"/>
  <c r="M60" i="13"/>
  <c r="M61" i="13"/>
  <c r="L61" i="13" s="1"/>
  <c r="L65" i="13" s="1"/>
  <c r="P46" i="13" s="1"/>
  <c r="M65" i="13"/>
  <c r="I3" i="14"/>
  <c r="C59" i="14" s="1"/>
  <c r="C62" i="14" s="1"/>
  <c r="C66" i="14" s="1"/>
  <c r="P62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C61" i="14" s="1"/>
  <c r="I55" i="14"/>
  <c r="D56" i="14"/>
  <c r="G56" i="14"/>
  <c r="H56" i="14"/>
  <c r="I56" i="14"/>
  <c r="J56" i="14"/>
  <c r="K56" i="14"/>
  <c r="L56" i="14"/>
  <c r="M56" i="14"/>
  <c r="N56" i="14"/>
  <c r="O56" i="14"/>
  <c r="P56" i="14"/>
  <c r="Q56" i="14"/>
  <c r="H57" i="14"/>
  <c r="H58" i="14"/>
  <c r="E59" i="14"/>
  <c r="L59" i="14"/>
  <c r="M59" i="14"/>
  <c r="M60" i="14"/>
  <c r="L60" i="14" s="1"/>
  <c r="L64" i="14" s="1"/>
  <c r="P59" i="14" s="1"/>
  <c r="E61" i="14"/>
  <c r="E62" i="14"/>
  <c r="M64" i="14"/>
  <c r="L67" i="14"/>
  <c r="M67" i="14"/>
  <c r="M68" i="14"/>
  <c r="L68" i="14" s="1"/>
  <c r="L72" i="14" s="1"/>
  <c r="P60" i="14" s="1"/>
  <c r="L69" i="14"/>
  <c r="M72" i="14"/>
  <c r="L75" i="14"/>
  <c r="M75" i="14"/>
  <c r="L76" i="14"/>
  <c r="L80" i="14" s="1"/>
  <c r="P61" i="14" s="1"/>
  <c r="M76" i="14"/>
  <c r="M80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I45" i="15"/>
  <c r="J45" i="15"/>
  <c r="K45" i="15"/>
  <c r="L45" i="15"/>
  <c r="M45" i="15"/>
  <c r="N45" i="15"/>
  <c r="O45" i="15"/>
  <c r="P45" i="15"/>
  <c r="Q45" i="15"/>
  <c r="H46" i="15"/>
  <c r="H47" i="15"/>
  <c r="C48" i="15"/>
  <c r="C51" i="15" s="1"/>
  <c r="C55" i="15" s="1"/>
  <c r="P52" i="15" s="1"/>
  <c r="E48" i="15"/>
  <c r="E51" i="15" s="1"/>
  <c r="H48" i="15"/>
  <c r="L48" i="15"/>
  <c r="M48" i="15"/>
  <c r="M49" i="15"/>
  <c r="L49" i="15" s="1"/>
  <c r="L53" i="15" s="1"/>
  <c r="P48" i="15" s="1"/>
  <c r="C50" i="15"/>
  <c r="E50" i="15"/>
  <c r="M50" i="15"/>
  <c r="L50" i="15" s="1"/>
  <c r="M53" i="15"/>
  <c r="L56" i="15"/>
  <c r="M56" i="15"/>
  <c r="M61" i="15" s="1"/>
  <c r="L57" i="15"/>
  <c r="M57" i="15"/>
  <c r="L61" i="15"/>
  <c r="P49" i="15" s="1"/>
  <c r="L64" i="15"/>
  <c r="M64" i="15"/>
  <c r="M69" i="15" s="1"/>
  <c r="M65" i="15"/>
  <c r="L65" i="15" s="1"/>
  <c r="L72" i="15"/>
  <c r="M72" i="15"/>
  <c r="M77" i="15" s="1"/>
  <c r="M73" i="15"/>
  <c r="L73" i="15" s="1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I68" i="16"/>
  <c r="J68" i="16"/>
  <c r="K68" i="16"/>
  <c r="L68" i="16"/>
  <c r="M68" i="16"/>
  <c r="N68" i="16"/>
  <c r="O68" i="16"/>
  <c r="P68" i="16"/>
  <c r="Q68" i="16"/>
  <c r="H69" i="16"/>
  <c r="H70" i="16"/>
  <c r="C71" i="16"/>
  <c r="E71" i="16"/>
  <c r="H71" i="16"/>
  <c r="L71" i="16"/>
  <c r="M71" i="16"/>
  <c r="L72" i="16"/>
  <c r="M72" i="16"/>
  <c r="C73" i="16"/>
  <c r="E73" i="16"/>
  <c r="C74" i="16"/>
  <c r="E74" i="16"/>
  <c r="L76" i="16"/>
  <c r="P71" i="16" s="1"/>
  <c r="M76" i="16"/>
  <c r="C78" i="16"/>
  <c r="P75" i="16" s="1"/>
  <c r="L79" i="16"/>
  <c r="M79" i="16"/>
  <c r="M80" i="16"/>
  <c r="L80" i="16" s="1"/>
  <c r="L84" i="16" s="1"/>
  <c r="P72" i="16" s="1"/>
  <c r="M81" i="16"/>
  <c r="L81" i="16" s="1"/>
  <c r="M84" i="16"/>
  <c r="L87" i="16"/>
  <c r="M87" i="16"/>
  <c r="M88" i="16"/>
  <c r="L88" i="16" s="1"/>
  <c r="L92" i="16" s="1"/>
  <c r="P73" i="16" s="1"/>
  <c r="M92" i="16"/>
  <c r="L95" i="16"/>
  <c r="M95" i="16"/>
  <c r="M96" i="16"/>
  <c r="L96" i="16" s="1"/>
  <c r="L100" i="16" s="1"/>
  <c r="P74" i="16" s="1"/>
  <c r="M100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E31" i="17"/>
  <c r="H31" i="17"/>
  <c r="L31" i="17"/>
  <c r="M31" i="17"/>
  <c r="L32" i="17"/>
  <c r="L36" i="17" s="1"/>
  <c r="P31" i="17" s="1"/>
  <c r="M32" i="17"/>
  <c r="C33" i="17"/>
  <c r="E33" i="17"/>
  <c r="E34" i="17"/>
  <c r="M36" i="17"/>
  <c r="L39" i="17"/>
  <c r="M39" i="17"/>
  <c r="M44" i="17" s="1"/>
  <c r="M40" i="17"/>
  <c r="L40" i="17" s="1"/>
  <c r="L47" i="17"/>
  <c r="M47" i="17"/>
  <c r="M48" i="17"/>
  <c r="L48" i="17" s="1"/>
  <c r="L52" i="17" s="1"/>
  <c r="P33" i="17" s="1"/>
  <c r="M49" i="17"/>
  <c r="L49" i="17" s="1"/>
  <c r="M52" i="17"/>
  <c r="L55" i="17"/>
  <c r="M55" i="17"/>
  <c r="M56" i="17"/>
  <c r="L56" i="17" s="1"/>
  <c r="L60" i="17" s="1"/>
  <c r="P34" i="17" s="1"/>
  <c r="M60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C42" i="18" s="1"/>
  <c r="D37" i="18"/>
  <c r="G37" i="18"/>
  <c r="H37" i="18"/>
  <c r="I37" i="18"/>
  <c r="J37" i="18"/>
  <c r="K37" i="18"/>
  <c r="L37" i="18"/>
  <c r="M37" i="18"/>
  <c r="N37" i="18"/>
  <c r="O37" i="18"/>
  <c r="P37" i="18"/>
  <c r="Q37" i="18"/>
  <c r="H38" i="18"/>
  <c r="L49" i="18" s="1"/>
  <c r="L53" i="18" s="1"/>
  <c r="P41" i="18" s="1"/>
  <c r="H39" i="18"/>
  <c r="C40" i="18"/>
  <c r="E40" i="18"/>
  <c r="H40" i="18"/>
  <c r="L40" i="18"/>
  <c r="M40" i="18"/>
  <c r="M45" i="18" s="1"/>
  <c r="M41" i="18"/>
  <c r="L41" i="18" s="1"/>
  <c r="E42" i="18"/>
  <c r="L48" i="18"/>
  <c r="M48" i="18"/>
  <c r="M49" i="18"/>
  <c r="M53" i="18"/>
  <c r="L56" i="18"/>
  <c r="M56" i="18"/>
  <c r="M57" i="18"/>
  <c r="L57" i="18" s="1"/>
  <c r="L61" i="18" s="1"/>
  <c r="P42" i="18" s="1"/>
  <c r="M61" i="18"/>
  <c r="L64" i="18"/>
  <c r="M64" i="18"/>
  <c r="M65" i="18"/>
  <c r="L65" i="18" s="1"/>
  <c r="M69" i="18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I54" i="20"/>
  <c r="J54" i="20"/>
  <c r="K54" i="20"/>
  <c r="L54" i="20"/>
  <c r="M54" i="20"/>
  <c r="N54" i="20"/>
  <c r="O54" i="20"/>
  <c r="P54" i="20"/>
  <c r="Q54" i="20"/>
  <c r="H55" i="20"/>
  <c r="H56" i="20"/>
  <c r="C57" i="20"/>
  <c r="E57" i="20"/>
  <c r="L57" i="20"/>
  <c r="M57" i="20"/>
  <c r="L58" i="20"/>
  <c r="M58" i="20"/>
  <c r="C59" i="20"/>
  <c r="E59" i="20"/>
  <c r="C60" i="20"/>
  <c r="E60" i="20"/>
  <c r="M75" i="20" s="1"/>
  <c r="L62" i="20"/>
  <c r="P57" i="20" s="1"/>
  <c r="M62" i="20"/>
  <c r="C64" i="20"/>
  <c r="P61" i="20" s="1"/>
  <c r="L65" i="20"/>
  <c r="M65" i="20"/>
  <c r="M66" i="20"/>
  <c r="L66" i="20" s="1"/>
  <c r="L70" i="20" s="1"/>
  <c r="P58" i="20" s="1"/>
  <c r="M70" i="20"/>
  <c r="L73" i="20"/>
  <c r="M73" i="20"/>
  <c r="M78" i="20" s="1"/>
  <c r="L74" i="20"/>
  <c r="M74" i="20"/>
  <c r="L81" i="20"/>
  <c r="M81" i="20"/>
  <c r="M82" i="20"/>
  <c r="L82" i="20" s="1"/>
  <c r="L86" i="20" s="1"/>
  <c r="P60" i="20" s="1"/>
  <c r="M86" i="20"/>
  <c r="E30" i="19" a="1"/>
  <c r="I36" i="21"/>
  <c r="I21" i="21"/>
  <c r="I37" i="21"/>
  <c r="I3" i="21"/>
  <c r="I6" i="21"/>
  <c r="I7" i="21"/>
  <c r="I8" i="21"/>
  <c r="I38" i="21"/>
  <c r="I40" i="21"/>
  <c r="I41" i="21"/>
  <c r="I42" i="21"/>
  <c r="I9" i="21"/>
  <c r="I22" i="21"/>
  <c r="I43" i="21"/>
  <c r="I10" i="21"/>
  <c r="I23" i="21"/>
  <c r="I44" i="21"/>
  <c r="I45" i="21"/>
  <c r="I46" i="21"/>
  <c r="I47" i="21"/>
  <c r="I11" i="21"/>
  <c r="I24" i="21"/>
  <c r="I48" i="21"/>
  <c r="I39" i="21"/>
  <c r="I4" i="21"/>
  <c r="I25" i="21"/>
  <c r="I12" i="21"/>
  <c r="I13" i="21"/>
  <c r="I26" i="21"/>
  <c r="I14" i="21"/>
  <c r="I15" i="21"/>
  <c r="I49" i="21"/>
  <c r="I16" i="21"/>
  <c r="I5" i="21"/>
  <c r="I50" i="21"/>
  <c r="I17" i="21"/>
  <c r="I27" i="21"/>
  <c r="I28" i="21"/>
  <c r="I29" i="21"/>
  <c r="I51" i="21"/>
  <c r="I52" i="21"/>
  <c r="I30" i="21"/>
  <c r="I18" i="21"/>
  <c r="I31" i="21"/>
  <c r="I32" i="21"/>
  <c r="I33" i="21"/>
  <c r="I19" i="21"/>
  <c r="I20" i="21"/>
  <c r="I53" i="21"/>
  <c r="I34" i="21"/>
  <c r="I35" i="21"/>
  <c r="D55" i="21"/>
  <c r="G55" i="21"/>
  <c r="H55" i="21"/>
  <c r="I55" i="21"/>
  <c r="J55" i="21"/>
  <c r="K55" i="21"/>
  <c r="L55" i="21"/>
  <c r="M55" i="21"/>
  <c r="N55" i="21"/>
  <c r="O55" i="21"/>
  <c r="P55" i="21"/>
  <c r="Q55" i="21"/>
  <c r="H56" i="21"/>
  <c r="H57" i="21"/>
  <c r="C58" i="21"/>
  <c r="C61" i="21" s="1"/>
  <c r="C65" i="21" s="1"/>
  <c r="P62" i="21" s="1"/>
  <c r="E58" i="21"/>
  <c r="E61" i="21" s="1"/>
  <c r="M68" i="21" s="1"/>
  <c r="L68" i="21" s="1"/>
  <c r="H58" i="21"/>
  <c r="L58" i="21"/>
  <c r="M58" i="21"/>
  <c r="M63" i="21" s="1"/>
  <c r="M59" i="21"/>
  <c r="L59" i="21" s="1"/>
  <c r="C60" i="21"/>
  <c r="E60" i="21"/>
  <c r="L66" i="21"/>
  <c r="M66" i="21"/>
  <c r="M71" i="21" s="1"/>
  <c r="M67" i="21"/>
  <c r="L67" i="21" s="1"/>
  <c r="L74" i="21"/>
  <c r="M74" i="21"/>
  <c r="M79" i="21" s="1"/>
  <c r="M75" i="21"/>
  <c r="L75" i="21" s="1"/>
  <c r="L82" i="21"/>
  <c r="M82" i="21"/>
  <c r="M87" i="21" s="1"/>
  <c r="L83" i="21"/>
  <c r="M83" i="21"/>
  <c r="L63" i="21" l="1"/>
  <c r="P58" i="21" s="1"/>
  <c r="L79" i="21"/>
  <c r="P60" i="21" s="1"/>
  <c r="L71" i="21"/>
  <c r="L87" i="21"/>
  <c r="P61" i="21" s="1"/>
  <c r="D17" i="19" a="1"/>
  <c r="D17" i="19" s="1"/>
  <c r="C17" i="19"/>
  <c r="P28" i="2"/>
  <c r="E3" i="19"/>
  <c r="E4" i="19"/>
  <c r="L34" i="6"/>
  <c r="P29" i="6" s="1"/>
  <c r="P33" i="6" s="1"/>
  <c r="E28" i="19"/>
  <c r="E27" i="19"/>
  <c r="E26" i="19"/>
  <c r="E25" i="19"/>
  <c r="E24" i="19"/>
  <c r="E23" i="19"/>
  <c r="E22" i="19"/>
  <c r="E21" i="19"/>
  <c r="E20" i="19"/>
  <c r="E19" i="19"/>
  <c r="E18" i="19"/>
  <c r="E14" i="19"/>
  <c r="E13" i="19"/>
  <c r="E12" i="19"/>
  <c r="E11" i="19"/>
  <c r="E10" i="19"/>
  <c r="E9" i="19"/>
  <c r="E8" i="19"/>
  <c r="E7" i="19"/>
  <c r="E6" i="19"/>
  <c r="E5" i="19"/>
  <c r="L64" i="7"/>
  <c r="P58" i="7" s="1"/>
  <c r="P62" i="7" s="1"/>
  <c r="I46" i="8"/>
  <c r="C49" i="8"/>
  <c r="C52" i="8" s="1"/>
  <c r="C56" i="8" s="1"/>
  <c r="P53" i="8" s="1"/>
  <c r="C60" i="10"/>
  <c r="C63" i="10" s="1"/>
  <c r="C67" i="10" s="1"/>
  <c r="P63" i="10" s="1"/>
  <c r="I57" i="10"/>
  <c r="I41" i="13"/>
  <c r="C44" i="13"/>
  <c r="C47" i="13" s="1"/>
  <c r="C51" i="13" s="1"/>
  <c r="P47" i="13" s="1"/>
  <c r="P48" i="13" s="1"/>
  <c r="C31" i="17"/>
  <c r="C34" i="17" s="1"/>
  <c r="C38" i="17" s="1"/>
  <c r="P35" i="17" s="1"/>
  <c r="I28" i="17"/>
  <c r="M66" i="18"/>
  <c r="E43" i="18"/>
  <c r="L75" i="20"/>
  <c r="L78" i="20" s="1"/>
  <c r="P59" i="20" s="1"/>
  <c r="E16" i="19"/>
  <c r="L41" i="2"/>
  <c r="P29" i="2" s="1"/>
  <c r="L77" i="15"/>
  <c r="P51" i="15" s="1"/>
  <c r="L62" i="8"/>
  <c r="P50" i="8" s="1"/>
  <c r="L44" i="17"/>
  <c r="P32" i="17" s="1"/>
  <c r="C43" i="18"/>
  <c r="C47" i="18" s="1"/>
  <c r="P44" i="18" s="1"/>
  <c r="L65" i="10"/>
  <c r="P60" i="10" s="1"/>
  <c r="L48" i="11"/>
  <c r="P35" i="11" s="1"/>
  <c r="P38" i="11" s="1"/>
  <c r="L57" i="12"/>
  <c r="P52" i="12" s="1"/>
  <c r="P57" i="12" s="1"/>
  <c r="P63" i="14"/>
  <c r="L69" i="15"/>
  <c r="P50" i="15" s="1"/>
  <c r="P53" i="15" s="1"/>
  <c r="P76" i="16"/>
  <c r="L45" i="18"/>
  <c r="P40" i="18" s="1"/>
  <c r="P62" i="20"/>
  <c r="B17" i="19" l="1"/>
  <c r="E17" i="19" s="1"/>
  <c r="P59" i="21"/>
  <c r="P63" i="21" s="1"/>
  <c r="E15" i="19"/>
  <c r="L66" i="18"/>
  <c r="L69" i="18" s="1"/>
  <c r="P43" i="18" s="1"/>
  <c r="P45" i="18" s="1"/>
  <c r="P32" i="2"/>
  <c r="E30" i="19" s="1"/>
  <c r="P64" i="10"/>
  <c r="P54" i="8"/>
  <c r="P36" i="17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<sst xmlns="http://schemas.openxmlformats.org/spreadsheetml/2006/main" count="5691" uniqueCount="1705">
  <si>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</si>
  <si>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</si>
  <si>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</si>
  <si>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</si>
  <si>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</si>
  <si>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</si>
  <si>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</si>
  <si>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</si>
  <si>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</si>
  <si>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</si>
  <si>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</si>
  <si>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</si>
  <si>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</si>
  <si>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</si>
  <si>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</si>
  <si>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</si>
  <si>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</si>
  <si>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</si>
  <si>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</si>
  <si>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</si>
  <si>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</si>
  <si>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</si>
  <si>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</si>
  <si>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</si>
  <si>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</si>
  <si>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</si>
  <si>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</si>
  <si>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</si>
  <si>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</si>
  <si>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</si>
  <si>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</si>
  <si>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</si>
  <si>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</si>
  <si>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</si>
  <si>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</si>
  <si>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</si>
  <si>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</si>
  <si>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</si>
  <si>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</si>
  <si>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</si>
  <si>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</si>
  <si>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</si>
  <si>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</si>
  <si>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</si>
  <si>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</si>
  <si>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</si>
  <si>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</si>
  <si>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</si>
  <si>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</si>
  <si>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</si>
  <si>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</si>
  <si>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</si>
  <si>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</si>
  <si>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</si>
  <si>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</si>
  <si>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</si>
  <si>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</si>
  <si>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</si>
  <si>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</si>
  <si>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</si>
  <si>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</si>
  <si>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</si>
  <si>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</si>
  <si>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</si>
  <si>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</si>
  <si>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</si>
  <si>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</si>
  <si>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</si>
  <si>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</si>
  <si>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</si>
  <si>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</si>
  <si>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</si>
  <si>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</si>
  <si>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</si>
  <si>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</si>
  <si>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</si>
  <si>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</si>
  <si>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</si>
  <si>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</si>
  <si>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</si>
  <si>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</si>
  <si>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</si>
  <si>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</si>
  <si>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</si>
  <si>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</si>
  <si>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</si>
  <si>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</si>
  <si>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</si>
  <si>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</si>
  <si>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</si>
  <si>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</si>
  <si>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</si>
  <si>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</si>
  <si>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</si>
  <si>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</si>
  <si>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</si>
  <si>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</si>
  <si>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</si>
  <si>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</si>
  <si>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</si>
  <si>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</si>
  <si>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</si>
  <si>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</si>
  <si>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</si>
  <si>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</si>
  <si>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</si>
  <si>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</si>
  <si>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</si>
  <si>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</si>
  <si>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</si>
  <si>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</si>
  <si>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</si>
  <si>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</si>
  <si>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</si>
  <si>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</si>
  <si>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</si>
  <si>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</si>
  <si>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</si>
  <si>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</si>
  <si>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</si>
  <si>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</si>
  <si>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</si>
  <si>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</si>
  <si>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</si>
  <si>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</si>
  <si>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</si>
  <si>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</si>
  <si>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</si>
  <si>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</si>
  <si>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</si>
  <si>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</si>
  <si>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</si>
  <si>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</si>
  <si>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</si>
  <si>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</si>
  <si>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</si>
  <si>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</si>
  <si>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</si>
  <si>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</si>
  <si>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</si>
  <si>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</si>
  <si>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</si>
  <si>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</si>
  <si>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</si>
  <si>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</si>
  <si>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</si>
  <si>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</si>
  <si>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</si>
  <si>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</si>
  <si>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</si>
  <si>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</si>
  <si>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</si>
  <si>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</si>
  <si>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</si>
  <si>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</si>
  <si>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</si>
  <si>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</si>
  <si>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</si>
  <si>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</si>
  <si>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</si>
  <si>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</si>
  <si>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</si>
  <si>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</si>
  <si>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</si>
  <si>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</si>
  <si>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</si>
  <si>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</si>
  <si>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</si>
  <si>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</si>
  <si>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</si>
  <si>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</si>
  <si>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</si>
  <si>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</si>
  <si>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</si>
  <si>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</si>
  <si>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</si>
  <si>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</si>
  <si>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</si>
  <si>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</si>
  <si>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</si>
  <si>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</si>
  <si>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</si>
  <si>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</si>
  <si>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</si>
  <si>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</si>
  <si>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</si>
  <si>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</si>
  <si>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</si>
  <si>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</si>
  <si>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</si>
  <si>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</si>
  <si>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</si>
  <si>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</si>
  <si>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</si>
  <si>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</si>
  <si>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</si>
  <si>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</si>
  <si>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</si>
  <si>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</si>
  <si>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</si>
  <si>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</si>
  <si>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</si>
  <si>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</si>
  <si>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</si>
  <si>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</si>
  <si>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</si>
  <si>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</si>
  <si>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</si>
  <si>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</si>
  <si>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</si>
  <si>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</si>
  <si>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</si>
  <si>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</si>
  <si>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</si>
  <si>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</si>
  <si>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</si>
  <si>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</si>
  <si>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</si>
  <si>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</si>
  <si>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</si>
  <si>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</si>
  <si>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</si>
  <si>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</si>
  <si>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</si>
  <si>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</si>
  <si>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</si>
  <si>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</si>
  <si>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</si>
  <si>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</si>
  <si>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</si>
  <si>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</si>
  <si>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</si>
  <si>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</si>
  <si>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</si>
  <si>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</si>
  <si>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</si>
  <si>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</si>
  <si>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</si>
  <si>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</si>
  <si>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</si>
  <si>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</si>
  <si>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</si>
  <si>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</si>
  <si>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</si>
  <si>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</si>
  <si>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</si>
  <si>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</si>
  <si>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</si>
  <si>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</si>
  <si>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</si>
  <si>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</si>
  <si>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</si>
  <si>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</si>
  <si>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</si>
  <si>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</si>
  <si>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</si>
  <si>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</si>
  <si>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</si>
  <si>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</si>
  <si>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</si>
  <si>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</si>
  <si>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</si>
  <si>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</si>
  <si>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</si>
  <si>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</si>
  <si>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</si>
  <si>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</si>
  <si>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</si>
  <si>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</si>
  <si>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</si>
  <si>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</si>
  <si>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</si>
  <si>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</si>
  <si>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</si>
  <si>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</si>
  <si>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</si>
  <si>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</si>
  <si>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</si>
  <si>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</si>
  <si>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</si>
  <si>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</si>
  <si>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</si>
  <si>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</si>
  <si>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</si>
  <si>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</si>
  <si>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</si>
  <si>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</si>
  <si>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</si>
  <si>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</si>
  <si>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</si>
  <si>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</si>
  <si>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</si>
  <si>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</si>
  <si>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</si>
  <si>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</si>
  <si>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</si>
  <si>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</si>
  <si>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</si>
  <si>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</si>
  <si>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</si>
  <si>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</si>
  <si>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</si>
  <si>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</si>
  <si>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</si>
  <si>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</si>
  <si>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</si>
  <si>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</si>
  <si>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</si>
  <si>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</si>
  <si>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</si>
  <si>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</si>
  <si>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</si>
  <si>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</si>
  <si>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</si>
  <si>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</si>
  <si>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</si>
  <si>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</si>
  <si>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</si>
  <si>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</si>
  <si>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</si>
  <si>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</si>
  <si>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</si>
  <si>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</si>
  <si>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</si>
  <si>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</si>
  <si>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</si>
  <si>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</si>
  <si>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</si>
  <si>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</si>
  <si>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</si>
  <si>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</si>
  <si>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</si>
  <si>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</si>
  <si>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</si>
  <si>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</si>
  <si>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</si>
  <si>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</si>
  <si>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</si>
  <si>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</si>
  <si>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</si>
  <si>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</si>
  <si>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</si>
  <si>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</si>
  <si>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</si>
  <si>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</si>
  <si>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</si>
  <si>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</si>
  <si>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</si>
  <si>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</si>
  <si>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</si>
  <si>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</si>
  <si>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</si>
  <si>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</si>
  <si>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</si>
  <si>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</si>
  <si>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</si>
  <si>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</si>
  <si>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</si>
  <si>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</si>
  <si>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</si>
  <si>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</si>
  <si>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</si>
  <si>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</si>
  <si>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</si>
  <si>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</si>
  <si>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</si>
  <si>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</si>
  <si>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</si>
  <si>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</si>
  <si>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</si>
  <si>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</si>
  <si>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</si>
  <si>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</si>
  <si>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</si>
  <si>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</si>
  <si>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</si>
  <si>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</si>
  <si>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</si>
  <si>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</si>
  <si>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</si>
  <si>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</si>
  <si>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</si>
  <si>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</si>
  <si>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</si>
  <si>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</si>
  <si>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</si>
  <si>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</si>
  <si>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</si>
  <si>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</si>
  <si>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</si>
  <si>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</si>
  <si>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</si>
  <si>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</si>
  <si>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</si>
  <si>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</si>
  <si>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</si>
  <si>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</si>
  <si>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</si>
  <si>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</si>
  <si>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</si>
  <si>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</si>
  <si>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</si>
  <si>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</si>
  <si>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</si>
  <si>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</si>
  <si>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</si>
  <si>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</si>
  <si>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</si>
  <si>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</si>
  <si>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</si>
  <si>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</si>
  <si>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</si>
  <si>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</si>
  <si>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</si>
  <si>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</si>
  <si>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</si>
  <si>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</si>
  <si>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</si>
  <si>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</si>
  <si>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</si>
  <si>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</si>
  <si>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</si>
  <si>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</si>
  <si>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</si>
  <si>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</si>
  <si>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</si>
  <si>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</si>
  <si>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</si>
  <si>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</si>
  <si>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</si>
  <si>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</si>
  <si>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</si>
  <si>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</si>
  <si>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</si>
  <si>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</si>
  <si>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</si>
  <si>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</si>
  <si>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</si>
  <si>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</si>
  <si>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</si>
  <si>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</si>
  <si>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</si>
  <si>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</si>
  <si>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</si>
  <si>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</si>
  <si>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</si>
  <si>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</si>
  <si>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</si>
  <si>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</si>
  <si>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</si>
  <si>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</si>
  <si>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</si>
  <si>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</si>
  <si>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</si>
  <si>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</si>
  <si>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</si>
  <si>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</si>
  <si>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</si>
  <si>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</si>
  <si>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</si>
  <si>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</si>
  <si>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</si>
  <si>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</si>
  <si>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</si>
  <si>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</si>
  <si>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</si>
  <si>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</si>
  <si>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</si>
  <si>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</si>
  <si>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</si>
  <si>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</si>
  <si>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</si>
  <si>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</si>
  <si>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</si>
  <si>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</si>
  <si>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</si>
  <si>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</si>
  <si>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</si>
  <si>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</si>
  <si>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</si>
  <si>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</si>
  <si>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</si>
  <si>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</si>
  <si>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</si>
  <si>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</si>
  <si>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</si>
  <si>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</si>
  <si>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</si>
  <si>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</si>
  <si>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</si>
  <si>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</si>
  <si>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</si>
  <si>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</si>
  <si>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</si>
  <si>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</si>
  <si>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</si>
  <si>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</si>
  <si>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</si>
  <si>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</si>
  <si>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</si>
  <si>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</si>
  <si>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</si>
  <si>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</si>
  <si>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</si>
  <si>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</si>
  <si>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</si>
  <si>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</si>
  <si>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</si>
  <si>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</si>
  <si>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</si>
  <si>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</si>
  <si>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</si>
  <si>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</si>
  <si>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</si>
  <si>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</si>
  <si>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</si>
  <si>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</si>
  <si>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</si>
  <si>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</si>
  <si>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</si>
  <si>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</si>
  <si>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</si>
  <si>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</si>
  <si>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</si>
  <si>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</si>
  <si>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</si>
  <si>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</si>
  <si>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</si>
  <si>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</si>
  <si>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</si>
  <si>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</si>
  <si>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</si>
  <si>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</si>
  <si>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</si>
  <si>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</si>
  <si>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</si>
  <si>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</si>
  <si>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</si>
  <si>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</si>
  <si>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</si>
  <si>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</si>
  <si>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</si>
  <si>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</si>
  <si>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</si>
  <si>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</si>
  <si>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</si>
  <si>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</si>
  <si>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</si>
  <si>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</si>
  <si>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</si>
  <si>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</si>
  <si>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</si>
  <si>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</si>
  <si>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</si>
  <si>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</si>
  <si>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</si>
  <si>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</si>
  <si>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</si>
  <si>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</si>
  <si>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</si>
  <si>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</si>
  <si>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</si>
  <si>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</si>
  <si>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</si>
  <si>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</si>
  <si>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</si>
  <si>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</si>
  <si>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</si>
  <si>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</si>
  <si>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</si>
  <si>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</si>
  <si>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</si>
  <si>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</si>
  <si>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</si>
  <si>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</si>
  <si>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</si>
  <si>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</si>
  <si>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</si>
  <si>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</si>
  <si>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</si>
  <si>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</si>
  <si>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</si>
  <si>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</si>
  <si>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</si>
  <si>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</si>
  <si>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</si>
  <si>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</si>
  <si>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</si>
  <si>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</si>
  <si>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</si>
  <si>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</si>
  <si>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</si>
  <si>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</si>
  <si>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</si>
  <si>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</si>
  <si>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</si>
  <si>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</si>
  <si>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</si>
  <si>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</si>
  <si>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</si>
  <si>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</si>
  <si>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</si>
  <si>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</si>
  <si>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</si>
  <si>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</si>
  <si>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</si>
  <si>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</si>
  <si>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</si>
  <si>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</si>
  <si>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</si>
  <si>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</si>
  <si>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</si>
  <si>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</si>
  <si>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</si>
  <si>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</si>
  <si>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</si>
  <si>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</si>
  <si>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</si>
  <si>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</si>
  <si>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</si>
  <si>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</si>
  <si>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</si>
  <si>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</si>
  <si>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</si>
  <si>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</si>
  <si>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</si>
  <si>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</si>
  <si>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</si>
  <si>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</si>
  <si>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</si>
  <si>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</si>
  <si>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</si>
  <si>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</si>
  <si>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</si>
  <si>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</si>
  <si>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</si>
  <si>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</si>
  <si>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</si>
  <si>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</si>
  <si>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</si>
  <si>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</si>
  <si>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</si>
  <si>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</si>
  <si>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</si>
  <si>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</si>
  <si>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</si>
  <si>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</si>
  <si>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</si>
  <si>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</si>
  <si>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</si>
  <si>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</si>
  <si>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</si>
  <si>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</si>
  <si>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</si>
  <si>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</si>
  <si>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</si>
  <si>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</si>
  <si>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</si>
  <si>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</si>
  <si>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</si>
  <si>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</si>
  <si>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</si>
  <si>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</si>
  <si>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</si>
  <si>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</si>
  <si>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</si>
  <si>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</si>
  <si>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</si>
  <si>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</si>
  <si>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</si>
  <si>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</si>
  <si>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</si>
  <si>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</si>
  <si>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</si>
  <si>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</si>
  <si>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</si>
  <si>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</si>
  <si>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</si>
  <si>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</si>
  <si>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</si>
  <si>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</si>
  <si>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</si>
  <si>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</si>
  <si>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</si>
  <si>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</si>
  <si>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</si>
  <si>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</si>
  <si>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</si>
  <si>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</si>
  <si>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</si>
  <si>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</si>
  <si>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</si>
  <si>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</si>
  <si>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</si>
  <si>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</si>
  <si>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</si>
  <si>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</si>
  <si>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</si>
  <si>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</si>
  <si>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</si>
  <si>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</si>
  <si>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</si>
  <si>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</si>
  <si>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</si>
  <si>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</si>
  <si>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</si>
  <si>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</si>
  <si>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</si>
  <si>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</si>
  <si>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</si>
  <si>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</si>
  <si>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</si>
  <si>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</si>
  <si>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</si>
  <si>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</si>
  <si>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</si>
  <si>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</si>
  <si>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</si>
  <si>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</si>
  <si>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</si>
  <si>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</si>
  <si>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</si>
  <si>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</si>
  <si>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</si>
  <si>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</si>
  <si>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</si>
  <si>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</si>
  <si>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</si>
  <si>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</si>
  <si>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</si>
  <si>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</si>
  <si>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</si>
  <si>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</si>
  <si>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</si>
  <si>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</si>
  <si>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</si>
  <si>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</si>
  <si>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</si>
  <si>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</si>
  <si>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</si>
  <si>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</si>
  <si>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</si>
  <si>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</si>
  <si>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</si>
  <si>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</si>
  <si>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</si>
  <si>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</si>
  <si>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</si>
  <si>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</si>
  <si>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</si>
  <si>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</si>
  <si>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</si>
  <si>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</si>
  <si>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</si>
  <si>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</si>
  <si>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</si>
  <si>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</si>
  <si>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</si>
  <si>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</si>
  <si>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</si>
  <si>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</si>
  <si>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</si>
  <si>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</si>
  <si>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</si>
  <si>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</si>
  <si>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</si>
  <si>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</si>
  <si>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</si>
  <si>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</si>
  <si>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</si>
  <si>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</si>
  <si>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</si>
  <si>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</si>
  <si>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</si>
  <si>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</si>
  <si>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</si>
  <si>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</si>
  <si>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</si>
  <si>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</si>
  <si>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</si>
  <si>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</si>
  <si>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</si>
  <si>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</si>
  <si>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</si>
  <si>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</si>
  <si>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</si>
  <si>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</si>
  <si>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</si>
  <si>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</si>
  <si>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</si>
  <si>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</si>
  <si>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</si>
  <si>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</si>
  <si>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</si>
  <si>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</si>
  <si>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</si>
  <si>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</si>
  <si>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</si>
  <si>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</si>
  <si>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</si>
  <si>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</si>
  <si>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</si>
  <si>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</si>
  <si>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</si>
  <si>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</si>
  <si>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</si>
  <si>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</si>
  <si>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</si>
  <si>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</si>
  <si>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</si>
  <si>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</si>
  <si>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</si>
  <si>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</si>
  <si>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</si>
  <si>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</si>
  <si>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</si>
  <si>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</si>
  <si>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</si>
  <si>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</si>
  <si>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</si>
  <si>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</si>
  <si>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</si>
  <si>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</si>
  <si>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</si>
  <si>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</si>
  <si>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</si>
  <si>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</si>
  <si>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</si>
  <si>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</si>
  <si>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</si>
  <si>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</si>
  <si>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</si>
  <si>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</si>
  <si>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</si>
  <si>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</si>
  <si>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</si>
  <si>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</si>
  <si>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</si>
  <si>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</si>
  <si>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</si>
  <si>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</si>
  <si>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</si>
  <si>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</si>
  <si>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</si>
  <si>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</si>
  <si>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</si>
  <si>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</si>
  <si>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</si>
  <si>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</si>
  <si>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</si>
  <si>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</si>
  <si>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</si>
  <si>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</si>
  <si>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</si>
  <si>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</si>
  <si>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</si>
  <si>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</si>
  <si>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</si>
  <si>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</si>
  <si>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</si>
  <si>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</si>
  <si>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</si>
  <si>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</si>
  <si>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</si>
  <si>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</si>
  <si>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</si>
  <si>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</si>
  <si>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</si>
  <si>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</si>
  <si>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</si>
  <si>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</si>
  <si>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</si>
  <si>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</si>
  <si>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</si>
  <si>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</si>
  <si>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</si>
  <si>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</si>
  <si>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</si>
  <si>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</si>
  <si>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</si>
  <si>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</si>
  <si>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</si>
  <si>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</si>
  <si>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</si>
  <si>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</si>
  <si>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</si>
  <si>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</si>
  <si>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</si>
  <si>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</si>
  <si>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</si>
  <si>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</si>
  <si>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</si>
  <si>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</si>
  <si>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</si>
  <si>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</si>
  <si>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</si>
  <si>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</si>
  <si>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</si>
  <si>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</si>
  <si>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</si>
  <si>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</si>
  <si>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</si>
  <si>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</si>
  <si>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</si>
  <si>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</si>
  <si>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</si>
  <si>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</si>
  <si>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</si>
  <si>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</si>
  <si>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</si>
  <si>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</si>
  <si>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</si>
  <si>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</si>
  <si>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</si>
  <si>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</si>
  <si>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</si>
  <si>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</si>
  <si>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</si>
  <si>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</si>
  <si>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</si>
  <si>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</si>
  <si>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</si>
  <si>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</si>
  <si>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</si>
  <si>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</si>
  <si>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</si>
  <si>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</si>
  <si>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</si>
  <si>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</si>
  <si>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</si>
  <si>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</si>
  <si>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</si>
  <si>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</si>
  <si>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</si>
  <si>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</si>
  <si>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</si>
  <si>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</si>
  <si>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</si>
  <si>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</si>
  <si>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</si>
  <si>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</si>
  <si>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</si>
  <si>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</si>
  <si>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</si>
  <si>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</si>
  <si>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</si>
  <si>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</si>
  <si>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</si>
  <si>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</si>
  <si>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</si>
  <si>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</si>
  <si>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</si>
  <si>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</si>
  <si>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</si>
  <si>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</si>
  <si>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</si>
  <si>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</si>
  <si>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</si>
  <si>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</si>
  <si>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</si>
  <si>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</si>
  <si>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</si>
  <si>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</si>
  <si>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</si>
  <si>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</si>
  <si>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</si>
  <si>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</si>
  <si>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</si>
  <si>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</si>
  <si>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</si>
  <si>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</si>
  <si>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</si>
  <si>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</si>
  <si>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</si>
  <si>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</si>
  <si>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</si>
  <si>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</si>
  <si>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</si>
  <si>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</si>
  <si>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</si>
  <si>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</si>
  <si>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</si>
  <si>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</si>
  <si>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</si>
  <si>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</si>
  <si>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</si>
  <si>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</si>
  <si>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</si>
  <si>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</si>
  <si>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</si>
  <si>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</si>
  <si>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</si>
  <si>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</si>
  <si>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</si>
  <si>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</si>
  <si>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</si>
  <si>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</si>
  <si>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</si>
  <si>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</si>
  <si>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</si>
  <si>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</si>
  <si>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</si>
  <si>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</si>
  <si>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</si>
  <si>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</si>
  <si>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</si>
  <si>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</si>
  <si>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</si>
  <si>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</si>
  <si>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</si>
  <si>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</si>
  <si>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</si>
  <si>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</si>
  <si>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</si>
  <si>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</si>
  <si>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</si>
  <si>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</si>
  <si>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</si>
  <si>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</si>
  <si>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</si>
  <si>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</si>
  <si>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</si>
  <si>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</si>
  <si>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</si>
  <si>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</si>
  <si>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</si>
  <si>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</si>
  <si>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</si>
  <si>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</si>
  <si>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</si>
  <si>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</si>
  <si>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</si>
  <si>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</si>
  <si>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</si>
  <si>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</si>
  <si>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</si>
  <si>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</si>
  <si>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</si>
  <si>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</si>
  <si>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</si>
  <si>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</si>
  <si>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</si>
  <si>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</si>
  <si>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</si>
  <si>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</si>
  <si>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</si>
  <si>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</si>
  <si>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</si>
  <si>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</si>
  <si>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</si>
  <si>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</si>
  <si>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</si>
  <si>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</si>
  <si>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</si>
  <si>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</si>
  <si>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</si>
  <si>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</si>
  <si>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</si>
  <si>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</si>
  <si>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</si>
  <si>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</si>
  <si>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</si>
  <si>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</si>
  <si>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</si>
  <si>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</si>
  <si>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</si>
  <si>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</si>
  <si>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</si>
  <si>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</si>
  <si>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</si>
  <si>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</si>
  <si>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</si>
  <si>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</si>
  <si>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</si>
  <si>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</si>
  <si>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</si>
  <si>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</si>
  <si>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</si>
  <si>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</si>
  <si>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</si>
  <si>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</si>
  <si>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</si>
  <si>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</si>
  <si>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</si>
  <si>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</si>
  <si>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</si>
  <si>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</si>
  <si>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</si>
  <si>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</si>
  <si>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</si>
  <si>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</si>
  <si>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</si>
  <si>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</si>
  <si>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</si>
  <si>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</si>
  <si>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</si>
  <si>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</si>
  <si>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</si>
  <si>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</si>
  <si>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</si>
  <si>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</si>
  <si>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</si>
  <si>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</si>
  <si>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</si>
  <si>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</si>
  <si>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</si>
  <si>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</si>
  <si>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</si>
  <si>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</si>
  <si>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</si>
  <si>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</si>
  <si>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</si>
  <si>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</si>
  <si>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</si>
  <si>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</si>
  <si>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</si>
  <si>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</si>
  <si>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</si>
  <si>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</si>
  <si>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</si>
  <si>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</si>
  <si>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</si>
  <si>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</si>
  <si>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</si>
  <si>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</si>
  <si>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</si>
  <si>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</si>
  <si>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</si>
  <si>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</si>
  <si>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</si>
  <si>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</si>
  <si>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</si>
  <si>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</si>
  <si>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</si>
  <si>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</si>
  <si>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</si>
  <si>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</si>
  <si>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</si>
  <si>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</si>
  <si>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</si>
  <si>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</si>
  <si>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</si>
  <si>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</si>
  <si>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</si>
  <si>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</si>
  <si>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</si>
  <si>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</si>
  <si>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</si>
  <si>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</si>
  <si>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</si>
  <si>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</si>
  <si>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</si>
  <si>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</si>
  <si>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</si>
  <si>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</si>
  <si>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</si>
  <si>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</si>
  <si>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</si>
  <si>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</si>
  <si>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</si>
  <si>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</si>
  <si>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</si>
  <si>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</si>
  <si>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</si>
  <si>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</si>
  <si>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</si>
  <si>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</si>
  <si>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</si>
  <si>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</si>
  <si>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</si>
  <si>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</si>
  <si>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</si>
  <si>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</si>
  <si>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</si>
  <si>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</si>
  <si>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</si>
  <si>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</si>
  <si>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</si>
  <si>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</si>
  <si>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</si>
  <si>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</si>
  <si>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</si>
  <si>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</si>
  <si>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</si>
  <si>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</si>
  <si>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</si>
  <si>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</si>
  <si>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</si>
  <si>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</si>
  <si>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</si>
  <si>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</si>
  <si>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</si>
  <si>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</si>
  <si>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</si>
  <si>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</si>
  <si>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</si>
  <si>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</si>
  <si>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</si>
  <si>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</si>
  <si>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</si>
  <si>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</si>
  <si>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</si>
  <si>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</si>
  <si>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</si>
  <si>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</si>
  <si>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</si>
  <si>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</si>
  <si>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</si>
  <si>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</si>
  <si>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</si>
  <si>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</si>
  <si>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</si>
  <si>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</si>
  <si>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</si>
  <si>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</si>
  <si>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</si>
  <si>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</si>
  <si>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</si>
  <si>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</si>
  <si>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</si>
  <si>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</si>
  <si>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</si>
  <si>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</si>
  <si>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</si>
  <si>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</si>
  <si>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</si>
  <si>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</si>
  <si>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</si>
  <si>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</si>
  <si>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</si>
  <si>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</si>
  <si>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</si>
  <si>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</si>
  <si>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</si>
  <si>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</si>
  <si>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</si>
  <si>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</si>
  <si>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</si>
  <si>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</si>
  <si>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</si>
  <si>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</si>
  <si>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</si>
  <si>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</si>
  <si>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</si>
  <si>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</si>
  <si>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</si>
  <si>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</si>
  <si>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</si>
  <si>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</si>
  <si>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</si>
  <si>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</si>
  <si>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</si>
  <si>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</si>
  <si>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</si>
  <si>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</si>
  <si>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</si>
  <si>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</si>
  <si>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</si>
  <si>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</si>
  <si>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</si>
  <si>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</si>
  <si>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</si>
  <si>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</si>
  <si>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</si>
  <si>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</si>
  <si>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</si>
  <si>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</si>
  <si>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</si>
  <si>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</si>
  <si>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</si>
  <si>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</si>
  <si>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</si>
  <si>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</si>
  <si>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</si>
  <si>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</si>
  <si>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</si>
  <si>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</si>
  <si>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</si>
  <si>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</si>
  <si>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</si>
  <si>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</si>
  <si>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</si>
  <si>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</si>
  <si>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</si>
  <si>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</si>
  <si>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</si>
  <si>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</si>
  <si>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</si>
  <si>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</si>
  <si>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</si>
  <si>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</si>
  <si>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</si>
  <si>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</si>
  <si>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</si>
  <si>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</si>
  <si>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</si>
  <si>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</si>
  <si>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</si>
  <si>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</si>
  <si>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</si>
  <si>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</si>
  <si>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</si>
  <si>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</si>
  <si>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</si>
  <si>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</si>
  <si>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</si>
  <si>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</si>
  <si>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</si>
  <si>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</si>
  <si>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</si>
  <si>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</si>
  <si>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</si>
  <si>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</si>
  <si>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</si>
  <si>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</si>
  <si>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</si>
  <si>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</si>
  <si>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</si>
  <si>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</si>
  <si>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</si>
  <si>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</si>
  <si>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</si>
  <si>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</si>
  <si>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</si>
  <si>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</si>
  <si>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</si>
  <si>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</si>
  <si>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</si>
  <si>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</si>
  <si>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</si>
  <si>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</si>
  <si>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</si>
  <si>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</si>
  <si>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</si>
  <si>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</si>
  <si>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</si>
  <si>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</si>
  <si>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</si>
  <si>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</si>
  <si>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</si>
  <si>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</si>
  <si>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</si>
  <si>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</si>
  <si>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</si>
  <si>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</si>
  <si>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</si>
  <si>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</si>
  <si>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</si>
  <si>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</si>
  <si>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</si>
  <si>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</si>
  <si>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</si>
  <si>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</si>
  <si>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</si>
  <si>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</si>
  <si>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</si>
  <si>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</si>
  <si>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</si>
  <si>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</si>
  <si>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</si>
  <si>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</si>
  <si>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</si>
  <si>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</si>
  <si>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</si>
  <si>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</si>
  <si>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</si>
  <si>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</si>
  <si>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</si>
  <si>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</si>
  <si>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</si>
  <si>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</si>
  <si>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</si>
  <si>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</si>
  <si>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</si>
  <si>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</si>
  <si>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</si>
  <si>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</si>
  <si>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</si>
  <si>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</si>
  <si>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</si>
  <si>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</si>
  <si>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</si>
  <si>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</si>
  <si>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</si>
  <si>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</si>
  <si>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</si>
  <si>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</si>
  <si>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</si>
  <si>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</si>
  <si>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</si>
  <si>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</si>
  <si>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</si>
  <si>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</si>
  <si>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</si>
  <si>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</si>
  <si>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</si>
  <si>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</si>
  <si>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</si>
  <si>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</si>
  <si>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</si>
  <si>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</si>
  <si>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</si>
  <si>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</si>
  <si>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</si>
  <si>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</si>
  <si>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</si>
  <si>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</si>
  <si>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</si>
  <si>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</si>
  <si>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</si>
  <si>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</si>
  <si>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</si>
  <si>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</si>
  <si>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</si>
  <si>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</si>
  <si>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</si>
  <si>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</si>
  <si>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</si>
  <si>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</si>
  <si>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</si>
  <si>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</si>
  <si>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</si>
  <si>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</si>
  <si>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</si>
  <si>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</si>
  <si>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</si>
  <si>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</si>
  <si>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</si>
  <si>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</si>
  <si>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</si>
  <si>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</si>
  <si>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</si>
  <si>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</si>
  <si>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</si>
  <si>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</si>
  <si>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</si>
  <si>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</si>
  <si>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</si>
  <si>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</si>
  <si>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</si>
  <si>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</si>
  <si>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</si>
  <si>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</si>
  <si>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</si>
  <si>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</si>
  <si>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</si>
  <si>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</si>
  <si>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</si>
  <si>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</si>
  <si>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</si>
  <si>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</si>
  <si>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</si>
  <si>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</si>
  <si>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</si>
  <si>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</si>
  <si>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</si>
  <si>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</si>
  <si>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</si>
  <si>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</si>
  <si>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</si>
  <si>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</si>
  <si>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</si>
  <si>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</si>
  <si>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</si>
  <si>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</si>
  <si>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</si>
  <si>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</si>
  <si>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</si>
  <si>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</si>
  <si>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</si>
  <si>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</si>
  <si>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</si>
  <si>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</si>
  <si>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</si>
  <si>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</si>
  <si>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</si>
  <si>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</si>
  <si>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</si>
  <si>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</si>
  <si>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</si>
  <si>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</si>
  <si>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</si>
  <si>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</si>
  <si>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</si>
  <si>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</si>
  <si>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</si>
  <si>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</si>
  <si>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</si>
  <si>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</si>
  <si>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</si>
  <si>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</si>
  <si>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</si>
  <si>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</si>
  <si>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</si>
  <si>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</si>
  <si>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</si>
  <si>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</si>
  <si>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</si>
  <si>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</si>
  <si>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</si>
  <si>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</si>
  <si>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</si>
  <si>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</si>
  <si>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</si>
  <si>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</si>
  <si>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</si>
  <si>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</si>
  <si>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</si>
  <si>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</si>
  <si>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</si>
  <si>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</si>
  <si>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</si>
  <si>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</si>
  <si>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</si>
  <si>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</si>
  <si>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</si>
  <si>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</si>
  <si>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</si>
  <si>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</si>
  <si>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</si>
  <si>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</si>
  <si>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</si>
  <si>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</si>
  <si>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</si>
  <si>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</si>
  <si>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</si>
  <si>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</si>
  <si>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</si>
  <si>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</si>
  <si>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</si>
  <si>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</si>
  <si>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</si>
  <si>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</si>
  <si>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</si>
  <si>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</si>
  <si>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</si>
  <si>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</si>
  <si>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</si>
  <si>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</si>
  <si>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</si>
  <si>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</si>
  <si>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</si>
  <si>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</si>
  <si>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</si>
  <si>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</si>
  <si>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</si>
  <si>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</si>
  <si>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</si>
  <si>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</si>
  <si>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</si>
  <si>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</si>
  <si>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</si>
  <si>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</si>
  <si>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</si>
  <si>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</si>
  <si>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</si>
  <si>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</si>
  <si>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</si>
  <si>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</si>
  <si>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</si>
  <si>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</si>
  <si>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</si>
  <si>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</si>
  <si>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</si>
  <si>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</si>
  <si>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</si>
  <si>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</si>
  <si>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</si>
  <si>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</si>
  <si>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</si>
  <si>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</si>
  <si>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</si>
  <si>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</si>
  <si>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</si>
  <si>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</si>
  <si>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</si>
  <si>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</si>
  <si>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</si>
  <si>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</si>
  <si>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</si>
  <si>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</si>
  <si>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</si>
  <si>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</si>
  <si>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</si>
  <si>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</si>
  <si>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</si>
  <si>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</si>
  <si>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</si>
  <si>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</si>
  <si>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</si>
  <si>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</si>
  <si>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</si>
  <si>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</si>
  <si>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</si>
  <si>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</si>
  <si>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</si>
  <si>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</si>
  <si>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</si>
  <si>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</si>
  <si>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</si>
  <si>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</si>
  <si>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</si>
  <si>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</si>
  <si>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</si>
  <si>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</si>
  <si>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</si>
  <si>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</si>
  <si>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</si>
  <si>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</si>
  <si>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</si>
  <si>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</si>
  <si>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</si>
  <si>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</si>
  <si>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</si>
  <si>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</si>
  <si>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</si>
  <si>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</si>
  <si>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</si>
  <si>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</si>
  <si>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</si>
  <si>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</si>
  <si>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</si>
  <si>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</si>
  <si>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</si>
  <si>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</si>
  <si>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</si>
  <si>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</si>
  <si>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</si>
  <si>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</si>
  <si>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</si>
  <si>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</si>
  <si>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</si>
  <si>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</si>
  <si>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</si>
  <si>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</si>
  <si>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</si>
  <si>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</si>
  <si>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</si>
  <si>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</si>
  <si>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</si>
  <si>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</si>
  <si>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</si>
  <si>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</si>
  <si>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</si>
  <si>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</si>
  <si>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</si>
  <si>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</si>
  <si>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</si>
  <si>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</si>
  <si>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</si>
  <si>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</si>
  <si>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</si>
  <si>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</si>
  <si>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</si>
  <si>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</si>
  <si>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</si>
  <si>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</si>
  <si>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</si>
  <si>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</si>
  <si>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</si>
  <si>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</si>
  <si>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</si>
  <si>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</si>
  <si>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</si>
  <si>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</si>
  <si>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</si>
  <si>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</si>
  <si>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</si>
  <si>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</si>
  <si>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</si>
  <si>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</si>
  <si>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</si>
  <si>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</si>
  <si>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</si>
  <si>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</si>
  <si>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</si>
  <si>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</si>
  <si>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</si>
  <si>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</si>
  <si>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</si>
  <si>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</si>
  <si>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</si>
  <si>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</si>
  <si>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</si>
  <si>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</si>
  <si>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</si>
  <si>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</si>
  <si>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</si>
  <si>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</si>
  <si>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</si>
  <si>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</si>
  <si>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</si>
  <si>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</si>
  <si>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</si>
  <si>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</si>
  <si>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</si>
  <si>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</si>
  <si>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</si>
  <si>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</si>
  <si>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</si>
  <si>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</si>
  <si>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</si>
  <si>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</si>
  <si>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at 17-04</t>
  </si>
  <si>
    <t>kh ck shop 975k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</si>
</sst>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2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  <xf numFmtId="0" fontId="0" fillId="8" borderId="1" xfId="0" applyFill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37" t="s">
        <v>89</v>
      </c>
      <c r="D27" s="37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38">
        <f>SUMIFS(I$3:I$23,B$3:B$23,A$27,L$3:L$23,A$28)</f>
        <v>11295</v>
      </c>
      <c r="D28" s="38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39">
        <v>0</v>
      </c>
      <c r="D29" s="39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39">
        <f>-SUMIFS(I$3:I$23,B$3:B$23,A$27,P$3:P$23,"xx",N$3:N$23,"x")</f>
        <v>0</v>
      </c>
      <c r="D30" s="39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37">
        <f>SUBTOTAL(9,C28:C30)</f>
        <v>11295</v>
      </c>
      <c r="D31" s="37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35"/>
      <c r="D32" s="35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35"/>
      <c r="D33" s="35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36">
        <f>C31+C32+C33</f>
        <v>11295</v>
      </c>
      <c r="D35" s="36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37" t="s">
        <v>89</v>
      </c>
      <c r="D28" s="37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38">
        <f>SUMIFS(I$3:I$24,B$3:B$24,A$28,L$3:L$24,A$29)</f>
        <v>7205</v>
      </c>
      <c r="D29" s="38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39">
        <v>0</v>
      </c>
      <c r="D30" s="39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39">
        <f>-SUMIFS(I$3:I$24,B$3:B$24,A$28,P$3:P$24,"xx",N$3:N$24,"x")</f>
        <v>0</v>
      </c>
      <c r="D31" s="39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37">
        <f>SUBTOTAL(9,C29:C31)</f>
        <v>7205</v>
      </c>
      <c r="D32" s="37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35"/>
      <c r="D33" s="35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35"/>
      <c r="D34" s="35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36">
        <f>C32+C33+C34</f>
        <v>7205</v>
      </c>
      <c r="D36" s="36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3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37" t="s">
        <v>89</v>
      </c>
      <c r="D57" s="37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38">
        <f>SUMIFS(I$3:I$53,B$3:B$53,A$57,L$3:L$53,A$58)</f>
        <v>29790</v>
      </c>
      <c r="D58" s="38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39">
        <v>0</v>
      </c>
      <c r="D59" s="39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39">
        <f>-SUMIFS(I$3:I$53,B$3:B$53,A$57,P$3:P$53,"xx",N$3:N$53,"x")</f>
        <v>0</v>
      </c>
      <c r="D60" s="39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37">
        <f>SUBTOTAL(9,C58:C60)</f>
        <v>29790</v>
      </c>
      <c r="D61" s="37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35"/>
      <c r="D62" s="35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35"/>
      <c r="D63" s="35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36">
        <f>C61+C62+C63</f>
        <v>29790</v>
      </c>
      <c r="D65" s="36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1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37" t="s">
        <v>89</v>
      </c>
      <c r="D48" s="37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38">
        <f>SUMIFS(I$3:I$44,B$3:B$44,A$48,L$3:L$44,A$49)</f>
        <v>20745</v>
      </c>
      <c r="D49" s="38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39">
        <v>0</v>
      </c>
      <c r="D50" s="39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39">
        <f>-SUMIFS(I$3:I$44,B$3:B$44,A$48,P$3:P$44,"xx",N$3:N$44,"x")</f>
        <v>-970</v>
      </c>
      <c r="D51" s="39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37">
        <f>SUBTOTAL(9,C49:C51)</f>
        <v>19775</v>
      </c>
      <c r="D52" s="37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35"/>
      <c r="D53" s="35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35"/>
      <c r="D54" s="35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36">
        <f>C52+C53+C54</f>
        <v>19775</v>
      </c>
      <c r="D56" s="36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37" t="s">
        <v>89</v>
      </c>
      <c r="D59" s="37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38">
        <f>SUMIFS(I$3:I$55,B$3:B$55,A$59,L$3:L$55,A$60)</f>
        <v>33510</v>
      </c>
      <c r="D60" s="38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39">
        <v>0</v>
      </c>
      <c r="D61" s="39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39">
        <f>-SUMIFS(I$3:I$55,B$3:B$55,A$59,P$3:P$55,"xx",N$3:N$55,"x")</f>
        <v>-860</v>
      </c>
      <c r="D62" s="39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37">
        <f>SUBTOTAL(9,C60:C62)</f>
        <v>32650</v>
      </c>
      <c r="D63" s="37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35"/>
      <c r="D64" s="35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35"/>
      <c r="D65" s="35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36">
        <f>C63+C64+C65</f>
        <v>32650</v>
      </c>
      <c r="D67" s="36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4" workbookViewId="0">
      <selection activeCell="C35" sqref="C35 C35:D35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37" t="s">
        <v>89</v>
      </c>
      <c r="D33" s="37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0">
        <f>SUMIFS(I$3:I$29,B$3:B$29,A$33,L$3:L$29,A$34)+I32</f>
        <v>24145</v>
      </c>
      <c r="D34" s="38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39">
        <v>0</v>
      </c>
      <c r="D35" s="39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39">
        <f>-SUMIFS(I$3:I$29,B$3:B$29,A$33,P$3:P$29,"xx",N$3:N$29,"x")</f>
        <v>-1715</v>
      </c>
      <c r="D36" s="39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37">
        <f>SUBTOTAL(9,C34:C36)</f>
        <v>22430</v>
      </c>
      <c r="D37" s="37"/>
      <c r="E37">
        <f>E34</f>
        <v>25</v>
      </c>
      <c r="K37" s="2" t="s">
        <v>102</v>
      </c>
      <c r="O37" t="s">
        <v>103</v>
      </c>
      <c r="P37">
        <f>-C42</f>
        <v>-22360</v>
      </c>
    </row>
    <row r="38" spans="1:16" x14ac:dyDescent="0.25">
      <c r="B38" s="2" t="s">
        <v>104</v>
      </c>
      <c r="C38" s="35">
        <v>-70</v>
      </c>
      <c r="D38" s="35"/>
      <c r="K38" s="2" t="s">
        <v>105</v>
      </c>
      <c r="L38" s="2">
        <v>-1020</v>
      </c>
      <c r="O38" s="4" t="s">
        <v>106</v>
      </c>
      <c r="P38" s="4">
        <f>SUBTOTAL(9,P34:P37)</f>
        <v>-2170</v>
      </c>
    </row>
    <row r="39" spans="1:16" x14ac:dyDescent="0.25">
      <c r="B39" s="8" t="s">
        <v>107</v>
      </c>
      <c r="C39" s="35"/>
      <c r="D39" s="35"/>
      <c r="K39" s="10" t="s">
        <v>664</v>
      </c>
      <c r="L39" s="10">
        <v>2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36">
        <f>C37+C38+C39</f>
        <v>22360</v>
      </c>
      <c r="D42" s="36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54"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37" t="s">
        <v>89</v>
      </c>
      <c r="D51" s="37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38">
        <f>SUMIFS(I$3:I$47,B$3:B$47,A$51,L$3:L$47,A$52)</f>
        <v>25380</v>
      </c>
      <c r="D52" s="38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39">
        <v>0</v>
      </c>
      <c r="D53" s="39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39">
        <f>-SUMIFS(I$3:I$47,B$3:B$47,A$51,P$3:P$47,"xx",N$3:N$47,"x")</f>
        <v>-710</v>
      </c>
      <c r="D54" s="39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37">
        <f>SUBTOTAL(9,C52:C54)</f>
        <v>24670</v>
      </c>
      <c r="D55" s="37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35"/>
      <c r="D56" s="35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35"/>
      <c r="D57" s="35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36">
        <f>C55+C56+C57</f>
        <v>24670</v>
      </c>
      <c r="D59" s="36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43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37" t="s">
        <v>89</v>
      </c>
      <c r="D43" s="37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38">
        <f>SUMIFS(I$3:I$39,B$3:B$39,A$43,L$3:L$39,A$44)</f>
        <v>23985</v>
      </c>
      <c r="D44" s="38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39">
        <v>0</v>
      </c>
      <c r="D45" s="39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39">
        <f>-SUMIFS(I$3:I$39,B$3:B$39,A$43,P$3:P$39,"xx",N$3:N$39,"x")</f>
        <v>0</v>
      </c>
      <c r="D46" s="39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37">
        <f>SUBTOTAL(9,C44:C46)</f>
        <v>23985</v>
      </c>
      <c r="D47" s="37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35"/>
      <c r="D48" s="35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35"/>
      <c r="D49" s="35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36">
        <f>C47+C48+C49</f>
        <v>23985</v>
      </c>
      <c r="D51" s="36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1" zoomScale="90" zoomScaleNormal="90" workbookViewId="0">
      <selection activeCell="M27" sqref="M27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37" t="s">
        <v>89</v>
      </c>
      <c r="D58" s="37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38">
        <f>SUMIFS(I$3:I$55,B$3:B$55,A$58,L$3:L$55,A$59)</f>
        <v>43676</v>
      </c>
      <c r="D59" s="38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39">
        <v>0</v>
      </c>
      <c r="D60" s="39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39">
        <f>-SUMIFS(I$3:I$55,B$3:B$55,A$58,P$3:P$55,"xx",N$3:N$55,"x")</f>
        <v>-975</v>
      </c>
      <c r="D61" s="39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37">
        <f>SUBTOTAL(9,C59:C61)</f>
        <v>42701</v>
      </c>
      <c r="D62" s="37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35"/>
      <c r="D63" s="35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35"/>
      <c r="D64" s="35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36">
        <f>C62+C63+C64</f>
        <v>42701</v>
      </c>
      <c r="D66" s="36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37" t="s">
        <v>89</v>
      </c>
      <c r="D47" s="37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38">
        <f>SUMIFS(I$3:I$43,B$3:B$43,A$47,L$3:L$43,A$48)</f>
        <v>28800</v>
      </c>
      <c r="D48" s="38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39">
        <v>0</v>
      </c>
      <c r="D49" s="39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39">
        <f>-SUMIFS(I$3:I$43,B$3:B$43,A$47,P$3:P$43,"xx",N$3:N$43,"x")</f>
        <v>0</v>
      </c>
      <c r="D50" s="39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37">
        <f>SUBTOTAL(9,C48:C50)</f>
        <v>28800</v>
      </c>
      <c r="D51" s="37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35"/>
      <c r="D52" s="35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35"/>
      <c r="D53" s="35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36">
        <f>C51+C52+C53</f>
        <v>28800</v>
      </c>
      <c r="D55" s="36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37" t="s">
        <v>89</v>
      </c>
      <c r="D70" s="37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38">
        <f>SUMIFS(I$3:I$66,B$3:B$66,A$70,L$3:L$66,A$71)</f>
        <v>40275</v>
      </c>
      <c r="D71" s="38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39">
        <v>0</v>
      </c>
      <c r="D72" s="39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39">
        <f>-SUMIFS(I$3:I$66,B$3:B$66,A$70,P$3:P$66,"xx",N$3:N$66,"x")</f>
        <v>-790</v>
      </c>
      <c r="D73" s="39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37">
        <f>SUBTOTAL(9,C71:C73)</f>
        <v>39485</v>
      </c>
      <c r="D74" s="37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35"/>
      <c r="D75" s="35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35"/>
      <c r="D76" s="35"/>
      <c r="L76" s="9">
        <f>SUBTOTAL(9,L71:L75)</f>
        <v>15833</v>
      </c>
      <c r="M76" s="9">
        <f>M71</f>
        <v>26</v>
      </c>
      <c r="O76" s="4" t="s">
        <v>106</v>
      </c>
      <c r="P76" s="4">
        <f>SUBTOTAL(9,P71:P75)</f>
        <v>245</v>
      </c>
    </row>
    <row r="78" spans="1:17" x14ac:dyDescent="0.25">
      <c r="B78" s="1" t="s">
        <v>108</v>
      </c>
      <c r="C78" s="36">
        <f>C74+C75+C76</f>
        <v>39485</v>
      </c>
      <c r="D78" s="3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D15" sqref="D15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1308</v>
      </c>
      <c r="D3" s="18" t="s">
        <v>1309</v>
      </c>
      <c r="E3" s="18" t="s">
        <v>1310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1312</v>
      </c>
      <c r="D4" s="18" t="s">
        <v>1313</v>
      </c>
      <c r="E4" s="18" t="s">
        <v>1314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1315</v>
      </c>
      <c r="D5" s="18" t="s">
        <v>1316</v>
      </c>
      <c r="E5" s="18" t="s">
        <v>1317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1318</v>
      </c>
      <c r="D6" s="18" t="s">
        <v>1319</v>
      </c>
      <c r="E6" s="18" t="s">
        <v>1320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1321</v>
      </c>
      <c r="K6" s="18" t="s">
        <v>21</v>
      </c>
      <c r="L6" s="18" t="s">
        <v>1311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1322</v>
      </c>
      <c r="E7" s="18" t="s">
        <v>1323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1321</v>
      </c>
      <c r="K7" s="18" t="s">
        <v>21</v>
      </c>
      <c r="L7" s="18" t="s">
        <v>1311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1324</v>
      </c>
      <c r="D8" s="18" t="s">
        <v>1325</v>
      </c>
      <c r="E8" s="18" t="s">
        <v>1326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1321</v>
      </c>
      <c r="K8" s="18" t="s">
        <v>21</v>
      </c>
      <c r="L8" s="18" t="s">
        <v>1311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1327</v>
      </c>
      <c r="D9" s="18" t="s">
        <v>1328</v>
      </c>
      <c r="E9" s="18" t="s">
        <v>1329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1321</v>
      </c>
      <c r="K9" s="18" t="s">
        <v>21</v>
      </c>
      <c r="L9" s="18" t="s">
        <v>1311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1330</v>
      </c>
      <c r="D10" s="18" t="s">
        <v>1331</v>
      </c>
      <c r="E10" s="18" t="s">
        <v>1332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1321</v>
      </c>
      <c r="K10" s="18" t="s">
        <v>21</v>
      </c>
      <c r="L10" s="18" t="s">
        <v>1311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1333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1311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1334</v>
      </c>
      <c r="D12" s="18" t="s">
        <v>1335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1336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1337</v>
      </c>
      <c r="D14" s="18" t="s">
        <v>1338</v>
      </c>
      <c r="E14" s="18" t="s">
        <v>1339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1340</v>
      </c>
      <c r="D15" s="18" t="s">
        <v>1341</v>
      </c>
      <c r="E15" s="18" t="s">
        <v>1342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1343</v>
      </c>
      <c r="E16" s="18" t="s">
        <v>1344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1345</v>
      </c>
      <c r="D17" s="18" t="s">
        <v>1346</v>
      </c>
      <c r="E17" s="18" t="s">
        <v>1347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1348</v>
      </c>
      <c r="D18" s="18" t="s">
        <v>1349</v>
      </c>
      <c r="E18" s="18" t="s">
        <v>1350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1311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1351</v>
      </c>
      <c r="E19" s="18" t="s">
        <v>1352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1311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1353</v>
      </c>
      <c r="D20" s="18" t="s">
        <v>1354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1355</v>
      </c>
      <c r="D21" s="18" t="s">
        <v>1356</v>
      </c>
      <c r="E21" s="18" t="s">
        <v>1357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1311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1358</v>
      </c>
      <c r="D22" s="18"/>
      <c r="E22" s="18" t="s">
        <v>1359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1311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1360</v>
      </c>
      <c r="D23" s="20" t="s">
        <v>1361</v>
      </c>
      <c r="E23" s="20" t="s">
        <v>1362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1363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1364</v>
      </c>
      <c r="D24" s="20" t="s">
        <v>1365</v>
      </c>
      <c r="E24" s="20" t="s">
        <v>1366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1363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1363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1367</v>
      </c>
      <c r="D26" s="20" t="s">
        <v>1368</v>
      </c>
      <c r="E26" s="20" t="s">
        <v>1369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1363</v>
      </c>
      <c r="K26" s="20" t="s">
        <v>21</v>
      </c>
      <c r="L26" s="20" t="s">
        <v>1370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37" t="s">
        <v>89</v>
      </c>
      <c r="D30" s="37"/>
      <c r="E30" s="4" t="s">
        <v>90</v>
      </c>
      <c r="H30">
        <f>-1*25</f>
        <v>-25</v>
      </c>
      <c r="K30" s="7" t="s">
        <v>1321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1311</v>
      </c>
      <c r="B31" s="3" t="s">
        <v>93</v>
      </c>
      <c r="C31" s="38">
        <f>SUMIFS(I$3:I$26,B$3:B$26,A$30,L$3:L$26,A$31)</f>
        <v>10860</v>
      </c>
      <c r="D31" s="38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2" t="s">
        <v>97</v>
      </c>
      <c r="C32" s="39">
        <v>0</v>
      </c>
      <c r="D32" s="39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39">
        <f>-SUMIFS(I$3:I$26,B$3:B$26,A$30,P$3:P$26,"xx",N$3:N$26,"x")</f>
        <v>-2910</v>
      </c>
      <c r="D33" s="39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37">
        <f>SUBTOTAL(9,C31:C33)</f>
        <v>7950</v>
      </c>
      <c r="D34" s="37"/>
      <c r="E34">
        <f>E31</f>
        <v>20</v>
      </c>
      <c r="K34" s="2" t="s">
        <v>102</v>
      </c>
      <c r="L34" s="29">
        <v>-3007</v>
      </c>
      <c r="M34" s="29" t="s">
        <v>1372</v>
      </c>
      <c r="O34" t="s">
        <v>165</v>
      </c>
      <c r="P34">
        <f>L60</f>
        <v>5</v>
      </c>
    </row>
    <row r="35" spans="2:16" x14ac:dyDescent="0.25">
      <c r="B35" s="2" t="s">
        <v>104</v>
      </c>
      <c r="C35" s="35"/>
      <c r="D35" s="35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35"/>
      <c r="D36" s="35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36">
        <f>C34+C35+C36</f>
        <v>7950</v>
      </c>
      <c r="D38" s="36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1373</v>
      </c>
      <c r="D3" s="18" t="s">
        <v>1374</v>
      </c>
      <c r="E3" s="18" t="s">
        <v>1375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1376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1377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1379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1380</v>
      </c>
      <c r="K5" s="18" t="s">
        <v>21</v>
      </c>
      <c r="L5" s="18" t="s">
        <v>1376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1381</v>
      </c>
      <c r="E6" s="18" t="s">
        <v>1382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1380</v>
      </c>
      <c r="K6" s="18" t="s">
        <v>21</v>
      </c>
      <c r="L6" s="18" t="s">
        <v>1376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1383</v>
      </c>
      <c r="D7" s="18" t="s">
        <v>1384</v>
      </c>
      <c r="E7" s="18" t="s">
        <v>1385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1380</v>
      </c>
      <c r="K7" s="18" t="s">
        <v>21</v>
      </c>
      <c r="L7" s="18" t="s">
        <v>1376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1386</v>
      </c>
      <c r="D8" s="18" t="s">
        <v>1387</v>
      </c>
      <c r="E8" s="18" t="s">
        <v>1388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1380</v>
      </c>
      <c r="K8" s="18" t="s">
        <v>21</v>
      </c>
      <c r="L8" s="18" t="s">
        <v>1376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1389</v>
      </c>
      <c r="D9" s="18" t="s">
        <v>1390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1380</v>
      </c>
      <c r="K9" s="18" t="s">
        <v>21</v>
      </c>
      <c r="L9" s="18" t="s">
        <v>1376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1391</v>
      </c>
      <c r="D10" s="18" t="s">
        <v>1392</v>
      </c>
      <c r="E10" s="18" t="s">
        <v>1393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1380</v>
      </c>
      <c r="K10" s="18" t="s">
        <v>21</v>
      </c>
      <c r="L10" s="18" t="s">
        <v>1376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1394</v>
      </c>
      <c r="D11" s="18" t="s">
        <v>1395</v>
      </c>
      <c r="E11" s="18" t="s">
        <v>1396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1380</v>
      </c>
      <c r="K11" s="18" t="s">
        <v>21</v>
      </c>
      <c r="L11" s="18" t="s">
        <v>1376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1397</v>
      </c>
      <c r="D12" s="18" t="s">
        <v>1398</v>
      </c>
      <c r="E12" s="18" t="s">
        <v>1399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1380</v>
      </c>
      <c r="K12" s="18" t="s">
        <v>21</v>
      </c>
      <c r="L12" s="18" t="s">
        <v>1376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1400</v>
      </c>
      <c r="D13" s="18" t="s">
        <v>1401</v>
      </c>
      <c r="E13" s="18" t="s">
        <v>1402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1380</v>
      </c>
      <c r="K13" s="18" t="s">
        <v>21</v>
      </c>
      <c r="L13" s="18" t="s">
        <v>1376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1380</v>
      </c>
      <c r="K14" s="18" t="s">
        <v>21</v>
      </c>
      <c r="L14" s="18" t="s">
        <v>1376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1380</v>
      </c>
      <c r="K15" s="18" t="s">
        <v>21</v>
      </c>
      <c r="L15" s="18" t="s">
        <v>1376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1403</v>
      </c>
      <c r="D16" s="18" t="s">
        <v>1404</v>
      </c>
      <c r="E16" s="18" t="s">
        <v>1405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1376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1406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1407</v>
      </c>
      <c r="D18" s="18" t="s">
        <v>1408</v>
      </c>
      <c r="E18" s="18" t="s">
        <v>1409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1410</v>
      </c>
      <c r="D19" s="18" t="s">
        <v>1411</v>
      </c>
      <c r="E19" s="18" t="s">
        <v>1412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1413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1376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1414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1376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1376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1376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1415</v>
      </c>
      <c r="D24" s="18"/>
      <c r="E24" s="18" t="s">
        <v>1416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1376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1417</v>
      </c>
      <c r="D25" s="18" t="s">
        <v>1418</v>
      </c>
      <c r="E25" s="18" t="s">
        <v>1419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1420</v>
      </c>
      <c r="E26" s="18" t="s">
        <v>1421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1422</v>
      </c>
      <c r="D27" s="18" t="s">
        <v>1423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1424</v>
      </c>
      <c r="D28" s="18" t="s">
        <v>1425</v>
      </c>
      <c r="E28" s="18" t="s">
        <v>1426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1427</v>
      </c>
      <c r="D29" s="18" t="s">
        <v>1428</v>
      </c>
      <c r="E29" s="18" t="s">
        <v>1429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1430</v>
      </c>
      <c r="D30" s="18" t="s">
        <v>1431</v>
      </c>
      <c r="E30" s="18" t="s">
        <v>1432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1433</v>
      </c>
      <c r="D32" s="18" t="s">
        <v>1434</v>
      </c>
      <c r="E32" s="18" t="s">
        <v>1435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1436</v>
      </c>
      <c r="D33" s="18" t="s">
        <v>1437</v>
      </c>
      <c r="E33" s="18" t="s">
        <v>1438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1439</v>
      </c>
      <c r="D34" s="18"/>
      <c r="E34" s="18" t="s">
        <v>1440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1376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37" t="s">
        <v>89</v>
      </c>
      <c r="D39" s="37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1376</v>
      </c>
      <c r="B40" s="3" t="s">
        <v>93</v>
      </c>
      <c r="C40" s="38">
        <f>SUMIFS(I$3:I$35,B$3:B$35,A$39,L$3:L$35,A$40)</f>
        <v>22860</v>
      </c>
      <c r="D40" s="38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39">
        <v>0</v>
      </c>
      <c r="D41" s="39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2" t="s">
        <v>99</v>
      </c>
      <c r="C42" s="39">
        <f>-SUMIFS(I$3:I$35,B$3:B$35,A$39,P$3:P$35,"xx",N$3:N$35,"x")</f>
        <v>-870</v>
      </c>
      <c r="D42" s="39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37">
        <f>SUBTOTAL(9,C40:C42)</f>
        <v>21990</v>
      </c>
      <c r="D43" s="37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35"/>
      <c r="D44" s="35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35"/>
      <c r="D45" s="35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36">
        <f>C43+C44+C45</f>
        <v>21990</v>
      </c>
      <c r="D47" s="36"/>
      <c r="E47" s="1" t="s">
        <v>109</v>
      </c>
      <c r="K47" s="7" t="s">
        <v>1380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25" workbookViewId="0">
      <selection activeCell="E27" sqref="E27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1442</v>
      </c>
      <c r="D3" s="18" t="s">
        <v>1443</v>
      </c>
      <c r="E3" s="18" t="s">
        <v>1444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1446</v>
      </c>
      <c r="D4" s="18" t="s">
        <v>1447</v>
      </c>
      <c r="E4" s="18" t="s">
        <v>1448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1449</v>
      </c>
      <c r="D5" s="18" t="s">
        <v>1450</v>
      </c>
      <c r="E5" s="18" t="s">
        <v>1451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1452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1445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1453</v>
      </c>
      <c r="D7" s="18"/>
      <c r="E7" s="18" t="s">
        <v>1454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1455</v>
      </c>
      <c r="D8" s="18" t="s">
        <v>1456</v>
      </c>
      <c r="E8" s="18" t="s">
        <v>1457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1458</v>
      </c>
      <c r="D9" s="18" t="s">
        <v>1459</v>
      </c>
      <c r="E9" s="18" t="s">
        <v>1460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1461</v>
      </c>
      <c r="K9" s="18" t="s">
        <v>21</v>
      </c>
      <c r="L9" s="18" t="s">
        <v>1445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1462</v>
      </c>
      <c r="D10" s="18" t="s">
        <v>1463</v>
      </c>
      <c r="E10" s="18" t="s">
        <v>1464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1461</v>
      </c>
      <c r="K10" s="18" t="s">
        <v>21</v>
      </c>
      <c r="L10" s="18" t="s">
        <v>1445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1465</v>
      </c>
      <c r="D11" s="18" t="s">
        <v>1466</v>
      </c>
      <c r="E11" s="18" t="s">
        <v>1467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1461</v>
      </c>
      <c r="K11" s="18" t="s">
        <v>21</v>
      </c>
      <c r="L11" s="18" t="s">
        <v>1445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1468</v>
      </c>
      <c r="D12" s="18" t="s">
        <v>1469</v>
      </c>
      <c r="E12" s="18" t="s">
        <v>1470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1461</v>
      </c>
      <c r="K12" s="18" t="s">
        <v>21</v>
      </c>
      <c r="L12" s="18" t="s">
        <v>1445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1471</v>
      </c>
      <c r="E13" s="18" t="s">
        <v>1472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1461</v>
      </c>
      <c r="K13" s="18" t="s">
        <v>21</v>
      </c>
      <c r="L13" s="18" t="s">
        <v>1445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1473</v>
      </c>
      <c r="D14" s="18" t="s">
        <v>1474</v>
      </c>
      <c r="E14" s="18" t="s">
        <v>1475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1461</v>
      </c>
      <c r="K14" s="18" t="s">
        <v>21</v>
      </c>
      <c r="L14" s="18" t="s">
        <v>1445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1476</v>
      </c>
      <c r="D15" s="18" t="s">
        <v>1477</v>
      </c>
      <c r="E15" s="18" t="s">
        <v>1478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1461</v>
      </c>
      <c r="K15" s="18" t="s">
        <v>21</v>
      </c>
      <c r="L15" s="18" t="s">
        <v>1445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1479</v>
      </c>
      <c r="D16" s="18" t="s">
        <v>1480</v>
      </c>
      <c r="E16" s="18" t="s">
        <v>1481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1461</v>
      </c>
      <c r="K16" s="18" t="s">
        <v>21</v>
      </c>
      <c r="L16" s="18" t="s">
        <v>1445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1482</v>
      </c>
      <c r="E17" s="18" t="s">
        <v>1483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1461</v>
      </c>
      <c r="K17" s="18" t="s">
        <v>21</v>
      </c>
      <c r="L17" s="18" t="s">
        <v>1445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1484</v>
      </c>
      <c r="D18" s="18" t="s">
        <v>1485</v>
      </c>
      <c r="E18" s="18" t="s">
        <v>1486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1461</v>
      </c>
      <c r="K18" s="18" t="s">
        <v>21</v>
      </c>
      <c r="L18" s="18" t="s">
        <v>1445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1487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1461</v>
      </c>
      <c r="K19" s="18" t="s">
        <v>21</v>
      </c>
      <c r="L19" s="18" t="s">
        <v>1445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1488</v>
      </c>
      <c r="D20" s="18" t="s">
        <v>1489</v>
      </c>
      <c r="E20" s="18" t="s">
        <v>1490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1461</v>
      </c>
      <c r="K20" s="18" t="s">
        <v>21</v>
      </c>
      <c r="L20" s="18" t="s">
        <v>1445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1491</v>
      </c>
      <c r="D21" s="18" t="s">
        <v>1492</v>
      </c>
      <c r="E21" s="18" t="s">
        <v>1493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1461</v>
      </c>
      <c r="K21" s="18" t="s">
        <v>21</v>
      </c>
      <c r="L21" s="18" t="s">
        <v>1445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1494</v>
      </c>
      <c r="D22" s="18" t="s">
        <v>1495</v>
      </c>
      <c r="E22" s="18" t="s">
        <v>1496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1461</v>
      </c>
      <c r="K22" s="18" t="s">
        <v>21</v>
      </c>
      <c r="L22" s="18" t="s">
        <v>1445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1497</v>
      </c>
      <c r="D23" s="18" t="s">
        <v>1498</v>
      </c>
      <c r="E23" s="18" t="s">
        <v>1499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1461</v>
      </c>
      <c r="K23" s="18" t="s">
        <v>21</v>
      </c>
      <c r="L23" s="18" t="s">
        <v>1445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1500</v>
      </c>
      <c r="D24" s="18" t="s">
        <v>1501</v>
      </c>
      <c r="E24" s="18" t="s">
        <v>1502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1461</v>
      </c>
      <c r="K24" s="18" t="s">
        <v>21</v>
      </c>
      <c r="L24" s="18" t="s">
        <v>1445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1503</v>
      </c>
      <c r="D25" s="18"/>
      <c r="E25" s="18" t="s">
        <v>1504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1461</v>
      </c>
      <c r="K25" s="18" t="s">
        <v>21</v>
      </c>
      <c r="L25" s="18" t="s">
        <v>1445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1505</v>
      </c>
      <c r="D26" s="18" t="s">
        <v>1506</v>
      </c>
      <c r="E26" s="18" t="s">
        <v>1507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1508</v>
      </c>
      <c r="D27" s="18" t="s">
        <v>1509</v>
      </c>
      <c r="E27" s="18" t="s">
        <v>1510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1511</v>
      </c>
      <c r="D28" s="18" t="s">
        <v>1512</v>
      </c>
      <c r="E28" s="18" t="s">
        <v>1513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1514</v>
      </c>
      <c r="D29" s="18" t="s">
        <v>1515</v>
      </c>
      <c r="E29" s="18" t="s">
        <v>1516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1517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1518</v>
      </c>
      <c r="D31" s="18" t="s">
        <v>1519</v>
      </c>
      <c r="E31" s="18" t="s">
        <v>1520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1521</v>
      </c>
      <c r="D32" s="18" t="s">
        <v>1522</v>
      </c>
      <c r="E32" s="18" t="s">
        <v>1523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1524</v>
      </c>
      <c r="D33" s="18" t="s">
        <v>1525</v>
      </c>
      <c r="E33" s="18" t="s">
        <v>1526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1527</v>
      </c>
      <c r="D34" s="18" t="s">
        <v>1528</v>
      </c>
      <c r="E34" s="18" t="s">
        <v>1529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1530</v>
      </c>
      <c r="D35" s="18" t="s">
        <v>1531</v>
      </c>
      <c r="E35" s="18" t="s">
        <v>1532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1533</v>
      </c>
      <c r="D36" s="18" t="s">
        <v>1534</v>
      </c>
      <c r="E36" s="18" t="s">
        <v>1535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1445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1536</v>
      </c>
      <c r="D37" s="18"/>
      <c r="E37" s="18" t="s">
        <v>1537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1445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1538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1445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1539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1445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1540</v>
      </c>
      <c r="D40" s="18" t="s">
        <v>1541</v>
      </c>
      <c r="E40" s="18" t="s">
        <v>1542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1543</v>
      </c>
      <c r="D41" s="18" t="s">
        <v>1544</v>
      </c>
      <c r="E41" s="18" t="s">
        <v>1545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1546</v>
      </c>
      <c r="D42" s="18" t="s">
        <v>1547</v>
      </c>
      <c r="E42" s="18" t="s">
        <v>1548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1549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1445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1550</v>
      </c>
      <c r="E44" s="18" t="s">
        <v>1551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1552</v>
      </c>
      <c r="D45" s="18" t="s">
        <v>1553</v>
      </c>
      <c r="E45" s="18" t="s">
        <v>1554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1555</v>
      </c>
      <c r="D46" s="18" t="s">
        <v>1556</v>
      </c>
      <c r="E46" s="18" t="s">
        <v>1557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1558</v>
      </c>
      <c r="D47" s="18" t="s">
        <v>1559</v>
      </c>
      <c r="E47" s="18" t="s">
        <v>1560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1561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1445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1445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1562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1445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1340</v>
      </c>
      <c r="D51" s="20" t="s">
        <v>1341</v>
      </c>
      <c r="E51" s="20" t="s">
        <v>1342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1311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1563</v>
      </c>
      <c r="D52" s="20" t="s">
        <v>1564</v>
      </c>
      <c r="E52" s="20" t="s">
        <v>1565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1445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37" t="s">
        <v>89</v>
      </c>
      <c r="D56" s="37"/>
      <c r="E56" s="4" t="s">
        <v>90</v>
      </c>
      <c r="H56">
        <f>-5*25</f>
        <v>-125</v>
      </c>
      <c r="K56" s="7" t="s">
        <v>1461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1445</v>
      </c>
      <c r="B57" s="3" t="s">
        <v>93</v>
      </c>
      <c r="C57" s="38">
        <f>SUMIFS(I$3:I$52,B$3:B$52,A$56,L$3:L$52,A$57)</f>
        <v>28155</v>
      </c>
      <c r="D57" s="38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1566</v>
      </c>
      <c r="P57">
        <f>L62</f>
        <v>7146</v>
      </c>
    </row>
    <row r="58" spans="1:17" x14ac:dyDescent="0.25">
      <c r="B58" s="2" t="s">
        <v>97</v>
      </c>
      <c r="C58" s="39">
        <v>0</v>
      </c>
      <c r="D58" s="39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39">
        <f>-SUMIFS(I$3:I$52,B$3:B$52,A$56,P$3:P$52,"xx",N$3:N$52,"x")</f>
        <v>-3155</v>
      </c>
      <c r="D59" s="39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37">
        <f>SUBTOTAL(9,C57:C59)</f>
        <v>25000</v>
      </c>
      <c r="D60" s="37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35"/>
      <c r="D61" s="35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35"/>
      <c r="D62" s="35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36">
        <f>C60+C61+C62</f>
        <v>25000</v>
      </c>
      <c r="D64" s="36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abSelected="1" topLeftCell="A12" workbookViewId="0">
      <selection activeCell="G21" sqref="G21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1585</v>
      </c>
      <c r="D3" s="18" t="s">
        <v>1586</v>
      </c>
      <c r="E3" s="18" t="s">
        <v>1587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1579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1644</v>
      </c>
      <c r="D4" s="18" t="s">
        <v>1645</v>
      </c>
      <c r="E4" s="18" t="s">
        <v>1646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1579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1669</v>
      </c>
      <c r="D5" s="18" t="s">
        <v>1670</v>
      </c>
      <c r="E5" s="18" t="s">
        <v>1671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1579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1588</v>
      </c>
      <c r="D6" s="18" t="s">
        <v>1589</v>
      </c>
      <c r="E6" s="18" t="s">
        <v>1590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1591</v>
      </c>
      <c r="K6" s="18" t="s">
        <v>21</v>
      </c>
      <c r="L6" s="18" t="s">
        <v>1579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1592</v>
      </c>
      <c r="D7" s="18" t="s">
        <v>1593</v>
      </c>
      <c r="E7" s="18" t="s">
        <v>1594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1591</v>
      </c>
      <c r="K7" s="18" t="s">
        <v>21</v>
      </c>
      <c r="L7" s="18" t="s">
        <v>1579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1595</v>
      </c>
      <c r="D8" s="18" t="s">
        <v>1596</v>
      </c>
      <c r="E8" s="18" t="s">
        <v>1597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1591</v>
      </c>
      <c r="K8" s="18" t="s">
        <v>21</v>
      </c>
      <c r="L8" s="18" t="s">
        <v>1579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1608</v>
      </c>
      <c r="D9" s="18" t="s">
        <v>1609</v>
      </c>
      <c r="E9" s="18" t="s">
        <v>1610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1591</v>
      </c>
      <c r="K9" s="18" t="s">
        <v>21</v>
      </c>
      <c r="L9" s="18" t="s">
        <v>1579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1617</v>
      </c>
      <c r="D10" s="18" t="s">
        <v>1618</v>
      </c>
      <c r="E10" s="18" t="s">
        <v>1619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1591</v>
      </c>
      <c r="K10" s="18" t="s">
        <v>21</v>
      </c>
      <c r="L10" s="18" t="s">
        <v>1579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1634</v>
      </c>
      <c r="D11" s="18" t="s">
        <v>1635</v>
      </c>
      <c r="E11" s="18" t="s">
        <v>1636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1591</v>
      </c>
      <c r="K11" s="18" t="s">
        <v>21</v>
      </c>
      <c r="L11" s="18" t="s">
        <v>1579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1650</v>
      </c>
      <c r="D12" s="18" t="s">
        <v>1651</v>
      </c>
      <c r="E12" s="18" t="s">
        <v>1652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1591</v>
      </c>
      <c r="K12" s="18" t="s">
        <v>21</v>
      </c>
      <c r="L12" s="18" t="s">
        <v>1579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1653</v>
      </c>
      <c r="D13" s="18" t="s">
        <v>1654</v>
      </c>
      <c r="E13" s="18" t="s">
        <v>1655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1591</v>
      </c>
      <c r="K13" s="18" t="s">
        <v>21</v>
      </c>
      <c r="L13" s="18" t="s">
        <v>1579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1659</v>
      </c>
      <c r="D14" s="18" t="s">
        <v>1660</v>
      </c>
      <c r="E14" s="18" t="s">
        <v>1661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1591</v>
      </c>
      <c r="K14" s="18" t="s">
        <v>21</v>
      </c>
      <c r="L14" s="18" t="s">
        <v>1579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1662</v>
      </c>
      <c r="D15" s="18" t="s">
        <v>1663</v>
      </c>
      <c r="E15" s="18" t="s">
        <v>1664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1591</v>
      </c>
      <c r="K15" s="18" t="s">
        <v>21</v>
      </c>
      <c r="L15" s="18" t="s">
        <v>1579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1666</v>
      </c>
      <c r="D16" s="18" t="s">
        <v>1667</v>
      </c>
      <c r="E16" s="18" t="s">
        <v>1668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1591</v>
      </c>
      <c r="K16" s="18" t="s">
        <v>21</v>
      </c>
      <c r="L16" s="18" t="s">
        <v>1579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1367</v>
      </c>
      <c r="D17" s="18" t="s">
        <v>1674</v>
      </c>
      <c r="E17" s="18" t="s">
        <v>1369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1591</v>
      </c>
      <c r="K17" s="18" t="s">
        <v>21</v>
      </c>
      <c r="L17" s="18" t="s">
        <v>1579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1688</v>
      </c>
      <c r="D18" s="18" t="s">
        <v>1689</v>
      </c>
      <c r="E18" s="18" t="s">
        <v>1690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1591</v>
      </c>
      <c r="K18" s="18" t="s">
        <v>21</v>
      </c>
      <c r="L18" s="18" t="s">
        <v>1579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1696</v>
      </c>
      <c r="D19" s="18"/>
      <c r="E19" s="18" t="s">
        <v>1697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1591</v>
      </c>
      <c r="K19" s="18" t="s">
        <v>21</v>
      </c>
      <c r="L19" s="18" t="s">
        <v>1579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1698</v>
      </c>
      <c r="D20" s="18"/>
      <c r="E20" s="18" t="s">
        <v>1699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1591</v>
      </c>
      <c r="K20" s="18" t="s">
        <v>21</v>
      </c>
      <c r="L20" s="18" t="s">
        <v>1579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1580</v>
      </c>
      <c r="E21" s="18" t="s">
        <v>1581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1579</v>
      </c>
      <c r="M21" s="41" t="s">
        <v>1704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1611</v>
      </c>
      <c r="D22" s="18" t="s">
        <v>1612</v>
      </c>
      <c r="E22" s="18" t="s">
        <v>1613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1579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1620</v>
      </c>
      <c r="E23" s="18" t="s">
        <v>1621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1579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1637</v>
      </c>
      <c r="D24" s="18" t="s">
        <v>1638</v>
      </c>
      <c r="E24" s="18" t="s">
        <v>1639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1579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1647</v>
      </c>
      <c r="D25" s="18" t="s">
        <v>1648</v>
      </c>
      <c r="E25" s="18" t="s">
        <v>1649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1579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1656</v>
      </c>
      <c r="D26" s="18" t="s">
        <v>1657</v>
      </c>
      <c r="E26" s="18" t="s">
        <v>1658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1579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1675</v>
      </c>
      <c r="D27" s="18" t="s">
        <v>1676</v>
      </c>
      <c r="E27" s="18" t="s">
        <v>1677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1579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1678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1579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1679</v>
      </c>
      <c r="D29" s="18" t="s">
        <v>1680</v>
      </c>
      <c r="E29" s="18" t="s">
        <v>1681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1579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1686</v>
      </c>
      <c r="D30" s="18" t="s">
        <v>1687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1579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1691</v>
      </c>
      <c r="D31" s="18"/>
      <c r="E31" s="18" t="s">
        <v>1692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1579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1693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1579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1694</v>
      </c>
      <c r="D33" s="18"/>
      <c r="E33" s="18" t="s">
        <v>1695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1579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1702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1579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1579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1577</v>
      </c>
      <c r="E36" s="18" t="s">
        <v>1578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1579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1582</v>
      </c>
      <c r="D37" s="18" t="s">
        <v>1583</v>
      </c>
      <c r="E37" s="18" t="s">
        <v>1584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1579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1598</v>
      </c>
      <c r="E38" s="18" t="s">
        <v>1421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1579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1643</v>
      </c>
      <c r="E39" s="18" t="s">
        <v>1421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1579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1599</v>
      </c>
      <c r="D40" s="18" t="s">
        <v>1600</v>
      </c>
      <c r="E40" s="18" t="s">
        <v>1601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1579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1602</v>
      </c>
      <c r="D41" s="18" t="s">
        <v>1603</v>
      </c>
      <c r="E41" s="18" t="s">
        <v>1604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1579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1605</v>
      </c>
      <c r="D42" s="18" t="s">
        <v>1606</v>
      </c>
      <c r="E42" s="18" t="s">
        <v>1607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1579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1614</v>
      </c>
      <c r="D43" s="18" t="s">
        <v>1615</v>
      </c>
      <c r="E43" s="18" t="s">
        <v>1616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1579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1622</v>
      </c>
      <c r="D44" s="18" t="s">
        <v>1623</v>
      </c>
      <c r="E44" s="18" t="s">
        <v>1624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1579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1625</v>
      </c>
      <c r="D45" s="18" t="s">
        <v>1626</v>
      </c>
      <c r="E45" s="18" t="s">
        <v>1627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1579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1628</v>
      </c>
      <c r="D46" s="18" t="s">
        <v>1629</v>
      </c>
      <c r="E46" s="18" t="s">
        <v>1630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1579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1631</v>
      </c>
      <c r="D47" s="18" t="s">
        <v>1632</v>
      </c>
      <c r="E47" s="18" t="s">
        <v>1633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1579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1640</v>
      </c>
      <c r="D48" s="18" t="s">
        <v>1641</v>
      </c>
      <c r="E48" s="18" t="s">
        <v>1642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1579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1665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1579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1672</v>
      </c>
      <c r="E50" s="18" t="s">
        <v>1673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1579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1682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1579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1683</v>
      </c>
      <c r="D52" s="18" t="s">
        <v>1684</v>
      </c>
      <c r="E52" s="18" t="s">
        <v>1685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1579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1700</v>
      </c>
      <c r="D53" s="18"/>
      <c r="E53" s="18" t="s">
        <v>1701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1579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37" t="s">
        <v>89</v>
      </c>
      <c r="D57" s="37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1579</v>
      </c>
      <c r="B58" s="3" t="s">
        <v>93</v>
      </c>
      <c r="C58" s="38">
        <f>SUMIFS(I$3:I$53,B$3:B$53,A$57,L$3:L$53,A$58)</f>
        <v>30480</v>
      </c>
      <c r="D58" s="38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39">
        <v>0</v>
      </c>
      <c r="D59" s="39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39">
        <f>-SUMIFS(I$3:I$53,B$3:B$53,A$57,P$3:P$53,"xx",N$3:N$53,"x")</f>
        <v>0</v>
      </c>
      <c r="D60" s="39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37">
        <f>SUBTOTAL(9,C58:C60)</f>
        <v>30480</v>
      </c>
      <c r="D61" s="37"/>
      <c r="E61">
        <f>E58</f>
        <v>51</v>
      </c>
      <c r="K61" s="2" t="s">
        <v>102</v>
      </c>
      <c r="O61" t="s">
        <v>1703</v>
      </c>
      <c r="P61">
        <f>L87</f>
        <v>9147</v>
      </c>
    </row>
    <row r="62" spans="1:17" x14ac:dyDescent="0.25">
      <c r="B62" s="2" t="s">
        <v>104</v>
      </c>
      <c r="C62" s="35"/>
      <c r="D62" s="35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35"/>
      <c r="D63" s="35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36">
        <f>C61+C62+C63</f>
        <v>30480</v>
      </c>
      <c r="D65" s="3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1591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F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E30" sqref="E30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1567</v>
      </c>
      <c r="B1" s="30">
        <v>2026</v>
      </c>
    </row>
    <row r="2" spans="1:5" x14ac:dyDescent="0.25">
      <c r="A2" s="31" t="s">
        <v>1568</v>
      </c>
      <c r="B2" s="31" t="s">
        <v>1569</v>
      </c>
      <c r="C2" s="31" t="s">
        <v>1570</v>
      </c>
      <c r="D2" s="31" t="s">
        <v>1571</v>
      </c>
      <c r="E2" s="31" t="s">
        <v>1572</v>
      </c>
    </row>
    <row r="3" spans="1:5" x14ac:dyDescent="0.25">
      <c r="A3" s="32">
        <v>46113</v>
      </c>
      <c r="B3" s="33">
        <f ca="1">IFERROR(COUNTIF(INDIRECT("'"&amp;TEXT(A3,"dd-mm")&amp;"'!L3:L100"),TEXT(A3,"dd-mm")&amp;"-"&amp;B$1),0)</f>
        <v>21</v>
      </c>
      <c r="C3" s="33">
        <f ca="1">IFERROR(COUNTIF(INDIRECT("'"&amp;TEXT(A3,"DD-MM")&amp;"'!M3:M100"),"*gộp*")/2,0)</f>
        <v>0</v>
      </c>
      <c r="D3" s="33" cm="1">
        <f t="array" aca="1" ref="D3" ca="1">IFERROR(SUM(COUNTIF(INDIRECT("'"&amp;TEXT(A3,"DD-MM")&amp;"'!M3:M100"),{"*đơn trả*","*hàng tỉnh*"})),0)</f>
        <v>0</v>
      </c>
      <c r="E3" s="33">
        <f t="shared" ref="E3:E28" ca="1" si="0">B3-C3-D3</f>
        <v>21</v>
      </c>
    </row>
    <row r="4" spans="1:5" x14ac:dyDescent="0.25">
      <c r="A4" s="32">
        <v>46114</v>
      </c>
      <c r="B4" s="33">
        <f ca="1">IFERROR(COUNTIF(INDIRECT("'"&amp;TEXT(A4,"dd-mm")&amp;"'!L3:L100"),TEXT(A4,"dd-mm")&amp;"-"&amp;B$1),0)</f>
        <v>22</v>
      </c>
      <c r="C4" s="33">
        <f ca="1">IFERROR(COUNTIF(INDIRECT("'"&amp;TEXT(A4,"DD-MM")&amp;"'!M3:M100"),"*gộp*")/2,0)</f>
        <v>0</v>
      </c>
      <c r="D4" s="33" cm="1">
        <f t="array" aca="1" ref="D4" ca="1">IFERROR(SUM(COUNTIF(INDIRECT("'"&amp;TEXT(A4,"DD-MM")&amp;"'!M3:M100"),{"*đơn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ca="1">IFERROR(COUNTIF(INDIRECT("'"&amp;TEXT(A5,"dd-mm")&amp;"'!L3:L100"),TEXT(A5,"dd-mm")&amp;"-"&amp;B$1),0)</f>
        <v>51</v>
      </c>
      <c r="C5" s="33">
        <f ca="1">IFERROR(COUNTIF(INDIRECT("'"&amp;TEXT(A5,"DD-MM")&amp;"'!M3:M100"),"*gộp*")/2,0)</f>
        <v>2</v>
      </c>
      <c r="D5" s="33" cm="1">
        <f t="array" aca="1" ref="D5" ca="1">IFERROR(SUM(COUNTIF(INDIRECT("'"&amp;TEXT(A5,"DD-MM")&amp;"'!M3:M100"),{"*đơn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ca="1">IFERROR(COUNTIF(INDIRECT("'"&amp;TEXT(A6,"dd-mm")&amp;"'!L3:L100"),TEXT(A6,"dd-mm")&amp;"-"&amp;B$1),0)</f>
        <v>40</v>
      </c>
      <c r="C6" s="33">
        <f ca="1">IFERROR(COUNTIF(INDIRECT("'"&amp;TEXT(A6,"DD-MM")&amp;"'!M3:M100"),"*gộp*")/2,0)</f>
        <v>0</v>
      </c>
      <c r="D6" s="33" cm="1">
        <f t="array" aca="1" ref="D6" ca="1">IFERROR(SUM(COUNTIF(INDIRECT("'"&amp;TEXT(A6,"DD-MM")&amp;"'!M3:M100"),{"*đơn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ref="B7:B28" ca="1" si="1">IFERROR(COUNTIF(INDIRECT("'"&amp;TEXT(A7,"dd-mm")&amp;"'!L3:L100"),TEXT(A7,"dd-mm")&amp;"-"&amp;B$1),0)</f>
        <v>52</v>
      </c>
      <c r="C7" s="33">
        <f t="shared" ref="C7:C28" ca="1" si="2">IFERROR(COUNTIF(INDIRECT("'"&amp;TEXT(A7,"DD-MM")&amp;"'!M3:M100"),"*gộp*")/2,0)</f>
        <v>0</v>
      </c>
      <c r="D7" s="33" cm="1">
        <f t="array" aca="1" ref="D7" ca="1">IFERROR(SUM(COUNTIF(INDIRECT("'"&amp;TEXT(A7,"DD-MM")&amp;"'!M3:M100"),{"*đơn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IFERROR(SUM(COUNTIF(INDIRECT("'"&amp;TEXT(A8,"DD-MM")&amp;"'!M3:M100"),{"*đơn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IFERROR(SUM(COUNTIF(INDIRECT("'"&amp;TEXT(A9,"DD-MM")&amp;"'!M3:M100"),{"*đơn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IFERROR(SUM(COUNTIF(INDIRECT("'"&amp;TEXT(A10,"DD-MM")&amp;"'!M3:M100"),{"*đơn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IFERROR(SUM(COUNTIF(INDIRECT("'"&amp;TEXT(A11,"DD-MM")&amp;"'!M3:M100"),{"*đơn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IFERROR(SUM(COUNTIF(INDIRECT("'"&amp;TEXT(A12,"DD-MM")&amp;"'!M3:M100"),{"*đơn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IFERROR(SUM(COUNTIF(INDIRECT("'"&amp;TEXT(A13,"DD-MM")&amp;"'!M3:M100"),{"*đơn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IFERROR(SUM(COUNTIF(INDIRECT("'"&amp;TEXT(A14,"DD-MM")&amp;"'!M3:M100"),{"*đơn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IFERROR(SUM(COUNTIF(INDIRECT("'"&amp;TEXT(A15,"DD-MM")&amp;"'!M3:M100"),{"*đơn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IFERROR(SUM(COUNTIF(INDIRECT("'"&amp;TEXT(A16,"DD-MM")&amp;"'!M3:M100"),{"*đơn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IFERROR(SUM(COUNTIF(INDIRECT("'"&amp;TEXT(A17,"DD-MM")&amp;"'!M3:M100"),{"*đơn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0</v>
      </c>
      <c r="C18" s="33">
        <f t="shared" ca="1" si="2"/>
        <v>0</v>
      </c>
      <c r="D18" s="33" cm="1">
        <f t="array" aca="1" ref="D18" ca="1">IFERROR(SUM(COUNTIF(INDIRECT("'"&amp;TEXT(A18,"DD-MM")&amp;"'!M3:M100"),{"*đơn trả*","*hàng tỉnh*"})),0)</f>
        <v>0</v>
      </c>
      <c r="E18" s="33">
        <f t="shared" ca="1" si="0"/>
        <v>0</v>
      </c>
    </row>
    <row r="19" spans="1:5" x14ac:dyDescent="0.25">
      <c r="A19" s="32">
        <v>46132</v>
      </c>
      <c r="B19" s="33">
        <f t="shared" ca="1" si="1"/>
        <v>0</v>
      </c>
      <c r="C19" s="33">
        <f t="shared" ca="1" si="2"/>
        <v>0</v>
      </c>
      <c r="D19" s="33" cm="1">
        <f t="array" aca="1" ref="D19" ca="1">IFERROR(SUM(COUNTIF(INDIRECT("'"&amp;TEXT(A19,"DD-MM")&amp;"'!M3:M100"),{"*đơn trả*","*hàng tỉnh*"})),0)</f>
        <v>0</v>
      </c>
      <c r="E19" s="33">
        <f t="shared" ca="1" si="0"/>
        <v>0</v>
      </c>
    </row>
    <row r="20" spans="1:5" x14ac:dyDescent="0.25">
      <c r="A20" s="32">
        <v>46133</v>
      </c>
      <c r="B20" s="33">
        <f t="shared" ca="1" si="1"/>
        <v>0</v>
      </c>
      <c r="C20" s="33">
        <f t="shared" ca="1" si="2"/>
        <v>0</v>
      </c>
      <c r="D20" s="33" cm="1">
        <f t="array" aca="1" ref="D20" ca="1">IFERROR(SUM(COUNTIF(INDIRECT("'"&amp;TEXT(A20,"DD-MM")&amp;"'!M3:M100"),{"*đơn trả*","*hàng tỉnh*"})),0)</f>
        <v>0</v>
      </c>
      <c r="E20" s="33">
        <f t="shared" ca="1" si="0"/>
        <v>0</v>
      </c>
    </row>
    <row r="21" spans="1:5" x14ac:dyDescent="0.25">
      <c r="A21" s="32">
        <v>46134</v>
      </c>
      <c r="B21" s="33">
        <f t="shared" ca="1" si="1"/>
        <v>0</v>
      </c>
      <c r="C21" s="33">
        <f t="shared" ca="1" si="2"/>
        <v>0</v>
      </c>
      <c r="D21" s="33" cm="1">
        <f t="array" aca="1" ref="D21" ca="1">IFERROR(SUM(COUNTIF(INDIRECT("'"&amp;TEXT(A21,"DD-MM")&amp;"'!M3:M100"),{"*đơn trả*","*hàng tỉnh*"})),0)</f>
        <v>0</v>
      </c>
      <c r="E21" s="33">
        <f t="shared" ca="1" si="0"/>
        <v>0</v>
      </c>
    </row>
    <row r="22" spans="1:5" x14ac:dyDescent="0.25">
      <c r="A22" s="32">
        <v>46135</v>
      </c>
      <c r="B22" s="33">
        <f t="shared" ca="1" si="1"/>
        <v>0</v>
      </c>
      <c r="C22" s="33">
        <f t="shared" ca="1" si="2"/>
        <v>0</v>
      </c>
      <c r="D22" s="33" cm="1">
        <f t="array" aca="1" ref="D22" ca="1">IFERROR(SUM(COUNTIF(INDIRECT("'"&amp;TEXT(A22,"DD-MM")&amp;"'!M3:M100"),{"*đơn trả*","*hàng tỉnh*"})),0)</f>
        <v>0</v>
      </c>
      <c r="E22" s="33">
        <f t="shared" ca="1" si="0"/>
        <v>0</v>
      </c>
    </row>
    <row r="23" spans="1:5" x14ac:dyDescent="0.25">
      <c r="A23" s="32">
        <v>46136</v>
      </c>
      <c r="B23" s="33">
        <f t="shared" ca="1" si="1"/>
        <v>0</v>
      </c>
      <c r="C23" s="33">
        <f t="shared" ca="1" si="2"/>
        <v>0</v>
      </c>
      <c r="D23" s="33" cm="1">
        <f t="array" aca="1" ref="D23" ca="1">IFERROR(SUM(COUNTIF(INDIRECT("'"&amp;TEXT(A23,"DD-MM")&amp;"'!M3:M100"),{"*đơn trả*","*hàng tỉnh*"})),0)</f>
        <v>0</v>
      </c>
      <c r="E23" s="33">
        <f t="shared" ca="1" si="0"/>
        <v>0</v>
      </c>
    </row>
    <row r="24" spans="1:5" x14ac:dyDescent="0.25">
      <c r="A24" s="32">
        <v>46137</v>
      </c>
      <c r="B24" s="33">
        <f t="shared" ca="1" si="1"/>
        <v>0</v>
      </c>
      <c r="C24" s="33">
        <f t="shared" ca="1" si="2"/>
        <v>0</v>
      </c>
      <c r="D24" s="33" cm="1">
        <f t="array" aca="1" ref="D24" ca="1">IFERROR(SUM(COUNTIF(INDIRECT("'"&amp;TEXT(A24,"DD-MM")&amp;"'!M3:M100"),{"*đơn trả*","*hàng tỉnh*"})),0)</f>
        <v>0</v>
      </c>
      <c r="E24" s="33">
        <f t="shared" ca="1" si="0"/>
        <v>0</v>
      </c>
    </row>
    <row r="25" spans="1:5" x14ac:dyDescent="0.25">
      <c r="A25" s="32">
        <v>46139</v>
      </c>
      <c r="B25" s="33">
        <f t="shared" ca="1" si="1"/>
        <v>0</v>
      </c>
      <c r="C25" s="33">
        <f t="shared" ca="1" si="2"/>
        <v>0</v>
      </c>
      <c r="D25" s="33" cm="1">
        <f t="array" aca="1" ref="D25" ca="1">IFERROR(SUM(COUNTIF(INDIRECT("'"&amp;TEXT(A25,"DD-MM")&amp;"'!M3:M100"),{"*đơn trả*","*hàng tỉnh*"})),0)</f>
        <v>0</v>
      </c>
      <c r="E25" s="33">
        <f t="shared" ca="1" si="0"/>
        <v>0</v>
      </c>
    </row>
    <row r="26" spans="1:5" x14ac:dyDescent="0.25">
      <c r="A26" s="32">
        <v>46140</v>
      </c>
      <c r="B26" s="33">
        <f t="shared" ca="1" si="1"/>
        <v>0</v>
      </c>
      <c r="C26" s="33">
        <f t="shared" ca="1" si="2"/>
        <v>0</v>
      </c>
      <c r="D26" s="33" cm="1">
        <f t="array" aca="1" ref="D26" ca="1">IFERROR(SUM(COUNTIF(INDIRECT("'"&amp;TEXT(A26,"DD-MM")&amp;"'!M3:M100"),{"*đơn trả*","*hàng tỉnh*"})),0)</f>
        <v>0</v>
      </c>
      <c r="E26" s="33">
        <f t="shared" ca="1" si="0"/>
        <v>0</v>
      </c>
    </row>
    <row r="27" spans="1:5" x14ac:dyDescent="0.25">
      <c r="A27" s="32">
        <v>46141</v>
      </c>
      <c r="B27" s="33">
        <f t="shared" ca="1" si="1"/>
        <v>0</v>
      </c>
      <c r="C27" s="33">
        <f t="shared" ca="1" si="2"/>
        <v>0</v>
      </c>
      <c r="D27" s="33" cm="1">
        <f t="array" aca="1" ref="D27" ca="1">IFERROR(SUM(COUNTIF(INDIRECT("'"&amp;TEXT(A27,"DD-MM")&amp;"'!M3:M100"),{"*đơn trả*","*hàng tỉnh*"})),0)</f>
        <v>0</v>
      </c>
      <c r="E27" s="33">
        <f t="shared" ca="1" si="0"/>
        <v>0</v>
      </c>
    </row>
    <row r="28" spans="1:5" x14ac:dyDescent="0.25">
      <c r="A28" s="32">
        <v>46142</v>
      </c>
      <c r="B28" s="33">
        <f t="shared" ca="1" si="1"/>
        <v>0</v>
      </c>
      <c r="C28" s="33">
        <f t="shared" ca="1" si="2"/>
        <v>0</v>
      </c>
      <c r="D28" s="33" cm="1">
        <f t="array" aca="1" ref="D28" ca="1">IFERROR(SUM(COUNTIF(INDIRECT("'"&amp;TEXT(A28,"DD-MM")&amp;"'!M3:M100"),{"*đơn trả*","*hàng tỉnh*"})),0)</f>
        <v>0</v>
      </c>
      <c r="E28" s="33">
        <f t="shared" ca="1" si="0"/>
        <v>0</v>
      </c>
    </row>
    <row r="29" spans="1:5" x14ac:dyDescent="0.25">
      <c r="D29" s="34" t="s">
        <v>1573</v>
      </c>
      <c r="E29" s="34">
        <f ca="1">SUBTOTAL(9,E3:E28)</f>
        <v>578</v>
      </c>
    </row>
    <row r="30" spans="1:5" x14ac:dyDescent="0.25">
      <c r="D30" s="34" t="s">
        <v>1574</v>
      </c>
      <c r="E30" s="34" cm="1">
        <f t="array" ref="E30" ca="1">SUMPRODUCT(
    IFERROR(
        SUMIF(
            INDIRECT("'"&amp;TEXT(A3:A28,"dd-mm")&amp;"'!O:O"),
            "tổng",
            INDIRECT("'"&amp;TEXT(A3:A28,"dd-mm")&amp;"'!P:P")
        ),
    0)
)</f>
        <v>411</v>
      </c>
    </row>
    <row r="31" spans="1:5" x14ac:dyDescent="0.25">
      <c r="D31" s="34" t="s">
        <v>1575</v>
      </c>
      <c r="E31" s="34">
        <f ca="1">-E29*2</f>
        <v>-1156</v>
      </c>
    </row>
    <row r="32" spans="1:5" x14ac:dyDescent="0.25">
      <c r="D32" s="34" t="s">
        <v>1576</v>
      </c>
      <c r="E32" s="34">
        <f ca="1">SUBTOTAL(9,E30:E31)</f>
        <v>-745</v>
      </c>
    </row>
  </sheetData>
  <autoFilter ref="A2:E28" xr:uid="{00000000-0009-0000-0000-00000E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2026-04-17T09:16:47Z</dcterms:modified>
</cp:coreProperties>
</file>