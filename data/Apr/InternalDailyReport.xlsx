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B470E9D5-A55B-42A0-9E9A-48F3F6EB7BB5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01-04" sheetId="2" r:id="rId1"/>
    <sheet name="02-04" sheetId="6" r:id="rId2"/>
    <sheet name="03-04" sheetId="7" r:id="rId3"/>
    <sheet name="04-04" sheetId="8" r:id="rId4"/>
    <sheet name="06-04" sheetId="10" r:id="rId5"/>
  </sheets>
  <definedNames>
    <definedName name="_xlnm._FilterDatabase" localSheetId="0" hidden="1">'01-04'!$A$2:$P$23</definedName>
    <definedName name="_xlnm._FilterDatabase" localSheetId="1" hidden="1">'02-04'!$A$2:$P$24</definedName>
    <definedName name="_xlnm._FilterDatabase" localSheetId="2" hidden="1">'03-04'!$A$2:$P$53</definedName>
    <definedName name="_xlnm._FilterDatabase" localSheetId="3" hidden="1">'04-04'!$A$2:$P$44</definedName>
    <definedName name="_xlnm._FilterDatabase" localSheetId="4" hidden="1">'06-04'!$A$2:$P$55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5" i="8" l="1"/>
  <c r="L76" i="10"/>
  <c r="E60" i="10"/>
  <c r="E63" i="10" s="1"/>
  <c r="I55" i="10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D25" i="2"/>
  <c r="G25" i="2"/>
  <c r="H25" i="2"/>
  <c r="I25" i="2"/>
  <c r="J25" i="2"/>
  <c r="K25" i="2"/>
  <c r="L25" i="2"/>
  <c r="M25" i="2"/>
  <c r="N25" i="2"/>
  <c r="O25" i="2"/>
  <c r="P25" i="2"/>
  <c r="Q25" i="2"/>
  <c r="H26" i="2"/>
  <c r="L29" i="2" s="1"/>
  <c r="L33" i="2" s="1"/>
  <c r="P28" i="2" s="1"/>
  <c r="H27" i="2"/>
  <c r="C28" i="2"/>
  <c r="E28" i="2"/>
  <c r="L28" i="2"/>
  <c r="M28" i="2"/>
  <c r="M29" i="2"/>
  <c r="C30" i="2"/>
  <c r="E30" i="2"/>
  <c r="C31" i="2"/>
  <c r="E31" i="2"/>
  <c r="M33" i="2"/>
  <c r="C35" i="2"/>
  <c r="P31" i="2" s="1"/>
  <c r="L36" i="2"/>
  <c r="M36" i="2"/>
  <c r="M37" i="2"/>
  <c r="L37" i="2" s="1"/>
  <c r="M38" i="2"/>
  <c r="L38" i="2" s="1"/>
  <c r="M41" i="2"/>
  <c r="L44" i="2"/>
  <c r="M44" i="2"/>
  <c r="M45" i="2"/>
  <c r="L45" i="2" s="1"/>
  <c r="L49" i="2" s="1"/>
  <c r="P30" i="2" s="1"/>
  <c r="M49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D26" i="6"/>
  <c r="G26" i="6"/>
  <c r="H26" i="6"/>
  <c r="J26" i="6"/>
  <c r="K26" i="6"/>
  <c r="L26" i="6"/>
  <c r="M26" i="6"/>
  <c r="N26" i="6"/>
  <c r="O26" i="6"/>
  <c r="P26" i="6"/>
  <c r="Q26" i="6"/>
  <c r="M31" i="6" s="1"/>
  <c r="L31" i="6" s="1"/>
  <c r="H27" i="6"/>
  <c r="H28" i="6"/>
  <c r="E29" i="6"/>
  <c r="E32" i="6" s="1"/>
  <c r="H29" i="6"/>
  <c r="L46" i="6" s="1"/>
  <c r="L50" i="6" s="1"/>
  <c r="P31" i="6" s="1"/>
  <c r="L29" i="6"/>
  <c r="M29" i="6"/>
  <c r="M30" i="6"/>
  <c r="L30" i="6" s="1"/>
  <c r="C31" i="6"/>
  <c r="E31" i="6"/>
  <c r="M34" i="6"/>
  <c r="L37" i="6"/>
  <c r="M37" i="6"/>
  <c r="M38" i="6"/>
  <c r="L38" i="6" s="1"/>
  <c r="L42" i="6" s="1"/>
  <c r="P30" i="6" s="1"/>
  <c r="M42" i="6"/>
  <c r="L45" i="6"/>
  <c r="M45" i="6"/>
  <c r="M46" i="6"/>
  <c r="M50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D55" i="7"/>
  <c r="G55" i="7"/>
  <c r="H55" i="7"/>
  <c r="I55" i="7"/>
  <c r="J55" i="7"/>
  <c r="K55" i="7"/>
  <c r="L55" i="7"/>
  <c r="M55" i="7"/>
  <c r="N55" i="7"/>
  <c r="O55" i="7"/>
  <c r="P55" i="7"/>
  <c r="Q55" i="7"/>
  <c r="H56" i="7"/>
  <c r="H57" i="7"/>
  <c r="C58" i="7"/>
  <c r="C61" i="7" s="1"/>
  <c r="C65" i="7" s="1"/>
  <c r="P61" i="7" s="1"/>
  <c r="E58" i="7"/>
  <c r="E61" i="7" s="1"/>
  <c r="H58" i="7"/>
  <c r="L58" i="7"/>
  <c r="M58" i="7"/>
  <c r="M64" i="7" s="1"/>
  <c r="M59" i="7"/>
  <c r="L59" i="7" s="1"/>
  <c r="C60" i="7"/>
  <c r="E60" i="7"/>
  <c r="M60" i="7"/>
  <c r="L60" i="7" s="1"/>
  <c r="L67" i="7"/>
  <c r="M67" i="7"/>
  <c r="L68" i="7"/>
  <c r="M68" i="7"/>
  <c r="L72" i="7"/>
  <c r="P59" i="7" s="1"/>
  <c r="M72" i="7"/>
  <c r="L75" i="7"/>
  <c r="M75" i="7"/>
  <c r="M76" i="7"/>
  <c r="L76" i="7" s="1"/>
  <c r="L80" i="7" s="1"/>
  <c r="P60" i="7" s="1"/>
  <c r="M80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D46" i="8"/>
  <c r="G46" i="8"/>
  <c r="H46" i="8"/>
  <c r="J46" i="8"/>
  <c r="K46" i="8"/>
  <c r="L46" i="8"/>
  <c r="M46" i="8"/>
  <c r="N46" i="8"/>
  <c r="O46" i="8"/>
  <c r="P46" i="8"/>
  <c r="Q46" i="8"/>
  <c r="H47" i="8"/>
  <c r="H48" i="8"/>
  <c r="E49" i="8"/>
  <c r="E52" i="8" s="1"/>
  <c r="H49" i="8"/>
  <c r="L49" i="8"/>
  <c r="M49" i="8"/>
  <c r="L50" i="8"/>
  <c r="M50" i="8"/>
  <c r="C51" i="8"/>
  <c r="E51" i="8"/>
  <c r="L54" i="8"/>
  <c r="P49" i="8" s="1"/>
  <c r="M54" i="8"/>
  <c r="L57" i="8"/>
  <c r="M57" i="8"/>
  <c r="M62" i="8" s="1"/>
  <c r="M58" i="8"/>
  <c r="L58" i="8" s="1"/>
  <c r="M59" i="8"/>
  <c r="L59" i="8" s="1"/>
  <c r="M65" i="8"/>
  <c r="M70" i="8" s="1"/>
  <c r="M66" i="8"/>
  <c r="L66" i="8" s="1"/>
  <c r="L73" i="8"/>
  <c r="M73" i="8"/>
  <c r="M74" i="8"/>
  <c r="L74" i="8" s="1"/>
  <c r="L78" i="8" s="1"/>
  <c r="P52" i="8" s="1"/>
  <c r="M78" i="8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D57" i="10"/>
  <c r="G57" i="10"/>
  <c r="H57" i="10"/>
  <c r="I57" i="10"/>
  <c r="J57" i="10"/>
  <c r="K57" i="10"/>
  <c r="L57" i="10"/>
  <c r="M57" i="10"/>
  <c r="N57" i="10"/>
  <c r="O57" i="10"/>
  <c r="P57" i="10"/>
  <c r="Q57" i="10"/>
  <c r="H58" i="10"/>
  <c r="H59" i="10"/>
  <c r="C60" i="10"/>
  <c r="C63" i="10" s="1"/>
  <c r="C67" i="10" s="1"/>
  <c r="P63" i="10" s="1"/>
  <c r="H60" i="10"/>
  <c r="L60" i="10"/>
  <c r="M60" i="10"/>
  <c r="M65" i="10" s="1"/>
  <c r="M61" i="10"/>
  <c r="L61" i="10" s="1"/>
  <c r="L65" i="10" s="1"/>
  <c r="P60" i="10" s="1"/>
  <c r="C62" i="10"/>
  <c r="E62" i="10"/>
  <c r="M62" i="10"/>
  <c r="L62" i="10" s="1"/>
  <c r="L68" i="10"/>
  <c r="M68" i="10"/>
  <c r="M73" i="10" s="1"/>
  <c r="L69" i="10"/>
  <c r="M69" i="10"/>
  <c r="M76" i="10"/>
  <c r="M81" i="10" s="1"/>
  <c r="M77" i="10"/>
  <c r="L77" i="10" s="1"/>
  <c r="L81" i="10" l="1"/>
  <c r="P62" i="10" s="1"/>
  <c r="L73" i="10"/>
  <c r="P61" i="10" s="1"/>
  <c r="I26" i="6"/>
  <c r="C29" i="6"/>
  <c r="C32" i="6" s="1"/>
  <c r="C36" i="6" s="1"/>
  <c r="P32" i="6" s="1"/>
  <c r="I46" i="8"/>
  <c r="C49" i="8"/>
  <c r="C52" i="8" s="1"/>
  <c r="C56" i="8" s="1"/>
  <c r="P53" i="8" s="1"/>
  <c r="L41" i="2"/>
  <c r="P29" i="2" s="1"/>
  <c r="P32" i="2" s="1"/>
  <c r="L34" i="6"/>
  <c r="P29" i="6" s="1"/>
  <c r="L64" i="7"/>
  <c r="P58" i="7" s="1"/>
  <c r="P62" i="7" s="1"/>
  <c r="L62" i="8"/>
  <c r="P50" i="8" s="1"/>
  <c r="L70" i="8"/>
  <c r="P51" i="8" s="1"/>
  <c r="P64" i="10" l="1"/>
  <c r="P33" i="6"/>
  <c r="P54" i="8"/>
</calcChain>
</file>

<file path=xl/sharedStrings.xml><?xml version="1.0" encoding="utf-8"?>
<sst xmlns="http://schemas.openxmlformats.org/spreadsheetml/2006/main" count="1746" uniqueCount="594">
  <si>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</si>
  <si>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</si>
  <si>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</si>
  <si>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</si>
  <si>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</si>
  <si>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</si>
  <si>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</si>
  <si>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</si>
  <si>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</si>
  <si>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</si>
  <si>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</si>
  <si>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</si>
  <si>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</si>
  <si>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</si>
  <si>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</si>
  <si>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</si>
  <si>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</si>
  <si>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</si>
  <si>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</si>
  <si>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</si>
  <si>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</si>
  <si>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</si>
  <si>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c.cuong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</si>
  <si>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</si>
  <si>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</si>
  <si>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</si>
  <si>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</si>
  <si>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</si>
  <si>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</si>
  <si>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</si>
  <si>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</si>
  <si>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</si>
  <si>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</si>
  <si>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</si>
  <si>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</si>
  <si>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</si>
  <si>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binh thanh</t>
  </si>
  <si>
    <t>Quỳnh Anh</t>
  </si>
  <si>
    <t>HD006833</t>
  </si>
  <si>
    <t>754 Nguyễn xiển p. long bình</t>
  </si>
  <si>
    <t>a.quyen</t>
  </si>
  <si>
    <t>Ngọc Mơ</t>
  </si>
  <si>
    <t>HD006858</t>
  </si>
  <si>
    <t>107/7 huỳnh an khương p5</t>
  </si>
  <si>
    <t>go vap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</si>
  <si>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</si>
  <si>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</si>
  <si>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</si>
  <si>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</si>
  <si>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</si>
  <si>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</si>
  <si>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TC Tiên</t>
  </si>
  <si>
    <t>HD006773</t>
  </si>
  <si>
    <t>6 Thạch Thị Thanh, Tân Định</t>
  </si>
  <si>
    <t>Nguyễn thị huệ fb Jannie vu</t>
  </si>
  <si>
    <t>HD006846</t>
  </si>
  <si>
    <t>136 đông hưng thuận 3 phường đông hưng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</si>
  <si>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</si>
  <si>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</si>
  <si>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</si>
  <si>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</si>
  <si>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</si>
  <si>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</si>
  <si>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</si>
  <si>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</si>
  <si>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</si>
  <si>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đổi hàng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</si>
  <si>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</si>
  <si>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</si>
  <si>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</si>
  <si>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</si>
  <si>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</si>
  <si>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</si>
  <si>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</si>
  <si>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</si>
  <si>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</si>
  <si>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</si>
  <si>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</si>
  <si>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</si>
  <si>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phu nhuan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</si>
  <si>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</si>
  <si>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</si>
  <si>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</si>
  <si>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</si>
  <si>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</si>
  <si>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</si>
  <si>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tan binh</t>
  </si>
  <si>
    <t>Jess-9244</t>
  </si>
  <si>
    <t>275/14B1 Đặng Nguyên Cẩn, Phường Phú Lâm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</si>
  <si>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</si>
  <si>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</si>
  <si>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</si>
  <si>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</si>
  <si>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</si>
  <si>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</si>
  <si>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</si>
  <si>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01-04</t>
  </si>
  <si>
    <t>Trừ Ship</t>
  </si>
  <si>
    <t>tiền ship</t>
  </si>
  <si>
    <t>Đơn trả &amp; c.khoản</t>
  </si>
  <si>
    <t>tiền lấy</t>
  </si>
  <si>
    <t>Tiền Hàng Hcm</t>
  </si>
  <si>
    <t>đơn trả</t>
  </si>
  <si>
    <t>shop</t>
  </si>
  <si>
    <t>đền đơn</t>
  </si>
  <si>
    <t>đơn cũ ck</t>
  </si>
  <si>
    <t>tổng</t>
  </si>
  <si>
    <t>nợ cũ</t>
  </si>
  <si>
    <t>THANH TOÁN</t>
  </si>
  <si>
    <t>CK Đủ 100%</t>
  </si>
  <si>
    <t>Thùy Dương</t>
  </si>
  <si>
    <t>HD007101</t>
  </si>
  <si>
    <t>2087 Huỳnh Tấn Phát</t>
  </si>
  <si>
    <t>nha be</t>
  </si>
  <si>
    <t>AT 02-04</t>
  </si>
  <si>
    <t>02-04-2026</t>
  </si>
  <si>
    <t>Nguyễn Thị Kim Thoa</t>
  </si>
  <si>
    <t>HD007091</t>
  </si>
  <si>
    <t>số 25a đường 22 sình hưng hòa a</t>
  </si>
  <si>
    <t>Linh Hạ</t>
  </si>
  <si>
    <t>HD006999</t>
  </si>
  <si>
    <t>854 tạ quang bửu chung cư gia việt phường 5</t>
  </si>
  <si>
    <t>Yến Oanh</t>
  </si>
  <si>
    <t>HD005268</t>
  </si>
  <si>
    <t>33 Đ Ng~ hữu thọ Tân hưng</t>
  </si>
  <si>
    <t>Cẩm Tú</t>
  </si>
  <si>
    <t>HD006777</t>
  </si>
  <si>
    <t>Chung cư west gate an gia Cẩm Tú</t>
  </si>
  <si>
    <t>binh chanh</t>
  </si>
  <si>
    <t>kh ck shop 1215k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</si>
  <si>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</si>
  <si>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</si>
  <si>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</si>
  <si>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</si>
  <si>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</si>
  <si>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</si>
  <si>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Nguyễn Trương Phương Oanh</t>
  </si>
  <si>
    <t>HD006977</t>
  </si>
  <si>
    <t>125/42/2 Bùi Đình Tuý, phường 14</t>
  </si>
  <si>
    <t>Soipin - Hiền Đăng</t>
  </si>
  <si>
    <t>Xe Anh Khương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</si>
  <si>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</si>
  <si>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</si>
  <si>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</si>
  <si>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</si>
  <si>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</si>
  <si>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</si>
  <si>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</si>
  <si>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</si>
  <si>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</si>
  <si>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Hồng Khanh fb Hoàng Thị Lộc</t>
  </si>
  <si>
    <t>HD007069</t>
  </si>
  <si>
    <t>1080, Đỗ Mười, phường linh trung</t>
  </si>
  <si>
    <t>thu duc</t>
  </si>
  <si>
    <t>Lê Quốc Khánh_FE: My Le</t>
  </si>
  <si>
    <t>HD006896</t>
  </si>
  <si>
    <t>Hẻm 132, 132/78 nguyễn hữu cảnh</t>
  </si>
  <si>
    <t>Phương Kim</t>
  </si>
  <si>
    <t>HD007131</t>
  </si>
  <si>
    <t>213/6 đường số 1,p6</t>
  </si>
  <si>
    <t>Nguyễn Thị Thùy Trang</t>
  </si>
  <si>
    <t>HD007013</t>
  </si>
  <si>
    <t>41A huỳnh tịnh của p19</t>
  </si>
  <si>
    <t>Hoàng anh</t>
  </si>
  <si>
    <t>71/39/31 Nguyễn Bặc, Phường 3</t>
  </si>
  <si>
    <t>c.hieu</t>
  </si>
  <si>
    <t>Nguyệt Nguyễn Thị Minh</t>
  </si>
  <si>
    <t>HD007068</t>
  </si>
  <si>
    <t>35 Lý Văn Phức phường Tân Định</t>
  </si>
  <si>
    <t>HD007115</t>
  </si>
  <si>
    <t>3/51/4 thành thái p14</t>
  </si>
  <si>
    <t>Kim Minh</t>
  </si>
  <si>
    <t>HD006908</t>
  </si>
  <si>
    <t>Địa chỉ : 189A Cống Quỳnh p.Cầu Ông Lãnh</t>
  </si>
  <si>
    <t>kh ck shop 895k</t>
  </si>
  <si>
    <t>Linh Tiêu</t>
  </si>
  <si>
    <t>HD006958</t>
  </si>
  <si>
    <t>97 Ký Con,p Nguyễn Thái Bình</t>
  </si>
  <si>
    <t>at 02-04</t>
  </si>
  <si>
    <t>Bùi Thị Cẩm Dung (inst: zunzunggg)</t>
  </si>
  <si>
    <t>HD005892</t>
  </si>
  <si>
    <t>T2-35 Khu Manhattan vinhomes Grand Park, Long Bình</t>
  </si>
  <si>
    <t>03-04-2026</t>
  </si>
  <si>
    <t>Kim</t>
  </si>
  <si>
    <t>HD007057</t>
  </si>
  <si>
    <t>Lumiere Boulevard Block B Vinhome grand park , Phường Long Bình</t>
  </si>
  <si>
    <t>Công Thanh - Bảo Trân</t>
  </si>
  <si>
    <t>HD007401</t>
  </si>
  <si>
    <t>Giao về 63/5 dương đình hội, phước long B</t>
  </si>
  <si>
    <t>Đan Phạm Ngọc Hùng</t>
  </si>
  <si>
    <t>HD007393</t>
  </si>
  <si>
    <t>Số 25 đường 265, P. Hiệp Phú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</si>
  <si>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</si>
  <si>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</si>
  <si>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</si>
  <si>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</si>
  <si>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</si>
  <si>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</si>
  <si>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</si>
  <si>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</si>
  <si>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</si>
  <si>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</si>
  <si>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Lê Thị Hoài Phương</t>
  </si>
  <si>
    <t>HD007406</t>
  </si>
  <si>
    <t>572/19/18 Âu cơ. Phường bảy hiền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</si>
  <si>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</si>
  <si>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</si>
  <si>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</si>
  <si>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</si>
  <si>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</si>
  <si>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</si>
  <si>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</si>
  <si>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</si>
  <si>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</si>
  <si>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</si>
  <si>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</si>
  <si>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</si>
  <si>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</si>
  <si>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chị ngọc</t>
  </si>
  <si>
    <t>HD007306</t>
  </si>
  <si>
    <t>C4/68 phạm hùng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</si>
  <si>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</si>
  <si>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</si>
  <si>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</si>
  <si>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</si>
  <si>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</si>
  <si>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</si>
  <si>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</si>
  <si>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</si>
  <si>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</si>
  <si>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Như Hoàng</t>
  </si>
  <si>
    <t>HD006996</t>
  </si>
  <si>
    <t>130 châu văn liêm p11</t>
  </si>
  <si>
    <t>Ngọc Anh</t>
  </si>
  <si>
    <t>HD007286</t>
  </si>
  <si>
    <t>Toà MP7 - chung cư Mizuki Park - Bình Hưng</t>
  </si>
  <si>
    <t>Tramm Anh</t>
  </si>
  <si>
    <t>HD007233</t>
  </si>
  <si>
    <t>246 lý thường kiệt</t>
  </si>
  <si>
    <t>Linh Phan</t>
  </si>
  <si>
    <t>HD007200</t>
  </si>
  <si>
    <t>6 thái văn lung p. bến nghé</t>
  </si>
  <si>
    <t>Hạnh Hạnh</t>
  </si>
  <si>
    <t>HD007529</t>
  </si>
  <si>
    <t>334 tô hiến thành p14 Chung cư kingdom101 block a</t>
  </si>
  <si>
    <t>HD007195</t>
  </si>
  <si>
    <t>6/24 tấn chánh hiệp 36, p trung mỹ tây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</si>
  <si>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</si>
  <si>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</si>
  <si>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</si>
  <si>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</si>
  <si>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</si>
  <si>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</si>
  <si>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</si>
  <si>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</si>
  <si>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</si>
  <si>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</si>
  <si>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</si>
  <si>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</si>
  <si>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</si>
  <si>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</si>
  <si>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</si>
  <si>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</si>
  <si>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NGA ANNA</t>
  </si>
  <si>
    <t>375 tân thới hiệp 21, Tổ 3, Kp3</t>
  </si>
  <si>
    <t>BELLA TRẦN</t>
  </si>
  <si>
    <t>66đường 17 p10</t>
  </si>
  <si>
    <t>TUYẾT NHI</t>
  </si>
  <si>
    <t>170F Tân Hoà Đông f14</t>
  </si>
  <si>
    <t>Liễu ( fb Lina Nguyễn)</t>
  </si>
  <si>
    <t>HD007408</t>
  </si>
  <si>
    <t>261C Nguyễn Văn Trỗi, P10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</si>
  <si>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</si>
  <si>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</si>
  <si>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</si>
  <si>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</si>
  <si>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</si>
  <si>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</si>
  <si>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</si>
  <si>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</si>
  <si>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</si>
  <si>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Lâm Thảo Nhi</t>
  </si>
  <si>
    <t>HD007443</t>
  </si>
  <si>
    <t>173D Đặng Văn Ngữ</t>
  </si>
  <si>
    <t>Ngô Hoàng Ánh</t>
  </si>
  <si>
    <t>HD007350</t>
  </si>
  <si>
    <t>235 QL13 Cũ</t>
  </si>
  <si>
    <t>Ngọc Mai</t>
  </si>
  <si>
    <t>HD007587</t>
  </si>
  <si>
    <t>số 639 quốc lộ 13, phường hiệp bình phước</t>
  </si>
  <si>
    <t>HD007592</t>
  </si>
  <si>
    <t>Nuong Huynh</t>
  </si>
  <si>
    <t>HD007570</t>
  </si>
  <si>
    <t>67 mai chí thọ phường an phú</t>
  </si>
  <si>
    <t>Kim Thi</t>
  </si>
  <si>
    <t>HD007183</t>
  </si>
  <si>
    <t>219/78 trần văn đang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</si>
  <si>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</si>
  <si>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</si>
  <si>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</si>
  <si>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</si>
  <si>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</si>
  <si>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</si>
  <si>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Phạm Thị Bảo Trân</t>
  </si>
  <si>
    <t>HD007243</t>
  </si>
  <si>
    <t>Block B Chung Cư Urban Green, Đường Số 6, Hiệp Bình</t>
  </si>
  <si>
    <t>Kiều Phương Thao</t>
  </si>
  <si>
    <t>HD007212</t>
  </si>
  <si>
    <t>290/5/15 Nơ Trang Long F12</t>
  </si>
  <si>
    <t>Duyên Nguyễn</t>
  </si>
  <si>
    <t>HD007196</t>
  </si>
  <si>
    <t>1244/64/7 Lê Đức Thọ, p13</t>
  </si>
  <si>
    <t>gộp</t>
  </si>
  <si>
    <t>Quỳnh Như</t>
  </si>
  <si>
    <t>HD007058</t>
  </si>
  <si>
    <t>66/68, Phổ Quang, Phường 2</t>
  </si>
  <si>
    <t>HD007059</t>
  </si>
  <si>
    <t>HD007574</t>
  </si>
  <si>
    <t>LISA</t>
  </si>
  <si>
    <t>685 tân sơn phường 12</t>
  </si>
  <si>
    <t>Ly Clara Selena</t>
  </si>
  <si>
    <t>403 tân sơn p12</t>
  </si>
  <si>
    <t>at 03-04</t>
  </si>
  <si>
    <t>tiền thiếu 2.4</t>
  </si>
  <si>
    <t>_col17</t>
  </si>
  <si>
    <t>đăng - fb Kim Lee.</t>
  </si>
  <si>
    <t>HD007875</t>
  </si>
  <si>
    <t>AT 04-04</t>
  </si>
  <si>
    <t>04-04-2026</t>
  </si>
  <si>
    <t>Trâm</t>
  </si>
  <si>
    <t>HD007872</t>
  </si>
  <si>
    <t>3 trịnh khắc lập, p. thạnh mỹ lợi, tp. thủ đức ( dc cũ)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</si>
  <si>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</si>
  <si>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</si>
  <si>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</si>
  <si>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</si>
  <si>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</si>
  <si>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</si>
  <si>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</si>
  <si>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</si>
  <si>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</si>
  <si>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Nguyễn Tố Mai</t>
  </si>
  <si>
    <t>HD007743</t>
  </si>
  <si>
    <t>413/8 lê văn sỹ p12</t>
  </si>
  <si>
    <t>Nhi</t>
  </si>
  <si>
    <t>HD007616</t>
  </si>
  <si>
    <t>13/7 phú thọ f1</t>
  </si>
  <si>
    <t>THÁI HÀ</t>
  </si>
  <si>
    <t>HD007696</t>
  </si>
  <si>
    <t>inden ressidence Empire city thủ thiêm</t>
  </si>
  <si>
    <t>Trà Giang</t>
  </si>
  <si>
    <t>HD007851</t>
  </si>
  <si>
    <t>523 mã lò bình hưng hoà a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</si>
  <si>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</si>
  <si>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</si>
  <si>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</si>
  <si>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</si>
  <si>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</si>
  <si>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</si>
  <si>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Dung Nguyễn</t>
  </si>
  <si>
    <t>HD007760</t>
  </si>
  <si>
    <t>322/8 đào sư tích phước lộc</t>
  </si>
  <si>
    <t>Tươi Em</t>
  </si>
  <si>
    <t>HD007580</t>
  </si>
  <si>
    <t>129 Nguyễn Thái Bình p3 Tân An</t>
  </si>
  <si>
    <t>Lê Thuỷ Tiên</t>
  </si>
  <si>
    <t>HD007708</t>
  </si>
  <si>
    <t>Chung cư Safira Khang điền 454 võ chí công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</si>
  <si>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</si>
  <si>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</si>
  <si>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</si>
  <si>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</si>
  <si>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</si>
  <si>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</si>
  <si>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</si>
  <si>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</si>
  <si>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</si>
  <si>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</si>
  <si>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</si>
  <si>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</si>
  <si>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</si>
  <si>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</si>
  <si>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</si>
  <si>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</si>
  <si>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Nguyễn Đào</t>
  </si>
  <si>
    <t>HD007889</t>
  </si>
  <si>
    <t>670/59/16 đoàn văn bơ p16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</si>
  <si>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</si>
  <si>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</si>
  <si>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</si>
  <si>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</si>
  <si>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</si>
  <si>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</si>
  <si>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</si>
  <si>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</si>
  <si>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</si>
  <si>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Thúy Nga</t>
  </si>
  <si>
    <t>HD007622</t>
  </si>
  <si>
    <t>45a đường 3/2</t>
  </si>
  <si>
    <t>Thụy fb Kim Ngọc Anh</t>
  </si>
  <si>
    <t>HD007621</t>
  </si>
  <si>
    <t>Chung cư parcspi ng, 537 nguyễn duy trinh, phường bình trưng đông</t>
  </si>
  <si>
    <t>Alina Joy</t>
  </si>
  <si>
    <t>HD007881</t>
  </si>
  <si>
    <t>Tháp B cc goldview p1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</si>
  <si>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</si>
  <si>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</si>
  <si>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</si>
  <si>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</si>
  <si>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</si>
  <si>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</si>
  <si>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Nguyễn Thiên Nga</t>
  </si>
  <si>
    <t>HD007827</t>
  </si>
  <si>
    <t>481/42 Trường Chinh, phường 14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</si>
  <si>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</si>
  <si>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</si>
  <si>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</si>
  <si>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</si>
  <si>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</si>
  <si>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</si>
  <si>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</si>
  <si>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</si>
  <si>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</si>
  <si>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</si>
  <si>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</si>
  <si>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</si>
  <si>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Jennytram</t>
  </si>
  <si>
    <t>HD007659</t>
  </si>
  <si>
    <t>418/4 trường sa p2</t>
  </si>
  <si>
    <t>Thị Thị</t>
  </si>
  <si>
    <t>HD007791</t>
  </si>
  <si>
    <t>545 trần hưng đạo b phương 14</t>
  </si>
  <si>
    <t>Name: Yors Sreypouch Phone Number: 077905987</t>
  </si>
  <si>
    <t>HD007871</t>
  </si>
  <si>
    <t>301 phạm ngũ lão</t>
  </si>
  <si>
    <t>SU ANH</t>
  </si>
  <si>
    <t>22/40 Yên Thế, P2</t>
  </si>
  <si>
    <t>Trần Thảo</t>
  </si>
  <si>
    <t>Số 262/26/3 Lũy Bán Bích, phường Tân Phú</t>
  </si>
  <si>
    <t>NGÂN KIM</t>
  </si>
  <si>
    <t>T8-20 mahattan vinhomes Grand park , phường long bình</t>
  </si>
  <si>
    <t>NGA LINH</t>
  </si>
  <si>
    <t>137/31/21 phan anh . Kp 12 . Bình trị đông</t>
  </si>
  <si>
    <t>Kiều Filler</t>
  </si>
  <si>
    <t>HD006142</t>
  </si>
  <si>
    <t>166/48c thích quảng Đức</t>
  </si>
  <si>
    <t>luu tra</t>
  </si>
  <si>
    <t>30-03-2026</t>
  </si>
  <si>
    <t>x</t>
  </si>
  <si>
    <t>xx</t>
  </si>
  <si>
    <t>at 04-04</t>
  </si>
  <si>
    <t>1 đơn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</si>
  <si>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</si>
  <si>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</si>
  <si>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</si>
  <si>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</si>
  <si>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</si>
  <si>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</si>
  <si>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</si>
  <si>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</si>
  <si>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</si>
  <si>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</si>
  <si>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</si>
  <si>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</si>
  <si>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</si>
  <si>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</si>
  <si>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</si>
  <si>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</si>
  <si>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</si>
  <si>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</si>
  <si>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</si>
  <si>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</si>
  <si>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</si>
  <si>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</si>
  <si>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</si>
  <si>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</si>
  <si>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</si>
  <si>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</si>
  <si>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</si>
  <si>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</si>
  <si>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</si>
  <si>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</si>
  <si>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</si>
  <si>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</si>
  <si>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</si>
  <si>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</si>
  <si>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</si>
  <si>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</si>
  <si>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</si>
  <si>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</si>
  <si>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</si>
  <si>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</si>
  <si>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</si>
  <si>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</si>
  <si>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</si>
  <si>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</si>
  <si>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</si>
  <si>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</si>
  <si>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</si>
  <si>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</si>
  <si>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</si>
  <si>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</si>
  <si>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</si>
  <si>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</si>
  <si>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</si>
  <si>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</si>
  <si>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</si>
  <si>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</si>
  <si>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</si>
  <si>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</si>
  <si>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</si>
  <si>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</si>
  <si>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</si>
  <si>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</si>
  <si>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</si>
  <si>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</si>
  <si>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</si>
  <si>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</si>
  <si>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</si>
  <si>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</si>
  <si>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</si>
  <si>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</si>
  <si>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</si>
  <si>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</si>
  <si>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</si>
  <si>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</si>
  <si>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</si>
  <si>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</si>
  <si>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</si>
  <si>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</si>
  <si>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</si>
  <si>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</si>
  <si>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</si>
  <si>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</si>
  <si>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</si>
  <si>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</si>
  <si>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</si>
  <si>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</si>
  <si>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</si>
  <si>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</si>
  <si>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</si>
  <si>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</si>
  <si>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</si>
  <si>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</si>
  <si>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</si>
  <si>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</si>
  <si>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</si>
  <si>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</si>
  <si>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</si>
  <si>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</si>
  <si>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</si>
  <si>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</si>
  <si>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</si>
  <si>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</si>
  <si>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</si>
  <si>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</si>
  <si>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</si>
  <si>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</si>
  <si>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</si>
  <si>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</si>
  <si>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</si>
  <si>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</si>
  <si>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</si>
  <si>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</si>
  <si>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</si>
  <si>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</si>
  <si>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</si>
  <si>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</si>
  <si>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</si>
  <si>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</si>
  <si>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</si>
  <si>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</si>
  <si>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</si>
  <si>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</si>
  <si>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</si>
  <si>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</si>
  <si>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</si>
  <si>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</si>
  <si>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</si>
  <si>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</si>
  <si>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</si>
  <si>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</si>
  <si>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</si>
  <si>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</si>
  <si>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</si>
  <si>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</si>
  <si>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</si>
  <si>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</si>
  <si>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</si>
  <si>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</si>
  <si>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</si>
  <si>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</si>
  <si>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</si>
  <si>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at 06-04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</si>
</sst>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19">
    <xf numFmtId="0" fontId="0" fillId="0" borderId="0" xfId="0"/>
    <xf numFmtId="0" fontId="1" fillId="3" borderId="0" xfId="0" applyFont="1" applyFill="1"/>
    <xf numFmtId="0" fontId="0" fillId="0" borderId="0" xfId="0"/>
    <xf numFmtId="0" fontId="2" fillId="0" borderId="0" xfId="0" applyFont="1"/>
    <xf numFmtId="0" fontId="0" fillId="3" borderId="0" xfId="0" applyFill="1"/>
    <xf numFmtId="0" fontId="1" fillId="0" borderId="0" xfId="0" applyFont="1"/>
    <xf numFmtId="0" fontId="1" fillId="3" borderId="0" xfId="0" applyFont="1" applyFill="1"/>
    <xf numFmtId="0" fontId="2" fillId="0" borderId="0" xfId="0" applyFont="1"/>
    <xf numFmtId="0" fontId="0" fillId="3" borderId="0" xfId="0" applyFill="1"/>
    <xf numFmtId="0" fontId="1" fillId="0" borderId="0" xfId="0" applyFont="1"/>
    <xf numFmtId="0" fontId="1" fillId="2" borderId="0" xfId="0" applyFont="1" applyFill="1"/>
    <xf numFmtId="3" fontId="0" fillId="0" borderId="0" xfId="0" applyNumberFormat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3" fillId="0" borderId="0" xfId="0" applyFont="1"/>
    <xf numFmtId="0" fontId="1" fillId="7" borderId="0" xfId="0" applyFont="1" applyFill="1"/>
    <xf numFmtId="3" fontId="2" fillId="0" borderId="0" xfId="0" applyNumberFormat="1" applyFont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49"/>
  <sheetViews>
    <sheetView topLeftCell="A19" workbookViewId="0">
      <selection activeCell="P37" sqref="P37"/>
    </sheetView>
  </sheetViews>
  <sheetFormatPr defaultRowHeight="15" x14ac:dyDescent="0.25"/>
  <cols>
    <col min="1" max="1" width="12.7109375" customWidth="1"/>
    <col min="2" max="2" width="17.7109375" customWidth="1"/>
    <col min="3" max="3" width="26" customWidth="1"/>
    <col min="4" max="4" width="9.85546875" customWidth="1"/>
    <col min="5" max="5" width="67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</row>
    <row r="3" spans="1:17" x14ac:dyDescent="0.25">
      <c r="B3" t="s">
        <v>16</v>
      </c>
      <c r="C3" t="s">
        <v>17</v>
      </c>
      <c r="D3" t="s">
        <v>18</v>
      </c>
      <c r="E3" t="s">
        <v>19</v>
      </c>
      <c r="F3" t="s">
        <v>20</v>
      </c>
      <c r="G3" s="11">
        <v>0</v>
      </c>
      <c r="H3" s="11">
        <v>30</v>
      </c>
      <c r="I3" s="11">
        <f>-H3</f>
        <v>-30</v>
      </c>
      <c r="J3" t="s">
        <v>21</v>
      </c>
      <c r="K3" t="s">
        <v>22</v>
      </c>
      <c r="L3" t="s">
        <v>23</v>
      </c>
      <c r="Q3">
        <v>1</v>
      </c>
    </row>
    <row r="4" spans="1:17" x14ac:dyDescent="0.25">
      <c r="B4" t="s">
        <v>16</v>
      </c>
      <c r="C4" t="s">
        <v>24</v>
      </c>
      <c r="D4" t="s">
        <v>25</v>
      </c>
      <c r="E4" t="s">
        <v>26</v>
      </c>
      <c r="F4" s="11">
        <v>7</v>
      </c>
      <c r="G4" s="11">
        <v>850</v>
      </c>
      <c r="H4" s="11">
        <v>30</v>
      </c>
      <c r="I4" s="11">
        <f>G4-H4</f>
        <v>820</v>
      </c>
      <c r="J4" t="s">
        <v>21</v>
      </c>
      <c r="K4" t="s">
        <v>22</v>
      </c>
      <c r="L4" t="s">
        <v>23</v>
      </c>
      <c r="Q4">
        <v>1</v>
      </c>
    </row>
    <row r="5" spans="1:17" x14ac:dyDescent="0.25">
      <c r="B5" t="s">
        <v>16</v>
      </c>
      <c r="C5" t="s">
        <v>27</v>
      </c>
      <c r="D5" t="s">
        <v>28</v>
      </c>
      <c r="E5" t="s">
        <v>29</v>
      </c>
      <c r="F5" s="11">
        <v>3</v>
      </c>
      <c r="G5" s="11">
        <v>695</v>
      </c>
      <c r="H5" s="11">
        <v>25</v>
      </c>
      <c r="I5" s="11">
        <f>G5-H5</f>
        <v>670</v>
      </c>
      <c r="J5" t="s">
        <v>21</v>
      </c>
      <c r="K5" t="s">
        <v>22</v>
      </c>
      <c r="L5" t="s">
        <v>23</v>
      </c>
      <c r="Q5">
        <v>1</v>
      </c>
    </row>
    <row r="6" spans="1:17" x14ac:dyDescent="0.25">
      <c r="B6" t="s">
        <v>16</v>
      </c>
      <c r="C6" t="s">
        <v>30</v>
      </c>
      <c r="D6" t="s">
        <v>31</v>
      </c>
      <c r="E6" t="s">
        <v>32</v>
      </c>
      <c r="F6" s="11">
        <v>7</v>
      </c>
      <c r="G6" s="11">
        <v>740</v>
      </c>
      <c r="H6" s="11">
        <v>30</v>
      </c>
      <c r="I6" s="11">
        <f>G6-H6</f>
        <v>710</v>
      </c>
      <c r="J6" t="s">
        <v>21</v>
      </c>
      <c r="K6" t="s">
        <v>22</v>
      </c>
      <c r="L6" t="s">
        <v>23</v>
      </c>
      <c r="Q6">
        <v>1</v>
      </c>
    </row>
    <row r="7" spans="1:17" x14ac:dyDescent="0.25">
      <c r="B7" t="s">
        <v>16</v>
      </c>
      <c r="C7" t="s">
        <v>33</v>
      </c>
      <c r="D7" t="s">
        <v>34</v>
      </c>
      <c r="E7" t="s">
        <v>35</v>
      </c>
      <c r="F7" t="s">
        <v>36</v>
      </c>
      <c r="G7" s="11">
        <v>0</v>
      </c>
      <c r="H7" s="11">
        <v>20</v>
      </c>
      <c r="I7" s="11">
        <f>-H7</f>
        <v>-20</v>
      </c>
      <c r="J7" t="s">
        <v>22</v>
      </c>
      <c r="K7" t="s">
        <v>22</v>
      </c>
      <c r="L7" t="s">
        <v>23</v>
      </c>
      <c r="Q7">
        <v>1</v>
      </c>
    </row>
    <row r="8" spans="1:17" x14ac:dyDescent="0.25">
      <c r="B8" t="s">
        <v>16</v>
      </c>
      <c r="C8" t="s">
        <v>37</v>
      </c>
      <c r="D8" t="s">
        <v>38</v>
      </c>
      <c r="E8" t="s">
        <v>39</v>
      </c>
      <c r="F8" s="11">
        <v>9</v>
      </c>
      <c r="G8" s="11">
        <v>780</v>
      </c>
      <c r="H8" s="11">
        <v>30</v>
      </c>
      <c r="I8" s="11">
        <f>G8-H8</f>
        <v>750</v>
      </c>
      <c r="J8" t="s">
        <v>40</v>
      </c>
      <c r="K8" t="s">
        <v>22</v>
      </c>
      <c r="L8" t="s">
        <v>23</v>
      </c>
      <c r="Q8">
        <v>1</v>
      </c>
    </row>
    <row r="9" spans="1:17" x14ac:dyDescent="0.25">
      <c r="B9" t="s">
        <v>16</v>
      </c>
      <c r="C9" t="s">
        <v>41</v>
      </c>
      <c r="D9" t="s">
        <v>42</v>
      </c>
      <c r="E9" t="s">
        <v>43</v>
      </c>
      <c r="F9" t="s">
        <v>44</v>
      </c>
      <c r="G9" s="11">
        <v>615</v>
      </c>
      <c r="H9" s="11">
        <v>25</v>
      </c>
      <c r="I9" s="11">
        <f>G9-H9</f>
        <v>590</v>
      </c>
      <c r="J9" t="s">
        <v>22</v>
      </c>
      <c r="K9" t="s">
        <v>22</v>
      </c>
      <c r="L9" t="s">
        <v>23</v>
      </c>
      <c r="Q9">
        <v>1</v>
      </c>
    </row>
    <row r="10" spans="1:17" x14ac:dyDescent="0.25">
      <c r="B10" t="s">
        <v>16</v>
      </c>
      <c r="C10" t="s">
        <v>45</v>
      </c>
      <c r="D10" t="s">
        <v>46</v>
      </c>
      <c r="E10" t="s">
        <v>47</v>
      </c>
      <c r="F10" t="s">
        <v>20</v>
      </c>
      <c r="G10" s="11">
        <v>610</v>
      </c>
      <c r="H10" s="11">
        <v>30</v>
      </c>
      <c r="I10" s="11">
        <f>G10-H10</f>
        <v>580</v>
      </c>
      <c r="J10" t="s">
        <v>21</v>
      </c>
      <c r="K10" t="s">
        <v>22</v>
      </c>
      <c r="L10" t="s">
        <v>23</v>
      </c>
      <c r="Q10">
        <v>1</v>
      </c>
    </row>
    <row r="11" spans="1:17" x14ac:dyDescent="0.25">
      <c r="B11" t="s">
        <v>16</v>
      </c>
      <c r="C11" t="s">
        <v>48</v>
      </c>
      <c r="D11" t="s">
        <v>49</v>
      </c>
      <c r="E11" t="s">
        <v>50</v>
      </c>
      <c r="F11" s="11">
        <v>8</v>
      </c>
      <c r="G11" s="11">
        <v>0</v>
      </c>
      <c r="H11" s="11">
        <v>25</v>
      </c>
      <c r="I11" s="11">
        <f>-H11</f>
        <v>-25</v>
      </c>
      <c r="J11" t="s">
        <v>21</v>
      </c>
      <c r="K11" t="s">
        <v>22</v>
      </c>
      <c r="L11" t="s">
        <v>23</v>
      </c>
      <c r="Q11">
        <v>1</v>
      </c>
    </row>
    <row r="12" spans="1:17" x14ac:dyDescent="0.25">
      <c r="B12" t="s">
        <v>16</v>
      </c>
      <c r="C12" t="s">
        <v>51</v>
      </c>
      <c r="D12" t="s">
        <v>52</v>
      </c>
      <c r="E12" t="s">
        <v>53</v>
      </c>
      <c r="F12" s="11">
        <v>1</v>
      </c>
      <c r="G12" s="11">
        <v>845</v>
      </c>
      <c r="H12" s="11">
        <v>25</v>
      </c>
      <c r="I12" s="11">
        <f t="shared" ref="I12:I21" si="0">G12-H12</f>
        <v>820</v>
      </c>
      <c r="J12" t="s">
        <v>22</v>
      </c>
      <c r="K12" t="s">
        <v>22</v>
      </c>
      <c r="L12" t="s">
        <v>23</v>
      </c>
      <c r="Q12">
        <v>1</v>
      </c>
    </row>
    <row r="13" spans="1:17" x14ac:dyDescent="0.25">
      <c r="B13" t="s">
        <v>16</v>
      </c>
      <c r="C13" t="s">
        <v>54</v>
      </c>
      <c r="D13" t="s">
        <v>55</v>
      </c>
      <c r="E13" t="s">
        <v>56</v>
      </c>
      <c r="F13" s="11">
        <v>12</v>
      </c>
      <c r="G13" s="11">
        <v>750</v>
      </c>
      <c r="H13" s="11">
        <v>30</v>
      </c>
      <c r="I13" s="11">
        <f t="shared" si="0"/>
        <v>720</v>
      </c>
      <c r="J13" t="s">
        <v>21</v>
      </c>
      <c r="K13" t="s">
        <v>22</v>
      </c>
      <c r="L13" t="s">
        <v>23</v>
      </c>
      <c r="Q13">
        <v>1</v>
      </c>
    </row>
    <row r="14" spans="1:17" x14ac:dyDescent="0.25">
      <c r="B14" t="s">
        <v>16</v>
      </c>
      <c r="C14" t="s">
        <v>57</v>
      </c>
      <c r="D14" t="s">
        <v>58</v>
      </c>
      <c r="E14" t="s">
        <v>59</v>
      </c>
      <c r="F14" t="s">
        <v>36</v>
      </c>
      <c r="G14" s="11">
        <v>1630</v>
      </c>
      <c r="H14" s="11">
        <v>20</v>
      </c>
      <c r="I14" s="11">
        <f t="shared" si="0"/>
        <v>1610</v>
      </c>
      <c r="J14" t="s">
        <v>22</v>
      </c>
      <c r="K14" t="s">
        <v>22</v>
      </c>
      <c r="L14" t="s">
        <v>23</v>
      </c>
      <c r="Q14">
        <v>1</v>
      </c>
    </row>
    <row r="15" spans="1:17" x14ac:dyDescent="0.25">
      <c r="B15" t="s">
        <v>16</v>
      </c>
      <c r="C15" t="s">
        <v>60</v>
      </c>
      <c r="D15" t="s">
        <v>61</v>
      </c>
      <c r="E15" t="s">
        <v>62</v>
      </c>
      <c r="F15" s="11">
        <v>3</v>
      </c>
      <c r="G15" s="11">
        <v>405</v>
      </c>
      <c r="H15" s="11">
        <v>25</v>
      </c>
      <c r="I15" s="11">
        <f t="shared" si="0"/>
        <v>380</v>
      </c>
      <c r="J15" t="s">
        <v>22</v>
      </c>
      <c r="K15" t="s">
        <v>22</v>
      </c>
      <c r="L15" t="s">
        <v>23</v>
      </c>
      <c r="Q15">
        <v>1</v>
      </c>
    </row>
    <row r="16" spans="1:17" x14ac:dyDescent="0.25">
      <c r="B16" t="s">
        <v>16</v>
      </c>
      <c r="C16" t="s">
        <v>63</v>
      </c>
      <c r="D16" t="s">
        <v>64</v>
      </c>
      <c r="E16" t="s">
        <v>65</v>
      </c>
      <c r="F16" s="11">
        <v>7</v>
      </c>
      <c r="G16" s="11">
        <v>30</v>
      </c>
      <c r="H16" s="11">
        <v>30</v>
      </c>
      <c r="I16" s="11">
        <f t="shared" si="0"/>
        <v>0</v>
      </c>
      <c r="J16" t="s">
        <v>21</v>
      </c>
      <c r="K16" t="s">
        <v>22</v>
      </c>
      <c r="L16" t="s">
        <v>23</v>
      </c>
      <c r="M16" t="s">
        <v>66</v>
      </c>
      <c r="Q16">
        <v>1</v>
      </c>
    </row>
    <row r="17" spans="1:17" x14ac:dyDescent="0.25">
      <c r="B17" t="s">
        <v>16</v>
      </c>
      <c r="C17" t="s">
        <v>67</v>
      </c>
      <c r="D17" t="s">
        <v>68</v>
      </c>
      <c r="E17" t="s">
        <v>69</v>
      </c>
      <c r="F17" s="11">
        <v>7</v>
      </c>
      <c r="G17" s="11">
        <v>1640</v>
      </c>
      <c r="H17" s="11">
        <v>30</v>
      </c>
      <c r="I17" s="11">
        <f t="shared" si="0"/>
        <v>1610</v>
      </c>
      <c r="J17" t="s">
        <v>21</v>
      </c>
      <c r="K17" t="s">
        <v>22</v>
      </c>
      <c r="L17" t="s">
        <v>23</v>
      </c>
      <c r="Q17">
        <v>1</v>
      </c>
    </row>
    <row r="18" spans="1:17" x14ac:dyDescent="0.25">
      <c r="B18" t="s">
        <v>16</v>
      </c>
      <c r="C18" t="s">
        <v>70</v>
      </c>
      <c r="D18" t="s">
        <v>71</v>
      </c>
      <c r="E18" t="s">
        <v>72</v>
      </c>
      <c r="F18" s="11">
        <v>12</v>
      </c>
      <c r="G18" s="11">
        <v>590</v>
      </c>
      <c r="H18" s="11">
        <v>30</v>
      </c>
      <c r="I18" s="11">
        <f t="shared" si="0"/>
        <v>560</v>
      </c>
      <c r="J18" t="s">
        <v>21</v>
      </c>
      <c r="K18" t="s">
        <v>22</v>
      </c>
      <c r="L18" t="s">
        <v>23</v>
      </c>
      <c r="Q18">
        <v>1</v>
      </c>
    </row>
    <row r="19" spans="1:17" x14ac:dyDescent="0.25">
      <c r="B19" t="s">
        <v>16</v>
      </c>
      <c r="C19" t="s">
        <v>73</v>
      </c>
      <c r="D19" t="s">
        <v>74</v>
      </c>
      <c r="E19" t="s">
        <v>75</v>
      </c>
      <c r="F19" s="11">
        <v>7</v>
      </c>
      <c r="G19" s="11">
        <v>850</v>
      </c>
      <c r="H19" s="11">
        <v>30</v>
      </c>
      <c r="I19" s="11">
        <f t="shared" si="0"/>
        <v>820</v>
      </c>
      <c r="J19" t="s">
        <v>21</v>
      </c>
      <c r="K19" t="s">
        <v>22</v>
      </c>
      <c r="L19" t="s">
        <v>23</v>
      </c>
      <c r="Q19">
        <v>1</v>
      </c>
    </row>
    <row r="20" spans="1:17" x14ac:dyDescent="0.25">
      <c r="B20" t="s">
        <v>16</v>
      </c>
      <c r="C20" t="s">
        <v>76</v>
      </c>
      <c r="D20" t="s">
        <v>77</v>
      </c>
      <c r="E20" t="s">
        <v>78</v>
      </c>
      <c r="F20" t="s">
        <v>79</v>
      </c>
      <c r="G20" s="11">
        <v>20</v>
      </c>
      <c r="H20" s="11">
        <v>20</v>
      </c>
      <c r="I20" s="11">
        <f t="shared" si="0"/>
        <v>0</v>
      </c>
      <c r="J20" t="s">
        <v>22</v>
      </c>
      <c r="K20" t="s">
        <v>22</v>
      </c>
      <c r="L20" t="s">
        <v>23</v>
      </c>
      <c r="M20" t="s">
        <v>66</v>
      </c>
      <c r="Q20">
        <v>1</v>
      </c>
    </row>
    <row r="21" spans="1:17" x14ac:dyDescent="0.25">
      <c r="B21" t="s">
        <v>16</v>
      </c>
      <c r="C21" t="s">
        <v>80</v>
      </c>
      <c r="D21" t="s">
        <v>81</v>
      </c>
      <c r="E21" t="s">
        <v>82</v>
      </c>
      <c r="F21" t="s">
        <v>20</v>
      </c>
      <c r="G21" s="11">
        <v>820</v>
      </c>
      <c r="H21" s="11">
        <v>30</v>
      </c>
      <c r="I21" s="11">
        <f t="shared" si="0"/>
        <v>790</v>
      </c>
      <c r="J21" t="s">
        <v>21</v>
      </c>
      <c r="K21" t="s">
        <v>22</v>
      </c>
      <c r="L21" t="s">
        <v>23</v>
      </c>
      <c r="Q21">
        <v>1</v>
      </c>
    </row>
    <row r="22" spans="1:17" x14ac:dyDescent="0.25">
      <c r="A22" t="s">
        <v>83</v>
      </c>
      <c r="B22" t="s">
        <v>16</v>
      </c>
      <c r="C22" t="s">
        <v>84</v>
      </c>
      <c r="E22" t="s">
        <v>85</v>
      </c>
      <c r="F22" t="s">
        <v>86</v>
      </c>
      <c r="G22" s="11">
        <v>0</v>
      </c>
      <c r="H22" s="11">
        <v>30</v>
      </c>
      <c r="I22" s="11">
        <f>-H22</f>
        <v>-30</v>
      </c>
      <c r="J22" t="s">
        <v>22</v>
      </c>
      <c r="K22" t="s">
        <v>22</v>
      </c>
      <c r="L22" t="s">
        <v>23</v>
      </c>
      <c r="Q22">
        <v>1</v>
      </c>
    </row>
    <row r="23" spans="1:17" x14ac:dyDescent="0.25">
      <c r="A23" t="s">
        <v>83</v>
      </c>
      <c r="B23" t="s">
        <v>16</v>
      </c>
      <c r="C23" t="s">
        <v>87</v>
      </c>
      <c r="E23" t="s">
        <v>88</v>
      </c>
      <c r="F23" s="11">
        <v>6</v>
      </c>
      <c r="G23" s="11">
        <v>0</v>
      </c>
      <c r="H23" s="11">
        <v>30</v>
      </c>
      <c r="I23" s="11">
        <f>-H23</f>
        <v>-30</v>
      </c>
      <c r="J23" t="s">
        <v>21</v>
      </c>
      <c r="K23" t="s">
        <v>22</v>
      </c>
      <c r="L23" t="s">
        <v>23</v>
      </c>
      <c r="Q23">
        <v>1</v>
      </c>
    </row>
    <row r="25" spans="1:17" x14ac:dyDescent="0.25">
      <c r="D25" s="6">
        <f>COUNTA(D3:D23)</f>
        <v>19</v>
      </c>
      <c r="G25" s="6">
        <f t="shared" ref="G25:Q25" si="1">SUBTOTAL(9,G3:G23)</f>
        <v>11870</v>
      </c>
      <c r="H25" s="6">
        <f t="shared" si="1"/>
        <v>575</v>
      </c>
      <c r="I25" s="6">
        <f t="shared" si="1"/>
        <v>11295</v>
      </c>
      <c r="J25" s="6">
        <f t="shared" si="1"/>
        <v>0</v>
      </c>
      <c r="K25" s="6">
        <f t="shared" si="1"/>
        <v>0</v>
      </c>
      <c r="L25" s="6">
        <f t="shared" si="1"/>
        <v>0</v>
      </c>
      <c r="M25" s="6">
        <f t="shared" si="1"/>
        <v>0</v>
      </c>
      <c r="N25" s="6">
        <f t="shared" si="1"/>
        <v>0</v>
      </c>
      <c r="O25" s="6">
        <f t="shared" si="1"/>
        <v>0</v>
      </c>
      <c r="P25" s="6">
        <f t="shared" si="1"/>
        <v>0</v>
      </c>
      <c r="Q25" s="6">
        <f t="shared" si="1"/>
        <v>21</v>
      </c>
    </row>
    <row r="26" spans="1:17" x14ac:dyDescent="0.25">
      <c r="H26">
        <f>-8*17</f>
        <v>-136</v>
      </c>
    </row>
    <row r="27" spans="1:17" x14ac:dyDescent="0.25">
      <c r="A27" s="6" t="s">
        <v>16</v>
      </c>
      <c r="C27" s="5" t="s">
        <v>89</v>
      </c>
      <c r="D27" s="5"/>
      <c r="E27" s="9" t="s">
        <v>90</v>
      </c>
      <c r="H27">
        <f>-5*25</f>
        <v>-125</v>
      </c>
      <c r="K27" s="12" t="s">
        <v>21</v>
      </c>
      <c r="L27" s="12" t="s">
        <v>91</v>
      </c>
      <c r="M27" s="12" t="s">
        <v>90</v>
      </c>
      <c r="O27" s="9" t="s">
        <v>92</v>
      </c>
    </row>
    <row r="28" spans="1:17" x14ac:dyDescent="0.25">
      <c r="A28" t="s">
        <v>23</v>
      </c>
      <c r="B28" s="8" t="s">
        <v>93</v>
      </c>
      <c r="C28" s="4">
        <f>SUMIFS(I$3:I$23,B$3:B$23,A$27,L$3:L$23,A$28)</f>
        <v>11295</v>
      </c>
      <c r="D28" s="4"/>
      <c r="E28" s="8">
        <f>SUMIFS(Q$3:Q$23,B$3:B$23,A$27,L$3:L$23,A$28)</f>
        <v>21</v>
      </c>
      <c r="F28" t="s">
        <v>94</v>
      </c>
      <c r="K28" t="s">
        <v>95</v>
      </c>
      <c r="L28">
        <f>SUMIFS(G$3:G$23,J$3:J$23,K$27)</f>
        <v>7575</v>
      </c>
      <c r="M28">
        <f>SUMIFS(Q$3:Q$23,J$3:J$23,K$27)</f>
        <v>13</v>
      </c>
      <c r="O28" t="s">
        <v>96</v>
      </c>
      <c r="P28">
        <f>L33</f>
        <v>7314</v>
      </c>
    </row>
    <row r="29" spans="1:17" x14ac:dyDescent="0.25">
      <c r="B29" s="7" t="s">
        <v>97</v>
      </c>
      <c r="C29" s="3">
        <v>0</v>
      </c>
      <c r="D29" s="3"/>
      <c r="K29" t="s">
        <v>98</v>
      </c>
      <c r="L29">
        <f>SUM(H26:H27)</f>
        <v>-261</v>
      </c>
      <c r="M29">
        <f>SUMIFS(Q$3:Q$23,J$3:J$23,K$27)</f>
        <v>13</v>
      </c>
      <c r="O29" t="s">
        <v>22</v>
      </c>
      <c r="P29">
        <f>L41</f>
        <v>3343</v>
      </c>
    </row>
    <row r="30" spans="1:17" x14ac:dyDescent="0.25">
      <c r="B30" s="7" t="s">
        <v>99</v>
      </c>
      <c r="C30" s="3">
        <f>-SUMIFS(I$3:I$23,B$3:B$23,A$27,P$3:P$23,"xx",N$3:N$23,"x")</f>
        <v>0</v>
      </c>
      <c r="D30" s="3"/>
      <c r="E30" s="7">
        <f>SUMIFS(Q$3:Q$23,B$3:B$23,A$27,P$3:P$23,"xx",N$3:N$23,"x")</f>
        <v>0</v>
      </c>
      <c r="K30" t="s">
        <v>100</v>
      </c>
      <c r="O30" t="s">
        <v>40</v>
      </c>
      <c r="P30">
        <f>L49</f>
        <v>755</v>
      </c>
    </row>
    <row r="31" spans="1:17" x14ac:dyDescent="0.25">
      <c r="B31" s="9" t="s">
        <v>101</v>
      </c>
      <c r="C31" s="5">
        <f>SUBTOTAL(9,C28:C30)</f>
        <v>11295</v>
      </c>
      <c r="D31" s="5"/>
      <c r="E31">
        <f>E28</f>
        <v>21</v>
      </c>
      <c r="K31" s="7" t="s">
        <v>102</v>
      </c>
      <c r="O31" t="s">
        <v>103</v>
      </c>
      <c r="P31">
        <f>-C35</f>
        <v>-11295</v>
      </c>
    </row>
    <row r="32" spans="1:17" x14ac:dyDescent="0.25">
      <c r="B32" s="7" t="s">
        <v>104</v>
      </c>
      <c r="C32" s="2"/>
      <c r="D32" s="2"/>
      <c r="K32" s="7" t="s">
        <v>105</v>
      </c>
      <c r="O32" s="9" t="s">
        <v>106</v>
      </c>
      <c r="P32" s="9">
        <f>SUBTOTAL(9,P28:P31)</f>
        <v>117</v>
      </c>
    </row>
    <row r="33" spans="2:13" x14ac:dyDescent="0.25">
      <c r="B33" s="13" t="s">
        <v>107</v>
      </c>
      <c r="C33" s="2"/>
      <c r="D33" s="2"/>
      <c r="L33" s="14">
        <f>SUBTOTAL(9,L28:L32)</f>
        <v>7314</v>
      </c>
      <c r="M33" s="14">
        <f>M28</f>
        <v>13</v>
      </c>
    </row>
    <row r="35" spans="2:13" x14ac:dyDescent="0.25">
      <c r="B35" s="6" t="s">
        <v>108</v>
      </c>
      <c r="C35" s="1">
        <f>C31+C32+C33</f>
        <v>11295</v>
      </c>
      <c r="D35" s="1"/>
      <c r="E35" s="6" t="s">
        <v>109</v>
      </c>
      <c r="K35" s="12" t="s">
        <v>22</v>
      </c>
      <c r="L35" s="12" t="s">
        <v>91</v>
      </c>
      <c r="M35" s="12" t="s">
        <v>90</v>
      </c>
    </row>
    <row r="36" spans="2:13" x14ac:dyDescent="0.25">
      <c r="K36" t="s">
        <v>95</v>
      </c>
      <c r="L36">
        <f>SUMIFS(G$3:G$23,J$3:J$23,K$35)</f>
        <v>3515</v>
      </c>
      <c r="M36">
        <f>SUMIFS(Q$3:Q$23,J$3:J$23,K$35)</f>
        <v>7</v>
      </c>
    </row>
    <row r="37" spans="2:13" x14ac:dyDescent="0.25">
      <c r="K37" t="s">
        <v>98</v>
      </c>
      <c r="L37">
        <f>-SUMIFS(H$3:H$23,J$3:J$23,K$35)+M37*5</f>
        <v>-130</v>
      </c>
      <c r="M37">
        <f>SUMIFS(Q$3:Q$23,J$3:J$23,K$35)-COUNTIFS(J$3:J$23,K$35,M$3:M$23,"*gộp*")</f>
        <v>7</v>
      </c>
    </row>
    <row r="38" spans="2:13" x14ac:dyDescent="0.25">
      <c r="K38" t="s">
        <v>100</v>
      </c>
      <c r="L38">
        <f>-M38*2</f>
        <v>-42</v>
      </c>
      <c r="M38">
        <f>Q25-(COUNTIFS(M$3:M$23,"*gộp*")/2)</f>
        <v>21</v>
      </c>
    </row>
    <row r="39" spans="2:13" x14ac:dyDescent="0.25">
      <c r="K39" s="7" t="s">
        <v>102</v>
      </c>
    </row>
    <row r="40" spans="2:13" x14ac:dyDescent="0.25">
      <c r="K40" s="7" t="s">
        <v>105</v>
      </c>
    </row>
    <row r="41" spans="2:13" x14ac:dyDescent="0.25">
      <c r="L41" s="14">
        <f>SUBTOTAL(9,L36:L40)</f>
        <v>3343</v>
      </c>
      <c r="M41" s="14">
        <f>M36</f>
        <v>7</v>
      </c>
    </row>
    <row r="43" spans="2:13" x14ac:dyDescent="0.25">
      <c r="K43" s="12" t="s">
        <v>40</v>
      </c>
      <c r="L43" s="12" t="s">
        <v>91</v>
      </c>
      <c r="M43" s="12" t="s">
        <v>90</v>
      </c>
    </row>
    <row r="44" spans="2:13" x14ac:dyDescent="0.25">
      <c r="K44" t="s">
        <v>95</v>
      </c>
      <c r="L44">
        <f>SUMIFS(G$3:G$23,J$3:J$23,K$43)</f>
        <v>780</v>
      </c>
      <c r="M44">
        <f>SUMIFS(Q$3:Q$23,J$3:J$23,K$43)</f>
        <v>1</v>
      </c>
    </row>
    <row r="45" spans="2:13" x14ac:dyDescent="0.25">
      <c r="K45" t="s">
        <v>98</v>
      </c>
      <c r="L45">
        <f>-SUMIFS(H$3:H$23,J$3:J$23,K$43)+M45*5</f>
        <v>-25</v>
      </c>
      <c r="M45">
        <f>SUMIFS(Q$3:Q$23,J$3:J$23,K$43)-COUNTIFS(J$3:J$23,K$43,M$3:M$23,"*gộp*")</f>
        <v>1</v>
      </c>
    </row>
    <row r="46" spans="2:13" x14ac:dyDescent="0.25">
      <c r="K46" t="s">
        <v>100</v>
      </c>
    </row>
    <row r="47" spans="2:13" x14ac:dyDescent="0.25">
      <c r="K47" s="7" t="s">
        <v>102</v>
      </c>
    </row>
    <row r="48" spans="2:13" x14ac:dyDescent="0.25">
      <c r="K48" s="7" t="s">
        <v>105</v>
      </c>
    </row>
    <row r="49" spans="12:13" x14ac:dyDescent="0.25">
      <c r="L49" s="14">
        <f>SUBTOTAL(9,L44:L48)</f>
        <v>755</v>
      </c>
      <c r="M49" s="14">
        <f>M44</f>
        <v>1</v>
      </c>
    </row>
  </sheetData>
  <autoFilter ref="A2:P23" xr:uid="{00000000-0009-0000-0000-000000000000}"/>
  <mergeCells count="8">
    <mergeCell ref="C32:D32"/>
    <mergeCell ref="C33:D33"/>
    <mergeCell ref="C35:D35"/>
    <mergeCell ref="C27:D27"/>
    <mergeCell ref="C28:D28"/>
    <mergeCell ref="C29:D29"/>
    <mergeCell ref="C30:D30"/>
    <mergeCell ref="C31:D31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Q50"/>
  <sheetViews>
    <sheetView workbookViewId="0">
      <selection activeCell="R30" sqref="R30"/>
    </sheetView>
  </sheetViews>
  <sheetFormatPr defaultRowHeight="15" x14ac:dyDescent="0.25"/>
  <cols>
    <col min="1" max="1" width="12.7109375" customWidth="1"/>
    <col min="2" max="2" width="17.7109375" customWidth="1"/>
    <col min="3" max="3" width="28.140625" customWidth="1"/>
    <col min="4" max="4" width="9.85546875" customWidth="1"/>
    <col min="5" max="5" width="43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</row>
    <row r="3" spans="1:17" x14ac:dyDescent="0.25">
      <c r="B3" t="s">
        <v>16</v>
      </c>
      <c r="C3" t="s">
        <v>110</v>
      </c>
      <c r="D3" t="s">
        <v>111</v>
      </c>
      <c r="E3" t="s">
        <v>112</v>
      </c>
      <c r="F3" t="s">
        <v>113</v>
      </c>
      <c r="G3" s="11">
        <v>35</v>
      </c>
      <c r="H3" s="11">
        <v>35</v>
      </c>
      <c r="I3" s="11">
        <f t="shared" ref="I3:I24" si="0">G3-H3</f>
        <v>0</v>
      </c>
      <c r="J3" t="s">
        <v>114</v>
      </c>
      <c r="K3" t="s">
        <v>22</v>
      </c>
      <c r="L3" t="s">
        <v>115</v>
      </c>
      <c r="M3" t="s">
        <v>66</v>
      </c>
      <c r="Q3">
        <v>1</v>
      </c>
    </row>
    <row r="4" spans="1:17" x14ac:dyDescent="0.25">
      <c r="B4" t="s">
        <v>16</v>
      </c>
      <c r="C4" t="s">
        <v>116</v>
      </c>
      <c r="D4" t="s">
        <v>117</v>
      </c>
      <c r="E4" t="s">
        <v>118</v>
      </c>
      <c r="F4" t="s">
        <v>20</v>
      </c>
      <c r="G4" s="11">
        <v>870</v>
      </c>
      <c r="H4" s="11">
        <v>30</v>
      </c>
      <c r="I4" s="11">
        <f t="shared" si="0"/>
        <v>840</v>
      </c>
      <c r="J4" t="s">
        <v>114</v>
      </c>
      <c r="K4" t="s">
        <v>22</v>
      </c>
      <c r="L4" t="s">
        <v>115</v>
      </c>
      <c r="Q4">
        <v>1</v>
      </c>
    </row>
    <row r="5" spans="1:17" x14ac:dyDescent="0.25">
      <c r="B5" t="s">
        <v>16</v>
      </c>
      <c r="C5" t="s">
        <v>119</v>
      </c>
      <c r="D5" t="s">
        <v>120</v>
      </c>
      <c r="E5" t="s">
        <v>121</v>
      </c>
      <c r="F5" s="11">
        <v>8</v>
      </c>
      <c r="G5" s="11">
        <v>0</v>
      </c>
      <c r="H5" s="11">
        <v>25</v>
      </c>
      <c r="I5" s="11">
        <f t="shared" si="0"/>
        <v>-25</v>
      </c>
      <c r="J5" t="s">
        <v>114</v>
      </c>
      <c r="K5" t="s">
        <v>22</v>
      </c>
      <c r="L5" t="s">
        <v>115</v>
      </c>
      <c r="Q5">
        <v>1</v>
      </c>
    </row>
    <row r="6" spans="1:17" x14ac:dyDescent="0.25">
      <c r="B6" t="s">
        <v>16</v>
      </c>
      <c r="C6" t="s">
        <v>122</v>
      </c>
      <c r="D6" t="s">
        <v>123</v>
      </c>
      <c r="E6" t="s">
        <v>124</v>
      </c>
      <c r="F6" s="11">
        <v>7</v>
      </c>
      <c r="G6" s="11">
        <v>650</v>
      </c>
      <c r="H6" s="11">
        <v>30</v>
      </c>
      <c r="I6" s="11">
        <f t="shared" si="0"/>
        <v>620</v>
      </c>
      <c r="J6" t="s">
        <v>114</v>
      </c>
      <c r="K6" t="s">
        <v>22</v>
      </c>
      <c r="L6" t="s">
        <v>115</v>
      </c>
      <c r="Q6">
        <v>1</v>
      </c>
    </row>
    <row r="7" spans="1:17" x14ac:dyDescent="0.25">
      <c r="B7" t="s">
        <v>16</v>
      </c>
      <c r="C7" t="s">
        <v>125</v>
      </c>
      <c r="D7" t="s">
        <v>126</v>
      </c>
      <c r="E7" t="s">
        <v>127</v>
      </c>
      <c r="F7" t="s">
        <v>128</v>
      </c>
      <c r="G7" s="11">
        <v>0</v>
      </c>
      <c r="H7" s="11">
        <v>35</v>
      </c>
      <c r="I7" s="11">
        <f t="shared" si="0"/>
        <v>-35</v>
      </c>
      <c r="J7" t="s">
        <v>114</v>
      </c>
      <c r="K7" t="s">
        <v>22</v>
      </c>
      <c r="L7" t="s">
        <v>115</v>
      </c>
      <c r="M7" t="s">
        <v>129</v>
      </c>
      <c r="Q7">
        <v>1</v>
      </c>
    </row>
    <row r="8" spans="1:17" x14ac:dyDescent="0.25">
      <c r="B8" t="s">
        <v>16</v>
      </c>
      <c r="C8" t="s">
        <v>130</v>
      </c>
      <c r="D8" t="s">
        <v>131</v>
      </c>
      <c r="E8" t="s">
        <v>132</v>
      </c>
      <c r="F8" s="11">
        <v>7</v>
      </c>
      <c r="G8" s="11">
        <v>740</v>
      </c>
      <c r="H8" s="11">
        <v>30</v>
      </c>
      <c r="I8" s="11">
        <f t="shared" si="0"/>
        <v>710</v>
      </c>
      <c r="J8" t="s">
        <v>114</v>
      </c>
      <c r="K8" t="s">
        <v>22</v>
      </c>
      <c r="L8" t="s">
        <v>115</v>
      </c>
      <c r="Q8">
        <v>1</v>
      </c>
    </row>
    <row r="9" spans="1:17" x14ac:dyDescent="0.25">
      <c r="B9" t="s">
        <v>16</v>
      </c>
      <c r="C9" t="s">
        <v>133</v>
      </c>
      <c r="D9" t="s">
        <v>134</v>
      </c>
      <c r="E9" t="s">
        <v>135</v>
      </c>
      <c r="F9" t="s">
        <v>20</v>
      </c>
      <c r="G9" s="11">
        <v>770</v>
      </c>
      <c r="H9" s="11">
        <v>30</v>
      </c>
      <c r="I9" s="11">
        <f t="shared" si="0"/>
        <v>740</v>
      </c>
      <c r="J9" t="s">
        <v>114</v>
      </c>
      <c r="K9" t="s">
        <v>22</v>
      </c>
      <c r="L9" t="s">
        <v>115</v>
      </c>
      <c r="Q9">
        <v>1</v>
      </c>
    </row>
    <row r="10" spans="1:17" x14ac:dyDescent="0.25">
      <c r="B10" t="s">
        <v>16</v>
      </c>
      <c r="C10" t="s">
        <v>136</v>
      </c>
      <c r="D10" t="s">
        <v>137</v>
      </c>
      <c r="E10" t="s">
        <v>138</v>
      </c>
      <c r="F10" t="s">
        <v>36</v>
      </c>
      <c r="G10" s="11">
        <v>0</v>
      </c>
      <c r="H10" s="11">
        <v>20</v>
      </c>
      <c r="I10" s="11">
        <f t="shared" si="0"/>
        <v>-20</v>
      </c>
      <c r="J10" t="s">
        <v>22</v>
      </c>
      <c r="K10" t="s">
        <v>22</v>
      </c>
      <c r="L10" t="s">
        <v>115</v>
      </c>
      <c r="Q10">
        <v>1</v>
      </c>
    </row>
    <row r="11" spans="1:17" x14ac:dyDescent="0.25">
      <c r="A11" t="s">
        <v>83</v>
      </c>
      <c r="B11" t="s">
        <v>16</v>
      </c>
      <c r="C11" t="s">
        <v>139</v>
      </c>
      <c r="E11" t="s">
        <v>140</v>
      </c>
      <c r="F11" s="11">
        <v>6</v>
      </c>
      <c r="G11" s="11">
        <v>70</v>
      </c>
      <c r="H11" s="11">
        <v>70</v>
      </c>
      <c r="I11" s="11">
        <f t="shared" si="0"/>
        <v>0</v>
      </c>
      <c r="J11" t="s">
        <v>22</v>
      </c>
      <c r="K11" t="s">
        <v>22</v>
      </c>
      <c r="L11" t="s">
        <v>115</v>
      </c>
      <c r="Q11">
        <v>1</v>
      </c>
    </row>
    <row r="12" spans="1:17" x14ac:dyDescent="0.25">
      <c r="A12" t="s">
        <v>83</v>
      </c>
      <c r="B12" t="s">
        <v>16</v>
      </c>
      <c r="C12" t="s">
        <v>141</v>
      </c>
      <c r="E12" t="s">
        <v>142</v>
      </c>
      <c r="F12" s="11">
        <v>12</v>
      </c>
      <c r="G12" s="11">
        <v>30</v>
      </c>
      <c r="H12" s="11">
        <v>30</v>
      </c>
      <c r="I12" s="11">
        <f t="shared" si="0"/>
        <v>0</v>
      </c>
      <c r="J12" t="s">
        <v>22</v>
      </c>
      <c r="K12" t="s">
        <v>22</v>
      </c>
      <c r="L12" t="s">
        <v>115</v>
      </c>
      <c r="Q12">
        <v>1</v>
      </c>
    </row>
    <row r="13" spans="1:17" x14ac:dyDescent="0.25">
      <c r="A13" t="s">
        <v>83</v>
      </c>
      <c r="B13" t="s">
        <v>16</v>
      </c>
      <c r="C13" t="s">
        <v>143</v>
      </c>
      <c r="E13" t="s">
        <v>144</v>
      </c>
      <c r="F13" t="s">
        <v>44</v>
      </c>
      <c r="G13" s="11">
        <v>30</v>
      </c>
      <c r="H13" s="11">
        <v>30</v>
      </c>
      <c r="I13" s="11">
        <f t="shared" si="0"/>
        <v>0</v>
      </c>
      <c r="J13" t="s">
        <v>22</v>
      </c>
      <c r="K13" t="s">
        <v>22</v>
      </c>
      <c r="L13" t="s">
        <v>115</v>
      </c>
      <c r="Q13">
        <v>1</v>
      </c>
    </row>
    <row r="14" spans="1:17" x14ac:dyDescent="0.25">
      <c r="A14" t="s">
        <v>83</v>
      </c>
      <c r="B14" t="s">
        <v>16</v>
      </c>
      <c r="C14" t="s">
        <v>145</v>
      </c>
      <c r="E14" t="s">
        <v>146</v>
      </c>
      <c r="F14" t="s">
        <v>86</v>
      </c>
      <c r="G14" s="11">
        <v>530</v>
      </c>
      <c r="H14" s="11">
        <v>30</v>
      </c>
      <c r="I14" s="11">
        <f t="shared" si="0"/>
        <v>500</v>
      </c>
      <c r="J14" t="s">
        <v>22</v>
      </c>
      <c r="K14" t="s">
        <v>22</v>
      </c>
      <c r="L14" t="s">
        <v>115</v>
      </c>
      <c r="Q14">
        <v>1</v>
      </c>
    </row>
    <row r="15" spans="1:17" x14ac:dyDescent="0.25">
      <c r="B15" t="s">
        <v>16</v>
      </c>
      <c r="C15" t="s">
        <v>147</v>
      </c>
      <c r="D15" t="s">
        <v>148</v>
      </c>
      <c r="E15" t="s">
        <v>149</v>
      </c>
      <c r="F15" t="s">
        <v>36</v>
      </c>
      <c r="G15" s="11">
        <v>740</v>
      </c>
      <c r="H15" s="11">
        <v>20</v>
      </c>
      <c r="I15" s="11">
        <f t="shared" si="0"/>
        <v>720</v>
      </c>
      <c r="J15" t="s">
        <v>22</v>
      </c>
      <c r="K15" t="s">
        <v>22</v>
      </c>
      <c r="L15" t="s">
        <v>115</v>
      </c>
      <c r="Q15">
        <v>1</v>
      </c>
    </row>
    <row r="16" spans="1:17" x14ac:dyDescent="0.25">
      <c r="B16" t="s">
        <v>16</v>
      </c>
      <c r="C16" t="s">
        <v>150</v>
      </c>
      <c r="D16" t="s">
        <v>151</v>
      </c>
      <c r="E16" t="s">
        <v>152</v>
      </c>
      <c r="F16" t="s">
        <v>153</v>
      </c>
      <c r="G16" s="11">
        <v>0</v>
      </c>
      <c r="H16" s="11">
        <v>30</v>
      </c>
      <c r="I16" s="11">
        <f t="shared" si="0"/>
        <v>-30</v>
      </c>
      <c r="J16" t="s">
        <v>22</v>
      </c>
      <c r="K16" t="s">
        <v>22</v>
      </c>
      <c r="L16" t="s">
        <v>115</v>
      </c>
      <c r="Q16">
        <v>1</v>
      </c>
    </row>
    <row r="17" spans="1:17" x14ac:dyDescent="0.25">
      <c r="B17" t="s">
        <v>16</v>
      </c>
      <c r="C17" t="s">
        <v>154</v>
      </c>
      <c r="D17" t="s">
        <v>155</v>
      </c>
      <c r="E17" t="s">
        <v>156</v>
      </c>
      <c r="F17" t="s">
        <v>36</v>
      </c>
      <c r="G17" s="11">
        <v>510</v>
      </c>
      <c r="H17" s="11">
        <v>20</v>
      </c>
      <c r="I17" s="11">
        <f t="shared" si="0"/>
        <v>490</v>
      </c>
      <c r="J17" t="s">
        <v>22</v>
      </c>
      <c r="K17" t="s">
        <v>22</v>
      </c>
      <c r="L17" t="s">
        <v>115</v>
      </c>
      <c r="Q17">
        <v>1</v>
      </c>
    </row>
    <row r="18" spans="1:17" x14ac:dyDescent="0.25">
      <c r="B18" t="s">
        <v>16</v>
      </c>
      <c r="C18" t="s">
        <v>157</v>
      </c>
      <c r="D18" t="s">
        <v>158</v>
      </c>
      <c r="E18" t="s">
        <v>159</v>
      </c>
      <c r="F18" t="s">
        <v>44</v>
      </c>
      <c r="G18" s="11">
        <v>745</v>
      </c>
      <c r="H18" s="11">
        <v>25</v>
      </c>
      <c r="I18" s="11">
        <f t="shared" si="0"/>
        <v>720</v>
      </c>
      <c r="J18" t="s">
        <v>22</v>
      </c>
      <c r="K18" t="s">
        <v>22</v>
      </c>
      <c r="L18" t="s">
        <v>115</v>
      </c>
      <c r="Q18">
        <v>1</v>
      </c>
    </row>
    <row r="19" spans="1:17" x14ac:dyDescent="0.25">
      <c r="B19" t="s">
        <v>16</v>
      </c>
      <c r="C19" t="s">
        <v>160</v>
      </c>
      <c r="D19" t="s">
        <v>161</v>
      </c>
      <c r="E19" t="s">
        <v>162</v>
      </c>
      <c r="F19" t="s">
        <v>36</v>
      </c>
      <c r="G19" s="11">
        <v>0</v>
      </c>
      <c r="H19" s="11">
        <v>20</v>
      </c>
      <c r="I19" s="11">
        <f t="shared" si="0"/>
        <v>-20</v>
      </c>
      <c r="J19" t="s">
        <v>22</v>
      </c>
      <c r="K19" t="s">
        <v>22</v>
      </c>
      <c r="L19" t="s">
        <v>115</v>
      </c>
      <c r="Q19">
        <v>1</v>
      </c>
    </row>
    <row r="20" spans="1:17" x14ac:dyDescent="0.25">
      <c r="A20" t="s">
        <v>83</v>
      </c>
      <c r="B20" t="s">
        <v>16</v>
      </c>
      <c r="C20" t="s">
        <v>163</v>
      </c>
      <c r="E20" t="s">
        <v>164</v>
      </c>
      <c r="F20" t="s">
        <v>86</v>
      </c>
      <c r="G20" s="11">
        <v>30</v>
      </c>
      <c r="H20" s="11">
        <v>30</v>
      </c>
      <c r="I20" s="11">
        <f t="shared" si="0"/>
        <v>0</v>
      </c>
      <c r="J20" t="s">
        <v>165</v>
      </c>
      <c r="K20" t="s">
        <v>22</v>
      </c>
      <c r="L20" t="s">
        <v>115</v>
      </c>
      <c r="Q20">
        <v>1</v>
      </c>
    </row>
    <row r="21" spans="1:17" x14ac:dyDescent="0.25">
      <c r="B21" t="s">
        <v>16</v>
      </c>
      <c r="C21" t="s">
        <v>166</v>
      </c>
      <c r="D21" t="s">
        <v>167</v>
      </c>
      <c r="E21" t="s">
        <v>168</v>
      </c>
      <c r="F21" s="11">
        <v>1</v>
      </c>
      <c r="G21" s="11">
        <v>695</v>
      </c>
      <c r="H21" s="11">
        <v>25</v>
      </c>
      <c r="I21" s="11">
        <f t="shared" si="0"/>
        <v>670</v>
      </c>
      <c r="J21" t="s">
        <v>165</v>
      </c>
      <c r="K21" t="s">
        <v>22</v>
      </c>
      <c r="L21" t="s">
        <v>115</v>
      </c>
      <c r="Q21">
        <v>1</v>
      </c>
    </row>
    <row r="22" spans="1:17" x14ac:dyDescent="0.25">
      <c r="B22" t="s">
        <v>16</v>
      </c>
      <c r="C22" t="s">
        <v>143</v>
      </c>
      <c r="D22" t="s">
        <v>169</v>
      </c>
      <c r="E22" t="s">
        <v>170</v>
      </c>
      <c r="F22" s="11">
        <v>10</v>
      </c>
      <c r="G22" s="11">
        <v>775</v>
      </c>
      <c r="H22" s="11">
        <v>25</v>
      </c>
      <c r="I22" s="11">
        <f t="shared" si="0"/>
        <v>750</v>
      </c>
      <c r="J22" t="s">
        <v>165</v>
      </c>
      <c r="K22" t="s">
        <v>22</v>
      </c>
      <c r="L22" t="s">
        <v>115</v>
      </c>
      <c r="Q22">
        <v>1</v>
      </c>
    </row>
    <row r="23" spans="1:17" x14ac:dyDescent="0.25">
      <c r="B23" t="s">
        <v>16</v>
      </c>
      <c r="C23" t="s">
        <v>171</v>
      </c>
      <c r="D23" t="s">
        <v>172</v>
      </c>
      <c r="E23" t="s">
        <v>173</v>
      </c>
      <c r="F23" s="11">
        <v>1</v>
      </c>
      <c r="G23" s="11">
        <v>0</v>
      </c>
      <c r="H23" s="11">
        <v>25</v>
      </c>
      <c r="I23" s="11">
        <f t="shared" si="0"/>
        <v>-25</v>
      </c>
      <c r="J23" t="s">
        <v>165</v>
      </c>
      <c r="K23" t="s">
        <v>22</v>
      </c>
      <c r="L23" t="s">
        <v>115</v>
      </c>
      <c r="M23" t="s">
        <v>174</v>
      </c>
      <c r="Q23">
        <v>1</v>
      </c>
    </row>
    <row r="24" spans="1:17" x14ac:dyDescent="0.25">
      <c r="B24" t="s">
        <v>16</v>
      </c>
      <c r="C24" t="s">
        <v>175</v>
      </c>
      <c r="D24" t="s">
        <v>176</v>
      </c>
      <c r="E24" t="s">
        <v>177</v>
      </c>
      <c r="F24" s="11">
        <v>1</v>
      </c>
      <c r="G24" s="11">
        <v>695</v>
      </c>
      <c r="H24" s="11">
        <v>25</v>
      </c>
      <c r="I24" s="11">
        <f t="shared" si="0"/>
        <v>670</v>
      </c>
      <c r="J24" t="s">
        <v>165</v>
      </c>
      <c r="K24" t="s">
        <v>22</v>
      </c>
      <c r="L24" t="s">
        <v>115</v>
      </c>
      <c r="Q24">
        <v>1</v>
      </c>
    </row>
    <row r="26" spans="1:17" x14ac:dyDescent="0.25">
      <c r="D26" s="6">
        <f>COUNTA(D3:D24)</f>
        <v>17</v>
      </c>
      <c r="G26" s="6">
        <f t="shared" ref="G26:Q26" si="1">SUBTOTAL(9,G3:G24)</f>
        <v>7915</v>
      </c>
      <c r="H26" s="6">
        <f t="shared" si="1"/>
        <v>640</v>
      </c>
      <c r="I26" s="6">
        <f t="shared" si="1"/>
        <v>7275</v>
      </c>
      <c r="J26" s="6">
        <f t="shared" si="1"/>
        <v>0</v>
      </c>
      <c r="K26" s="6">
        <f t="shared" si="1"/>
        <v>0</v>
      </c>
      <c r="L26" s="6">
        <f t="shared" si="1"/>
        <v>0</v>
      </c>
      <c r="M26" s="6">
        <f t="shared" si="1"/>
        <v>0</v>
      </c>
      <c r="N26" s="6">
        <f t="shared" si="1"/>
        <v>0</v>
      </c>
      <c r="O26" s="6">
        <f t="shared" si="1"/>
        <v>0</v>
      </c>
      <c r="P26" s="6">
        <f t="shared" si="1"/>
        <v>0</v>
      </c>
      <c r="Q26" s="6">
        <f t="shared" si="1"/>
        <v>22</v>
      </c>
    </row>
    <row r="27" spans="1:17" x14ac:dyDescent="0.25">
      <c r="H27">
        <f>-3*17</f>
        <v>-51</v>
      </c>
    </row>
    <row r="28" spans="1:17" x14ac:dyDescent="0.25">
      <c r="A28" s="6" t="s">
        <v>16</v>
      </c>
      <c r="C28" s="5" t="s">
        <v>89</v>
      </c>
      <c r="D28" s="5"/>
      <c r="E28" s="9" t="s">
        <v>90</v>
      </c>
      <c r="H28">
        <f>-2*25</f>
        <v>-50</v>
      </c>
      <c r="K28" s="12" t="s">
        <v>22</v>
      </c>
      <c r="L28" s="12" t="s">
        <v>91</v>
      </c>
      <c r="M28" s="12" t="s">
        <v>90</v>
      </c>
      <c r="O28" s="9" t="s">
        <v>92</v>
      </c>
    </row>
    <row r="29" spans="1:17" x14ac:dyDescent="0.25">
      <c r="A29" t="s">
        <v>115</v>
      </c>
      <c r="B29" s="8" t="s">
        <v>93</v>
      </c>
      <c r="C29" s="4">
        <f>SUMIFS(I$3:I$24,B$3:B$24,A$28,L$3:L$24,A$29)</f>
        <v>7275</v>
      </c>
      <c r="D29" s="4"/>
      <c r="E29" s="8">
        <f>SUMIFS(Q$3:Q$24,B$3:B$24,A$28,L$3:L$24,A$29)</f>
        <v>22</v>
      </c>
      <c r="F29" t="s">
        <v>94</v>
      </c>
      <c r="H29">
        <f>-2*30</f>
        <v>-60</v>
      </c>
      <c r="K29" t="s">
        <v>95</v>
      </c>
      <c r="L29">
        <f>SUMIFS(G$3:G$24,J$3:J$24,K$28)</f>
        <v>2655</v>
      </c>
      <c r="M29">
        <f>SUMIFS(Q$3:Q$24,J$3:J$24,K$28)</f>
        <v>10</v>
      </c>
      <c r="O29" t="s">
        <v>22</v>
      </c>
      <c r="P29">
        <f>L34</f>
        <v>2366</v>
      </c>
    </row>
    <row r="30" spans="1:17" x14ac:dyDescent="0.25">
      <c r="B30" s="7" t="s">
        <v>97</v>
      </c>
      <c r="C30" s="3">
        <v>0</v>
      </c>
      <c r="D30" s="3"/>
      <c r="K30" t="s">
        <v>98</v>
      </c>
      <c r="L30">
        <f>-SUMIFS(H$3:H$24,J$3:J$24,K$28)+M30*5</f>
        <v>-245</v>
      </c>
      <c r="M30">
        <f>SUMIFS(Q$3:Q$24,J$3:J$24,K$28)-COUNTIFS(J$3:J$24,K$28,M$3:M$24,"*gộp*")</f>
        <v>10</v>
      </c>
      <c r="O30" t="s">
        <v>165</v>
      </c>
      <c r="P30">
        <f>L42</f>
        <v>2090</v>
      </c>
    </row>
    <row r="31" spans="1:17" x14ac:dyDescent="0.25">
      <c r="B31" s="7" t="s">
        <v>99</v>
      </c>
      <c r="C31" s="3">
        <f>-SUMIFS(I$3:I$24,B$3:B$24,A$28,P$3:P$24,"xx",N$3:N$24,"x")</f>
        <v>0</v>
      </c>
      <c r="D31" s="3"/>
      <c r="E31" s="7">
        <f>SUMIFS(Q$3:Q$24,B$3:B$24,A$28,P$3:P$24,"xx",N$3:N$24,"x")</f>
        <v>0</v>
      </c>
      <c r="K31" t="s">
        <v>100</v>
      </c>
      <c r="L31">
        <f>-M31*2</f>
        <v>-44</v>
      </c>
      <c r="M31">
        <f>Q26-(COUNTIFS(M$3:M$24,"*gộp*")/2)-COUNTIFS(P$3:P$24,"*xx*")</f>
        <v>22</v>
      </c>
      <c r="O31" t="s">
        <v>178</v>
      </c>
      <c r="P31">
        <f>L50</f>
        <v>2904</v>
      </c>
    </row>
    <row r="32" spans="1:17" x14ac:dyDescent="0.25">
      <c r="B32" s="9" t="s">
        <v>101</v>
      </c>
      <c r="C32" s="5">
        <f>SUBTOTAL(9,C29:C31)</f>
        <v>7275</v>
      </c>
      <c r="D32" s="5"/>
      <c r="E32">
        <f>E29</f>
        <v>22</v>
      </c>
      <c r="K32" s="7" t="s">
        <v>102</v>
      </c>
      <c r="O32" t="s">
        <v>103</v>
      </c>
      <c r="P32">
        <f>-C36</f>
        <v>-7275</v>
      </c>
    </row>
    <row r="33" spans="2:16" x14ac:dyDescent="0.25">
      <c r="B33" s="7" t="s">
        <v>104</v>
      </c>
      <c r="C33" s="2"/>
      <c r="D33" s="2"/>
      <c r="K33" s="7" t="s">
        <v>105</v>
      </c>
      <c r="O33" s="9" t="s">
        <v>106</v>
      </c>
      <c r="P33" s="9">
        <f>SUBTOTAL(9,P29:P32)</f>
        <v>85</v>
      </c>
    </row>
    <row r="34" spans="2:16" x14ac:dyDescent="0.25">
      <c r="B34" s="13" t="s">
        <v>107</v>
      </c>
      <c r="C34" s="2"/>
      <c r="D34" s="2"/>
      <c r="L34" s="14">
        <f>SUBTOTAL(9,L29:L33)</f>
        <v>2366</v>
      </c>
      <c r="M34" s="14">
        <f>M29</f>
        <v>10</v>
      </c>
    </row>
    <row r="36" spans="2:16" x14ac:dyDescent="0.25">
      <c r="B36" s="6" t="s">
        <v>108</v>
      </c>
      <c r="C36" s="1">
        <f>C32+C33+C34</f>
        <v>7275</v>
      </c>
      <c r="D36" s="1"/>
      <c r="E36" s="6" t="s">
        <v>109</v>
      </c>
      <c r="K36" s="12" t="s">
        <v>165</v>
      </c>
      <c r="L36" s="12" t="s">
        <v>91</v>
      </c>
      <c r="M36" s="12" t="s">
        <v>90</v>
      </c>
    </row>
    <row r="37" spans="2:16" x14ac:dyDescent="0.25">
      <c r="K37" t="s">
        <v>95</v>
      </c>
      <c r="L37">
        <f>SUMIFS(G$3:G$24,J$3:J$24,K$36)</f>
        <v>2195</v>
      </c>
      <c r="M37">
        <f>SUMIFS(Q$3:Q$24,J$3:J$24,K$36)</f>
        <v>5</v>
      </c>
    </row>
    <row r="38" spans="2:16" x14ac:dyDescent="0.25">
      <c r="K38" t="s">
        <v>98</v>
      </c>
      <c r="L38">
        <f>-SUMIFS(H$3:H$24,J$3:J$24,K$36)+M38*5</f>
        <v>-105</v>
      </c>
      <c r="M38">
        <f>SUMIFS(Q$3:Q$24,J$3:J$24,K$36)-COUNTIFS(J$3:J$24,K$36,M$3:M$24,"*gộp*")</f>
        <v>5</v>
      </c>
    </row>
    <row r="39" spans="2:16" x14ac:dyDescent="0.25">
      <c r="K39" t="s">
        <v>100</v>
      </c>
    </row>
    <row r="40" spans="2:16" x14ac:dyDescent="0.25">
      <c r="K40" s="7" t="s">
        <v>102</v>
      </c>
    </row>
    <row r="41" spans="2:16" x14ac:dyDescent="0.25">
      <c r="K41" s="7" t="s">
        <v>105</v>
      </c>
    </row>
    <row r="42" spans="2:16" x14ac:dyDescent="0.25">
      <c r="L42" s="14">
        <f>SUBTOTAL(9,L37:L41)</f>
        <v>2090</v>
      </c>
      <c r="M42" s="14">
        <f>M37</f>
        <v>5</v>
      </c>
    </row>
    <row r="44" spans="2:16" x14ac:dyDescent="0.25">
      <c r="K44" s="12" t="s">
        <v>114</v>
      </c>
      <c r="L44" s="12" t="s">
        <v>91</v>
      </c>
      <c r="M44" s="12" t="s">
        <v>90</v>
      </c>
    </row>
    <row r="45" spans="2:16" x14ac:dyDescent="0.25">
      <c r="K45" t="s">
        <v>95</v>
      </c>
      <c r="L45">
        <f>SUMIFS(G$3:G$24,J$3:J$24,K$44)</f>
        <v>3065</v>
      </c>
      <c r="M45">
        <f>SUMIFS(Q$3:Q$24,J$3:J$24,K$44)</f>
        <v>7</v>
      </c>
    </row>
    <row r="46" spans="2:16" x14ac:dyDescent="0.25">
      <c r="K46" t="s">
        <v>98</v>
      </c>
      <c r="L46">
        <f>SUM(H27:H29)</f>
        <v>-161</v>
      </c>
      <c r="M46">
        <f>SUMIFS(Q$3:Q$24,J$3:J$24,K$44)</f>
        <v>7</v>
      </c>
    </row>
    <row r="47" spans="2:16" x14ac:dyDescent="0.25">
      <c r="K47" t="s">
        <v>100</v>
      </c>
    </row>
    <row r="48" spans="2:16" x14ac:dyDescent="0.25">
      <c r="K48" s="7" t="s">
        <v>102</v>
      </c>
    </row>
    <row r="49" spans="11:13" x14ac:dyDescent="0.25">
      <c r="K49" s="7" t="s">
        <v>105</v>
      </c>
    </row>
    <row r="50" spans="11:13" x14ac:dyDescent="0.25">
      <c r="L50" s="14">
        <f>SUBTOTAL(9,L45:L49)</f>
        <v>2904</v>
      </c>
      <c r="M50" s="14">
        <f>M45</f>
        <v>7</v>
      </c>
    </row>
  </sheetData>
  <autoFilter ref="A2:P24" xr:uid="{00000000-0009-0000-0000-000001000000}">
    <sortState xmlns:xlrd2="http://schemas.microsoft.com/office/spreadsheetml/2017/richdata2" ref="A3:P24">
      <sortCondition ref="J2:J24"/>
    </sortState>
  </autoFilter>
  <mergeCells count="8">
    <mergeCell ref="C33:D33"/>
    <mergeCell ref="C34:D34"/>
    <mergeCell ref="C36:D36"/>
    <mergeCell ref="C28:D28"/>
    <mergeCell ref="C29:D29"/>
    <mergeCell ref="C30:D30"/>
    <mergeCell ref="C31:D31"/>
    <mergeCell ref="C32:D32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80"/>
  <sheetViews>
    <sheetView topLeftCell="A33" workbookViewId="0">
      <selection activeCell="H58" sqref="H58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61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6.7109375" bestFit="1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</row>
    <row r="3" spans="1:17" x14ac:dyDescent="0.25">
      <c r="B3" t="s">
        <v>16</v>
      </c>
      <c r="C3" t="s">
        <v>179</v>
      </c>
      <c r="D3" t="s">
        <v>180</v>
      </c>
      <c r="E3" t="s">
        <v>181</v>
      </c>
      <c r="F3" s="11">
        <v>9</v>
      </c>
      <c r="G3" s="11">
        <v>30</v>
      </c>
      <c r="H3" s="11">
        <v>30</v>
      </c>
      <c r="I3" s="11">
        <f>G3-H3</f>
        <v>0</v>
      </c>
      <c r="J3" t="s">
        <v>40</v>
      </c>
      <c r="K3" t="s">
        <v>22</v>
      </c>
      <c r="L3" t="s">
        <v>182</v>
      </c>
      <c r="Q3">
        <v>1</v>
      </c>
    </row>
    <row r="4" spans="1:17" x14ac:dyDescent="0.25">
      <c r="B4" t="s">
        <v>16</v>
      </c>
      <c r="C4" t="s">
        <v>183</v>
      </c>
      <c r="D4" t="s">
        <v>184</v>
      </c>
      <c r="E4" t="s">
        <v>185</v>
      </c>
      <c r="F4" s="11">
        <v>9</v>
      </c>
      <c r="G4" s="11">
        <v>920</v>
      </c>
      <c r="H4" s="11">
        <v>30</v>
      </c>
      <c r="I4" s="11">
        <f>G4-H4</f>
        <v>890</v>
      </c>
      <c r="J4" t="s">
        <v>40</v>
      </c>
      <c r="K4" t="s">
        <v>22</v>
      </c>
      <c r="L4" t="s">
        <v>182</v>
      </c>
      <c r="Q4">
        <v>1</v>
      </c>
    </row>
    <row r="5" spans="1:17" x14ac:dyDescent="0.25">
      <c r="B5" t="s">
        <v>16</v>
      </c>
      <c r="C5" t="s">
        <v>186</v>
      </c>
      <c r="D5" t="s">
        <v>187</v>
      </c>
      <c r="E5" t="s">
        <v>188</v>
      </c>
      <c r="F5" s="11">
        <v>9</v>
      </c>
      <c r="G5" s="11">
        <v>0</v>
      </c>
      <c r="H5" s="11">
        <v>30</v>
      </c>
      <c r="I5" s="11">
        <f>-H5</f>
        <v>-30</v>
      </c>
      <c r="J5" t="s">
        <v>40</v>
      </c>
      <c r="K5" t="s">
        <v>22</v>
      </c>
      <c r="L5" t="s">
        <v>182</v>
      </c>
      <c r="Q5">
        <v>1</v>
      </c>
    </row>
    <row r="6" spans="1:17" x14ac:dyDescent="0.25">
      <c r="B6" t="s">
        <v>16</v>
      </c>
      <c r="C6" t="s">
        <v>189</v>
      </c>
      <c r="D6" t="s">
        <v>190</v>
      </c>
      <c r="E6" t="s">
        <v>191</v>
      </c>
      <c r="F6" s="11">
        <v>9</v>
      </c>
      <c r="G6" s="11">
        <v>690</v>
      </c>
      <c r="H6" s="11">
        <v>30</v>
      </c>
      <c r="I6" s="11">
        <f t="shared" ref="I6:I29" si="0">G6-H6</f>
        <v>660</v>
      </c>
      <c r="J6" t="s">
        <v>40</v>
      </c>
      <c r="K6" t="s">
        <v>22</v>
      </c>
      <c r="L6" t="s">
        <v>182</v>
      </c>
      <c r="Q6">
        <v>1</v>
      </c>
    </row>
    <row r="7" spans="1:17" x14ac:dyDescent="0.25">
      <c r="B7" t="s">
        <v>16</v>
      </c>
      <c r="C7" t="s">
        <v>192</v>
      </c>
      <c r="D7" t="s">
        <v>193</v>
      </c>
      <c r="E7" t="s">
        <v>194</v>
      </c>
      <c r="F7" s="11">
        <v>5</v>
      </c>
      <c r="G7" s="11">
        <v>20</v>
      </c>
      <c r="H7" s="11">
        <v>20</v>
      </c>
      <c r="I7" s="11">
        <f t="shared" si="0"/>
        <v>0</v>
      </c>
      <c r="J7" t="s">
        <v>195</v>
      </c>
      <c r="K7" t="s">
        <v>22</v>
      </c>
      <c r="L7" t="s">
        <v>182</v>
      </c>
      <c r="Q7">
        <v>1</v>
      </c>
    </row>
    <row r="8" spans="1:17" x14ac:dyDescent="0.25">
      <c r="B8" t="s">
        <v>16</v>
      </c>
      <c r="C8" t="s">
        <v>196</v>
      </c>
      <c r="D8" t="s">
        <v>197</v>
      </c>
      <c r="E8" t="s">
        <v>198</v>
      </c>
      <c r="F8" s="11">
        <v>12</v>
      </c>
      <c r="G8" s="11">
        <v>820</v>
      </c>
      <c r="H8" s="11">
        <v>30</v>
      </c>
      <c r="I8" s="11">
        <f t="shared" si="0"/>
        <v>790</v>
      </c>
      <c r="J8" t="s">
        <v>195</v>
      </c>
      <c r="K8" t="s">
        <v>22</v>
      </c>
      <c r="L8" t="s">
        <v>182</v>
      </c>
      <c r="Q8">
        <v>1</v>
      </c>
    </row>
    <row r="9" spans="1:17" x14ac:dyDescent="0.25">
      <c r="B9" t="s">
        <v>16</v>
      </c>
      <c r="C9" t="s">
        <v>199</v>
      </c>
      <c r="D9" t="s">
        <v>200</v>
      </c>
      <c r="E9" t="s">
        <v>201</v>
      </c>
      <c r="F9" s="11">
        <v>7</v>
      </c>
      <c r="G9" s="11">
        <v>1330</v>
      </c>
      <c r="H9" s="11">
        <v>30</v>
      </c>
      <c r="I9" s="11">
        <f t="shared" si="0"/>
        <v>1300</v>
      </c>
      <c r="J9" t="s">
        <v>195</v>
      </c>
      <c r="K9" t="s">
        <v>22</v>
      </c>
      <c r="L9" t="s">
        <v>182</v>
      </c>
      <c r="Q9">
        <v>1</v>
      </c>
    </row>
    <row r="10" spans="1:17" x14ac:dyDescent="0.25">
      <c r="B10" t="s">
        <v>16</v>
      </c>
      <c r="C10" t="s">
        <v>202</v>
      </c>
      <c r="D10" t="s">
        <v>203</v>
      </c>
      <c r="E10" t="s">
        <v>204</v>
      </c>
      <c r="F10" t="s">
        <v>86</v>
      </c>
      <c r="G10" s="11">
        <v>375</v>
      </c>
      <c r="H10" s="11">
        <v>25</v>
      </c>
      <c r="I10" s="11">
        <f t="shared" si="0"/>
        <v>350</v>
      </c>
      <c r="J10" t="s">
        <v>195</v>
      </c>
      <c r="K10" t="s">
        <v>22</v>
      </c>
      <c r="L10" t="s">
        <v>182</v>
      </c>
      <c r="Q10">
        <v>1</v>
      </c>
    </row>
    <row r="11" spans="1:17" x14ac:dyDescent="0.25">
      <c r="B11" t="s">
        <v>16</v>
      </c>
      <c r="C11" t="s">
        <v>205</v>
      </c>
      <c r="D11" t="s">
        <v>206</v>
      </c>
      <c r="E11" t="s">
        <v>207</v>
      </c>
      <c r="F11" s="11">
        <v>7</v>
      </c>
      <c r="G11" s="11">
        <v>850</v>
      </c>
      <c r="H11" s="11">
        <v>30</v>
      </c>
      <c r="I11" s="11">
        <f t="shared" si="0"/>
        <v>820</v>
      </c>
      <c r="J11" t="s">
        <v>195</v>
      </c>
      <c r="K11" t="s">
        <v>22</v>
      </c>
      <c r="L11" t="s">
        <v>182</v>
      </c>
      <c r="Q11">
        <v>1</v>
      </c>
    </row>
    <row r="12" spans="1:17" x14ac:dyDescent="0.25">
      <c r="B12" t="s">
        <v>16</v>
      </c>
      <c r="C12" t="s">
        <v>208</v>
      </c>
      <c r="D12" t="s">
        <v>209</v>
      </c>
      <c r="E12" t="s">
        <v>210</v>
      </c>
      <c r="F12" s="11">
        <v>12</v>
      </c>
      <c r="G12" s="11">
        <v>380</v>
      </c>
      <c r="H12" s="11">
        <v>30</v>
      </c>
      <c r="I12" s="11">
        <f t="shared" si="0"/>
        <v>350</v>
      </c>
      <c r="J12" t="s">
        <v>195</v>
      </c>
      <c r="K12" t="s">
        <v>22</v>
      </c>
      <c r="L12" t="s">
        <v>182</v>
      </c>
      <c r="Q12">
        <v>1</v>
      </c>
    </row>
    <row r="13" spans="1:17" x14ac:dyDescent="0.25">
      <c r="B13" t="s">
        <v>16</v>
      </c>
      <c r="C13" t="s">
        <v>211</v>
      </c>
      <c r="D13" t="s">
        <v>212</v>
      </c>
      <c r="E13" t="s">
        <v>213</v>
      </c>
      <c r="F13" s="11">
        <v>7</v>
      </c>
      <c r="G13" s="11">
        <v>670</v>
      </c>
      <c r="H13" s="11">
        <v>30</v>
      </c>
      <c r="I13" s="11">
        <f t="shared" si="0"/>
        <v>640</v>
      </c>
      <c r="J13" t="s">
        <v>195</v>
      </c>
      <c r="K13" t="s">
        <v>22</v>
      </c>
      <c r="L13" t="s">
        <v>182</v>
      </c>
      <c r="Q13">
        <v>1</v>
      </c>
    </row>
    <row r="14" spans="1:17" x14ac:dyDescent="0.25">
      <c r="B14" t="s">
        <v>16</v>
      </c>
      <c r="C14" t="s">
        <v>214</v>
      </c>
      <c r="D14" t="s">
        <v>215</v>
      </c>
      <c r="E14" t="s">
        <v>216</v>
      </c>
      <c r="F14" t="s">
        <v>217</v>
      </c>
      <c r="G14" s="11">
        <v>365</v>
      </c>
      <c r="H14" s="11">
        <v>25</v>
      </c>
      <c r="I14" s="11">
        <f t="shared" si="0"/>
        <v>340</v>
      </c>
      <c r="J14" t="s">
        <v>195</v>
      </c>
      <c r="K14" t="s">
        <v>22</v>
      </c>
      <c r="L14" t="s">
        <v>182</v>
      </c>
      <c r="Q14">
        <v>1</v>
      </c>
    </row>
    <row r="15" spans="1:17" x14ac:dyDescent="0.25">
      <c r="B15" t="s">
        <v>16</v>
      </c>
      <c r="C15" t="s">
        <v>218</v>
      </c>
      <c r="D15" t="s">
        <v>219</v>
      </c>
      <c r="E15" t="s">
        <v>220</v>
      </c>
      <c r="F15" s="11">
        <v>8</v>
      </c>
      <c r="G15" s="11">
        <v>1460</v>
      </c>
      <c r="H15" s="11">
        <v>30</v>
      </c>
      <c r="I15" s="11">
        <f t="shared" si="0"/>
        <v>1430</v>
      </c>
      <c r="J15" t="s">
        <v>195</v>
      </c>
      <c r="K15" t="s">
        <v>22</v>
      </c>
      <c r="L15" t="s">
        <v>182</v>
      </c>
      <c r="Q15">
        <v>1</v>
      </c>
    </row>
    <row r="16" spans="1:17" x14ac:dyDescent="0.25">
      <c r="B16" t="s">
        <v>16</v>
      </c>
      <c r="C16" t="s">
        <v>221</v>
      </c>
      <c r="D16" t="s">
        <v>222</v>
      </c>
      <c r="E16" t="s">
        <v>223</v>
      </c>
      <c r="F16" s="11">
        <v>8</v>
      </c>
      <c r="G16" s="11">
        <v>1440</v>
      </c>
      <c r="H16" s="11">
        <v>30</v>
      </c>
      <c r="I16" s="11">
        <f t="shared" si="0"/>
        <v>1410</v>
      </c>
      <c r="J16" t="s">
        <v>195</v>
      </c>
      <c r="K16" t="s">
        <v>22</v>
      </c>
      <c r="L16" t="s">
        <v>182</v>
      </c>
      <c r="Q16">
        <v>1</v>
      </c>
    </row>
    <row r="17" spans="1:17" x14ac:dyDescent="0.25">
      <c r="B17" t="s">
        <v>16</v>
      </c>
      <c r="C17" t="s">
        <v>224</v>
      </c>
      <c r="D17" t="s">
        <v>225</v>
      </c>
      <c r="E17" t="s">
        <v>226</v>
      </c>
      <c r="F17" s="11">
        <v>10</v>
      </c>
      <c r="G17" s="11">
        <v>375</v>
      </c>
      <c r="H17" s="11">
        <v>25</v>
      </c>
      <c r="I17" s="11">
        <f t="shared" si="0"/>
        <v>350</v>
      </c>
      <c r="J17" t="s">
        <v>195</v>
      </c>
      <c r="K17" t="s">
        <v>22</v>
      </c>
      <c r="L17" t="s">
        <v>182</v>
      </c>
      <c r="Q17">
        <v>1</v>
      </c>
    </row>
    <row r="18" spans="1:17" x14ac:dyDescent="0.25">
      <c r="B18" t="s">
        <v>16</v>
      </c>
      <c r="C18" t="s">
        <v>227</v>
      </c>
      <c r="D18" t="s">
        <v>228</v>
      </c>
      <c r="E18" t="s">
        <v>229</v>
      </c>
      <c r="F18" s="11">
        <v>10</v>
      </c>
      <c r="G18" s="11">
        <v>745</v>
      </c>
      <c r="H18" s="11">
        <v>25</v>
      </c>
      <c r="I18" s="11">
        <f t="shared" si="0"/>
        <v>720</v>
      </c>
      <c r="J18" t="s">
        <v>195</v>
      </c>
      <c r="K18" t="s">
        <v>22</v>
      </c>
      <c r="L18" t="s">
        <v>182</v>
      </c>
      <c r="Q18">
        <v>1</v>
      </c>
    </row>
    <row r="19" spans="1:17" x14ac:dyDescent="0.25">
      <c r="B19" t="s">
        <v>16</v>
      </c>
      <c r="C19" t="s">
        <v>230</v>
      </c>
      <c r="D19" t="s">
        <v>231</v>
      </c>
      <c r="E19" t="s">
        <v>232</v>
      </c>
      <c r="F19" s="11">
        <v>5</v>
      </c>
      <c r="G19" s="11">
        <v>30</v>
      </c>
      <c r="H19" s="11">
        <v>30</v>
      </c>
      <c r="I19" s="11">
        <f t="shared" si="0"/>
        <v>0</v>
      </c>
      <c r="J19" t="s">
        <v>195</v>
      </c>
      <c r="K19" t="s">
        <v>22</v>
      </c>
      <c r="L19" t="s">
        <v>182</v>
      </c>
      <c r="M19" t="s">
        <v>66</v>
      </c>
      <c r="Q19">
        <v>1</v>
      </c>
    </row>
    <row r="20" spans="1:17" x14ac:dyDescent="0.25">
      <c r="B20" t="s">
        <v>16</v>
      </c>
      <c r="C20" t="s">
        <v>233</v>
      </c>
      <c r="D20" t="s">
        <v>234</v>
      </c>
      <c r="E20" t="s">
        <v>235</v>
      </c>
      <c r="F20" t="s">
        <v>128</v>
      </c>
      <c r="G20" s="11">
        <v>695</v>
      </c>
      <c r="H20" s="11">
        <v>35</v>
      </c>
      <c r="I20" s="11">
        <f t="shared" si="0"/>
        <v>660</v>
      </c>
      <c r="J20" t="s">
        <v>195</v>
      </c>
      <c r="K20" t="s">
        <v>22</v>
      </c>
      <c r="L20" t="s">
        <v>182</v>
      </c>
      <c r="Q20">
        <v>1</v>
      </c>
    </row>
    <row r="21" spans="1:17" x14ac:dyDescent="0.25">
      <c r="B21" t="s">
        <v>16</v>
      </c>
      <c r="C21" t="s">
        <v>236</v>
      </c>
      <c r="D21" t="s">
        <v>237</v>
      </c>
      <c r="E21" t="s">
        <v>238</v>
      </c>
      <c r="F21" s="11">
        <v>10</v>
      </c>
      <c r="G21" s="11">
        <v>765</v>
      </c>
      <c r="H21" s="11">
        <v>25</v>
      </c>
      <c r="I21" s="11">
        <f t="shared" si="0"/>
        <v>740</v>
      </c>
      <c r="J21" t="s">
        <v>195</v>
      </c>
      <c r="K21" t="s">
        <v>22</v>
      </c>
      <c r="L21" t="s">
        <v>182</v>
      </c>
      <c r="Q21">
        <v>1</v>
      </c>
    </row>
    <row r="22" spans="1:17" x14ac:dyDescent="0.25">
      <c r="B22" t="s">
        <v>16</v>
      </c>
      <c r="C22" t="s">
        <v>239</v>
      </c>
      <c r="D22" t="s">
        <v>240</v>
      </c>
      <c r="E22" t="s">
        <v>241</v>
      </c>
      <c r="F22" s="11">
        <v>1</v>
      </c>
      <c r="G22" s="11">
        <v>680</v>
      </c>
      <c r="H22" s="11">
        <v>20</v>
      </c>
      <c r="I22" s="11">
        <f t="shared" si="0"/>
        <v>660</v>
      </c>
      <c r="J22" t="s">
        <v>195</v>
      </c>
      <c r="K22" t="s">
        <v>22</v>
      </c>
      <c r="L22" t="s">
        <v>182</v>
      </c>
      <c r="Q22">
        <v>1</v>
      </c>
    </row>
    <row r="23" spans="1:17" x14ac:dyDescent="0.25">
      <c r="B23" t="s">
        <v>16</v>
      </c>
      <c r="C23" t="s">
        <v>242</v>
      </c>
      <c r="D23" t="s">
        <v>243</v>
      </c>
      <c r="E23" t="s">
        <v>244</v>
      </c>
      <c r="F23" s="11">
        <v>10</v>
      </c>
      <c r="G23" s="11">
        <v>815</v>
      </c>
      <c r="H23" s="11">
        <v>25</v>
      </c>
      <c r="I23" s="11">
        <f t="shared" si="0"/>
        <v>790</v>
      </c>
      <c r="J23" t="s">
        <v>195</v>
      </c>
      <c r="K23" t="s">
        <v>22</v>
      </c>
      <c r="L23" t="s">
        <v>182</v>
      </c>
      <c r="Q23">
        <v>1</v>
      </c>
    </row>
    <row r="24" spans="1:17" x14ac:dyDescent="0.25">
      <c r="B24" t="s">
        <v>16</v>
      </c>
      <c r="C24" t="s">
        <v>196</v>
      </c>
      <c r="D24" t="s">
        <v>245</v>
      </c>
      <c r="E24" t="s">
        <v>246</v>
      </c>
      <c r="F24" s="11">
        <v>12</v>
      </c>
      <c r="G24" s="11">
        <v>690</v>
      </c>
      <c r="H24" s="11">
        <v>30</v>
      </c>
      <c r="I24" s="11">
        <f t="shared" si="0"/>
        <v>660</v>
      </c>
      <c r="J24" t="s">
        <v>195</v>
      </c>
      <c r="K24" t="s">
        <v>22</v>
      </c>
      <c r="L24" t="s">
        <v>182</v>
      </c>
      <c r="Q24">
        <v>1</v>
      </c>
    </row>
    <row r="25" spans="1:17" x14ac:dyDescent="0.25">
      <c r="B25" t="s">
        <v>16</v>
      </c>
      <c r="C25" t="s">
        <v>247</v>
      </c>
      <c r="D25" t="s">
        <v>248</v>
      </c>
      <c r="E25" t="s">
        <v>249</v>
      </c>
      <c r="F25" t="s">
        <v>128</v>
      </c>
      <c r="G25" s="11">
        <v>765</v>
      </c>
      <c r="H25" s="11">
        <v>35</v>
      </c>
      <c r="I25" s="11">
        <f t="shared" si="0"/>
        <v>730</v>
      </c>
      <c r="J25" t="s">
        <v>195</v>
      </c>
      <c r="K25" t="s">
        <v>22</v>
      </c>
      <c r="L25" t="s">
        <v>182</v>
      </c>
      <c r="Q25">
        <v>1</v>
      </c>
    </row>
    <row r="26" spans="1:17" x14ac:dyDescent="0.25">
      <c r="B26" t="s">
        <v>16</v>
      </c>
      <c r="C26" t="s">
        <v>250</v>
      </c>
      <c r="D26" t="s">
        <v>251</v>
      </c>
      <c r="E26" t="s">
        <v>252</v>
      </c>
      <c r="F26" t="s">
        <v>20</v>
      </c>
      <c r="G26" s="11">
        <v>690</v>
      </c>
      <c r="H26" s="11">
        <v>30</v>
      </c>
      <c r="I26" s="11">
        <f t="shared" si="0"/>
        <v>660</v>
      </c>
      <c r="J26" t="s">
        <v>195</v>
      </c>
      <c r="K26" t="s">
        <v>22</v>
      </c>
      <c r="L26" t="s">
        <v>182</v>
      </c>
      <c r="Q26">
        <v>1</v>
      </c>
    </row>
    <row r="27" spans="1:17" x14ac:dyDescent="0.25">
      <c r="B27" t="s">
        <v>16</v>
      </c>
      <c r="C27" t="s">
        <v>253</v>
      </c>
      <c r="D27" t="s">
        <v>254</v>
      </c>
      <c r="E27" t="s">
        <v>255</v>
      </c>
      <c r="F27" s="11">
        <v>7</v>
      </c>
      <c r="G27" s="11">
        <v>890</v>
      </c>
      <c r="H27" s="11">
        <v>30</v>
      </c>
      <c r="I27" s="11">
        <f t="shared" si="0"/>
        <v>860</v>
      </c>
      <c r="J27" t="s">
        <v>195</v>
      </c>
      <c r="K27" t="s">
        <v>22</v>
      </c>
      <c r="L27" t="s">
        <v>182</v>
      </c>
      <c r="Q27">
        <v>1</v>
      </c>
    </row>
    <row r="28" spans="1:17" x14ac:dyDescent="0.25">
      <c r="B28" t="s">
        <v>16</v>
      </c>
      <c r="C28" t="s">
        <v>256</v>
      </c>
      <c r="D28" t="s">
        <v>257</v>
      </c>
      <c r="E28" t="s">
        <v>258</v>
      </c>
      <c r="F28" t="s">
        <v>259</v>
      </c>
      <c r="G28" s="11">
        <v>695</v>
      </c>
      <c r="H28" s="11">
        <v>35</v>
      </c>
      <c r="I28" s="11">
        <f t="shared" si="0"/>
        <v>660</v>
      </c>
      <c r="J28" t="s">
        <v>195</v>
      </c>
      <c r="K28" t="s">
        <v>22</v>
      </c>
      <c r="L28" t="s">
        <v>182</v>
      </c>
      <c r="Q28">
        <v>1</v>
      </c>
    </row>
    <row r="29" spans="1:17" x14ac:dyDescent="0.25">
      <c r="B29" t="s">
        <v>16</v>
      </c>
      <c r="C29" t="s">
        <v>260</v>
      </c>
      <c r="D29" t="s">
        <v>261</v>
      </c>
      <c r="E29" t="s">
        <v>262</v>
      </c>
      <c r="F29" s="11">
        <v>8</v>
      </c>
      <c r="G29" s="11">
        <v>845</v>
      </c>
      <c r="H29" s="11">
        <v>25</v>
      </c>
      <c r="I29" s="11">
        <f t="shared" si="0"/>
        <v>820</v>
      </c>
      <c r="J29" t="s">
        <v>195</v>
      </c>
      <c r="K29" t="s">
        <v>22</v>
      </c>
      <c r="L29" t="s">
        <v>182</v>
      </c>
      <c r="Q29">
        <v>1</v>
      </c>
    </row>
    <row r="30" spans="1:17" x14ac:dyDescent="0.25">
      <c r="A30" t="s">
        <v>83</v>
      </c>
      <c r="B30" t="s">
        <v>16</v>
      </c>
      <c r="C30" t="s">
        <v>87</v>
      </c>
      <c r="E30" t="s">
        <v>88</v>
      </c>
      <c r="F30" s="11">
        <v>6</v>
      </c>
      <c r="G30" s="11">
        <v>0</v>
      </c>
      <c r="H30" s="11">
        <v>30</v>
      </c>
      <c r="I30" s="11">
        <f>-H30</f>
        <v>-30</v>
      </c>
      <c r="J30" t="s">
        <v>195</v>
      </c>
      <c r="K30" t="s">
        <v>22</v>
      </c>
      <c r="L30" t="s">
        <v>182</v>
      </c>
      <c r="Q30">
        <v>1</v>
      </c>
    </row>
    <row r="31" spans="1:17" x14ac:dyDescent="0.25">
      <c r="A31" t="s">
        <v>83</v>
      </c>
      <c r="B31" t="s">
        <v>16</v>
      </c>
      <c r="C31" t="s">
        <v>263</v>
      </c>
      <c r="E31" t="s">
        <v>264</v>
      </c>
      <c r="F31" s="11">
        <v>12</v>
      </c>
      <c r="G31" s="11">
        <v>0</v>
      </c>
      <c r="H31" s="11">
        <v>35</v>
      </c>
      <c r="I31" s="11">
        <f>-H31</f>
        <v>-35</v>
      </c>
      <c r="J31" t="s">
        <v>195</v>
      </c>
      <c r="K31" t="s">
        <v>22</v>
      </c>
      <c r="L31" t="s">
        <v>182</v>
      </c>
      <c r="Q31">
        <v>1</v>
      </c>
    </row>
    <row r="32" spans="1:17" x14ac:dyDescent="0.25">
      <c r="A32" t="s">
        <v>83</v>
      </c>
      <c r="B32" t="s">
        <v>16</v>
      </c>
      <c r="C32" t="s">
        <v>265</v>
      </c>
      <c r="E32" t="s">
        <v>266</v>
      </c>
      <c r="F32" s="11">
        <v>6</v>
      </c>
      <c r="G32" s="11">
        <v>35</v>
      </c>
      <c r="H32" s="11">
        <v>35</v>
      </c>
      <c r="I32" s="11">
        <f>G32-H32</f>
        <v>0</v>
      </c>
      <c r="J32" t="s">
        <v>195</v>
      </c>
      <c r="K32" t="s">
        <v>22</v>
      </c>
      <c r="L32" t="s">
        <v>182</v>
      </c>
      <c r="Q32">
        <v>1</v>
      </c>
    </row>
    <row r="33" spans="1:17" x14ac:dyDescent="0.25">
      <c r="A33" t="s">
        <v>83</v>
      </c>
      <c r="B33" t="s">
        <v>16</v>
      </c>
      <c r="C33" t="s">
        <v>267</v>
      </c>
      <c r="E33" t="s">
        <v>268</v>
      </c>
      <c r="F33" s="11">
        <v>6</v>
      </c>
      <c r="G33" s="11">
        <v>0</v>
      </c>
      <c r="H33" s="11">
        <v>30</v>
      </c>
      <c r="I33" s="11">
        <f>-H33</f>
        <v>-30</v>
      </c>
      <c r="J33" t="s">
        <v>195</v>
      </c>
      <c r="K33" t="s">
        <v>22</v>
      </c>
      <c r="L33" t="s">
        <v>182</v>
      </c>
      <c r="M33" t="s">
        <v>66</v>
      </c>
      <c r="Q33">
        <v>1</v>
      </c>
    </row>
    <row r="34" spans="1:17" x14ac:dyDescent="0.25">
      <c r="B34" t="s">
        <v>16</v>
      </c>
      <c r="C34" t="s">
        <v>269</v>
      </c>
      <c r="D34" t="s">
        <v>270</v>
      </c>
      <c r="E34" t="s">
        <v>271</v>
      </c>
      <c r="F34" t="s">
        <v>79</v>
      </c>
      <c r="G34" s="11">
        <v>680</v>
      </c>
      <c r="H34" s="11">
        <v>20</v>
      </c>
      <c r="I34" s="11">
        <f>G34-H34</f>
        <v>660</v>
      </c>
      <c r="J34" t="s">
        <v>22</v>
      </c>
      <c r="K34" t="s">
        <v>22</v>
      </c>
      <c r="L34" t="s">
        <v>182</v>
      </c>
      <c r="Q34">
        <v>1</v>
      </c>
    </row>
    <row r="35" spans="1:17" x14ac:dyDescent="0.25">
      <c r="B35" t="s">
        <v>16</v>
      </c>
      <c r="C35" t="s">
        <v>272</v>
      </c>
      <c r="D35" t="s">
        <v>273</v>
      </c>
      <c r="E35" t="s">
        <v>274</v>
      </c>
      <c r="F35" t="s">
        <v>86</v>
      </c>
      <c r="G35" s="11">
        <v>685</v>
      </c>
      <c r="H35" s="11">
        <v>25</v>
      </c>
      <c r="I35" s="11">
        <f>G35-H35</f>
        <v>660</v>
      </c>
      <c r="J35" t="s">
        <v>22</v>
      </c>
      <c r="K35" t="s">
        <v>22</v>
      </c>
      <c r="L35" t="s">
        <v>182</v>
      </c>
      <c r="Q35">
        <v>1</v>
      </c>
    </row>
    <row r="36" spans="1:17" x14ac:dyDescent="0.25">
      <c r="B36" t="s">
        <v>16</v>
      </c>
      <c r="C36" t="s">
        <v>275</v>
      </c>
      <c r="D36" t="s">
        <v>276</v>
      </c>
      <c r="E36" t="s">
        <v>277</v>
      </c>
      <c r="F36" s="11">
        <v>2</v>
      </c>
      <c r="G36" s="11">
        <v>1500</v>
      </c>
      <c r="H36" s="11">
        <v>30</v>
      </c>
      <c r="I36" s="11">
        <f>G36-H36</f>
        <v>1470</v>
      </c>
      <c r="J36" t="s">
        <v>22</v>
      </c>
      <c r="K36" t="s">
        <v>22</v>
      </c>
      <c r="L36" t="s">
        <v>182</v>
      </c>
      <c r="Q36">
        <v>1</v>
      </c>
    </row>
    <row r="37" spans="1:17" x14ac:dyDescent="0.25">
      <c r="B37" t="s">
        <v>16</v>
      </c>
      <c r="C37" t="s">
        <v>278</v>
      </c>
      <c r="D37" t="s">
        <v>279</v>
      </c>
      <c r="E37" t="s">
        <v>280</v>
      </c>
      <c r="F37" t="s">
        <v>44</v>
      </c>
      <c r="G37" s="11">
        <v>0</v>
      </c>
      <c r="H37" s="11">
        <v>25</v>
      </c>
      <c r="I37" s="11">
        <f>-H37</f>
        <v>-25</v>
      </c>
      <c r="J37" t="s">
        <v>22</v>
      </c>
      <c r="K37" t="s">
        <v>22</v>
      </c>
      <c r="L37" t="s">
        <v>182</v>
      </c>
      <c r="Q37">
        <v>1</v>
      </c>
    </row>
    <row r="38" spans="1:17" x14ac:dyDescent="0.25">
      <c r="B38" t="s">
        <v>16</v>
      </c>
      <c r="C38" t="s">
        <v>281</v>
      </c>
      <c r="D38" t="s">
        <v>282</v>
      </c>
      <c r="E38" t="s">
        <v>283</v>
      </c>
      <c r="F38" t="s">
        <v>79</v>
      </c>
      <c r="G38" s="11">
        <v>0</v>
      </c>
      <c r="H38" s="11">
        <v>20</v>
      </c>
      <c r="I38" s="11">
        <f>-H38</f>
        <v>-20</v>
      </c>
      <c r="J38" t="s">
        <v>22</v>
      </c>
      <c r="K38" t="s">
        <v>22</v>
      </c>
      <c r="L38" t="s">
        <v>182</v>
      </c>
      <c r="Q38">
        <v>1</v>
      </c>
    </row>
    <row r="39" spans="1:17" x14ac:dyDescent="0.25">
      <c r="B39" t="s">
        <v>16</v>
      </c>
      <c r="C39" t="s">
        <v>284</v>
      </c>
      <c r="D39" t="s">
        <v>285</v>
      </c>
      <c r="E39" t="s">
        <v>286</v>
      </c>
      <c r="F39" t="s">
        <v>153</v>
      </c>
      <c r="G39" s="11">
        <v>690</v>
      </c>
      <c r="H39" s="11">
        <v>30</v>
      </c>
      <c r="I39" s="11">
        <f>G39-H39</f>
        <v>660</v>
      </c>
      <c r="J39" t="s">
        <v>22</v>
      </c>
      <c r="K39" t="s">
        <v>22</v>
      </c>
      <c r="L39" t="s">
        <v>182</v>
      </c>
      <c r="Q39">
        <v>1</v>
      </c>
    </row>
    <row r="40" spans="1:17" x14ac:dyDescent="0.25">
      <c r="B40" t="s">
        <v>16</v>
      </c>
      <c r="C40" t="s">
        <v>287</v>
      </c>
      <c r="D40" t="s">
        <v>288</v>
      </c>
      <c r="E40" t="s">
        <v>289</v>
      </c>
      <c r="F40" t="s">
        <v>153</v>
      </c>
      <c r="G40" s="11">
        <v>0</v>
      </c>
      <c r="H40" s="11">
        <v>30</v>
      </c>
      <c r="I40" s="11">
        <f>-H40</f>
        <v>-30</v>
      </c>
      <c r="J40" t="s">
        <v>22</v>
      </c>
      <c r="K40" t="s">
        <v>22</v>
      </c>
      <c r="L40" t="s">
        <v>182</v>
      </c>
      <c r="Q40">
        <v>1</v>
      </c>
    </row>
    <row r="41" spans="1:17" x14ac:dyDescent="0.25">
      <c r="B41" t="s">
        <v>16</v>
      </c>
      <c r="C41" t="s">
        <v>136</v>
      </c>
      <c r="D41" t="s">
        <v>290</v>
      </c>
      <c r="E41" t="s">
        <v>138</v>
      </c>
      <c r="F41" t="s">
        <v>36</v>
      </c>
      <c r="G41" s="11">
        <v>0</v>
      </c>
      <c r="H41" s="11">
        <v>20</v>
      </c>
      <c r="I41" s="11">
        <f>-H41</f>
        <v>-20</v>
      </c>
      <c r="J41" t="s">
        <v>22</v>
      </c>
      <c r="K41" t="s">
        <v>22</v>
      </c>
      <c r="L41" t="s">
        <v>182</v>
      </c>
      <c r="Q41">
        <v>1</v>
      </c>
    </row>
    <row r="42" spans="1:17" x14ac:dyDescent="0.25">
      <c r="B42" t="s">
        <v>16</v>
      </c>
      <c r="C42" t="s">
        <v>291</v>
      </c>
      <c r="D42" t="s">
        <v>292</v>
      </c>
      <c r="E42" t="s">
        <v>293</v>
      </c>
      <c r="F42" s="11">
        <v>2</v>
      </c>
      <c r="G42" s="11">
        <v>1480</v>
      </c>
      <c r="H42" s="11">
        <v>30</v>
      </c>
      <c r="I42" s="11">
        <f t="shared" ref="I42:I53" si="1">G42-H42</f>
        <v>1450</v>
      </c>
      <c r="J42" t="s">
        <v>22</v>
      </c>
      <c r="K42" t="s">
        <v>22</v>
      </c>
      <c r="L42" t="s">
        <v>182</v>
      </c>
      <c r="Q42">
        <v>1</v>
      </c>
    </row>
    <row r="43" spans="1:17" x14ac:dyDescent="0.25">
      <c r="B43" t="s">
        <v>16</v>
      </c>
      <c r="C43" t="s">
        <v>294</v>
      </c>
      <c r="D43" t="s">
        <v>295</v>
      </c>
      <c r="E43" t="s">
        <v>296</v>
      </c>
      <c r="F43" s="11">
        <v>3</v>
      </c>
      <c r="G43" s="11">
        <v>685</v>
      </c>
      <c r="H43" s="11">
        <v>25</v>
      </c>
      <c r="I43" s="11">
        <f t="shared" si="1"/>
        <v>660</v>
      </c>
      <c r="J43" t="s">
        <v>22</v>
      </c>
      <c r="K43" t="s">
        <v>22</v>
      </c>
      <c r="L43" t="s">
        <v>182</v>
      </c>
      <c r="Q43">
        <v>1</v>
      </c>
    </row>
    <row r="44" spans="1:17" x14ac:dyDescent="0.25">
      <c r="B44" t="s">
        <v>16</v>
      </c>
      <c r="C44" t="s">
        <v>297</v>
      </c>
      <c r="D44" t="s">
        <v>298</v>
      </c>
      <c r="E44" t="s">
        <v>299</v>
      </c>
      <c r="F44" t="s">
        <v>36</v>
      </c>
      <c r="G44" s="11">
        <v>770</v>
      </c>
      <c r="H44" s="11">
        <v>20</v>
      </c>
      <c r="I44" s="11">
        <f t="shared" si="1"/>
        <v>750</v>
      </c>
      <c r="J44" t="s">
        <v>22</v>
      </c>
      <c r="K44" t="s">
        <v>22</v>
      </c>
      <c r="L44" t="s">
        <v>182</v>
      </c>
      <c r="Q44">
        <v>1</v>
      </c>
    </row>
    <row r="45" spans="1:17" x14ac:dyDescent="0.25">
      <c r="B45" t="s">
        <v>16</v>
      </c>
      <c r="C45" t="s">
        <v>300</v>
      </c>
      <c r="D45" t="s">
        <v>301</v>
      </c>
      <c r="E45" t="s">
        <v>302</v>
      </c>
      <c r="F45" t="s">
        <v>36</v>
      </c>
      <c r="G45" s="11">
        <v>680</v>
      </c>
      <c r="H45" s="11">
        <v>20</v>
      </c>
      <c r="I45" s="11">
        <f t="shared" si="1"/>
        <v>660</v>
      </c>
      <c r="J45" t="s">
        <v>22</v>
      </c>
      <c r="K45" t="s">
        <v>22</v>
      </c>
      <c r="L45" t="s">
        <v>182</v>
      </c>
      <c r="Q45">
        <v>1</v>
      </c>
    </row>
    <row r="46" spans="1:17" x14ac:dyDescent="0.25">
      <c r="B46" t="s">
        <v>16</v>
      </c>
      <c r="C46" t="s">
        <v>303</v>
      </c>
      <c r="D46" t="s">
        <v>304</v>
      </c>
      <c r="E46" t="s">
        <v>305</v>
      </c>
      <c r="F46" t="s">
        <v>153</v>
      </c>
      <c r="G46" s="11">
        <v>1030</v>
      </c>
      <c r="H46" s="11">
        <v>30</v>
      </c>
      <c r="I46" s="11">
        <f t="shared" si="1"/>
        <v>1000</v>
      </c>
      <c r="J46" t="s">
        <v>22</v>
      </c>
      <c r="K46" t="s">
        <v>22</v>
      </c>
      <c r="L46" t="s">
        <v>182</v>
      </c>
      <c r="Q46">
        <v>1</v>
      </c>
    </row>
    <row r="47" spans="1:17" x14ac:dyDescent="0.25">
      <c r="B47" t="s">
        <v>16</v>
      </c>
      <c r="C47" t="s">
        <v>306</v>
      </c>
      <c r="D47" t="s">
        <v>307</v>
      </c>
      <c r="E47" t="s">
        <v>308</v>
      </c>
      <c r="F47" t="s">
        <v>36</v>
      </c>
      <c r="G47" s="11">
        <v>680</v>
      </c>
      <c r="H47" s="11">
        <v>20</v>
      </c>
      <c r="I47" s="11">
        <f t="shared" si="1"/>
        <v>660</v>
      </c>
      <c r="J47" t="s">
        <v>22</v>
      </c>
      <c r="K47" t="s">
        <v>22</v>
      </c>
      <c r="L47" t="s">
        <v>182</v>
      </c>
      <c r="Q47">
        <v>1</v>
      </c>
    </row>
    <row r="48" spans="1:17" x14ac:dyDescent="0.25">
      <c r="B48" t="s">
        <v>16</v>
      </c>
      <c r="C48" t="s">
        <v>309</v>
      </c>
      <c r="D48" t="s">
        <v>310</v>
      </c>
      <c r="E48" t="s">
        <v>311</v>
      </c>
      <c r="F48" t="s">
        <v>44</v>
      </c>
      <c r="G48" s="11">
        <v>685</v>
      </c>
      <c r="H48" s="11">
        <v>25</v>
      </c>
      <c r="I48" s="11">
        <f t="shared" si="1"/>
        <v>660</v>
      </c>
      <c r="J48" t="s">
        <v>22</v>
      </c>
      <c r="K48" t="s">
        <v>22</v>
      </c>
      <c r="L48" t="s">
        <v>182</v>
      </c>
      <c r="M48" t="s">
        <v>312</v>
      </c>
      <c r="Q48">
        <v>1</v>
      </c>
    </row>
    <row r="49" spans="1:17" x14ac:dyDescent="0.25">
      <c r="B49" t="s">
        <v>16</v>
      </c>
      <c r="C49" t="s">
        <v>313</v>
      </c>
      <c r="D49" t="s">
        <v>314</v>
      </c>
      <c r="E49" t="s">
        <v>315</v>
      </c>
      <c r="F49" t="s">
        <v>86</v>
      </c>
      <c r="G49" s="11">
        <v>820</v>
      </c>
      <c r="H49" s="11">
        <v>0</v>
      </c>
      <c r="I49" s="11">
        <f t="shared" si="1"/>
        <v>820</v>
      </c>
      <c r="J49" t="s">
        <v>22</v>
      </c>
      <c r="K49" t="s">
        <v>22</v>
      </c>
      <c r="L49" t="s">
        <v>182</v>
      </c>
      <c r="M49" t="s">
        <v>312</v>
      </c>
      <c r="Q49">
        <v>1</v>
      </c>
    </row>
    <row r="50" spans="1:17" x14ac:dyDescent="0.25">
      <c r="B50" t="s">
        <v>16</v>
      </c>
      <c r="C50" t="s">
        <v>313</v>
      </c>
      <c r="D50" t="s">
        <v>316</v>
      </c>
      <c r="E50" t="s">
        <v>315</v>
      </c>
      <c r="F50" t="s">
        <v>86</v>
      </c>
      <c r="G50" s="11">
        <v>1585</v>
      </c>
      <c r="H50" s="11">
        <v>25</v>
      </c>
      <c r="I50" s="11">
        <f t="shared" si="1"/>
        <v>1560</v>
      </c>
      <c r="J50" t="s">
        <v>22</v>
      </c>
      <c r="K50" t="s">
        <v>22</v>
      </c>
      <c r="L50" t="s">
        <v>182</v>
      </c>
      <c r="M50" t="s">
        <v>312</v>
      </c>
      <c r="Q50">
        <v>1</v>
      </c>
    </row>
    <row r="51" spans="1:17" x14ac:dyDescent="0.25">
      <c r="B51" t="s">
        <v>16</v>
      </c>
      <c r="C51" t="s">
        <v>309</v>
      </c>
      <c r="D51" t="s">
        <v>317</v>
      </c>
      <c r="E51" t="s">
        <v>311</v>
      </c>
      <c r="F51" t="s">
        <v>44</v>
      </c>
      <c r="G51" s="11">
        <v>1050</v>
      </c>
      <c r="H51" s="11">
        <v>0</v>
      </c>
      <c r="I51" s="11">
        <f t="shared" si="1"/>
        <v>1050</v>
      </c>
      <c r="J51" t="s">
        <v>22</v>
      </c>
      <c r="K51" t="s">
        <v>22</v>
      </c>
      <c r="L51" t="s">
        <v>182</v>
      </c>
      <c r="M51" t="s">
        <v>312</v>
      </c>
      <c r="Q51">
        <v>1</v>
      </c>
    </row>
    <row r="52" spans="1:17" x14ac:dyDescent="0.25">
      <c r="A52" t="s">
        <v>83</v>
      </c>
      <c r="B52" t="s">
        <v>16</v>
      </c>
      <c r="C52" t="s">
        <v>318</v>
      </c>
      <c r="E52" t="s">
        <v>319</v>
      </c>
      <c r="F52" t="s">
        <v>44</v>
      </c>
      <c r="G52" s="11">
        <v>30</v>
      </c>
      <c r="H52" s="11">
        <v>30</v>
      </c>
      <c r="I52" s="11">
        <f t="shared" si="1"/>
        <v>0</v>
      </c>
      <c r="J52" t="s">
        <v>22</v>
      </c>
      <c r="K52" t="s">
        <v>22</v>
      </c>
      <c r="L52" t="s">
        <v>182</v>
      </c>
      <c r="Q52">
        <v>1</v>
      </c>
    </row>
    <row r="53" spans="1:17" x14ac:dyDescent="0.25">
      <c r="A53" t="s">
        <v>83</v>
      </c>
      <c r="B53" t="s">
        <v>16</v>
      </c>
      <c r="C53" t="s">
        <v>320</v>
      </c>
      <c r="E53" t="s">
        <v>321</v>
      </c>
      <c r="F53" t="s">
        <v>44</v>
      </c>
      <c r="G53" s="11">
        <v>30</v>
      </c>
      <c r="H53" s="11">
        <v>30</v>
      </c>
      <c r="I53" s="11">
        <f t="shared" si="1"/>
        <v>0</v>
      </c>
      <c r="J53" t="s">
        <v>22</v>
      </c>
      <c r="K53" t="s">
        <v>22</v>
      </c>
      <c r="L53" t="s">
        <v>182</v>
      </c>
      <c r="Q53">
        <v>1</v>
      </c>
    </row>
    <row r="55" spans="1:17" x14ac:dyDescent="0.25">
      <c r="D55" s="6">
        <f>COUNTA(D3:D53)</f>
        <v>45</v>
      </c>
      <c r="G55" s="6">
        <f t="shared" ref="G55:Q55" si="2">SUBTOTAL(9,G3:G53)</f>
        <v>31145</v>
      </c>
      <c r="H55" s="6">
        <f t="shared" si="2"/>
        <v>1355</v>
      </c>
      <c r="I55" s="6">
        <f t="shared" si="2"/>
        <v>29790</v>
      </c>
      <c r="J55" s="6">
        <f t="shared" si="2"/>
        <v>0</v>
      </c>
      <c r="K55" s="6">
        <f t="shared" si="2"/>
        <v>0</v>
      </c>
      <c r="L55" s="6">
        <f t="shared" si="2"/>
        <v>0</v>
      </c>
      <c r="M55" s="6">
        <f t="shared" si="2"/>
        <v>0</v>
      </c>
      <c r="N55" s="6">
        <f t="shared" si="2"/>
        <v>0</v>
      </c>
      <c r="O55" s="6">
        <f t="shared" si="2"/>
        <v>0</v>
      </c>
      <c r="P55" s="6">
        <f t="shared" si="2"/>
        <v>0</v>
      </c>
      <c r="Q55" s="6">
        <f t="shared" si="2"/>
        <v>51</v>
      </c>
    </row>
    <row r="56" spans="1:17" x14ac:dyDescent="0.25">
      <c r="H56">
        <f>-19*17</f>
        <v>-323</v>
      </c>
    </row>
    <row r="57" spans="1:17" x14ac:dyDescent="0.25">
      <c r="A57" s="6" t="s">
        <v>16</v>
      </c>
      <c r="C57" s="5" t="s">
        <v>89</v>
      </c>
      <c r="D57" s="5"/>
      <c r="E57" s="9" t="s">
        <v>90</v>
      </c>
      <c r="H57">
        <f>-5*25</f>
        <v>-125</v>
      </c>
      <c r="K57" s="12" t="s">
        <v>22</v>
      </c>
      <c r="L57" s="12" t="s">
        <v>91</v>
      </c>
      <c r="M57" s="12" t="s">
        <v>90</v>
      </c>
      <c r="O57" s="9" t="s">
        <v>92</v>
      </c>
    </row>
    <row r="58" spans="1:17" x14ac:dyDescent="0.25">
      <c r="A58" t="s">
        <v>182</v>
      </c>
      <c r="B58" s="8" t="s">
        <v>93</v>
      </c>
      <c r="C58" s="4">
        <f>SUMIFS(I$3:I$53,B$3:B$53,A$57,L$3:L$53,A$58)</f>
        <v>29790</v>
      </c>
      <c r="D58" s="4"/>
      <c r="E58" s="8">
        <f>SUMIFS(Q$3:Q$53,B$3:B$53,A$57,L$3:L$53,A$58)</f>
        <v>51</v>
      </c>
      <c r="F58" t="s">
        <v>94</v>
      </c>
      <c r="H58">
        <f>-3*30</f>
        <v>-90</v>
      </c>
      <c r="K58" t="s">
        <v>95</v>
      </c>
      <c r="L58">
        <f>SUMIFS(G$3:G$53,J$3:J$53,K$57)</f>
        <v>13080</v>
      </c>
      <c r="M58">
        <f>SUMIFS(Q$3:Q$53,J$3:J$53,K$57)</f>
        <v>20</v>
      </c>
      <c r="O58" t="s">
        <v>22</v>
      </c>
      <c r="P58">
        <f>L64</f>
        <v>12637</v>
      </c>
    </row>
    <row r="59" spans="1:17" x14ac:dyDescent="0.25">
      <c r="B59" s="7" t="s">
        <v>97</v>
      </c>
      <c r="C59" s="3">
        <v>0</v>
      </c>
      <c r="D59" s="3"/>
      <c r="K59" t="s">
        <v>98</v>
      </c>
      <c r="L59">
        <f>-SUMIFS(H$3:H$53,J$3:J$53,K$57)+M59*5</f>
        <v>-375</v>
      </c>
      <c r="M59">
        <f>SUMIFS(Q$3:Q$53,J$3:J$53,K$57)-COUNTIFS(J$3:J$53,K$57,M$3:M$53,"*gộp*")</f>
        <v>16</v>
      </c>
      <c r="O59" t="s">
        <v>322</v>
      </c>
      <c r="P59">
        <f>L72</f>
        <v>15887</v>
      </c>
    </row>
    <row r="60" spans="1:17" x14ac:dyDescent="0.25">
      <c r="B60" s="7" t="s">
        <v>99</v>
      </c>
      <c r="C60" s="3">
        <f>-SUMIFS(I$3:I$53,B$3:B$53,A$57,P$3:P$53,"xx",N$3:N$53,"x")</f>
        <v>0</v>
      </c>
      <c r="D60" s="3"/>
      <c r="E60" s="7">
        <f>SUMIFS(Q$3:Q$53,B$3:B$53,A$57,P$3:P$53,"xx",N$3:N$53,"x")</f>
        <v>0</v>
      </c>
      <c r="K60" t="s">
        <v>100</v>
      </c>
      <c r="L60">
        <f>-M60*2</f>
        <v>-98</v>
      </c>
      <c r="M60">
        <f>Q55-(COUNTIFS(M$3:M$53,"*gộp*")/2)-COUNTIFS(P$3:P$53,"*xx*")</f>
        <v>49</v>
      </c>
      <c r="O60" t="s">
        <v>40</v>
      </c>
      <c r="P60">
        <f>L80</f>
        <v>1540</v>
      </c>
    </row>
    <row r="61" spans="1:17" x14ac:dyDescent="0.25">
      <c r="B61" s="9" t="s">
        <v>101</v>
      </c>
      <c r="C61" s="5">
        <f>SUBTOTAL(9,C58:C60)</f>
        <v>29790</v>
      </c>
      <c r="D61" s="5"/>
      <c r="E61">
        <f>E58</f>
        <v>51</v>
      </c>
      <c r="K61" s="7" t="s">
        <v>102</v>
      </c>
      <c r="O61" t="s">
        <v>103</v>
      </c>
      <c r="P61">
        <f>-C65</f>
        <v>-29790</v>
      </c>
    </row>
    <row r="62" spans="1:17" x14ac:dyDescent="0.25">
      <c r="B62" s="7" t="s">
        <v>104</v>
      </c>
      <c r="C62" s="2"/>
      <c r="D62" s="2"/>
      <c r="K62" s="7" t="s">
        <v>105</v>
      </c>
      <c r="O62" s="9" t="s">
        <v>106</v>
      </c>
      <c r="P62" s="9">
        <f>SUBTOTAL(9,P58:P61)</f>
        <v>274</v>
      </c>
    </row>
    <row r="63" spans="1:17" x14ac:dyDescent="0.25">
      <c r="B63" s="13" t="s">
        <v>107</v>
      </c>
      <c r="C63" s="2"/>
      <c r="D63" s="2"/>
      <c r="K63" s="15" t="s">
        <v>323</v>
      </c>
      <c r="L63">
        <v>30</v>
      </c>
    </row>
    <row r="64" spans="1:17" x14ac:dyDescent="0.25">
      <c r="L64" s="14">
        <f>SUBTOTAL(9,L58:L63)</f>
        <v>12637</v>
      </c>
      <c r="M64" s="14">
        <f>M58</f>
        <v>20</v>
      </c>
    </row>
    <row r="65" spans="2:13" x14ac:dyDescent="0.25">
      <c r="B65" s="6" t="s">
        <v>108</v>
      </c>
      <c r="C65" s="1">
        <f>C61+C62+C63</f>
        <v>29790</v>
      </c>
      <c r="D65" s="1"/>
      <c r="E65" s="6" t="s">
        <v>109</v>
      </c>
      <c r="K65" s="16"/>
      <c r="L65" s="16"/>
      <c r="M65" s="16"/>
    </row>
    <row r="66" spans="2:13" x14ac:dyDescent="0.25">
      <c r="K66" s="12" t="s">
        <v>195</v>
      </c>
      <c r="L66" s="12" t="s">
        <v>91</v>
      </c>
      <c r="M66" s="12" t="s">
        <v>90</v>
      </c>
    </row>
    <row r="67" spans="2:13" x14ac:dyDescent="0.25">
      <c r="K67" t="s">
        <v>95</v>
      </c>
      <c r="L67">
        <f>SUMIFS(G$3:G$53,J$3:J$53,K$66)</f>
        <v>16425</v>
      </c>
      <c r="M67">
        <f>SUMIFS(Q$3:Q$53,J$3:J$53,K$66)</f>
        <v>27</v>
      </c>
    </row>
    <row r="68" spans="2:13" x14ac:dyDescent="0.25">
      <c r="K68" t="s">
        <v>98</v>
      </c>
      <c r="L68">
        <f>SUM(H56:H58)</f>
        <v>-538</v>
      </c>
      <c r="M68">
        <f>SUMIFS(Q$3:Q$53,J$3:J$53,K$66)</f>
        <v>27</v>
      </c>
    </row>
    <row r="69" spans="2:13" x14ac:dyDescent="0.25">
      <c r="K69" t="s">
        <v>100</v>
      </c>
    </row>
    <row r="70" spans="2:13" x14ac:dyDescent="0.25">
      <c r="K70" s="7" t="s">
        <v>102</v>
      </c>
    </row>
    <row r="71" spans="2:13" x14ac:dyDescent="0.25">
      <c r="K71" s="7" t="s">
        <v>105</v>
      </c>
    </row>
    <row r="72" spans="2:13" x14ac:dyDescent="0.25">
      <c r="L72" s="14">
        <f>SUBTOTAL(9,L67:L71)</f>
        <v>15887</v>
      </c>
      <c r="M72" s="14">
        <f>M67</f>
        <v>27</v>
      </c>
    </row>
    <row r="74" spans="2:13" x14ac:dyDescent="0.25">
      <c r="K74" s="12" t="s">
        <v>40</v>
      </c>
      <c r="L74" s="12" t="s">
        <v>91</v>
      </c>
      <c r="M74" s="12" t="s">
        <v>90</v>
      </c>
    </row>
    <row r="75" spans="2:13" x14ac:dyDescent="0.25">
      <c r="K75" t="s">
        <v>95</v>
      </c>
      <c r="L75">
        <f>SUMIFS(G$3:G$53,J$3:J$53,K$74)</f>
        <v>1640</v>
      </c>
      <c r="M75">
        <f>SUMIFS(Q$3:Q$53,J$3:J$53,K$74)</f>
        <v>4</v>
      </c>
    </row>
    <row r="76" spans="2:13" x14ac:dyDescent="0.25">
      <c r="K76" t="s">
        <v>98</v>
      </c>
      <c r="L76">
        <f>-SUMIFS(H$3:H$53,J$3:J$53,K$74)+M76*5</f>
        <v>-100</v>
      </c>
      <c r="M76">
        <f>SUMIFS(Q$3:Q$53,J$3:J$53,K$74)-COUNTIFS(J$3:J$53,K$74,M$3:M$53,"*gộp*")</f>
        <v>4</v>
      </c>
    </row>
    <row r="77" spans="2:13" x14ac:dyDescent="0.25">
      <c r="K77" t="s">
        <v>100</v>
      </c>
    </row>
    <row r="78" spans="2:13" x14ac:dyDescent="0.25">
      <c r="K78" s="7" t="s">
        <v>102</v>
      </c>
    </row>
    <row r="79" spans="2:13" x14ac:dyDescent="0.25">
      <c r="K79" s="7" t="s">
        <v>105</v>
      </c>
    </row>
    <row r="80" spans="2:13" x14ac:dyDescent="0.25">
      <c r="L80" s="14">
        <f>SUBTOTAL(9,L75:L79)</f>
        <v>1540</v>
      </c>
      <c r="M80" s="14">
        <f>M75</f>
        <v>4</v>
      </c>
    </row>
  </sheetData>
  <autoFilter ref="A2:P53" xr:uid="{00000000-0009-0000-0000-000002000000}">
    <sortState xmlns:xlrd2="http://schemas.microsoft.com/office/spreadsheetml/2017/richdata2" ref="A3:P53">
      <sortCondition ref="J2:J53"/>
    </sortState>
  </autoFilter>
  <mergeCells count="8">
    <mergeCell ref="C62:D62"/>
    <mergeCell ref="C63:D63"/>
    <mergeCell ref="C65:D65"/>
    <mergeCell ref="C57:D57"/>
    <mergeCell ref="C58:D58"/>
    <mergeCell ref="C59:D59"/>
    <mergeCell ref="C60:D60"/>
    <mergeCell ref="C61:D61"/>
  </mergeCells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78"/>
  <sheetViews>
    <sheetView topLeftCell="C37" workbookViewId="0">
      <selection activeCell="L66" sqref="L66"/>
    </sheetView>
  </sheetViews>
  <sheetFormatPr defaultRowHeight="15" x14ac:dyDescent="0.25"/>
  <cols>
    <col min="1" max="1" width="12.7109375" customWidth="1"/>
    <col min="2" max="2" width="17.7109375" customWidth="1"/>
    <col min="3" max="3" width="46" customWidth="1"/>
    <col min="4" max="4" width="9.85546875" customWidth="1"/>
    <col min="5" max="5" width="9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s="10" t="s">
        <v>324</v>
      </c>
    </row>
    <row r="3" spans="1:17" x14ac:dyDescent="0.25">
      <c r="B3" t="s">
        <v>16</v>
      </c>
      <c r="C3" t="s">
        <v>325</v>
      </c>
      <c r="D3" t="s">
        <v>326</v>
      </c>
      <c r="E3" t="s">
        <v>258</v>
      </c>
      <c r="F3" t="s">
        <v>259</v>
      </c>
      <c r="G3" s="11">
        <v>735</v>
      </c>
      <c r="H3" s="11">
        <v>35</v>
      </c>
      <c r="I3" s="11">
        <f t="shared" ref="I3:I44" si="0">G3-H3</f>
        <v>700</v>
      </c>
      <c r="J3" t="s">
        <v>327</v>
      </c>
      <c r="K3" t="s">
        <v>22</v>
      </c>
      <c r="L3" t="s">
        <v>328</v>
      </c>
      <c r="Q3">
        <v>1</v>
      </c>
    </row>
    <row r="4" spans="1:17" x14ac:dyDescent="0.25">
      <c r="B4" t="s">
        <v>16</v>
      </c>
      <c r="C4" t="s">
        <v>329</v>
      </c>
      <c r="D4" t="s">
        <v>330</v>
      </c>
      <c r="E4" t="s">
        <v>331</v>
      </c>
      <c r="F4" t="s">
        <v>153</v>
      </c>
      <c r="G4" s="11">
        <v>700</v>
      </c>
      <c r="H4" s="11">
        <v>30</v>
      </c>
      <c r="I4" s="11">
        <f t="shared" si="0"/>
        <v>670</v>
      </c>
      <c r="J4" t="s">
        <v>22</v>
      </c>
      <c r="K4" t="s">
        <v>22</v>
      </c>
      <c r="L4" t="s">
        <v>328</v>
      </c>
      <c r="Q4">
        <v>1</v>
      </c>
    </row>
    <row r="5" spans="1:17" x14ac:dyDescent="0.25">
      <c r="B5" t="s">
        <v>16</v>
      </c>
      <c r="C5" t="s">
        <v>332</v>
      </c>
      <c r="D5" t="s">
        <v>333</v>
      </c>
      <c r="E5" t="s">
        <v>334</v>
      </c>
      <c r="F5" s="11">
        <v>12</v>
      </c>
      <c r="G5" s="11">
        <v>760</v>
      </c>
      <c r="H5" s="11">
        <v>30</v>
      </c>
      <c r="I5" s="11">
        <f t="shared" si="0"/>
        <v>730</v>
      </c>
      <c r="J5" t="s">
        <v>327</v>
      </c>
      <c r="K5" t="s">
        <v>22</v>
      </c>
      <c r="L5" t="s">
        <v>328</v>
      </c>
      <c r="Q5">
        <v>1</v>
      </c>
    </row>
    <row r="6" spans="1:17" x14ac:dyDescent="0.25">
      <c r="B6" t="s">
        <v>16</v>
      </c>
      <c r="C6" t="s">
        <v>335</v>
      </c>
      <c r="D6" t="s">
        <v>336</v>
      </c>
      <c r="E6" t="s">
        <v>337</v>
      </c>
      <c r="F6" s="11">
        <v>7</v>
      </c>
      <c r="G6" s="11">
        <v>690</v>
      </c>
      <c r="H6" s="11">
        <v>30</v>
      </c>
      <c r="I6" s="11">
        <f t="shared" si="0"/>
        <v>660</v>
      </c>
      <c r="J6" t="s">
        <v>327</v>
      </c>
      <c r="K6" t="s">
        <v>22</v>
      </c>
      <c r="L6" t="s">
        <v>328</v>
      </c>
      <c r="Q6">
        <v>1</v>
      </c>
    </row>
    <row r="7" spans="1:17" x14ac:dyDescent="0.25">
      <c r="B7" t="s">
        <v>16</v>
      </c>
      <c r="C7" t="s">
        <v>338</v>
      </c>
      <c r="D7" t="s">
        <v>339</v>
      </c>
      <c r="E7" t="s">
        <v>340</v>
      </c>
      <c r="F7" s="11">
        <v>7</v>
      </c>
      <c r="G7" s="11">
        <v>920</v>
      </c>
      <c r="H7" s="11">
        <v>30</v>
      </c>
      <c r="I7" s="11">
        <f t="shared" si="0"/>
        <v>890</v>
      </c>
      <c r="J7" t="s">
        <v>327</v>
      </c>
      <c r="K7" t="s">
        <v>22</v>
      </c>
      <c r="L7" t="s">
        <v>328</v>
      </c>
      <c r="Q7">
        <v>1</v>
      </c>
    </row>
    <row r="8" spans="1:17" x14ac:dyDescent="0.25">
      <c r="B8" t="s">
        <v>16</v>
      </c>
      <c r="C8" t="s">
        <v>341</v>
      </c>
      <c r="D8" t="s">
        <v>342</v>
      </c>
      <c r="E8" t="s">
        <v>343</v>
      </c>
      <c r="F8" s="11">
        <v>3</v>
      </c>
      <c r="G8" s="11">
        <v>0</v>
      </c>
      <c r="H8" s="11">
        <v>25</v>
      </c>
      <c r="I8" s="11">
        <f t="shared" si="0"/>
        <v>-25</v>
      </c>
      <c r="J8" t="s">
        <v>165</v>
      </c>
      <c r="K8" t="s">
        <v>22</v>
      </c>
      <c r="L8" t="s">
        <v>328</v>
      </c>
      <c r="Q8">
        <v>1</v>
      </c>
    </row>
    <row r="9" spans="1:17" x14ac:dyDescent="0.25">
      <c r="B9" t="s">
        <v>16</v>
      </c>
      <c r="C9" t="s">
        <v>344</v>
      </c>
      <c r="D9" t="s">
        <v>345</v>
      </c>
      <c r="E9" t="s">
        <v>346</v>
      </c>
      <c r="F9" s="11">
        <v>11</v>
      </c>
      <c r="G9" s="11">
        <v>375</v>
      </c>
      <c r="H9" s="11">
        <v>25</v>
      </c>
      <c r="I9" s="11">
        <f t="shared" si="0"/>
        <v>350</v>
      </c>
      <c r="J9" t="s">
        <v>327</v>
      </c>
      <c r="K9" t="s">
        <v>22</v>
      </c>
      <c r="L9" t="s">
        <v>328</v>
      </c>
      <c r="Q9">
        <v>1</v>
      </c>
    </row>
    <row r="10" spans="1:17" x14ac:dyDescent="0.25">
      <c r="B10" t="s">
        <v>16</v>
      </c>
      <c r="C10" t="s">
        <v>347</v>
      </c>
      <c r="D10" t="s">
        <v>348</v>
      </c>
      <c r="E10" t="s">
        <v>349</v>
      </c>
      <c r="F10" s="11">
        <v>2</v>
      </c>
      <c r="G10" s="11">
        <v>720</v>
      </c>
      <c r="H10" s="11">
        <v>30</v>
      </c>
      <c r="I10" s="11">
        <f t="shared" si="0"/>
        <v>690</v>
      </c>
      <c r="J10" t="s">
        <v>22</v>
      </c>
      <c r="K10" t="s">
        <v>22</v>
      </c>
      <c r="L10" t="s">
        <v>328</v>
      </c>
      <c r="Q10">
        <v>1</v>
      </c>
    </row>
    <row r="11" spans="1:17" x14ac:dyDescent="0.25">
      <c r="B11" t="s">
        <v>16</v>
      </c>
      <c r="C11" t="s">
        <v>350</v>
      </c>
      <c r="D11" t="s">
        <v>351</v>
      </c>
      <c r="E11" t="s">
        <v>352</v>
      </c>
      <c r="F11" t="s">
        <v>20</v>
      </c>
      <c r="G11" s="11">
        <v>720</v>
      </c>
      <c r="H11" s="11">
        <v>30</v>
      </c>
      <c r="I11" s="11">
        <f t="shared" si="0"/>
        <v>690</v>
      </c>
      <c r="J11" t="s">
        <v>327</v>
      </c>
      <c r="K11" t="s">
        <v>22</v>
      </c>
      <c r="L11" t="s">
        <v>328</v>
      </c>
      <c r="Q11">
        <v>1</v>
      </c>
    </row>
    <row r="12" spans="1:17" x14ac:dyDescent="0.25">
      <c r="B12" t="s">
        <v>16</v>
      </c>
      <c r="C12" t="s">
        <v>353</v>
      </c>
      <c r="D12" t="s">
        <v>354</v>
      </c>
      <c r="E12" t="s">
        <v>355</v>
      </c>
      <c r="F12" t="s">
        <v>153</v>
      </c>
      <c r="G12" s="11">
        <v>730</v>
      </c>
      <c r="H12" s="11">
        <v>30</v>
      </c>
      <c r="I12" s="11">
        <f t="shared" si="0"/>
        <v>700</v>
      </c>
      <c r="J12" t="s">
        <v>22</v>
      </c>
      <c r="K12" t="s">
        <v>22</v>
      </c>
      <c r="L12" t="s">
        <v>328</v>
      </c>
      <c r="Q12">
        <v>1</v>
      </c>
    </row>
    <row r="13" spans="1:17" x14ac:dyDescent="0.25">
      <c r="B13" t="s">
        <v>16</v>
      </c>
      <c r="C13" t="s">
        <v>356</v>
      </c>
      <c r="D13" t="s">
        <v>357</v>
      </c>
      <c r="E13" t="s">
        <v>358</v>
      </c>
      <c r="F13" t="s">
        <v>153</v>
      </c>
      <c r="G13" s="11">
        <v>890</v>
      </c>
      <c r="H13" s="11">
        <v>30</v>
      </c>
      <c r="I13" s="11">
        <f t="shared" si="0"/>
        <v>860</v>
      </c>
      <c r="J13" t="s">
        <v>22</v>
      </c>
      <c r="K13" t="s">
        <v>22</v>
      </c>
      <c r="L13" t="s">
        <v>328</v>
      </c>
      <c r="Q13">
        <v>1</v>
      </c>
    </row>
    <row r="14" spans="1:17" x14ac:dyDescent="0.25">
      <c r="B14" t="s">
        <v>16</v>
      </c>
      <c r="C14" t="s">
        <v>359</v>
      </c>
      <c r="D14" t="s">
        <v>360</v>
      </c>
      <c r="E14" t="s">
        <v>361</v>
      </c>
      <c r="F14" t="s">
        <v>113</v>
      </c>
      <c r="G14" s="11">
        <v>1775</v>
      </c>
      <c r="H14" s="11">
        <v>35</v>
      </c>
      <c r="I14" s="11">
        <f t="shared" si="0"/>
        <v>1740</v>
      </c>
      <c r="J14" t="s">
        <v>327</v>
      </c>
      <c r="K14" t="s">
        <v>22</v>
      </c>
      <c r="L14" t="s">
        <v>328</v>
      </c>
      <c r="Q14">
        <v>1</v>
      </c>
    </row>
    <row r="15" spans="1:17" x14ac:dyDescent="0.25">
      <c r="B15" t="s">
        <v>16</v>
      </c>
      <c r="C15" t="s">
        <v>362</v>
      </c>
      <c r="D15" t="s">
        <v>363</v>
      </c>
      <c r="E15" t="s">
        <v>364</v>
      </c>
      <c r="F15" s="11">
        <v>1</v>
      </c>
      <c r="G15" s="11">
        <v>885</v>
      </c>
      <c r="H15" s="11">
        <v>25</v>
      </c>
      <c r="I15" s="11">
        <f t="shared" si="0"/>
        <v>860</v>
      </c>
      <c r="J15" t="s">
        <v>165</v>
      </c>
      <c r="K15" t="s">
        <v>22</v>
      </c>
      <c r="L15" t="s">
        <v>328</v>
      </c>
      <c r="Q15">
        <v>1</v>
      </c>
    </row>
    <row r="16" spans="1:17" x14ac:dyDescent="0.25">
      <c r="B16" t="s">
        <v>16</v>
      </c>
      <c r="C16" t="s">
        <v>365</v>
      </c>
      <c r="D16" t="s">
        <v>366</v>
      </c>
      <c r="E16" t="s">
        <v>367</v>
      </c>
      <c r="F16" s="11">
        <v>9</v>
      </c>
      <c r="G16" s="11">
        <v>690</v>
      </c>
      <c r="H16" s="11">
        <v>30</v>
      </c>
      <c r="I16" s="11">
        <f t="shared" si="0"/>
        <v>660</v>
      </c>
      <c r="J16" t="s">
        <v>40</v>
      </c>
      <c r="K16" t="s">
        <v>22</v>
      </c>
      <c r="L16" t="s">
        <v>328</v>
      </c>
      <c r="Q16">
        <v>1</v>
      </c>
    </row>
    <row r="17" spans="2:17" x14ac:dyDescent="0.25">
      <c r="B17" t="s">
        <v>16</v>
      </c>
      <c r="C17" t="s">
        <v>368</v>
      </c>
      <c r="D17" t="s">
        <v>369</v>
      </c>
      <c r="E17" t="s">
        <v>370</v>
      </c>
      <c r="F17" t="s">
        <v>44</v>
      </c>
      <c r="G17" s="11">
        <v>685</v>
      </c>
      <c r="H17" s="11">
        <v>25</v>
      </c>
      <c r="I17" s="11">
        <f t="shared" si="0"/>
        <v>660</v>
      </c>
      <c r="J17" t="s">
        <v>22</v>
      </c>
      <c r="K17" t="s">
        <v>22</v>
      </c>
      <c r="L17" t="s">
        <v>328</v>
      </c>
      <c r="Q17">
        <v>1</v>
      </c>
    </row>
    <row r="18" spans="2:17" x14ac:dyDescent="0.25">
      <c r="B18" t="s">
        <v>16</v>
      </c>
      <c r="C18" t="s">
        <v>371</v>
      </c>
      <c r="D18" t="s">
        <v>372</v>
      </c>
      <c r="E18" t="s">
        <v>373</v>
      </c>
      <c r="F18" t="s">
        <v>44</v>
      </c>
      <c r="G18" s="11">
        <v>0</v>
      </c>
      <c r="H18" s="11">
        <v>25</v>
      </c>
      <c r="I18" s="11">
        <f t="shared" si="0"/>
        <v>-25</v>
      </c>
      <c r="J18" t="s">
        <v>22</v>
      </c>
      <c r="K18" t="s">
        <v>22</v>
      </c>
      <c r="L18" t="s">
        <v>328</v>
      </c>
      <c r="Q18">
        <v>1</v>
      </c>
    </row>
    <row r="19" spans="2:17" x14ac:dyDescent="0.25">
      <c r="B19" t="s">
        <v>16</v>
      </c>
      <c r="C19" t="s">
        <v>374</v>
      </c>
      <c r="D19" t="s">
        <v>375</v>
      </c>
      <c r="E19" t="s">
        <v>376</v>
      </c>
      <c r="F19" s="11">
        <v>12</v>
      </c>
      <c r="G19" s="11">
        <v>870</v>
      </c>
      <c r="H19" s="11">
        <v>30</v>
      </c>
      <c r="I19" s="11">
        <f t="shared" si="0"/>
        <v>840</v>
      </c>
      <c r="J19" t="s">
        <v>22</v>
      </c>
      <c r="K19" t="s">
        <v>22</v>
      </c>
      <c r="L19" t="s">
        <v>328</v>
      </c>
      <c r="Q19">
        <v>1</v>
      </c>
    </row>
    <row r="20" spans="2:17" x14ac:dyDescent="0.25">
      <c r="B20" t="s">
        <v>16</v>
      </c>
      <c r="C20" t="s">
        <v>377</v>
      </c>
      <c r="D20" t="s">
        <v>378</v>
      </c>
      <c r="E20" t="s">
        <v>379</v>
      </c>
      <c r="F20" t="s">
        <v>44</v>
      </c>
      <c r="G20" s="11">
        <v>2370</v>
      </c>
      <c r="H20" s="11">
        <v>25</v>
      </c>
      <c r="I20" s="11">
        <f t="shared" si="0"/>
        <v>2345</v>
      </c>
      <c r="J20" t="s">
        <v>22</v>
      </c>
      <c r="K20" t="s">
        <v>22</v>
      </c>
      <c r="L20" t="s">
        <v>328</v>
      </c>
      <c r="M20" t="s">
        <v>380</v>
      </c>
      <c r="Q20">
        <v>1</v>
      </c>
    </row>
    <row r="21" spans="2:17" x14ac:dyDescent="0.25">
      <c r="B21" t="s">
        <v>16</v>
      </c>
      <c r="C21" t="s">
        <v>381</v>
      </c>
      <c r="D21" t="s">
        <v>382</v>
      </c>
      <c r="E21" t="s">
        <v>383</v>
      </c>
      <c r="F21" t="s">
        <v>36</v>
      </c>
      <c r="G21" s="11">
        <v>910</v>
      </c>
      <c r="H21" s="11">
        <v>20</v>
      </c>
      <c r="I21" s="11">
        <f t="shared" si="0"/>
        <v>890</v>
      </c>
      <c r="J21" t="s">
        <v>22</v>
      </c>
      <c r="K21" t="s">
        <v>22</v>
      </c>
      <c r="L21" t="s">
        <v>328</v>
      </c>
      <c r="Q21">
        <v>1</v>
      </c>
    </row>
    <row r="22" spans="2:17" x14ac:dyDescent="0.25">
      <c r="B22" t="s">
        <v>16</v>
      </c>
      <c r="C22" t="s">
        <v>384</v>
      </c>
      <c r="D22" t="s">
        <v>385</v>
      </c>
      <c r="E22" t="s">
        <v>386</v>
      </c>
      <c r="F22" s="11">
        <v>4</v>
      </c>
      <c r="G22" s="11">
        <v>375</v>
      </c>
      <c r="H22" s="11">
        <v>25</v>
      </c>
      <c r="I22" s="11">
        <f t="shared" si="0"/>
        <v>350</v>
      </c>
      <c r="J22" t="s">
        <v>165</v>
      </c>
      <c r="K22" t="s">
        <v>22</v>
      </c>
      <c r="L22" t="s">
        <v>328</v>
      </c>
      <c r="Q22">
        <v>1</v>
      </c>
    </row>
    <row r="23" spans="2:17" x14ac:dyDescent="0.25">
      <c r="B23" t="s">
        <v>16</v>
      </c>
      <c r="C23" t="s">
        <v>387</v>
      </c>
      <c r="D23" t="s">
        <v>388</v>
      </c>
      <c r="E23" t="s">
        <v>389</v>
      </c>
      <c r="F23" s="11">
        <v>12</v>
      </c>
      <c r="G23" s="11">
        <v>720</v>
      </c>
      <c r="H23" s="11">
        <v>30</v>
      </c>
      <c r="I23" s="11">
        <f t="shared" si="0"/>
        <v>690</v>
      </c>
      <c r="J23" t="s">
        <v>327</v>
      </c>
      <c r="K23" t="s">
        <v>22</v>
      </c>
      <c r="L23" t="s">
        <v>328</v>
      </c>
      <c r="Q23">
        <v>1</v>
      </c>
    </row>
    <row r="24" spans="2:17" x14ac:dyDescent="0.25">
      <c r="B24" t="s">
        <v>16</v>
      </c>
      <c r="C24" t="s">
        <v>390</v>
      </c>
      <c r="D24" t="s">
        <v>391</v>
      </c>
      <c r="E24" t="s">
        <v>392</v>
      </c>
      <c r="F24" s="11">
        <v>7</v>
      </c>
      <c r="G24" s="11">
        <v>690</v>
      </c>
      <c r="H24" s="11">
        <v>30</v>
      </c>
      <c r="I24" s="11">
        <f t="shared" si="0"/>
        <v>660</v>
      </c>
      <c r="J24" t="s">
        <v>327</v>
      </c>
      <c r="K24" t="s">
        <v>22</v>
      </c>
      <c r="L24" t="s">
        <v>328</v>
      </c>
      <c r="Q24">
        <v>1</v>
      </c>
    </row>
    <row r="25" spans="2:17" x14ac:dyDescent="0.25">
      <c r="B25" t="s">
        <v>16</v>
      </c>
      <c r="C25" t="s">
        <v>393</v>
      </c>
      <c r="D25" t="s">
        <v>394</v>
      </c>
      <c r="E25" t="s">
        <v>395</v>
      </c>
      <c r="F25" s="11">
        <v>7</v>
      </c>
      <c r="G25" s="11">
        <v>0</v>
      </c>
      <c r="H25" s="11">
        <v>30</v>
      </c>
      <c r="I25" s="11">
        <f t="shared" si="0"/>
        <v>-30</v>
      </c>
      <c r="J25" t="s">
        <v>327</v>
      </c>
      <c r="K25" t="s">
        <v>22</v>
      </c>
      <c r="L25" t="s">
        <v>328</v>
      </c>
      <c r="Q25">
        <v>1</v>
      </c>
    </row>
    <row r="26" spans="2:17" x14ac:dyDescent="0.25">
      <c r="B26" t="s">
        <v>16</v>
      </c>
      <c r="C26" t="s">
        <v>396</v>
      </c>
      <c r="D26" t="s">
        <v>397</v>
      </c>
      <c r="E26" t="s">
        <v>398</v>
      </c>
      <c r="F26" s="11">
        <v>10</v>
      </c>
      <c r="G26" s="11">
        <v>815</v>
      </c>
      <c r="H26" s="11">
        <v>25</v>
      </c>
      <c r="I26" s="11">
        <f t="shared" si="0"/>
        <v>790</v>
      </c>
      <c r="J26" t="s">
        <v>165</v>
      </c>
      <c r="K26" t="s">
        <v>22</v>
      </c>
      <c r="L26" t="s">
        <v>328</v>
      </c>
      <c r="Q26">
        <v>1</v>
      </c>
    </row>
    <row r="27" spans="2:17" x14ac:dyDescent="0.25">
      <c r="B27" t="s">
        <v>16</v>
      </c>
      <c r="C27" t="s">
        <v>399</v>
      </c>
      <c r="D27" t="s">
        <v>400</v>
      </c>
      <c r="E27" t="s">
        <v>401</v>
      </c>
      <c r="F27" s="11">
        <v>2</v>
      </c>
      <c r="G27" s="11">
        <v>0</v>
      </c>
      <c r="H27" s="11">
        <v>30</v>
      </c>
      <c r="I27" s="11">
        <f t="shared" si="0"/>
        <v>-30</v>
      </c>
      <c r="J27" t="s">
        <v>22</v>
      </c>
      <c r="K27" t="s">
        <v>22</v>
      </c>
      <c r="L27" t="s">
        <v>328</v>
      </c>
      <c r="Q27">
        <v>1</v>
      </c>
    </row>
    <row r="28" spans="2:17" x14ac:dyDescent="0.25">
      <c r="B28" t="s">
        <v>16</v>
      </c>
      <c r="C28" t="s">
        <v>402</v>
      </c>
      <c r="D28" t="s">
        <v>403</v>
      </c>
      <c r="E28" t="s">
        <v>404</v>
      </c>
      <c r="F28" s="11">
        <v>4</v>
      </c>
      <c r="G28" s="11">
        <v>775</v>
      </c>
      <c r="H28" s="11">
        <v>25</v>
      </c>
      <c r="I28" s="11">
        <f t="shared" si="0"/>
        <v>750</v>
      </c>
      <c r="J28" t="s">
        <v>165</v>
      </c>
      <c r="K28" t="s">
        <v>22</v>
      </c>
      <c r="L28" t="s">
        <v>328</v>
      </c>
      <c r="Q28">
        <v>1</v>
      </c>
    </row>
    <row r="29" spans="2:17" x14ac:dyDescent="0.25">
      <c r="B29" t="s">
        <v>16</v>
      </c>
      <c r="C29" t="s">
        <v>405</v>
      </c>
      <c r="D29" t="s">
        <v>406</v>
      </c>
      <c r="E29" t="s">
        <v>407</v>
      </c>
      <c r="F29" s="11">
        <v>8</v>
      </c>
      <c r="G29" s="11">
        <v>820</v>
      </c>
      <c r="H29" s="11">
        <v>30</v>
      </c>
      <c r="I29" s="11">
        <f t="shared" si="0"/>
        <v>790</v>
      </c>
      <c r="J29" t="s">
        <v>327</v>
      </c>
      <c r="K29" t="s">
        <v>22</v>
      </c>
      <c r="L29" t="s">
        <v>328</v>
      </c>
      <c r="Q29">
        <v>1</v>
      </c>
    </row>
    <row r="30" spans="2:17" x14ac:dyDescent="0.25">
      <c r="B30" t="s">
        <v>16</v>
      </c>
      <c r="C30" t="s">
        <v>408</v>
      </c>
      <c r="D30" t="s">
        <v>409</v>
      </c>
      <c r="E30" t="s">
        <v>410</v>
      </c>
      <c r="F30" t="s">
        <v>20</v>
      </c>
      <c r="G30" s="11">
        <v>690</v>
      </c>
      <c r="H30" s="11">
        <v>30</v>
      </c>
      <c r="I30" s="11">
        <f t="shared" si="0"/>
        <v>660</v>
      </c>
      <c r="J30" t="s">
        <v>327</v>
      </c>
      <c r="K30" t="s">
        <v>22</v>
      </c>
      <c r="L30" t="s">
        <v>328</v>
      </c>
      <c r="Q30">
        <v>1</v>
      </c>
    </row>
    <row r="31" spans="2:17" x14ac:dyDescent="0.25">
      <c r="B31" t="s">
        <v>16</v>
      </c>
      <c r="C31" t="s">
        <v>411</v>
      </c>
      <c r="D31" t="s">
        <v>412</v>
      </c>
      <c r="E31" t="s">
        <v>413</v>
      </c>
      <c r="F31" t="s">
        <v>86</v>
      </c>
      <c r="G31" s="11">
        <v>885</v>
      </c>
      <c r="H31" s="11">
        <v>25</v>
      </c>
      <c r="I31" s="11">
        <f t="shared" si="0"/>
        <v>860</v>
      </c>
      <c r="J31" t="s">
        <v>165</v>
      </c>
      <c r="K31" t="s">
        <v>22</v>
      </c>
      <c r="L31" t="s">
        <v>328</v>
      </c>
      <c r="Q31">
        <v>1</v>
      </c>
    </row>
    <row r="32" spans="2:17" x14ac:dyDescent="0.25">
      <c r="B32" t="s">
        <v>16</v>
      </c>
      <c r="C32" t="s">
        <v>414</v>
      </c>
      <c r="D32" t="s">
        <v>415</v>
      </c>
      <c r="E32" t="s">
        <v>416</v>
      </c>
      <c r="F32" t="s">
        <v>36</v>
      </c>
      <c r="G32" s="11">
        <v>680</v>
      </c>
      <c r="H32" s="11">
        <v>20</v>
      </c>
      <c r="I32" s="11">
        <f t="shared" si="0"/>
        <v>660</v>
      </c>
      <c r="J32" t="s">
        <v>22</v>
      </c>
      <c r="K32" t="s">
        <v>22</v>
      </c>
      <c r="L32" t="s">
        <v>328</v>
      </c>
      <c r="Q32">
        <v>1</v>
      </c>
    </row>
    <row r="33" spans="1:17" x14ac:dyDescent="0.25">
      <c r="B33" t="s">
        <v>16</v>
      </c>
      <c r="C33" t="s">
        <v>417</v>
      </c>
      <c r="D33" t="s">
        <v>418</v>
      </c>
      <c r="E33" t="s">
        <v>419</v>
      </c>
      <c r="F33" t="s">
        <v>36</v>
      </c>
      <c r="G33" s="11">
        <v>840</v>
      </c>
      <c r="H33" s="11">
        <v>20</v>
      </c>
      <c r="I33" s="11">
        <f t="shared" si="0"/>
        <v>820</v>
      </c>
      <c r="J33" t="s">
        <v>22</v>
      </c>
      <c r="K33" t="s">
        <v>22</v>
      </c>
      <c r="L33" t="s">
        <v>328</v>
      </c>
      <c r="Q33">
        <v>1</v>
      </c>
    </row>
    <row r="34" spans="1:17" x14ac:dyDescent="0.25">
      <c r="B34" t="s">
        <v>16</v>
      </c>
      <c r="C34" t="s">
        <v>420</v>
      </c>
      <c r="D34" t="s">
        <v>421</v>
      </c>
      <c r="E34" t="s">
        <v>422</v>
      </c>
      <c r="F34" t="s">
        <v>86</v>
      </c>
      <c r="G34" s="11">
        <v>0</v>
      </c>
      <c r="H34" s="11">
        <v>25</v>
      </c>
      <c r="I34" s="11">
        <f t="shared" si="0"/>
        <v>-25</v>
      </c>
      <c r="J34" t="s">
        <v>22</v>
      </c>
      <c r="K34" t="s">
        <v>22</v>
      </c>
      <c r="L34" t="s">
        <v>328</v>
      </c>
      <c r="Q34">
        <v>1</v>
      </c>
    </row>
    <row r="35" spans="1:17" x14ac:dyDescent="0.25">
      <c r="B35" t="s">
        <v>16</v>
      </c>
      <c r="C35" t="s">
        <v>423</v>
      </c>
      <c r="D35" t="s">
        <v>424</v>
      </c>
      <c r="E35" t="s">
        <v>425</v>
      </c>
      <c r="F35" s="11">
        <v>12</v>
      </c>
      <c r="G35" s="11">
        <v>0</v>
      </c>
      <c r="H35" s="11">
        <v>40</v>
      </c>
      <c r="I35" s="11">
        <f t="shared" si="0"/>
        <v>-40</v>
      </c>
      <c r="J35" t="s">
        <v>22</v>
      </c>
      <c r="K35" t="s">
        <v>22</v>
      </c>
      <c r="L35" t="s">
        <v>328</v>
      </c>
      <c r="Q35">
        <v>1</v>
      </c>
    </row>
    <row r="36" spans="1:17" x14ac:dyDescent="0.25">
      <c r="B36" t="s">
        <v>16</v>
      </c>
      <c r="C36" t="s">
        <v>426</v>
      </c>
      <c r="D36" t="s">
        <v>427</v>
      </c>
      <c r="E36" t="s">
        <v>428</v>
      </c>
      <c r="F36" t="s">
        <v>79</v>
      </c>
      <c r="G36" s="11">
        <v>680</v>
      </c>
      <c r="H36" s="11">
        <v>20</v>
      </c>
      <c r="I36" s="11">
        <f t="shared" si="0"/>
        <v>660</v>
      </c>
      <c r="J36" t="s">
        <v>165</v>
      </c>
      <c r="K36" t="s">
        <v>22</v>
      </c>
      <c r="L36" t="s">
        <v>328</v>
      </c>
      <c r="Q36">
        <v>1</v>
      </c>
    </row>
    <row r="37" spans="1:17" x14ac:dyDescent="0.25">
      <c r="B37" t="s">
        <v>16</v>
      </c>
      <c r="C37" t="s">
        <v>429</v>
      </c>
      <c r="D37" t="s">
        <v>430</v>
      </c>
      <c r="E37" t="s">
        <v>431</v>
      </c>
      <c r="F37" s="11">
        <v>5</v>
      </c>
      <c r="G37" s="11">
        <v>715</v>
      </c>
      <c r="H37" s="11">
        <v>25</v>
      </c>
      <c r="I37" s="11">
        <f t="shared" si="0"/>
        <v>690</v>
      </c>
      <c r="J37" t="s">
        <v>327</v>
      </c>
      <c r="K37" t="s">
        <v>22</v>
      </c>
      <c r="L37" t="s">
        <v>328</v>
      </c>
      <c r="Q37">
        <v>1</v>
      </c>
    </row>
    <row r="38" spans="1:17" x14ac:dyDescent="0.25">
      <c r="B38" t="s">
        <v>16</v>
      </c>
      <c r="C38" t="s">
        <v>432</v>
      </c>
      <c r="D38" t="s">
        <v>433</v>
      </c>
      <c r="E38" t="s">
        <v>434</v>
      </c>
      <c r="F38" s="11">
        <v>1</v>
      </c>
      <c r="G38" s="11">
        <v>0</v>
      </c>
      <c r="H38" s="11">
        <v>25</v>
      </c>
      <c r="I38" s="11">
        <f t="shared" si="0"/>
        <v>-25</v>
      </c>
      <c r="J38" t="s">
        <v>165</v>
      </c>
      <c r="K38" t="s">
        <v>22</v>
      </c>
      <c r="L38" t="s">
        <v>328</v>
      </c>
      <c r="Q38">
        <v>1</v>
      </c>
    </row>
    <row r="39" spans="1:17" x14ac:dyDescent="0.25">
      <c r="A39" t="s">
        <v>83</v>
      </c>
      <c r="B39" t="s">
        <v>16</v>
      </c>
      <c r="C39" t="s">
        <v>435</v>
      </c>
      <c r="E39" t="s">
        <v>436</v>
      </c>
      <c r="F39" t="s">
        <v>86</v>
      </c>
      <c r="G39" s="11">
        <v>30</v>
      </c>
      <c r="H39" s="11">
        <v>30</v>
      </c>
      <c r="I39" s="11">
        <f t="shared" si="0"/>
        <v>0</v>
      </c>
      <c r="J39" t="s">
        <v>165</v>
      </c>
      <c r="K39" t="s">
        <v>22</v>
      </c>
      <c r="L39" t="s">
        <v>328</v>
      </c>
      <c r="Q39">
        <v>1</v>
      </c>
    </row>
    <row r="40" spans="1:17" x14ac:dyDescent="0.25">
      <c r="A40" t="s">
        <v>83</v>
      </c>
      <c r="B40" t="s">
        <v>16</v>
      </c>
      <c r="C40" t="s">
        <v>437</v>
      </c>
      <c r="E40" t="s">
        <v>438</v>
      </c>
      <c r="F40" t="s">
        <v>217</v>
      </c>
      <c r="G40" s="11">
        <v>30</v>
      </c>
      <c r="H40" s="11">
        <v>30</v>
      </c>
      <c r="I40" s="11">
        <f t="shared" si="0"/>
        <v>0</v>
      </c>
      <c r="J40" t="s">
        <v>327</v>
      </c>
      <c r="K40" t="s">
        <v>22</v>
      </c>
      <c r="L40" t="s">
        <v>328</v>
      </c>
      <c r="Q40">
        <v>1</v>
      </c>
    </row>
    <row r="41" spans="1:17" x14ac:dyDescent="0.25">
      <c r="A41" t="s">
        <v>83</v>
      </c>
      <c r="B41" t="s">
        <v>16</v>
      </c>
      <c r="C41" t="s">
        <v>439</v>
      </c>
      <c r="E41" t="s">
        <v>440</v>
      </c>
      <c r="F41" s="11">
        <v>9</v>
      </c>
      <c r="G41" s="11">
        <v>35</v>
      </c>
      <c r="H41" s="11">
        <v>35</v>
      </c>
      <c r="I41" s="11">
        <f t="shared" si="0"/>
        <v>0</v>
      </c>
      <c r="J41" t="s">
        <v>40</v>
      </c>
      <c r="K41" t="s">
        <v>22</v>
      </c>
      <c r="L41" t="s">
        <v>328</v>
      </c>
      <c r="Q41">
        <v>1</v>
      </c>
    </row>
    <row r="42" spans="1:17" x14ac:dyDescent="0.25">
      <c r="A42" t="s">
        <v>83</v>
      </c>
      <c r="B42" t="s">
        <v>16</v>
      </c>
      <c r="C42" t="s">
        <v>441</v>
      </c>
      <c r="E42" t="s">
        <v>442</v>
      </c>
      <c r="F42" t="s">
        <v>20</v>
      </c>
      <c r="G42" s="11">
        <v>40</v>
      </c>
      <c r="H42" s="11">
        <v>40</v>
      </c>
      <c r="I42" s="11">
        <f t="shared" si="0"/>
        <v>0</v>
      </c>
      <c r="J42" t="s">
        <v>327</v>
      </c>
      <c r="K42" t="s">
        <v>22</v>
      </c>
      <c r="L42" t="s">
        <v>328</v>
      </c>
      <c r="Q42">
        <v>1</v>
      </c>
    </row>
    <row r="43" spans="1:17" s="7" customFormat="1" x14ac:dyDescent="0.25">
      <c r="B43" s="7" t="s">
        <v>16</v>
      </c>
      <c r="C43" s="7" t="s">
        <v>443</v>
      </c>
      <c r="D43" s="7" t="s">
        <v>444</v>
      </c>
      <c r="E43" s="7" t="s">
        <v>445</v>
      </c>
      <c r="F43" s="7" t="s">
        <v>79</v>
      </c>
      <c r="G43" s="17">
        <v>370</v>
      </c>
      <c r="H43" s="17">
        <v>20</v>
      </c>
      <c r="I43" s="17">
        <f t="shared" si="0"/>
        <v>350</v>
      </c>
      <c r="J43" s="7" t="s">
        <v>446</v>
      </c>
      <c r="K43" s="7" t="s">
        <v>22</v>
      </c>
      <c r="L43" s="7" t="s">
        <v>447</v>
      </c>
      <c r="M43" s="7" t="s">
        <v>102</v>
      </c>
      <c r="N43" s="7" t="s">
        <v>448</v>
      </c>
      <c r="O43" s="7" t="s">
        <v>448</v>
      </c>
      <c r="P43" s="7" t="s">
        <v>449</v>
      </c>
      <c r="Q43" s="17">
        <v>1</v>
      </c>
    </row>
    <row r="44" spans="1:17" s="7" customFormat="1" x14ac:dyDescent="0.25">
      <c r="B44" s="7" t="s">
        <v>16</v>
      </c>
      <c r="C44" s="7" t="s">
        <v>122</v>
      </c>
      <c r="D44" s="7" t="s">
        <v>123</v>
      </c>
      <c r="E44" s="7" t="s">
        <v>124</v>
      </c>
      <c r="F44" s="17">
        <v>7</v>
      </c>
      <c r="G44" s="17">
        <v>650</v>
      </c>
      <c r="H44" s="17">
        <v>30</v>
      </c>
      <c r="I44" s="17">
        <f t="shared" si="0"/>
        <v>620</v>
      </c>
      <c r="J44" s="7" t="s">
        <v>446</v>
      </c>
      <c r="K44" s="7" t="s">
        <v>22</v>
      </c>
      <c r="L44" s="7" t="s">
        <v>115</v>
      </c>
      <c r="M44" s="7" t="s">
        <v>102</v>
      </c>
      <c r="N44" s="7" t="s">
        <v>448</v>
      </c>
      <c r="O44" s="7" t="s">
        <v>448</v>
      </c>
      <c r="P44" s="7" t="s">
        <v>449</v>
      </c>
      <c r="Q44" s="17">
        <v>1</v>
      </c>
    </row>
    <row r="46" spans="1:17" x14ac:dyDescent="0.25">
      <c r="D46" s="6">
        <f>COUNTA(D3:D44)</f>
        <v>38</v>
      </c>
      <c r="G46" s="6">
        <f t="shared" ref="G46:Q46" si="1">SUBTOTAL(9,G3:G44)</f>
        <v>25265</v>
      </c>
      <c r="H46" s="6">
        <f t="shared" si="1"/>
        <v>1180</v>
      </c>
      <c r="I46" s="6">
        <f t="shared" si="1"/>
        <v>24085</v>
      </c>
      <c r="J46" s="6">
        <f t="shared" si="1"/>
        <v>0</v>
      </c>
      <c r="K46" s="6">
        <f t="shared" si="1"/>
        <v>0</v>
      </c>
      <c r="L46" s="6">
        <f t="shared" si="1"/>
        <v>0</v>
      </c>
      <c r="M46" s="6">
        <f t="shared" si="1"/>
        <v>0</v>
      </c>
      <c r="N46" s="6">
        <f t="shared" si="1"/>
        <v>0</v>
      </c>
      <c r="O46" s="6">
        <f t="shared" si="1"/>
        <v>0</v>
      </c>
      <c r="P46" s="6">
        <f t="shared" si="1"/>
        <v>0</v>
      </c>
      <c r="Q46" s="6">
        <f t="shared" si="1"/>
        <v>42</v>
      </c>
    </row>
    <row r="47" spans="1:17" x14ac:dyDescent="0.25">
      <c r="H47">
        <f>-8*17</f>
        <v>-136</v>
      </c>
    </row>
    <row r="48" spans="1:17" x14ac:dyDescent="0.25">
      <c r="A48" s="6" t="s">
        <v>16</v>
      </c>
      <c r="C48" s="5" t="s">
        <v>89</v>
      </c>
      <c r="D48" s="5"/>
      <c r="E48" s="9" t="s">
        <v>90</v>
      </c>
      <c r="H48">
        <f>-5*25</f>
        <v>-125</v>
      </c>
      <c r="K48" s="12" t="s">
        <v>327</v>
      </c>
      <c r="L48" s="12" t="s">
        <v>91</v>
      </c>
      <c r="M48" s="12" t="s">
        <v>90</v>
      </c>
      <c r="O48" s="9" t="s">
        <v>92</v>
      </c>
    </row>
    <row r="49" spans="1:16" x14ac:dyDescent="0.25">
      <c r="A49" t="s">
        <v>328</v>
      </c>
      <c r="B49" s="8" t="s">
        <v>93</v>
      </c>
      <c r="C49" s="4">
        <f>SUMIFS(I$3:I$44,B$3:B$44,A$48,L$3:L$44,A$49)</f>
        <v>23115</v>
      </c>
      <c r="D49" s="4"/>
      <c r="E49" s="8">
        <f>SUMIFS(Q$3:Q$44,B$3:B$44,A$48,L$3:L$44,A$49)</f>
        <v>40</v>
      </c>
      <c r="F49" t="s">
        <v>94</v>
      </c>
      <c r="H49">
        <f>-2*30</f>
        <v>-60</v>
      </c>
      <c r="K49" t="s">
        <v>95</v>
      </c>
      <c r="L49">
        <f>SUMIFS(G$3:G$44,J$3:J$44,K$48)</f>
        <v>9680</v>
      </c>
      <c r="M49">
        <f>SUMIFS(Q$3:Q$44,J$3:J$44,K$48)</f>
        <v>15</v>
      </c>
      <c r="O49" t="s">
        <v>450</v>
      </c>
      <c r="P49">
        <f>L54</f>
        <v>8722</v>
      </c>
    </row>
    <row r="50" spans="1:16" x14ac:dyDescent="0.25">
      <c r="B50" s="7" t="s">
        <v>97</v>
      </c>
      <c r="C50" s="3">
        <v>0</v>
      </c>
      <c r="D50" s="3"/>
      <c r="K50" t="s">
        <v>98</v>
      </c>
      <c r="L50">
        <f>SUM(H47:H49)</f>
        <v>-321</v>
      </c>
      <c r="M50">
        <f>SUMIFS(Q$3:Q$44,J$3:J$44,K$48)</f>
        <v>15</v>
      </c>
      <c r="O50" t="s">
        <v>22</v>
      </c>
      <c r="P50">
        <f>L62</f>
        <v>9005</v>
      </c>
    </row>
    <row r="51" spans="1:16" x14ac:dyDescent="0.25">
      <c r="B51" s="7" t="s">
        <v>99</v>
      </c>
      <c r="C51" s="3">
        <f>-SUMIFS(I$3:I$44,B$3:B$44,A$48,P$3:P$44,"xx",N$3:N$44,"x")</f>
        <v>-970</v>
      </c>
      <c r="D51" s="3"/>
      <c r="E51" s="7">
        <f>SUMIFS(Q$3:Q$44,B$3:B$44,A$48,P$3:P$44,"xx",N$3:N$44,"x")</f>
        <v>2</v>
      </c>
      <c r="K51" t="s">
        <v>100</v>
      </c>
      <c r="O51" t="s">
        <v>165</v>
      </c>
      <c r="P51">
        <f>L70</f>
        <v>3910</v>
      </c>
    </row>
    <row r="52" spans="1:16" x14ac:dyDescent="0.25">
      <c r="B52" s="9" t="s">
        <v>101</v>
      </c>
      <c r="C52" s="5">
        <f>SUBTOTAL(9,C49:C51)</f>
        <v>22145</v>
      </c>
      <c r="D52" s="5"/>
      <c r="E52">
        <f>E49</f>
        <v>40</v>
      </c>
      <c r="K52" s="7" t="s">
        <v>102</v>
      </c>
      <c r="L52" s="7">
        <v>-637</v>
      </c>
      <c r="M52" s="18" t="s">
        <v>451</v>
      </c>
      <c r="O52" t="s">
        <v>40</v>
      </c>
      <c r="P52">
        <f>L78</f>
        <v>670</v>
      </c>
    </row>
    <row r="53" spans="1:16" x14ac:dyDescent="0.25">
      <c r="B53" s="7" t="s">
        <v>104</v>
      </c>
      <c r="C53" s="2"/>
      <c r="D53" s="2"/>
      <c r="K53" s="7" t="s">
        <v>105</v>
      </c>
      <c r="O53" t="s">
        <v>103</v>
      </c>
      <c r="P53">
        <f>-C56</f>
        <v>-22145</v>
      </c>
    </row>
    <row r="54" spans="1:16" x14ac:dyDescent="0.25">
      <c r="B54" s="13" t="s">
        <v>107</v>
      </c>
      <c r="C54" s="2"/>
      <c r="D54" s="2"/>
      <c r="L54" s="14">
        <f>SUBTOTAL(9,L49:L53)</f>
        <v>8722</v>
      </c>
      <c r="M54" s="14">
        <f>M49</f>
        <v>15</v>
      </c>
      <c r="O54" s="9" t="s">
        <v>106</v>
      </c>
      <c r="P54" s="9">
        <f>SUBTOTAL(9,P49:P53)</f>
        <v>162</v>
      </c>
    </row>
    <row r="56" spans="1:16" x14ac:dyDescent="0.25">
      <c r="B56" s="6" t="s">
        <v>108</v>
      </c>
      <c r="C56" s="1">
        <f>C52+C53+C54</f>
        <v>22145</v>
      </c>
      <c r="D56" s="1"/>
      <c r="E56" s="6" t="s">
        <v>109</v>
      </c>
      <c r="K56" s="12" t="s">
        <v>22</v>
      </c>
      <c r="L56" s="12" t="s">
        <v>91</v>
      </c>
      <c r="M56" s="12" t="s">
        <v>90</v>
      </c>
    </row>
    <row r="57" spans="1:16" x14ac:dyDescent="0.25">
      <c r="K57" t="s">
        <v>95</v>
      </c>
      <c r="L57">
        <f>SUMIFS(G$3:G$44,J$3:J$44,K$56)</f>
        <v>9395</v>
      </c>
      <c r="M57">
        <f>SUMIFS(Q$3:Q$44,J$3:J$44,K$56)</f>
        <v>14</v>
      </c>
    </row>
    <row r="58" spans="1:16" x14ac:dyDescent="0.25">
      <c r="K58" t="s">
        <v>98</v>
      </c>
      <c r="L58">
        <f>-SUMIFS(H$3:H$44,J$3:J$44,K$56)+M58*5</f>
        <v>-310</v>
      </c>
      <c r="M58">
        <f>SUMIFS(Q$3:Q$44,J$3:J$44,K$56)-COUNTIFS(J$3:J$44,K$56,M$3:M$44,"*gộp*")</f>
        <v>14</v>
      </c>
    </row>
    <row r="59" spans="1:16" x14ac:dyDescent="0.25">
      <c r="K59" t="s">
        <v>100</v>
      </c>
      <c r="L59">
        <f>-M59*2</f>
        <v>-80</v>
      </c>
      <c r="M59">
        <f>Q46-(COUNTIFS(M$3:M$44,"*gộp*")/2)-COUNTIFS(P$3:P$44,"*xx*")</f>
        <v>40</v>
      </c>
    </row>
    <row r="60" spans="1:16" x14ac:dyDescent="0.25">
      <c r="K60" s="7" t="s">
        <v>102</v>
      </c>
    </row>
    <row r="61" spans="1:16" x14ac:dyDescent="0.25">
      <c r="K61" s="7" t="s">
        <v>105</v>
      </c>
    </row>
    <row r="62" spans="1:16" x14ac:dyDescent="0.25">
      <c r="L62" s="14">
        <f>SUBTOTAL(9,L57:L61)</f>
        <v>9005</v>
      </c>
      <c r="M62" s="14">
        <f>M57</f>
        <v>14</v>
      </c>
    </row>
    <row r="64" spans="1:16" x14ac:dyDescent="0.25">
      <c r="K64" s="12" t="s">
        <v>165</v>
      </c>
      <c r="L64" s="12" t="s">
        <v>91</v>
      </c>
      <c r="M64" s="12" t="s">
        <v>90</v>
      </c>
    </row>
    <row r="65" spans="11:13" x14ac:dyDescent="0.25">
      <c r="K65" t="s">
        <v>95</v>
      </c>
      <c r="L65">
        <f>SUMIFS(G$3:G$44,J$3:J$44,K$64)</f>
        <v>4445</v>
      </c>
      <c r="M65">
        <f>SUMIFS(Q$3:Q$44,J$3:J$44,K$64)</f>
        <v>9</v>
      </c>
    </row>
    <row r="66" spans="11:13" x14ac:dyDescent="0.25">
      <c r="K66" t="s">
        <v>98</v>
      </c>
      <c r="L66">
        <f>-SUMIFS(H$3:H$44,J$3:J$44,K$64)+M66*5</f>
        <v>-180</v>
      </c>
      <c r="M66">
        <f>SUMIFS(Q$3:Q$44,J$3:J$44,K$64)-COUNTIFS(J$3:J$44,K$64,M$3:M$44,"*gộp*")</f>
        <v>9</v>
      </c>
    </row>
    <row r="67" spans="11:13" x14ac:dyDescent="0.25">
      <c r="K67" t="s">
        <v>100</v>
      </c>
    </row>
    <row r="68" spans="11:13" x14ac:dyDescent="0.25">
      <c r="K68" s="7" t="s">
        <v>102</v>
      </c>
      <c r="L68" s="7">
        <v>-355</v>
      </c>
      <c r="M68" s="18" t="s">
        <v>451</v>
      </c>
    </row>
    <row r="69" spans="11:13" x14ac:dyDescent="0.25">
      <c r="K69" s="7" t="s">
        <v>105</v>
      </c>
    </row>
    <row r="70" spans="11:13" x14ac:dyDescent="0.25">
      <c r="L70" s="14">
        <f>SUBTOTAL(9,L65:L69)</f>
        <v>3910</v>
      </c>
      <c r="M70" s="14">
        <f>M65</f>
        <v>9</v>
      </c>
    </row>
    <row r="72" spans="11:13" x14ac:dyDescent="0.25">
      <c r="K72" s="12" t="s">
        <v>40</v>
      </c>
      <c r="L72" s="12" t="s">
        <v>91</v>
      </c>
      <c r="M72" s="12" t="s">
        <v>90</v>
      </c>
    </row>
    <row r="73" spans="11:13" x14ac:dyDescent="0.25">
      <c r="K73" t="s">
        <v>95</v>
      </c>
      <c r="L73">
        <f>SUMIFS(G$3:G$44,J$3:J$44,K$72)</f>
        <v>725</v>
      </c>
      <c r="M73">
        <f>SUMIFS(Q$3:Q$44,J$3:J$44,K$72)</f>
        <v>2</v>
      </c>
    </row>
    <row r="74" spans="11:13" x14ac:dyDescent="0.25">
      <c r="K74" t="s">
        <v>98</v>
      </c>
      <c r="L74">
        <f>-SUMIFS(H$3:H$44,J$3:J$44,K$72)+M74*5</f>
        <v>-55</v>
      </c>
      <c r="M74">
        <f>SUMIFS(Q$3:Q$44,J$3:J$44,K$72)-COUNTIFS(J$3:J$44,K$72,M$3:M$44,"*gộp*")</f>
        <v>2</v>
      </c>
    </row>
    <row r="75" spans="11:13" x14ac:dyDescent="0.25">
      <c r="K75" t="s">
        <v>100</v>
      </c>
    </row>
    <row r="76" spans="11:13" x14ac:dyDescent="0.25">
      <c r="K76" s="7" t="s">
        <v>102</v>
      </c>
    </row>
    <row r="77" spans="11:13" x14ac:dyDescent="0.25">
      <c r="K77" s="7" t="s">
        <v>105</v>
      </c>
    </row>
    <row r="78" spans="11:13" x14ac:dyDescent="0.25">
      <c r="L78" s="14">
        <f>SUBTOTAL(9,L73:L77)</f>
        <v>670</v>
      </c>
      <c r="M78" s="14">
        <f>M73</f>
        <v>2</v>
      </c>
    </row>
  </sheetData>
  <autoFilter ref="A2:P44" xr:uid="{00000000-0009-0000-0000-000003000000}"/>
  <mergeCells count="8">
    <mergeCell ref="C53:D53"/>
    <mergeCell ref="C54:D54"/>
    <mergeCell ref="C56:D56"/>
    <mergeCell ref="C48:D48"/>
    <mergeCell ref="C49:D49"/>
    <mergeCell ref="C50:D50"/>
    <mergeCell ref="C51:D51"/>
    <mergeCell ref="C52:D52"/>
  </mergeCells>
  <pageMargins left="0.75" right="0.75" top="0.75" bottom="0.5" header="0.5" footer="0.7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81"/>
  <sheetViews>
    <sheetView tabSelected="1" topLeftCell="A34" workbookViewId="0">
      <selection activeCell="H62" sqref="H62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59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s="10" t="s">
        <v>324</v>
      </c>
    </row>
    <row r="3" spans="1:17" x14ac:dyDescent="0.25">
      <c r="B3" t="s">
        <v>16</v>
      </c>
      <c r="C3" t="s">
        <v>452</v>
      </c>
      <c r="D3" t="s">
        <v>453</v>
      </c>
      <c r="E3" t="s">
        <v>454</v>
      </c>
      <c r="F3" t="s">
        <v>86</v>
      </c>
      <c r="G3" s="11">
        <v>2390</v>
      </c>
      <c r="H3" s="11">
        <v>30</v>
      </c>
      <c r="I3" s="11">
        <f>G3-H3</f>
        <v>2360</v>
      </c>
      <c r="J3" t="s">
        <v>22</v>
      </c>
      <c r="K3" t="s">
        <v>22</v>
      </c>
      <c r="L3" t="s">
        <v>455</v>
      </c>
      <c r="M3" t="s">
        <v>380</v>
      </c>
      <c r="Q3" s="11">
        <v>1</v>
      </c>
    </row>
    <row r="4" spans="1:17" x14ac:dyDescent="0.25">
      <c r="B4" t="s">
        <v>16</v>
      </c>
      <c r="C4" t="s">
        <v>456</v>
      </c>
      <c r="D4" t="s">
        <v>457</v>
      </c>
      <c r="E4" t="s">
        <v>458</v>
      </c>
      <c r="F4" s="11">
        <v>7</v>
      </c>
      <c r="G4" s="11">
        <v>470</v>
      </c>
      <c r="H4" s="11">
        <v>30</v>
      </c>
      <c r="I4" s="11">
        <f>G4-H4</f>
        <v>440</v>
      </c>
      <c r="J4" t="s">
        <v>459</v>
      </c>
      <c r="K4" t="s">
        <v>22</v>
      </c>
      <c r="L4" t="s">
        <v>455</v>
      </c>
      <c r="Q4" s="11">
        <v>1</v>
      </c>
    </row>
    <row r="5" spans="1:17" x14ac:dyDescent="0.25">
      <c r="B5" t="s">
        <v>16</v>
      </c>
      <c r="C5" t="s">
        <v>460</v>
      </c>
      <c r="D5" t="s">
        <v>461</v>
      </c>
      <c r="E5" t="s">
        <v>462</v>
      </c>
      <c r="F5" t="s">
        <v>153</v>
      </c>
      <c r="G5" s="11">
        <v>1710</v>
      </c>
      <c r="H5" s="11">
        <v>30</v>
      </c>
      <c r="I5" s="11">
        <f>G5-H5</f>
        <v>1680</v>
      </c>
      <c r="J5" t="s">
        <v>22</v>
      </c>
      <c r="K5" t="s">
        <v>22</v>
      </c>
      <c r="L5" t="s">
        <v>455</v>
      </c>
      <c r="Q5" s="11">
        <v>1</v>
      </c>
    </row>
    <row r="6" spans="1:17" x14ac:dyDescent="0.25">
      <c r="B6" t="s">
        <v>16</v>
      </c>
      <c r="C6" t="s">
        <v>463</v>
      </c>
      <c r="D6" t="s">
        <v>464</v>
      </c>
      <c r="E6" t="s">
        <v>465</v>
      </c>
      <c r="F6" t="s">
        <v>20</v>
      </c>
      <c r="G6" s="11">
        <v>820</v>
      </c>
      <c r="H6" s="11">
        <v>30</v>
      </c>
      <c r="I6" s="11">
        <f>G6-H6</f>
        <v>790</v>
      </c>
      <c r="J6" t="s">
        <v>459</v>
      </c>
      <c r="K6" t="s">
        <v>22</v>
      </c>
      <c r="L6" t="s">
        <v>455</v>
      </c>
      <c r="Q6" s="11">
        <v>1</v>
      </c>
    </row>
    <row r="7" spans="1:17" x14ac:dyDescent="0.25">
      <c r="B7" t="s">
        <v>16</v>
      </c>
      <c r="C7" t="s">
        <v>466</v>
      </c>
      <c r="D7" t="s">
        <v>467</v>
      </c>
      <c r="E7" t="s">
        <v>468</v>
      </c>
      <c r="F7" s="11">
        <v>8</v>
      </c>
      <c r="G7" s="11">
        <v>0</v>
      </c>
      <c r="H7" s="11">
        <v>25</v>
      </c>
      <c r="I7" s="11">
        <f>-H7</f>
        <v>-25</v>
      </c>
      <c r="J7" t="s">
        <v>459</v>
      </c>
      <c r="K7" t="s">
        <v>22</v>
      </c>
      <c r="L7" t="s">
        <v>455</v>
      </c>
      <c r="Q7" s="11">
        <v>1</v>
      </c>
    </row>
    <row r="8" spans="1:17" x14ac:dyDescent="0.25">
      <c r="B8" t="s">
        <v>16</v>
      </c>
      <c r="C8" t="s">
        <v>469</v>
      </c>
      <c r="D8" t="s">
        <v>470</v>
      </c>
      <c r="E8" t="s">
        <v>471</v>
      </c>
      <c r="F8" s="11">
        <v>6</v>
      </c>
      <c r="G8" s="11">
        <v>1515</v>
      </c>
      <c r="H8" s="11">
        <v>25</v>
      </c>
      <c r="I8" s="11">
        <f t="shared" ref="I8:I16" si="0">G8-H8</f>
        <v>1490</v>
      </c>
      <c r="J8" t="s">
        <v>459</v>
      </c>
      <c r="K8" t="s">
        <v>22</v>
      </c>
      <c r="L8" t="s">
        <v>455</v>
      </c>
      <c r="Q8" s="11">
        <v>1</v>
      </c>
    </row>
    <row r="9" spans="1:17" x14ac:dyDescent="0.25">
      <c r="B9" t="s">
        <v>16</v>
      </c>
      <c r="C9" t="s">
        <v>472</v>
      </c>
      <c r="D9" t="s">
        <v>473</v>
      </c>
      <c r="E9" t="s">
        <v>474</v>
      </c>
      <c r="F9" t="s">
        <v>20</v>
      </c>
      <c r="G9" s="11">
        <v>890</v>
      </c>
      <c r="H9" s="11">
        <v>30</v>
      </c>
      <c r="I9" s="11">
        <f t="shared" si="0"/>
        <v>860</v>
      </c>
      <c r="J9" t="s">
        <v>459</v>
      </c>
      <c r="K9" t="s">
        <v>22</v>
      </c>
      <c r="L9" t="s">
        <v>455</v>
      </c>
      <c r="Q9" s="11">
        <v>1</v>
      </c>
    </row>
    <row r="10" spans="1:17" x14ac:dyDescent="0.25">
      <c r="B10" t="s">
        <v>16</v>
      </c>
      <c r="C10" t="s">
        <v>475</v>
      </c>
      <c r="D10" t="s">
        <v>476</v>
      </c>
      <c r="E10" t="s">
        <v>477</v>
      </c>
      <c r="F10" t="s">
        <v>20</v>
      </c>
      <c r="G10" s="11">
        <v>470</v>
      </c>
      <c r="H10" s="11">
        <v>30</v>
      </c>
      <c r="I10" s="11">
        <f t="shared" si="0"/>
        <v>440</v>
      </c>
      <c r="J10" t="s">
        <v>459</v>
      </c>
      <c r="K10" t="s">
        <v>22</v>
      </c>
      <c r="L10" t="s">
        <v>455</v>
      </c>
      <c r="Q10" s="11">
        <v>1</v>
      </c>
    </row>
    <row r="11" spans="1:17" x14ac:dyDescent="0.25">
      <c r="B11" t="s">
        <v>16</v>
      </c>
      <c r="C11" t="s">
        <v>478</v>
      </c>
      <c r="D11" t="s">
        <v>479</v>
      </c>
      <c r="E11" t="s">
        <v>480</v>
      </c>
      <c r="F11" s="11">
        <v>10</v>
      </c>
      <c r="G11" s="11">
        <v>1505</v>
      </c>
      <c r="H11" s="11">
        <v>25</v>
      </c>
      <c r="I11" s="11">
        <f t="shared" si="0"/>
        <v>1480</v>
      </c>
      <c r="J11" t="s">
        <v>165</v>
      </c>
      <c r="K11" t="s">
        <v>22</v>
      </c>
      <c r="L11" t="s">
        <v>455</v>
      </c>
      <c r="Q11" s="11">
        <v>1</v>
      </c>
    </row>
    <row r="12" spans="1:17" x14ac:dyDescent="0.25">
      <c r="B12" t="s">
        <v>16</v>
      </c>
      <c r="C12" t="s">
        <v>481</v>
      </c>
      <c r="D12" t="s">
        <v>482</v>
      </c>
      <c r="E12" t="s">
        <v>483</v>
      </c>
      <c r="F12" s="11">
        <v>4</v>
      </c>
      <c r="G12" s="11">
        <v>815</v>
      </c>
      <c r="H12" s="11">
        <v>25</v>
      </c>
      <c r="I12" s="11">
        <f t="shared" si="0"/>
        <v>790</v>
      </c>
      <c r="J12" t="s">
        <v>165</v>
      </c>
      <c r="K12" t="s">
        <v>22</v>
      </c>
      <c r="L12" t="s">
        <v>455</v>
      </c>
      <c r="Q12" s="11">
        <v>1</v>
      </c>
    </row>
    <row r="13" spans="1:17" x14ac:dyDescent="0.25">
      <c r="B13" t="s">
        <v>16</v>
      </c>
      <c r="C13" t="s">
        <v>484</v>
      </c>
      <c r="D13" t="s">
        <v>485</v>
      </c>
      <c r="E13" t="s">
        <v>486</v>
      </c>
      <c r="F13" s="11">
        <v>2</v>
      </c>
      <c r="G13" s="11">
        <v>1510</v>
      </c>
      <c r="H13" s="11">
        <v>30</v>
      </c>
      <c r="I13" s="11">
        <f t="shared" si="0"/>
        <v>1480</v>
      </c>
      <c r="J13" t="s">
        <v>22</v>
      </c>
      <c r="K13" t="s">
        <v>22</v>
      </c>
      <c r="L13" t="s">
        <v>455</v>
      </c>
      <c r="Q13" s="11">
        <v>1</v>
      </c>
    </row>
    <row r="14" spans="1:17" x14ac:dyDescent="0.25">
      <c r="B14" t="s">
        <v>16</v>
      </c>
      <c r="C14" t="s">
        <v>487</v>
      </c>
      <c r="D14" t="s">
        <v>488</v>
      </c>
      <c r="E14" t="s">
        <v>489</v>
      </c>
      <c r="F14" t="s">
        <v>20</v>
      </c>
      <c r="G14" s="11">
        <v>920</v>
      </c>
      <c r="H14" s="11">
        <v>30</v>
      </c>
      <c r="I14" s="11">
        <f t="shared" si="0"/>
        <v>890</v>
      </c>
      <c r="J14" t="s">
        <v>459</v>
      </c>
      <c r="K14" t="s">
        <v>22</v>
      </c>
      <c r="L14" t="s">
        <v>455</v>
      </c>
      <c r="Q14" s="11">
        <v>1</v>
      </c>
    </row>
    <row r="15" spans="1:17" x14ac:dyDescent="0.25">
      <c r="B15" t="s">
        <v>16</v>
      </c>
      <c r="C15" t="s">
        <v>147</v>
      </c>
      <c r="D15" t="s">
        <v>490</v>
      </c>
      <c r="E15" t="s">
        <v>149</v>
      </c>
      <c r="F15" t="s">
        <v>36</v>
      </c>
      <c r="G15" s="11">
        <v>680</v>
      </c>
      <c r="H15" s="11">
        <v>20</v>
      </c>
      <c r="I15" s="11">
        <f t="shared" si="0"/>
        <v>660</v>
      </c>
      <c r="J15" t="s">
        <v>22</v>
      </c>
      <c r="K15" t="s">
        <v>22</v>
      </c>
      <c r="L15" t="s">
        <v>455</v>
      </c>
      <c r="Q15" s="11">
        <v>1</v>
      </c>
    </row>
    <row r="16" spans="1:17" x14ac:dyDescent="0.25">
      <c r="B16" t="s">
        <v>16</v>
      </c>
      <c r="C16" t="s">
        <v>491</v>
      </c>
      <c r="D16" t="s">
        <v>492</v>
      </c>
      <c r="E16" t="s">
        <v>493</v>
      </c>
      <c r="F16" t="s">
        <v>153</v>
      </c>
      <c r="G16" s="11">
        <v>1020</v>
      </c>
      <c r="H16" s="11">
        <v>30</v>
      </c>
      <c r="I16" s="11">
        <f t="shared" si="0"/>
        <v>990</v>
      </c>
      <c r="J16" t="s">
        <v>22</v>
      </c>
      <c r="K16" t="s">
        <v>22</v>
      </c>
      <c r="L16" t="s">
        <v>455</v>
      </c>
      <c r="Q16" s="11">
        <v>1</v>
      </c>
    </row>
    <row r="17" spans="2:17" x14ac:dyDescent="0.25">
      <c r="B17" t="s">
        <v>16</v>
      </c>
      <c r="C17" t="s">
        <v>494</v>
      </c>
      <c r="D17" t="s">
        <v>495</v>
      </c>
      <c r="E17" t="s">
        <v>496</v>
      </c>
      <c r="F17" t="s">
        <v>153</v>
      </c>
      <c r="G17" s="11">
        <v>0</v>
      </c>
      <c r="H17" s="11">
        <v>30</v>
      </c>
      <c r="I17" s="11">
        <f>-H17</f>
        <v>-30</v>
      </c>
      <c r="J17" t="s">
        <v>22</v>
      </c>
      <c r="K17" t="s">
        <v>22</v>
      </c>
      <c r="L17" t="s">
        <v>455</v>
      </c>
      <c r="Q17" s="11">
        <v>1</v>
      </c>
    </row>
    <row r="18" spans="2:17" x14ac:dyDescent="0.25">
      <c r="B18" t="s">
        <v>16</v>
      </c>
      <c r="C18" t="s">
        <v>497</v>
      </c>
      <c r="D18" t="s">
        <v>498</v>
      </c>
      <c r="E18" t="s">
        <v>499</v>
      </c>
      <c r="F18" s="11">
        <v>8</v>
      </c>
      <c r="G18" s="11">
        <v>820</v>
      </c>
      <c r="H18" s="11">
        <v>30</v>
      </c>
      <c r="I18" s="11">
        <f t="shared" ref="I18:I24" si="1">G18-H18</f>
        <v>790</v>
      </c>
      <c r="J18" t="s">
        <v>165</v>
      </c>
      <c r="K18" t="s">
        <v>22</v>
      </c>
      <c r="L18" t="s">
        <v>455</v>
      </c>
      <c r="Q18" s="11">
        <v>1</v>
      </c>
    </row>
    <row r="19" spans="2:17" x14ac:dyDescent="0.25">
      <c r="B19" t="s">
        <v>16</v>
      </c>
      <c r="C19" t="s">
        <v>500</v>
      </c>
      <c r="D19" t="s">
        <v>501</v>
      </c>
      <c r="E19" t="s">
        <v>502</v>
      </c>
      <c r="F19" t="s">
        <v>86</v>
      </c>
      <c r="G19" s="11">
        <v>845</v>
      </c>
      <c r="H19" s="11">
        <v>25</v>
      </c>
      <c r="I19" s="11">
        <f t="shared" si="1"/>
        <v>820</v>
      </c>
      <c r="J19" t="s">
        <v>165</v>
      </c>
      <c r="K19" t="s">
        <v>22</v>
      </c>
      <c r="L19" t="s">
        <v>455</v>
      </c>
      <c r="Q19" s="11">
        <v>1</v>
      </c>
    </row>
    <row r="20" spans="2:17" x14ac:dyDescent="0.25">
      <c r="B20" t="s">
        <v>16</v>
      </c>
      <c r="C20" t="s">
        <v>503</v>
      </c>
      <c r="D20" t="s">
        <v>504</v>
      </c>
      <c r="E20" t="s">
        <v>505</v>
      </c>
      <c r="F20" s="11">
        <v>6</v>
      </c>
      <c r="G20" s="11">
        <v>695</v>
      </c>
      <c r="H20" s="11">
        <v>25</v>
      </c>
      <c r="I20" s="11">
        <f t="shared" si="1"/>
        <v>670</v>
      </c>
      <c r="J20" t="s">
        <v>459</v>
      </c>
      <c r="K20" t="s">
        <v>22</v>
      </c>
      <c r="L20" t="s">
        <v>455</v>
      </c>
      <c r="Q20" s="11">
        <v>1</v>
      </c>
    </row>
    <row r="21" spans="2:17" x14ac:dyDescent="0.25">
      <c r="B21" t="s">
        <v>16</v>
      </c>
      <c r="C21" t="s">
        <v>506</v>
      </c>
      <c r="D21" t="s">
        <v>507</v>
      </c>
      <c r="E21" t="s">
        <v>508</v>
      </c>
      <c r="F21" s="11">
        <v>7</v>
      </c>
      <c r="G21" s="11">
        <v>700</v>
      </c>
      <c r="H21" s="11">
        <v>30</v>
      </c>
      <c r="I21" s="11">
        <f t="shared" si="1"/>
        <v>670</v>
      </c>
      <c r="J21" t="s">
        <v>459</v>
      </c>
      <c r="K21" t="s">
        <v>22</v>
      </c>
      <c r="L21" t="s">
        <v>455</v>
      </c>
      <c r="Q21" s="11">
        <v>1</v>
      </c>
    </row>
    <row r="22" spans="2:17" x14ac:dyDescent="0.25">
      <c r="B22" t="s">
        <v>16</v>
      </c>
      <c r="C22" t="s">
        <v>509</v>
      </c>
      <c r="D22" t="s">
        <v>510</v>
      </c>
      <c r="E22" t="s">
        <v>511</v>
      </c>
      <c r="F22" s="11">
        <v>4</v>
      </c>
      <c r="G22" s="11">
        <v>735</v>
      </c>
      <c r="H22" s="11">
        <v>25</v>
      </c>
      <c r="I22" s="11">
        <f t="shared" si="1"/>
        <v>710</v>
      </c>
      <c r="J22" t="s">
        <v>165</v>
      </c>
      <c r="K22" t="s">
        <v>22</v>
      </c>
      <c r="L22" t="s">
        <v>455</v>
      </c>
      <c r="Q22" s="11">
        <v>1</v>
      </c>
    </row>
    <row r="23" spans="2:17" x14ac:dyDescent="0.25">
      <c r="B23" t="s">
        <v>16</v>
      </c>
      <c r="C23" t="s">
        <v>512</v>
      </c>
      <c r="D23" t="s">
        <v>513</v>
      </c>
      <c r="E23" t="s">
        <v>514</v>
      </c>
      <c r="F23" s="11">
        <v>4</v>
      </c>
      <c r="G23" s="11">
        <v>75</v>
      </c>
      <c r="H23" s="11">
        <v>25</v>
      </c>
      <c r="I23" s="11">
        <f t="shared" si="1"/>
        <v>50</v>
      </c>
      <c r="J23" t="s">
        <v>165</v>
      </c>
      <c r="K23" t="s">
        <v>22</v>
      </c>
      <c r="L23" t="s">
        <v>455</v>
      </c>
      <c r="M23" t="s">
        <v>66</v>
      </c>
      <c r="Q23" s="11">
        <v>1</v>
      </c>
    </row>
    <row r="24" spans="2:17" x14ac:dyDescent="0.25">
      <c r="B24" t="s">
        <v>16</v>
      </c>
      <c r="C24" t="s">
        <v>515</v>
      </c>
      <c r="D24" t="s">
        <v>516</v>
      </c>
      <c r="E24" t="s">
        <v>517</v>
      </c>
      <c r="F24" s="11">
        <v>4</v>
      </c>
      <c r="G24" s="11">
        <v>715</v>
      </c>
      <c r="H24" s="11">
        <v>25</v>
      </c>
      <c r="I24" s="11">
        <f t="shared" si="1"/>
        <v>690</v>
      </c>
      <c r="J24" t="s">
        <v>165</v>
      </c>
      <c r="K24" t="s">
        <v>22</v>
      </c>
      <c r="L24" t="s">
        <v>455</v>
      </c>
      <c r="Q24" s="11">
        <v>1</v>
      </c>
    </row>
    <row r="25" spans="2:17" x14ac:dyDescent="0.25">
      <c r="B25" t="s">
        <v>16</v>
      </c>
      <c r="C25" t="s">
        <v>518</v>
      </c>
      <c r="D25" t="s">
        <v>519</v>
      </c>
      <c r="E25" t="s">
        <v>520</v>
      </c>
      <c r="F25" s="11">
        <v>7</v>
      </c>
      <c r="G25" s="11">
        <v>0</v>
      </c>
      <c r="H25" s="11">
        <v>30</v>
      </c>
      <c r="I25" s="11">
        <f>-H25</f>
        <v>-30</v>
      </c>
      <c r="J25" t="s">
        <v>459</v>
      </c>
      <c r="K25" t="s">
        <v>22</v>
      </c>
      <c r="L25" t="s">
        <v>455</v>
      </c>
      <c r="Q25" s="11">
        <v>1</v>
      </c>
    </row>
    <row r="26" spans="2:17" x14ac:dyDescent="0.25">
      <c r="B26" t="s">
        <v>16</v>
      </c>
      <c r="C26" t="s">
        <v>521</v>
      </c>
      <c r="D26" t="s">
        <v>522</v>
      </c>
      <c r="E26" t="s">
        <v>523</v>
      </c>
      <c r="F26" s="11">
        <v>5</v>
      </c>
      <c r="G26" s="11">
        <v>685</v>
      </c>
      <c r="H26" s="11">
        <v>25</v>
      </c>
      <c r="I26" s="11">
        <f>G26-H26</f>
        <v>660</v>
      </c>
      <c r="J26" t="s">
        <v>165</v>
      </c>
      <c r="K26" t="s">
        <v>22</v>
      </c>
      <c r="L26" t="s">
        <v>455</v>
      </c>
      <c r="Q26" s="11">
        <v>1</v>
      </c>
    </row>
    <row r="27" spans="2:17" x14ac:dyDescent="0.25">
      <c r="B27" t="s">
        <v>16</v>
      </c>
      <c r="C27" t="s">
        <v>524</v>
      </c>
      <c r="D27" t="s">
        <v>525</v>
      </c>
      <c r="E27" t="s">
        <v>526</v>
      </c>
      <c r="F27" t="s">
        <v>20</v>
      </c>
      <c r="G27" s="11">
        <v>1020</v>
      </c>
      <c r="H27" s="11">
        <v>30</v>
      </c>
      <c r="I27" s="11">
        <f>G27-H27</f>
        <v>990</v>
      </c>
      <c r="J27" t="s">
        <v>459</v>
      </c>
      <c r="K27" t="s">
        <v>22</v>
      </c>
      <c r="L27" t="s">
        <v>455</v>
      </c>
      <c r="Q27" s="11">
        <v>1</v>
      </c>
    </row>
    <row r="28" spans="2:17" x14ac:dyDescent="0.25">
      <c r="B28" t="s">
        <v>16</v>
      </c>
      <c r="C28" t="s">
        <v>527</v>
      </c>
      <c r="D28" t="s">
        <v>528</v>
      </c>
      <c r="E28" t="s">
        <v>529</v>
      </c>
      <c r="F28" s="11">
        <v>5</v>
      </c>
      <c r="G28" s="11">
        <v>1185</v>
      </c>
      <c r="H28" s="11">
        <v>25</v>
      </c>
      <c r="I28" s="11">
        <f>G28-H28</f>
        <v>1160</v>
      </c>
      <c r="J28" t="s">
        <v>165</v>
      </c>
      <c r="K28" t="s">
        <v>22</v>
      </c>
      <c r="L28" t="s">
        <v>455</v>
      </c>
      <c r="Q28" s="11">
        <v>1</v>
      </c>
    </row>
    <row r="29" spans="2:17" x14ac:dyDescent="0.25">
      <c r="B29" t="s">
        <v>16</v>
      </c>
      <c r="C29" t="s">
        <v>530</v>
      </c>
      <c r="D29" t="s">
        <v>531</v>
      </c>
      <c r="E29" t="s">
        <v>532</v>
      </c>
      <c r="F29" s="11">
        <v>1</v>
      </c>
      <c r="G29" s="11">
        <v>745</v>
      </c>
      <c r="H29" s="11">
        <v>25</v>
      </c>
      <c r="I29" s="11">
        <f>G29-H29</f>
        <v>720</v>
      </c>
      <c r="J29" t="s">
        <v>165</v>
      </c>
      <c r="K29" t="s">
        <v>22</v>
      </c>
      <c r="L29" t="s">
        <v>455</v>
      </c>
      <c r="Q29" s="11">
        <v>1</v>
      </c>
    </row>
    <row r="30" spans="2:17" x14ac:dyDescent="0.25">
      <c r="B30" t="s">
        <v>16</v>
      </c>
      <c r="C30" t="s">
        <v>533</v>
      </c>
      <c r="D30" t="s">
        <v>534</v>
      </c>
      <c r="E30" t="s">
        <v>535</v>
      </c>
      <c r="F30" s="11">
        <v>10</v>
      </c>
      <c r="G30" s="11">
        <v>1255</v>
      </c>
      <c r="H30" s="11">
        <v>25</v>
      </c>
      <c r="I30" s="11">
        <f>G30-H30</f>
        <v>1230</v>
      </c>
      <c r="J30" t="s">
        <v>165</v>
      </c>
      <c r="K30" t="s">
        <v>22</v>
      </c>
      <c r="L30" t="s">
        <v>455</v>
      </c>
      <c r="Q30" s="11">
        <v>1</v>
      </c>
    </row>
    <row r="31" spans="2:17" x14ac:dyDescent="0.25">
      <c r="B31" t="s">
        <v>16</v>
      </c>
      <c r="C31" t="s">
        <v>536</v>
      </c>
      <c r="D31" t="s">
        <v>537</v>
      </c>
      <c r="E31" t="s">
        <v>538</v>
      </c>
      <c r="F31" t="s">
        <v>86</v>
      </c>
      <c r="G31" s="11">
        <v>0</v>
      </c>
      <c r="H31" s="11">
        <v>25</v>
      </c>
      <c r="I31" s="11">
        <f>-H31</f>
        <v>-25</v>
      </c>
      <c r="J31" t="s">
        <v>22</v>
      </c>
      <c r="K31" t="s">
        <v>22</v>
      </c>
      <c r="L31" t="s">
        <v>455</v>
      </c>
      <c r="Q31" s="11">
        <v>1</v>
      </c>
    </row>
    <row r="32" spans="2:17" x14ac:dyDescent="0.25">
      <c r="B32" t="s">
        <v>16</v>
      </c>
      <c r="C32" t="s">
        <v>443</v>
      </c>
      <c r="D32" t="s">
        <v>444</v>
      </c>
      <c r="E32" t="s">
        <v>445</v>
      </c>
      <c r="F32" t="s">
        <v>79</v>
      </c>
      <c r="G32" s="11">
        <v>370</v>
      </c>
      <c r="H32" s="11">
        <v>20</v>
      </c>
      <c r="I32" s="11">
        <f t="shared" ref="I32:I38" si="2">G32-H32</f>
        <v>350</v>
      </c>
      <c r="J32" t="s">
        <v>165</v>
      </c>
      <c r="K32" t="s">
        <v>22</v>
      </c>
      <c r="L32" t="s">
        <v>455</v>
      </c>
      <c r="Q32" s="11">
        <v>1</v>
      </c>
    </row>
    <row r="33" spans="1:17" x14ac:dyDescent="0.25">
      <c r="B33" t="s">
        <v>16</v>
      </c>
      <c r="C33" t="s">
        <v>539</v>
      </c>
      <c r="D33" t="s">
        <v>540</v>
      </c>
      <c r="E33" t="s">
        <v>541</v>
      </c>
      <c r="F33" s="11">
        <v>1</v>
      </c>
      <c r="G33" s="11">
        <v>915</v>
      </c>
      <c r="H33" s="11">
        <v>25</v>
      </c>
      <c r="I33" s="11">
        <f t="shared" si="2"/>
        <v>890</v>
      </c>
      <c r="J33" t="s">
        <v>165</v>
      </c>
      <c r="K33" t="s">
        <v>22</v>
      </c>
      <c r="L33" t="s">
        <v>455</v>
      </c>
      <c r="Q33" s="11">
        <v>1</v>
      </c>
    </row>
    <row r="34" spans="1:17" x14ac:dyDescent="0.25">
      <c r="B34" t="s">
        <v>16</v>
      </c>
      <c r="C34" t="s">
        <v>542</v>
      </c>
      <c r="D34" t="s">
        <v>543</v>
      </c>
      <c r="E34" t="s">
        <v>544</v>
      </c>
      <c r="F34" s="11">
        <v>1</v>
      </c>
      <c r="G34" s="11">
        <v>1635</v>
      </c>
      <c r="H34" s="11">
        <v>25</v>
      </c>
      <c r="I34" s="11">
        <f t="shared" si="2"/>
        <v>1610</v>
      </c>
      <c r="J34" t="s">
        <v>165</v>
      </c>
      <c r="K34" t="s">
        <v>22</v>
      </c>
      <c r="L34" t="s">
        <v>455</v>
      </c>
      <c r="Q34" s="11">
        <v>1</v>
      </c>
    </row>
    <row r="35" spans="1:17" x14ac:dyDescent="0.25">
      <c r="B35" t="s">
        <v>16</v>
      </c>
      <c r="C35" t="s">
        <v>545</v>
      </c>
      <c r="D35" t="s">
        <v>546</v>
      </c>
      <c r="E35" t="s">
        <v>547</v>
      </c>
      <c r="F35" t="s">
        <v>128</v>
      </c>
      <c r="G35" s="11">
        <v>475</v>
      </c>
      <c r="H35" s="11">
        <v>35</v>
      </c>
      <c r="I35" s="11">
        <f t="shared" si="2"/>
        <v>440</v>
      </c>
      <c r="J35" t="s">
        <v>459</v>
      </c>
      <c r="K35" t="s">
        <v>22</v>
      </c>
      <c r="L35" t="s">
        <v>455</v>
      </c>
      <c r="Q35" s="11">
        <v>1</v>
      </c>
    </row>
    <row r="36" spans="1:17" x14ac:dyDescent="0.25">
      <c r="B36" t="s">
        <v>16</v>
      </c>
      <c r="C36" t="s">
        <v>548</v>
      </c>
      <c r="D36" t="s">
        <v>549</v>
      </c>
      <c r="E36" t="s">
        <v>550</v>
      </c>
      <c r="F36" s="11">
        <v>2</v>
      </c>
      <c r="G36" s="11">
        <v>820</v>
      </c>
      <c r="H36" s="11">
        <v>30</v>
      </c>
      <c r="I36" s="11">
        <f t="shared" si="2"/>
        <v>790</v>
      </c>
      <c r="J36" t="s">
        <v>22</v>
      </c>
      <c r="K36" t="s">
        <v>22</v>
      </c>
      <c r="L36" t="s">
        <v>455</v>
      </c>
      <c r="Q36" s="11">
        <v>1</v>
      </c>
    </row>
    <row r="37" spans="1:17" x14ac:dyDescent="0.25">
      <c r="B37" t="s">
        <v>16</v>
      </c>
      <c r="C37" t="s">
        <v>551</v>
      </c>
      <c r="D37" t="s">
        <v>552</v>
      </c>
      <c r="E37" t="s">
        <v>553</v>
      </c>
      <c r="F37" s="11">
        <v>10</v>
      </c>
      <c r="G37" s="11">
        <v>465</v>
      </c>
      <c r="H37" s="11">
        <v>25</v>
      </c>
      <c r="I37" s="11">
        <f t="shared" si="2"/>
        <v>440</v>
      </c>
      <c r="J37" t="s">
        <v>165</v>
      </c>
      <c r="K37" t="s">
        <v>22</v>
      </c>
      <c r="L37" t="s">
        <v>455</v>
      </c>
      <c r="Q37" s="11">
        <v>1</v>
      </c>
    </row>
    <row r="38" spans="1:17" x14ac:dyDescent="0.25">
      <c r="B38" t="s">
        <v>16</v>
      </c>
      <c r="C38" t="s">
        <v>554</v>
      </c>
      <c r="D38" t="s">
        <v>555</v>
      </c>
      <c r="E38" t="s">
        <v>556</v>
      </c>
      <c r="F38" s="11">
        <v>6</v>
      </c>
      <c r="G38" s="11">
        <v>2220</v>
      </c>
      <c r="H38" s="11">
        <v>30</v>
      </c>
      <c r="I38" s="11">
        <f t="shared" si="2"/>
        <v>2190</v>
      </c>
      <c r="J38" t="s">
        <v>459</v>
      </c>
      <c r="K38" t="s">
        <v>22</v>
      </c>
      <c r="L38" t="s">
        <v>455</v>
      </c>
      <c r="M38" t="s">
        <v>380</v>
      </c>
      <c r="Q38" s="11">
        <v>1</v>
      </c>
    </row>
    <row r="39" spans="1:17" x14ac:dyDescent="0.25">
      <c r="B39" t="s">
        <v>16</v>
      </c>
      <c r="C39" t="s">
        <v>557</v>
      </c>
      <c r="D39" t="s">
        <v>558</v>
      </c>
      <c r="E39" t="s">
        <v>559</v>
      </c>
      <c r="F39" t="s">
        <v>86</v>
      </c>
      <c r="G39" s="11">
        <v>0</v>
      </c>
      <c r="H39" s="11">
        <v>25</v>
      </c>
      <c r="I39" s="11">
        <f>-H39</f>
        <v>-25</v>
      </c>
      <c r="J39" t="s">
        <v>22</v>
      </c>
      <c r="K39" t="s">
        <v>22</v>
      </c>
      <c r="L39" t="s">
        <v>455</v>
      </c>
      <c r="Q39" s="11">
        <v>1</v>
      </c>
    </row>
    <row r="40" spans="1:17" x14ac:dyDescent="0.25">
      <c r="B40" t="s">
        <v>16</v>
      </c>
      <c r="C40" t="s">
        <v>560</v>
      </c>
      <c r="D40" t="s">
        <v>561</v>
      </c>
      <c r="E40" t="s">
        <v>562</v>
      </c>
      <c r="F40" s="11">
        <v>4</v>
      </c>
      <c r="G40" s="11">
        <v>0</v>
      </c>
      <c r="H40" s="11">
        <v>25</v>
      </c>
      <c r="I40" s="11">
        <f>-H40</f>
        <v>-25</v>
      </c>
      <c r="J40" t="s">
        <v>165</v>
      </c>
      <c r="K40" t="s">
        <v>22</v>
      </c>
      <c r="L40" t="s">
        <v>455</v>
      </c>
      <c r="Q40" s="11">
        <v>1</v>
      </c>
    </row>
    <row r="41" spans="1:17" x14ac:dyDescent="0.25">
      <c r="B41" t="s">
        <v>16</v>
      </c>
      <c r="C41" t="s">
        <v>563</v>
      </c>
      <c r="D41" t="s">
        <v>564</v>
      </c>
      <c r="E41" t="s">
        <v>410</v>
      </c>
      <c r="F41" t="s">
        <v>20</v>
      </c>
      <c r="G41" s="11">
        <v>720</v>
      </c>
      <c r="H41" s="11">
        <v>30</v>
      </c>
      <c r="I41" s="11">
        <f t="shared" ref="I41:I49" si="3">G41-H41</f>
        <v>690</v>
      </c>
      <c r="J41" t="s">
        <v>459</v>
      </c>
      <c r="K41" t="s">
        <v>22</v>
      </c>
      <c r="L41" t="s">
        <v>455</v>
      </c>
      <c r="Q41" s="11">
        <v>1</v>
      </c>
    </row>
    <row r="42" spans="1:17" x14ac:dyDescent="0.25">
      <c r="B42" t="s">
        <v>16</v>
      </c>
      <c r="C42" t="s">
        <v>565</v>
      </c>
      <c r="D42" t="s">
        <v>566</v>
      </c>
      <c r="E42" t="s">
        <v>567</v>
      </c>
      <c r="F42" t="s">
        <v>20</v>
      </c>
      <c r="G42" s="11">
        <v>750</v>
      </c>
      <c r="H42" s="11">
        <v>30</v>
      </c>
      <c r="I42" s="11">
        <f t="shared" si="3"/>
        <v>720</v>
      </c>
      <c r="J42" t="s">
        <v>459</v>
      </c>
      <c r="K42" t="s">
        <v>22</v>
      </c>
      <c r="L42" t="s">
        <v>455</v>
      </c>
      <c r="Q42" s="11">
        <v>1</v>
      </c>
    </row>
    <row r="43" spans="1:17" x14ac:dyDescent="0.25">
      <c r="B43" t="s">
        <v>16</v>
      </c>
      <c r="C43" t="s">
        <v>568</v>
      </c>
      <c r="D43" t="s">
        <v>569</v>
      </c>
      <c r="E43" t="s">
        <v>570</v>
      </c>
      <c r="F43" s="11">
        <v>8</v>
      </c>
      <c r="G43" s="11">
        <v>390</v>
      </c>
      <c r="H43" s="11">
        <v>30</v>
      </c>
      <c r="I43" s="11">
        <f t="shared" si="3"/>
        <v>360</v>
      </c>
      <c r="J43" t="s">
        <v>459</v>
      </c>
      <c r="K43" t="s">
        <v>22</v>
      </c>
      <c r="L43" t="s">
        <v>455</v>
      </c>
      <c r="Q43" s="11">
        <v>1</v>
      </c>
    </row>
    <row r="44" spans="1:17" x14ac:dyDescent="0.25">
      <c r="B44" t="s">
        <v>16</v>
      </c>
      <c r="C44" t="s">
        <v>571</v>
      </c>
      <c r="D44" t="s">
        <v>572</v>
      </c>
      <c r="E44" t="s">
        <v>573</v>
      </c>
      <c r="F44" s="11">
        <v>2</v>
      </c>
      <c r="G44" s="11">
        <v>1020</v>
      </c>
      <c r="H44" s="11">
        <v>30</v>
      </c>
      <c r="I44" s="11">
        <f t="shared" si="3"/>
        <v>990</v>
      </c>
      <c r="J44" t="s">
        <v>22</v>
      </c>
      <c r="K44" t="s">
        <v>22</v>
      </c>
      <c r="L44" t="s">
        <v>455</v>
      </c>
      <c r="Q44" s="11">
        <v>1</v>
      </c>
    </row>
    <row r="45" spans="1:17" x14ac:dyDescent="0.25">
      <c r="B45" t="s">
        <v>16</v>
      </c>
      <c r="C45" t="s">
        <v>329</v>
      </c>
      <c r="D45" t="s">
        <v>574</v>
      </c>
      <c r="E45" t="s">
        <v>575</v>
      </c>
      <c r="F45" s="11">
        <v>2</v>
      </c>
      <c r="G45" s="11">
        <v>380</v>
      </c>
      <c r="H45" s="11">
        <v>30</v>
      </c>
      <c r="I45" s="11">
        <f t="shared" si="3"/>
        <v>350</v>
      </c>
      <c r="J45" t="s">
        <v>22</v>
      </c>
      <c r="K45" t="s">
        <v>22</v>
      </c>
      <c r="L45" t="s">
        <v>455</v>
      </c>
      <c r="Q45" s="11">
        <v>1</v>
      </c>
    </row>
    <row r="46" spans="1:17" x14ac:dyDescent="0.25">
      <c r="B46" t="s">
        <v>16</v>
      </c>
      <c r="C46" t="s">
        <v>576</v>
      </c>
      <c r="D46" t="s">
        <v>577</v>
      </c>
      <c r="E46" t="s">
        <v>578</v>
      </c>
      <c r="F46" s="11">
        <v>12</v>
      </c>
      <c r="G46" s="11">
        <v>1020</v>
      </c>
      <c r="H46" s="11">
        <v>30</v>
      </c>
      <c r="I46" s="11">
        <f t="shared" si="3"/>
        <v>990</v>
      </c>
      <c r="J46" t="s">
        <v>22</v>
      </c>
      <c r="K46" t="s">
        <v>22</v>
      </c>
      <c r="L46" t="s">
        <v>455</v>
      </c>
      <c r="Q46" s="11">
        <v>1</v>
      </c>
    </row>
    <row r="47" spans="1:17" x14ac:dyDescent="0.25">
      <c r="B47" t="s">
        <v>16</v>
      </c>
      <c r="C47" t="s">
        <v>579</v>
      </c>
      <c r="D47" t="s">
        <v>580</v>
      </c>
      <c r="E47" t="s">
        <v>581</v>
      </c>
      <c r="F47" t="s">
        <v>20</v>
      </c>
      <c r="G47" s="11">
        <v>820</v>
      </c>
      <c r="H47" s="11">
        <v>30</v>
      </c>
      <c r="I47" s="11">
        <f t="shared" si="3"/>
        <v>790</v>
      </c>
      <c r="J47" t="s">
        <v>459</v>
      </c>
      <c r="K47" t="s">
        <v>22</v>
      </c>
      <c r="L47" t="s">
        <v>455</v>
      </c>
      <c r="Q47" s="11">
        <v>1</v>
      </c>
    </row>
    <row r="48" spans="1:17" x14ac:dyDescent="0.25">
      <c r="A48" t="s">
        <v>83</v>
      </c>
      <c r="B48" t="s">
        <v>16</v>
      </c>
      <c r="C48" t="s">
        <v>582</v>
      </c>
      <c r="E48" t="s">
        <v>583</v>
      </c>
      <c r="F48" t="s">
        <v>44</v>
      </c>
      <c r="G48" s="11">
        <v>30</v>
      </c>
      <c r="H48" s="11">
        <v>30</v>
      </c>
      <c r="I48" s="11">
        <f t="shared" si="3"/>
        <v>0</v>
      </c>
      <c r="J48" t="s">
        <v>22</v>
      </c>
      <c r="K48" t="s">
        <v>22</v>
      </c>
      <c r="L48" t="s">
        <v>455</v>
      </c>
      <c r="Q48" s="11">
        <v>1</v>
      </c>
    </row>
    <row r="49" spans="1:17" x14ac:dyDescent="0.25">
      <c r="A49" t="s">
        <v>83</v>
      </c>
      <c r="B49" t="s">
        <v>16</v>
      </c>
      <c r="C49" t="s">
        <v>584</v>
      </c>
      <c r="E49" t="s">
        <v>585</v>
      </c>
      <c r="F49" s="11">
        <v>4</v>
      </c>
      <c r="G49" s="11">
        <v>30</v>
      </c>
      <c r="H49" s="11">
        <v>30</v>
      </c>
      <c r="I49" s="11">
        <f t="shared" si="3"/>
        <v>0</v>
      </c>
      <c r="J49" t="s">
        <v>165</v>
      </c>
      <c r="K49" t="s">
        <v>22</v>
      </c>
      <c r="L49" t="s">
        <v>455</v>
      </c>
      <c r="Q49" s="11">
        <v>1</v>
      </c>
    </row>
    <row r="50" spans="1:17" x14ac:dyDescent="0.25">
      <c r="A50" t="s">
        <v>83</v>
      </c>
      <c r="B50" t="s">
        <v>16</v>
      </c>
      <c r="C50" t="s">
        <v>586</v>
      </c>
      <c r="E50" t="s">
        <v>587</v>
      </c>
      <c r="F50" s="11">
        <v>12</v>
      </c>
      <c r="G50" s="11">
        <v>0</v>
      </c>
      <c r="H50" s="11">
        <v>35</v>
      </c>
      <c r="I50" s="11">
        <f>-H50</f>
        <v>-35</v>
      </c>
      <c r="J50" t="s">
        <v>22</v>
      </c>
      <c r="K50" t="s">
        <v>22</v>
      </c>
      <c r="L50" t="s">
        <v>455</v>
      </c>
      <c r="Q50" s="11">
        <v>1</v>
      </c>
    </row>
    <row r="51" spans="1:17" x14ac:dyDescent="0.25">
      <c r="A51" t="s">
        <v>83</v>
      </c>
      <c r="B51" t="s">
        <v>16</v>
      </c>
      <c r="C51" t="s">
        <v>588</v>
      </c>
      <c r="E51" t="s">
        <v>589</v>
      </c>
      <c r="F51" t="s">
        <v>217</v>
      </c>
      <c r="G51" s="11">
        <v>30</v>
      </c>
      <c r="H51" s="11">
        <v>30</v>
      </c>
      <c r="I51" s="11">
        <f>G51-H51</f>
        <v>0</v>
      </c>
      <c r="J51" t="s">
        <v>459</v>
      </c>
      <c r="K51" t="s">
        <v>22</v>
      </c>
      <c r="L51" t="s">
        <v>455</v>
      </c>
      <c r="Q51" s="11">
        <v>1</v>
      </c>
    </row>
    <row r="52" spans="1:17" x14ac:dyDescent="0.25">
      <c r="A52" t="s">
        <v>83</v>
      </c>
      <c r="B52" t="s">
        <v>16</v>
      </c>
      <c r="C52" t="s">
        <v>265</v>
      </c>
      <c r="E52" t="s">
        <v>590</v>
      </c>
      <c r="F52" s="11">
        <v>6</v>
      </c>
      <c r="G52" s="11">
        <v>30</v>
      </c>
      <c r="H52" s="11">
        <v>30</v>
      </c>
      <c r="I52" s="11">
        <f>G52-H52</f>
        <v>0</v>
      </c>
      <c r="J52" t="s">
        <v>459</v>
      </c>
      <c r="K52" t="s">
        <v>22</v>
      </c>
      <c r="L52" t="s">
        <v>455</v>
      </c>
      <c r="Q52" s="11">
        <v>1</v>
      </c>
    </row>
    <row r="53" spans="1:17" x14ac:dyDescent="0.25">
      <c r="A53" t="s">
        <v>83</v>
      </c>
      <c r="B53" t="s">
        <v>16</v>
      </c>
      <c r="C53" t="s">
        <v>320</v>
      </c>
      <c r="E53" t="s">
        <v>321</v>
      </c>
      <c r="F53" t="s">
        <v>44</v>
      </c>
      <c r="G53" s="11">
        <v>30</v>
      </c>
      <c r="H53" s="11">
        <v>30</v>
      </c>
      <c r="I53" s="11">
        <f>G53-H53</f>
        <v>0</v>
      </c>
      <c r="J53" t="s">
        <v>22</v>
      </c>
      <c r="K53" t="s">
        <v>22</v>
      </c>
      <c r="L53" t="s">
        <v>455</v>
      </c>
      <c r="Q53" s="11">
        <v>1</v>
      </c>
    </row>
    <row r="54" spans="1:17" x14ac:dyDescent="0.25">
      <c r="A54" t="s">
        <v>83</v>
      </c>
      <c r="B54" t="s">
        <v>16</v>
      </c>
      <c r="C54" t="s">
        <v>591</v>
      </c>
      <c r="E54" t="s">
        <v>592</v>
      </c>
      <c r="F54" t="s">
        <v>153</v>
      </c>
      <c r="G54" s="11">
        <v>1015</v>
      </c>
      <c r="H54" s="11">
        <v>35</v>
      </c>
      <c r="I54" s="11">
        <f>G54-H54</f>
        <v>980</v>
      </c>
      <c r="J54" t="s">
        <v>22</v>
      </c>
      <c r="K54" t="s">
        <v>22</v>
      </c>
      <c r="L54" t="s">
        <v>455</v>
      </c>
      <c r="Q54" s="11">
        <v>1</v>
      </c>
    </row>
    <row r="55" spans="1:17" s="7" customFormat="1" x14ac:dyDescent="0.25">
      <c r="B55" s="7" t="s">
        <v>16</v>
      </c>
      <c r="C55" s="7" t="s">
        <v>362</v>
      </c>
      <c r="D55" s="7" t="s">
        <v>363</v>
      </c>
      <c r="E55" s="7" t="s">
        <v>364</v>
      </c>
      <c r="F55" s="17">
        <v>1</v>
      </c>
      <c r="G55" s="17">
        <v>885</v>
      </c>
      <c r="H55" s="17">
        <v>25</v>
      </c>
      <c r="I55" s="17">
        <f>G55-H55</f>
        <v>860</v>
      </c>
      <c r="J55" s="7" t="s">
        <v>446</v>
      </c>
      <c r="K55" s="7" t="s">
        <v>22</v>
      </c>
      <c r="L55" s="7" t="s">
        <v>328</v>
      </c>
      <c r="M55" s="7" t="s">
        <v>102</v>
      </c>
      <c r="N55" s="7" t="s">
        <v>448</v>
      </c>
      <c r="O55" s="7" t="s">
        <v>448</v>
      </c>
      <c r="P55" s="7" t="s">
        <v>449</v>
      </c>
      <c r="Q55" s="17">
        <v>1</v>
      </c>
    </row>
    <row r="57" spans="1:17" x14ac:dyDescent="0.25">
      <c r="D57" s="6">
        <f>COUNTA(D3:D55)</f>
        <v>46</v>
      </c>
      <c r="G57" s="6">
        <f>SUBTOTAL(9,G3:G55)</f>
        <v>38240</v>
      </c>
      <c r="H57" s="6">
        <f>SUBTOTAL(9,H3:H55)</f>
        <v>1485</v>
      </c>
      <c r="I57" s="6">
        <f>SUBTOTAL(9,I3:I55)</f>
        <v>36755</v>
      </c>
      <c r="J57" s="6">
        <f>SUBTOTAL(9,J3:J55)</f>
        <v>0</v>
      </c>
      <c r="K57" s="6">
        <f>SUBTOTAL(9,K3:K55)</f>
        <v>0</v>
      </c>
      <c r="L57" s="6">
        <f>SUBTOTAL(9,L3:L55)</f>
        <v>0</v>
      </c>
      <c r="M57" s="6">
        <f>SUBTOTAL(9,M3:M55)</f>
        <v>0</v>
      </c>
      <c r="N57" s="6">
        <f>SUBTOTAL(9,N3:N55)</f>
        <v>0</v>
      </c>
      <c r="O57" s="6">
        <f>SUBTOTAL(9,O3:O55)</f>
        <v>0</v>
      </c>
      <c r="P57" s="6">
        <f>SUBTOTAL(9,P3:P55)</f>
        <v>0</v>
      </c>
      <c r="Q57" s="6">
        <f>SUBTOTAL(9,Q3:Q55)</f>
        <v>53</v>
      </c>
    </row>
    <row r="58" spans="1:17" x14ac:dyDescent="0.25">
      <c r="H58">
        <f>-10*17</f>
        <v>-170</v>
      </c>
    </row>
    <row r="59" spans="1:17" x14ac:dyDescent="0.25">
      <c r="A59" s="6" t="s">
        <v>16</v>
      </c>
      <c r="C59" s="5" t="s">
        <v>89</v>
      </c>
      <c r="D59" s="5"/>
      <c r="E59" s="9" t="s">
        <v>90</v>
      </c>
      <c r="H59">
        <f>-8*25</f>
        <v>-200</v>
      </c>
      <c r="K59" s="12" t="s">
        <v>22</v>
      </c>
      <c r="L59" s="12" t="s">
        <v>91</v>
      </c>
      <c r="M59" s="12" t="s">
        <v>90</v>
      </c>
      <c r="O59" s="9" t="s">
        <v>92</v>
      </c>
    </row>
    <row r="60" spans="1:17" x14ac:dyDescent="0.25">
      <c r="A60" t="s">
        <v>455</v>
      </c>
      <c r="B60" s="8" t="s">
        <v>93</v>
      </c>
      <c r="C60" s="4">
        <f>SUMIFS(I$3:I$55,B$3:B$55,A$59,L$3:L$55,A$60)</f>
        <v>35895</v>
      </c>
      <c r="D60" s="4"/>
      <c r="E60" s="8">
        <f>SUMIFS(Q$3:Q$55,B$3:B$55,A$59,L$3:L$55,A$60)</f>
        <v>52</v>
      </c>
      <c r="F60" t="s">
        <v>94</v>
      </c>
      <c r="H60">
        <f>-1*30</f>
        <v>-30</v>
      </c>
      <c r="K60" t="s">
        <v>95</v>
      </c>
      <c r="L60">
        <f>SUMIFS(G$3:G$55,J$3:J$55,K$59)</f>
        <v>11625</v>
      </c>
      <c r="M60">
        <f>SUMIFS(Q$3:Q$55,J$3:J$55,K$59)</f>
        <v>16</v>
      </c>
      <c r="O60" t="s">
        <v>22</v>
      </c>
      <c r="P60">
        <f>L65</f>
        <v>11131</v>
      </c>
    </row>
    <row r="61" spans="1:17" x14ac:dyDescent="0.25">
      <c r="B61" s="7" t="s">
        <v>97</v>
      </c>
      <c r="C61" s="3">
        <v>0</v>
      </c>
      <c r="D61" s="3"/>
      <c r="K61" t="s">
        <v>98</v>
      </c>
      <c r="L61">
        <f>-SUMIFS(H$3:H$55,J$3:J$55,K$59)+M61*5</f>
        <v>-390</v>
      </c>
      <c r="M61">
        <f>SUMIFS(Q$3:Q$55,J$3:J$55,K$59)-COUNTIFS(J$3:J$55,K$59,M$3:M$55,"*gộp*")</f>
        <v>16</v>
      </c>
      <c r="O61" t="s">
        <v>593</v>
      </c>
      <c r="P61">
        <f>L73</f>
        <v>12535</v>
      </c>
    </row>
    <row r="62" spans="1:17" x14ac:dyDescent="0.25">
      <c r="B62" s="7" t="s">
        <v>99</v>
      </c>
      <c r="C62" s="3">
        <f>-SUMIFS(I$3:I$55,B$3:B$55,A$59,P$3:P$55,"xx",N$3:N$55,"x")</f>
        <v>-860</v>
      </c>
      <c r="D62" s="3"/>
      <c r="E62" s="7">
        <f>SUMIFS(Q$3:Q$55,B$3:B$55,A$59,P$3:P$55,"xx",N$3:N$55,"x")</f>
        <v>1</v>
      </c>
      <c r="K62" t="s">
        <v>100</v>
      </c>
      <c r="L62">
        <f>-M62*2</f>
        <v>-104</v>
      </c>
      <c r="M62">
        <f>Q57-(COUNTIFS(M$3:M$55,"*gộp*")/2)-COUNTIFS(P$3:P$55,"*xx*")</f>
        <v>52</v>
      </c>
      <c r="O62" t="s">
        <v>165</v>
      </c>
      <c r="P62">
        <f>L81</f>
        <v>11585</v>
      </c>
    </row>
    <row r="63" spans="1:17" x14ac:dyDescent="0.25">
      <c r="B63" s="9" t="s">
        <v>101</v>
      </c>
      <c r="C63" s="5">
        <f>SUBTOTAL(9,C60:C62)</f>
        <v>35035</v>
      </c>
      <c r="D63" s="5"/>
      <c r="E63">
        <f>E60</f>
        <v>52</v>
      </c>
      <c r="K63" s="7" t="s">
        <v>102</v>
      </c>
      <c r="O63" t="s">
        <v>103</v>
      </c>
      <c r="P63">
        <f>-C67</f>
        <v>-35035</v>
      </c>
    </row>
    <row r="64" spans="1:17" x14ac:dyDescent="0.25">
      <c r="B64" s="7" t="s">
        <v>104</v>
      </c>
      <c r="C64" s="2"/>
      <c r="D64" s="2"/>
      <c r="K64" s="7" t="s">
        <v>105</v>
      </c>
      <c r="O64" s="9" t="s">
        <v>106</v>
      </c>
      <c r="P64" s="9">
        <f>SUBTOTAL(9,P60:P63)</f>
        <v>216</v>
      </c>
    </row>
    <row r="65" spans="2:13" x14ac:dyDescent="0.25">
      <c r="B65" s="13" t="s">
        <v>107</v>
      </c>
      <c r="C65" s="2"/>
      <c r="D65" s="2"/>
      <c r="L65" s="14">
        <f>SUBTOTAL(9,L60:L64)</f>
        <v>11131</v>
      </c>
      <c r="M65" s="14">
        <f>M60</f>
        <v>16</v>
      </c>
    </row>
    <row r="67" spans="2:13" x14ac:dyDescent="0.25">
      <c r="B67" s="6" t="s">
        <v>108</v>
      </c>
      <c r="C67" s="1">
        <f>C63+C64+C65</f>
        <v>35035</v>
      </c>
      <c r="D67" s="1"/>
      <c r="E67" s="6" t="s">
        <v>109</v>
      </c>
      <c r="K67" s="12" t="s">
        <v>459</v>
      </c>
      <c r="L67" s="12" t="s">
        <v>91</v>
      </c>
      <c r="M67" s="12" t="s">
        <v>90</v>
      </c>
    </row>
    <row r="68" spans="2:13" x14ac:dyDescent="0.25">
      <c r="K68" t="s">
        <v>95</v>
      </c>
      <c r="L68">
        <f>SUMIFS(G$3:G$55,J$3:J$55,K$67)</f>
        <v>12935</v>
      </c>
      <c r="M68">
        <f>SUMIFS(Q$3:Q$55,J$3:J$55,K$67)</f>
        <v>19</v>
      </c>
    </row>
    <row r="69" spans="2:13" x14ac:dyDescent="0.25">
      <c r="K69" t="s">
        <v>98</v>
      </c>
      <c r="L69">
        <f>SUM(H58:H60)</f>
        <v>-400</v>
      </c>
      <c r="M69">
        <f>SUMIFS(Q$3:Q$55,J$3:J$55,K$67)</f>
        <v>19</v>
      </c>
    </row>
    <row r="70" spans="2:13" x14ac:dyDescent="0.25">
      <c r="K70" t="s">
        <v>100</v>
      </c>
    </row>
    <row r="71" spans="2:13" x14ac:dyDescent="0.25">
      <c r="K71" s="7" t="s">
        <v>102</v>
      </c>
    </row>
    <row r="72" spans="2:13" x14ac:dyDescent="0.25">
      <c r="K72" s="7" t="s">
        <v>105</v>
      </c>
    </row>
    <row r="73" spans="2:13" x14ac:dyDescent="0.25">
      <c r="L73" s="14">
        <f>SUBTOTAL(9,L68:L72)</f>
        <v>12535</v>
      </c>
      <c r="M73" s="14">
        <f>M68</f>
        <v>19</v>
      </c>
    </row>
    <row r="75" spans="2:13" x14ac:dyDescent="0.25">
      <c r="K75" s="12" t="s">
        <v>165</v>
      </c>
      <c r="L75" s="12" t="s">
        <v>91</v>
      </c>
      <c r="M75" s="12" t="s">
        <v>90</v>
      </c>
    </row>
    <row r="76" spans="2:13" x14ac:dyDescent="0.25">
      <c r="K76" t="s">
        <v>95</v>
      </c>
      <c r="L76">
        <f>SUMIFS(G$3:G$55,J$3:J$55,K$75)</f>
        <v>12795</v>
      </c>
      <c r="M76">
        <f>SUMIFS(Q$3:Q$55,J$3:J$55,K$75)</f>
        <v>17</v>
      </c>
    </row>
    <row r="77" spans="2:13" x14ac:dyDescent="0.25">
      <c r="K77" t="s">
        <v>98</v>
      </c>
      <c r="L77">
        <f>-SUMIFS(H$3:H$55,J$3:J$55,K$75)+M77*5</f>
        <v>-345</v>
      </c>
      <c r="M77">
        <f>SUMIFS(Q$3:Q$55,J$3:J$55,K$75)-COUNTIFS(J$3:J$55,K$75,M$3:M$55,"*gộp*")</f>
        <v>17</v>
      </c>
    </row>
    <row r="78" spans="2:13" x14ac:dyDescent="0.25">
      <c r="K78" t="s">
        <v>100</v>
      </c>
    </row>
    <row r="79" spans="2:13" x14ac:dyDescent="0.25">
      <c r="K79" s="7" t="s">
        <v>102</v>
      </c>
      <c r="L79" s="7">
        <v>-865</v>
      </c>
      <c r="M79" t="s">
        <v>451</v>
      </c>
    </row>
    <row r="80" spans="2:13" x14ac:dyDescent="0.25">
      <c r="K80" s="7" t="s">
        <v>105</v>
      </c>
    </row>
    <row r="81" spans="12:13" x14ac:dyDescent="0.25">
      <c r="L81" s="14">
        <f>SUBTOTAL(9,L76:L80)</f>
        <v>11585</v>
      </c>
      <c r="M81" s="14">
        <f>M76</f>
        <v>17</v>
      </c>
    </row>
  </sheetData>
  <autoFilter ref="A2:P55" xr:uid="{00000000-0009-0000-0000-000004000000}"/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01-04</vt:lpstr>
      <vt:lpstr>02-04</vt:lpstr>
      <vt:lpstr>03-04</vt:lpstr>
      <vt:lpstr>04-04</vt:lpstr>
      <vt:lpstr>06-04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2026-04-06T13:07:47Z</dcterms:modified>
</cp:coreProperties>
</file>