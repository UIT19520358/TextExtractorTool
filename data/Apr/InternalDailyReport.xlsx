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Apr\"/>
    </mc:Choice>
  </mc:AlternateContent>
  <xr:revisionPtr revIDLastSave="0" documentId="13_ncr:1_{0FDDC5A3-01B0-4983-A101-FB16F0D6B8C3}" xr6:coauthVersionLast="47" xr6:coauthVersionMax="47" xr10:uidLastSave="{00000000-0000-0000-0000-000000000000}"/>
  <bookViews>
    <workbookView xWindow="-28920" yWindow="-150" windowWidth="29040" windowHeight="15720" activeTab="8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14" l="1"/>
  <c r="I53" i="14" l="1"/>
  <c r="I54" i="14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E28" i="2"/>
  <c r="L28" i="2"/>
  <c r="M28" i="2"/>
  <c r="L29" i="2"/>
  <c r="M29" i="2"/>
  <c r="C30" i="2"/>
  <c r="E30" i="2"/>
  <c r="C31" i="2"/>
  <c r="E31" i="2"/>
  <c r="L33" i="2"/>
  <c r="P28" i="2" s="1"/>
  <c r="M33" i="2"/>
  <c r="C35" i="2"/>
  <c r="P31" i="2" s="1"/>
  <c r="L36" i="2"/>
  <c r="M36" i="2"/>
  <c r="M37" i="2"/>
  <c r="L37" i="2" s="1"/>
  <c r="L41" i="2" s="1"/>
  <c r="P29" i="2" s="1"/>
  <c r="M38" i="2"/>
  <c r="L38" i="2" s="1"/>
  <c r="M41" i="2"/>
  <c r="L44" i="2"/>
  <c r="L49" i="2" s="1"/>
  <c r="P30" i="2" s="1"/>
  <c r="M44" i="2"/>
  <c r="M49" i="2" s="1"/>
  <c r="M45" i="2"/>
  <c r="L45" i="2" s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I26" i="6"/>
  <c r="J26" i="6"/>
  <c r="K26" i="6"/>
  <c r="L26" i="6"/>
  <c r="M26" i="6"/>
  <c r="N26" i="6"/>
  <c r="O26" i="6"/>
  <c r="P26" i="6"/>
  <c r="Q26" i="6"/>
  <c r="H27" i="6"/>
  <c r="H28" i="6"/>
  <c r="C29" i="6"/>
  <c r="E29" i="6"/>
  <c r="H29" i="6"/>
  <c r="L29" i="6"/>
  <c r="M29" i="6"/>
  <c r="M30" i="6"/>
  <c r="L30" i="6" s="1"/>
  <c r="C31" i="6"/>
  <c r="E31" i="6"/>
  <c r="M31" i="6"/>
  <c r="L31" i="6" s="1"/>
  <c r="C32" i="6"/>
  <c r="E32" i="6"/>
  <c r="M34" i="6"/>
  <c r="C36" i="6"/>
  <c r="P32" i="6" s="1"/>
  <c r="L37" i="6"/>
  <c r="M37" i="6"/>
  <c r="M38" i="6"/>
  <c r="L38" i="6" s="1"/>
  <c r="L42" i="6" s="1"/>
  <c r="P30" i="6" s="1"/>
  <c r="M42" i="6"/>
  <c r="L45" i="6"/>
  <c r="L50" i="6" s="1"/>
  <c r="P31" i="6" s="1"/>
  <c r="M45" i="6"/>
  <c r="L46" i="6"/>
  <c r="M46" i="6"/>
  <c r="M50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I55" i="7"/>
  <c r="J55" i="7"/>
  <c r="K55" i="7"/>
  <c r="L55" i="7"/>
  <c r="M55" i="7"/>
  <c r="N55" i="7"/>
  <c r="O55" i="7"/>
  <c r="P55" i="7"/>
  <c r="Q55" i="7"/>
  <c r="H56" i="7"/>
  <c r="H57" i="7"/>
  <c r="E58" i="7"/>
  <c r="E61" i="7" s="1"/>
  <c r="H58" i="7"/>
  <c r="L58" i="7"/>
  <c r="M58" i="7"/>
  <c r="M59" i="7"/>
  <c r="L59" i="7" s="1"/>
  <c r="L64" i="7" s="1"/>
  <c r="P58" i="7" s="1"/>
  <c r="C60" i="7"/>
  <c r="E60" i="7"/>
  <c r="M60" i="7"/>
  <c r="L60" i="7" s="1"/>
  <c r="M64" i="7"/>
  <c r="L67" i="7"/>
  <c r="M67" i="7"/>
  <c r="L68" i="7"/>
  <c r="M68" i="7"/>
  <c r="L72" i="7"/>
  <c r="P59" i="7" s="1"/>
  <c r="M72" i="7"/>
  <c r="L75" i="7"/>
  <c r="M75" i="7"/>
  <c r="M80" i="7" s="1"/>
  <c r="M76" i="7"/>
  <c r="L76" i="7" s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H48" i="8"/>
  <c r="E49" i="8"/>
  <c r="H49" i="8"/>
  <c r="L49" i="8"/>
  <c r="M49" i="8"/>
  <c r="L50" i="8"/>
  <c r="M50" i="8"/>
  <c r="C51" i="8"/>
  <c r="E51" i="8"/>
  <c r="E52" i="8"/>
  <c r="L54" i="8"/>
  <c r="P49" i="8" s="1"/>
  <c r="M54" i="8"/>
  <c r="L57" i="8"/>
  <c r="M57" i="8"/>
  <c r="M58" i="8"/>
  <c r="L58" i="8" s="1"/>
  <c r="M59" i="8"/>
  <c r="L59" i="8" s="1"/>
  <c r="M62" i="8"/>
  <c r="L65" i="8"/>
  <c r="M65" i="8"/>
  <c r="M66" i="8"/>
  <c r="L66" i="8" s="1"/>
  <c r="L70" i="8" s="1"/>
  <c r="P51" i="8" s="1"/>
  <c r="M70" i="8"/>
  <c r="L73" i="8"/>
  <c r="M73" i="8"/>
  <c r="M78" i="8" s="1"/>
  <c r="M74" i="8"/>
  <c r="L74" i="8" s="1"/>
  <c r="L78" i="8" s="1"/>
  <c r="P52" i="8" s="1"/>
  <c r="I3" i="10"/>
  <c r="C60" i="10" s="1"/>
  <c r="C63" i="10" s="1"/>
  <c r="C67" i="10" s="1"/>
  <c r="P6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I57" i="10"/>
  <c r="J57" i="10"/>
  <c r="K57" i="10"/>
  <c r="L57" i="10"/>
  <c r="M57" i="10"/>
  <c r="N57" i="10"/>
  <c r="O57" i="10"/>
  <c r="P57" i="10"/>
  <c r="Q57" i="10"/>
  <c r="H58" i="10"/>
  <c r="H59" i="10"/>
  <c r="E60" i="10"/>
  <c r="E63" i="10" s="1"/>
  <c r="H60" i="10"/>
  <c r="L60" i="10"/>
  <c r="M60" i="10"/>
  <c r="M61" i="10"/>
  <c r="L61" i="10" s="1"/>
  <c r="C62" i="10"/>
  <c r="E62" i="10"/>
  <c r="M62" i="10"/>
  <c r="L62" i="10" s="1"/>
  <c r="M65" i="10"/>
  <c r="L68" i="10"/>
  <c r="L73" i="10" s="1"/>
  <c r="P61" i="10" s="1"/>
  <c r="M68" i="10"/>
  <c r="M73" i="10" s="1"/>
  <c r="L69" i="10"/>
  <c r="M69" i="10"/>
  <c r="L76" i="10"/>
  <c r="M76" i="10"/>
  <c r="M81" i="10" s="1"/>
  <c r="M77" i="10"/>
  <c r="L77" i="10" s="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C36" i="11" s="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E34" i="11"/>
  <c r="H34" i="11"/>
  <c r="L34" i="11"/>
  <c r="M34" i="11"/>
  <c r="M35" i="11"/>
  <c r="L35" i="11" s="1"/>
  <c r="L41" i="11" s="1"/>
  <c r="P34" i="11" s="1"/>
  <c r="E36" i="11"/>
  <c r="M36" i="11"/>
  <c r="L36" i="11" s="1"/>
  <c r="E37" i="11"/>
  <c r="M41" i="11"/>
  <c r="L43" i="11"/>
  <c r="M43" i="11"/>
  <c r="M44" i="11"/>
  <c r="L44" i="11" s="1"/>
  <c r="L48" i="11" s="1"/>
  <c r="P35" i="11" s="1"/>
  <c r="M48" i="11"/>
  <c r="L51" i="11"/>
  <c r="M51" i="11"/>
  <c r="L52" i="11"/>
  <c r="M52" i="11"/>
  <c r="L56" i="11"/>
  <c r="P36" i="11" s="1"/>
  <c r="M5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H50" i="12"/>
  <c r="L61" i="12" s="1"/>
  <c r="H51" i="12"/>
  <c r="E52" i="12"/>
  <c r="H52" i="12"/>
  <c r="L52" i="12"/>
  <c r="M52" i="12"/>
  <c r="M53" i="12"/>
  <c r="L53" i="12" s="1"/>
  <c r="L57" i="12" s="1"/>
  <c r="P52" i="12" s="1"/>
  <c r="C54" i="12"/>
  <c r="E54" i="12"/>
  <c r="M54" i="12"/>
  <c r="L54" i="12" s="1"/>
  <c r="E55" i="12"/>
  <c r="M57" i="12"/>
  <c r="L60" i="12"/>
  <c r="L65" i="12" s="1"/>
  <c r="P53" i="12" s="1"/>
  <c r="M60" i="12"/>
  <c r="M65" i="12" s="1"/>
  <c r="M61" i="12"/>
  <c r="L68" i="12"/>
  <c r="M68" i="12"/>
  <c r="M69" i="12"/>
  <c r="L69" i="12" s="1"/>
  <c r="L73" i="12" s="1"/>
  <c r="P54" i="12" s="1"/>
  <c r="M73" i="12"/>
  <c r="L76" i="12"/>
  <c r="M76" i="12"/>
  <c r="M77" i="12"/>
  <c r="L77" i="12" s="1"/>
  <c r="L81" i="12" s="1"/>
  <c r="P55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I41" i="13"/>
  <c r="J41" i="13"/>
  <c r="K41" i="13"/>
  <c r="L41" i="13"/>
  <c r="M41" i="13"/>
  <c r="N41" i="13"/>
  <c r="O41" i="13"/>
  <c r="P41" i="13"/>
  <c r="Q41" i="13"/>
  <c r="H42" i="13"/>
  <c r="H43" i="13"/>
  <c r="E44" i="13"/>
  <c r="L44" i="13"/>
  <c r="M44" i="13"/>
  <c r="M45" i="13"/>
  <c r="L45" i="13" s="1"/>
  <c r="C46" i="13"/>
  <c r="E46" i="13"/>
  <c r="M46" i="13"/>
  <c r="L46" i="13" s="1"/>
  <c r="E47" i="13"/>
  <c r="M49" i="13"/>
  <c r="L52" i="13"/>
  <c r="M52" i="13"/>
  <c r="L53" i="13"/>
  <c r="M53" i="13"/>
  <c r="L57" i="13"/>
  <c r="P45" i="13" s="1"/>
  <c r="M57" i="13"/>
  <c r="L60" i="13"/>
  <c r="M60" i="13"/>
  <c r="M61" i="13"/>
  <c r="L61" i="13" s="1"/>
  <c r="L65" i="13" s="1"/>
  <c r="P46" i="13" s="1"/>
  <c r="M65" i="13"/>
  <c r="I37" i="14"/>
  <c r="I17" i="14"/>
  <c r="I18" i="14"/>
  <c r="I19" i="14"/>
  <c r="I20" i="14"/>
  <c r="I21" i="14"/>
  <c r="I22" i="14"/>
  <c r="I23" i="14"/>
  <c r="I38" i="14"/>
  <c r="I24" i="14"/>
  <c r="I3" i="14"/>
  <c r="I39" i="14"/>
  <c r="I40" i="14"/>
  <c r="I41" i="14"/>
  <c r="I42" i="14"/>
  <c r="I43" i="14"/>
  <c r="I4" i="14"/>
  <c r="I25" i="14"/>
  <c r="I44" i="14"/>
  <c r="I26" i="14"/>
  <c r="I45" i="14"/>
  <c r="I5" i="14"/>
  <c r="I6" i="14"/>
  <c r="I46" i="14"/>
  <c r="I7" i="14"/>
  <c r="I27" i="14"/>
  <c r="I28" i="14"/>
  <c r="I47" i="14"/>
  <c r="I29" i="14"/>
  <c r="I30" i="14"/>
  <c r="I8" i="14"/>
  <c r="I9" i="14"/>
  <c r="I31" i="14"/>
  <c r="I32" i="14"/>
  <c r="I33" i="14"/>
  <c r="I34" i="14"/>
  <c r="I35" i="14"/>
  <c r="I10" i="14"/>
  <c r="I11" i="14"/>
  <c r="I48" i="14"/>
  <c r="I49" i="14"/>
  <c r="I12" i="14"/>
  <c r="I50" i="14"/>
  <c r="I51" i="14"/>
  <c r="I52" i="14"/>
  <c r="I13" i="14"/>
  <c r="I14" i="14"/>
  <c r="I15" i="14"/>
  <c r="I36" i="14"/>
  <c r="I16" i="14"/>
  <c r="D56" i="14"/>
  <c r="G56" i="14"/>
  <c r="H56" i="14"/>
  <c r="J56" i="14"/>
  <c r="K56" i="14"/>
  <c r="L56" i="14"/>
  <c r="M56" i="14"/>
  <c r="N56" i="14"/>
  <c r="O56" i="14"/>
  <c r="P56" i="14"/>
  <c r="Q56" i="14"/>
  <c r="M69" i="14" s="1"/>
  <c r="L69" i="14" s="1"/>
  <c r="H57" i="14"/>
  <c r="H58" i="14"/>
  <c r="E59" i="14"/>
  <c r="E62" i="14" s="1"/>
  <c r="L59" i="14"/>
  <c r="M59" i="14"/>
  <c r="M64" i="14" s="1"/>
  <c r="M60" i="14"/>
  <c r="L60" i="14" s="1"/>
  <c r="C61" i="14"/>
  <c r="E61" i="14"/>
  <c r="L67" i="14"/>
  <c r="M67" i="14"/>
  <c r="M72" i="14" s="1"/>
  <c r="M68" i="14"/>
  <c r="L68" i="14" s="1"/>
  <c r="L75" i="14"/>
  <c r="M75" i="14"/>
  <c r="M80" i="14" s="1"/>
  <c r="M76" i="14"/>
  <c r="L76" i="14" l="1"/>
  <c r="L80" i="14"/>
  <c r="P61" i="14" s="1"/>
  <c r="L64" i="14"/>
  <c r="P59" i="14" s="1"/>
  <c r="I46" i="8"/>
  <c r="C49" i="8"/>
  <c r="C52" i="8" s="1"/>
  <c r="C56" i="8" s="1"/>
  <c r="P53" i="8" s="1"/>
  <c r="I31" i="11"/>
  <c r="C34" i="11"/>
  <c r="C37" i="11" s="1"/>
  <c r="C42" i="11" s="1"/>
  <c r="P37" i="11" s="1"/>
  <c r="P38" i="11" s="1"/>
  <c r="I49" i="12"/>
  <c r="C52" i="12"/>
  <c r="C55" i="12" s="1"/>
  <c r="C59" i="12" s="1"/>
  <c r="P56" i="12" s="1"/>
  <c r="P57" i="12" s="1"/>
  <c r="I56" i="14"/>
  <c r="C62" i="14"/>
  <c r="C66" i="14" s="1"/>
  <c r="P62" i="14" s="1"/>
  <c r="P32" i="2"/>
  <c r="L80" i="7"/>
  <c r="P60" i="7" s="1"/>
  <c r="P62" i="7" s="1"/>
  <c r="L34" i="6"/>
  <c r="P29" i="6" s="1"/>
  <c r="P33" i="6" s="1"/>
  <c r="L62" i="8"/>
  <c r="P50" i="8" s="1"/>
  <c r="L65" i="10"/>
  <c r="P60" i="10" s="1"/>
  <c r="L81" i="10"/>
  <c r="P62" i="10" s="1"/>
  <c r="L49" i="13"/>
  <c r="P44" i="13" s="1"/>
  <c r="P48" i="13" s="1"/>
  <c r="L72" i="14"/>
  <c r="P60" i="14" s="1"/>
  <c r="P54" i="8" l="1"/>
  <c r="P64" i="10"/>
  <c r="P63" i="14"/>
</calcChain>
</file>

<file path=xl/sharedStrings.xml><?xml version="1.0" encoding="utf-8"?>
<sst xmlns="http://schemas.openxmlformats.org/spreadsheetml/2006/main" count="3233" uniqueCount="1029">
  <si>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</si>
  <si>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</si>
  <si>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</si>
  <si>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</si>
  <si>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</si>
  <si>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</si>
  <si>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</si>
  <si>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</si>
  <si>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</si>
  <si>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</si>
  <si>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</si>
  <si>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</si>
  <si>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</si>
  <si>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</si>
  <si>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</si>
  <si>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</si>
  <si>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</si>
  <si>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</si>
  <si>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</si>
  <si>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</si>
  <si>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</si>
  <si>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</si>
  <si>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</si>
  <si>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</si>
  <si>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</si>
  <si>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</si>
  <si>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</si>
  <si>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</si>
  <si>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</si>
  <si>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</si>
  <si>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</si>
  <si>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</si>
  <si>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</si>
  <si>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</si>
  <si>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</si>
  <si>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</si>
  <si>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</si>
  <si>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</si>
  <si>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</si>
  <si>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</si>
  <si>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</si>
  <si>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</si>
  <si>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</si>
  <si>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</si>
  <si>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</si>
  <si>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</si>
  <si>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</si>
  <si>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</si>
  <si>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</si>
  <si>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</si>
  <si>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</si>
  <si>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</si>
  <si>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</si>
  <si>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</si>
  <si>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</si>
  <si>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</si>
  <si>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</si>
  <si>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</si>
  <si>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</si>
  <si>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</si>
  <si>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</si>
  <si>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</si>
  <si>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</si>
  <si>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</si>
  <si>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</si>
  <si>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</si>
  <si>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</si>
  <si>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</si>
  <si>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</si>
  <si>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</si>
  <si>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</si>
  <si>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</si>
  <si>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</si>
  <si>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</si>
  <si>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</si>
  <si>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</si>
  <si>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</si>
  <si>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</si>
  <si>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</si>
  <si>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</si>
  <si>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</si>
  <si>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</si>
  <si>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</si>
  <si>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</si>
  <si>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</si>
  <si>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</si>
  <si>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</si>
  <si>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</si>
  <si>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</si>
  <si>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</si>
  <si>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</si>
  <si>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</si>
  <si>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</si>
  <si>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</si>
  <si>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</si>
  <si>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</si>
  <si>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</si>
  <si>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</si>
  <si>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</si>
  <si>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</si>
  <si>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</si>
  <si>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</si>
  <si>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</si>
  <si>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</si>
  <si>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</si>
  <si>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</si>
  <si>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</si>
  <si>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</si>
  <si>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</si>
  <si>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</si>
  <si>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</si>
  <si>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</si>
  <si>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</si>
  <si>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</si>
  <si>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</si>
  <si>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</si>
  <si>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</si>
  <si>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</si>
  <si>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</si>
  <si>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</si>
  <si>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</si>
  <si>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</si>
  <si>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</si>
  <si>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</si>
  <si>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</si>
  <si>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</si>
  <si>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</si>
  <si>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</si>
  <si>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</si>
  <si>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</si>
  <si>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</si>
  <si>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</si>
  <si>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</si>
  <si>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</si>
  <si>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</si>
  <si>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</si>
  <si>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</si>
  <si>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</si>
  <si>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</si>
  <si>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</si>
  <si>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</si>
  <si>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</si>
  <si>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</si>
  <si>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</si>
  <si>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</si>
  <si>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</si>
  <si>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</si>
  <si>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</si>
  <si>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</si>
  <si>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</si>
  <si>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</si>
  <si>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</si>
  <si>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</si>
  <si>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</si>
  <si>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</si>
  <si>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</si>
  <si>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</si>
  <si>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</si>
  <si>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</si>
  <si>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</si>
  <si>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</si>
  <si>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</si>
  <si>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</si>
  <si>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</si>
  <si>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</si>
  <si>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</si>
  <si>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</si>
  <si>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</si>
  <si>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</si>
  <si>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</si>
  <si>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</si>
  <si>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</si>
  <si>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</si>
  <si>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</si>
  <si>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</si>
  <si>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</si>
  <si>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</si>
  <si>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</si>
  <si>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</si>
  <si>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</si>
  <si>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</si>
  <si>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</si>
  <si>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</si>
  <si>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</si>
  <si>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</si>
  <si>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</si>
  <si>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</si>
  <si>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</si>
  <si>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</si>
  <si>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</si>
  <si>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</si>
  <si>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</si>
  <si>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</si>
  <si>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</si>
  <si>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</si>
  <si>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</si>
  <si>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</si>
  <si>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</si>
  <si>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</si>
  <si>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</si>
  <si>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</si>
  <si>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</si>
  <si>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</si>
  <si>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</si>
  <si>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</si>
  <si>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</si>
  <si>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</si>
  <si>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</si>
  <si>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</si>
  <si>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</si>
  <si>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</si>
  <si>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</si>
  <si>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</si>
  <si>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</si>
  <si>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</si>
  <si>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</si>
  <si>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</si>
  <si>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</si>
  <si>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</si>
  <si>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</si>
  <si>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</si>
  <si>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</si>
  <si>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</si>
  <si>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</si>
  <si>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</si>
  <si>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</si>
  <si>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</si>
  <si>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</si>
  <si>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</si>
  <si>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</si>
  <si>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</si>
  <si>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</si>
  <si>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</si>
  <si>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</si>
  <si>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</si>
  <si>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</si>
  <si>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</si>
  <si>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</si>
  <si>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</si>
  <si>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</si>
  <si>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</si>
  <si>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</si>
  <si>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</si>
  <si>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</si>
  <si>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</si>
  <si>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</si>
  <si>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</si>
  <si>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</si>
  <si>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</si>
  <si>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</si>
  <si>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</si>
  <si>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</si>
  <si>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</si>
  <si>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</si>
  <si>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</si>
  <si>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</si>
  <si>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</si>
  <si>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</si>
  <si>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</si>
  <si>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</si>
  <si>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</si>
  <si>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</si>
  <si>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</si>
  <si>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</si>
  <si>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</si>
  <si>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</si>
  <si>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</si>
  <si>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</si>
  <si>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</si>
  <si>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</si>
  <si>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</si>
  <si>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</si>
  <si>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</si>
  <si>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</si>
  <si>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</si>
  <si>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</si>
  <si>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</si>
  <si>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</si>
  <si>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</si>
  <si>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</si>
  <si>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</si>
  <si>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</si>
  <si>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</si>
  <si>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</si>
  <si>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</si>
  <si>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</si>
  <si>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</si>
  <si>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</si>
  <si>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</si>
  <si>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</si>
  <si>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</si>
  <si>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</si>
  <si>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</si>
  <si>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</si>
  <si>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</si>
  <si>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</si>
  <si>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</si>
  <si>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</si>
  <si>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</si>
  <si>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</si>
  <si>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</si>
  <si>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</si>
  <si>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</si>
  <si>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</si>
  <si>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</si>
  <si>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</si>
  <si>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</si>
  <si>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</si>
  <si>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</si>
  <si>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</si>
  <si>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</si>
  <si>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</si>
  <si>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</si>
  <si>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</si>
  <si>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</si>
  <si>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</si>
  <si>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</si>
  <si>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</si>
  <si>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</si>
  <si>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</si>
  <si>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</si>
  <si>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</si>
  <si>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</si>
  <si>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</si>
  <si>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</si>
  <si>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</si>
  <si>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</si>
  <si>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</si>
  <si>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</si>
  <si>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</si>
  <si>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</si>
  <si>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</si>
  <si>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</si>
  <si>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</si>
  <si>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</si>
  <si>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</si>
  <si>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</si>
  <si>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</si>
  <si>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</si>
  <si>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</si>
  <si>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</si>
  <si>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</si>
  <si>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</si>
  <si>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</si>
  <si>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</si>
  <si>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</si>
  <si>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</si>
  <si>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</si>
  <si>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</si>
  <si>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</si>
  <si>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</si>
  <si>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</si>
  <si>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</si>
  <si>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</si>
  <si>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</si>
  <si>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</si>
  <si>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</si>
  <si>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</si>
  <si>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</si>
  <si>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</si>
  <si>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</si>
  <si>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</si>
  <si>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</si>
  <si>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</si>
  <si>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</si>
  <si>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</si>
  <si>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</si>
  <si>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</si>
  <si>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</si>
  <si>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</si>
  <si>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</si>
  <si>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</si>
  <si>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</si>
  <si>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</si>
  <si>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</si>
  <si>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</si>
  <si>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</si>
  <si>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</si>
  <si>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</si>
  <si>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</si>
  <si>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</si>
  <si>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</si>
  <si>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</si>
  <si>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</si>
  <si>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</si>
  <si>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</si>
  <si>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</si>
  <si>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</si>
  <si>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</si>
  <si>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</si>
  <si>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</si>
  <si>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</si>
  <si>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</si>
  <si>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</si>
  <si>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</si>
  <si>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</si>
  <si>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</si>
  <si>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</si>
  <si>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</si>
  <si>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</si>
  <si>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</si>
  <si>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</si>
  <si>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</si>
  <si>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</si>
  <si>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</si>
  <si>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</si>
  <si>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</si>
  <si>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</si>
  <si>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</si>
  <si>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</si>
  <si>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</si>
  <si>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</si>
  <si>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</si>
  <si>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</si>
  <si>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</si>
  <si>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</si>
  <si>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</si>
  <si>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</si>
  <si>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</si>
  <si>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</si>
  <si>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</si>
  <si>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</si>
  <si>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</si>
  <si>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</si>
  <si>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</si>
  <si>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</si>
  <si>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</si>
  <si>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</si>
  <si>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</si>
  <si>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</si>
  <si>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</si>
  <si>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</si>
  <si>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</si>
  <si>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</si>
  <si>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</si>
  <si>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</si>
  <si>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</si>
  <si>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</si>
  <si>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</si>
  <si>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</si>
  <si>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</si>
  <si>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</si>
  <si>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</si>
  <si>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</si>
  <si>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</si>
  <si>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</si>
  <si>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</si>
  <si>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</si>
  <si>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</si>
  <si>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</si>
  <si>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</si>
  <si>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</si>
  <si>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</si>
  <si>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</si>
  <si>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</si>
  <si>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</si>
  <si>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</si>
  <si>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</si>
  <si>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</si>
  <si>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</si>
  <si>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</si>
  <si>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</si>
  <si>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</si>
  <si>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</si>
  <si>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</si>
  <si>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</si>
  <si>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</si>
  <si>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</si>
  <si>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</si>
  <si>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</si>
  <si>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</si>
  <si>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</si>
  <si>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</si>
  <si>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</si>
  <si>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</si>
  <si>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</si>
  <si>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</si>
  <si>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</si>
  <si>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</si>
  <si>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</si>
  <si>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</si>
  <si>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</si>
  <si>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</si>
  <si>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</si>
  <si>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</si>
  <si>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</si>
  <si>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</si>
  <si>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</si>
  <si>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</si>
  <si>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</si>
  <si>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</si>
  <si>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</si>
  <si>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</si>
  <si>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</si>
  <si>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</si>
  <si>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</si>
  <si>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</si>
  <si>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</si>
  <si>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</si>
  <si>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</si>
  <si>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</si>
  <si>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</si>
  <si>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</si>
  <si>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</si>
  <si>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</si>
  <si>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</si>
  <si>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</si>
  <si>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</si>
  <si>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</si>
  <si>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</si>
  <si>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</si>
  <si>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</si>
  <si>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</si>
  <si>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</si>
  <si>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</si>
  <si>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</si>
  <si>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</si>
  <si>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</si>
  <si>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</si>
  <si>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</si>
  <si>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</si>
  <si>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</si>
  <si>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</si>
  <si>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</si>
  <si>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</si>
  <si>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</si>
  <si>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</si>
  <si>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</si>
  <si>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</si>
  <si>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</si>
  <si>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</si>
  <si>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</si>
  <si>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</si>
  <si>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</si>
  <si>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</si>
  <si>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</si>
  <si>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</si>
  <si>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</si>
  <si>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</si>
  <si>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</si>
  <si>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</si>
  <si>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</si>
  <si>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</si>
  <si>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</si>
  <si>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</si>
  <si>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</si>
  <si>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</si>
  <si>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</si>
  <si>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</si>
  <si>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</si>
  <si>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</si>
  <si>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</si>
  <si>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</si>
  <si>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</si>
  <si>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</si>
  <si>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</si>
  <si>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</si>
  <si>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</si>
  <si>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</si>
  <si>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</si>
  <si>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</si>
  <si>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</si>
  <si>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</si>
  <si>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</si>
  <si>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</si>
  <si>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</si>
  <si>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</si>
  <si>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</si>
  <si>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</si>
  <si>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</si>
  <si>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</si>
  <si>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</si>
  <si>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</si>
  <si>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</si>
  <si>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</si>
  <si>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</si>
  <si>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</si>
  <si>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</si>
  <si>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</si>
  <si>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</si>
  <si>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</si>
  <si>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</si>
  <si>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</si>
  <si>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</si>
  <si>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</si>
  <si>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</si>
  <si>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</si>
  <si>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</si>
  <si>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</si>
  <si>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</si>
  <si>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</si>
  <si>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</si>
  <si>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</si>
  <si>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</si>
  <si>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</si>
  <si>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</si>
  <si>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</si>
  <si>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</si>
  <si>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</si>
  <si>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</si>
  <si>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</si>
  <si>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</si>
  <si>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</si>
  <si>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</si>
  <si>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</si>
  <si>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</si>
  <si>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</si>
  <si>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</si>
  <si>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</si>
  <si>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</si>
  <si>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</si>
  <si>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</si>
  <si>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</si>
  <si>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</si>
  <si>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</si>
  <si>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</si>
  <si>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</si>
  <si>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</si>
  <si>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</si>
  <si>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</si>
  <si>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</si>
  <si>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</si>
  <si>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</si>
  <si>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</si>
  <si>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</si>
  <si>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</si>
  <si>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</si>
  <si>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</si>
  <si>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</si>
  <si>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</si>
  <si>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</si>
  <si>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</si>
  <si>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</si>
  <si>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</si>
  <si>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</si>
  <si>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</si>
  <si>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</si>
  <si>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</si>
  <si>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</si>
  <si>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</si>
  <si>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</si>
  <si>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</si>
  <si>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</si>
  <si>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</si>
  <si>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</si>
  <si>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</si>
  <si>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</si>
  <si>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</si>
  <si>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</si>
  <si>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</si>
  <si>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</si>
  <si>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</si>
  <si>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</si>
  <si>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</si>
  <si>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</si>
  <si>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</si>
  <si>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</si>
  <si>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</si>
  <si>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</si>
  <si>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</si>
  <si>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</si>
  <si>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</si>
  <si>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</si>
  <si>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</si>
  <si>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</si>
  <si>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</si>
  <si>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</si>
  <si>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</si>
  <si>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</si>
  <si>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</si>
  <si>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</si>
  <si>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</si>
  <si>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</si>
  <si>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</si>
  <si>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</si>
  <si>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</si>
  <si>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</si>
  <si>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</si>
  <si>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</si>
  <si>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</si>
  <si>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</si>
  <si>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</si>
  <si>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</si>
  <si>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</si>
  <si>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</si>
  <si>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</si>
  <si>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</si>
  <si>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</si>
  <si>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</si>
  <si>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</si>
  <si>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</si>
  <si>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</si>
  <si>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</si>
  <si>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</si>
  <si>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</si>
  <si>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</si>
  <si>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</si>
  <si>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</si>
  <si>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</si>
  <si>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</si>
  <si>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</si>
  <si>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</si>
  <si>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</si>
  <si>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</si>
  <si>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</si>
  <si>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</si>
  <si>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</si>
  <si>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</si>
  <si>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</si>
  <si>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</si>
  <si>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</si>
  <si>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</si>
  <si>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</si>
  <si>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</si>
  <si>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</si>
  <si>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</si>
  <si>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</si>
  <si>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</si>
  <si>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</si>
  <si>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</si>
  <si>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</si>
  <si>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</si>
  <si>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</si>
  <si>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</si>
  <si>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</si>
  <si>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</si>
  <si>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</si>
  <si>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</si>
  <si>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</si>
  <si>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</si>
  <si>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</si>
  <si>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</si>
  <si>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</si>
  <si>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</si>
  <si>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</si>
  <si>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</si>
  <si>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</si>
  <si>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</si>
  <si>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</si>
  <si>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</si>
  <si>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</si>
  <si>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</si>
  <si>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</si>
  <si>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</si>
  <si>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</si>
  <si>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</si>
  <si>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</si>
  <si>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</si>
  <si>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</si>
  <si>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</si>
  <si>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</si>
  <si>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</si>
  <si>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</si>
  <si>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</si>
  <si>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</si>
  <si>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</si>
  <si>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</si>
  <si>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</si>
  <si>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</si>
  <si>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</si>
  <si>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</si>
  <si>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</si>
  <si>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</si>
  <si>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</si>
  <si>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</si>
  <si>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</si>
  <si>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</si>
  <si>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</si>
  <si>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</si>
  <si>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</si>
  <si>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</si>
  <si>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</si>
  <si>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</si>
  <si>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</si>
  <si>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</si>
  <si>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</si>
  <si>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</si>
  <si>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</si>
  <si>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</si>
  <si>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</si>
  <si>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</si>
  <si>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</si>
  <si>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</si>
  <si>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</si>
  <si>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</si>
  <si>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</si>
  <si>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</si>
  <si>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</si>
  <si>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</si>
  <si>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</si>
  <si>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</si>
  <si>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</si>
  <si>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</si>
  <si>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</si>
  <si>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</si>
  <si>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</si>
  <si>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</si>
  <si>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</si>
  <si>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</si>
  <si>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</si>
  <si>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</si>
  <si>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</si>
  <si>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</si>
  <si>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</si>
  <si>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</si>
  <si>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</si>
  <si>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</si>
  <si>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</si>
  <si>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</si>
  <si>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</si>
  <si>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</si>
  <si>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</si>
  <si>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</si>
  <si>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</si>
  <si>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</si>
  <si>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</si>
  <si>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</si>
  <si>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</si>
  <si>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</si>
  <si>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</si>
  <si>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</si>
  <si>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</si>
  <si>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</si>
  <si>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</si>
  <si>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</si>
  <si>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</si>
  <si>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</si>
  <si>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</si>
  <si>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</si>
  <si>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</si>
  <si>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</si>
  <si>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</si>
  <si>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</si>
  <si>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</si>
  <si>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</si>
  <si>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</si>
  <si>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</si>
  <si>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</si>
  <si>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</si>
  <si>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</si>
  <si>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</si>
  <si>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</si>
  <si>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</si>
  <si>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</si>
  <si>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</si>
  <si>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</si>
  <si>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</si>
  <si>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</si>
  <si>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</si>
  <si>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</si>
  <si>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</si>
  <si>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</si>
  <si>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</si>
  <si>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</si>
  <si>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</si>
  <si>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</si>
  <si>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</si>
  <si>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</si>
  <si>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</si>
  <si>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</si>
  <si>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</si>
  <si>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</si>
  <si>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</si>
  <si>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</si>
  <si>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</si>
  <si>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</si>
  <si>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</si>
  <si>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</si>
  <si>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</si>
  <si>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</si>
  <si>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</si>
  <si>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</si>
  <si>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</si>
  <si>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</si>
  <si>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</si>
  <si>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</si>
  <si>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</si>
  <si>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</si>
  <si>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</si>
  <si>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</si>
  <si>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</si>
  <si>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</si>
  <si>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</si>
  <si>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</si>
  <si>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</si>
  <si>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</si>
  <si>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</si>
  <si>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</si>
  <si>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</si>
  <si>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</si>
  <si>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</si>
  <si>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</si>
  <si>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</si>
  <si>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</si>
  <si>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</si>
  <si>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</si>
  <si>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</si>
  <si>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</si>
  <si>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</si>
  <si>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</si>
  <si>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</si>
  <si>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</si>
  <si>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</si>
  <si>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</si>
  <si>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</si>
  <si>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</si>
  <si>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</si>
  <si>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</si>
  <si>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</si>
  <si>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</si>
  <si>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</si>
  <si>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</si>
  <si>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</si>
  <si>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</si>
  <si>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</si>
  <si>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</si>
  <si>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</si>
  <si>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</si>
  <si>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</si>
  <si>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</si>
  <si>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</si>
  <si>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</si>
  <si>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</si>
  <si>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</si>
  <si>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</si>
  <si>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</si>
  <si>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</si>
  <si>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</si>
  <si>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</si>
  <si>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</si>
  <si>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</si>
  <si>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</si>
  <si>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</si>
  <si>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</si>
  <si>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</si>
  <si>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</si>
  <si>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</si>
  <si>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</si>
  <si>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</si>
  <si>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</si>
  <si>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</si>
  <si>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</si>
  <si>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</si>
  <si>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</si>
  <si>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</si>
  <si>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</si>
  <si>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</si>
  <si>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</si>
  <si>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</si>
  <si>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</si>
  <si>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</si>
  <si>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</si>
  <si>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</si>
  <si>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</si>
  <si>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</si>
  <si>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</si>
  <si>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</si>
  <si>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</si>
  <si>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</si>
  <si>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</si>
  <si>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</si>
  <si>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</si>
  <si>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</si>
  <si>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</si>
  <si>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</si>
  <si>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</si>
  <si>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</si>
  <si>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</si>
  <si>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</si>
  <si>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</si>
  <si>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</si>
  <si>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</si>
  <si>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</si>
  <si>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</si>
  <si>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</si>
  <si>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</si>
  <si>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</si>
  <si>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</si>
  <si>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</si>
  <si>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</si>
  <si>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</si>
  <si>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</si>
  <si>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</si>
  <si>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</si>
  <si>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</si>
  <si>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</si>
  <si>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</si>
  <si>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</si>
  <si>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</si>
  <si>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</si>
  <si>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</si>
  <si>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</si>
  <si>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</si>
  <si>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</si>
  <si>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</si>
  <si>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</si>
  <si>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</si>
  <si>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</si>
  <si>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</si>
  <si>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</si>
  <si>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</si>
  <si>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</si>
  <si>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</si>
  <si>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</si>
  <si>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</si>
  <si>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</si>
  <si>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</si>
  <si>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</si>
  <si>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</si>
  <si>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</si>
  <si>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</si>
  <si>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</si>
  <si>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</si>
  <si>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</si>
  <si>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</si>
  <si>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</si>
  <si>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</si>
  <si>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</si>
  <si>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</si>
  <si>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</si>
  <si>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</si>
  <si>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</si>
  <si>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at 10-04</t>
  </si>
  <si>
    <t>kh ck shop 465k</t>
  </si>
  <si>
    <t>kh ck shop 785k</t>
  </si>
  <si>
    <t>kh ck shop 1865k</t>
  </si>
  <si>
    <t>socheatahun</t>
  </si>
  <si>
    <t>100A Thich Quang Duc Street, Ward 5</t>
  </si>
  <si>
    <t>đơn lấy hàng về cho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</si>
</sst>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Border="0"/>
  </cellStyleXfs>
  <cellXfs count="33">
    <xf numFmtId="0" fontId="0" fillId="0" borderId="0" xfId="0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0" borderId="0" xfId="0" applyFont="1"/>
    <xf numFmtId="0" fontId="1" fillId="7" borderId="0" xfId="0" applyFont="1" applyFill="1"/>
    <xf numFmtId="3" fontId="2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0" fontId="3" fillId="0" borderId="0" xfId="0" applyFont="1" applyAlignment="1">
      <alignment wrapText="1"/>
    </xf>
    <xf numFmtId="0" fontId="1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0" fontId="2" fillId="7" borderId="0" xfId="0" applyFont="1" applyFill="1"/>
    <xf numFmtId="0" fontId="2" fillId="7" borderId="1" xfId="0" applyFont="1" applyFill="1" applyBorder="1"/>
    <xf numFmtId="3" fontId="2" fillId="7" borderId="1" xfId="0" applyNumberFormat="1" applyFont="1" applyFill="1" applyBorder="1"/>
    <xf numFmtId="0" fontId="2" fillId="8" borderId="1" xfId="0" applyFont="1" applyFill="1" applyBorder="1"/>
    <xf numFmtId="3" fontId="2" fillId="7" borderId="0" xfId="0" applyNumberFormat="1" applyFont="1" applyFill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9" workbookViewId="0">
      <selection activeCell="P37" sqref="P37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t="s">
        <v>20</v>
      </c>
      <c r="G3" s="6">
        <v>0</v>
      </c>
      <c r="H3" s="6">
        <v>30</v>
      </c>
      <c r="I3" s="6">
        <f>-H3</f>
        <v>-30</v>
      </c>
      <c r="J3" t="s">
        <v>21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24</v>
      </c>
      <c r="D4" t="s">
        <v>25</v>
      </c>
      <c r="E4" t="s">
        <v>26</v>
      </c>
      <c r="F4" s="6">
        <v>7</v>
      </c>
      <c r="G4" s="6">
        <v>850</v>
      </c>
      <c r="H4" s="6">
        <v>30</v>
      </c>
      <c r="I4" s="6">
        <f>G4-H4</f>
        <v>820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27</v>
      </c>
      <c r="D5" t="s">
        <v>28</v>
      </c>
      <c r="E5" t="s">
        <v>29</v>
      </c>
      <c r="F5" s="6">
        <v>3</v>
      </c>
      <c r="G5" s="6">
        <v>695</v>
      </c>
      <c r="H5" s="6">
        <v>25</v>
      </c>
      <c r="I5" s="6">
        <f>G5-H5</f>
        <v>670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30</v>
      </c>
      <c r="D6" t="s">
        <v>31</v>
      </c>
      <c r="E6" t="s">
        <v>32</v>
      </c>
      <c r="F6" s="6">
        <v>7</v>
      </c>
      <c r="G6" s="6">
        <v>740</v>
      </c>
      <c r="H6" s="6">
        <v>30</v>
      </c>
      <c r="I6" s="6">
        <f>G6-H6</f>
        <v>710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33</v>
      </c>
      <c r="D7" t="s">
        <v>34</v>
      </c>
      <c r="E7" t="s">
        <v>35</v>
      </c>
      <c r="F7" t="s">
        <v>36</v>
      </c>
      <c r="G7" s="6">
        <v>0</v>
      </c>
      <c r="H7" s="6">
        <v>20</v>
      </c>
      <c r="I7" s="6">
        <f>-H7</f>
        <v>-20</v>
      </c>
      <c r="J7" t="s">
        <v>22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s="6">
        <v>9</v>
      </c>
      <c r="G8" s="6">
        <v>780</v>
      </c>
      <c r="H8" s="6">
        <v>30</v>
      </c>
      <c r="I8" s="6">
        <f>G8-H8</f>
        <v>750</v>
      </c>
      <c r="J8" t="s">
        <v>40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41</v>
      </c>
      <c r="D9" t="s">
        <v>42</v>
      </c>
      <c r="E9" t="s">
        <v>43</v>
      </c>
      <c r="F9" t="s">
        <v>44</v>
      </c>
      <c r="G9" s="6">
        <v>615</v>
      </c>
      <c r="H9" s="6">
        <v>25</v>
      </c>
      <c r="I9" s="6">
        <f>G9-H9</f>
        <v>590</v>
      </c>
      <c r="J9" t="s">
        <v>22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45</v>
      </c>
      <c r="D10" t="s">
        <v>46</v>
      </c>
      <c r="E10" t="s">
        <v>47</v>
      </c>
      <c r="F10" t="s">
        <v>20</v>
      </c>
      <c r="G10" s="6">
        <v>610</v>
      </c>
      <c r="H10" s="6">
        <v>30</v>
      </c>
      <c r="I10" s="6">
        <f>G10-H10</f>
        <v>580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48</v>
      </c>
      <c r="D11" t="s">
        <v>49</v>
      </c>
      <c r="E11" t="s">
        <v>50</v>
      </c>
      <c r="F11" s="6">
        <v>8</v>
      </c>
      <c r="G11" s="6">
        <v>0</v>
      </c>
      <c r="H11" s="6">
        <v>25</v>
      </c>
      <c r="I11" s="6">
        <f>-H11</f>
        <v>-25</v>
      </c>
      <c r="J11" t="s">
        <v>21</v>
      </c>
      <c r="K11" t="s">
        <v>22</v>
      </c>
      <c r="L11" t="s">
        <v>23</v>
      </c>
      <c r="Q11">
        <v>1</v>
      </c>
    </row>
    <row r="12" spans="1:17" x14ac:dyDescent="0.25">
      <c r="B12" t="s">
        <v>16</v>
      </c>
      <c r="C12" t="s">
        <v>51</v>
      </c>
      <c r="D12" t="s">
        <v>52</v>
      </c>
      <c r="E12" t="s">
        <v>53</v>
      </c>
      <c r="F12" s="6">
        <v>1</v>
      </c>
      <c r="G12" s="6">
        <v>845</v>
      </c>
      <c r="H12" s="6">
        <v>25</v>
      </c>
      <c r="I12" s="6">
        <f t="shared" ref="I12:I21" si="0">G12-H12</f>
        <v>820</v>
      </c>
      <c r="J12" t="s">
        <v>22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54</v>
      </c>
      <c r="D13" t="s">
        <v>55</v>
      </c>
      <c r="E13" t="s">
        <v>56</v>
      </c>
      <c r="F13" s="6">
        <v>12</v>
      </c>
      <c r="G13" s="6">
        <v>750</v>
      </c>
      <c r="H13" s="6">
        <v>30</v>
      </c>
      <c r="I13" s="6">
        <f t="shared" si="0"/>
        <v>720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57</v>
      </c>
      <c r="D14" t="s">
        <v>58</v>
      </c>
      <c r="E14" t="s">
        <v>59</v>
      </c>
      <c r="F14" t="s">
        <v>36</v>
      </c>
      <c r="G14" s="6">
        <v>1630</v>
      </c>
      <c r="H14" s="6">
        <v>20</v>
      </c>
      <c r="I14" s="6">
        <f t="shared" si="0"/>
        <v>1610</v>
      </c>
      <c r="J14" t="s">
        <v>22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60</v>
      </c>
      <c r="D15" t="s">
        <v>61</v>
      </c>
      <c r="E15" t="s">
        <v>62</v>
      </c>
      <c r="F15" s="6">
        <v>3</v>
      </c>
      <c r="G15" s="6">
        <v>405</v>
      </c>
      <c r="H15" s="6">
        <v>25</v>
      </c>
      <c r="I15" s="6">
        <f t="shared" si="0"/>
        <v>380</v>
      </c>
      <c r="J15" t="s">
        <v>22</v>
      </c>
      <c r="K15" t="s">
        <v>22</v>
      </c>
      <c r="L15" t="s">
        <v>23</v>
      </c>
      <c r="Q15">
        <v>1</v>
      </c>
    </row>
    <row r="16" spans="1:17" x14ac:dyDescent="0.25">
      <c r="B16" t="s">
        <v>16</v>
      </c>
      <c r="C16" t="s">
        <v>63</v>
      </c>
      <c r="D16" t="s">
        <v>64</v>
      </c>
      <c r="E16" t="s">
        <v>65</v>
      </c>
      <c r="F16" s="6">
        <v>7</v>
      </c>
      <c r="G16" s="6">
        <v>30</v>
      </c>
      <c r="H16" s="6">
        <v>30</v>
      </c>
      <c r="I16" s="6">
        <f t="shared" si="0"/>
        <v>0</v>
      </c>
      <c r="J16" t="s">
        <v>21</v>
      </c>
      <c r="K16" t="s">
        <v>22</v>
      </c>
      <c r="L16" t="s">
        <v>23</v>
      </c>
      <c r="M16" t="s">
        <v>66</v>
      </c>
      <c r="Q16">
        <v>1</v>
      </c>
    </row>
    <row r="17" spans="1:17" x14ac:dyDescent="0.25">
      <c r="B17" t="s">
        <v>16</v>
      </c>
      <c r="C17" t="s">
        <v>67</v>
      </c>
      <c r="D17" t="s">
        <v>68</v>
      </c>
      <c r="E17" t="s">
        <v>69</v>
      </c>
      <c r="F17" s="6">
        <v>7</v>
      </c>
      <c r="G17" s="6">
        <v>1640</v>
      </c>
      <c r="H17" s="6">
        <v>30</v>
      </c>
      <c r="I17" s="6">
        <f t="shared" si="0"/>
        <v>1610</v>
      </c>
      <c r="J17" t="s">
        <v>21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70</v>
      </c>
      <c r="D18" t="s">
        <v>71</v>
      </c>
      <c r="E18" t="s">
        <v>72</v>
      </c>
      <c r="F18" s="6">
        <v>12</v>
      </c>
      <c r="G18" s="6">
        <v>590</v>
      </c>
      <c r="H18" s="6">
        <v>30</v>
      </c>
      <c r="I18" s="6">
        <f t="shared" si="0"/>
        <v>560</v>
      </c>
      <c r="J18" t="s">
        <v>21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7</v>
      </c>
      <c r="G19" s="6">
        <v>850</v>
      </c>
      <c r="H19" s="6">
        <v>30</v>
      </c>
      <c r="I19" s="6">
        <f t="shared" si="0"/>
        <v>820</v>
      </c>
      <c r="J19" t="s">
        <v>21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79</v>
      </c>
      <c r="G20" s="6">
        <v>20</v>
      </c>
      <c r="H20" s="6">
        <v>20</v>
      </c>
      <c r="I20" s="6">
        <f t="shared" si="0"/>
        <v>0</v>
      </c>
      <c r="J20" t="s">
        <v>22</v>
      </c>
      <c r="K20" t="s">
        <v>22</v>
      </c>
      <c r="L20" t="s">
        <v>23</v>
      </c>
      <c r="M20" t="s">
        <v>66</v>
      </c>
      <c r="Q20">
        <v>1</v>
      </c>
    </row>
    <row r="21" spans="1:17" x14ac:dyDescent="0.25">
      <c r="B21" t="s">
        <v>16</v>
      </c>
      <c r="C21" t="s">
        <v>80</v>
      </c>
      <c r="D21" t="s">
        <v>81</v>
      </c>
      <c r="E21" t="s">
        <v>82</v>
      </c>
      <c r="F21" t="s">
        <v>20</v>
      </c>
      <c r="G21" s="6">
        <v>820</v>
      </c>
      <c r="H21" s="6">
        <v>30</v>
      </c>
      <c r="I21" s="6">
        <f t="shared" si="0"/>
        <v>790</v>
      </c>
      <c r="J21" t="s">
        <v>21</v>
      </c>
      <c r="K21" t="s">
        <v>22</v>
      </c>
      <c r="L21" t="s">
        <v>23</v>
      </c>
      <c r="Q21">
        <v>1</v>
      </c>
    </row>
    <row r="22" spans="1:17" x14ac:dyDescent="0.25">
      <c r="A22" t="s">
        <v>83</v>
      </c>
      <c r="B22" t="s">
        <v>16</v>
      </c>
      <c r="C22" t="s">
        <v>84</v>
      </c>
      <c r="E22" t="s">
        <v>85</v>
      </c>
      <c r="F22" t="s">
        <v>86</v>
      </c>
      <c r="G22" s="6">
        <v>0</v>
      </c>
      <c r="H22" s="6">
        <v>30</v>
      </c>
      <c r="I22" s="6">
        <f>-H22</f>
        <v>-30</v>
      </c>
      <c r="J22" t="s">
        <v>22</v>
      </c>
      <c r="K22" t="s">
        <v>22</v>
      </c>
      <c r="L22" t="s">
        <v>23</v>
      </c>
      <c r="Q22">
        <v>1</v>
      </c>
    </row>
    <row r="23" spans="1:17" x14ac:dyDescent="0.25">
      <c r="A23" t="s">
        <v>83</v>
      </c>
      <c r="B23" t="s">
        <v>16</v>
      </c>
      <c r="C23" t="s">
        <v>87</v>
      </c>
      <c r="E23" t="s">
        <v>88</v>
      </c>
      <c r="F23" s="6">
        <v>6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22</v>
      </c>
      <c r="L23" t="s">
        <v>23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29" t="s">
        <v>89</v>
      </c>
      <c r="D27" s="29"/>
      <c r="E27" s="4" t="s">
        <v>90</v>
      </c>
      <c r="H27">
        <f>-5*25</f>
        <v>-125</v>
      </c>
      <c r="K27" s="7" t="s">
        <v>21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23</v>
      </c>
      <c r="B28" s="3" t="s">
        <v>93</v>
      </c>
      <c r="C28" s="30">
        <f>SUMIFS(I$3:I$23,B$3:B$23,A$27,L$3:L$23,A$28)</f>
        <v>11295</v>
      </c>
      <c r="D28" s="30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31">
        <v>0</v>
      </c>
      <c r="D29" s="31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2" t="s">
        <v>99</v>
      </c>
      <c r="C30" s="31">
        <f>-SUMIFS(I$3:I$23,B$3:B$23,A$27,P$3:P$23,"xx",N$3:N$23,"x")</f>
        <v>0</v>
      </c>
      <c r="D30" s="31"/>
      <c r="E30" s="2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4" t="s">
        <v>101</v>
      </c>
      <c r="C31" s="29">
        <f>SUBTOTAL(9,C28:C30)</f>
        <v>11295</v>
      </c>
      <c r="D31" s="29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27"/>
      <c r="D32" s="27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27"/>
      <c r="D33" s="27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28">
        <f>C31+C32+C33</f>
        <v>11295</v>
      </c>
      <c r="D35" s="28"/>
      <c r="E35" s="1" t="s">
        <v>109</v>
      </c>
      <c r="K35" s="7" t="s">
        <v>22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40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/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8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22</v>
      </c>
      <c r="L3" t="s">
        <v>115</v>
      </c>
      <c r="M3" t="s">
        <v>66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20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22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22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22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22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22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20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22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36</v>
      </c>
      <c r="G10" s="6">
        <v>0</v>
      </c>
      <c r="H10" s="6">
        <v>20</v>
      </c>
      <c r="I10" s="6">
        <f t="shared" si="0"/>
        <v>-20</v>
      </c>
      <c r="J10" t="s">
        <v>22</v>
      </c>
      <c r="K10" t="s">
        <v>22</v>
      </c>
      <c r="L10" t="s">
        <v>115</v>
      </c>
      <c r="Q10">
        <v>1</v>
      </c>
    </row>
    <row r="11" spans="1:17" x14ac:dyDescent="0.25">
      <c r="A11" t="s">
        <v>83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22</v>
      </c>
      <c r="K11" t="s">
        <v>22</v>
      </c>
      <c r="L11" t="s">
        <v>115</v>
      </c>
      <c r="Q11">
        <v>1</v>
      </c>
    </row>
    <row r="12" spans="1:17" x14ac:dyDescent="0.25">
      <c r="A12" t="s">
        <v>83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22</v>
      </c>
      <c r="K12" t="s">
        <v>22</v>
      </c>
      <c r="L12" t="s">
        <v>115</v>
      </c>
      <c r="Q12">
        <v>1</v>
      </c>
    </row>
    <row r="13" spans="1:17" x14ac:dyDescent="0.25">
      <c r="A13" t="s">
        <v>83</v>
      </c>
      <c r="B13" t="s">
        <v>16</v>
      </c>
      <c r="C13" t="s">
        <v>143</v>
      </c>
      <c r="E13" t="s">
        <v>144</v>
      </c>
      <c r="F13" t="s">
        <v>44</v>
      </c>
      <c r="G13" s="6">
        <v>30</v>
      </c>
      <c r="H13" s="6">
        <v>30</v>
      </c>
      <c r="I13" s="6">
        <f t="shared" si="0"/>
        <v>0</v>
      </c>
      <c r="J13" t="s">
        <v>22</v>
      </c>
      <c r="K13" t="s">
        <v>22</v>
      </c>
      <c r="L13" t="s">
        <v>115</v>
      </c>
      <c r="Q13">
        <v>1</v>
      </c>
    </row>
    <row r="14" spans="1:17" x14ac:dyDescent="0.25">
      <c r="A14" t="s">
        <v>83</v>
      </c>
      <c r="B14" t="s">
        <v>16</v>
      </c>
      <c r="C14" t="s">
        <v>145</v>
      </c>
      <c r="E14" t="s">
        <v>146</v>
      </c>
      <c r="F14" t="s">
        <v>86</v>
      </c>
      <c r="G14" s="6">
        <v>530</v>
      </c>
      <c r="H14" s="6">
        <v>30</v>
      </c>
      <c r="I14" s="6">
        <f t="shared" si="0"/>
        <v>500</v>
      </c>
      <c r="J14" t="s">
        <v>22</v>
      </c>
      <c r="K14" t="s">
        <v>22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36</v>
      </c>
      <c r="G15" s="6">
        <v>740</v>
      </c>
      <c r="H15" s="6">
        <v>20</v>
      </c>
      <c r="I15" s="6">
        <f t="shared" si="0"/>
        <v>720</v>
      </c>
      <c r="J15" t="s">
        <v>22</v>
      </c>
      <c r="K15" t="s">
        <v>22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22</v>
      </c>
      <c r="K16" t="s">
        <v>22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36</v>
      </c>
      <c r="G17" s="6">
        <v>510</v>
      </c>
      <c r="H17" s="6">
        <v>20</v>
      </c>
      <c r="I17" s="6">
        <f t="shared" si="0"/>
        <v>490</v>
      </c>
      <c r="J17" t="s">
        <v>22</v>
      </c>
      <c r="K17" t="s">
        <v>22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44</v>
      </c>
      <c r="G18" s="6">
        <v>745</v>
      </c>
      <c r="H18" s="6">
        <v>25</v>
      </c>
      <c r="I18" s="6">
        <f t="shared" si="0"/>
        <v>720</v>
      </c>
      <c r="J18" t="s">
        <v>22</v>
      </c>
      <c r="K18" t="s">
        <v>22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36</v>
      </c>
      <c r="G19" s="6">
        <v>0</v>
      </c>
      <c r="H19" s="6">
        <v>20</v>
      </c>
      <c r="I19" s="6">
        <f t="shared" si="0"/>
        <v>-20</v>
      </c>
      <c r="J19" t="s">
        <v>22</v>
      </c>
      <c r="K19" t="s">
        <v>22</v>
      </c>
      <c r="L19" t="s">
        <v>115</v>
      </c>
      <c r="Q19">
        <v>1</v>
      </c>
    </row>
    <row r="20" spans="1:17" x14ac:dyDescent="0.25">
      <c r="A20" t="s">
        <v>83</v>
      </c>
      <c r="B20" t="s">
        <v>16</v>
      </c>
      <c r="C20" t="s">
        <v>163</v>
      </c>
      <c r="E20" t="s">
        <v>164</v>
      </c>
      <c r="F20" t="s">
        <v>86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22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22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22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22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22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29" t="s">
        <v>89</v>
      </c>
      <c r="D28" s="29"/>
      <c r="E28" s="4" t="s">
        <v>90</v>
      </c>
      <c r="H28">
        <f>-2*25</f>
        <v>-50</v>
      </c>
      <c r="K28" s="7" t="s">
        <v>22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30">
        <f>SUMIFS(I$3:I$24,B$3:B$24,A$28,L$3:L$24,A$29)</f>
        <v>7205</v>
      </c>
      <c r="D29" s="30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22</v>
      </c>
      <c r="P29">
        <f>L34</f>
        <v>2296</v>
      </c>
    </row>
    <row r="30" spans="1:17" x14ac:dyDescent="0.25">
      <c r="B30" s="2" t="s">
        <v>97</v>
      </c>
      <c r="C30" s="31">
        <v>0</v>
      </c>
      <c r="D30" s="31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31">
        <f>-SUMIFS(I$3:I$24,B$3:B$24,A$28,P$3:P$24,"xx",N$3:N$24,"x")</f>
        <v>0</v>
      </c>
      <c r="D31" s="31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29">
        <f>SUBTOTAL(9,C29:C31)</f>
        <v>7205</v>
      </c>
      <c r="D32" s="29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27"/>
      <c r="D33" s="27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27"/>
      <c r="D34" s="27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28">
        <f>C32+C33+C34</f>
        <v>7205</v>
      </c>
      <c r="D36" s="28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workbookViewId="0">
      <selection activeCell="M19" sqref="M19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40</v>
      </c>
      <c r="K3" t="s">
        <v>22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40</v>
      </c>
      <c r="K4" t="s">
        <v>22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40</v>
      </c>
      <c r="K5" t="s">
        <v>22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40</v>
      </c>
      <c r="K6" t="s">
        <v>22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22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22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22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86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22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22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22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22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22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22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22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22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22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22</v>
      </c>
      <c r="L19" t="s">
        <v>182</v>
      </c>
      <c r="M19" t="s">
        <v>66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22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22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22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22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22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22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20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22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22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22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22</v>
      </c>
      <c r="L29" t="s">
        <v>182</v>
      </c>
      <c r="Q29">
        <v>1</v>
      </c>
    </row>
    <row r="30" spans="1:17" x14ac:dyDescent="0.25">
      <c r="A30" t="s">
        <v>83</v>
      </c>
      <c r="B30" t="s">
        <v>16</v>
      </c>
      <c r="C30" t="s">
        <v>87</v>
      </c>
      <c r="E30" t="s">
        <v>88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22</v>
      </c>
      <c r="L30" t="s">
        <v>182</v>
      </c>
      <c r="Q30">
        <v>1</v>
      </c>
    </row>
    <row r="31" spans="1:17" x14ac:dyDescent="0.25">
      <c r="A31" t="s">
        <v>83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22</v>
      </c>
      <c r="L31" t="s">
        <v>182</v>
      </c>
      <c r="Q31">
        <v>1</v>
      </c>
    </row>
    <row r="32" spans="1:17" x14ac:dyDescent="0.25">
      <c r="A32" t="s">
        <v>83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22</v>
      </c>
      <c r="L32" t="s">
        <v>182</v>
      </c>
      <c r="Q32">
        <v>1</v>
      </c>
    </row>
    <row r="33" spans="1:17" x14ac:dyDescent="0.25">
      <c r="A33" t="s">
        <v>83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22</v>
      </c>
      <c r="L33" t="s">
        <v>182</v>
      </c>
      <c r="M33" t="s">
        <v>66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79</v>
      </c>
      <c r="G34" s="6">
        <v>680</v>
      </c>
      <c r="H34" s="6">
        <v>20</v>
      </c>
      <c r="I34" s="6">
        <f>G34-H34</f>
        <v>660</v>
      </c>
      <c r="J34" t="s">
        <v>22</v>
      </c>
      <c r="K34" t="s">
        <v>22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86</v>
      </c>
      <c r="G35" s="6">
        <v>685</v>
      </c>
      <c r="H35" s="6">
        <v>25</v>
      </c>
      <c r="I35" s="6">
        <f>G35-H35</f>
        <v>660</v>
      </c>
      <c r="J35" t="s">
        <v>22</v>
      </c>
      <c r="K35" t="s">
        <v>22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22</v>
      </c>
      <c r="K36" t="s">
        <v>22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44</v>
      </c>
      <c r="G37" s="6">
        <v>0</v>
      </c>
      <c r="H37" s="6">
        <v>25</v>
      </c>
      <c r="I37" s="6">
        <f>-H37</f>
        <v>-25</v>
      </c>
      <c r="J37" t="s">
        <v>22</v>
      </c>
      <c r="K37" t="s">
        <v>22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79</v>
      </c>
      <c r="G38" s="6">
        <v>0</v>
      </c>
      <c r="H38" s="6">
        <v>20</v>
      </c>
      <c r="I38" s="6">
        <f>-H38</f>
        <v>-20</v>
      </c>
      <c r="J38" t="s">
        <v>22</v>
      </c>
      <c r="K38" t="s">
        <v>22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22</v>
      </c>
      <c r="K39" t="s">
        <v>22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22</v>
      </c>
      <c r="K40" t="s">
        <v>22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36</v>
      </c>
      <c r="G41" s="6">
        <v>0</v>
      </c>
      <c r="H41" s="6">
        <v>20</v>
      </c>
      <c r="I41" s="6">
        <f>-H41</f>
        <v>-20</v>
      </c>
      <c r="J41" t="s">
        <v>22</v>
      </c>
      <c r="K41" t="s">
        <v>22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22</v>
      </c>
      <c r="K42" t="s">
        <v>22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22</v>
      </c>
      <c r="K43" t="s">
        <v>22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36</v>
      </c>
      <c r="G44" s="6">
        <v>770</v>
      </c>
      <c r="H44" s="6">
        <v>20</v>
      </c>
      <c r="I44" s="6">
        <f t="shared" si="1"/>
        <v>750</v>
      </c>
      <c r="J44" t="s">
        <v>22</v>
      </c>
      <c r="K44" t="s">
        <v>22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36</v>
      </c>
      <c r="G45" s="6">
        <v>680</v>
      </c>
      <c r="H45" s="6">
        <v>20</v>
      </c>
      <c r="I45" s="6">
        <f t="shared" si="1"/>
        <v>660</v>
      </c>
      <c r="J45" t="s">
        <v>22</v>
      </c>
      <c r="K45" t="s">
        <v>22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22</v>
      </c>
      <c r="K46" t="s">
        <v>22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36</v>
      </c>
      <c r="G47" s="6">
        <v>680</v>
      </c>
      <c r="H47" s="6">
        <v>20</v>
      </c>
      <c r="I47" s="6">
        <f t="shared" si="1"/>
        <v>660</v>
      </c>
      <c r="J47" t="s">
        <v>22</v>
      </c>
      <c r="K47" t="s">
        <v>22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44</v>
      </c>
      <c r="G48" s="6">
        <v>685</v>
      </c>
      <c r="H48" s="6">
        <v>25</v>
      </c>
      <c r="I48" s="6">
        <f t="shared" si="1"/>
        <v>660</v>
      </c>
      <c r="J48" t="s">
        <v>22</v>
      </c>
      <c r="K48" t="s">
        <v>22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86</v>
      </c>
      <c r="G49" s="6">
        <v>820</v>
      </c>
      <c r="H49" s="6">
        <v>0</v>
      </c>
      <c r="I49" s="6">
        <f t="shared" si="1"/>
        <v>820</v>
      </c>
      <c r="J49" t="s">
        <v>22</v>
      </c>
      <c r="K49" t="s">
        <v>22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86</v>
      </c>
      <c r="G50" s="6">
        <v>1585</v>
      </c>
      <c r="H50" s="6">
        <v>25</v>
      </c>
      <c r="I50" s="6">
        <f t="shared" si="1"/>
        <v>1560</v>
      </c>
      <c r="J50" t="s">
        <v>22</v>
      </c>
      <c r="K50" t="s">
        <v>22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44</v>
      </c>
      <c r="G51" s="6">
        <v>1050</v>
      </c>
      <c r="H51" s="6">
        <v>0</v>
      </c>
      <c r="I51" s="6">
        <f t="shared" si="1"/>
        <v>1050</v>
      </c>
      <c r="J51" t="s">
        <v>22</v>
      </c>
      <c r="K51" t="s">
        <v>22</v>
      </c>
      <c r="L51" t="s">
        <v>182</v>
      </c>
      <c r="M51" t="s">
        <v>312</v>
      </c>
      <c r="Q51">
        <v>1</v>
      </c>
    </row>
    <row r="52" spans="1:17" x14ac:dyDescent="0.25">
      <c r="A52" t="s">
        <v>83</v>
      </c>
      <c r="B52" t="s">
        <v>16</v>
      </c>
      <c r="C52" t="s">
        <v>318</v>
      </c>
      <c r="E52" t="s">
        <v>319</v>
      </c>
      <c r="F52" t="s">
        <v>44</v>
      </c>
      <c r="G52" s="6">
        <v>30</v>
      </c>
      <c r="H52" s="6">
        <v>30</v>
      </c>
      <c r="I52" s="6">
        <f t="shared" si="1"/>
        <v>0</v>
      </c>
      <c r="J52" t="s">
        <v>22</v>
      </c>
      <c r="K52" t="s">
        <v>22</v>
      </c>
      <c r="L52" t="s">
        <v>182</v>
      </c>
      <c r="Q5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6">
        <v>30</v>
      </c>
      <c r="H53" s="6">
        <v>30</v>
      </c>
      <c r="I53" s="6">
        <f t="shared" si="1"/>
        <v>0</v>
      </c>
      <c r="J53" t="s">
        <v>22</v>
      </c>
      <c r="K53" t="s">
        <v>22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29" t="s">
        <v>89</v>
      </c>
      <c r="D57" s="29"/>
      <c r="E57" s="4" t="s">
        <v>90</v>
      </c>
      <c r="H57">
        <f>-5*25</f>
        <v>-125</v>
      </c>
      <c r="K57" s="7" t="s">
        <v>22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30">
        <f>SUMIFS(I$3:I$53,B$3:B$53,A$57,L$3:L$53,A$58)</f>
        <v>29790</v>
      </c>
      <c r="D58" s="30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22</v>
      </c>
      <c r="P58">
        <f>L64</f>
        <v>12637</v>
      </c>
    </row>
    <row r="59" spans="1:17" x14ac:dyDescent="0.25">
      <c r="B59" s="2" t="s">
        <v>97</v>
      </c>
      <c r="C59" s="31">
        <v>0</v>
      </c>
      <c r="D59" s="31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31">
        <f>-SUMIFS(I$3:I$53,B$3:B$53,A$57,P$3:P$53,"xx",N$3:N$53,"x")</f>
        <v>0</v>
      </c>
      <c r="D60" s="31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40</v>
      </c>
      <c r="P60">
        <f>L80</f>
        <v>1540</v>
      </c>
    </row>
    <row r="61" spans="1:17" x14ac:dyDescent="0.25">
      <c r="B61" s="4" t="s">
        <v>101</v>
      </c>
      <c r="C61" s="29">
        <f>SUBTOTAL(9,C58:C60)</f>
        <v>29790</v>
      </c>
      <c r="D61" s="29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27"/>
      <c r="D62" s="27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27"/>
      <c r="D63" s="27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28">
        <f>C61+C62+C63</f>
        <v>29790</v>
      </c>
      <c r="D65" s="28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40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A22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40</v>
      </c>
      <c r="K3" t="s">
        <v>22</v>
      </c>
      <c r="L3" t="s">
        <v>328</v>
      </c>
      <c r="Q3">
        <v>1</v>
      </c>
    </row>
    <row r="4" spans="1:17" x14ac:dyDescent="0.25">
      <c r="A4" t="s">
        <v>83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40</v>
      </c>
      <c r="K4" t="s">
        <v>22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22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22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22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22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22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20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22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22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22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22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22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22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20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22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22</v>
      </c>
      <c r="L17" t="s">
        <v>328</v>
      </c>
      <c r="Q17">
        <v>1</v>
      </c>
    </row>
    <row r="18" spans="1:17" x14ac:dyDescent="0.25">
      <c r="A18" t="s">
        <v>83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22</v>
      </c>
      <c r="L18" t="s">
        <v>328</v>
      </c>
      <c r="Q18">
        <v>1</v>
      </c>
    </row>
    <row r="19" spans="1:17" x14ac:dyDescent="0.25">
      <c r="A19" t="s">
        <v>83</v>
      </c>
      <c r="B19" t="s">
        <v>16</v>
      </c>
      <c r="C19" t="s">
        <v>372</v>
      </c>
      <c r="E19" t="s">
        <v>373</v>
      </c>
      <c r="F19" t="s">
        <v>20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22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22</v>
      </c>
      <c r="K20" t="s">
        <v>22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22</v>
      </c>
      <c r="K21" t="s">
        <v>22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22</v>
      </c>
      <c r="K22" t="s">
        <v>22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22</v>
      </c>
      <c r="K23" t="s">
        <v>22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44</v>
      </c>
      <c r="G24" s="6">
        <v>685</v>
      </c>
      <c r="H24" s="6">
        <v>25</v>
      </c>
      <c r="I24" s="6">
        <f t="shared" si="0"/>
        <v>660</v>
      </c>
      <c r="J24" t="s">
        <v>22</v>
      </c>
      <c r="K24" t="s">
        <v>22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44</v>
      </c>
      <c r="G25" s="6">
        <v>0</v>
      </c>
      <c r="H25" s="6">
        <v>25</v>
      </c>
      <c r="I25" s="6">
        <f t="shared" si="0"/>
        <v>-25</v>
      </c>
      <c r="J25" t="s">
        <v>22</v>
      </c>
      <c r="K25" t="s">
        <v>22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22</v>
      </c>
      <c r="K26" t="s">
        <v>22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44</v>
      </c>
      <c r="G27" s="6">
        <v>0</v>
      </c>
      <c r="H27" s="6">
        <v>25</v>
      </c>
      <c r="I27" s="6">
        <f t="shared" si="0"/>
        <v>-25</v>
      </c>
      <c r="J27" t="s">
        <v>22</v>
      </c>
      <c r="K27" t="s">
        <v>22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36</v>
      </c>
      <c r="G28" s="6">
        <v>910</v>
      </c>
      <c r="H28" s="6">
        <v>20</v>
      </c>
      <c r="I28" s="6">
        <f t="shared" si="0"/>
        <v>890</v>
      </c>
      <c r="J28" t="s">
        <v>22</v>
      </c>
      <c r="K28" t="s">
        <v>22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22</v>
      </c>
      <c r="K29" t="s">
        <v>22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36</v>
      </c>
      <c r="G30" s="6">
        <v>680</v>
      </c>
      <c r="H30" s="6">
        <v>20</v>
      </c>
      <c r="I30" s="6">
        <f t="shared" si="0"/>
        <v>660</v>
      </c>
      <c r="J30" t="s">
        <v>22</v>
      </c>
      <c r="K30" t="s">
        <v>22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36</v>
      </c>
      <c r="G31" s="6">
        <v>840</v>
      </c>
      <c r="H31" s="6">
        <v>20</v>
      </c>
      <c r="I31" s="6">
        <f t="shared" si="0"/>
        <v>820</v>
      </c>
      <c r="J31" t="s">
        <v>22</v>
      </c>
      <c r="K31" t="s">
        <v>22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86</v>
      </c>
      <c r="G32" s="6">
        <v>0</v>
      </c>
      <c r="H32" s="6">
        <v>25</v>
      </c>
      <c r="I32" s="6">
        <f t="shared" si="0"/>
        <v>-25</v>
      </c>
      <c r="J32" t="s">
        <v>22</v>
      </c>
      <c r="K32" t="s">
        <v>22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22</v>
      </c>
      <c r="K33" t="s">
        <v>22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22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22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22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22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22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86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22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79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22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22</v>
      </c>
      <c r="L41" t="s">
        <v>328</v>
      </c>
      <c r="Q41">
        <v>1</v>
      </c>
    </row>
    <row r="42" spans="1:17" x14ac:dyDescent="0.25">
      <c r="A42" t="s">
        <v>83</v>
      </c>
      <c r="B42" t="s">
        <v>16</v>
      </c>
      <c r="C42" t="s">
        <v>441</v>
      </c>
      <c r="E42" t="s">
        <v>442</v>
      </c>
      <c r="F42" t="s">
        <v>86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22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79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22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22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29" t="s">
        <v>89</v>
      </c>
      <c r="D48" s="29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30">
        <f>SUMIFS(I$3:I$44,B$3:B$44,A$48,L$3:L$44,A$49)</f>
        <v>20745</v>
      </c>
      <c r="D49" s="30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31">
        <v>0</v>
      </c>
      <c r="D50" s="31"/>
      <c r="K50" t="s">
        <v>98</v>
      </c>
      <c r="L50">
        <f>SUM(H47:H49)</f>
        <v>-321</v>
      </c>
      <c r="M50">
        <f>SUMIFS(Q$3:Q$44,J$3:J$44,K$48)</f>
        <v>15</v>
      </c>
      <c r="O50" t="s">
        <v>22</v>
      </c>
      <c r="P50">
        <f>L62</f>
        <v>6635</v>
      </c>
    </row>
    <row r="51" spans="1:16" x14ac:dyDescent="0.25">
      <c r="B51" s="2" t="s">
        <v>99</v>
      </c>
      <c r="C51" s="31">
        <f>-SUMIFS(I$3:I$44,B$3:B$44,A$48,P$3:P$44,"xx",N$3:N$44,"x")</f>
        <v>-970</v>
      </c>
      <c r="D51" s="31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29">
        <f>SUBTOTAL(9,C49:C51)</f>
        <v>19775</v>
      </c>
      <c r="D52" s="29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40</v>
      </c>
      <c r="P52">
        <f>L78</f>
        <v>670</v>
      </c>
    </row>
    <row r="53" spans="1:16" x14ac:dyDescent="0.25">
      <c r="B53" s="2" t="s">
        <v>104</v>
      </c>
      <c r="C53" s="27"/>
      <c r="D53" s="27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27"/>
      <c r="D54" s="27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28">
        <f>C52+C53+C54</f>
        <v>19775</v>
      </c>
      <c r="D56" s="28"/>
      <c r="E56" s="1" t="s">
        <v>109</v>
      </c>
      <c r="K56" s="7" t="s">
        <v>22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40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opLeftCell="A31" workbookViewId="0">
      <selection activeCell="A24" sqref="A24:XFD24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86</v>
      </c>
      <c r="G3" s="6">
        <v>0</v>
      </c>
      <c r="H3" s="6">
        <v>25</v>
      </c>
      <c r="I3" s="6">
        <f>G3-H3</f>
        <v>-25</v>
      </c>
      <c r="J3" t="s">
        <v>22</v>
      </c>
      <c r="K3" t="s">
        <v>22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22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22</v>
      </c>
      <c r="K5" t="s">
        <v>22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20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22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22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22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20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22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20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22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22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22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22</v>
      </c>
      <c r="K13" t="s">
        <v>22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20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22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36</v>
      </c>
      <c r="G15" s="6">
        <v>680</v>
      </c>
      <c r="H15" s="6">
        <v>20</v>
      </c>
      <c r="I15" s="6">
        <f t="shared" si="0"/>
        <v>660</v>
      </c>
      <c r="J15" t="s">
        <v>22</v>
      </c>
      <c r="K15" t="s">
        <v>22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22</v>
      </c>
      <c r="K16" t="s">
        <v>22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22</v>
      </c>
      <c r="K17" t="s">
        <v>22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22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86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22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22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22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22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22</v>
      </c>
      <c r="L23" t="s">
        <v>455</v>
      </c>
      <c r="M23" t="s">
        <v>66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22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22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22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20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22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22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22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22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86</v>
      </c>
      <c r="G31" s="6">
        <v>0</v>
      </c>
      <c r="H31" s="6">
        <v>25</v>
      </c>
      <c r="I31" s="6">
        <f>-H31</f>
        <v>-25</v>
      </c>
      <c r="J31" t="s">
        <v>22</v>
      </c>
      <c r="K31" t="s">
        <v>22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79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22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22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22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22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22</v>
      </c>
      <c r="K36" t="s">
        <v>22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22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22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86</v>
      </c>
      <c r="G39" s="6">
        <v>0</v>
      </c>
      <c r="H39" s="6">
        <v>25</v>
      </c>
      <c r="I39" s="6">
        <f>-H39</f>
        <v>-25</v>
      </c>
      <c r="J39" t="s">
        <v>22</v>
      </c>
      <c r="K39" t="s">
        <v>22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22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20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22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20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22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22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22</v>
      </c>
      <c r="K44" t="s">
        <v>22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22</v>
      </c>
      <c r="K45" t="s">
        <v>22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22</v>
      </c>
      <c r="K46" t="s">
        <v>22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20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22</v>
      </c>
      <c r="L47" t="s">
        <v>455</v>
      </c>
      <c r="Q47" s="6">
        <v>1</v>
      </c>
    </row>
    <row r="48" spans="1:17" x14ac:dyDescent="0.25">
      <c r="A48" t="s">
        <v>83</v>
      </c>
      <c r="B48" t="s">
        <v>16</v>
      </c>
      <c r="C48" t="s">
        <v>582</v>
      </c>
      <c r="E48" t="s">
        <v>583</v>
      </c>
      <c r="F48" t="s">
        <v>44</v>
      </c>
      <c r="G48" s="6">
        <v>30</v>
      </c>
      <c r="H48" s="6">
        <v>30</v>
      </c>
      <c r="I48" s="6">
        <f t="shared" si="3"/>
        <v>0</v>
      </c>
      <c r="J48" t="s">
        <v>22</v>
      </c>
      <c r="K48" t="s">
        <v>22</v>
      </c>
      <c r="L48" t="s">
        <v>455</v>
      </c>
      <c r="Q48" s="6">
        <v>1</v>
      </c>
    </row>
    <row r="49" spans="1:17" x14ac:dyDescent="0.25">
      <c r="A49" t="s">
        <v>83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22</v>
      </c>
      <c r="L49" t="s">
        <v>455</v>
      </c>
      <c r="Q49" s="6">
        <v>1</v>
      </c>
    </row>
    <row r="50" spans="1:17" x14ac:dyDescent="0.25">
      <c r="A50" t="s">
        <v>83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22</v>
      </c>
      <c r="K50" t="s">
        <v>22</v>
      </c>
      <c r="L50" t="s">
        <v>455</v>
      </c>
      <c r="Q50" s="6">
        <v>1</v>
      </c>
    </row>
    <row r="51" spans="1:17" x14ac:dyDescent="0.25">
      <c r="A51" t="s">
        <v>83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22</v>
      </c>
      <c r="L51" t="s">
        <v>455</v>
      </c>
      <c r="Q51" s="6">
        <v>1</v>
      </c>
    </row>
    <row r="52" spans="1:17" x14ac:dyDescent="0.25">
      <c r="A52" t="s">
        <v>83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22</v>
      </c>
      <c r="L52" t="s">
        <v>455</v>
      </c>
      <c r="Q52" s="6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6">
        <v>30</v>
      </c>
      <c r="H53" s="6">
        <v>30</v>
      </c>
      <c r="I53" s="6">
        <f>G53-H53</f>
        <v>0</v>
      </c>
      <c r="J53" t="s">
        <v>22</v>
      </c>
      <c r="K53" t="s">
        <v>22</v>
      </c>
      <c r="L53" t="s">
        <v>455</v>
      </c>
      <c r="Q53" s="6">
        <v>1</v>
      </c>
    </row>
    <row r="54" spans="1:17" x14ac:dyDescent="0.25">
      <c r="A54" t="s">
        <v>83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22</v>
      </c>
      <c r="K54" t="s">
        <v>22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22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29" t="s">
        <v>89</v>
      </c>
      <c r="D59" s="29"/>
      <c r="E59" s="4" t="s">
        <v>90</v>
      </c>
      <c r="H59">
        <f>-8*25</f>
        <v>-200</v>
      </c>
      <c r="K59" s="7" t="s">
        <v>22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30">
        <f>SUMIFS(I$3:I$55,B$3:B$55,A$59,L$3:L$55,A$60)</f>
        <v>33510</v>
      </c>
      <c r="D60" s="30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22</v>
      </c>
      <c r="P60">
        <f>L65</f>
        <v>8748</v>
      </c>
    </row>
    <row r="61" spans="1:17" x14ac:dyDescent="0.25">
      <c r="B61" s="2" t="s">
        <v>97</v>
      </c>
      <c r="C61" s="31">
        <v>0</v>
      </c>
      <c r="D61" s="31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31">
        <f>-SUMIFS(I$3:I$55,B$3:B$55,A$59,P$3:P$55,"xx",N$3:N$55,"x")</f>
        <v>-860</v>
      </c>
      <c r="D62" s="31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29">
        <f>SUBTOTAL(9,C60:C62)</f>
        <v>32650</v>
      </c>
      <c r="D63" s="29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27"/>
      <c r="D64" s="27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27"/>
      <c r="D65" s="27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28">
        <f>C63+C64+C65</f>
        <v>32650</v>
      </c>
      <c r="D67" s="28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workbookViewId="0">
      <selection activeCell="A28" sqref="A28 A28:XFD28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22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20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22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22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20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22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22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22</v>
      </c>
      <c r="L8" t="s">
        <v>598</v>
      </c>
      <c r="Q8">
        <v>1</v>
      </c>
    </row>
    <row r="9" spans="1:17" x14ac:dyDescent="0.25">
      <c r="B9" t="s">
        <v>16</v>
      </c>
      <c r="C9" t="s">
        <v>24</v>
      </c>
      <c r="D9" t="s">
        <v>614</v>
      </c>
      <c r="E9" t="s">
        <v>26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22</v>
      </c>
      <c r="L9" t="s">
        <v>598</v>
      </c>
      <c r="Q9">
        <v>1</v>
      </c>
    </row>
    <row r="10" spans="1:17" x14ac:dyDescent="0.25">
      <c r="A10" t="s">
        <v>83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22</v>
      </c>
      <c r="L10" t="s">
        <v>598</v>
      </c>
      <c r="Q10">
        <v>1</v>
      </c>
    </row>
    <row r="11" spans="1:17" x14ac:dyDescent="0.25">
      <c r="A11" t="s">
        <v>83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22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22</v>
      </c>
      <c r="K12" t="s">
        <v>22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22</v>
      </c>
      <c r="K13" t="s">
        <v>22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36</v>
      </c>
      <c r="G14" s="6">
        <v>815</v>
      </c>
      <c r="H14" s="6">
        <v>25</v>
      </c>
      <c r="I14" s="6">
        <f t="shared" si="0"/>
        <v>790</v>
      </c>
      <c r="J14" t="s">
        <v>22</v>
      </c>
      <c r="K14" t="s">
        <v>22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44</v>
      </c>
      <c r="G15" s="6">
        <v>815</v>
      </c>
      <c r="H15" s="6">
        <v>25</v>
      </c>
      <c r="I15" s="6">
        <f t="shared" si="0"/>
        <v>790</v>
      </c>
      <c r="J15" t="s">
        <v>22</v>
      </c>
      <c r="K15" t="s">
        <v>22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22</v>
      </c>
      <c r="K16" t="s">
        <v>22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22</v>
      </c>
      <c r="K17" t="s">
        <v>22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44</v>
      </c>
      <c r="G18" s="6">
        <v>695</v>
      </c>
      <c r="H18" s="6">
        <v>25</v>
      </c>
      <c r="I18" s="6">
        <f>G18-H18</f>
        <v>670</v>
      </c>
      <c r="J18" t="s">
        <v>22</v>
      </c>
      <c r="K18" t="s">
        <v>22</v>
      </c>
      <c r="L18" t="s">
        <v>598</v>
      </c>
      <c r="Q18">
        <v>1</v>
      </c>
    </row>
    <row r="19" spans="1:17" x14ac:dyDescent="0.25">
      <c r="A19" t="s">
        <v>83</v>
      </c>
      <c r="B19" t="s">
        <v>16</v>
      </c>
      <c r="C19" t="s">
        <v>640</v>
      </c>
      <c r="E19" t="s">
        <v>641</v>
      </c>
      <c r="F19" t="s">
        <v>44</v>
      </c>
      <c r="G19" s="6">
        <v>4895</v>
      </c>
      <c r="H19" s="6">
        <v>35</v>
      </c>
      <c r="I19" s="6">
        <f>G19-H19</f>
        <v>4860</v>
      </c>
      <c r="J19" t="s">
        <v>22</v>
      </c>
      <c r="K19" t="s">
        <v>22</v>
      </c>
      <c r="L19" t="s">
        <v>598</v>
      </c>
      <c r="Q19">
        <v>1</v>
      </c>
    </row>
    <row r="20" spans="1:17" x14ac:dyDescent="0.25">
      <c r="A20" t="s">
        <v>83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22</v>
      </c>
      <c r="K20" t="s">
        <v>22</v>
      </c>
      <c r="L20" t="s">
        <v>598</v>
      </c>
      <c r="Q20">
        <v>1</v>
      </c>
    </row>
    <row r="21" spans="1:17" x14ac:dyDescent="0.25">
      <c r="A21" t="s">
        <v>83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22</v>
      </c>
      <c r="K21" t="s">
        <v>22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22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22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86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22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86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22</v>
      </c>
      <c r="L25" t="s">
        <v>598</v>
      </c>
      <c r="Q25">
        <v>1</v>
      </c>
    </row>
    <row r="26" spans="1:17" x14ac:dyDescent="0.25">
      <c r="A26" t="s">
        <v>83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22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86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22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22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22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29" t="s">
        <v>89</v>
      </c>
      <c r="D33" s="29"/>
      <c r="E33" s="4" t="s">
        <v>90</v>
      </c>
      <c r="H33">
        <f>-2*25</f>
        <v>-50</v>
      </c>
      <c r="K33" s="7" t="s">
        <v>22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32">
        <f>SUMIFS(I$3:I$29,B$3:B$29,A$33,L$3:L$29,A$34)+I32</f>
        <v>24145</v>
      </c>
      <c r="D34" s="30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22</v>
      </c>
      <c r="P34">
        <f>L41</f>
        <v>8612</v>
      </c>
    </row>
    <row r="35" spans="1:16" x14ac:dyDescent="0.25">
      <c r="B35" s="2" t="s">
        <v>97</v>
      </c>
      <c r="C35" s="31">
        <v>0</v>
      </c>
      <c r="D35" s="31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31">
        <f>-SUMIFS(I$3:I$29,B$3:B$29,A$33,P$3:P$29,"xx",N$3:N$29,"x")</f>
        <v>-1715</v>
      </c>
      <c r="D36" s="31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29">
        <f>SUBTOTAL(9,C34:C36)</f>
        <v>22430</v>
      </c>
      <c r="D37" s="29"/>
      <c r="E37">
        <f>E34</f>
        <v>25</v>
      </c>
      <c r="K37" s="2" t="s">
        <v>102</v>
      </c>
      <c r="O37" t="s">
        <v>103</v>
      </c>
      <c r="P37">
        <f>-C42</f>
        <v>-22360</v>
      </c>
    </row>
    <row r="38" spans="1:16" x14ac:dyDescent="0.25">
      <c r="B38" s="2" t="s">
        <v>104</v>
      </c>
      <c r="C38" s="27">
        <v>-70</v>
      </c>
      <c r="D38" s="27"/>
      <c r="K38" s="2" t="s">
        <v>105</v>
      </c>
      <c r="L38" s="2">
        <v>-1020</v>
      </c>
      <c r="O38" s="4" t="s">
        <v>106</v>
      </c>
      <c r="P38" s="4">
        <f>SUBTOTAL(9,P34:P37)</f>
        <v>-2170</v>
      </c>
    </row>
    <row r="39" spans="1:16" x14ac:dyDescent="0.25">
      <c r="B39" s="8" t="s">
        <v>107</v>
      </c>
      <c r="C39" s="27"/>
      <c r="D39" s="27"/>
      <c r="K39" s="10" t="s">
        <v>664</v>
      </c>
      <c r="L39" s="10">
        <v>2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28">
        <f>C37+C38+C39</f>
        <v>22360</v>
      </c>
      <c r="D42" s="28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workbookViewId="0">
      <selection activeCell="A4" sqref="A4:XFD4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40</v>
      </c>
      <c r="K3" s="18" t="s">
        <v>22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40</v>
      </c>
      <c r="K4" s="18" t="s">
        <v>22</v>
      </c>
      <c r="L4" s="18" t="s">
        <v>668</v>
      </c>
      <c r="M4" s="18" t="s">
        <v>66</v>
      </c>
      <c r="N4" s="18"/>
      <c r="O4" s="18"/>
      <c r="P4" s="18"/>
      <c r="Q4" s="18">
        <v>1</v>
      </c>
    </row>
    <row r="5" spans="1:17" x14ac:dyDescent="0.25">
      <c r="A5" s="18" t="s">
        <v>83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22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22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22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22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44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22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22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20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22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22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22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22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22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22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22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22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20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22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22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83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22</v>
      </c>
      <c r="K21" s="18" t="s">
        <v>22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83</v>
      </c>
      <c r="B22" s="18" t="s">
        <v>16</v>
      </c>
      <c r="C22" s="18" t="s">
        <v>318</v>
      </c>
      <c r="D22" s="18"/>
      <c r="E22" s="18" t="s">
        <v>319</v>
      </c>
      <c r="F22" s="18" t="s">
        <v>44</v>
      </c>
      <c r="G22" s="19">
        <v>30</v>
      </c>
      <c r="H22" s="19">
        <v>30</v>
      </c>
      <c r="I22" s="19">
        <f>G22-H22</f>
        <v>0</v>
      </c>
      <c r="J22" s="18" t="s">
        <v>22</v>
      </c>
      <c r="K22" s="18" t="s">
        <v>22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22</v>
      </c>
      <c r="K23" s="18" t="s">
        <v>22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36</v>
      </c>
      <c r="G24" s="19">
        <v>0</v>
      </c>
      <c r="H24" s="19">
        <v>20</v>
      </c>
      <c r="I24" s="19">
        <f>-H24</f>
        <v>-20</v>
      </c>
      <c r="J24" s="18" t="s">
        <v>22</v>
      </c>
      <c r="K24" s="18" t="s">
        <v>22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22</v>
      </c>
      <c r="K25" s="18" t="s">
        <v>22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22</v>
      </c>
      <c r="K26" s="18" t="s">
        <v>22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36</v>
      </c>
      <c r="G27" s="19">
        <v>460</v>
      </c>
      <c r="H27" s="19">
        <v>20</v>
      </c>
      <c r="I27" s="19">
        <f>G27-H27</f>
        <v>440</v>
      </c>
      <c r="J27" s="18" t="s">
        <v>22</v>
      </c>
      <c r="K27" s="18" t="s">
        <v>22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22</v>
      </c>
      <c r="K28" s="18" t="s">
        <v>22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44</v>
      </c>
      <c r="G29" s="19">
        <v>1115</v>
      </c>
      <c r="H29" s="19">
        <v>25</v>
      </c>
      <c r="I29" s="19">
        <f>G29-H29</f>
        <v>1090</v>
      </c>
      <c r="J29" s="18" t="s">
        <v>22</v>
      </c>
      <c r="K29" s="18" t="s">
        <v>22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22</v>
      </c>
      <c r="K30" s="18" t="s">
        <v>22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22</v>
      </c>
      <c r="K31" s="18" t="s">
        <v>22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22</v>
      </c>
      <c r="K32" s="18" t="s">
        <v>22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79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22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22</v>
      </c>
      <c r="L34" s="18" t="s">
        <v>668</v>
      </c>
      <c r="M34" s="18" t="s">
        <v>66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79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22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22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86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22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22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79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22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22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22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22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79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22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22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22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22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79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22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29" t="s">
        <v>89</v>
      </c>
      <c r="D51" s="29"/>
      <c r="E51" s="4" t="s">
        <v>90</v>
      </c>
      <c r="H51">
        <f>-4*25</f>
        <v>-100</v>
      </c>
      <c r="K51" s="7" t="s">
        <v>22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30">
        <f>SUMIFS(I$3:I$47,B$3:B$47,A$51,L$3:L$47,A$52)</f>
        <v>25380</v>
      </c>
      <c r="D52" s="30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22</v>
      </c>
      <c r="P52">
        <f>L57</f>
        <v>4847</v>
      </c>
    </row>
    <row r="53" spans="1:17" x14ac:dyDescent="0.25">
      <c r="B53" s="2" t="s">
        <v>97</v>
      </c>
      <c r="C53" s="31">
        <v>0</v>
      </c>
      <c r="D53" s="31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31">
        <f>-SUMIFS(I$3:I$47,B$3:B$47,A$51,P$3:P$47,"xx",N$3:N$47,"x")</f>
        <v>-710</v>
      </c>
      <c r="D54" s="31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29">
        <f>SUBTOTAL(9,C52:C54)</f>
        <v>24670</v>
      </c>
      <c r="D55" s="29"/>
      <c r="E55">
        <f>E52</f>
        <v>43</v>
      </c>
      <c r="K55" s="2" t="s">
        <v>102</v>
      </c>
      <c r="O55" t="s">
        <v>40</v>
      </c>
      <c r="P55">
        <f>L81</f>
        <v>10</v>
      </c>
    </row>
    <row r="56" spans="1:17" x14ac:dyDescent="0.25">
      <c r="B56" s="2" t="s">
        <v>104</v>
      </c>
      <c r="C56" s="27"/>
      <c r="D56" s="27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27"/>
      <c r="D57" s="27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28">
        <f>C55+C56+C57</f>
        <v>24670</v>
      </c>
      <c r="D59" s="28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40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13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4.5703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83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22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22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22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22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22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22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20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22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22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22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86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22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22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20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22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86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22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22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22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83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22</v>
      </c>
      <c r="K18" s="18" t="s">
        <v>22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22</v>
      </c>
      <c r="K19" s="18" t="s">
        <v>22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44</v>
      </c>
      <c r="G20" s="19">
        <v>815</v>
      </c>
      <c r="H20" s="19">
        <v>25</v>
      </c>
      <c r="I20" s="19">
        <f>G20-H20</f>
        <v>790</v>
      </c>
      <c r="J20" s="18" t="s">
        <v>22</v>
      </c>
      <c r="K20" s="18" t="s">
        <v>22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86</v>
      </c>
      <c r="G21" s="19">
        <v>0</v>
      </c>
      <c r="H21" s="19">
        <v>25</v>
      </c>
      <c r="I21" s="19">
        <f>-H21</f>
        <v>-25</v>
      </c>
      <c r="J21" s="18" t="s">
        <v>22</v>
      </c>
      <c r="K21" s="18" t="s">
        <v>22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22</v>
      </c>
      <c r="K22" s="18" t="s">
        <v>22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44</v>
      </c>
      <c r="G23" s="19">
        <v>1345</v>
      </c>
      <c r="H23" s="19">
        <v>25</v>
      </c>
      <c r="I23" s="19">
        <f>G23-H23</f>
        <v>1320</v>
      </c>
      <c r="J23" s="18" t="s">
        <v>22</v>
      </c>
      <c r="K23" s="18" t="s">
        <v>22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86</v>
      </c>
      <c r="G24" s="19">
        <v>0</v>
      </c>
      <c r="H24" s="19">
        <v>25</v>
      </c>
      <c r="I24" s="19">
        <f>-H24</f>
        <v>-25</v>
      </c>
      <c r="J24" s="18" t="s">
        <v>22</v>
      </c>
      <c r="K24" s="18" t="s">
        <v>22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44</v>
      </c>
      <c r="G25" s="19">
        <v>0</v>
      </c>
      <c r="H25" s="19">
        <v>25</v>
      </c>
      <c r="I25" s="19">
        <f>-H25</f>
        <v>-25</v>
      </c>
      <c r="J25" s="18" t="s">
        <v>22</v>
      </c>
      <c r="K25" s="18" t="s">
        <v>22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22</v>
      </c>
      <c r="K26" s="18" t="s">
        <v>22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36</v>
      </c>
      <c r="G27" s="19">
        <v>1110</v>
      </c>
      <c r="H27" s="19">
        <v>20</v>
      </c>
      <c r="I27" s="19">
        <f>G27-H27</f>
        <v>1090</v>
      </c>
      <c r="J27" s="18" t="s">
        <v>22</v>
      </c>
      <c r="K27" s="18" t="s">
        <v>22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86</v>
      </c>
      <c r="G28" s="19">
        <v>815</v>
      </c>
      <c r="H28" s="19">
        <v>25</v>
      </c>
      <c r="I28" s="19">
        <f>G28-H28</f>
        <v>790</v>
      </c>
      <c r="J28" s="18" t="s">
        <v>22</v>
      </c>
      <c r="K28" s="18" t="s">
        <v>22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22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22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22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22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22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22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22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22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22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22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79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22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29" t="s">
        <v>89</v>
      </c>
      <c r="D43" s="29"/>
      <c r="E43" s="4" t="s">
        <v>90</v>
      </c>
      <c r="H43">
        <f>-3*25</f>
        <v>-75</v>
      </c>
      <c r="K43" s="7" t="s">
        <v>22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30">
        <f>SUMIFS(I$3:I$39,B$3:B$39,A$43,L$3:L$39,A$44)</f>
        <v>23985</v>
      </c>
      <c r="D44" s="30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22</v>
      </c>
      <c r="P44">
        <f>L49</f>
        <v>7556</v>
      </c>
    </row>
    <row r="45" spans="1:17" x14ac:dyDescent="0.25">
      <c r="B45" s="2" t="s">
        <v>97</v>
      </c>
      <c r="C45" s="31">
        <v>0</v>
      </c>
      <c r="D45" s="31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31">
        <f>-SUMIFS(I$3:I$39,B$3:B$39,A$43,P$3:P$39,"xx",N$3:N$39,"x")</f>
        <v>0</v>
      </c>
      <c r="D46" s="31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29">
        <f>SUBTOTAL(9,C44:C46)</f>
        <v>23985</v>
      </c>
      <c r="D47" s="29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27"/>
      <c r="D48" s="27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27"/>
      <c r="D49" s="27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28">
        <f>C47+C48+C49</f>
        <v>23985</v>
      </c>
      <c r="D51" s="28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abSelected="1" topLeftCell="A37" zoomScale="90" zoomScaleNormal="90" workbookViewId="0">
      <selection activeCell="C60" sqref="C60:D60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908</v>
      </c>
      <c r="D3" s="18" t="s">
        <v>909</v>
      </c>
      <c r="E3" s="18" t="s">
        <v>910</v>
      </c>
      <c r="F3" s="18" t="s">
        <v>20</v>
      </c>
      <c r="G3" s="19">
        <v>720</v>
      </c>
      <c r="H3" s="19">
        <v>30</v>
      </c>
      <c r="I3" s="19">
        <f t="shared" ref="I3:I26" si="0">G3-H3</f>
        <v>690</v>
      </c>
      <c r="J3" s="18" t="s">
        <v>911</v>
      </c>
      <c r="K3" s="18" t="s">
        <v>22</v>
      </c>
      <c r="L3" s="18" t="s">
        <v>891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927</v>
      </c>
      <c r="D4" s="18" t="s">
        <v>928</v>
      </c>
      <c r="E4" s="18" t="s">
        <v>929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911</v>
      </c>
      <c r="K4" s="18" t="s">
        <v>22</v>
      </c>
      <c r="L4" s="18" t="s">
        <v>891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937</v>
      </c>
      <c r="D5" s="18" t="s">
        <v>938</v>
      </c>
      <c r="E5" s="18" t="s">
        <v>939</v>
      </c>
      <c r="F5" s="18" t="s">
        <v>86</v>
      </c>
      <c r="G5" s="19">
        <v>25</v>
      </c>
      <c r="H5" s="19">
        <v>25</v>
      </c>
      <c r="I5" s="19">
        <f t="shared" si="0"/>
        <v>0</v>
      </c>
      <c r="J5" s="18" t="s">
        <v>911</v>
      </c>
      <c r="K5" s="18" t="s">
        <v>22</v>
      </c>
      <c r="L5" s="18" t="s">
        <v>891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940</v>
      </c>
      <c r="D6" s="18" t="s">
        <v>941</v>
      </c>
      <c r="E6" s="18" t="s">
        <v>942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911</v>
      </c>
      <c r="K6" s="18" t="s">
        <v>22</v>
      </c>
      <c r="L6" s="18" t="s">
        <v>891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946</v>
      </c>
      <c r="D7" s="18" t="s">
        <v>947</v>
      </c>
      <c r="E7" s="18" t="s">
        <v>948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911</v>
      </c>
      <c r="K7" s="18" t="s">
        <v>22</v>
      </c>
      <c r="L7" s="18" t="s">
        <v>891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964</v>
      </c>
      <c r="D8" s="18" t="s">
        <v>965</v>
      </c>
      <c r="E8" s="18" t="s">
        <v>966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911</v>
      </c>
      <c r="K8" s="18" t="s">
        <v>22</v>
      </c>
      <c r="L8" s="18" t="s">
        <v>891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967</v>
      </c>
      <c r="D9" s="18" t="s">
        <v>968</v>
      </c>
      <c r="E9" s="18" t="s">
        <v>969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911</v>
      </c>
      <c r="K9" s="18" t="s">
        <v>22</v>
      </c>
      <c r="L9" s="18" t="s">
        <v>891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985</v>
      </c>
      <c r="D10" s="18" t="s">
        <v>986</v>
      </c>
      <c r="E10" s="18" t="s">
        <v>987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911</v>
      </c>
      <c r="K10" s="18" t="s">
        <v>22</v>
      </c>
      <c r="L10" s="18" t="s">
        <v>891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988</v>
      </c>
      <c r="E11" s="18" t="s">
        <v>989</v>
      </c>
      <c r="F11" s="18" t="s">
        <v>20</v>
      </c>
      <c r="G11" s="19">
        <v>820</v>
      </c>
      <c r="H11" s="19">
        <v>30</v>
      </c>
      <c r="I11" s="19">
        <f t="shared" si="0"/>
        <v>790</v>
      </c>
      <c r="J11" s="18" t="s">
        <v>911</v>
      </c>
      <c r="K11" s="18" t="s">
        <v>22</v>
      </c>
      <c r="L11" s="18" t="s">
        <v>891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996</v>
      </c>
      <c r="D12" s="18" t="s">
        <v>997</v>
      </c>
      <c r="E12" s="18" t="s">
        <v>998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911</v>
      </c>
      <c r="K12" s="18" t="s">
        <v>22</v>
      </c>
      <c r="L12" s="18" t="s">
        <v>891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1004</v>
      </c>
      <c r="D13" s="18" t="s">
        <v>1005</v>
      </c>
      <c r="E13" s="18" t="s">
        <v>1006</v>
      </c>
      <c r="F13" s="18" t="s">
        <v>86</v>
      </c>
      <c r="G13" s="19">
        <v>705</v>
      </c>
      <c r="H13" s="19">
        <v>25</v>
      </c>
      <c r="I13" s="19">
        <f t="shared" si="0"/>
        <v>680</v>
      </c>
      <c r="J13" s="18" t="s">
        <v>911</v>
      </c>
      <c r="K13" s="18" t="s">
        <v>22</v>
      </c>
      <c r="L13" s="18" t="s">
        <v>891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1007</v>
      </c>
      <c r="D14" s="18" t="s">
        <v>1008</v>
      </c>
      <c r="E14" s="18" t="s">
        <v>1009</v>
      </c>
      <c r="F14" s="18" t="s">
        <v>20</v>
      </c>
      <c r="G14" s="19">
        <v>850</v>
      </c>
      <c r="H14" s="19">
        <v>30</v>
      </c>
      <c r="I14" s="19">
        <f t="shared" si="0"/>
        <v>820</v>
      </c>
      <c r="J14" s="18" t="s">
        <v>911</v>
      </c>
      <c r="K14" s="18" t="s">
        <v>22</v>
      </c>
      <c r="L14" s="18" t="s">
        <v>891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1010</v>
      </c>
      <c r="D15" s="18" t="s">
        <v>1011</v>
      </c>
      <c r="E15" s="18" t="s">
        <v>1012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911</v>
      </c>
      <c r="K15" s="18" t="s">
        <v>22</v>
      </c>
      <c r="L15" s="18" t="s">
        <v>891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1019</v>
      </c>
      <c r="D16" s="18" t="s">
        <v>1020</v>
      </c>
      <c r="E16" s="18" t="s">
        <v>1021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911</v>
      </c>
      <c r="K16" s="18" t="s">
        <v>22</v>
      </c>
      <c r="L16" s="18" t="s">
        <v>891</v>
      </c>
      <c r="M16" s="18"/>
      <c r="N16" s="18"/>
      <c r="O16" s="18"/>
      <c r="P16" s="18"/>
      <c r="Q16" s="18">
        <v>1</v>
      </c>
    </row>
    <row r="17" spans="1:17" x14ac:dyDescent="0.25">
      <c r="A17" s="18" t="s">
        <v>83</v>
      </c>
      <c r="B17" s="18" t="s">
        <v>16</v>
      </c>
      <c r="C17" s="18" t="s">
        <v>892</v>
      </c>
      <c r="D17" s="18"/>
      <c r="E17" s="18" t="s">
        <v>893</v>
      </c>
      <c r="F17" s="18" t="s">
        <v>86</v>
      </c>
      <c r="G17" s="19">
        <v>30</v>
      </c>
      <c r="H17" s="19">
        <v>30</v>
      </c>
      <c r="I17" s="19">
        <f t="shared" si="0"/>
        <v>0</v>
      </c>
      <c r="J17" s="18" t="s">
        <v>22</v>
      </c>
      <c r="K17" s="18" t="s">
        <v>22</v>
      </c>
      <c r="L17" s="18" t="s">
        <v>891</v>
      </c>
      <c r="M17" s="18"/>
      <c r="N17" s="18"/>
      <c r="O17" s="18"/>
      <c r="P17" s="18"/>
      <c r="Q17" s="18">
        <v>1</v>
      </c>
    </row>
    <row r="18" spans="1:17" x14ac:dyDescent="0.25">
      <c r="A18" s="18" t="s">
        <v>83</v>
      </c>
      <c r="B18" s="18" t="s">
        <v>16</v>
      </c>
      <c r="C18" s="18" t="s">
        <v>640</v>
      </c>
      <c r="D18" s="18"/>
      <c r="E18" s="18" t="s">
        <v>641</v>
      </c>
      <c r="F18" s="18" t="s">
        <v>44</v>
      </c>
      <c r="G18" s="19">
        <v>3050</v>
      </c>
      <c r="H18" s="19">
        <v>30</v>
      </c>
      <c r="I18" s="19">
        <f t="shared" si="0"/>
        <v>3020</v>
      </c>
      <c r="J18" s="18" t="s">
        <v>22</v>
      </c>
      <c r="K18" s="18" t="s">
        <v>22</v>
      </c>
      <c r="L18" s="18" t="s">
        <v>891</v>
      </c>
      <c r="M18" s="18"/>
      <c r="N18" s="18"/>
      <c r="O18" s="18"/>
      <c r="P18" s="18"/>
      <c r="Q18" s="18">
        <v>1</v>
      </c>
    </row>
    <row r="19" spans="1:17" x14ac:dyDescent="0.25">
      <c r="A19" s="18" t="s">
        <v>83</v>
      </c>
      <c r="B19" s="18" t="s">
        <v>16</v>
      </c>
      <c r="C19" s="18" t="s">
        <v>894</v>
      </c>
      <c r="D19" s="18"/>
      <c r="E19" s="18" t="s">
        <v>895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22</v>
      </c>
      <c r="K19" s="18" t="s">
        <v>22</v>
      </c>
      <c r="L19" s="18" t="s">
        <v>891</v>
      </c>
      <c r="M19" s="18"/>
      <c r="N19" s="18"/>
      <c r="O19" s="18"/>
      <c r="P19" s="18"/>
      <c r="Q19" s="18">
        <v>1</v>
      </c>
    </row>
    <row r="20" spans="1:17" x14ac:dyDescent="0.25">
      <c r="A20" s="18" t="s">
        <v>83</v>
      </c>
      <c r="B20" s="18" t="s">
        <v>16</v>
      </c>
      <c r="C20" s="18" t="s">
        <v>343</v>
      </c>
      <c r="D20" s="18"/>
      <c r="E20" s="18" t="s">
        <v>896</v>
      </c>
      <c r="F20" s="18" t="s">
        <v>44</v>
      </c>
      <c r="G20" s="19">
        <v>845</v>
      </c>
      <c r="H20" s="19">
        <v>25</v>
      </c>
      <c r="I20" s="19">
        <f t="shared" si="0"/>
        <v>820</v>
      </c>
      <c r="J20" s="18" t="s">
        <v>22</v>
      </c>
      <c r="K20" s="18" t="s">
        <v>22</v>
      </c>
      <c r="L20" s="18" t="s">
        <v>891</v>
      </c>
      <c r="M20" s="18"/>
      <c r="N20" s="18"/>
      <c r="O20" s="18"/>
      <c r="P20" s="18"/>
      <c r="Q20" s="18">
        <v>1</v>
      </c>
    </row>
    <row r="21" spans="1:17" x14ac:dyDescent="0.25">
      <c r="A21" s="18" t="s">
        <v>83</v>
      </c>
      <c r="B21" s="18" t="s">
        <v>16</v>
      </c>
      <c r="C21" s="18" t="s">
        <v>897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22</v>
      </c>
      <c r="K21" s="18" t="s">
        <v>22</v>
      </c>
      <c r="L21" s="18" t="s">
        <v>891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898</v>
      </c>
      <c r="D22" s="18" t="s">
        <v>899</v>
      </c>
      <c r="E22" s="18" t="s">
        <v>900</v>
      </c>
      <c r="F22" s="18" t="s">
        <v>36</v>
      </c>
      <c r="G22" s="19">
        <v>1570</v>
      </c>
      <c r="H22" s="19">
        <v>20</v>
      </c>
      <c r="I22" s="19">
        <f t="shared" si="0"/>
        <v>1550</v>
      </c>
      <c r="J22" s="18" t="s">
        <v>22</v>
      </c>
      <c r="K22" s="18" t="s">
        <v>22</v>
      </c>
      <c r="L22" s="18" t="s">
        <v>891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901</v>
      </c>
      <c r="D23" s="18" t="s">
        <v>902</v>
      </c>
      <c r="E23" s="18" t="s">
        <v>903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22</v>
      </c>
      <c r="K23" s="18" t="s">
        <v>22</v>
      </c>
      <c r="L23" s="18" t="s">
        <v>891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907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22</v>
      </c>
      <c r="K24" s="18" t="s">
        <v>22</v>
      </c>
      <c r="L24" s="18" t="s">
        <v>891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930</v>
      </c>
      <c r="E25" s="18" t="s">
        <v>149</v>
      </c>
      <c r="F25" s="18" t="s">
        <v>36</v>
      </c>
      <c r="G25" s="19">
        <v>2670</v>
      </c>
      <c r="H25" s="19">
        <v>25</v>
      </c>
      <c r="I25" s="19">
        <f t="shared" si="0"/>
        <v>2645</v>
      </c>
      <c r="J25" s="18" t="s">
        <v>22</v>
      </c>
      <c r="K25" s="18" t="s">
        <v>22</v>
      </c>
      <c r="L25" s="18" t="s">
        <v>891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932</v>
      </c>
      <c r="E26" s="18" t="s">
        <v>933</v>
      </c>
      <c r="F26" s="18" t="s">
        <v>44</v>
      </c>
      <c r="G26" s="19">
        <v>865</v>
      </c>
      <c r="H26" s="19">
        <v>25</v>
      </c>
      <c r="I26" s="19">
        <f t="shared" si="0"/>
        <v>840</v>
      </c>
      <c r="J26" s="18" t="s">
        <v>22</v>
      </c>
      <c r="K26" s="18" t="s">
        <v>22</v>
      </c>
      <c r="L26" s="18" t="s">
        <v>891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949</v>
      </c>
      <c r="D27" s="18" t="s">
        <v>950</v>
      </c>
      <c r="E27" s="18" t="s">
        <v>951</v>
      </c>
      <c r="F27" s="18" t="s">
        <v>44</v>
      </c>
      <c r="G27" s="19">
        <v>0</v>
      </c>
      <c r="H27" s="19">
        <v>25</v>
      </c>
      <c r="I27" s="19">
        <f>-H27</f>
        <v>-25</v>
      </c>
      <c r="J27" s="18" t="s">
        <v>22</v>
      </c>
      <c r="K27" s="18" t="s">
        <v>22</v>
      </c>
      <c r="L27" s="18" t="s">
        <v>891</v>
      </c>
      <c r="M27" s="18" t="s">
        <v>1024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952</v>
      </c>
      <c r="D28" s="18" t="s">
        <v>953</v>
      </c>
      <c r="E28" s="18" t="s">
        <v>954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22</v>
      </c>
      <c r="K28" s="18" t="s">
        <v>22</v>
      </c>
      <c r="L28" s="18" t="s">
        <v>891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958</v>
      </c>
      <c r="D29" s="18" t="s">
        <v>959</v>
      </c>
      <c r="E29" s="18" t="s">
        <v>960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22</v>
      </c>
      <c r="K29" s="18" t="s">
        <v>22</v>
      </c>
      <c r="L29" s="18" t="s">
        <v>891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961</v>
      </c>
      <c r="D30" s="18" t="s">
        <v>962</v>
      </c>
      <c r="E30" s="18" t="s">
        <v>963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22</v>
      </c>
      <c r="K30" s="18" t="s">
        <v>22</v>
      </c>
      <c r="L30" s="18" t="s">
        <v>891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970</v>
      </c>
      <c r="D31" s="18" t="s">
        <v>971</v>
      </c>
      <c r="E31" s="18" t="s">
        <v>972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22</v>
      </c>
      <c r="K31" s="18" t="s">
        <v>22</v>
      </c>
      <c r="L31" s="18" t="s">
        <v>891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973</v>
      </c>
      <c r="D32" s="18" t="s">
        <v>974</v>
      </c>
      <c r="E32" s="18" t="s">
        <v>975</v>
      </c>
      <c r="F32" s="18" t="s">
        <v>86</v>
      </c>
      <c r="G32" s="19">
        <v>845</v>
      </c>
      <c r="H32" s="19">
        <v>25</v>
      </c>
      <c r="I32" s="19">
        <f t="shared" si="1"/>
        <v>820</v>
      </c>
      <c r="J32" s="18" t="s">
        <v>22</v>
      </c>
      <c r="K32" s="18" t="s">
        <v>22</v>
      </c>
      <c r="L32" s="18" t="s">
        <v>891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976</v>
      </c>
      <c r="D33" s="18" t="s">
        <v>977</v>
      </c>
      <c r="E33" s="18" t="s">
        <v>978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22</v>
      </c>
      <c r="K33" s="18" t="s">
        <v>22</v>
      </c>
      <c r="L33" s="18" t="s">
        <v>891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979</v>
      </c>
      <c r="D34" s="18" t="s">
        <v>980</v>
      </c>
      <c r="E34" s="18" t="s">
        <v>981</v>
      </c>
      <c r="F34" s="18" t="s">
        <v>44</v>
      </c>
      <c r="G34" s="19">
        <v>0</v>
      </c>
      <c r="H34" s="19">
        <v>25</v>
      </c>
      <c r="I34" s="19">
        <f t="shared" si="1"/>
        <v>-25</v>
      </c>
      <c r="J34" s="18" t="s">
        <v>22</v>
      </c>
      <c r="K34" s="18" t="s">
        <v>22</v>
      </c>
      <c r="L34" s="18" t="s">
        <v>891</v>
      </c>
      <c r="M34" s="18" t="s">
        <v>1025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982</v>
      </c>
      <c r="D35" s="18" t="s">
        <v>983</v>
      </c>
      <c r="E35" s="18" t="s">
        <v>984</v>
      </c>
      <c r="F35" s="18" t="s">
        <v>36</v>
      </c>
      <c r="G35" s="19">
        <v>0</v>
      </c>
      <c r="H35" s="19">
        <v>20</v>
      </c>
      <c r="I35" s="19">
        <f>-H35</f>
        <v>-20</v>
      </c>
      <c r="J35" s="18" t="s">
        <v>22</v>
      </c>
      <c r="K35" s="18" t="s">
        <v>22</v>
      </c>
      <c r="L35" s="18" t="s">
        <v>891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1013</v>
      </c>
      <c r="D36" s="18" t="s">
        <v>1014</v>
      </c>
      <c r="E36" s="18" t="s">
        <v>1015</v>
      </c>
      <c r="F36" s="18" t="s">
        <v>86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22</v>
      </c>
      <c r="K36" s="18" t="s">
        <v>22</v>
      </c>
      <c r="L36" s="18" t="s">
        <v>891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83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22</v>
      </c>
      <c r="L37" s="18" t="s">
        <v>891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904</v>
      </c>
      <c r="D38" s="18" t="s">
        <v>905</v>
      </c>
      <c r="E38" s="18" t="s">
        <v>906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22</v>
      </c>
      <c r="L38" s="18" t="s">
        <v>891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912</v>
      </c>
      <c r="D39" s="18" t="s">
        <v>913</v>
      </c>
      <c r="E39" s="18" t="s">
        <v>914</v>
      </c>
      <c r="F39" s="18" t="s">
        <v>79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22</v>
      </c>
      <c r="L39" s="18" t="s">
        <v>891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915</v>
      </c>
      <c r="D40" s="18" t="s">
        <v>916</v>
      </c>
      <c r="E40" s="18" t="s">
        <v>917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22</v>
      </c>
      <c r="L40" s="18" t="s">
        <v>891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918</v>
      </c>
      <c r="D41" s="18" t="s">
        <v>919</v>
      </c>
      <c r="E41" s="18" t="s">
        <v>920</v>
      </c>
      <c r="F41" s="18" t="s">
        <v>86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22</v>
      </c>
      <c r="L41" s="18" t="s">
        <v>891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921</v>
      </c>
      <c r="D42" s="18" t="s">
        <v>922</v>
      </c>
      <c r="E42" s="18" t="s">
        <v>923</v>
      </c>
      <c r="F42" s="18" t="s">
        <v>79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22</v>
      </c>
      <c r="L42" s="18" t="s">
        <v>891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924</v>
      </c>
      <c r="D43" s="18" t="s">
        <v>925</v>
      </c>
      <c r="E43" s="18" t="s">
        <v>926</v>
      </c>
      <c r="F43" s="19">
        <v>1</v>
      </c>
      <c r="G43" s="19">
        <v>815</v>
      </c>
      <c r="H43" s="19">
        <v>25</v>
      </c>
      <c r="I43" s="19">
        <f t="shared" si="2"/>
        <v>790</v>
      </c>
      <c r="J43" s="18" t="s">
        <v>165</v>
      </c>
      <c r="K43" s="18" t="s">
        <v>22</v>
      </c>
      <c r="L43" s="18" t="s">
        <v>891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931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22</v>
      </c>
      <c r="L44" s="18" t="s">
        <v>891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934</v>
      </c>
      <c r="D45" s="18" t="s">
        <v>935</v>
      </c>
      <c r="E45" s="18" t="s">
        <v>936</v>
      </c>
      <c r="F45" s="18" t="s">
        <v>86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22</v>
      </c>
      <c r="L45" s="18" t="s">
        <v>891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943</v>
      </c>
      <c r="D46" s="18" t="s">
        <v>944</v>
      </c>
      <c r="E46" s="18" t="s">
        <v>945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22</v>
      </c>
      <c r="L46" s="18" t="s">
        <v>891</v>
      </c>
      <c r="M46" s="18" t="s">
        <v>1023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955</v>
      </c>
      <c r="D47" s="18" t="s">
        <v>956</v>
      </c>
      <c r="E47" s="18" t="s">
        <v>957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22</v>
      </c>
      <c r="L47" s="18" t="s">
        <v>891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990</v>
      </c>
      <c r="D48" s="18" t="s">
        <v>991</v>
      </c>
      <c r="E48" s="18" t="s">
        <v>992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22</v>
      </c>
      <c r="L48" s="18" t="s">
        <v>891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993</v>
      </c>
      <c r="D49" s="18" t="s">
        <v>994</v>
      </c>
      <c r="E49" s="18" t="s">
        <v>995</v>
      </c>
      <c r="F49" s="18" t="s">
        <v>86</v>
      </c>
      <c r="G49" s="19">
        <v>845</v>
      </c>
      <c r="H49" s="19">
        <v>25</v>
      </c>
      <c r="I49" s="19">
        <f>G49-H49</f>
        <v>820</v>
      </c>
      <c r="J49" s="18" t="s">
        <v>165</v>
      </c>
      <c r="K49" s="18" t="s">
        <v>22</v>
      </c>
      <c r="L49" s="18" t="s">
        <v>891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924</v>
      </c>
      <c r="D50" s="18" t="s">
        <v>999</v>
      </c>
      <c r="E50" s="18" t="s">
        <v>926</v>
      </c>
      <c r="F50" s="19">
        <v>1</v>
      </c>
      <c r="G50" s="19">
        <v>1330</v>
      </c>
      <c r="H50" s="19">
        <v>0</v>
      </c>
      <c r="I50" s="19">
        <f>G50-H50</f>
        <v>1330</v>
      </c>
      <c r="J50" s="18" t="s">
        <v>165</v>
      </c>
      <c r="K50" s="18" t="s">
        <v>22</v>
      </c>
      <c r="L50" s="18" t="s">
        <v>891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918</v>
      </c>
      <c r="D51" s="18" t="s">
        <v>1000</v>
      </c>
      <c r="E51" s="18" t="s">
        <v>920</v>
      </c>
      <c r="F51" s="18" t="s">
        <v>86</v>
      </c>
      <c r="G51" s="19">
        <v>785</v>
      </c>
      <c r="H51" s="19">
        <v>0</v>
      </c>
      <c r="I51" s="19">
        <f>G51-H51</f>
        <v>785</v>
      </c>
      <c r="J51" s="18" t="s">
        <v>165</v>
      </c>
      <c r="K51" s="18" t="s">
        <v>22</v>
      </c>
      <c r="L51" s="18" t="s">
        <v>891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1001</v>
      </c>
      <c r="D52" s="18" t="s">
        <v>1002</v>
      </c>
      <c r="E52" s="18" t="s">
        <v>1003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165</v>
      </c>
      <c r="K52" s="18" t="s">
        <v>22</v>
      </c>
      <c r="L52" s="18" t="s">
        <v>891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1016</v>
      </c>
      <c r="D53" s="18" t="s">
        <v>1017</v>
      </c>
      <c r="E53" s="18" t="s">
        <v>1018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165</v>
      </c>
      <c r="K53" s="18" t="s">
        <v>22</v>
      </c>
      <c r="L53" s="18" t="s">
        <v>891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1026</v>
      </c>
      <c r="D54" s="20"/>
      <c r="E54" s="20" t="s">
        <v>1027</v>
      </c>
      <c r="F54" s="20" t="s">
        <v>79</v>
      </c>
      <c r="G54" s="21">
        <v>210</v>
      </c>
      <c r="H54" s="21">
        <v>0</v>
      </c>
      <c r="I54" s="21">
        <f t="shared" ref="I54" si="3">G54-H54</f>
        <v>210</v>
      </c>
      <c r="J54" s="20" t="s">
        <v>446</v>
      </c>
      <c r="K54" s="20" t="s">
        <v>22</v>
      </c>
      <c r="L54" s="20"/>
      <c r="M54" s="20" t="s">
        <v>1028</v>
      </c>
      <c r="N54" s="20" t="s">
        <v>448</v>
      </c>
      <c r="O54" s="20" t="s">
        <v>448</v>
      </c>
      <c r="P54" s="20" t="s">
        <v>449</v>
      </c>
      <c r="Q54" s="21">
        <v>1</v>
      </c>
    </row>
    <row r="56" spans="1:17" x14ac:dyDescent="0.25">
      <c r="D56" s="1">
        <f>COUNTA(D3:D54)</f>
        <v>45</v>
      </c>
      <c r="G56" s="1">
        <f t="shared" ref="G56:Q56" si="4">SUBTOTAL(9,G3:G54)</f>
        <v>46116</v>
      </c>
      <c r="H56" s="1">
        <f t="shared" si="4"/>
        <v>1330</v>
      </c>
      <c r="I56" s="1">
        <f t="shared" si="4"/>
        <v>44786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29" t="s">
        <v>89</v>
      </c>
      <c r="D58" s="29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891</v>
      </c>
      <c r="B59" s="3" t="s">
        <v>93</v>
      </c>
      <c r="C59" s="30">
        <f>SUMIFS(I$3:I$54,B$3:B$54,A$58,L$3:L$54,A$59)</f>
        <v>44576</v>
      </c>
      <c r="D59" s="30"/>
      <c r="E59" s="3">
        <f>SUMIFS(Q$3:Q$54,B$3:B$54,A$58,L$3:L$54,A$59)</f>
        <v>51</v>
      </c>
      <c r="F59" t="s">
        <v>94</v>
      </c>
      <c r="K59" t="s">
        <v>95</v>
      </c>
      <c r="L59">
        <f>SUMIFS(G$3:G$54,J$3:J$54,K$58)</f>
        <v>11761</v>
      </c>
      <c r="M59">
        <f>SUMIFS(Q$3:Q$54,J$3:J$54,K$58)</f>
        <v>17</v>
      </c>
      <c r="O59" t="s">
        <v>165</v>
      </c>
      <c r="P59">
        <f>L64</f>
        <v>11456</v>
      </c>
    </row>
    <row r="60" spans="1:17" x14ac:dyDescent="0.25">
      <c r="B60" s="2" t="s">
        <v>97</v>
      </c>
      <c r="C60" s="31">
        <v>0</v>
      </c>
      <c r="D60" s="31"/>
      <c r="K60" t="s">
        <v>98</v>
      </c>
      <c r="L60">
        <f>-SUMIFS(H$3:H$54,J$3:J$54,K$58)+M60*5</f>
        <v>-305</v>
      </c>
      <c r="M60">
        <f>SUMIFS(Q$3:Q$54,J$3:J$54,K$58)-COUNTIFS(J$3:J$54,K$58,M$3:M$54,"*gộp*")</f>
        <v>13</v>
      </c>
      <c r="O60" t="s">
        <v>22</v>
      </c>
      <c r="P60">
        <f>L72</f>
        <v>17129</v>
      </c>
    </row>
    <row r="61" spans="1:17" x14ac:dyDescent="0.25">
      <c r="B61" s="2" t="s">
        <v>99</v>
      </c>
      <c r="C61" s="31">
        <f>-SUMIFS(I$3:I$54,B$3:B$54,A$58,P$3:P$54,"xx",N$3:N$54,"x")</f>
        <v>-210</v>
      </c>
      <c r="D61" s="31"/>
      <c r="E61" s="2">
        <f>SUMIFS(Q$3:Q$54,B$3:B$54,A$58,P$3:P$54,"xx",N$3:N$54,"x")</f>
        <v>1</v>
      </c>
      <c r="K61" t="s">
        <v>100</v>
      </c>
      <c r="O61" t="s">
        <v>1022</v>
      </c>
      <c r="P61">
        <f>L80</f>
        <v>16198</v>
      </c>
    </row>
    <row r="62" spans="1:17" x14ac:dyDescent="0.25">
      <c r="B62" s="4" t="s">
        <v>101</v>
      </c>
      <c r="C62" s="29">
        <f>SUBTOTAL(9,C59:C61)</f>
        <v>44366</v>
      </c>
      <c r="D62" s="29"/>
      <c r="E62">
        <f>E59</f>
        <v>51</v>
      </c>
      <c r="K62" s="2" t="s">
        <v>102</v>
      </c>
      <c r="O62" t="s">
        <v>103</v>
      </c>
      <c r="P62">
        <f>-C66</f>
        <v>-44366</v>
      </c>
    </row>
    <row r="63" spans="1:17" x14ac:dyDescent="0.25">
      <c r="B63" s="2" t="s">
        <v>104</v>
      </c>
      <c r="C63" s="27"/>
      <c r="D63" s="27"/>
      <c r="K63" s="2" t="s">
        <v>105</v>
      </c>
      <c r="O63" s="4" t="s">
        <v>106</v>
      </c>
      <c r="P63" s="4">
        <f>SUBTOTAL(9,P59:P62)</f>
        <v>417</v>
      </c>
    </row>
    <row r="64" spans="1:17" x14ac:dyDescent="0.25">
      <c r="B64" s="8" t="s">
        <v>107</v>
      </c>
      <c r="C64" s="27"/>
      <c r="D64" s="27"/>
      <c r="L64" s="9">
        <f>SUBTOTAL(9,L59:L63)</f>
        <v>11456</v>
      </c>
      <c r="M64" s="9">
        <f>M59</f>
        <v>17</v>
      </c>
    </row>
    <row r="66" spans="2:13" x14ac:dyDescent="0.25">
      <c r="B66" s="1" t="s">
        <v>108</v>
      </c>
      <c r="C66" s="28">
        <f>C62+C63+C64</f>
        <v>44366</v>
      </c>
      <c r="D66" s="28"/>
      <c r="E66" s="1" t="s">
        <v>109</v>
      </c>
      <c r="K66" s="7" t="s">
        <v>22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SUMIFS(G$3:G$54,J$3:J$54,K$66)</f>
        <v>17685</v>
      </c>
      <c r="M67">
        <f>SUMIFS(Q$3:Q$54,J$3:J$54,K$66)</f>
        <v>20</v>
      </c>
    </row>
    <row r="68" spans="2:13" x14ac:dyDescent="0.25">
      <c r="K68" t="s">
        <v>98</v>
      </c>
      <c r="L68">
        <f>-SUMIFS(H$3:H$54,J$3:J$54,K$66)+M68*5</f>
        <v>-460</v>
      </c>
      <c r="M68">
        <f>SUMIFS(Q$3:Q$54,J$3:J$54,K$66)-COUNTIFS(J$3:J$54,K$66,M$3:M$54,"*gộp*")</f>
        <v>20</v>
      </c>
    </row>
    <row r="69" spans="2:13" x14ac:dyDescent="0.25">
      <c r="K69" t="s">
        <v>100</v>
      </c>
      <c r="L69">
        <f>-M69*2</f>
        <v>-96</v>
      </c>
      <c r="M69">
        <f>Q56-(COUNTIFS(M$3:M$54,"*gộp*")/2)-COUNTIFS(P$3:P$54,"*xx*")*2</f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911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SUMIFS(G$3:G$54,J$3:J$54,K$74)</f>
        <v>16460</v>
      </c>
      <c r="M75">
        <f>SUMIFS(Q$3:Q$54,J$3:J$54,K$74)</f>
        <v>14</v>
      </c>
    </row>
    <row r="76" spans="2:13" x14ac:dyDescent="0.25">
      <c r="K76" t="s">
        <v>98</v>
      </c>
      <c r="L76">
        <f>SUM(H57:H58)</f>
        <v>-262</v>
      </c>
      <c r="M76">
        <f>SUMIFS(Q$3:Q$54,J$3:J$54,K$74)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4" xr:uid="{00000000-0009-0000-0000-000008000000}">
    <sortState xmlns:xlrd2="http://schemas.microsoft.com/office/spreadsheetml/2017/richdata2" ref="A3:P54">
      <sortCondition ref="J2:J54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2026-04-10T16:58:20Z</dcterms:modified>
</cp:coreProperties>
</file>