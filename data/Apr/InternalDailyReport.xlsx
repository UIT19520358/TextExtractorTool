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72497BD4-F563-4F32-820E-39EA6BEF65F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1-04" sheetId="2" r:id="rId1"/>
    <sheet name="02-04" sheetId="6" r:id="rId2"/>
  </sheets>
  <definedNames>
    <definedName name="_xlnm._FilterDatabase" localSheetId="0" hidden="1">'01-04'!$A$2:$P$23</definedName>
    <definedName name="_xlnm._FilterDatabase" localSheetId="1" hidden="1">'02-04'!$A$2:$P$24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M38" i="2" s="1"/>
  <c r="L38" i="2" s="1"/>
  <c r="H26" i="2"/>
  <c r="H27" i="2"/>
  <c r="C28" i="2"/>
  <c r="E28" i="2"/>
  <c r="L28" i="2"/>
  <c r="M28" i="2"/>
  <c r="L29" i="2"/>
  <c r="L33" i="2" s="1"/>
  <c r="P28" i="2" s="1"/>
  <c r="M29" i="2"/>
  <c r="C30" i="2"/>
  <c r="E30" i="2"/>
  <c r="C31" i="2"/>
  <c r="C35" i="2" s="1"/>
  <c r="P31" i="2" s="1"/>
  <c r="E31" i="2"/>
  <c r="M33" i="2"/>
  <c r="L36" i="2"/>
  <c r="M36" i="2"/>
  <c r="M41" i="2" s="1"/>
  <c r="L37" i="2"/>
  <c r="M37" i="2"/>
  <c r="L44" i="2"/>
  <c r="M44" i="2"/>
  <c r="M45" i="2"/>
  <c r="L45" i="2" s="1"/>
  <c r="L49" i="2" s="1"/>
  <c r="P30" i="2" s="1"/>
  <c r="M49" i="2"/>
  <c r="I10" i="6"/>
  <c r="C29" i="6" s="1"/>
  <c r="C32" i="6" s="1"/>
  <c r="C36" i="6" s="1"/>
  <c r="P32" i="6" s="1"/>
  <c r="I20" i="6"/>
  <c r="I11" i="6"/>
  <c r="I12" i="6"/>
  <c r="I13" i="6"/>
  <c r="I14" i="6"/>
  <c r="I3" i="6"/>
  <c r="I15" i="6"/>
  <c r="I4" i="6"/>
  <c r="I21" i="6"/>
  <c r="I16" i="6"/>
  <c r="I22" i="6"/>
  <c r="I5" i="6"/>
  <c r="I17" i="6"/>
  <c r="I6" i="6"/>
  <c r="I23" i="6"/>
  <c r="I7" i="6"/>
  <c r="I18" i="6"/>
  <c r="I8" i="6"/>
  <c r="I9" i="6"/>
  <c r="I24" i="6"/>
  <c r="I19" i="6"/>
  <c r="D26" i="6"/>
  <c r="G26" i="6"/>
  <c r="H26" i="6"/>
  <c r="I26" i="6"/>
  <c r="J26" i="6"/>
  <c r="K26" i="6"/>
  <c r="L26" i="6"/>
  <c r="M26" i="6"/>
  <c r="N26" i="6"/>
  <c r="O26" i="6"/>
  <c r="P26" i="6"/>
  <c r="Q26" i="6"/>
  <c r="M31" i="6" s="1"/>
  <c r="L31" i="6" s="1"/>
  <c r="H27" i="6"/>
  <c r="H28" i="6"/>
  <c r="E29" i="6"/>
  <c r="E32" i="6" s="1"/>
  <c r="H29" i="6"/>
  <c r="L29" i="6"/>
  <c r="M29" i="6"/>
  <c r="M30" i="6"/>
  <c r="L30" i="6" s="1"/>
  <c r="L34" i="6" s="1"/>
  <c r="P29" i="6" s="1"/>
  <c r="C31" i="6"/>
  <c r="E31" i="6"/>
  <c r="M34" i="6"/>
  <c r="L37" i="6"/>
  <c r="M37" i="6"/>
  <c r="M38" i="6"/>
  <c r="L38" i="6" s="1"/>
  <c r="L42" i="6" s="1"/>
  <c r="P30" i="6" s="1"/>
  <c r="M42" i="6"/>
  <c r="L45" i="6"/>
  <c r="M45" i="6"/>
  <c r="M50" i="6" s="1"/>
  <c r="L46" i="6"/>
  <c r="M46" i="6"/>
  <c r="L50" i="6" l="1"/>
  <c r="P31" i="6" s="1"/>
  <c r="P33" i="6" s="1"/>
  <c r="L41" i="2"/>
  <c r="P29" i="2" s="1"/>
  <c r="P32" i="2" s="1"/>
</calcChain>
</file>

<file path=xl/sharedStrings.xml><?xml version="1.0" encoding="utf-8"?>
<sst xmlns="http://schemas.openxmlformats.org/spreadsheetml/2006/main" count="443" uniqueCount="177">
  <si>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</si>
  <si>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</si>
  <si>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</si>
  <si>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</si>
  <si>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</si>
  <si>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</si>
  <si>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</si>
  <si>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</si>
  <si>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</si>
  <si>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</si>
  <si>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</si>
  <si>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</si>
  <si>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</si>
  <si>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</si>
  <si>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</si>
  <si>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</si>
  <si>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</si>
  <si>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</si>
  <si>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</si>
  <si>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</si>
  <si>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</si>
  <si>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</si>
  <si>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</si>
  <si>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</si>
  <si>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</si>
  <si>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</si>
  <si>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</si>
  <si>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</si>
  <si>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</si>
  <si>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</si>
  <si>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</si>
  <si>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</si>
  <si>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</si>
  <si>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</si>
  <si>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</si>
  <si>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</si>
  <si>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</si>
  <si>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</si>
  <si>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</si>
  <si>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</si>
  <si>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</si>
  <si>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</si>
  <si>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</si>
  <si>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</si>
  <si>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</si>
  <si>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</si>
  <si>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</si>
  <si>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</si>
  <si>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</si>
  <si>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</si>
  <si>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</si>
  <si>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</si>
  <si>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</si>
  <si>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</si>
  <si>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</si>
  <si>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</si>
  <si>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</si>
  <si>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</si>
  <si>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</si>
  <si>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</si>
  <si>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</si>
  <si>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</si>
  <si>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</si>
  <si>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</si>
  <si>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</si>
  <si>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</si>
  <si>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</si>
  <si>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</si>
  <si>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</si>
  <si>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</si>
  <si>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</si>
  <si>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</si>
  <si>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</si>
  <si>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</si>
  <si>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</si>
  <si>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</si>
  <si>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</si>
  <si>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</si>
  <si>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</si>
  <si>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</si>
  <si>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</si>
  <si>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</si>
  <si>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</si>
  <si>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</si>
  <si>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</si>
  <si>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</si>
  <si>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</si>
  <si>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</si>
  <si>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</si>
  <si>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</si>
  <si>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</si>
  <si>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</si>
  <si>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</si>
  <si>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</si>
  <si>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</si>
  <si>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</si>
  <si>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</si>
  <si>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</si>
  <si>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</si>
  <si>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</si>
  <si>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</si>
  <si>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</si>
  <si>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</si>
  <si>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</si>
  <si>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</si>
  <si>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</si>
  <si>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</si>
  <si>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</si>
  <si>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</si>
  <si>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</si>
  <si>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</si>
  <si>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</si>
  <si>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</si>
  <si>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</si>
  <si>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</si>
  <si>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</si>
  <si>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</si>
  <si>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</si>
  <si>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</si>
  <si>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</si>
  <si>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</si>
  <si>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</si>
  <si>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</si>
  <si>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</si>
  <si>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</si>
  <si>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</si>
  <si>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</si>
  <si>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</si>
  <si>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</si>
  <si>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</si>
  <si>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</si>
  <si>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</si>
  <si>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</si>
  <si>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</si>
  <si>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</si>
  <si>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</si>
  <si>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</si>
  <si>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</si>
  <si>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</si>
  <si>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</si>
  <si>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</si>
  <si>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</si>
  <si>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</si>
  <si>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</si>
  <si>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</si>
  <si>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</si>
  <si>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</si>
  <si>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</si>
  <si>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</si>
  <si>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</si>
  <si>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</si>
  <si>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</si>
  <si>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</si>
  <si>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</si>
  <si>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</si>
  <si>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</si>
  <si>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</si>
  <si>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</si>
  <si>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</si>
  <si>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</si>
  <si>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</si>
  <si>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</si>
  <si>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</si>
  <si>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</si>
  <si>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</si>
  <si>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</si>
  <si>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</si>
  <si>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</si>
  <si>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</si>
  <si>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</si>
  <si>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</si>
  <si>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</si>
  <si>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</si>
  <si>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</si>
  <si>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</si>
  <si>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</si>
  <si>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at 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</si>
</sst>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5">
    <xf numFmtId="0" fontId="0" fillId="0" borderId="0" xfId="0"/>
    <xf numFmtId="0" fontId="1" fillId="3" borderId="0" xfId="0" applyFont="1" applyFill="1"/>
    <xf numFmtId="0" fontId="0" fillId="0" borderId="0" xfId="0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31" workbookViewId="0">
      <selection activeCell="P37" sqref="P37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t="s">
        <v>20</v>
      </c>
      <c r="G3" s="11">
        <v>0</v>
      </c>
      <c r="H3" s="11">
        <v>30</v>
      </c>
      <c r="I3" s="11">
        <f>-H3</f>
        <v>-30</v>
      </c>
      <c r="J3" t="s">
        <v>21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24</v>
      </c>
      <c r="D4" t="s">
        <v>25</v>
      </c>
      <c r="E4" t="s">
        <v>26</v>
      </c>
      <c r="F4" s="11">
        <v>7</v>
      </c>
      <c r="G4" s="11">
        <v>850</v>
      </c>
      <c r="H4" s="11">
        <v>30</v>
      </c>
      <c r="I4" s="11">
        <f>G4-H4</f>
        <v>820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27</v>
      </c>
      <c r="D5" t="s">
        <v>28</v>
      </c>
      <c r="E5" t="s">
        <v>29</v>
      </c>
      <c r="F5" s="11">
        <v>3</v>
      </c>
      <c r="G5" s="11">
        <v>695</v>
      </c>
      <c r="H5" s="11">
        <v>25</v>
      </c>
      <c r="I5" s="11">
        <f>G5-H5</f>
        <v>670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30</v>
      </c>
      <c r="D6" t="s">
        <v>31</v>
      </c>
      <c r="E6" t="s">
        <v>32</v>
      </c>
      <c r="F6" s="11">
        <v>7</v>
      </c>
      <c r="G6" s="11">
        <v>740</v>
      </c>
      <c r="H6" s="11">
        <v>30</v>
      </c>
      <c r="I6" s="11">
        <f>G6-H6</f>
        <v>710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33</v>
      </c>
      <c r="D7" t="s">
        <v>34</v>
      </c>
      <c r="E7" t="s">
        <v>35</v>
      </c>
      <c r="F7" t="s">
        <v>36</v>
      </c>
      <c r="G7" s="11">
        <v>0</v>
      </c>
      <c r="H7" s="11">
        <v>20</v>
      </c>
      <c r="I7" s="11">
        <f>-H7</f>
        <v>-20</v>
      </c>
      <c r="J7" t="s">
        <v>22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s="11">
        <v>9</v>
      </c>
      <c r="G8" s="11">
        <v>780</v>
      </c>
      <c r="H8" s="11">
        <v>30</v>
      </c>
      <c r="I8" s="11">
        <f>G8-H8</f>
        <v>750</v>
      </c>
      <c r="J8" t="s">
        <v>40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41</v>
      </c>
      <c r="D9" t="s">
        <v>42</v>
      </c>
      <c r="E9" t="s">
        <v>43</v>
      </c>
      <c r="F9" t="s">
        <v>44</v>
      </c>
      <c r="G9" s="11">
        <v>615</v>
      </c>
      <c r="H9" s="11">
        <v>25</v>
      </c>
      <c r="I9" s="11">
        <f>G9-H9</f>
        <v>590</v>
      </c>
      <c r="J9" t="s">
        <v>22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45</v>
      </c>
      <c r="D10" t="s">
        <v>46</v>
      </c>
      <c r="E10" t="s">
        <v>47</v>
      </c>
      <c r="F10" t="s">
        <v>20</v>
      </c>
      <c r="G10" s="11">
        <v>610</v>
      </c>
      <c r="H10" s="11">
        <v>30</v>
      </c>
      <c r="I10" s="11">
        <f>G10-H10</f>
        <v>580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48</v>
      </c>
      <c r="D11" t="s">
        <v>49</v>
      </c>
      <c r="E11" t="s">
        <v>50</v>
      </c>
      <c r="F11" s="11">
        <v>8</v>
      </c>
      <c r="G11" s="11">
        <v>0</v>
      </c>
      <c r="H11" s="11">
        <v>25</v>
      </c>
      <c r="I11" s="11">
        <f>-H11</f>
        <v>-25</v>
      </c>
      <c r="J11" t="s">
        <v>21</v>
      </c>
      <c r="K11" t="s">
        <v>22</v>
      </c>
      <c r="L11" t="s">
        <v>23</v>
      </c>
      <c r="Q11">
        <v>1</v>
      </c>
    </row>
    <row r="12" spans="1:17" x14ac:dyDescent="0.25">
      <c r="B12" t="s">
        <v>16</v>
      </c>
      <c r="C12" t="s">
        <v>51</v>
      </c>
      <c r="D12" t="s">
        <v>52</v>
      </c>
      <c r="E12" t="s">
        <v>53</v>
      </c>
      <c r="F12" s="11">
        <v>1</v>
      </c>
      <c r="G12" s="11">
        <v>845</v>
      </c>
      <c r="H12" s="11">
        <v>25</v>
      </c>
      <c r="I12" s="11">
        <f t="shared" ref="I12:I21" si="0">G12-H12</f>
        <v>820</v>
      </c>
      <c r="J12" t="s">
        <v>22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54</v>
      </c>
      <c r="D13" t="s">
        <v>55</v>
      </c>
      <c r="E13" t="s">
        <v>56</v>
      </c>
      <c r="F13" s="11">
        <v>12</v>
      </c>
      <c r="G13" s="11">
        <v>750</v>
      </c>
      <c r="H13" s="11">
        <v>30</v>
      </c>
      <c r="I13" s="11">
        <f t="shared" si="0"/>
        <v>720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57</v>
      </c>
      <c r="D14" t="s">
        <v>58</v>
      </c>
      <c r="E14" t="s">
        <v>59</v>
      </c>
      <c r="F14" t="s">
        <v>36</v>
      </c>
      <c r="G14" s="11">
        <v>1630</v>
      </c>
      <c r="H14" s="11">
        <v>20</v>
      </c>
      <c r="I14" s="11">
        <f t="shared" si="0"/>
        <v>1610</v>
      </c>
      <c r="J14" t="s">
        <v>22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60</v>
      </c>
      <c r="D15" t="s">
        <v>61</v>
      </c>
      <c r="E15" t="s">
        <v>62</v>
      </c>
      <c r="F15" s="11">
        <v>3</v>
      </c>
      <c r="G15" s="11">
        <v>405</v>
      </c>
      <c r="H15" s="11">
        <v>25</v>
      </c>
      <c r="I15" s="11">
        <f t="shared" si="0"/>
        <v>380</v>
      </c>
      <c r="J15" t="s">
        <v>22</v>
      </c>
      <c r="K15" t="s">
        <v>22</v>
      </c>
      <c r="L15" t="s">
        <v>23</v>
      </c>
      <c r="Q15">
        <v>1</v>
      </c>
    </row>
    <row r="16" spans="1:17" x14ac:dyDescent="0.25">
      <c r="B16" t="s">
        <v>16</v>
      </c>
      <c r="C16" t="s">
        <v>63</v>
      </c>
      <c r="D16" t="s">
        <v>64</v>
      </c>
      <c r="E16" t="s">
        <v>65</v>
      </c>
      <c r="F16" s="11">
        <v>7</v>
      </c>
      <c r="G16" s="11">
        <v>30</v>
      </c>
      <c r="H16" s="11">
        <v>30</v>
      </c>
      <c r="I16" s="11">
        <f t="shared" si="0"/>
        <v>0</v>
      </c>
      <c r="J16" t="s">
        <v>21</v>
      </c>
      <c r="K16" t="s">
        <v>22</v>
      </c>
      <c r="L16" t="s">
        <v>23</v>
      </c>
      <c r="M16" t="s">
        <v>66</v>
      </c>
      <c r="Q16">
        <v>1</v>
      </c>
    </row>
    <row r="17" spans="1:17" x14ac:dyDescent="0.25">
      <c r="B17" t="s">
        <v>16</v>
      </c>
      <c r="C17" t="s">
        <v>67</v>
      </c>
      <c r="D17" t="s">
        <v>68</v>
      </c>
      <c r="E17" t="s">
        <v>69</v>
      </c>
      <c r="F17" s="11">
        <v>7</v>
      </c>
      <c r="G17" s="11">
        <v>1640</v>
      </c>
      <c r="H17" s="11">
        <v>30</v>
      </c>
      <c r="I17" s="11">
        <f t="shared" si="0"/>
        <v>1610</v>
      </c>
      <c r="J17" t="s">
        <v>21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70</v>
      </c>
      <c r="D18" t="s">
        <v>71</v>
      </c>
      <c r="E18" t="s">
        <v>72</v>
      </c>
      <c r="F18" s="11">
        <v>12</v>
      </c>
      <c r="G18" s="11">
        <v>590</v>
      </c>
      <c r="H18" s="11">
        <v>30</v>
      </c>
      <c r="I18" s="11">
        <f t="shared" si="0"/>
        <v>560</v>
      </c>
      <c r="J18" t="s">
        <v>21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11">
        <v>7</v>
      </c>
      <c r="G19" s="11">
        <v>850</v>
      </c>
      <c r="H19" s="11">
        <v>30</v>
      </c>
      <c r="I19" s="11">
        <f t="shared" si="0"/>
        <v>820</v>
      </c>
      <c r="J19" t="s">
        <v>21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79</v>
      </c>
      <c r="G20" s="11">
        <v>20</v>
      </c>
      <c r="H20" s="11">
        <v>20</v>
      </c>
      <c r="I20" s="11">
        <f t="shared" si="0"/>
        <v>0</v>
      </c>
      <c r="J20" t="s">
        <v>22</v>
      </c>
      <c r="K20" t="s">
        <v>22</v>
      </c>
      <c r="L20" t="s">
        <v>23</v>
      </c>
      <c r="M20" t="s">
        <v>66</v>
      </c>
      <c r="Q20">
        <v>1</v>
      </c>
    </row>
    <row r="21" spans="1:17" x14ac:dyDescent="0.25">
      <c r="B21" t="s">
        <v>16</v>
      </c>
      <c r="C21" t="s">
        <v>80</v>
      </c>
      <c r="D21" t="s">
        <v>81</v>
      </c>
      <c r="E21" t="s">
        <v>82</v>
      </c>
      <c r="F21" t="s">
        <v>20</v>
      </c>
      <c r="G21" s="11">
        <v>820</v>
      </c>
      <c r="H21" s="11">
        <v>30</v>
      </c>
      <c r="I21" s="11">
        <f t="shared" si="0"/>
        <v>790</v>
      </c>
      <c r="J21" t="s">
        <v>21</v>
      </c>
      <c r="K21" t="s">
        <v>22</v>
      </c>
      <c r="L21" t="s">
        <v>23</v>
      </c>
      <c r="Q21">
        <v>1</v>
      </c>
    </row>
    <row r="22" spans="1:17" x14ac:dyDescent="0.25">
      <c r="A22" t="s">
        <v>83</v>
      </c>
      <c r="B22" t="s">
        <v>16</v>
      </c>
      <c r="C22" t="s">
        <v>84</v>
      </c>
      <c r="E22" t="s">
        <v>85</v>
      </c>
      <c r="F22" t="s">
        <v>86</v>
      </c>
      <c r="G22" s="11">
        <v>0</v>
      </c>
      <c r="H22" s="11">
        <v>30</v>
      </c>
      <c r="I22" s="11">
        <f>-H22</f>
        <v>-30</v>
      </c>
      <c r="J22" t="s">
        <v>22</v>
      </c>
      <c r="K22" t="s">
        <v>22</v>
      </c>
      <c r="L22" t="s">
        <v>23</v>
      </c>
      <c r="Q22">
        <v>1</v>
      </c>
    </row>
    <row r="23" spans="1:17" x14ac:dyDescent="0.25">
      <c r="A23" t="s">
        <v>83</v>
      </c>
      <c r="B23" t="s">
        <v>16</v>
      </c>
      <c r="C23" t="s">
        <v>87</v>
      </c>
      <c r="E23" t="s">
        <v>88</v>
      </c>
      <c r="F23" s="11">
        <v>6</v>
      </c>
      <c r="G23" s="11">
        <v>0</v>
      </c>
      <c r="H23" s="11">
        <v>30</v>
      </c>
      <c r="I23" s="11">
        <f>-H23</f>
        <v>-30</v>
      </c>
      <c r="J23" t="s">
        <v>21</v>
      </c>
      <c r="K23" t="s">
        <v>22</v>
      </c>
      <c r="L23" t="s">
        <v>23</v>
      </c>
      <c r="Q23">
        <v>1</v>
      </c>
    </row>
    <row r="25" spans="1:17" x14ac:dyDescent="0.25">
      <c r="D25" s="6">
        <f>COUNTA(D3:D23)</f>
        <v>19</v>
      </c>
      <c r="G25" s="6">
        <f t="shared" ref="G25:Q25" si="1">SUBTOTAL(9,G3:G23)</f>
        <v>11870</v>
      </c>
      <c r="H25" s="6">
        <f t="shared" si="1"/>
        <v>575</v>
      </c>
      <c r="I25" s="6">
        <f t="shared" si="1"/>
        <v>11295</v>
      </c>
      <c r="J25" s="6">
        <f t="shared" si="1"/>
        <v>0</v>
      </c>
      <c r="K25" s="6">
        <f t="shared" si="1"/>
        <v>0</v>
      </c>
      <c r="L25" s="6">
        <f t="shared" si="1"/>
        <v>0</v>
      </c>
      <c r="M25" s="6">
        <f t="shared" si="1"/>
        <v>0</v>
      </c>
      <c r="N25" s="6">
        <f t="shared" si="1"/>
        <v>0</v>
      </c>
      <c r="O25" s="6">
        <f t="shared" si="1"/>
        <v>0</v>
      </c>
      <c r="P25" s="6">
        <f t="shared" si="1"/>
        <v>0</v>
      </c>
      <c r="Q25" s="6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6" t="s">
        <v>16</v>
      </c>
      <c r="C27" s="5" t="s">
        <v>89</v>
      </c>
      <c r="D27" s="5"/>
      <c r="E27" s="9" t="s">
        <v>90</v>
      </c>
      <c r="H27">
        <f>-5*25</f>
        <v>-125</v>
      </c>
      <c r="K27" s="12" t="s">
        <v>21</v>
      </c>
      <c r="L27" s="12" t="s">
        <v>91</v>
      </c>
      <c r="M27" s="12" t="s">
        <v>90</v>
      </c>
      <c r="O27" s="9" t="s">
        <v>92</v>
      </c>
    </row>
    <row r="28" spans="1:17" x14ac:dyDescent="0.25">
      <c r="A28" t="s">
        <v>23</v>
      </c>
      <c r="B28" s="8" t="s">
        <v>93</v>
      </c>
      <c r="C28" s="4">
        <f>SUMIFS(I$3:I$23,B$3:B$23,A$27,L$3:L$23,A$28)</f>
        <v>11295</v>
      </c>
      <c r="D28" s="4"/>
      <c r="E28" s="8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7" t="s">
        <v>97</v>
      </c>
      <c r="C29" s="3">
        <v>0</v>
      </c>
      <c r="D29" s="3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7" t="s">
        <v>99</v>
      </c>
      <c r="C30" s="3">
        <f>-SUMIFS(I$3:I$23,B$3:B$23,A$27,P$3:P$23,"xx",N$3:N$23,"x")</f>
        <v>0</v>
      </c>
      <c r="D30" s="3"/>
      <c r="E30" s="7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9" t="s">
        <v>101</v>
      </c>
      <c r="C31" s="5">
        <f>SUBTOTAL(9,C28:C30)</f>
        <v>11295</v>
      </c>
      <c r="D31" s="5"/>
      <c r="E31">
        <f>E28</f>
        <v>21</v>
      </c>
      <c r="K31" s="7" t="s">
        <v>102</v>
      </c>
      <c r="O31" t="s">
        <v>103</v>
      </c>
      <c r="P31">
        <f>-C35</f>
        <v>-11295</v>
      </c>
    </row>
    <row r="32" spans="1:17" x14ac:dyDescent="0.25">
      <c r="B32" s="7" t="s">
        <v>104</v>
      </c>
      <c r="C32" s="2"/>
      <c r="D32" s="2"/>
      <c r="K32" s="7" t="s">
        <v>105</v>
      </c>
      <c r="O32" s="9" t="s">
        <v>106</v>
      </c>
      <c r="P32" s="9">
        <f>SUBTOTAL(9,P28:P31)</f>
        <v>117</v>
      </c>
    </row>
    <row r="33" spans="2:13" x14ac:dyDescent="0.25">
      <c r="B33" s="13" t="s">
        <v>107</v>
      </c>
      <c r="C33" s="2"/>
      <c r="D33" s="2"/>
      <c r="L33" s="14">
        <f>SUBTOTAL(9,L28:L32)</f>
        <v>7314</v>
      </c>
      <c r="M33" s="14">
        <f>M28</f>
        <v>13</v>
      </c>
    </row>
    <row r="35" spans="2:13" x14ac:dyDescent="0.25">
      <c r="B35" s="6" t="s">
        <v>108</v>
      </c>
      <c r="C35" s="1">
        <f>C31+C32+C33</f>
        <v>11295</v>
      </c>
      <c r="D35" s="1"/>
      <c r="E35" s="6" t="s">
        <v>109</v>
      </c>
      <c r="K35" s="12" t="s">
        <v>22</v>
      </c>
      <c r="L35" s="12" t="s">
        <v>91</v>
      </c>
      <c r="M35" s="12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7" t="s">
        <v>102</v>
      </c>
    </row>
    <row r="40" spans="2:13" x14ac:dyDescent="0.25">
      <c r="K40" s="7" t="s">
        <v>105</v>
      </c>
    </row>
    <row r="41" spans="2:13" x14ac:dyDescent="0.25">
      <c r="L41" s="14">
        <f>SUBTOTAL(9,L36:L40)</f>
        <v>3343</v>
      </c>
      <c r="M41" s="14">
        <f>M36</f>
        <v>7</v>
      </c>
    </row>
    <row r="43" spans="2:13" x14ac:dyDescent="0.25">
      <c r="K43" s="12" t="s">
        <v>40</v>
      </c>
      <c r="L43" s="12" t="s">
        <v>91</v>
      </c>
      <c r="M43" s="12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7" t="s">
        <v>102</v>
      </c>
    </row>
    <row r="48" spans="2:13" x14ac:dyDescent="0.25">
      <c r="K48" s="7" t="s">
        <v>105</v>
      </c>
    </row>
    <row r="49" spans="12:13" x14ac:dyDescent="0.25">
      <c r="L49" s="14">
        <f>SUBTOTAL(9,L44:L48)</f>
        <v>755</v>
      </c>
      <c r="M49" s="14">
        <f>M44</f>
        <v>1</v>
      </c>
    </row>
  </sheetData>
  <autoFilter ref="A2:P23" xr:uid="{00000000-0009-0000-0000-000000000000}"/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abSelected="1" workbookViewId="0">
      <selection activeCell="J20" sqref="J20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</row>
    <row r="3" spans="1:17" x14ac:dyDescent="0.25">
      <c r="B3" t="s">
        <v>16</v>
      </c>
      <c r="C3" t="s">
        <v>125</v>
      </c>
      <c r="D3" t="s">
        <v>126</v>
      </c>
      <c r="E3" t="s">
        <v>127</v>
      </c>
      <c r="F3" t="s">
        <v>128</v>
      </c>
      <c r="G3" s="11">
        <v>35</v>
      </c>
      <c r="H3" s="11">
        <v>35</v>
      </c>
      <c r="I3" s="11">
        <f>G3-H3</f>
        <v>0</v>
      </c>
      <c r="J3" t="s">
        <v>129</v>
      </c>
      <c r="K3" t="s">
        <v>22</v>
      </c>
      <c r="L3" t="s">
        <v>112</v>
      </c>
      <c r="M3" t="s">
        <v>66</v>
      </c>
      <c r="Q3">
        <v>1</v>
      </c>
    </row>
    <row r="4" spans="1:17" x14ac:dyDescent="0.25">
      <c r="B4" t="s">
        <v>16</v>
      </c>
      <c r="C4" t="s">
        <v>134</v>
      </c>
      <c r="D4" t="s">
        <v>135</v>
      </c>
      <c r="E4" t="s">
        <v>136</v>
      </c>
      <c r="F4" t="s">
        <v>20</v>
      </c>
      <c r="G4" s="11">
        <v>870</v>
      </c>
      <c r="H4" s="11">
        <v>30</v>
      </c>
      <c r="I4" s="11">
        <f>G4-H4</f>
        <v>840</v>
      </c>
      <c r="J4" t="s">
        <v>129</v>
      </c>
      <c r="K4" t="s">
        <v>22</v>
      </c>
      <c r="L4" t="s">
        <v>112</v>
      </c>
      <c r="Q4">
        <v>1</v>
      </c>
    </row>
    <row r="5" spans="1:17" x14ac:dyDescent="0.25">
      <c r="B5" t="s">
        <v>16</v>
      </c>
      <c r="C5" t="s">
        <v>145</v>
      </c>
      <c r="D5" t="s">
        <v>146</v>
      </c>
      <c r="E5" t="s">
        <v>147</v>
      </c>
      <c r="F5" s="11">
        <v>8</v>
      </c>
      <c r="G5" s="11">
        <v>0</v>
      </c>
      <c r="H5" s="11">
        <v>25</v>
      </c>
      <c r="I5" s="11">
        <f>-H5</f>
        <v>-25</v>
      </c>
      <c r="J5" t="s">
        <v>129</v>
      </c>
      <c r="K5" t="s">
        <v>22</v>
      </c>
      <c r="L5" t="s">
        <v>112</v>
      </c>
      <c r="Q5">
        <v>1</v>
      </c>
    </row>
    <row r="6" spans="1:17" x14ac:dyDescent="0.25">
      <c r="B6" t="s">
        <v>16</v>
      </c>
      <c r="C6" t="s">
        <v>151</v>
      </c>
      <c r="D6" t="s">
        <v>152</v>
      </c>
      <c r="E6" t="s">
        <v>153</v>
      </c>
      <c r="F6" s="11">
        <v>7</v>
      </c>
      <c r="G6" s="11">
        <v>650</v>
      </c>
      <c r="H6" s="11">
        <v>30</v>
      </c>
      <c r="I6" s="11">
        <f>G6-H6</f>
        <v>620</v>
      </c>
      <c r="J6" t="s">
        <v>129</v>
      </c>
      <c r="K6" t="s">
        <v>22</v>
      </c>
      <c r="L6" t="s">
        <v>112</v>
      </c>
      <c r="Q6">
        <v>1</v>
      </c>
    </row>
    <row r="7" spans="1:17" x14ac:dyDescent="0.25">
      <c r="B7" t="s">
        <v>16</v>
      </c>
      <c r="C7" t="s">
        <v>157</v>
      </c>
      <c r="D7" t="s">
        <v>158</v>
      </c>
      <c r="E7" t="s">
        <v>159</v>
      </c>
      <c r="F7" t="s">
        <v>160</v>
      </c>
      <c r="G7" s="11">
        <v>1215</v>
      </c>
      <c r="H7" s="11">
        <v>35</v>
      </c>
      <c r="I7" s="11">
        <f>G7-H7</f>
        <v>1180</v>
      </c>
      <c r="J7" t="s">
        <v>129</v>
      </c>
      <c r="K7" t="s">
        <v>22</v>
      </c>
      <c r="L7" t="s">
        <v>112</v>
      </c>
      <c r="Q7">
        <v>1</v>
      </c>
    </row>
    <row r="8" spans="1:17" x14ac:dyDescent="0.25">
      <c r="B8" t="s">
        <v>16</v>
      </c>
      <c r="C8" t="s">
        <v>164</v>
      </c>
      <c r="D8" t="s">
        <v>165</v>
      </c>
      <c r="E8" t="s">
        <v>166</v>
      </c>
      <c r="F8" s="11">
        <v>7</v>
      </c>
      <c r="G8" s="11">
        <v>740</v>
      </c>
      <c r="H8" s="11">
        <v>30</v>
      </c>
      <c r="I8" s="11">
        <f>G8-H8</f>
        <v>710</v>
      </c>
      <c r="J8" t="s">
        <v>129</v>
      </c>
      <c r="K8" t="s">
        <v>22</v>
      </c>
      <c r="L8" t="s">
        <v>112</v>
      </c>
      <c r="Q8">
        <v>1</v>
      </c>
    </row>
    <row r="9" spans="1:17" x14ac:dyDescent="0.25">
      <c r="B9" t="s">
        <v>16</v>
      </c>
      <c r="C9" t="s">
        <v>167</v>
      </c>
      <c r="D9" t="s">
        <v>168</v>
      </c>
      <c r="E9" t="s">
        <v>169</v>
      </c>
      <c r="F9" t="s">
        <v>20</v>
      </c>
      <c r="G9" s="11">
        <v>770</v>
      </c>
      <c r="H9" s="11">
        <v>30</v>
      </c>
      <c r="I9" s="11">
        <f>G9-H9</f>
        <v>740</v>
      </c>
      <c r="J9" t="s">
        <v>129</v>
      </c>
      <c r="K9" t="s">
        <v>22</v>
      </c>
      <c r="L9" t="s">
        <v>112</v>
      </c>
      <c r="Q9">
        <v>1</v>
      </c>
    </row>
    <row r="10" spans="1:17" x14ac:dyDescent="0.25">
      <c r="A10" t="s">
        <v>83</v>
      </c>
      <c r="B10" t="s">
        <v>16</v>
      </c>
      <c r="C10" t="s">
        <v>110</v>
      </c>
      <c r="E10" t="s">
        <v>111</v>
      </c>
      <c r="F10" s="11">
        <v>6</v>
      </c>
      <c r="G10" s="11">
        <v>70</v>
      </c>
      <c r="H10" s="11">
        <v>70</v>
      </c>
      <c r="I10" s="11">
        <f>G10-H10</f>
        <v>0</v>
      </c>
      <c r="J10" t="s">
        <v>22</v>
      </c>
      <c r="K10" t="s">
        <v>22</v>
      </c>
      <c r="L10" t="s">
        <v>112</v>
      </c>
      <c r="Q10">
        <v>1</v>
      </c>
    </row>
    <row r="11" spans="1:17" x14ac:dyDescent="0.25">
      <c r="A11" t="s">
        <v>83</v>
      </c>
      <c r="B11" t="s">
        <v>16</v>
      </c>
      <c r="C11" t="s">
        <v>116</v>
      </c>
      <c r="E11" t="s">
        <v>117</v>
      </c>
      <c r="F11" s="11">
        <v>12</v>
      </c>
      <c r="G11" s="11">
        <v>0</v>
      </c>
      <c r="H11" s="11">
        <v>30</v>
      </c>
      <c r="I11" s="11">
        <f>-H11</f>
        <v>-30</v>
      </c>
      <c r="J11" t="s">
        <v>22</v>
      </c>
      <c r="K11" t="s">
        <v>22</v>
      </c>
      <c r="L11" t="s">
        <v>112</v>
      </c>
      <c r="Q11">
        <v>1</v>
      </c>
    </row>
    <row r="12" spans="1:17" x14ac:dyDescent="0.25">
      <c r="A12" t="s">
        <v>83</v>
      </c>
      <c r="B12" t="s">
        <v>16</v>
      </c>
      <c r="C12" t="s">
        <v>118</v>
      </c>
      <c r="E12" t="s">
        <v>119</v>
      </c>
      <c r="F12" t="s">
        <v>44</v>
      </c>
      <c r="G12" s="11">
        <v>30</v>
      </c>
      <c r="H12" s="11">
        <v>30</v>
      </c>
      <c r="I12" s="11">
        <f>G12-H12</f>
        <v>0</v>
      </c>
      <c r="J12" t="s">
        <v>22</v>
      </c>
      <c r="K12" t="s">
        <v>22</v>
      </c>
      <c r="L12" t="s">
        <v>112</v>
      </c>
      <c r="Q12">
        <v>1</v>
      </c>
    </row>
    <row r="13" spans="1:17" x14ac:dyDescent="0.25">
      <c r="A13" t="s">
        <v>83</v>
      </c>
      <c r="B13" t="s">
        <v>16</v>
      </c>
      <c r="C13" t="s">
        <v>120</v>
      </c>
      <c r="E13" t="s">
        <v>121</v>
      </c>
      <c r="F13" t="s">
        <v>86</v>
      </c>
      <c r="G13" s="11">
        <v>530</v>
      </c>
      <c r="H13" s="11">
        <v>30</v>
      </c>
      <c r="I13" s="11">
        <f>G13-H13</f>
        <v>500</v>
      </c>
      <c r="J13" t="s">
        <v>22</v>
      </c>
      <c r="K13" t="s">
        <v>22</v>
      </c>
      <c r="L13" t="s">
        <v>112</v>
      </c>
      <c r="Q13">
        <v>1</v>
      </c>
    </row>
    <row r="14" spans="1:17" x14ac:dyDescent="0.25">
      <c r="B14" t="s">
        <v>16</v>
      </c>
      <c r="C14" t="s">
        <v>122</v>
      </c>
      <c r="D14" t="s">
        <v>123</v>
      </c>
      <c r="E14" t="s">
        <v>124</v>
      </c>
      <c r="F14" t="s">
        <v>36</v>
      </c>
      <c r="G14" s="11">
        <v>740</v>
      </c>
      <c r="H14" s="11">
        <v>20</v>
      </c>
      <c r="I14" s="11">
        <f>G14-H14</f>
        <v>720</v>
      </c>
      <c r="J14" t="s">
        <v>22</v>
      </c>
      <c r="K14" t="s">
        <v>22</v>
      </c>
      <c r="L14" t="s">
        <v>112</v>
      </c>
      <c r="Q14">
        <v>1</v>
      </c>
    </row>
    <row r="15" spans="1:17" x14ac:dyDescent="0.25">
      <c r="B15" t="s">
        <v>16</v>
      </c>
      <c r="C15" t="s">
        <v>130</v>
      </c>
      <c r="D15" t="s">
        <v>131</v>
      </c>
      <c r="E15" t="s">
        <v>132</v>
      </c>
      <c r="F15" t="s">
        <v>133</v>
      </c>
      <c r="G15" s="11">
        <v>0</v>
      </c>
      <c r="H15" s="11">
        <v>30</v>
      </c>
      <c r="I15" s="11">
        <f>-H15</f>
        <v>-30</v>
      </c>
      <c r="J15" t="s">
        <v>22</v>
      </c>
      <c r="K15" t="s">
        <v>22</v>
      </c>
      <c r="L15" t="s">
        <v>112</v>
      </c>
      <c r="Q15">
        <v>1</v>
      </c>
    </row>
    <row r="16" spans="1:17" x14ac:dyDescent="0.25">
      <c r="B16" t="s">
        <v>16</v>
      </c>
      <c r="C16" t="s">
        <v>140</v>
      </c>
      <c r="D16" t="s">
        <v>141</v>
      </c>
      <c r="E16" t="s">
        <v>142</v>
      </c>
      <c r="F16" t="s">
        <v>36</v>
      </c>
      <c r="G16" s="11">
        <v>510</v>
      </c>
      <c r="H16" s="11">
        <v>20</v>
      </c>
      <c r="I16" s="11">
        <f>G16-H16</f>
        <v>490</v>
      </c>
      <c r="J16" t="s">
        <v>22</v>
      </c>
      <c r="K16" t="s">
        <v>22</v>
      </c>
      <c r="L16" t="s">
        <v>112</v>
      </c>
      <c r="Q16">
        <v>1</v>
      </c>
    </row>
    <row r="17" spans="1:17" x14ac:dyDescent="0.25">
      <c r="B17" t="s">
        <v>16</v>
      </c>
      <c r="C17" t="s">
        <v>148</v>
      </c>
      <c r="D17" t="s">
        <v>149</v>
      </c>
      <c r="E17" t="s">
        <v>150</v>
      </c>
      <c r="F17" t="s">
        <v>36</v>
      </c>
      <c r="G17" s="11">
        <v>0</v>
      </c>
      <c r="H17" s="11">
        <v>20</v>
      </c>
      <c r="I17" s="11">
        <f>-H17</f>
        <v>-20</v>
      </c>
      <c r="J17" t="s">
        <v>22</v>
      </c>
      <c r="K17" t="s">
        <v>22</v>
      </c>
      <c r="L17" t="s">
        <v>112</v>
      </c>
      <c r="Q17">
        <v>1</v>
      </c>
    </row>
    <row r="18" spans="1:17" x14ac:dyDescent="0.25">
      <c r="B18" t="s">
        <v>16</v>
      </c>
      <c r="C18" t="s">
        <v>161</v>
      </c>
      <c r="D18" t="s">
        <v>162</v>
      </c>
      <c r="E18" t="s">
        <v>163</v>
      </c>
      <c r="F18" t="s">
        <v>44</v>
      </c>
      <c r="G18" s="11">
        <v>915</v>
      </c>
      <c r="H18" s="11">
        <v>25</v>
      </c>
      <c r="I18" s="11">
        <f>G18-H18</f>
        <v>890</v>
      </c>
      <c r="J18" t="s">
        <v>22</v>
      </c>
      <c r="K18" t="s">
        <v>22</v>
      </c>
      <c r="L18" t="s">
        <v>112</v>
      </c>
      <c r="Q18">
        <v>1</v>
      </c>
    </row>
    <row r="19" spans="1:17" x14ac:dyDescent="0.25">
      <c r="B19" t="s">
        <v>16</v>
      </c>
      <c r="C19" t="s">
        <v>173</v>
      </c>
      <c r="D19" t="s">
        <v>174</v>
      </c>
      <c r="E19" t="s">
        <v>175</v>
      </c>
      <c r="F19" t="s">
        <v>36</v>
      </c>
      <c r="G19" s="11">
        <v>0</v>
      </c>
      <c r="H19" s="11">
        <v>20</v>
      </c>
      <c r="I19" s="11">
        <f>-H19</f>
        <v>-20</v>
      </c>
      <c r="J19" t="s">
        <v>22</v>
      </c>
      <c r="K19" t="s">
        <v>22</v>
      </c>
      <c r="L19" t="s">
        <v>112</v>
      </c>
      <c r="Q19">
        <v>1</v>
      </c>
    </row>
    <row r="20" spans="1:17" x14ac:dyDescent="0.25">
      <c r="A20" t="s">
        <v>83</v>
      </c>
      <c r="B20" t="s">
        <v>16</v>
      </c>
      <c r="C20" t="s">
        <v>113</v>
      </c>
      <c r="E20" t="s">
        <v>114</v>
      </c>
      <c r="F20" t="s">
        <v>86</v>
      </c>
      <c r="G20" s="11">
        <v>0</v>
      </c>
      <c r="H20" s="11">
        <v>30</v>
      </c>
      <c r="I20" s="11">
        <f>-H20</f>
        <v>-30</v>
      </c>
      <c r="J20" t="s">
        <v>115</v>
      </c>
      <c r="K20" t="s">
        <v>22</v>
      </c>
      <c r="L20" t="s">
        <v>112</v>
      </c>
      <c r="Q20">
        <v>1</v>
      </c>
    </row>
    <row r="21" spans="1:17" x14ac:dyDescent="0.25">
      <c r="B21" t="s">
        <v>16</v>
      </c>
      <c r="C21" t="s">
        <v>137</v>
      </c>
      <c r="D21" t="s">
        <v>138</v>
      </c>
      <c r="E21" t="s">
        <v>139</v>
      </c>
      <c r="F21" s="11">
        <v>1</v>
      </c>
      <c r="G21" s="11">
        <v>695</v>
      </c>
      <c r="H21" s="11">
        <v>25</v>
      </c>
      <c r="I21" s="11">
        <f>G21-H21</f>
        <v>670</v>
      </c>
      <c r="J21" t="s">
        <v>115</v>
      </c>
      <c r="K21" t="s">
        <v>22</v>
      </c>
      <c r="L21" t="s">
        <v>112</v>
      </c>
      <c r="Q21">
        <v>1</v>
      </c>
    </row>
    <row r="22" spans="1:17" x14ac:dyDescent="0.25">
      <c r="B22" t="s">
        <v>16</v>
      </c>
      <c r="C22" t="s">
        <v>118</v>
      </c>
      <c r="D22" t="s">
        <v>143</v>
      </c>
      <c r="E22" t="s">
        <v>144</v>
      </c>
      <c r="F22" s="11">
        <v>10</v>
      </c>
      <c r="G22" s="11">
        <v>775</v>
      </c>
      <c r="H22" s="11">
        <v>25</v>
      </c>
      <c r="I22" s="11">
        <f>G22-H22</f>
        <v>750</v>
      </c>
      <c r="J22" t="s">
        <v>115</v>
      </c>
      <c r="K22" t="s">
        <v>22</v>
      </c>
      <c r="L22" t="s">
        <v>112</v>
      </c>
      <c r="Q22">
        <v>1</v>
      </c>
    </row>
    <row r="23" spans="1:17" x14ac:dyDescent="0.25">
      <c r="B23" t="s">
        <v>16</v>
      </c>
      <c r="C23" t="s">
        <v>154</v>
      </c>
      <c r="D23" t="s">
        <v>155</v>
      </c>
      <c r="E23" t="s">
        <v>156</v>
      </c>
      <c r="F23" s="11">
        <v>1</v>
      </c>
      <c r="G23" s="11">
        <v>895</v>
      </c>
      <c r="H23" s="11">
        <v>25</v>
      </c>
      <c r="I23" s="11">
        <f>G23-H23</f>
        <v>870</v>
      </c>
      <c r="J23" t="s">
        <v>115</v>
      </c>
      <c r="K23" t="s">
        <v>22</v>
      </c>
      <c r="L23" t="s">
        <v>112</v>
      </c>
      <c r="Q23">
        <v>1</v>
      </c>
    </row>
    <row r="24" spans="1:17" x14ac:dyDescent="0.25">
      <c r="B24" t="s">
        <v>16</v>
      </c>
      <c r="C24" t="s">
        <v>170</v>
      </c>
      <c r="D24" t="s">
        <v>171</v>
      </c>
      <c r="E24" t="s">
        <v>172</v>
      </c>
      <c r="F24" s="11">
        <v>1</v>
      </c>
      <c r="G24" s="11">
        <v>695</v>
      </c>
      <c r="H24" s="11">
        <v>25</v>
      </c>
      <c r="I24" s="11">
        <f>G24-H24</f>
        <v>670</v>
      </c>
      <c r="J24" t="s">
        <v>115</v>
      </c>
      <c r="K24" t="s">
        <v>22</v>
      </c>
      <c r="L24" t="s">
        <v>112</v>
      </c>
      <c r="Q24">
        <v>1</v>
      </c>
    </row>
    <row r="26" spans="1:17" x14ac:dyDescent="0.25">
      <c r="D26" s="6">
        <f>COUNTA(D3:D24)</f>
        <v>17</v>
      </c>
      <c r="G26" s="6">
        <f t="shared" ref="G26:Q26" si="0">SUBTOTAL(9,G3:G24)</f>
        <v>10135</v>
      </c>
      <c r="H26" s="6">
        <f t="shared" si="0"/>
        <v>640</v>
      </c>
      <c r="I26" s="6">
        <f t="shared" si="0"/>
        <v>9495</v>
      </c>
      <c r="J26" s="6">
        <f t="shared" si="0"/>
        <v>0</v>
      </c>
      <c r="K26" s="6">
        <f t="shared" si="0"/>
        <v>0</v>
      </c>
      <c r="L26" s="6">
        <f t="shared" si="0"/>
        <v>0</v>
      </c>
      <c r="M26" s="6">
        <f t="shared" si="0"/>
        <v>0</v>
      </c>
      <c r="N26" s="6">
        <f t="shared" si="0"/>
        <v>0</v>
      </c>
      <c r="O26" s="6">
        <f t="shared" si="0"/>
        <v>0</v>
      </c>
      <c r="P26" s="6">
        <f t="shared" si="0"/>
        <v>0</v>
      </c>
      <c r="Q26" s="6">
        <f t="shared" si="0"/>
        <v>22</v>
      </c>
    </row>
    <row r="27" spans="1:17" x14ac:dyDescent="0.25">
      <c r="H27">
        <f>-3*17</f>
        <v>-51</v>
      </c>
    </row>
    <row r="28" spans="1:17" x14ac:dyDescent="0.25">
      <c r="A28" s="6" t="s">
        <v>16</v>
      </c>
      <c r="C28" s="5" t="s">
        <v>89</v>
      </c>
      <c r="D28" s="5"/>
      <c r="E28" s="9" t="s">
        <v>90</v>
      </c>
      <c r="H28">
        <f>-2*25</f>
        <v>-50</v>
      </c>
      <c r="K28" s="12" t="s">
        <v>22</v>
      </c>
      <c r="L28" s="12" t="s">
        <v>91</v>
      </c>
      <c r="M28" s="12" t="s">
        <v>90</v>
      </c>
      <c r="O28" s="9" t="s">
        <v>92</v>
      </c>
    </row>
    <row r="29" spans="1:17" x14ac:dyDescent="0.25">
      <c r="A29" t="s">
        <v>112</v>
      </c>
      <c r="B29" s="8" t="s">
        <v>93</v>
      </c>
      <c r="C29" s="4">
        <f>SUMIFS(I$3:I$24,B$3:B$24,A$28,L$3:L$24,A$29)</f>
        <v>9495</v>
      </c>
      <c r="D29" s="4"/>
      <c r="E29" s="8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2795</v>
      </c>
      <c r="M29">
        <f>SUMIFS(Q$3:Q$24,J$3:J$24,K$28)</f>
        <v>10</v>
      </c>
      <c r="O29" t="s">
        <v>22</v>
      </c>
      <c r="P29">
        <f>L34</f>
        <v>2506</v>
      </c>
    </row>
    <row r="30" spans="1:17" x14ac:dyDescent="0.25">
      <c r="B30" s="7" t="s">
        <v>97</v>
      </c>
      <c r="C30" s="3">
        <v>0</v>
      </c>
      <c r="D30" s="3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115</v>
      </c>
      <c r="P30">
        <f>L42</f>
        <v>2955</v>
      </c>
    </row>
    <row r="31" spans="1:17" x14ac:dyDescent="0.25">
      <c r="B31" s="7" t="s">
        <v>99</v>
      </c>
      <c r="C31" s="3">
        <f>-SUMIFS(I$3:I$24,B$3:B$24,A$28,P$3:P$24,"xx",N$3:N$24,"x")</f>
        <v>0</v>
      </c>
      <c r="D31" s="3"/>
      <c r="E31" s="7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176</v>
      </c>
      <c r="P31">
        <f>L50</f>
        <v>4119</v>
      </c>
    </row>
    <row r="32" spans="1:17" x14ac:dyDescent="0.25">
      <c r="B32" s="9" t="s">
        <v>101</v>
      </c>
      <c r="C32" s="5">
        <f>SUBTOTAL(9,C29:C31)</f>
        <v>9495</v>
      </c>
      <c r="D32" s="5"/>
      <c r="E32">
        <f>E29</f>
        <v>22</v>
      </c>
      <c r="K32" s="7" t="s">
        <v>102</v>
      </c>
      <c r="O32" t="s">
        <v>103</v>
      </c>
      <c r="P32">
        <f>-C36</f>
        <v>-9495</v>
      </c>
    </row>
    <row r="33" spans="2:16" x14ac:dyDescent="0.25">
      <c r="B33" s="7" t="s">
        <v>104</v>
      </c>
      <c r="C33" s="2"/>
      <c r="D33" s="2"/>
      <c r="K33" s="7" t="s">
        <v>105</v>
      </c>
      <c r="O33" s="9" t="s">
        <v>106</v>
      </c>
      <c r="P33" s="9">
        <f>SUBTOTAL(9,P29:P32)</f>
        <v>85</v>
      </c>
    </row>
    <row r="34" spans="2:16" x14ac:dyDescent="0.25">
      <c r="B34" s="13" t="s">
        <v>107</v>
      </c>
      <c r="C34" s="2"/>
      <c r="D34" s="2"/>
      <c r="L34" s="14">
        <f>SUBTOTAL(9,L29:L33)</f>
        <v>2506</v>
      </c>
      <c r="M34" s="14">
        <f>M29</f>
        <v>10</v>
      </c>
    </row>
    <row r="36" spans="2:16" x14ac:dyDescent="0.25">
      <c r="B36" s="6" t="s">
        <v>108</v>
      </c>
      <c r="C36" s="1">
        <f>C32+C33+C34</f>
        <v>9495</v>
      </c>
      <c r="D36" s="1"/>
      <c r="E36" s="6" t="s">
        <v>109</v>
      </c>
      <c r="K36" s="12" t="s">
        <v>115</v>
      </c>
      <c r="L36" s="12" t="s">
        <v>91</v>
      </c>
      <c r="M36" s="12" t="s">
        <v>90</v>
      </c>
    </row>
    <row r="37" spans="2:16" x14ac:dyDescent="0.25">
      <c r="K37" t="s">
        <v>95</v>
      </c>
      <c r="L37">
        <f>SUMIFS(G$3:G$24,J$3:J$24,K$36)</f>
        <v>3060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7" t="s">
        <v>102</v>
      </c>
    </row>
    <row r="41" spans="2:16" x14ac:dyDescent="0.25">
      <c r="K41" s="7" t="s">
        <v>105</v>
      </c>
    </row>
    <row r="42" spans="2:16" x14ac:dyDescent="0.25">
      <c r="L42" s="14">
        <f>SUBTOTAL(9,L37:L41)</f>
        <v>2955</v>
      </c>
      <c r="M42" s="14">
        <f>M37</f>
        <v>5</v>
      </c>
    </row>
    <row r="44" spans="2:16" x14ac:dyDescent="0.25">
      <c r="K44" s="12" t="s">
        <v>129</v>
      </c>
      <c r="L44" s="12" t="s">
        <v>91</v>
      </c>
      <c r="M44" s="12" t="s">
        <v>90</v>
      </c>
    </row>
    <row r="45" spans="2:16" x14ac:dyDescent="0.25">
      <c r="K45" t="s">
        <v>95</v>
      </c>
      <c r="L45">
        <f>SUMIFS(G$3:G$24,J$3:J$24,K$44)</f>
        <v>4280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7" t="s">
        <v>102</v>
      </c>
    </row>
    <row r="49" spans="11:13" x14ac:dyDescent="0.25">
      <c r="K49" s="7" t="s">
        <v>105</v>
      </c>
    </row>
    <row r="50" spans="11:13" x14ac:dyDescent="0.25">
      <c r="L50" s="14">
        <f>SUBTOTAL(9,L45:L49)</f>
        <v>4119</v>
      </c>
      <c r="M50" s="14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01-04</vt:lpstr>
      <vt:lpstr>02-04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2026-04-02T05:48:09Z</dcterms:modified>
</cp:coreProperties>
</file>