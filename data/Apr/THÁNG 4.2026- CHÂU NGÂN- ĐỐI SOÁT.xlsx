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AE734553-B07E-4C08-A65C-5FCBBD34E2F6}" xr6:coauthVersionLast="47" xr6:coauthVersionMax="47" xr10:uidLastSave="{00000000-0000-0000-0000-000000000000}"/>
  <bookViews>
    <workbookView xWindow="-120" yWindow="-120" windowWidth="29040" windowHeight="15720" firstSheet="5" activeTab="22" xr2:uid="{00000000-000D-0000-FFFF-FFFF00000000}"/>
  </bookViews>
  <sheets>
    <sheet name="1-4" sheetId="2" r:id="rId1"/>
    <sheet name="2-4" sheetId="3" r:id="rId2"/>
    <sheet name="3-4" sheetId="4" r:id="rId3"/>
    <sheet name="4-4" sheetId="5" r:id="rId4"/>
    <sheet name="6-4" sheetId="6" r:id="rId5"/>
    <sheet name="7-4" sheetId="7" r:id="rId6"/>
    <sheet name="8-4" sheetId="8" r:id="rId7"/>
    <sheet name="9-4" sheetId="9" r:id="rId8"/>
    <sheet name="10-4" sheetId="10" r:id="rId9"/>
    <sheet name="11-4" sheetId="11" r:id="rId10"/>
    <sheet name="13-4" sheetId="12" r:id="rId11"/>
    <sheet name="14-4" sheetId="13" r:id="rId12"/>
    <sheet name="15-4" sheetId="14" r:id="rId13"/>
    <sheet name="16-4" sheetId="15" r:id="rId14"/>
    <sheet name="17-4" sheetId="16" r:id="rId15"/>
    <sheet name="18-4" sheetId="17" r:id="rId16"/>
    <sheet name="20-4" sheetId="18" r:id="rId17"/>
    <sheet name="21-4" sheetId="19" r:id="rId18"/>
    <sheet name="22-4" sheetId="20" r:id="rId19"/>
    <sheet name="23-4" sheetId="21" r:id="rId20"/>
    <sheet name="24-4" sheetId="22" r:id="rId21"/>
    <sheet name="25-4" sheetId="23" r:id="rId22"/>
    <sheet name="27-4" sheetId="24" r:id="rId23"/>
  </sheets>
  <definedNames>
    <definedName name="_xlnm._FilterDatabase" localSheetId="8" hidden="1">'10-4'!$A$2:$P$53</definedName>
    <definedName name="_xlnm._FilterDatabase" localSheetId="9" hidden="1">'11-4'!$A$2:$P$43</definedName>
    <definedName name="_xlnm._FilterDatabase" localSheetId="10" hidden="1">'13-4'!$A$2:$P$65</definedName>
    <definedName name="_xlnm._FilterDatabase" localSheetId="0" hidden="1">'1-4'!$A$2:$P$23</definedName>
    <definedName name="_xlnm._FilterDatabase" localSheetId="11" hidden="1">'14-4'!$A$2:$P$22</definedName>
    <definedName name="_xlnm._FilterDatabase" localSheetId="12" hidden="1">'15-4'!$A$2:$P$34</definedName>
    <definedName name="_xlnm._FilterDatabase" localSheetId="13" hidden="1">'16-4'!$A$2:$P$51</definedName>
    <definedName name="_xlnm._FilterDatabase" localSheetId="14" hidden="1">'17-4'!$A$2:$P$53</definedName>
    <definedName name="_xlnm._FilterDatabase" localSheetId="15" hidden="1">'18-4'!$A$2:$P$35</definedName>
    <definedName name="_xlnm._FilterDatabase" localSheetId="16" hidden="1">'20-4'!$A$2:$P$97</definedName>
    <definedName name="_xlnm._FilterDatabase" localSheetId="17" hidden="1">'21-4'!$A$2:$P$60</definedName>
    <definedName name="_xlnm._FilterDatabase" localSheetId="18" hidden="1">'22-4'!$A$2:$P$56</definedName>
    <definedName name="_xlnm._FilterDatabase" localSheetId="19" hidden="1">'23-4'!$A$2:$P$61</definedName>
    <definedName name="_xlnm._FilterDatabase" localSheetId="1" hidden="1">'2-4'!$A$2:$P$24</definedName>
    <definedName name="_xlnm._FilterDatabase" localSheetId="20" hidden="1">'24-4'!$A$2:$P$66</definedName>
    <definedName name="_xlnm._FilterDatabase" localSheetId="21" hidden="1">'25-4'!$A$2:$P$52</definedName>
    <definedName name="_xlnm._FilterDatabase" localSheetId="22" hidden="1">'27-4'!$A$2:$P$122</definedName>
    <definedName name="_xlnm._FilterDatabase" localSheetId="2" hidden="1">'3-4'!$A$2:$P$53</definedName>
    <definedName name="_xlnm._FilterDatabase" localSheetId="3" hidden="1">'4-4'!$A$2:$P$42</definedName>
    <definedName name="_xlnm._FilterDatabase" localSheetId="4" hidden="1">'6-4'!$A$2:$P$54</definedName>
    <definedName name="_xlnm._FilterDatabase" localSheetId="5" hidden="1">'7-4'!$A$2:$P$27</definedName>
    <definedName name="_xlnm._FilterDatabase" localSheetId="6" hidden="1">'8-4'!$A$2:$P$45</definedName>
    <definedName name="_xlnm._FilterDatabase" localSheetId="7" hidden="1">'9-4'!$A$2:$P$39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" i="24" l="1"/>
  <c r="R117" i="24"/>
  <c r="R116" i="24"/>
  <c r="R115" i="24"/>
  <c r="R111" i="24"/>
  <c r="R108" i="24"/>
  <c r="R101" i="24"/>
  <c r="R97" i="24"/>
  <c r="R88" i="24"/>
  <c r="R86" i="24"/>
  <c r="R81" i="24"/>
  <c r="R80" i="24"/>
  <c r="R74" i="24"/>
  <c r="R73" i="24"/>
  <c r="R65" i="24"/>
  <c r="R58" i="24"/>
  <c r="R47" i="24"/>
  <c r="R45" i="24"/>
  <c r="R44" i="24"/>
  <c r="R43" i="24"/>
  <c r="R41" i="24"/>
  <c r="R40" i="24"/>
  <c r="R27" i="24"/>
  <c r="R23" i="24"/>
  <c r="R22" i="24"/>
  <c r="R19" i="24"/>
  <c r="R15" i="24"/>
  <c r="R8" i="24"/>
  <c r="R124" i="24" s="1"/>
  <c r="R5" i="24"/>
  <c r="R99" i="24"/>
  <c r="R77" i="24"/>
  <c r="R72" i="24"/>
  <c r="R53" i="24"/>
  <c r="R46" i="24"/>
  <c r="R39" i="24"/>
  <c r="R35" i="24"/>
  <c r="R21" i="24"/>
  <c r="H124" i="24"/>
  <c r="J124" i="24"/>
  <c r="K124" i="24"/>
  <c r="L124" i="24"/>
  <c r="M124" i="24"/>
  <c r="N124" i="24"/>
  <c r="O124" i="24"/>
  <c r="P124" i="24"/>
  <c r="Q124" i="24"/>
  <c r="J129" i="24" s="1"/>
  <c r="J136" i="24" s="1"/>
  <c r="G124" i="24"/>
  <c r="I122" i="24"/>
  <c r="I121" i="24"/>
  <c r="I120" i="24"/>
  <c r="I119" i="24"/>
  <c r="I118" i="24"/>
  <c r="I117" i="24"/>
  <c r="I116" i="24"/>
  <c r="I115" i="24"/>
  <c r="I114" i="24"/>
  <c r="I113" i="24"/>
  <c r="I112" i="24"/>
  <c r="I111" i="24"/>
  <c r="I110" i="24"/>
  <c r="I109" i="24"/>
  <c r="I108" i="24"/>
  <c r="I107" i="24"/>
  <c r="I106" i="24"/>
  <c r="I105" i="24"/>
  <c r="I104" i="24"/>
  <c r="I103" i="24"/>
  <c r="I102" i="24"/>
  <c r="I101" i="24"/>
  <c r="I100" i="24"/>
  <c r="I99" i="24"/>
  <c r="I98" i="24"/>
  <c r="I97" i="24"/>
  <c r="I96" i="24"/>
  <c r="I95" i="24"/>
  <c r="I94" i="24"/>
  <c r="I93" i="24"/>
  <c r="I92" i="24"/>
  <c r="I91" i="24"/>
  <c r="I90" i="24"/>
  <c r="I89" i="24"/>
  <c r="I88" i="24"/>
  <c r="I87" i="24"/>
  <c r="I86" i="24"/>
  <c r="I85" i="24"/>
  <c r="I84" i="24"/>
  <c r="I83" i="24"/>
  <c r="I82" i="24"/>
  <c r="I81" i="24"/>
  <c r="I80" i="24"/>
  <c r="I79" i="24"/>
  <c r="I78" i="24"/>
  <c r="I77" i="24"/>
  <c r="I76" i="24"/>
  <c r="I75" i="24"/>
  <c r="I74" i="24"/>
  <c r="I73" i="24"/>
  <c r="I72" i="24"/>
  <c r="I71" i="24"/>
  <c r="I70" i="24"/>
  <c r="I69" i="24"/>
  <c r="I68" i="24"/>
  <c r="I67" i="24"/>
  <c r="I66" i="24"/>
  <c r="I65" i="24"/>
  <c r="I64" i="24"/>
  <c r="I63" i="24"/>
  <c r="I62" i="24"/>
  <c r="I61" i="24"/>
  <c r="I60" i="24"/>
  <c r="I59" i="24"/>
  <c r="I58" i="24"/>
  <c r="I57" i="24"/>
  <c r="I56" i="24"/>
  <c r="I55" i="24"/>
  <c r="I54" i="24"/>
  <c r="I53" i="24"/>
  <c r="I52" i="24"/>
  <c r="I51" i="24"/>
  <c r="I50" i="24"/>
  <c r="I49" i="24"/>
  <c r="I48" i="24"/>
  <c r="I47" i="24"/>
  <c r="I46" i="24"/>
  <c r="I45" i="24"/>
  <c r="I44" i="24"/>
  <c r="I43" i="24"/>
  <c r="I42" i="24"/>
  <c r="I41" i="24"/>
  <c r="I40" i="24"/>
  <c r="I39" i="24"/>
  <c r="I38" i="24"/>
  <c r="I37" i="24"/>
  <c r="I36" i="24"/>
  <c r="I35" i="24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6" i="24"/>
  <c r="I5" i="24"/>
  <c r="I4" i="24"/>
  <c r="I3" i="24"/>
  <c r="H139" i="24"/>
  <c r="I133" i="24"/>
  <c r="I132" i="24"/>
  <c r="I131" i="24"/>
  <c r="H71" i="23"/>
  <c r="I65" i="12"/>
  <c r="R43" i="23"/>
  <c r="R38" i="23"/>
  <c r="R25" i="23"/>
  <c r="R19" i="23"/>
  <c r="R17" i="23"/>
  <c r="R14" i="23"/>
  <c r="R13" i="23"/>
  <c r="R12" i="23"/>
  <c r="R5" i="23"/>
  <c r="R3" i="23"/>
  <c r="R47" i="23"/>
  <c r="R49" i="23"/>
  <c r="H70" i="23"/>
  <c r="H69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I5" i="23"/>
  <c r="I4" i="23"/>
  <c r="I3" i="23"/>
  <c r="I63" i="23"/>
  <c r="I62" i="23"/>
  <c r="I61" i="23"/>
  <c r="Q54" i="23"/>
  <c r="J59" i="23" s="1"/>
  <c r="J66" i="23" s="1"/>
  <c r="P54" i="23"/>
  <c r="O54" i="23"/>
  <c r="N54" i="23"/>
  <c r="M54" i="23"/>
  <c r="L54" i="23"/>
  <c r="K54" i="23"/>
  <c r="J54" i="23"/>
  <c r="H54" i="23"/>
  <c r="G54" i="23"/>
  <c r="H83" i="22"/>
  <c r="R66" i="22"/>
  <c r="R57" i="22"/>
  <c r="R49" i="22"/>
  <c r="R42" i="22"/>
  <c r="R41" i="22"/>
  <c r="R39" i="22"/>
  <c r="R36" i="22"/>
  <c r="R30" i="22"/>
  <c r="R23" i="22"/>
  <c r="R19" i="22"/>
  <c r="R18" i="22"/>
  <c r="R15" i="22"/>
  <c r="R14" i="22"/>
  <c r="R6" i="22"/>
  <c r="R4" i="22"/>
  <c r="R3" i="22"/>
  <c r="R40" i="22"/>
  <c r="R47" i="22"/>
  <c r="R64" i="22"/>
  <c r="I66" i="22"/>
  <c r="I65" i="22"/>
  <c r="I64" i="22"/>
  <c r="I63" i="22"/>
  <c r="I62" i="22"/>
  <c r="I61" i="22"/>
  <c r="I60" i="22"/>
  <c r="I59" i="22"/>
  <c r="I58" i="22"/>
  <c r="I57" i="22"/>
  <c r="I56" i="22"/>
  <c r="I55" i="22"/>
  <c r="I54" i="22"/>
  <c r="I53" i="22"/>
  <c r="I52" i="22"/>
  <c r="I51" i="22"/>
  <c r="I50" i="22"/>
  <c r="I49" i="22"/>
  <c r="I48" i="22"/>
  <c r="I47" i="22"/>
  <c r="I46" i="22"/>
  <c r="I45" i="22"/>
  <c r="I44" i="22"/>
  <c r="I43" i="22"/>
  <c r="I42" i="22"/>
  <c r="I41" i="22"/>
  <c r="I40" i="22"/>
  <c r="I39" i="22"/>
  <c r="I38" i="22"/>
  <c r="I37" i="22"/>
  <c r="I36" i="22"/>
  <c r="I35" i="22"/>
  <c r="I34" i="22"/>
  <c r="I33" i="22"/>
  <c r="I32" i="22"/>
  <c r="I31" i="22"/>
  <c r="I30" i="22"/>
  <c r="I29" i="22"/>
  <c r="I28" i="22"/>
  <c r="I27" i="22"/>
  <c r="I26" i="22"/>
  <c r="I25" i="22"/>
  <c r="I24" i="22"/>
  <c r="I23" i="22"/>
  <c r="I22" i="22"/>
  <c r="I21" i="22"/>
  <c r="I20" i="22"/>
  <c r="I19" i="22"/>
  <c r="I18" i="22"/>
  <c r="I17" i="22"/>
  <c r="I16" i="22"/>
  <c r="I15" i="22"/>
  <c r="I14" i="22"/>
  <c r="I13" i="22"/>
  <c r="I12" i="22"/>
  <c r="I11" i="22"/>
  <c r="I10" i="22"/>
  <c r="I9" i="22"/>
  <c r="I8" i="22"/>
  <c r="I7" i="22"/>
  <c r="I6" i="22"/>
  <c r="I5" i="22"/>
  <c r="I4" i="22"/>
  <c r="I3" i="22"/>
  <c r="I77" i="22"/>
  <c r="I76" i="22"/>
  <c r="I75" i="22"/>
  <c r="Q68" i="22"/>
  <c r="J73" i="22" s="1"/>
  <c r="J80" i="22" s="1"/>
  <c r="P68" i="22"/>
  <c r="O68" i="22"/>
  <c r="N68" i="22"/>
  <c r="M68" i="22"/>
  <c r="L68" i="22"/>
  <c r="K68" i="22"/>
  <c r="J68" i="22"/>
  <c r="H68" i="22"/>
  <c r="G68" i="22"/>
  <c r="I124" i="24" l="1"/>
  <c r="I129" i="24" s="1"/>
  <c r="I130" i="24"/>
  <c r="R54" i="23"/>
  <c r="I60" i="23" s="1"/>
  <c r="I54" i="23"/>
  <c r="I59" i="23" s="1"/>
  <c r="I68" i="22"/>
  <c r="I73" i="22" s="1"/>
  <c r="R68" i="22"/>
  <c r="I74" i="22" s="1"/>
  <c r="I136" i="24" l="1"/>
  <c r="I66" i="23"/>
  <c r="I80" i="22"/>
  <c r="R6" i="21" l="1"/>
  <c r="I6" i="21"/>
  <c r="R61" i="21" l="1"/>
  <c r="R58" i="21"/>
  <c r="R51" i="21"/>
  <c r="R50" i="21"/>
  <c r="R48" i="21"/>
  <c r="R46" i="21"/>
  <c r="R45" i="21"/>
  <c r="R42" i="21"/>
  <c r="R35" i="21"/>
  <c r="R32" i="21"/>
  <c r="R25" i="21"/>
  <c r="R22" i="21"/>
  <c r="R16" i="21"/>
  <c r="R10" i="21"/>
  <c r="R5" i="21"/>
  <c r="I61" i="21"/>
  <c r="I60" i="21"/>
  <c r="I59" i="21"/>
  <c r="I58" i="21"/>
  <c r="I57" i="21"/>
  <c r="I56" i="21"/>
  <c r="I55" i="21"/>
  <c r="I54" i="21"/>
  <c r="I53" i="21"/>
  <c r="I52" i="21"/>
  <c r="I51" i="21"/>
  <c r="I50" i="21"/>
  <c r="I49" i="21"/>
  <c r="I48" i="21"/>
  <c r="I47" i="21"/>
  <c r="I46" i="21"/>
  <c r="I45" i="21"/>
  <c r="I44" i="21"/>
  <c r="I43" i="21"/>
  <c r="I42" i="21"/>
  <c r="I41" i="21"/>
  <c r="I40" i="21"/>
  <c r="I39" i="21"/>
  <c r="I38" i="21"/>
  <c r="I37" i="21"/>
  <c r="I36" i="21"/>
  <c r="I35" i="21"/>
  <c r="I34" i="2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5" i="21"/>
  <c r="I4" i="21"/>
  <c r="I3" i="21"/>
  <c r="I72" i="21" l="1"/>
  <c r="I71" i="21"/>
  <c r="I70" i="21"/>
  <c r="R63" i="21"/>
  <c r="I69" i="21" s="1"/>
  <c r="Q63" i="21"/>
  <c r="J68" i="21" s="1"/>
  <c r="J75" i="21" s="1"/>
  <c r="P63" i="21"/>
  <c r="O63" i="21"/>
  <c r="N63" i="21"/>
  <c r="M63" i="21"/>
  <c r="L63" i="21"/>
  <c r="K63" i="21"/>
  <c r="J63" i="21"/>
  <c r="H63" i="21"/>
  <c r="G63" i="21"/>
  <c r="H73" i="20"/>
  <c r="I56" i="20"/>
  <c r="I55" i="20"/>
  <c r="I54" i="20"/>
  <c r="I53" i="20"/>
  <c r="I52" i="20"/>
  <c r="I51" i="20"/>
  <c r="I50" i="20"/>
  <c r="I49" i="20"/>
  <c r="I48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58" i="20" s="1"/>
  <c r="I63" i="20" s="1"/>
  <c r="I8" i="20"/>
  <c r="I7" i="20"/>
  <c r="I6" i="20"/>
  <c r="I5" i="20"/>
  <c r="I4" i="20"/>
  <c r="I3" i="20"/>
  <c r="I67" i="20"/>
  <c r="I66" i="20"/>
  <c r="I65" i="20"/>
  <c r="Q58" i="20"/>
  <c r="J63" i="20" s="1"/>
  <c r="J70" i="20" s="1"/>
  <c r="P58" i="20"/>
  <c r="O58" i="20"/>
  <c r="N58" i="20"/>
  <c r="M58" i="20"/>
  <c r="L58" i="20"/>
  <c r="K58" i="20"/>
  <c r="J58" i="20"/>
  <c r="H58" i="20"/>
  <c r="G58" i="20"/>
  <c r="I63" i="21" l="1"/>
  <c r="I68" i="21" s="1"/>
  <c r="I75" i="21" s="1"/>
  <c r="R58" i="20"/>
  <c r="I64" i="20" s="1"/>
  <c r="I70" i="20" s="1"/>
  <c r="R52" i="19" l="1"/>
  <c r="H77" i="19"/>
  <c r="R58" i="19" l="1"/>
  <c r="R55" i="19"/>
  <c r="R49" i="19"/>
  <c r="R45" i="19"/>
  <c r="R35" i="19"/>
  <c r="R33" i="19"/>
  <c r="R31" i="19"/>
  <c r="R20" i="19"/>
  <c r="R15" i="19"/>
  <c r="R4" i="19"/>
  <c r="R3" i="19"/>
  <c r="R8" i="19"/>
  <c r="R12" i="19"/>
  <c r="R37" i="19"/>
  <c r="R40" i="19"/>
  <c r="R56" i="19"/>
  <c r="I60" i="19"/>
  <c r="I59" i="19"/>
  <c r="I58" i="19"/>
  <c r="I57" i="19"/>
  <c r="I56" i="19"/>
  <c r="I55" i="19"/>
  <c r="I54" i="19"/>
  <c r="I53" i="19"/>
  <c r="I52" i="19"/>
  <c r="I51" i="19"/>
  <c r="I50" i="19"/>
  <c r="I49" i="19"/>
  <c r="I48" i="19"/>
  <c r="I47" i="19"/>
  <c r="I46" i="19"/>
  <c r="I45" i="19"/>
  <c r="I44" i="19"/>
  <c r="I43" i="19"/>
  <c r="I42" i="19"/>
  <c r="I41" i="19"/>
  <c r="I40" i="19"/>
  <c r="I39" i="19"/>
  <c r="I38" i="19"/>
  <c r="I37" i="19"/>
  <c r="I36" i="19"/>
  <c r="I35" i="19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I4" i="19"/>
  <c r="I3" i="19"/>
  <c r="I71" i="19"/>
  <c r="I70" i="19"/>
  <c r="I69" i="19"/>
  <c r="Q62" i="19"/>
  <c r="J67" i="19" s="1"/>
  <c r="J74" i="19" s="1"/>
  <c r="P62" i="19"/>
  <c r="O62" i="19"/>
  <c r="N62" i="19"/>
  <c r="M62" i="19"/>
  <c r="L62" i="19"/>
  <c r="K62" i="19"/>
  <c r="J62" i="19"/>
  <c r="H62" i="19"/>
  <c r="G62" i="19"/>
  <c r="R93" i="18"/>
  <c r="R90" i="18"/>
  <c r="R88" i="18"/>
  <c r="R86" i="18"/>
  <c r="R85" i="18"/>
  <c r="R79" i="18"/>
  <c r="R78" i="18"/>
  <c r="R77" i="18"/>
  <c r="R76" i="18"/>
  <c r="R72" i="18"/>
  <c r="R71" i="18"/>
  <c r="R68" i="18"/>
  <c r="R64" i="18"/>
  <c r="R63" i="18"/>
  <c r="R53" i="18"/>
  <c r="R51" i="18"/>
  <c r="R50" i="18"/>
  <c r="R47" i="18"/>
  <c r="R46" i="18"/>
  <c r="R42" i="18"/>
  <c r="R41" i="18"/>
  <c r="R40" i="18"/>
  <c r="R35" i="18"/>
  <c r="R33" i="18"/>
  <c r="R26" i="18"/>
  <c r="R10" i="18"/>
  <c r="R3" i="18"/>
  <c r="R60" i="18"/>
  <c r="R59" i="18"/>
  <c r="R31" i="18"/>
  <c r="H115" i="18"/>
  <c r="H114" i="18"/>
  <c r="H99" i="18"/>
  <c r="J99" i="18"/>
  <c r="K99" i="18"/>
  <c r="L99" i="18"/>
  <c r="M99" i="18"/>
  <c r="N99" i="18"/>
  <c r="O99" i="18"/>
  <c r="P99" i="18"/>
  <c r="Q99" i="18"/>
  <c r="J104" i="18" s="1"/>
  <c r="J111" i="18" s="1"/>
  <c r="G99" i="18"/>
  <c r="I97" i="18"/>
  <c r="I96" i="18"/>
  <c r="I95" i="18"/>
  <c r="I94" i="18"/>
  <c r="I93" i="18"/>
  <c r="I92" i="18"/>
  <c r="I91" i="18"/>
  <c r="I90" i="18"/>
  <c r="I89" i="18"/>
  <c r="I88" i="18"/>
  <c r="I87" i="18"/>
  <c r="I86" i="18"/>
  <c r="I85" i="18"/>
  <c r="I84" i="18"/>
  <c r="I83" i="18"/>
  <c r="I82" i="18"/>
  <c r="I81" i="18"/>
  <c r="I80" i="18"/>
  <c r="I79" i="18"/>
  <c r="I78" i="18"/>
  <c r="I77" i="18"/>
  <c r="I76" i="18"/>
  <c r="I75" i="18"/>
  <c r="I74" i="18"/>
  <c r="I73" i="18"/>
  <c r="I72" i="18"/>
  <c r="I71" i="18"/>
  <c r="I70" i="18"/>
  <c r="I69" i="18"/>
  <c r="I68" i="18"/>
  <c r="I67" i="18"/>
  <c r="I66" i="18"/>
  <c r="I65" i="18"/>
  <c r="I64" i="18"/>
  <c r="I63" i="18"/>
  <c r="I62" i="18"/>
  <c r="I61" i="18"/>
  <c r="I60" i="18"/>
  <c r="I59" i="18"/>
  <c r="I58" i="18"/>
  <c r="I57" i="18"/>
  <c r="I56" i="18"/>
  <c r="I55" i="18"/>
  <c r="I54" i="18"/>
  <c r="I53" i="18"/>
  <c r="I52" i="18"/>
  <c r="I51" i="18"/>
  <c r="I50" i="18"/>
  <c r="I49" i="18"/>
  <c r="I48" i="18"/>
  <c r="I47" i="18"/>
  <c r="I46" i="18"/>
  <c r="I45" i="18"/>
  <c r="I44" i="18"/>
  <c r="I43" i="18"/>
  <c r="I42" i="18"/>
  <c r="I41" i="18"/>
  <c r="I40" i="18"/>
  <c r="I39" i="18"/>
  <c r="I38" i="18"/>
  <c r="I37" i="18"/>
  <c r="I36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I4" i="18"/>
  <c r="I3" i="18"/>
  <c r="I99" i="18" s="1"/>
  <c r="I108" i="18"/>
  <c r="I107" i="18"/>
  <c r="I106" i="18"/>
  <c r="H56" i="17"/>
  <c r="H55" i="17"/>
  <c r="R62" i="19" l="1"/>
  <c r="I68" i="19" s="1"/>
  <c r="I62" i="19"/>
  <c r="I67" i="19" s="1"/>
  <c r="R99" i="18"/>
  <c r="I105" i="18" s="1"/>
  <c r="I104" i="18"/>
  <c r="I33" i="17"/>
  <c r="R33" i="17"/>
  <c r="R31" i="17"/>
  <c r="R30" i="17"/>
  <c r="R25" i="17"/>
  <c r="R24" i="17"/>
  <c r="R23" i="17"/>
  <c r="R21" i="17"/>
  <c r="R16" i="17"/>
  <c r="R15" i="17"/>
  <c r="R3" i="17"/>
  <c r="I74" i="19" l="1"/>
  <c r="I111" i="18"/>
  <c r="H54" i="17"/>
  <c r="I35" i="17"/>
  <c r="I34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I4" i="17"/>
  <c r="I3" i="17"/>
  <c r="I46" i="17"/>
  <c r="I45" i="17"/>
  <c r="I44" i="17"/>
  <c r="Q37" i="17"/>
  <c r="J42" i="17" s="1"/>
  <c r="J49" i="17" s="1"/>
  <c r="P37" i="17"/>
  <c r="O37" i="17"/>
  <c r="N37" i="17"/>
  <c r="M37" i="17"/>
  <c r="L37" i="17"/>
  <c r="K37" i="17"/>
  <c r="J37" i="17"/>
  <c r="H37" i="17"/>
  <c r="G37" i="17"/>
  <c r="R42" i="16"/>
  <c r="R31" i="16"/>
  <c r="R30" i="16"/>
  <c r="R28" i="16"/>
  <c r="R23" i="16"/>
  <c r="R22" i="16"/>
  <c r="R21" i="16"/>
  <c r="R15" i="16"/>
  <c r="R14" i="16"/>
  <c r="R13" i="16"/>
  <c r="R11" i="16"/>
  <c r="R4" i="16"/>
  <c r="R26" i="16"/>
  <c r="H70" i="16"/>
  <c r="I53" i="16"/>
  <c r="I52" i="16"/>
  <c r="I51" i="16"/>
  <c r="I50" i="16"/>
  <c r="I49" i="16"/>
  <c r="I48" i="16"/>
  <c r="I47" i="16"/>
  <c r="I46" i="16"/>
  <c r="I45" i="16"/>
  <c r="I44" i="16"/>
  <c r="I43" i="16"/>
  <c r="I42" i="16"/>
  <c r="I41" i="16"/>
  <c r="I40" i="16"/>
  <c r="I39" i="16"/>
  <c r="I38" i="16"/>
  <c r="I37" i="16"/>
  <c r="I36" i="16"/>
  <c r="I35" i="16"/>
  <c r="I34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I4" i="16"/>
  <c r="I3" i="16"/>
  <c r="I64" i="16"/>
  <c r="I63" i="16"/>
  <c r="I62" i="16"/>
  <c r="Q55" i="16"/>
  <c r="J60" i="16" s="1"/>
  <c r="J67" i="16" s="1"/>
  <c r="P55" i="16"/>
  <c r="O55" i="16"/>
  <c r="N55" i="16"/>
  <c r="M55" i="16"/>
  <c r="L55" i="16"/>
  <c r="K55" i="16"/>
  <c r="J55" i="16"/>
  <c r="H55" i="16"/>
  <c r="G55" i="16"/>
  <c r="R55" i="16"/>
  <c r="I61" i="16" s="1"/>
  <c r="I55" i="16"/>
  <c r="I60" i="16" s="1"/>
  <c r="R50" i="15"/>
  <c r="R47" i="15"/>
  <c r="R44" i="15"/>
  <c r="R42" i="15"/>
  <c r="R41" i="15"/>
  <c r="R34" i="15"/>
  <c r="R32" i="15"/>
  <c r="R30" i="15"/>
  <c r="R23" i="15"/>
  <c r="R21" i="15"/>
  <c r="R20" i="15"/>
  <c r="R17" i="15"/>
  <c r="R14" i="15"/>
  <c r="R7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I62" i="15"/>
  <c r="I61" i="15"/>
  <c r="I60" i="15"/>
  <c r="Q53" i="15"/>
  <c r="J58" i="15" s="1"/>
  <c r="J65" i="15" s="1"/>
  <c r="P53" i="15"/>
  <c r="O53" i="15"/>
  <c r="N53" i="15"/>
  <c r="M53" i="15"/>
  <c r="L53" i="15"/>
  <c r="K53" i="15"/>
  <c r="J53" i="15"/>
  <c r="H53" i="15"/>
  <c r="G53" i="15"/>
  <c r="R53" i="15"/>
  <c r="I59" i="15" s="1"/>
  <c r="I53" i="15"/>
  <c r="I58" i="15" s="1"/>
  <c r="H51" i="14"/>
  <c r="R31" i="14"/>
  <c r="R25" i="14"/>
  <c r="R16" i="14"/>
  <c r="R9" i="14"/>
  <c r="R7" i="14"/>
  <c r="R5" i="14"/>
  <c r="R6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I4" i="14"/>
  <c r="I3" i="14"/>
  <c r="I45" i="14"/>
  <c r="I44" i="14"/>
  <c r="I43" i="14"/>
  <c r="Q36" i="14"/>
  <c r="J41" i="14" s="1"/>
  <c r="J48" i="14" s="1"/>
  <c r="P36" i="14"/>
  <c r="O36" i="14"/>
  <c r="N36" i="14"/>
  <c r="M36" i="14"/>
  <c r="L36" i="14"/>
  <c r="K36" i="14"/>
  <c r="J36" i="14"/>
  <c r="H36" i="14"/>
  <c r="G36" i="14"/>
  <c r="R36" i="14"/>
  <c r="I42" i="14" s="1"/>
  <c r="I36" i="14"/>
  <c r="I41" i="14" s="1"/>
  <c r="I29" i="13"/>
  <c r="R20" i="13"/>
  <c r="R12" i="13"/>
  <c r="R8" i="13"/>
  <c r="R5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I4" i="13"/>
  <c r="I3" i="13"/>
  <c r="I33" i="13"/>
  <c r="I32" i="13"/>
  <c r="I31" i="13"/>
  <c r="Q24" i="13"/>
  <c r="J29" i="13" s="1"/>
  <c r="J36" i="13" s="1"/>
  <c r="P24" i="13"/>
  <c r="O24" i="13"/>
  <c r="N24" i="13"/>
  <c r="M24" i="13"/>
  <c r="L24" i="13"/>
  <c r="K24" i="13"/>
  <c r="J24" i="13"/>
  <c r="H24" i="13"/>
  <c r="G24" i="13"/>
  <c r="R24" i="13"/>
  <c r="I30" i="13" s="1"/>
  <c r="I24" i="13"/>
  <c r="R59" i="12"/>
  <c r="R54" i="12"/>
  <c r="R47" i="12"/>
  <c r="R40" i="12"/>
  <c r="R39" i="12"/>
  <c r="R38" i="12"/>
  <c r="R36" i="12"/>
  <c r="R32" i="12"/>
  <c r="R30" i="12"/>
  <c r="R26" i="12"/>
  <c r="R24" i="12"/>
  <c r="R22" i="12"/>
  <c r="R18" i="12"/>
  <c r="R14" i="12"/>
  <c r="R7" i="12"/>
  <c r="R6" i="12"/>
  <c r="R55" i="12"/>
  <c r="R15" i="12"/>
  <c r="I64" i="12"/>
  <c r="I63" i="12"/>
  <c r="I62" i="12"/>
  <c r="I61" i="12"/>
  <c r="I60" i="12"/>
  <c r="I59" i="12"/>
  <c r="I58" i="12"/>
  <c r="I57" i="12"/>
  <c r="I56" i="12"/>
  <c r="I55" i="12"/>
  <c r="I54" i="12"/>
  <c r="I53" i="12"/>
  <c r="I52" i="12"/>
  <c r="I51" i="12"/>
  <c r="I50" i="12"/>
  <c r="I49" i="12"/>
  <c r="I48" i="12"/>
  <c r="I47" i="12"/>
  <c r="I46" i="12"/>
  <c r="I45" i="12"/>
  <c r="I44" i="12"/>
  <c r="I43" i="12"/>
  <c r="I42" i="12"/>
  <c r="I41" i="12"/>
  <c r="I40" i="12"/>
  <c r="I39" i="12"/>
  <c r="I38" i="12"/>
  <c r="I37" i="12"/>
  <c r="I36" i="12"/>
  <c r="I35" i="12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I4" i="12"/>
  <c r="I3" i="12"/>
  <c r="I76" i="12"/>
  <c r="I75" i="12"/>
  <c r="I74" i="12"/>
  <c r="Q67" i="12"/>
  <c r="J72" i="12" s="1"/>
  <c r="J79" i="12" s="1"/>
  <c r="P67" i="12"/>
  <c r="O67" i="12"/>
  <c r="N67" i="12"/>
  <c r="M67" i="12"/>
  <c r="L67" i="12"/>
  <c r="K67" i="12"/>
  <c r="J67" i="12"/>
  <c r="H67" i="12"/>
  <c r="G67" i="12"/>
  <c r="R41" i="11"/>
  <c r="R34" i="11"/>
  <c r="R27" i="11"/>
  <c r="R15" i="11"/>
  <c r="R8" i="11"/>
  <c r="R7" i="11"/>
  <c r="R6" i="11"/>
  <c r="R4" i="11"/>
  <c r="R45" i="11" s="1"/>
  <c r="I51" i="11" s="1"/>
  <c r="R18" i="11"/>
  <c r="R11" i="11"/>
  <c r="I43" i="11"/>
  <c r="I42" i="11"/>
  <c r="I41" i="11"/>
  <c r="I40" i="11"/>
  <c r="I39" i="11"/>
  <c r="I38" i="11"/>
  <c r="I37" i="11"/>
  <c r="I36" i="11"/>
  <c r="I35" i="11"/>
  <c r="I34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I4" i="11"/>
  <c r="I3" i="11"/>
  <c r="I54" i="11"/>
  <c r="I53" i="11"/>
  <c r="I52" i="11"/>
  <c r="Q45" i="11"/>
  <c r="J50" i="11" s="1"/>
  <c r="J57" i="11" s="1"/>
  <c r="P45" i="11"/>
  <c r="O45" i="11"/>
  <c r="N45" i="11"/>
  <c r="M45" i="11"/>
  <c r="L45" i="11"/>
  <c r="K45" i="11"/>
  <c r="J45" i="11"/>
  <c r="H45" i="11"/>
  <c r="G45" i="11"/>
  <c r="R67" i="12" l="1"/>
  <c r="I73" i="12" s="1"/>
  <c r="R37" i="17"/>
  <c r="I43" i="17" s="1"/>
  <c r="I37" i="17"/>
  <c r="I42" i="17" s="1"/>
  <c r="I67" i="16"/>
  <c r="I65" i="15"/>
  <c r="I48" i="14"/>
  <c r="I36" i="13"/>
  <c r="I67" i="12"/>
  <c r="I72" i="12" s="1"/>
  <c r="I79" i="12" s="1"/>
  <c r="I45" i="11"/>
  <c r="I50" i="11" s="1"/>
  <c r="I57" i="11" s="1"/>
  <c r="I49" i="17" l="1"/>
  <c r="R44" i="10"/>
  <c r="R51" i="10"/>
  <c r="R50" i="10" l="1"/>
  <c r="R48" i="10"/>
  <c r="R47" i="10"/>
  <c r="R46" i="10"/>
  <c r="R35" i="10"/>
  <c r="R34" i="10"/>
  <c r="R27" i="10"/>
  <c r="H74" i="10"/>
  <c r="R36" i="10"/>
  <c r="R25" i="10"/>
  <c r="R7" i="10"/>
  <c r="H73" i="10"/>
  <c r="H72" i="10"/>
  <c r="H70" i="10"/>
  <c r="I53" i="10"/>
  <c r="I52" i="10"/>
  <c r="I42" i="10"/>
  <c r="I45" i="10"/>
  <c r="I51" i="10"/>
  <c r="I50" i="10"/>
  <c r="I49" i="10"/>
  <c r="I48" i="10"/>
  <c r="I47" i="10"/>
  <c r="I46" i="10"/>
  <c r="I44" i="10"/>
  <c r="I43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I64" i="10"/>
  <c r="I63" i="10"/>
  <c r="I62" i="10"/>
  <c r="Q55" i="10"/>
  <c r="J60" i="10" s="1"/>
  <c r="J67" i="10" s="1"/>
  <c r="P55" i="10"/>
  <c r="O55" i="10"/>
  <c r="N55" i="10"/>
  <c r="M55" i="10"/>
  <c r="L55" i="10"/>
  <c r="K55" i="10"/>
  <c r="J55" i="10"/>
  <c r="H55" i="10"/>
  <c r="G55" i="10"/>
  <c r="R55" i="10"/>
  <c r="I61" i="10" s="1"/>
  <c r="R38" i="9"/>
  <c r="R33" i="9"/>
  <c r="R29" i="9"/>
  <c r="R25" i="9"/>
  <c r="R24" i="9"/>
  <c r="R21" i="9"/>
  <c r="R19" i="9"/>
  <c r="R15" i="9"/>
  <c r="R12" i="9"/>
  <c r="R5" i="9"/>
  <c r="I39" i="9"/>
  <c r="I38" i="9"/>
  <c r="I37" i="9"/>
  <c r="I41" i="9" s="1"/>
  <c r="I46" i="9" s="1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50" i="9"/>
  <c r="I49" i="9"/>
  <c r="I48" i="9"/>
  <c r="R41" i="9"/>
  <c r="I47" i="9" s="1"/>
  <c r="Q41" i="9"/>
  <c r="J46" i="9" s="1"/>
  <c r="J53" i="9" s="1"/>
  <c r="P41" i="9"/>
  <c r="O41" i="9"/>
  <c r="N41" i="9"/>
  <c r="M41" i="9"/>
  <c r="L41" i="9"/>
  <c r="K41" i="9"/>
  <c r="J41" i="9"/>
  <c r="H41" i="9"/>
  <c r="G41" i="9"/>
  <c r="I11" i="3"/>
  <c r="I12" i="3"/>
  <c r="I13" i="3"/>
  <c r="I52" i="8"/>
  <c r="H63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I56" i="8"/>
  <c r="I55" i="8"/>
  <c r="I54" i="8"/>
  <c r="Q47" i="8"/>
  <c r="J52" i="8" s="1"/>
  <c r="J59" i="8" s="1"/>
  <c r="P47" i="8"/>
  <c r="O47" i="8"/>
  <c r="N47" i="8"/>
  <c r="M47" i="8"/>
  <c r="L47" i="8"/>
  <c r="K47" i="8"/>
  <c r="J47" i="8"/>
  <c r="H47" i="8"/>
  <c r="G47" i="8"/>
  <c r="R47" i="8"/>
  <c r="I53" i="8" s="1"/>
  <c r="I47" i="8"/>
  <c r="H48" i="7"/>
  <c r="I34" i="7"/>
  <c r="I41" i="7" s="1"/>
  <c r="R21" i="7"/>
  <c r="R20" i="7"/>
  <c r="R17" i="7"/>
  <c r="R16" i="7"/>
  <c r="R6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3" i="7"/>
  <c r="I38" i="7"/>
  <c r="I37" i="7"/>
  <c r="I36" i="7"/>
  <c r="Q29" i="7"/>
  <c r="J34" i="7" s="1"/>
  <c r="J41" i="7" s="1"/>
  <c r="P29" i="7"/>
  <c r="O29" i="7"/>
  <c r="N29" i="7"/>
  <c r="M29" i="7"/>
  <c r="L29" i="7"/>
  <c r="K29" i="7"/>
  <c r="J29" i="7"/>
  <c r="H29" i="7"/>
  <c r="G29" i="7"/>
  <c r="R29" i="7"/>
  <c r="I35" i="7" s="1"/>
  <c r="R53" i="6"/>
  <c r="R35" i="6"/>
  <c r="R30" i="6"/>
  <c r="R28" i="6"/>
  <c r="R27" i="6"/>
  <c r="R12" i="6"/>
  <c r="R5" i="6"/>
  <c r="R22" i="6"/>
  <c r="R15" i="6"/>
  <c r="I37" i="6"/>
  <c r="I36" i="6"/>
  <c r="I21" i="6"/>
  <c r="I20" i="6"/>
  <c r="I35" i="6"/>
  <c r="I54" i="6"/>
  <c r="I34" i="6"/>
  <c r="I19" i="6"/>
  <c r="I33" i="6"/>
  <c r="I32" i="6"/>
  <c r="I31" i="6"/>
  <c r="I18" i="6"/>
  <c r="I17" i="6"/>
  <c r="I16" i="6"/>
  <c r="I53" i="6"/>
  <c r="I30" i="6"/>
  <c r="I15" i="6"/>
  <c r="I52" i="6"/>
  <c r="I29" i="6"/>
  <c r="I14" i="6"/>
  <c r="I51" i="6"/>
  <c r="I50" i="6"/>
  <c r="I49" i="6"/>
  <c r="I28" i="6"/>
  <c r="I48" i="6"/>
  <c r="I47" i="6"/>
  <c r="I46" i="6"/>
  <c r="I13" i="6"/>
  <c r="I45" i="6"/>
  <c r="I12" i="6"/>
  <c r="I44" i="6"/>
  <c r="I43" i="6"/>
  <c r="I42" i="6"/>
  <c r="I11" i="6"/>
  <c r="I10" i="6"/>
  <c r="I41" i="6"/>
  <c r="I40" i="6"/>
  <c r="I27" i="6"/>
  <c r="I26" i="6"/>
  <c r="I25" i="6"/>
  <c r="I9" i="6"/>
  <c r="I24" i="6"/>
  <c r="I39" i="6"/>
  <c r="I38" i="6"/>
  <c r="I8" i="6"/>
  <c r="I7" i="6"/>
  <c r="I6" i="6"/>
  <c r="I5" i="6"/>
  <c r="I4" i="6"/>
  <c r="I23" i="6"/>
  <c r="I3" i="6"/>
  <c r="I22" i="6"/>
  <c r="I65" i="6"/>
  <c r="I64" i="6"/>
  <c r="I63" i="6"/>
  <c r="Q56" i="6"/>
  <c r="J61" i="6" s="1"/>
  <c r="J68" i="6" s="1"/>
  <c r="P56" i="6"/>
  <c r="O56" i="6"/>
  <c r="N56" i="6"/>
  <c r="M56" i="6"/>
  <c r="L56" i="6"/>
  <c r="K56" i="6"/>
  <c r="J56" i="6"/>
  <c r="H56" i="6"/>
  <c r="G56" i="6"/>
  <c r="R41" i="5"/>
  <c r="R34" i="5"/>
  <c r="R33" i="5"/>
  <c r="R32" i="5"/>
  <c r="R29" i="5"/>
  <c r="R25" i="5"/>
  <c r="R14" i="5"/>
  <c r="R27" i="5"/>
  <c r="I20" i="5"/>
  <c r="I6" i="5"/>
  <c r="I7" i="5"/>
  <c r="I8" i="5"/>
  <c r="I34" i="5"/>
  <c r="I9" i="5"/>
  <c r="I21" i="5"/>
  <c r="I10" i="5"/>
  <c r="I22" i="5"/>
  <c r="I23" i="5"/>
  <c r="I11" i="5"/>
  <c r="I35" i="5"/>
  <c r="I3" i="5"/>
  <c r="I24" i="5"/>
  <c r="I25" i="5"/>
  <c r="I26" i="5"/>
  <c r="I27" i="5"/>
  <c r="I28" i="5"/>
  <c r="I36" i="5"/>
  <c r="I12" i="5"/>
  <c r="I13" i="5"/>
  <c r="I14" i="5"/>
  <c r="I37" i="5"/>
  <c r="I29" i="5"/>
  <c r="I38" i="5"/>
  <c r="I15" i="5"/>
  <c r="I16" i="5"/>
  <c r="I39" i="5"/>
  <c r="I30" i="5"/>
  <c r="I31" i="5"/>
  <c r="I32" i="5"/>
  <c r="I33" i="5"/>
  <c r="I40" i="5"/>
  <c r="I17" i="5"/>
  <c r="I41" i="5"/>
  <c r="I42" i="5"/>
  <c r="I18" i="5"/>
  <c r="I4" i="5"/>
  <c r="I19" i="5"/>
  <c r="I5" i="5"/>
  <c r="I53" i="5"/>
  <c r="I52" i="5"/>
  <c r="I51" i="5"/>
  <c r="Q44" i="5"/>
  <c r="J49" i="5" s="1"/>
  <c r="J56" i="5" s="1"/>
  <c r="P44" i="5"/>
  <c r="O44" i="5"/>
  <c r="N44" i="5"/>
  <c r="M44" i="5"/>
  <c r="L44" i="5"/>
  <c r="K44" i="5"/>
  <c r="J44" i="5"/>
  <c r="H44" i="5"/>
  <c r="G44" i="5"/>
  <c r="R44" i="5"/>
  <c r="I50" i="5" s="1"/>
  <c r="I50" i="4"/>
  <c r="R41" i="4"/>
  <c r="R40" i="4"/>
  <c r="R38" i="4"/>
  <c r="R37" i="4"/>
  <c r="R33" i="4"/>
  <c r="R31" i="4"/>
  <c r="R30" i="4"/>
  <c r="R5" i="4"/>
  <c r="R55" i="4" s="1"/>
  <c r="I61" i="4" s="1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1" i="4"/>
  <c r="I52" i="4"/>
  <c r="I5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" i="4"/>
  <c r="I55" i="4" s="1"/>
  <c r="I60" i="4" s="1"/>
  <c r="I64" i="4"/>
  <c r="I63" i="4"/>
  <c r="I62" i="4"/>
  <c r="Q55" i="4"/>
  <c r="J60" i="4" s="1"/>
  <c r="J67" i="4" s="1"/>
  <c r="P55" i="4"/>
  <c r="O55" i="4"/>
  <c r="N55" i="4"/>
  <c r="M55" i="4"/>
  <c r="L55" i="4"/>
  <c r="K55" i="4"/>
  <c r="J55" i="4"/>
  <c r="H55" i="4"/>
  <c r="G55" i="4"/>
  <c r="R16" i="3"/>
  <c r="R10" i="3"/>
  <c r="R23" i="3"/>
  <c r="R19" i="3"/>
  <c r="R17" i="3"/>
  <c r="R7" i="3"/>
  <c r="R5" i="3"/>
  <c r="H43" i="3"/>
  <c r="I24" i="3"/>
  <c r="I23" i="3"/>
  <c r="I22" i="3"/>
  <c r="I21" i="3"/>
  <c r="I20" i="3"/>
  <c r="I19" i="3"/>
  <c r="I18" i="3"/>
  <c r="I10" i="3"/>
  <c r="I17" i="3"/>
  <c r="I16" i="3"/>
  <c r="I15" i="3"/>
  <c r="I14" i="3"/>
  <c r="I9" i="3"/>
  <c r="I8" i="3"/>
  <c r="I7" i="3"/>
  <c r="I6" i="3"/>
  <c r="I5" i="3"/>
  <c r="I4" i="3"/>
  <c r="I3" i="3"/>
  <c r="I26" i="3" s="1"/>
  <c r="I31" i="3" s="1"/>
  <c r="I35" i="3"/>
  <c r="I34" i="3"/>
  <c r="I33" i="3"/>
  <c r="Q26" i="3"/>
  <c r="J31" i="3" s="1"/>
  <c r="J38" i="3" s="1"/>
  <c r="P26" i="3"/>
  <c r="O26" i="3"/>
  <c r="N26" i="3"/>
  <c r="M26" i="3"/>
  <c r="L26" i="3"/>
  <c r="K26" i="3"/>
  <c r="J26" i="3"/>
  <c r="H26" i="3"/>
  <c r="G26" i="3"/>
  <c r="R23" i="2"/>
  <c r="R17" i="2"/>
  <c r="R16" i="2"/>
  <c r="R9" i="2"/>
  <c r="R4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34" i="2"/>
  <c r="I33" i="2"/>
  <c r="I32" i="2"/>
  <c r="Q25" i="2"/>
  <c r="J30" i="2" s="1"/>
  <c r="J37" i="2" s="1"/>
  <c r="P25" i="2"/>
  <c r="O25" i="2"/>
  <c r="N25" i="2"/>
  <c r="M25" i="2"/>
  <c r="L25" i="2"/>
  <c r="K25" i="2"/>
  <c r="J25" i="2"/>
  <c r="H25" i="2"/>
  <c r="G25" i="2"/>
  <c r="I25" i="2"/>
  <c r="I30" i="2" s="1"/>
  <c r="I55" i="10" l="1"/>
  <c r="I53" i="9"/>
  <c r="I59" i="8"/>
  <c r="I29" i="7"/>
  <c r="I56" i="6"/>
  <c r="I61" i="6" s="1"/>
  <c r="R56" i="6"/>
  <c r="I62" i="6" s="1"/>
  <c r="I44" i="5"/>
  <c r="I49" i="5" s="1"/>
  <c r="I56" i="5" s="1"/>
  <c r="I67" i="4"/>
  <c r="R26" i="3"/>
  <c r="I32" i="3" s="1"/>
  <c r="I38" i="3" s="1"/>
  <c r="R25" i="2"/>
  <c r="I31" i="2" s="1"/>
  <c r="I37" i="2" s="1"/>
  <c r="I60" i="10" l="1"/>
  <c r="I67" i="10" s="1"/>
  <c r="I68" i="6"/>
</calcChain>
</file>

<file path=xl/sharedStrings.xml><?xml version="1.0" encoding="utf-8"?>
<sst xmlns="http://schemas.openxmlformats.org/spreadsheetml/2006/main" count="9525" uniqueCount="3014">
  <si>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</si>
  <si>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</si>
  <si>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</si>
  <si>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</si>
  <si>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</si>
  <si>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</si>
  <si>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</si>
  <si>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</si>
  <si>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</si>
  <si>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</si>
  <si>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</si>
  <si>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</si>
  <si>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</si>
  <si>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</si>
  <si>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</si>
  <si>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c.cuong</t>
  </si>
  <si>
    <t>đổi hàng</t>
  </si>
  <si>
    <t>phu nhuan</t>
  </si>
  <si>
    <t>tan binh</t>
  </si>
  <si>
    <t>binh thanh</t>
  </si>
  <si>
    <t>go vap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</si>
  <si>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</si>
  <si>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</si>
  <si>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</si>
  <si>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</si>
  <si>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</si>
  <si>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</si>
  <si>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</si>
  <si>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</si>
  <si>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</si>
  <si>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</si>
  <si>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THU 4</t>
  </si>
  <si>
    <t>NGAY 1-4</t>
  </si>
  <si>
    <t>T4.1.4.2026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</si>
  <si>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</si>
  <si>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</si>
  <si>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</si>
  <si>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</si>
  <si>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</si>
  <si>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</si>
  <si>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</si>
  <si>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</si>
  <si>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</si>
  <si>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</si>
  <si>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</si>
  <si>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</si>
  <si>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</si>
  <si>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</si>
  <si>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</si>
  <si>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</si>
  <si>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</si>
  <si>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</si>
  <si>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</si>
  <si>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</si>
  <si>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</si>
  <si>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</si>
  <si>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</si>
  <si>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</si>
  <si>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</si>
  <si>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</si>
  <si>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</si>
  <si>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</si>
  <si>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</si>
  <si>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</si>
  <si>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</si>
  <si>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</si>
  <si>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</si>
  <si>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</si>
  <si>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</si>
  <si>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</si>
  <si>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</si>
  <si>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</si>
  <si>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</si>
  <si>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</si>
  <si>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</si>
  <si>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</si>
  <si>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</si>
  <si>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</si>
  <si>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</si>
  <si>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</si>
  <si>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</si>
  <si>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</si>
  <si>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</si>
  <si>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</si>
  <si>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</si>
  <si>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</si>
  <si>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</si>
  <si>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</si>
  <si>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</si>
  <si>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</si>
  <si>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</si>
  <si>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</si>
  <si>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</si>
  <si>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</si>
  <si>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</si>
  <si>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</si>
  <si>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</si>
  <si>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</si>
  <si>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</si>
  <si>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Jess-9244</t>
  </si>
  <si>
    <t>275/14B1 Đặng Nguyên Cẩn, Phường Phú Lâm</t>
  </si>
  <si>
    <t>ĐỊA CHỈ</t>
  </si>
  <si>
    <t>THU 5</t>
  </si>
  <si>
    <t>NGAY 2-4</t>
  </si>
  <si>
    <t>T5.2.4.2026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</si>
  <si>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</si>
  <si>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</si>
  <si>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</si>
  <si>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</si>
  <si>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</si>
  <si>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</si>
  <si>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</si>
  <si>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</si>
  <si>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</si>
  <si>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</si>
  <si>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</si>
  <si>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</si>
  <si>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</si>
  <si>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</si>
  <si>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</si>
  <si>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</si>
  <si>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</si>
  <si>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</si>
  <si>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</si>
  <si>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</si>
  <si>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</si>
  <si>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</si>
  <si>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</si>
  <si>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</si>
  <si>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</si>
  <si>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</si>
  <si>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</si>
  <si>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</si>
  <si>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</si>
  <si>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</si>
  <si>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</si>
  <si>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</si>
  <si>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</si>
  <si>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</si>
  <si>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</si>
  <si>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</si>
  <si>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</si>
  <si>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</si>
  <si>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</si>
  <si>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</si>
  <si>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</si>
  <si>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</si>
  <si>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</si>
  <si>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Nguyễn Trương Phương Oanh</t>
  </si>
  <si>
    <t>HD006977</t>
  </si>
  <si>
    <t>125/42/2 Bùi Đình Tuý, phường 14</t>
  </si>
  <si>
    <t>kh ck shop 1215k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</si>
  <si>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</si>
  <si>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</si>
  <si>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</si>
  <si>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</si>
  <si>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</si>
  <si>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</si>
  <si>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</si>
  <si>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</si>
  <si>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</si>
  <si>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</si>
  <si>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</si>
  <si>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</si>
  <si>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</si>
  <si>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</si>
  <si>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</si>
  <si>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</si>
  <si>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</si>
  <si>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</si>
  <si>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</si>
  <si>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</si>
  <si>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</si>
  <si>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đơn ck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</si>
  <si>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</si>
  <si>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</si>
  <si>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</si>
  <si>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</si>
  <si>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</si>
  <si>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</si>
  <si>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</si>
  <si>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</si>
  <si>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</si>
  <si>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</si>
  <si>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</si>
  <si>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</si>
  <si>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</si>
  <si>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</si>
  <si>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</si>
  <si>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</si>
  <si>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</si>
  <si>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</si>
  <si>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</si>
  <si>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</si>
  <si>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</si>
  <si>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</si>
  <si>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</si>
  <si>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</si>
  <si>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</si>
  <si>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</si>
  <si>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</si>
  <si>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</si>
  <si>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</si>
  <si>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</si>
  <si>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</si>
  <si>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</si>
  <si>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</si>
  <si>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</si>
  <si>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</si>
  <si>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</si>
  <si>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</si>
  <si>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</si>
  <si>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</si>
  <si>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</si>
  <si>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</si>
  <si>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</si>
  <si>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</si>
  <si>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</si>
  <si>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</si>
  <si>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</si>
  <si>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</si>
  <si>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</si>
  <si>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</si>
  <si>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</si>
  <si>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</si>
  <si>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</si>
  <si>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</si>
  <si>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</si>
  <si>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</si>
  <si>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</si>
  <si>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</si>
  <si>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</si>
  <si>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</si>
  <si>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</si>
  <si>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</si>
  <si>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</si>
  <si>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</si>
  <si>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</si>
  <si>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</si>
  <si>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</si>
  <si>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</si>
  <si>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</si>
  <si>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</si>
  <si>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</si>
  <si>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</si>
  <si>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</si>
  <si>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</si>
  <si>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</si>
  <si>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</si>
  <si>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</si>
  <si>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</si>
  <si>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</si>
  <si>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</si>
  <si>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</si>
  <si>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</si>
  <si>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</si>
  <si>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</si>
  <si>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</si>
  <si>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</si>
  <si>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</si>
  <si>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</si>
  <si>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</si>
  <si>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</si>
  <si>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</si>
  <si>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</si>
  <si>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</si>
  <si>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</si>
  <si>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</si>
  <si>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</si>
  <si>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</si>
  <si>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</si>
  <si>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</si>
  <si>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</si>
  <si>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</si>
  <si>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</si>
  <si>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</si>
  <si>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</si>
  <si>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</si>
  <si>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</si>
  <si>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</si>
  <si>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</si>
  <si>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</si>
  <si>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</si>
  <si>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</si>
  <si>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</si>
  <si>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</si>
  <si>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</si>
  <si>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</si>
  <si>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</si>
  <si>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</si>
  <si>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</si>
  <si>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</si>
  <si>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</si>
  <si>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</si>
  <si>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</si>
  <si>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</si>
  <si>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</si>
  <si>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</si>
  <si>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</si>
  <si>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</si>
  <si>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</si>
  <si>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</si>
  <si>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</si>
  <si>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</si>
  <si>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</si>
  <si>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</si>
  <si>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</si>
  <si>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</si>
  <si>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</si>
  <si>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</si>
  <si>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</si>
  <si>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HD007574</t>
  </si>
  <si>
    <t>LISA</t>
  </si>
  <si>
    <t>685 tân sơn phường 12</t>
  </si>
  <si>
    <t>Ly Clara Selena</t>
  </si>
  <si>
    <t>403 tân sơn p12</t>
  </si>
  <si>
    <t>THU 6</t>
  </si>
  <si>
    <t>NGAY 3-4</t>
  </si>
  <si>
    <t>T6.3.4.2026</t>
  </si>
  <si>
    <t>HD007059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</si>
  <si>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</si>
  <si>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</si>
  <si>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</si>
  <si>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</si>
  <si>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</si>
  <si>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</si>
  <si>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</si>
  <si>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</si>
  <si>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</si>
  <si>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</si>
  <si>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</si>
  <si>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</si>
  <si>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</si>
  <si>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</si>
  <si>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</si>
  <si>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</si>
  <si>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</si>
  <si>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</si>
  <si>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</si>
  <si>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</si>
  <si>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</si>
  <si>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</si>
  <si>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</si>
  <si>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</si>
  <si>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</si>
  <si>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</si>
  <si>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</si>
  <si>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</si>
  <si>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</si>
  <si>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</si>
  <si>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</si>
  <si>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</si>
  <si>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</si>
  <si>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</si>
  <si>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</si>
  <si>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</si>
  <si>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</si>
  <si>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</si>
  <si>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</si>
  <si>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</si>
  <si>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</si>
  <si>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</si>
  <si>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</si>
  <si>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</si>
  <si>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</si>
  <si>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</si>
  <si>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</si>
  <si>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</si>
  <si>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</si>
  <si>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</si>
  <si>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</si>
  <si>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</si>
  <si>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</si>
  <si>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</si>
  <si>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</si>
  <si>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</si>
  <si>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</si>
  <si>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</si>
  <si>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</si>
  <si>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</si>
  <si>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</si>
  <si>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</si>
  <si>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</si>
  <si>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</si>
  <si>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</si>
  <si>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</si>
  <si>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</si>
  <si>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</si>
  <si>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</si>
  <si>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</si>
  <si>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</si>
  <si>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</si>
  <si>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</si>
  <si>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</si>
  <si>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</si>
  <si>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</si>
  <si>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</si>
  <si>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</si>
  <si>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</si>
  <si>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</si>
  <si>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</si>
  <si>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</si>
  <si>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</si>
  <si>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</si>
  <si>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</si>
  <si>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</si>
  <si>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</si>
  <si>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</si>
  <si>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</si>
  <si>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</si>
  <si>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</si>
  <si>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</si>
  <si>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</si>
  <si>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</si>
  <si>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</si>
  <si>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</si>
  <si>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</si>
  <si>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</si>
  <si>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</si>
  <si>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</si>
  <si>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</si>
  <si>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</si>
  <si>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</si>
  <si>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</si>
  <si>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</si>
  <si>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</si>
  <si>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</si>
  <si>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</si>
  <si>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</si>
  <si>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</si>
  <si>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</si>
  <si>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</si>
  <si>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</si>
  <si>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</si>
  <si>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</si>
  <si>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</si>
  <si>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</si>
  <si>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</si>
  <si>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</si>
  <si>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</si>
  <si>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đơn trả 5.4</t>
  </si>
  <si>
    <t>T2.6.4.2026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</si>
  <si>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</si>
  <si>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</si>
  <si>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</si>
  <si>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</si>
  <si>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</si>
  <si>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</si>
  <si>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</si>
  <si>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</si>
  <si>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</si>
  <si>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</si>
  <si>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</si>
  <si>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</si>
  <si>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</si>
  <si>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</si>
  <si>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</si>
  <si>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</si>
  <si>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</si>
  <si>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</si>
  <si>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</si>
  <si>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</si>
  <si>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</si>
  <si>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</si>
  <si>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</si>
  <si>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</si>
  <si>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</si>
  <si>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</si>
  <si>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</si>
  <si>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</si>
  <si>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</si>
  <si>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</si>
  <si>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</si>
  <si>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</si>
  <si>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</si>
  <si>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</si>
  <si>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</si>
  <si>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</si>
  <si>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</si>
  <si>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</si>
  <si>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</si>
  <si>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</si>
  <si>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</si>
  <si>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</si>
  <si>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</si>
  <si>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</si>
  <si>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</si>
  <si>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</si>
  <si>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</si>
  <si>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</si>
  <si>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</si>
  <si>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</si>
  <si>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</si>
  <si>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</si>
  <si>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</si>
  <si>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</si>
  <si>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</si>
  <si>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</si>
  <si>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</si>
  <si>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</si>
  <si>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</si>
  <si>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</si>
  <si>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</si>
  <si>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</si>
  <si>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</si>
  <si>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</si>
  <si>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</si>
  <si>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</si>
  <si>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</si>
  <si>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</si>
  <si>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</si>
  <si>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</si>
  <si>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</si>
  <si>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</si>
  <si>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</si>
  <si>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</si>
  <si>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</si>
  <si>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</si>
  <si>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</si>
  <si>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</si>
  <si>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</si>
  <si>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</si>
  <si>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</si>
  <si>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</si>
  <si>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</si>
  <si>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</si>
  <si>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</si>
  <si>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</si>
  <si>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</si>
  <si>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</si>
  <si>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</si>
  <si>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Kiều Filler</t>
  </si>
  <si>
    <t>HD006142</t>
  </si>
  <si>
    <t>166/48c thích quảng Đức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</si>
  <si>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</si>
  <si>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</si>
  <si>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</si>
  <si>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</si>
  <si>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</si>
  <si>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</si>
  <si>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</si>
  <si>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</si>
  <si>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</si>
  <si>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</si>
  <si>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</si>
  <si>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</si>
  <si>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</si>
  <si>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</si>
  <si>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</si>
  <si>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</si>
  <si>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</si>
  <si>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</si>
  <si>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</si>
  <si>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</si>
  <si>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</si>
  <si>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</si>
  <si>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</si>
  <si>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</si>
  <si>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</si>
  <si>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</si>
  <si>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</si>
  <si>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</si>
  <si>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</si>
  <si>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</si>
  <si>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</si>
  <si>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</si>
  <si>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</si>
  <si>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</si>
  <si>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</si>
  <si>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</si>
  <si>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</si>
  <si>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</si>
  <si>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</si>
  <si>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</si>
  <si>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</si>
  <si>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</si>
  <si>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</si>
  <si>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</si>
  <si>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</si>
  <si>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</si>
  <si>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</si>
  <si>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</si>
  <si>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</si>
  <si>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</si>
  <si>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</si>
  <si>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</si>
  <si>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</si>
  <si>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</si>
  <si>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đơn trả 7.4</t>
  </si>
  <si>
    <t>kh ck shop 2370k</t>
  </si>
  <si>
    <t>kh ck shop 2390k</t>
  </si>
  <si>
    <t>THU 3</t>
  </si>
  <si>
    <t>NGAY 7-4</t>
  </si>
  <si>
    <t>T3.7.4.2026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</si>
  <si>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</si>
  <si>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</si>
  <si>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</si>
  <si>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</si>
  <si>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</si>
  <si>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</si>
  <si>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</si>
  <si>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</si>
  <si>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</si>
  <si>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</si>
  <si>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</si>
  <si>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</si>
  <si>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</si>
  <si>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</si>
  <si>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</si>
  <si>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</si>
  <si>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</si>
  <si>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</si>
  <si>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</si>
  <si>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</si>
  <si>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</si>
  <si>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</si>
  <si>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</si>
  <si>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</si>
  <si>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</si>
  <si>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</si>
  <si>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</si>
  <si>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</si>
  <si>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</si>
  <si>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</si>
  <si>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</si>
  <si>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</si>
  <si>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</si>
  <si>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</si>
  <si>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</si>
  <si>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</si>
  <si>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</si>
  <si>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</si>
  <si>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</si>
  <si>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</si>
  <si>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</si>
  <si>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</si>
  <si>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</si>
  <si>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</si>
  <si>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</si>
  <si>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</si>
  <si>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</si>
  <si>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</si>
  <si>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</si>
  <si>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</si>
  <si>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</si>
  <si>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</si>
  <si>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</si>
  <si>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</si>
  <si>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</si>
  <si>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</si>
  <si>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</si>
  <si>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</si>
  <si>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</si>
  <si>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</si>
  <si>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</si>
  <si>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</si>
  <si>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</si>
  <si>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Đào Hạnh nhận hộ An Hy</t>
  </si>
  <si>
    <t>HD008648</t>
  </si>
  <si>
    <t>24 Yên Thế, Phường 2</t>
  </si>
  <si>
    <t>UYÊN MI</t>
  </si>
  <si>
    <t>93/1 Nguyễn Chí Thanh P9</t>
  </si>
  <si>
    <t>luu tra</t>
  </si>
  <si>
    <t>đơn cũ ck</t>
  </si>
  <si>
    <t>kh ck shop 695k</t>
  </si>
  <si>
    <t>kh ck shop 1020k</t>
  </si>
  <si>
    <t>đơn nhà xe Anh Khương 2.4</t>
  </si>
  <si>
    <t>đơn thu hộ 6.4</t>
  </si>
  <si>
    <t>T4.8.4.2026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</si>
  <si>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</si>
  <si>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</si>
  <si>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</si>
  <si>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</si>
  <si>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</si>
  <si>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</si>
  <si>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</si>
  <si>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</si>
  <si>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</si>
  <si>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</si>
  <si>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</si>
  <si>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</si>
  <si>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</si>
  <si>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</si>
  <si>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</si>
  <si>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</si>
  <si>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</si>
  <si>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</si>
  <si>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</si>
  <si>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</si>
  <si>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</si>
  <si>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</si>
  <si>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</si>
  <si>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</si>
  <si>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</si>
  <si>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</si>
  <si>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</si>
  <si>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</si>
  <si>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</si>
  <si>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</si>
  <si>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</si>
  <si>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</si>
  <si>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</si>
  <si>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</si>
  <si>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</si>
  <si>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</si>
  <si>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</si>
  <si>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</si>
  <si>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</si>
  <si>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</si>
  <si>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</si>
  <si>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</si>
  <si>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</si>
  <si>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</si>
  <si>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</si>
  <si>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</si>
  <si>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</si>
  <si>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</si>
  <si>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</si>
  <si>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</si>
  <si>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</si>
  <si>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</si>
  <si>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</si>
  <si>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</si>
  <si>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</si>
  <si>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</si>
  <si>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</si>
  <si>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</si>
  <si>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</si>
  <si>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</si>
  <si>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</si>
  <si>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</si>
  <si>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</si>
  <si>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</si>
  <si>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</si>
  <si>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</si>
  <si>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</si>
  <si>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</si>
  <si>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</si>
  <si>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</si>
  <si>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</si>
  <si>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</si>
  <si>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</si>
  <si>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</si>
  <si>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</si>
  <si>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</si>
  <si>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</si>
  <si>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</si>
  <si>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</si>
  <si>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</si>
  <si>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</si>
  <si>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</si>
  <si>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</si>
  <si>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</si>
  <si>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</si>
  <si>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</si>
  <si>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</si>
  <si>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</si>
  <si>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</si>
  <si>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</si>
  <si>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</si>
  <si>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</si>
  <si>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</si>
  <si>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</si>
  <si>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</si>
  <si>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</si>
  <si>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</si>
  <si>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</si>
  <si>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</si>
  <si>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</si>
  <si>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</si>
  <si>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</si>
  <si>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</si>
  <si>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</si>
  <si>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</si>
  <si>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</si>
  <si>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</si>
  <si>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</si>
  <si>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</si>
  <si>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</si>
  <si>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</si>
  <si>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</si>
  <si>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</si>
  <si>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</si>
  <si>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</si>
  <si>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</si>
  <si>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26-03-2026</t>
  </si>
  <si>
    <t>hàng tỉnh</t>
  </si>
  <si>
    <t>x</t>
  </si>
  <si>
    <t>xx</t>
  </si>
  <si>
    <t>đơn trả 9.4</t>
  </si>
  <si>
    <t>T5.9.4.2026</t>
  </si>
  <si>
    <t>NGAY 9-4</t>
  </si>
  <si>
    <t>NGAY 8-4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</si>
  <si>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</si>
  <si>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</si>
  <si>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</si>
  <si>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</si>
  <si>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</si>
  <si>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</si>
  <si>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</si>
  <si>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</si>
  <si>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</si>
  <si>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</si>
  <si>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</si>
  <si>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</si>
  <si>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</si>
  <si>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</si>
  <si>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</si>
  <si>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</si>
  <si>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</si>
  <si>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</si>
  <si>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</si>
  <si>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</si>
  <si>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</si>
  <si>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</si>
  <si>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</si>
  <si>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</si>
  <si>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</si>
  <si>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</si>
  <si>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</si>
  <si>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</si>
  <si>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</si>
  <si>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</si>
  <si>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</si>
  <si>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</si>
  <si>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</si>
  <si>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</si>
  <si>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</si>
  <si>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</si>
  <si>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</si>
  <si>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</si>
  <si>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</si>
  <si>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</si>
  <si>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</si>
  <si>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</si>
  <si>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</si>
  <si>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</si>
  <si>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</si>
  <si>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</si>
  <si>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</si>
  <si>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</si>
  <si>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</si>
  <si>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</si>
  <si>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</si>
  <si>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</si>
  <si>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</si>
  <si>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</si>
  <si>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</si>
  <si>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</si>
  <si>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</si>
  <si>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</si>
  <si>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</si>
  <si>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</si>
  <si>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</si>
  <si>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</si>
  <si>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</si>
  <si>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</si>
  <si>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</si>
  <si>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</si>
  <si>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</si>
  <si>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</si>
  <si>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</si>
  <si>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</si>
  <si>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</si>
  <si>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</si>
  <si>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</si>
  <si>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</si>
  <si>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</si>
  <si>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</si>
  <si>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</si>
  <si>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</si>
  <si>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</si>
  <si>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</si>
  <si>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</si>
  <si>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</si>
  <si>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</si>
  <si>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</si>
  <si>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</si>
  <si>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</si>
  <si>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</si>
  <si>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</si>
  <si>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</si>
  <si>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</si>
  <si>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</si>
  <si>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</si>
  <si>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</si>
  <si>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</si>
  <si>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</si>
  <si>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</si>
  <si>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</si>
  <si>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</si>
  <si>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</si>
  <si>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</si>
  <si>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</si>
  <si>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</si>
  <si>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</si>
  <si>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</si>
  <si>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T6.10.4.2026</t>
  </si>
  <si>
    <t>NGAY 10-4</t>
  </si>
  <si>
    <t>Nguyễn Thị Kiều Hạnh</t>
  </si>
  <si>
    <t>HD009945</t>
  </si>
  <si>
    <t>606/7/12/18 hồ ngọc lãm bình trị đông b</t>
  </si>
  <si>
    <t>AT 10-04</t>
  </si>
  <si>
    <t>10-04-2026</t>
  </si>
  <si>
    <t>Quyên Trần - fb Trang Nguyen</t>
  </si>
  <si>
    <t>HD009599</t>
  </si>
  <si>
    <t>184 trận văn kiểu p10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</si>
  <si>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</si>
  <si>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</si>
  <si>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</si>
  <si>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</si>
  <si>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</si>
  <si>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</si>
  <si>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Loan Nguyen</t>
  </si>
  <si>
    <t>HD009642</t>
  </si>
  <si>
    <t>2 tân mỹ phường tân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</si>
  <si>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</si>
  <si>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</si>
  <si>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</si>
  <si>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</si>
  <si>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</si>
  <si>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</si>
  <si>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</si>
  <si>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</si>
  <si>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</si>
  <si>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</si>
  <si>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</si>
  <si>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Thy Mai</t>
  </si>
  <si>
    <t>HD009729</t>
  </si>
  <si>
    <t>2 nguyên văn tưởng, phường tân phú . , chung cư the view revieta point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</si>
  <si>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</si>
  <si>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</si>
  <si>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</si>
  <si>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</si>
  <si>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</si>
  <si>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</si>
  <si>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</si>
  <si>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</si>
  <si>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</si>
  <si>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Thu Thủy</t>
  </si>
  <si>
    <t>HD009349</t>
  </si>
  <si>
    <t>181 đường 79 tân quy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</si>
  <si>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</si>
  <si>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</si>
  <si>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</si>
  <si>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</si>
  <si>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</si>
  <si>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</si>
  <si>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</si>
  <si>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</si>
  <si>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</si>
  <si>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</si>
  <si>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</si>
  <si>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</si>
  <si>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HD009826</t>
  </si>
  <si>
    <t>HD010016</t>
  </si>
  <si>
    <t>HD009866</t>
  </si>
  <si>
    <t>192 Trần Bá Giao P5</t>
  </si>
  <si>
    <t>Kim Khánh</t>
  </si>
  <si>
    <t>HD009549</t>
  </si>
  <si>
    <t>115/9/2 Nguyên Hồng, phường 1</t>
  </si>
  <si>
    <t>kh ck shop 785k</t>
  </si>
  <si>
    <t>Nguyễn Thiện</t>
  </si>
  <si>
    <t>HD010009</t>
  </si>
  <si>
    <t>Nhà thuốc pharmacity số 10 thảo điền Thiện Phường thảo điền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</si>
  <si>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</si>
  <si>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</si>
  <si>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</si>
  <si>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</si>
  <si>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</si>
  <si>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</si>
  <si>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</si>
  <si>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</si>
  <si>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</si>
  <si>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</si>
  <si>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</si>
  <si>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</si>
  <si>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</si>
  <si>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</si>
  <si>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</si>
  <si>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</si>
  <si>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</si>
  <si>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</si>
  <si>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kh ck shop 1865k</t>
  </si>
  <si>
    <t>Dung Nguyen</t>
  </si>
  <si>
    <t>HD009849</t>
  </si>
  <si>
    <t>15/32/2 võ duy trinh</t>
  </si>
  <si>
    <t>Anh Đào nhận dùm fb Ngô Thu</t>
  </si>
  <si>
    <t>HD009559</t>
  </si>
  <si>
    <t>72 Tân Hải, Phường 13 , Hồ Chí Minh</t>
  </si>
  <si>
    <t>suzy fb Bei Bei</t>
  </si>
  <si>
    <t>HD009942</t>
  </si>
  <si>
    <t>256-258 Lý thường kiệt p14 ( chung cư xi grani) Lock A2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</si>
  <si>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</si>
  <si>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</si>
  <si>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</si>
  <si>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</si>
  <si>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</si>
  <si>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</si>
  <si>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</si>
  <si>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</si>
  <si>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</si>
  <si>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</si>
  <si>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</si>
  <si>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</si>
  <si>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</si>
  <si>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</si>
  <si>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</si>
  <si>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HD009762</t>
  </si>
  <si>
    <t>Sean Sophaline (CUS44348)</t>
  </si>
  <si>
    <t>HD009606</t>
  </si>
  <si>
    <t>270B, Lý Thường Kiệt, Khu Phố 1, Phường 6</t>
  </si>
  <si>
    <t>Thạch Phương Thảo</t>
  </si>
  <si>
    <t>HD009645</t>
  </si>
  <si>
    <t>193/72 Nam Kì Khởi Nghĩa, P Võ Thị Sáu</t>
  </si>
  <si>
    <t>kh ck shop 465k</t>
  </si>
  <si>
    <t>Alina Phạm</t>
  </si>
  <si>
    <t>HD009973</t>
  </si>
  <si>
    <t>92/30 phạm ngọc thạch, phường 6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</si>
  <si>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</si>
  <si>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</si>
  <si>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</si>
  <si>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</si>
  <si>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</si>
  <si>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</si>
  <si>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HD009831</t>
  </si>
  <si>
    <t>HD010013</t>
  </si>
  <si>
    <t>Trần Thị Hoài Thương</t>
  </si>
  <si>
    <t>HD009722</t>
  </si>
  <si>
    <t>Chung cư kingdom 101 block c 334 tô hiến thành</t>
  </si>
  <si>
    <t>Huynh Anh</t>
  </si>
  <si>
    <t>HD009580</t>
  </si>
  <si>
    <t>284 nguyễn thiện thuật phường bàn cờ</t>
  </si>
  <si>
    <t>đơn lấy hàng về cho shop</t>
  </si>
  <si>
    <t>socheatahun</t>
  </si>
  <si>
    <t>100A Thich Quang Duc Street, Ward 5</t>
  </si>
  <si>
    <t>đơn trả 11.4</t>
  </si>
  <si>
    <t>shop chiu ship</t>
  </si>
  <si>
    <t>T7.11.4.2026</t>
  </si>
  <si>
    <t>NGAY 11-4</t>
  </si>
  <si>
    <t>Mỹ Hảo</t>
  </si>
  <si>
    <t>HD010143</t>
  </si>
  <si>
    <t>145/9 đỗ xuân hợp phước long b</t>
  </si>
  <si>
    <t>11-04-2026</t>
  </si>
  <si>
    <t>HD010230</t>
  </si>
  <si>
    <t>AT 11-04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</si>
  <si>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</si>
  <si>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</si>
  <si>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</si>
  <si>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</si>
  <si>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</si>
  <si>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</si>
  <si>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Bé Oanh</t>
  </si>
  <si>
    <t>HD010381</t>
  </si>
  <si>
    <t>841/4 quốc lộ 13 cũ hiệp bình trưng</t>
  </si>
  <si>
    <t>Tên Thúy Phượng</t>
  </si>
  <si>
    <t>HD009949</t>
  </si>
  <si>
    <t>206/40 đồng đen F14</t>
  </si>
  <si>
    <t>Mỹ Phương</t>
  </si>
  <si>
    <t>HDO10203</t>
  </si>
  <si>
    <t>445 gia phú phường 1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</si>
  <si>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</si>
  <si>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</si>
  <si>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</si>
  <si>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</si>
  <si>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</si>
  <si>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</si>
  <si>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Thảo Trần</t>
  </si>
  <si>
    <t>HD010149</t>
  </si>
  <si>
    <t>sunrise wi, 25 nguyễn hữu thọ, tân hưng</t>
  </si>
  <si>
    <t>xiao yan</t>
  </si>
  <si>
    <t>HD010007</t>
  </si>
  <si>
    <t>22, ĐƯỜNG TÂN THỚI NHẤT 1B, Phường Đông Hưng Thuận</t>
  </si>
  <si>
    <t>Phương Nhi</t>
  </si>
  <si>
    <t>HD010197</t>
  </si>
  <si>
    <t>27duơng số 1 khu phố 5 tân tạo a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</si>
  <si>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</si>
  <si>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</si>
  <si>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</si>
  <si>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</si>
  <si>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</si>
  <si>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</si>
  <si>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Oanh Trương</t>
  </si>
  <si>
    <t>HD010055</t>
  </si>
  <si>
    <t>31 đường 6b khu trung sơn</t>
  </si>
  <si>
    <t>HD010179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</si>
  <si>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</si>
  <si>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</si>
  <si>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</si>
  <si>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</si>
  <si>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</si>
  <si>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</si>
  <si>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78 nguyen duy trinh, p Binh Trung</t>
  </si>
  <si>
    <t>My Yên</t>
  </si>
  <si>
    <t>HD010330</t>
  </si>
  <si>
    <t>334/33/1C Chu văn an, phường 12</t>
  </si>
  <si>
    <t>NG Phúc</t>
  </si>
  <si>
    <t>HD010229</t>
  </si>
  <si>
    <t>12 Quốc Hương, Thảo Điền</t>
  </si>
  <si>
    <t>Thi Thỏ</t>
  </si>
  <si>
    <t>HD010074</t>
  </si>
  <si>
    <t>338/5/7 Nguyễn Xí phường 13</t>
  </si>
  <si>
    <t>Lê thị giáng my</t>
  </si>
  <si>
    <t>HD010076</t>
  </si>
  <si>
    <t>71 đường 44 tam bình, phường tam phú</t>
  </si>
  <si>
    <t>Anh Phượng</t>
  </si>
  <si>
    <t>HD009656</t>
  </si>
  <si>
    <t>248/27 p8 nguyễn văn khối</t>
  </si>
  <si>
    <t>Ms. Yến</t>
  </si>
  <si>
    <t>HD009651</t>
  </si>
  <si>
    <t>25 đường 61, Thạnh Mỹ Lợi</t>
  </si>
  <si>
    <t>Thu Hồng</t>
  </si>
  <si>
    <t>HD010144</t>
  </si>
  <si>
    <t>117/17 nguyễn hữu cảnh p thạnh mỹ tây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</si>
  <si>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</si>
  <si>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</si>
  <si>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</si>
  <si>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</si>
  <si>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</si>
  <si>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</si>
  <si>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Thu Ly</t>
  </si>
  <si>
    <t>HD010300</t>
  </si>
  <si>
    <t>134/1/4 bùi thị xuân p bến thành</t>
  </si>
  <si>
    <t>Nguyệt Quế</t>
  </si>
  <si>
    <t>HD010075</t>
  </si>
  <si>
    <t>346 bến vân đồn, phường vĩnh hội</t>
  </si>
  <si>
    <t>Huyền beauty</t>
  </si>
  <si>
    <t>HD010243</t>
  </si>
  <si>
    <t>36/15 yên thế, phường tân sơn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</si>
  <si>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</si>
  <si>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</si>
  <si>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</si>
  <si>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</si>
  <si>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</si>
  <si>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</si>
  <si>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</si>
  <si>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</si>
  <si>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</si>
  <si>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Tuyết Ngân</t>
  </si>
  <si>
    <t>HD010385</t>
  </si>
  <si>
    <t>la hồ biểu chánh phường 12</t>
  </si>
  <si>
    <t>Thao My</t>
  </si>
  <si>
    <t>HD009836</t>
  </si>
  <si>
    <t>346 Bến Vân đồn f1 Chung cư Gold View</t>
  </si>
  <si>
    <t>Linh - fb Nguyễn Anna</t>
  </si>
  <si>
    <t>HD010124</t>
  </si>
  <si>
    <t>Phòng khám thẩm mỹ 12Bis Phan kế Bính, Phường Dakao</t>
  </si>
  <si>
    <t>Dung</t>
  </si>
  <si>
    <t>HD010141</t>
  </si>
  <si>
    <t>160 Nam Kỳ Khởi Nghĩa, P. Xuân Hòa</t>
  </si>
  <si>
    <t>HD010269</t>
  </si>
  <si>
    <t>53 Phan Đình Phùng, P.5</t>
  </si>
  <si>
    <t>Châu Nhi</t>
  </si>
  <si>
    <t>HD010342</t>
  </si>
  <si>
    <t>92b/17/15 tôn thất thuyết p15</t>
  </si>
  <si>
    <t>T2.13.4.2026</t>
  </si>
  <si>
    <t>NGAY 13-4</t>
  </si>
  <si>
    <t>Thanh Nguyen</t>
  </si>
  <si>
    <t>HD010346</t>
  </si>
  <si>
    <t>Toà S305 - Vinhome Grand Park - Đ. Cầu Vồng - Long Thạnh Mỹ</t>
  </si>
  <si>
    <t>13-04-2026</t>
  </si>
  <si>
    <t>Bảo Ngân</t>
  </si>
  <si>
    <t>HD010950</t>
  </si>
  <si>
    <t>S9.02B Vinhome Grandpark, Long Bình</t>
  </si>
  <si>
    <t>Kim Phương</t>
  </si>
  <si>
    <t>HD010850</t>
  </si>
  <si>
    <t>Chung cư sài gòn Mia Block B</t>
  </si>
  <si>
    <t>AT 13-04</t>
  </si>
  <si>
    <t>W3164</t>
  </si>
  <si>
    <t>HD009628</t>
  </si>
  <si>
    <t>375 tân thới hiệp 21, Tổ 3 Kp3</t>
  </si>
  <si>
    <t>THI (KT Ng)</t>
  </si>
  <si>
    <t>HD010849</t>
  </si>
  <si>
    <t>39 Nguyen thi Thap khu dan cu him lam phuong tan hung</t>
  </si>
  <si>
    <t>Thái Trân</t>
  </si>
  <si>
    <t>HD010789</t>
  </si>
  <si>
    <t>149/ B40 lý thánh tông, p Tân thới hoà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</si>
  <si>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</si>
  <si>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</si>
  <si>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</si>
  <si>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</si>
  <si>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</si>
  <si>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</si>
  <si>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</si>
  <si>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</si>
  <si>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</si>
  <si>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</si>
  <si>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</si>
  <si>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</si>
  <si>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</si>
  <si>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</si>
  <si>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</si>
  <si>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</si>
  <si>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</si>
  <si>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</si>
  <si>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Huỳnh Nhi</t>
  </si>
  <si>
    <t>HD010886</t>
  </si>
  <si>
    <t>79 đường số 6 p11</t>
  </si>
  <si>
    <t>thy (Xá Lị)</t>
  </si>
  <si>
    <t>HD011047</t>
  </si>
  <si>
    <t>Chung cư Saigon Asiana 336/20 Nguyễn Văn Luông P12</t>
  </si>
  <si>
    <t>HD011055</t>
  </si>
  <si>
    <t>sunrise w1, 25 nguyễn hữu thọ, tân hưng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</si>
  <si>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</si>
  <si>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</si>
  <si>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</si>
  <si>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</si>
  <si>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</si>
  <si>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</si>
  <si>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</si>
  <si>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</si>
  <si>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</si>
  <si>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</si>
  <si>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</si>
  <si>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</si>
  <si>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</si>
  <si>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</si>
  <si>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</si>
  <si>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</si>
  <si>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</si>
  <si>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Loan Lucy</t>
  </si>
  <si>
    <t>HD010882</t>
  </si>
  <si>
    <t>92 hậu giang, P bình tây</t>
  </si>
  <si>
    <t>Kim Thủy</t>
  </si>
  <si>
    <t>HD010481</t>
  </si>
  <si>
    <t>532/3/6 kinh dương vương phường an lạc</t>
  </si>
  <si>
    <t>Ms Thuyền Tố Như ari</t>
  </si>
  <si>
    <t>HD010485</t>
  </si>
  <si>
    <t>C16-17 lô C1, đường DD5, phường Tân Hưng Thuận</t>
  </si>
  <si>
    <t>Nguyễn Yến Nhi</t>
  </si>
  <si>
    <t>HD010883</t>
  </si>
  <si>
    <t>Tháp v3 23 nguyễn hữu thọ tân hưng</t>
  </si>
  <si>
    <t>Jenny Tran</t>
  </si>
  <si>
    <t>HD010539</t>
  </si>
  <si>
    <t>737/1c lac long quận f10</t>
  </si>
  <si>
    <t>137/31/21 phan anh, Kp. 12, Bình trị đông</t>
  </si>
  <si>
    <t>Hoàng Thị Diễm Quỳnh</t>
  </si>
  <si>
    <t>HD010888</t>
  </si>
  <si>
    <t>Khu Holm căn 21 145 Nguyễn Văn Hưởng</t>
  </si>
  <si>
    <t>HD011076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</si>
  <si>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</si>
  <si>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</si>
  <si>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</si>
  <si>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</si>
  <si>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</si>
  <si>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</si>
  <si>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</si>
  <si>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</si>
  <si>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MaiFb</t>
  </si>
  <si>
    <t>71/5 chu văn an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</si>
  <si>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</si>
  <si>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</si>
  <si>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</si>
  <si>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</si>
  <si>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</si>
  <si>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HD010906</t>
  </si>
  <si>
    <t>nha The Sun Avenue (tòa 55) 28 Mai Chí Thọ, An Phú</t>
  </si>
  <si>
    <t>Ms Yến</t>
  </si>
  <si>
    <t>HD011031</t>
  </si>
  <si>
    <t>Chung cư Sadora - số 2 đường 13 phường Thủ Thiêm</t>
  </si>
  <si>
    <t>Trương Thị Hoàng Mỹ</t>
  </si>
  <si>
    <t>HD010530</t>
  </si>
  <si>
    <t>374/8h nguyễn xí kp38 bình lợi trung</t>
  </si>
  <si>
    <t>HD010633</t>
  </si>
  <si>
    <t>sn 55 đường 20 trần não an khánh</t>
  </si>
  <si>
    <t>Hồ Thanh Phương</t>
  </si>
  <si>
    <t>HD010724</t>
  </si>
  <si>
    <t>158/56/21 Phạm Văn Chiêu, phường 8</t>
  </si>
  <si>
    <t>HD010679</t>
  </si>
  <si>
    <t>401 quang trung f10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</si>
  <si>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</si>
  <si>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</si>
  <si>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</si>
  <si>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</si>
  <si>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</si>
  <si>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</si>
  <si>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Ánh Ngọc</t>
  </si>
  <si>
    <t>HD010642</t>
  </si>
  <si>
    <t>238 lê văn sỹ p1</t>
  </si>
  <si>
    <t>Nguyen Lưu My Linh</t>
  </si>
  <si>
    <t>HD011067</t>
  </si>
  <si>
    <t>Qua 64 Lô S Cư Xá Vĩnh Hội, phường Khánh Hội</t>
  </si>
  <si>
    <t>Be Heo</t>
  </si>
  <si>
    <t>HD010715</t>
  </si>
  <si>
    <t>71/2/13 Nguyễn Bặc - p3</t>
  </si>
  <si>
    <t>Nguyễn Đoan</t>
  </si>
  <si>
    <t>HD011014</t>
  </si>
  <si>
    <t>128/6 Bàn Cờ - Phường Bàn Cờ</t>
  </si>
  <si>
    <t>Việt Trinh</t>
  </si>
  <si>
    <t>HD011049</t>
  </si>
  <si>
    <t>53 Nguyễn trọng lội phường 4</t>
  </si>
  <si>
    <t>HD010375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</si>
  <si>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</si>
  <si>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</si>
  <si>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</si>
  <si>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</si>
  <si>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</si>
  <si>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</si>
  <si>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</si>
  <si>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</si>
  <si>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</si>
  <si>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Mai Nhung</t>
  </si>
  <si>
    <t>HD010465</t>
  </si>
  <si>
    <t>346 bến vân đồn P1</t>
  </si>
  <si>
    <t>Anh Thu Nguyen</t>
  </si>
  <si>
    <t>HD010486</t>
  </si>
  <si>
    <t>230 cao thắng, p12</t>
  </si>
  <si>
    <t>khun leang 092559972</t>
  </si>
  <si>
    <t>HD010472</t>
  </si>
  <si>
    <t>nhà xe khải nam</t>
  </si>
  <si>
    <t>Kim Kami</t>
  </si>
  <si>
    <t>HD010747</t>
  </si>
  <si>
    <t>132 bến vân đồn phường 9</t>
  </si>
  <si>
    <t>HD010712</t>
  </si>
  <si>
    <t>Trần Ngọc Bích</t>
  </si>
  <si>
    <t>HD010438</t>
  </si>
  <si>
    <t>43/3 Cừu Long p2</t>
  </si>
  <si>
    <t>HD010571</t>
  </si>
  <si>
    <t>đơn trả 14.4</t>
  </si>
  <si>
    <t>T3.14.4.2026</t>
  </si>
  <si>
    <t>NGAY 14-4</t>
  </si>
  <si>
    <t>đơn trả 15.4</t>
  </si>
  <si>
    <t>Trinh Cherry</t>
  </si>
  <si>
    <t>HD011335</t>
  </si>
  <si>
    <t>141/24 đuong 339 phuong phước long B</t>
  </si>
  <si>
    <t>14-04-2026</t>
  </si>
  <si>
    <t>Minh Anh</t>
  </si>
  <si>
    <t>HD011319</t>
  </si>
  <si>
    <t>691 Lê Văn Việt Phường Tăng Nhơn Phú</t>
  </si>
  <si>
    <t>Nhà xe Khải Nam</t>
  </si>
  <si>
    <t>HD011291</t>
  </si>
  <si>
    <t>363 Hùng Vương,p9</t>
  </si>
  <si>
    <t>Hoàng Ngân</t>
  </si>
  <si>
    <t>HD011184</t>
  </si>
  <si>
    <t>Cc ehome3, hồ học lãm</t>
  </si>
  <si>
    <t>AT 14-04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</si>
  <si>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</si>
  <si>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</si>
  <si>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</si>
  <si>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</si>
  <si>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</si>
  <si>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</si>
  <si>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</si>
  <si>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</si>
  <si>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</si>
  <si>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</si>
  <si>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</si>
  <si>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HD011234</t>
  </si>
  <si>
    <t>W3296</t>
  </si>
  <si>
    <t>HD011290</t>
  </si>
  <si>
    <t>HD011121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</si>
  <si>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</si>
  <si>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</si>
  <si>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</si>
  <si>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</si>
  <si>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</si>
  <si>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</si>
  <si>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</si>
  <si>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</si>
  <si>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</si>
  <si>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</si>
  <si>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</si>
  <si>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</si>
  <si>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</si>
  <si>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</si>
  <si>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</si>
  <si>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</si>
  <si>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BN1356</t>
  </si>
  <si>
    <t>HD011216</t>
  </si>
  <si>
    <t>Shi Yang</t>
  </si>
  <si>
    <t>HD011255</t>
  </si>
  <si>
    <t>32 đường số 8 KDC Cityland park hill p10</t>
  </si>
  <si>
    <t>THU TRƯƠNG</t>
  </si>
  <si>
    <t>159/43/5 Đường Bạch Đằng, phường Tân Sơn Hòa</t>
  </si>
  <si>
    <t>T4.15.4.2026</t>
  </si>
  <si>
    <t>NGAY 15-4</t>
  </si>
  <si>
    <t>Nguyễn Nhi</t>
  </si>
  <si>
    <t>HD011396</t>
  </si>
  <si>
    <t>Vinhomes - phường long thạnh mỹ</t>
  </si>
  <si>
    <t>15-04-2026</t>
  </si>
  <si>
    <t>linh sỉ lee</t>
  </si>
  <si>
    <t>Số nhà 97A, đường 22, phường phước long</t>
  </si>
  <si>
    <t>HD011579</t>
  </si>
  <si>
    <t>AT 15-04</t>
  </si>
  <si>
    <t>HD011457</t>
  </si>
  <si>
    <t>số 25a đường 22 bình hưng hòa a</t>
  </si>
  <si>
    <t>linda tran ( fb Jin Jin)</t>
  </si>
  <si>
    <t>HD011491</t>
  </si>
  <si>
    <t>66 đường số 7, p10</t>
  </si>
  <si>
    <t>Moon Nguyễn</t>
  </si>
  <si>
    <t>HD011625</t>
  </si>
  <si>
    <t>16 kim ngân, khu dân cư phong phú 4, xã phong phú</t>
  </si>
  <si>
    <t>BN182 miki</t>
  </si>
  <si>
    <t>HD011425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</si>
  <si>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</si>
  <si>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</si>
  <si>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</si>
  <si>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</si>
  <si>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</si>
  <si>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</si>
  <si>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</si>
  <si>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</si>
  <si>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</si>
  <si>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Nam Diep Hung Tue</t>
  </si>
  <si>
    <t>HD011379</t>
  </si>
  <si>
    <t>Chung cư Sơn Kỳ 2 số 37 đường DC 13 p Tây Thạnh</t>
  </si>
  <si>
    <t>Cô Đông - fb Nali Liễu</t>
  </si>
  <si>
    <t>HD011348</t>
  </si>
  <si>
    <t>27/11 đường số 27 hiệp bình Chánh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</si>
  <si>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</si>
  <si>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</si>
  <si>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</si>
  <si>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</si>
  <si>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</si>
  <si>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</si>
  <si>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</si>
  <si>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HD011391</t>
  </si>
  <si>
    <t>189/46a Bạch Đằng, phường Hạnh Thông</t>
  </si>
  <si>
    <t>Nguyễn Đắc Hội</t>
  </si>
  <si>
    <t>127/17 bình lợi p13</t>
  </si>
  <si>
    <t>Diem Vy</t>
  </si>
  <si>
    <t>HD011509</t>
  </si>
  <si>
    <t>19 Tân Canh P.1</t>
  </si>
  <si>
    <t>HD011460</t>
  </si>
  <si>
    <t>103/23 cô giang phường cô giang</t>
  </si>
  <si>
    <t>Dương Tường Vy.</t>
  </si>
  <si>
    <t>HD011607</t>
  </si>
  <si>
    <t>chị linh</t>
  </si>
  <si>
    <t>HD011244</t>
  </si>
  <si>
    <t>68hùng vuong p9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</si>
  <si>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</si>
  <si>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</si>
  <si>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</si>
  <si>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</si>
  <si>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</si>
  <si>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</si>
  <si>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</si>
  <si>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</si>
  <si>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</si>
  <si>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</si>
  <si>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</si>
  <si>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</si>
  <si>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Ngọc</t>
  </si>
  <si>
    <t>120/6 Lê Bình, phường Tân Sơn Nhất</t>
  </si>
  <si>
    <t>kh ck shop 870k</t>
  </si>
  <si>
    <t>T5.16.4.2026</t>
  </si>
  <si>
    <t>NGAY 16-4</t>
  </si>
  <si>
    <t>Phạm Đào Ngọc Hà</t>
  </si>
  <si>
    <t>HD011926</t>
  </si>
  <si>
    <t>Nhà h15 kdc park riverside đường bưng ông thoàn phường phước long trường</t>
  </si>
  <si>
    <t>16-04-2026</t>
  </si>
  <si>
    <t>Yến Như</t>
  </si>
  <si>
    <t>HD011735</t>
  </si>
  <si>
    <t>213 Bưng Ông Thoàn, Tăng Nhơn Phú B</t>
  </si>
  <si>
    <t>Nhật Lệ</t>
  </si>
  <si>
    <t>HD011930</t>
  </si>
  <si>
    <t>Block D, chung cư him lam phú an, 39 thuỷ lợi, phường Phước Long A</t>
  </si>
  <si>
    <t>HD011705</t>
  </si>
  <si>
    <t>Mỹ hảo</t>
  </si>
  <si>
    <t>145/9 Đỗ Xuân Hợp Khu nhà trọ Phước Long B</t>
  </si>
  <si>
    <t>Quy</t>
  </si>
  <si>
    <t>HD012000</t>
  </si>
  <si>
    <t>S5.02 Vinhome Grandpark, Đường Nguyễn Xiển, phường Long Thạnh Mỹ</t>
  </si>
  <si>
    <t>Yin Nguyễn</t>
  </si>
  <si>
    <t>HD011874</t>
  </si>
  <si>
    <t>1164 đường số 16 p tân quy</t>
  </si>
  <si>
    <t>AT 16-04</t>
  </si>
  <si>
    <t>Linh Đan</t>
  </si>
  <si>
    <t>HD011649</t>
  </si>
  <si>
    <t>107 nguyễn văn linh p tân thuận tây(cc eco green block D)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</si>
  <si>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</si>
  <si>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</si>
  <si>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</si>
  <si>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</si>
  <si>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</si>
  <si>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</si>
  <si>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</si>
  <si>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</si>
  <si>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</si>
  <si>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</si>
  <si>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</si>
  <si>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Hàn Bảo Xuyên</t>
  </si>
  <si>
    <t>HD011745</t>
  </si>
  <si>
    <t>2a đường 79 phường tân quy Spa HaiX</t>
  </si>
  <si>
    <t>Thu Huong</t>
  </si>
  <si>
    <t>HD011944</t>
  </si>
  <si>
    <t>cổng1 chung cư Emeral 1 Số 2- N4 Tân Sơn Nhì</t>
  </si>
  <si>
    <t>HD011909</t>
  </si>
  <si>
    <t>114/4 Hương Lộ 30B, khu phố 7, P. Hiệp Thành</t>
  </si>
  <si>
    <t>Minh Thơ</t>
  </si>
  <si>
    <t>HD011741</t>
  </si>
  <si>
    <t>12 đường số 41, bình thuận</t>
  </si>
  <si>
    <t>HD011877</t>
  </si>
  <si>
    <t>Trang ( Nabi )</t>
  </si>
  <si>
    <t>HD011951</t>
  </si>
  <si>
    <t>262/57 Phan anh, Hiệp Tân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</si>
  <si>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</si>
  <si>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</si>
  <si>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</si>
  <si>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</si>
  <si>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</si>
  <si>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</si>
  <si>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</si>
  <si>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</si>
  <si>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</si>
  <si>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Nguyễn Hân</t>
  </si>
  <si>
    <t>HD011913</t>
  </si>
  <si>
    <t>1069, lê đức anh, bình trị đông a</t>
  </si>
  <si>
    <t>Nguyễn Minh Hải</t>
  </si>
  <si>
    <t>17 Đường Số 13 Bình Hưng Hoà</t>
  </si>
  <si>
    <t>Ngọc Nguyễn</t>
  </si>
  <si>
    <t>HD011701</t>
  </si>
  <si>
    <t>132-134 Nguyễn Gia Trí, phường 25</t>
  </si>
  <si>
    <t>Người nhận: Fb Phương Mai</t>
  </si>
  <si>
    <t>HD011829</t>
  </si>
  <si>
    <t>433/11/2 Lê Đức Thọ, Phường 17</t>
  </si>
  <si>
    <t>My Tú</t>
  </si>
  <si>
    <t>HD011740</t>
  </si>
  <si>
    <t>130/4 gò dưa tam bình</t>
  </si>
  <si>
    <t>Phuong Tram Ho</t>
  </si>
  <si>
    <t>HD011766</t>
  </si>
  <si>
    <t>Chung cư Empire city thủ thiêm, toà Tilia, đường D11</t>
  </si>
  <si>
    <t>HD011720</t>
  </si>
  <si>
    <t>Phụng Phụng</t>
  </si>
  <si>
    <t>HD011918</t>
  </si>
  <si>
    <t>58/22/73 phan chu trinh p24</t>
  </si>
  <si>
    <t>thùy linh ALLINA</t>
  </si>
  <si>
    <t>HD011925</t>
  </si>
  <si>
    <t>276/169 thống nhất an hội đông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</si>
  <si>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</si>
  <si>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</si>
  <si>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</si>
  <si>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</si>
  <si>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</si>
  <si>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</si>
  <si>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lindsiepham</t>
  </si>
  <si>
    <t>HD011656</t>
  </si>
  <si>
    <t>landmark 5b vinhomes central park</t>
  </si>
  <si>
    <t>Lan Anh Nguyen</t>
  </si>
  <si>
    <t>HD011857</t>
  </si>
  <si>
    <t>400/6 Ung Văn Khiêm, P25</t>
  </si>
  <si>
    <t>KIỀU MY</t>
  </si>
  <si>
    <t>27/10/3 đường 17, kp46, p. hiệp bình</t>
  </si>
  <si>
    <t>119 Hoàng Diệu 2 linh trung</t>
  </si>
  <si>
    <t>HD011796</t>
  </si>
  <si>
    <t>Chị Ngân</t>
  </si>
  <si>
    <t>HD011462</t>
  </si>
  <si>
    <t>72 Lê Thánh Tôn</t>
  </si>
  <si>
    <t>Ai Quyên Mai ( QUANG)</t>
  </si>
  <si>
    <t>HD011737</t>
  </si>
  <si>
    <t>1/18 Nguyễn Văn Vĩnh, Phường 4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</si>
  <si>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</si>
  <si>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</si>
  <si>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</si>
  <si>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</si>
  <si>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</si>
  <si>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</si>
  <si>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siêng fb Nguyễn Đức Hùng</t>
  </si>
  <si>
    <t>HD011883</t>
  </si>
  <si>
    <t>Trung tâm trợ thính hearLIFE MEDEL: 476-478 Sư Vạn Hạnh, Phường 9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</si>
  <si>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</si>
  <si>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</si>
  <si>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</si>
  <si>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</si>
  <si>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</si>
  <si>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</si>
  <si>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HD011824</t>
  </si>
  <si>
    <t>NOTE GỬI CHO SU ANH</t>
  </si>
  <si>
    <t>Nguyễn thị nhung fb Yuna Tasaki</t>
  </si>
  <si>
    <t>HD011754</t>
  </si>
  <si>
    <t>21 lê văn lương Chung cư golden palm nhe Nguyễn thị nhung</t>
  </si>
  <si>
    <t>kh ck shop 1115k</t>
  </si>
  <si>
    <t>NGAY 17-4</t>
  </si>
  <si>
    <t>T6.17.4.2026</t>
  </si>
  <si>
    <t>Phạm Thị Diễm Trinh</t>
  </si>
  <si>
    <t>HD012321</t>
  </si>
  <si>
    <t>Sảnh S10.06 đường Nguyễn Xiển, phường Long Bình (vinhomes grand park)</t>
  </si>
  <si>
    <t>17-04-2026</t>
  </si>
  <si>
    <t>Paul (sumthingtopasabuy) - IG sumthingtopasabuy</t>
  </si>
  <si>
    <t>HD012288</t>
  </si>
  <si>
    <t>Toa BE2 The Beverly Vinhomes Grand Park Long Binh</t>
  </si>
  <si>
    <t>Khả Hân</t>
  </si>
  <si>
    <t>HD012265</t>
  </si>
  <si>
    <t>chung cư Flora Kikyo Phú Hữu</t>
  </si>
  <si>
    <t>Thụy Hãn</t>
  </si>
  <si>
    <t>HD012255</t>
  </si>
  <si>
    <t>1107/36 dương bạch mai p5</t>
  </si>
  <si>
    <t>AT 17-04</t>
  </si>
  <si>
    <t>người nhận Tâm mini</t>
  </si>
  <si>
    <t>HD012094</t>
  </si>
  <si>
    <t>Số 17 Đường số 13, p. Bình Hưng Hòa</t>
  </si>
  <si>
    <t>Lê Thị Thùy Hương</t>
  </si>
  <si>
    <t>HD011985</t>
  </si>
  <si>
    <t>15/40 ao đôi, p bình trị đông A</t>
  </si>
  <si>
    <t>ZALLO KELLY</t>
  </si>
  <si>
    <t>HD012336</t>
  </si>
  <si>
    <t>688/23/1C HƯƠNG LỘ 2 phường BÌNH TRỊ ĐÔNG A</t>
  </si>
  <si>
    <t>Tuyet Nhung Nguyen</t>
  </si>
  <si>
    <t>HD012341</t>
  </si>
  <si>
    <t>35 Duy Tân phường 8</t>
  </si>
  <si>
    <t>Mai Anh</t>
  </si>
  <si>
    <t>HD012018</t>
  </si>
  <si>
    <t>109/22/14 Dương Bá Trạc p1</t>
  </si>
  <si>
    <t>Quỳnh Nami</t>
  </si>
  <si>
    <t>HD012351</t>
  </si>
  <si>
    <t>Khách sạn Hoa Hướng Dương số 57C Tô Hiệu</t>
  </si>
  <si>
    <t>Như Quỳnh</t>
  </si>
  <si>
    <t>HD012360</t>
  </si>
  <si>
    <t>Cc cardinal tower B phường Tân Phú</t>
  </si>
  <si>
    <t>Ngọc Hân Nghiêm</t>
  </si>
  <si>
    <t>HD012338</t>
  </si>
  <si>
    <t>124 đường số 9 KDC Bình Hưng, Bình Hưng</t>
  </si>
  <si>
    <t>Tuyết Nhung ( Vy Vy - VY VY LE YUAN)</t>
  </si>
  <si>
    <t>HD012354</t>
  </si>
  <si>
    <t>66 đường số 17, phường 10</t>
  </si>
  <si>
    <t>Thudena Nguyên</t>
  </si>
  <si>
    <t>HD012120</t>
  </si>
  <si>
    <t>54/24 đường 281 lý thường kiệt p15</t>
  </si>
  <si>
    <t>Vân NA Vy</t>
  </si>
  <si>
    <t>HD011639</t>
  </si>
  <si>
    <t>251 đường 9a khu trung sơn, bình hưng</t>
  </si>
  <si>
    <t>Phạm Yến</t>
  </si>
  <si>
    <t>HD012084</t>
  </si>
  <si>
    <t>64b đường số 32 bình trị đông b</t>
  </si>
  <si>
    <t>Ruby VO</t>
  </si>
  <si>
    <t>258/23 Bông Sao Phường 5</t>
  </si>
  <si>
    <t>ANDY OANH</t>
  </si>
  <si>
    <t>108/89/33/3 trần văn quang phường 10</t>
  </si>
  <si>
    <t>HD011758</t>
  </si>
  <si>
    <t>66/12/6 phan huy ích p tân sơn</t>
  </si>
  <si>
    <t>kh ck shop 975k</t>
  </si>
  <si>
    <t>Ng nhận Jen</t>
  </si>
  <si>
    <t>HD012102</t>
  </si>
  <si>
    <t>189/46a bạch đằng p3</t>
  </si>
  <si>
    <t>HD012038</t>
  </si>
  <si>
    <t>1007, Topaz 1, Saigon Pearl, 92 Nguyễn Hữu Cảnh, P Thạnh Mỹ Tây</t>
  </si>
  <si>
    <t>khả trinh</t>
  </si>
  <si>
    <t>HD012274</t>
  </si>
  <si>
    <t>82/17/20đinh tiên hoàng p1</t>
  </si>
  <si>
    <t>Lana Nguyễn</t>
  </si>
  <si>
    <t>HD012053</t>
  </si>
  <si>
    <t>T4 masteri thảo điền, 159 võ nguyên giáp, phường An Khánh</t>
  </si>
  <si>
    <t>khả my</t>
  </si>
  <si>
    <t>HD012319</t>
  </si>
  <si>
    <t>chung cư opal garden đường 20 hiệp bình</t>
  </si>
  <si>
    <t>Mỹ Ngọc</t>
  </si>
  <si>
    <t>HD012340</t>
  </si>
  <si>
    <t>242 nguyễn oanh, phường gò vấp</t>
  </si>
  <si>
    <t>HD012139</t>
  </si>
  <si>
    <t>Mát Mát</t>
  </si>
  <si>
    <t>HD012263</t>
  </si>
  <si>
    <t>61/31 đường 19 p8</t>
  </si>
  <si>
    <t>BN6352</t>
  </si>
  <si>
    <t>HD012154</t>
  </si>
  <si>
    <t>Name-Isabella</t>
  </si>
  <si>
    <t>494/1/12 Le Quang Dinh, P1</t>
  </si>
  <si>
    <t>Phuong truong</t>
  </si>
  <si>
    <t>TRANG TRẦN 2</t>
  </si>
  <si>
    <t>1122/23/7 quang trung phường 8</t>
  </si>
  <si>
    <t>Mr Thế minh tuệ</t>
  </si>
  <si>
    <t>HD012112</t>
  </si>
  <si>
    <t>Tháp B cc godview p1</t>
  </si>
  <si>
    <t>Yen Thi Kim Le</t>
  </si>
  <si>
    <t>HD012249</t>
  </si>
  <si>
    <t>549 Điện Biên Phủ bàn cờ</t>
  </si>
  <si>
    <t>HD012087</t>
  </si>
  <si>
    <t>HD012014</t>
  </si>
  <si>
    <t>Giang Phạm</t>
  </si>
  <si>
    <t>HD012035</t>
  </si>
  <si>
    <t>52 nguyễn văn trỗi p15</t>
  </si>
  <si>
    <t>Thu Anh</t>
  </si>
  <si>
    <t>HD012105</t>
  </si>
  <si>
    <t>ksan hoàng tây phường 12</t>
  </si>
  <si>
    <t>Ngô Thị Lài</t>
  </si>
  <si>
    <t>HD012037</t>
  </si>
  <si>
    <t>584 Bà Hạt P6</t>
  </si>
  <si>
    <t>Thu Thuỷ (Kim Ngân)</t>
  </si>
  <si>
    <t>HD012209</t>
  </si>
  <si>
    <t>Công ty đà nẵng Post Địa chỉ: B106 Bạch Đằng, Phường 2</t>
  </si>
  <si>
    <t>Trang lê</t>
  </si>
  <si>
    <t>HD012347</t>
  </si>
  <si>
    <t>BA Sông Thương P2</t>
  </si>
  <si>
    <t>Tuyết Hoàng</t>
  </si>
  <si>
    <t>HD012350</t>
  </si>
  <si>
    <t>31 lê duẩn, bến nghé</t>
  </si>
  <si>
    <t>Tường Vi</t>
  </si>
  <si>
    <t>HD012273</t>
  </si>
  <si>
    <t>325 phan xích long</t>
  </si>
  <si>
    <t>Bella Ngọc</t>
  </si>
  <si>
    <t>HD012121</t>
  </si>
  <si>
    <t>133/3 hoà hưng p12</t>
  </si>
  <si>
    <t>Tú Như Lê Nguyễn</t>
  </si>
  <si>
    <t>HD012264</t>
  </si>
  <si>
    <t>195 Hùng Vương, P.An Đông (Q.5 cũ)</t>
  </si>
  <si>
    <t>HD012364</t>
  </si>
  <si>
    <t>HD012357</t>
  </si>
  <si>
    <t>28 Cù lao p. Cầu kiệu</t>
  </si>
  <si>
    <t>HD012352</t>
  </si>
  <si>
    <t>anh phước (đồ của chị yến)</t>
  </si>
  <si>
    <t>HD012080</t>
  </si>
  <si>
    <t>241 lên thánh tôn, p bến thành</t>
  </si>
  <si>
    <t>Yuri what's app</t>
  </si>
  <si>
    <t>2/13 Nguyễn Bặc, Phường 3</t>
  </si>
  <si>
    <t>T7.18.4.2026</t>
  </si>
  <si>
    <t>Mỹ Linh Đinh Nguyễn</t>
  </si>
  <si>
    <t>HD012432</t>
  </si>
  <si>
    <t>Toà S8.03 Origami, Vinhomes Grand Park, Long Bình</t>
  </si>
  <si>
    <t>18-04-2026</t>
  </si>
  <si>
    <t>Như Ý Ph</t>
  </si>
  <si>
    <t>HD012631</t>
  </si>
  <si>
    <t>S9.03 vinhomegrandpark, nguyễn xiển, p long binh</t>
  </si>
  <si>
    <t>Nga</t>
  </si>
  <si>
    <t>HD012433</t>
  </si>
  <si>
    <t>98/49/21 binh tri dong</t>
  </si>
  <si>
    <t>AT 18-04</t>
  </si>
  <si>
    <t>Thudena Nguyen</t>
  </si>
  <si>
    <t>HD012643</t>
  </si>
  <si>
    <t>HD012492</t>
  </si>
  <si>
    <t>287/1/5 thành công, tân thành</t>
  </si>
  <si>
    <t>Na</t>
  </si>
  <si>
    <t>HD012586</t>
  </si>
  <si>
    <t>96a đường 79 tân quy</t>
  </si>
  <si>
    <t>Mi Na</t>
  </si>
  <si>
    <t>HD012395</t>
  </si>
  <si>
    <t>chung cư 600 nguyễn lương bằng block B2</t>
  </si>
  <si>
    <t>Ng Mai</t>
  </si>
  <si>
    <t>HD012510</t>
  </si>
  <si>
    <t>chung cư võ đình TA15 thới an</t>
  </si>
  <si>
    <t>HD012600</t>
  </si>
  <si>
    <t>Nguyễn Hải Lý</t>
  </si>
  <si>
    <t>HD011861</t>
  </si>
  <si>
    <t>Số nhà 28f3 đường dn 4-3 ! Phường Tân Hưng thuận</t>
  </si>
  <si>
    <t>Tiến Phát (ig amanda.trr)</t>
  </si>
  <si>
    <t>HD012622</t>
  </si>
  <si>
    <t>464 Kinh Dương Vương, Phường An Lạc</t>
  </si>
  <si>
    <t>Nguyễn Tâm</t>
  </si>
  <si>
    <t>HD012509</t>
  </si>
  <si>
    <t>Số 4 Trịnh đình thảo</t>
  </si>
  <si>
    <t>lấy hàng về</t>
  </si>
  <si>
    <t>289/16 Nguyễn Thị Tú, P. An Lạc</t>
  </si>
  <si>
    <t>Ni Ni (Singapore)</t>
  </si>
  <si>
    <t>HD012548</t>
  </si>
  <si>
    <t>số 56 hẻm 100/40 lê văn duyệt, phường gia định</t>
  </si>
  <si>
    <t>HD012666</t>
  </si>
  <si>
    <t>369/34 phạm văn chiêu, P14</t>
  </si>
  <si>
    <t>Dương Triệu Mẫn</t>
  </si>
  <si>
    <t>HD012604</t>
  </si>
  <si>
    <t>730/126 lê đức thọ</t>
  </si>
  <si>
    <t>Nhận hộ fb Nguyễn Hà</t>
  </si>
  <si>
    <t>HD012452</t>
  </si>
  <si>
    <t>Tran Thi Thuy Trang</t>
  </si>
  <si>
    <t>HD012450</t>
  </si>
  <si>
    <t>184 nguyễn xí- cc Bắc Đinh Bộ Lĩnh - lô A82 căn cầu thang cuối cùng, Phường 26</t>
  </si>
  <si>
    <t>Người nhận: Liên - Sale Tuyết</t>
  </si>
  <si>
    <t>HD012672</t>
  </si>
  <si>
    <t>Địa chỉ: 369/17 Phan Văn Trị, Phường 11</t>
  </si>
  <si>
    <t>Ngọc Bích</t>
  </si>
  <si>
    <t>HD012485</t>
  </si>
  <si>
    <t>82/4/2 đường số 2, phường thủ đức</t>
  </si>
  <si>
    <t>Người Nhận BN2705</t>
  </si>
  <si>
    <t>HD012519</t>
  </si>
  <si>
    <t>163 Trương Thị Hoa, phường Tân Thới Hiệp</t>
  </si>
  <si>
    <t>Thiên lý fb Mei Chan</t>
  </si>
  <si>
    <t>HD012624</t>
  </si>
  <si>
    <t>55 đường 18, khu phố 4, phường Hiệp Bình</t>
  </si>
  <si>
    <t>Nhà xe binh minh</t>
  </si>
  <si>
    <t>137 phan huy ích p15</t>
  </si>
  <si>
    <t>Loan Nguyễn</t>
  </si>
  <si>
    <t>HD012694</t>
  </si>
  <si>
    <t>74 Trường Sa, P.17</t>
  </si>
  <si>
    <t>747 Nguyễn Cừ Thảo điền</t>
  </si>
  <si>
    <t>Ngọc Tường Vy</t>
  </si>
  <si>
    <t>HD012479</t>
  </si>
  <si>
    <t>326 Võ Văn Kiệt, P Cô Giang ( tòa nhà Samco)</t>
  </si>
  <si>
    <t>HD012451</t>
  </si>
  <si>
    <t>Vinhomes Golden River Aqua 2, Ton Duc Thang, ward Ben Nghe</t>
  </si>
  <si>
    <t>HD012640</t>
  </si>
  <si>
    <t>Trần Lê Bích Ngọc</t>
  </si>
  <si>
    <t>HD012426</t>
  </si>
  <si>
    <t>324/9/4 Lý Thường Kiệt, F14</t>
  </si>
  <si>
    <t>Thanh Trúc</t>
  </si>
  <si>
    <t>HD012486</t>
  </si>
  <si>
    <t>485 nguyễn đình chiều</t>
  </si>
  <si>
    <t>HD012399</t>
  </si>
  <si>
    <t>Ellie Quach</t>
  </si>
  <si>
    <t>8A Sông thương, Phường 2</t>
  </si>
  <si>
    <t>Thanh Mai</t>
  </si>
  <si>
    <t>HD012480</t>
  </si>
  <si>
    <t>360 giải phóng, imperial p2</t>
  </si>
  <si>
    <t>NGAY 18-4</t>
  </si>
  <si>
    <t>đơn trả 19.4</t>
  </si>
  <si>
    <t>Trần Huyền</t>
  </si>
  <si>
    <t>HD006209</t>
  </si>
  <si>
    <t>Số 27, Đường D5, Phường Tân Thuận Tây</t>
  </si>
  <si>
    <t>31-03-2026</t>
  </si>
  <si>
    <t>kh ck shop 700k</t>
  </si>
  <si>
    <t>kh ck shop 945k</t>
  </si>
  <si>
    <t>kh ck shop 875k</t>
  </si>
  <si>
    <t>T2.20.4.2026</t>
  </si>
  <si>
    <t>Isabella</t>
  </si>
  <si>
    <t>Tòa BS16 - The Oasis - Vinhomes Grand Park Beverly Solari BS16A</t>
  </si>
  <si>
    <t>20-04-2026</t>
  </si>
  <si>
    <t>linh</t>
  </si>
  <si>
    <t>T8-20 mahattan vinhomes grand park, phường long bình</t>
  </si>
  <si>
    <t>thùy linh</t>
  </si>
  <si>
    <t>HD012793</t>
  </si>
  <si>
    <t>Chung cư Richstar 1, sảnh RS4, hoà bình</t>
  </si>
  <si>
    <t>AT 20-04</t>
  </si>
  <si>
    <t>Mi Ni</t>
  </si>
  <si>
    <t>HD012826</t>
  </si>
  <si>
    <t>536/32/23 âu cơ</t>
  </si>
  <si>
    <t>Trần Thị Kim Phương</t>
  </si>
  <si>
    <t>HD012842</t>
  </si>
  <si>
    <t>1870\1\98\14a tỉnh lộ 10 tân tạo</t>
  </si>
  <si>
    <t>Dương Thị Cẩm Tú</t>
  </si>
  <si>
    <t>HD012868</t>
  </si>
  <si>
    <t>C60 khu dân cư tân an huy, nguyễn hữu thọ phước kiển</t>
  </si>
  <si>
    <t>Mai Thùy Phan</t>
  </si>
  <si>
    <t>HD012870</t>
  </si>
  <si>
    <t>822/45 hương lộ 2, Bình trị đông A</t>
  </si>
  <si>
    <t>Lê Thị Hải Linh</t>
  </si>
  <si>
    <t>HD012881</t>
  </si>
  <si>
    <t>103c vườn lài, an phú đông</t>
  </si>
  <si>
    <t>Trần Khả Nhi</t>
  </si>
  <si>
    <t>HD012898</t>
  </si>
  <si>
    <t>288/30 duong bá trạc p2</t>
  </si>
  <si>
    <t>Nguyễn Ngọc Thanh Thúy</t>
  </si>
  <si>
    <t>HD012903</t>
  </si>
  <si>
    <t>675/33A trần xuân soạn p tân hưng</t>
  </si>
  <si>
    <t>Kim Anh</t>
  </si>
  <si>
    <t>HD012961</t>
  </si>
  <si>
    <t>12/25/8 đông hưng thuận 31, p tân hưng thuận</t>
  </si>
  <si>
    <t>gặp Thủy fb Barbie Pham</t>
  </si>
  <si>
    <t>HD012975</t>
  </si>
  <si>
    <t>469 Nguyễn Hữu Thọ Tân Hưng</t>
  </si>
  <si>
    <t>Hồng Nguyễn</t>
  </si>
  <si>
    <t>HD012981</t>
  </si>
  <si>
    <t>621 Tân kỳ Tân quý phường bình hưng hòa</t>
  </si>
  <si>
    <t>Ha Pham</t>
  </si>
  <si>
    <t>HD012994</t>
  </si>
  <si>
    <t>A1.8.02 Diamond Alnata, Phường Sơn Kỳ</t>
  </si>
  <si>
    <t>HD013061</t>
  </si>
  <si>
    <t>Xuyến Huỳnh</t>
  </si>
  <si>
    <t>HD013082</t>
  </si>
  <si>
    <t>C7C/18D Ấp 4 Phạm Hùng,xã Bình Hưng</t>
  </si>
  <si>
    <t>Huy Bùi</t>
  </si>
  <si>
    <t>HD013115</t>
  </si>
  <si>
    <t>3070 Thái Phiên P9</t>
  </si>
  <si>
    <t>Yen Nhi</t>
  </si>
  <si>
    <t>HD013116</t>
  </si>
  <si>
    <t>Lô X1, Sunrise City North, 27 Nguyễn Hữu Thọ, Phường Tân Hưng</t>
  </si>
  <si>
    <t>Ngọc vẹn - fb Giau Ng</t>
  </si>
  <si>
    <t>HD013118</t>
  </si>
  <si>
    <t>D9/2A ấp 47 xã vĩnh lộc, đường võ văn vân</t>
  </si>
  <si>
    <t>Quyn Nguyễn</t>
  </si>
  <si>
    <t>HD013119</t>
  </si>
  <si>
    <t>Chung cư Emerald block C khu Celadon</t>
  </si>
  <si>
    <t>HD013126</t>
  </si>
  <si>
    <t>Ngọc diệp ak neo chung cư akari 77 đại lộ võ văn kiệt p an lạc</t>
  </si>
  <si>
    <t>Hang Mai</t>
  </si>
  <si>
    <t>HD013130</t>
  </si>
  <si>
    <t>Chung cư him lam chợ lớn Block b1 491 hậu giang p11</t>
  </si>
  <si>
    <t>Nhận hành giúp chị phương (ở Úc) fb Phương My</t>
  </si>
  <si>
    <t>HD013131</t>
  </si>
  <si>
    <t>126/5h song hành, tân hiệp</t>
  </si>
  <si>
    <t>lê xuân hiền (NG MO)</t>
  </si>
  <si>
    <t>HD013136</t>
  </si>
  <si>
    <t>565/30B1 Đường An Dương Vương, Khu Phố 6, Phường An Lạc A</t>
  </si>
  <si>
    <t>HD013141</t>
  </si>
  <si>
    <t>HD013157</t>
  </si>
  <si>
    <t>HD013215</t>
  </si>
  <si>
    <t>( anh truong )</t>
  </si>
  <si>
    <t>HD013224</t>
  </si>
  <si>
    <t>433/16 Lê đại hành, phường 11</t>
  </si>
  <si>
    <t>Nghi Thai Ngoc Minh</t>
  </si>
  <si>
    <t>HD013249</t>
  </si>
  <si>
    <t>40 dso 4, phường an lạc a</t>
  </si>
  <si>
    <t>Lisa Ng</t>
  </si>
  <si>
    <t>HD013259</t>
  </si>
  <si>
    <t>59 Phan Nhữ Tăng phường 4</t>
  </si>
  <si>
    <t>Phương Minh</t>
  </si>
  <si>
    <t>HD013312</t>
  </si>
  <si>
    <t>Chung cư sunrise River Side Phước Kiển</t>
  </si>
  <si>
    <t>Hoài Phương</t>
  </si>
  <si>
    <t>HD013407</t>
  </si>
  <si>
    <t>Lô A, tòa nhà Sunries riverside, nguyễn hữu thọ, phường phước kiểng</t>
  </si>
  <si>
    <t>HD013437</t>
  </si>
  <si>
    <t>82 lý phục man phường bình thuận (giao cho phòng 714)</t>
  </si>
  <si>
    <t>Dung Vo</t>
  </si>
  <si>
    <t>HD013451</t>
  </si>
  <si>
    <t>50 đường 18 khu dân cư phong Phú 4 xã phong Phú</t>
  </si>
  <si>
    <t>HD013461</t>
  </si>
  <si>
    <t>Chang Chang</t>
  </si>
  <si>
    <t>HD013495</t>
  </si>
  <si>
    <t>112-114 võ liêm sơn p4</t>
  </si>
  <si>
    <t>Cô Kiều</t>
  </si>
  <si>
    <t>HDC13049</t>
  </si>
  <si>
    <t>Hẻm 432/26 dương bá trạc p1</t>
  </si>
  <si>
    <t>Vy Nguyen</t>
  </si>
  <si>
    <t>HDC13086</t>
  </si>
  <si>
    <t>105 ba vân, phường 14</t>
  </si>
  <si>
    <t>nguyen le</t>
  </si>
  <si>
    <t>HD012809</t>
  </si>
  <si>
    <t>86 le van chi linh trung</t>
  </si>
  <si>
    <t>Nguyễn Hoàng Hoa</t>
  </si>
  <si>
    <t>HD012822</t>
  </si>
  <si>
    <t>208 Nguyễn Hữu Cảnh, phường 22 (Toà Landmark 4)</t>
  </si>
  <si>
    <t>( Người nhận: Hải Đăng )Tên : Elly - Đăng</t>
  </si>
  <si>
    <t>HD012835</t>
  </si>
  <si>
    <t>403 Tân Sơn, P12, Gò Vấp</t>
  </si>
  <si>
    <t>HD012837</t>
  </si>
  <si>
    <t>BN2422</t>
  </si>
  <si>
    <t>HD012937</t>
  </si>
  <si>
    <t>HD012952</t>
  </si>
  <si>
    <t>10 Tạ Hiện Cát Lái</t>
  </si>
  <si>
    <t>Trần Thoa</t>
  </si>
  <si>
    <t>HD012962</t>
  </si>
  <si>
    <t>vinhome central park-park 6 p22</t>
  </si>
  <si>
    <t>Mộng Cầm</t>
  </si>
  <si>
    <t>HD013467</t>
  </si>
  <si>
    <t>222 nguyễn văn đậu p11</t>
  </si>
  <si>
    <t>HD012979</t>
  </si>
  <si>
    <t>Huỳnh Tấn Phát</t>
  </si>
  <si>
    <t>HD012992</t>
  </si>
  <si>
    <t>413 phan văn trị, phường Hạnh Thông (tiệm vàng Hoàng Phát)</t>
  </si>
  <si>
    <t>Người nhận: Fb Khưu Mỹ Phương</t>
  </si>
  <si>
    <t>HD013056</t>
  </si>
  <si>
    <t>433/11/2 Lê Đức Thọ, Phường Gò Vấp (phường 17 cũ)</t>
  </si>
  <si>
    <t>Kiều My</t>
  </si>
  <si>
    <t>HD013079</t>
  </si>
  <si>
    <t>Chung cư one veradah số 2 bát nàn phường thạnh mỹ lợi</t>
  </si>
  <si>
    <t>0979794242</t>
  </si>
  <si>
    <t>HD013089</t>
  </si>
  <si>
    <t>Đảo kim cương phường bình trưng tây</t>
  </si>
  <si>
    <t>Huỳnh Tâm</t>
  </si>
  <si>
    <t>HD013090</t>
  </si>
  <si>
    <t>27/5 quách văn tuấn p 12</t>
  </si>
  <si>
    <t>May Ngọc Nguyên</t>
  </si>
  <si>
    <t>HD013093</t>
  </si>
  <si>
    <t>Lô j nhà D chung cư bình Khánh</t>
  </si>
  <si>
    <t>Hoàng Duyên</t>
  </si>
  <si>
    <t>HD013096</t>
  </si>
  <si>
    <t>108 nguyễn văn khối phường 9</t>
  </si>
  <si>
    <t>HD013120</t>
  </si>
  <si>
    <t>Chung cư Empire city thủ thiêm, toa Tilia, đường D11</t>
  </si>
  <si>
    <t>Yen Ngo</t>
  </si>
  <si>
    <t>HD013121</t>
  </si>
  <si>
    <t>29/08 nguyen van dau phuong binh loi trung</t>
  </si>
  <si>
    <t>Chị Phương Anh</t>
  </si>
  <si>
    <t>HD013139</t>
  </si>
  <si>
    <t>53 đường số 10, phường An Lợi Đông</t>
  </si>
  <si>
    <t>chị thảo</t>
  </si>
  <si>
    <t>HD013144</t>
  </si>
  <si>
    <t>Lumiere Riverside- Toà Wes: 259 Đường Võ Nguyên Giáp, phường An Khánh</t>
  </si>
  <si>
    <t>HD013200</t>
  </si>
  <si>
    <t>HD013244</t>
  </si>
  <si>
    <t>Xuân Hương</t>
  </si>
  <si>
    <t>HD013261</t>
  </si>
  <si>
    <t>2/43 Đường Lê Thị Hồng, Phường 17</t>
  </si>
  <si>
    <t>Thuy Chu</t>
  </si>
  <si>
    <t>HD013266</t>
  </si>
  <si>
    <t>8 đường 61, bình trưng đông</t>
  </si>
  <si>
    <t>Vân Bùi</t>
  </si>
  <si>
    <t>HD013273</t>
  </si>
  <si>
    <t>Landmark plus, 720a điện biên phủ, Phường 22</t>
  </si>
  <si>
    <t>ELLY NGUYỄN - THẮM NGUYÊN</t>
  </si>
  <si>
    <t>HD013489</t>
  </si>
  <si>
    <t>120/3/11 Đặng Thùy Trâm, P13 ( CTY GIA HUY EXPRESS )</t>
  </si>
  <si>
    <t>Ái Vi</t>
  </si>
  <si>
    <t>HD013505</t>
  </si>
  <si>
    <t>91/3 nguyễn hữu cảnh</t>
  </si>
  <si>
    <t>HÀ VY</t>
  </si>
  <si>
    <t>482/10/26 nơ trang long, p13</t>
  </si>
  <si>
    <t>W2459</t>
  </si>
  <si>
    <t>W3309</t>
  </si>
  <si>
    <t>SUSI</t>
  </si>
  <si>
    <t>22, TÂN THỚI NHẤT 1B, phường Tân Thới Nhất</t>
  </si>
  <si>
    <t>San Sannn @qa20078E</t>
  </si>
  <si>
    <t>H0012983</t>
  </si>
  <si>
    <t>Bebe Hyn</t>
  </si>
  <si>
    <t>HD012679</t>
  </si>
  <si>
    <t>309/11 nguyễn văn trỗi, p1</t>
  </si>
  <si>
    <t>Dinh Luong</t>
  </si>
  <si>
    <t>HD012787</t>
  </si>
  <si>
    <t>246 nguyễn duy dương f4</t>
  </si>
  <si>
    <t>HIẾU (fb Huyen Nguyen)</t>
  </si>
  <si>
    <t>HD013009</t>
  </si>
  <si>
    <t>623/43 CMT8 p15</t>
  </si>
  <si>
    <t>gộp, shop chịu ship, kh ck shop 1140k</t>
  </si>
  <si>
    <t>HD012820</t>
  </si>
  <si>
    <t>gộp, shop chịu ship, kh ck shop 1060k</t>
  </si>
  <si>
    <t>Kami - fb Đan Khanh</t>
  </si>
  <si>
    <t>HD012832</t>
  </si>
  <si>
    <t>Chung cư DELASOL, căn A2.09.04, số 1 Tôn Thất Thuyết, P1</t>
  </si>
  <si>
    <t>Thảo My</t>
  </si>
  <si>
    <t>HD012879</t>
  </si>
  <si>
    <t>33 lê thánh tôn,p bến nghé</t>
  </si>
  <si>
    <t>Thu Tài Trần - Phù Thi</t>
  </si>
  <si>
    <t>HD012944</t>
  </si>
  <si>
    <t>121/11 lê thị riêng, phường bến thành</t>
  </si>
  <si>
    <t>ViNhi Sara</t>
  </si>
  <si>
    <t>HD013052</t>
  </si>
  <si>
    <t>702/45/28b điện biên phủ phường 10</t>
  </si>
  <si>
    <t>HD013145</t>
  </si>
  <si>
    <t>hsu_myat_tg</t>
  </si>
  <si>
    <t>HD013241</t>
  </si>
  <si>
    <t>2A/14, Nguyễn Thị Minh Khai, P. Đakao</t>
  </si>
  <si>
    <t>Tram Pham</t>
  </si>
  <si>
    <t>HD013256</t>
  </si>
  <si>
    <t>89 Phạm Văn Hai, P3</t>
  </si>
  <si>
    <t>Nhung Nguyễn</t>
  </si>
  <si>
    <t>HD013436</t>
  </si>
  <si>
    <t>314/2p điện biên phủ</t>
  </si>
  <si>
    <t>Dương Thị Xuân ft Danh Phu</t>
  </si>
  <si>
    <t>HD013485</t>
  </si>
  <si>
    <t>474/8 Phan Văn Trị F7 ( F.An Đông )</t>
  </si>
  <si>
    <t>Lona Loan</t>
  </si>
  <si>
    <t>HD013491</t>
  </si>
  <si>
    <t>120/15B Trần Quốc Thảo, P.Xuân Hòa (LSKIN BEAUTY &amp; SPA)</t>
  </si>
  <si>
    <t>HD13172</t>
  </si>
  <si>
    <t>REAK</t>
  </si>
  <si>
    <t>KIM LIÊN</t>
  </si>
  <si>
    <t>VVI EVA</t>
  </si>
  <si>
    <t>141 hùng vương phường 4</t>
  </si>
  <si>
    <t>Tên người nhận: Nguyễn Hoài Như</t>
  </si>
  <si>
    <t>HD013168</t>
  </si>
  <si>
    <t>Địa chỉ nhận hàng: CTY TNHH dong yun viet nam, 19 đại lộ tự do, bình hoà, thuận an, bình dương</t>
  </si>
  <si>
    <t>Hoàn Nguyễn</t>
  </si>
  <si>
    <t>HD013254</t>
  </si>
  <si>
    <t>Mail Anh</t>
  </si>
  <si>
    <t>HD013456</t>
  </si>
  <si>
    <t>đường Nguyễn Trãi tạp phúc yên tỉnh phú thọ ( cạnh công ty Nguyệtảnh )</t>
  </si>
  <si>
    <t>đơn trả 21.4</t>
  </si>
  <si>
    <t>17t9 trung hoà nhân chính (mặt nguyễn thị thập) 0865816871</t>
  </si>
  <si>
    <t>T3.21.4.2026</t>
  </si>
  <si>
    <t>NGAY 21-4</t>
  </si>
  <si>
    <t>Danh Hil</t>
  </si>
  <si>
    <t>HD013904</t>
  </si>
  <si>
    <t>33 đường D32 - Phường Phước Long B</t>
  </si>
  <si>
    <t>21-04-2026</t>
  </si>
  <si>
    <t>Hoa Trần</t>
  </si>
  <si>
    <t>HD013741</t>
  </si>
  <si>
    <t>tòa B chung cư 9 view, phường phước long</t>
  </si>
  <si>
    <t>Khả Thư</t>
  </si>
  <si>
    <t>HD013780</t>
  </si>
  <si>
    <t>Bs16 vinhomes grand park</t>
  </si>
  <si>
    <t>HD013924</t>
  </si>
  <si>
    <t>Phương</t>
  </si>
  <si>
    <t>HD012171</t>
  </si>
  <si>
    <t>Safira Khang Điền, 454 Võ Chí Công, Phú Hữu</t>
  </si>
  <si>
    <t>chị thu hà</t>
  </si>
  <si>
    <t>HD013418</t>
  </si>
  <si>
    <t>13 đường D1A, Khu dân cư Nam Long, Phước Long B</t>
  </si>
  <si>
    <t>HD013680</t>
  </si>
  <si>
    <t>Be1, the beverly vinhome</t>
  </si>
  <si>
    <t>HD013953</t>
  </si>
  <si>
    <t>3273 phạm thể hiển, p7</t>
  </si>
  <si>
    <t>AT 21-04</t>
  </si>
  <si>
    <t>C Huệ - fb Ngọc Thủ</t>
  </si>
  <si>
    <t>HD013761</t>
  </si>
  <si>
    <t>165/80/20 Tây Thạnh Phường Tây Thạnh</t>
  </si>
  <si>
    <t>Trâm Nguyễn</t>
  </si>
  <si>
    <t>HD013947</t>
  </si>
  <si>
    <t>85/6 bình tây phường 1</t>
  </si>
  <si>
    <t>Ngọc Hoa</t>
  </si>
  <si>
    <t>HD013941</t>
  </si>
  <si>
    <t>149/19A bùi văn ngữ phường hiệp thành</t>
  </si>
  <si>
    <t>HD013747</t>
  </si>
  <si>
    <t>Ten : Ms Thuyên Tố Như ari</t>
  </si>
  <si>
    <t>HD013609</t>
  </si>
  <si>
    <t>- Địa chỉ: C16-17 lô C1, đường DD5, phường Tân Hưng Thuận</t>
  </si>
  <si>
    <t>Hạnh Trần</t>
  </si>
  <si>
    <t>HD013608</t>
  </si>
  <si>
    <t>Chung cư Tecco, Block C, đường Nguyễn Cửu Phủ, phường Tân Tạo</t>
  </si>
  <si>
    <t>Võ Hạ My</t>
  </si>
  <si>
    <t>HD013637</t>
  </si>
  <si>
    <t>413/51 LÊ VĂN QUỚI, HÌNH TRỊ ĐÔNG</t>
  </si>
  <si>
    <t>Nguyen Lynn My Ly - Lynn</t>
  </si>
  <si>
    <t>HD013473</t>
  </si>
  <si>
    <t>52/7A Mai văn vĩnh, p tân Hưng</t>
  </si>
  <si>
    <t>Chi Kim</t>
  </si>
  <si>
    <t>HD013871</t>
  </si>
  <si>
    <t>68A trung mỹ tây 3, phường trung mỹ tây</t>
  </si>
  <si>
    <t>HD013877</t>
  </si>
  <si>
    <t>139/25 Dương Văn Dương, phường Tân Quý</t>
  </si>
  <si>
    <t>Dương Ngọc Thảo</t>
  </si>
  <si>
    <t>HD013471</t>
  </si>
  <si>
    <t>200 M1, Bình Hưng Hòa</t>
  </si>
  <si>
    <t>HD013425</t>
  </si>
  <si>
    <t>Linh Linh</t>
  </si>
  <si>
    <t>HD013326</t>
  </si>
  <si>
    <t>336 Long Phước, Khu Phố Long Thuận P.Long Phước</t>
  </si>
  <si>
    <t>HD013912</t>
  </si>
  <si>
    <t>307C, Thái Phiên, P9</t>
  </si>
  <si>
    <t>Nhã Thi</t>
  </si>
  <si>
    <t>HD013582</t>
  </si>
  <si>
    <t>833 Tỉnh Lộ 10, P. Bình Trị Đông B</t>
  </si>
  <si>
    <t>HD013748</t>
  </si>
  <si>
    <t>chị Vân ft Dương Huỳnh Như</t>
  </si>
  <si>
    <t>HD013756</t>
  </si>
  <si>
    <t>số nhà 99 Hà Đặc, p. trung mỹ tây, quán cafe cây Xoài</t>
  </si>
  <si>
    <t>Ivy Nguyen</t>
  </si>
  <si>
    <t>HD013558</t>
  </si>
  <si>
    <t>117 bãi sậy p1</t>
  </si>
  <si>
    <t>Minh Anh Lê Trần</t>
  </si>
  <si>
    <t>HD013931</t>
  </si>
  <si>
    <t>45 đường số 77</t>
  </si>
  <si>
    <t>Khánh Nguyên</t>
  </si>
  <si>
    <t>HD013734</t>
  </si>
  <si>
    <t>30/32/24/4C Lâm Văn Bền, phường Tân Kiểng</t>
  </si>
  <si>
    <t>Kanchana Phnom Penh 017882879</t>
  </si>
  <si>
    <t>HD013493</t>
  </si>
  <si>
    <t>16/2 thái thị nhạn bảy hiền</t>
  </si>
  <si>
    <t>HD013619</t>
  </si>
  <si>
    <t>Nguyễn Minh Hải (Bow)</t>
  </si>
  <si>
    <t>17 Đường Số 13 Bình Hưng Hòa</t>
  </si>
  <si>
    <t>Mai Huyền Trang</t>
  </si>
  <si>
    <t>HD013781</t>
  </si>
  <si>
    <t>720 điện biên phủ p22 Landmark6 vinhomes Central</t>
  </si>
  <si>
    <t>HD13549</t>
  </si>
  <si>
    <t>163 Trương Thị Hoa, P. Tân Thới Hiệp</t>
  </si>
  <si>
    <t>Đan Linh</t>
  </si>
  <si>
    <t>HD513713</t>
  </si>
  <si>
    <t>the opera số 05 đường D6, Phường An Khánh (trước đây là P. Thủ Thiêm)</t>
  </si>
  <si>
    <t>zalo tuyến hoàng</t>
  </si>
  <si>
    <t>HD013584</t>
  </si>
  <si>
    <t>433/11/2 Lê Đức Thọ, Phường Gò Vấp (phường 17)</t>
  </si>
  <si>
    <t>HD013054</t>
  </si>
  <si>
    <t>872/12/14 phường 8, quang trung</t>
  </si>
  <si>
    <t>Ngân Châu</t>
  </si>
  <si>
    <t>HD013472</t>
  </si>
  <si>
    <t>207c Nguyễn xí p26</t>
  </si>
  <si>
    <t>HD013677</t>
  </si>
  <si>
    <t>Trương Ngọc Diệu</t>
  </si>
  <si>
    <t>HD013907</t>
  </si>
  <si>
    <t>383 nguyễn duy trinh, phường bình trưng tây</t>
  </si>
  <si>
    <t>HD013352</t>
  </si>
  <si>
    <t>HOÀNG ANH</t>
  </si>
  <si>
    <t>181/12 Tam Châu tam bình</t>
  </si>
  <si>
    <t>Thuy Thuy</t>
  </si>
  <si>
    <t>HD013778</t>
  </si>
  <si>
    <t>58E cao thắng,p5 (Viện chăm sóc da aperio)</t>
  </si>
  <si>
    <t>HD013676</t>
  </si>
  <si>
    <t>HD013683</t>
  </si>
  <si>
    <t>Nhiew (FB Proud 'Pround)</t>
  </si>
  <si>
    <t>HD013575</t>
  </si>
  <si>
    <t>39 Đường Trần Quốc Hoàn, P. 4</t>
  </si>
  <si>
    <t>HD013482</t>
  </si>
  <si>
    <t>Thúy An</t>
  </si>
  <si>
    <t>HD013864</t>
  </si>
  <si>
    <t>100/25/5 trần hưng đạo phạm ngũ lão bến thành</t>
  </si>
  <si>
    <t>Name: kimbouy</t>
  </si>
  <si>
    <t>HD013546</t>
  </si>
  <si>
    <t>363-365-367, 363 Đ. Hùng Vương, Phường 9</t>
  </si>
  <si>
    <t>Hoàng Nguyễn</t>
  </si>
  <si>
    <t>HDO13614</t>
  </si>
  <si>
    <t>133/26 Huỳnh Mẫn Đạt Phường An Đông</t>
  </si>
  <si>
    <t>HD013527</t>
  </si>
  <si>
    <t>HD013671</t>
  </si>
  <si>
    <t>193 hoàng văn thụ</t>
  </si>
  <si>
    <t>Nitaya Nhi Nguyên</t>
  </si>
  <si>
    <t>HD013612</t>
  </si>
  <si>
    <t>92/22/8c tôn thất thuyết, khu phố 14, phường xóm chiếu</t>
  </si>
  <si>
    <t>Kita ig _viengthida_</t>
  </si>
  <si>
    <t>HD013146</t>
  </si>
  <si>
    <t>Văn phòng VN: 3b Giải phóng, phường 4</t>
  </si>
  <si>
    <t>Bảo Trân</t>
  </si>
  <si>
    <t>HD013561</t>
  </si>
  <si>
    <t>159/36 hoàng văn thụ p8</t>
  </si>
  <si>
    <t>Tống Mỹ Linh</t>
  </si>
  <si>
    <t>HD013231</t>
  </si>
  <si>
    <t>Toà C cc Delasol số 1 Tôn Thất thuyết p1</t>
  </si>
  <si>
    <t>Ngọc Hơn</t>
  </si>
  <si>
    <t>HD013329</t>
  </si>
  <si>
    <t>Trà ngoa, trà côn, trà ôn, Vĩnh Long</t>
  </si>
  <si>
    <t>đơn trả 22.4</t>
  </si>
  <si>
    <t>kh ck shop 815k</t>
  </si>
  <si>
    <t>T4.22.4.2026</t>
  </si>
  <si>
    <t>NGAY 22-4</t>
  </si>
  <si>
    <t>Danh Híi</t>
  </si>
  <si>
    <t>HD014321</t>
  </si>
  <si>
    <t>33 đường D32 - Phước Long B</t>
  </si>
  <si>
    <t>22-04-2026</t>
  </si>
  <si>
    <t>Thiên Nga</t>
  </si>
  <si>
    <t>HD014188</t>
  </si>
  <si>
    <t>S5.02 Vinhomes grand park, Nguyễn Xiển, Long Mỹ</t>
  </si>
  <si>
    <t>Nguyễn Thuỳ Linh</t>
  </si>
  <si>
    <t>HD014325</t>
  </si>
  <si>
    <t>Nắng spa sảnh S803, vinhome grand park, p. Long Thạnh Mỹ</t>
  </si>
  <si>
    <t>Nguyễn Vi</t>
  </si>
  <si>
    <t>HD013674</t>
  </si>
  <si>
    <t>L21 Park riverside, đường bưng ông thoàn Phường phú hữu (long trường)</t>
  </si>
  <si>
    <t>Ngọc Huyền</t>
  </si>
  <si>
    <t>HD013956</t>
  </si>
  <si>
    <t>vinhome grand park - khu rain bow - sảnh s1.06 nguyễn xiển, p long bình</t>
  </si>
  <si>
    <t>Ánh Vy</t>
  </si>
  <si>
    <t>HD013979</t>
  </si>
  <si>
    <t>688/23/12 Hương Lộ 2, P. Bình Trị Đông A</t>
  </si>
  <si>
    <t>AT 22-04</t>
  </si>
  <si>
    <t>HD013961</t>
  </si>
  <si>
    <t>Bùi Khánh Ngọc</t>
  </si>
  <si>
    <t>HD014022</t>
  </si>
  <si>
    <t>Cc River Panorama 20 Lê Thị Chợ phường Phú Thuận</t>
  </si>
  <si>
    <t>HD014272</t>
  </si>
  <si>
    <t>HD014224</t>
  </si>
  <si>
    <t>69 phổ tiểu nam, p. Tân Phú</t>
  </si>
  <si>
    <t>HD013988</t>
  </si>
  <si>
    <t>765 Hồng bằng chung cư dhome</t>
  </si>
  <si>
    <t>TRÚC ST034</t>
  </si>
  <si>
    <t>HD014057</t>
  </si>
  <si>
    <t>Ngan Huyen</t>
  </si>
  <si>
    <t>HD014211</t>
  </si>
  <si>
    <t>F5/29D vĩnh lộc A</t>
  </si>
  <si>
    <t>HD014092</t>
  </si>
  <si>
    <t>Hạ Mi</t>
  </si>
  <si>
    <t>HD014049</t>
  </si>
  <si>
    <t>Sunrise Riverside block C Phước Kiển</t>
  </si>
  <si>
    <t>Thu Thuỷ</t>
  </si>
  <si>
    <t>HD014059</t>
  </si>
  <si>
    <t>CHEATA</t>
  </si>
  <si>
    <t>CHÀNH XE PHY PHY</t>
  </si>
  <si>
    <t>Gia Anh</t>
  </si>
  <si>
    <t>HD014090</t>
  </si>
  <si>
    <t>Landmark Plus - Vinhome Central Park, Số 720, Điện Biên Phủ, Phường 22</t>
  </si>
  <si>
    <t>HD013970</t>
  </si>
  <si>
    <t>HD014053</t>
  </si>
  <si>
    <t>HD014084</t>
  </si>
  <si>
    <t>Thảo Nguyên Sarah</t>
  </si>
  <si>
    <t>HD014051</t>
  </si>
  <si>
    <t>199/57A1 lê quang định p7</t>
  </si>
  <si>
    <t>HD014178</t>
  </si>
  <si>
    <t>Miko fb Giàu Ngọc</t>
  </si>
  <si>
    <t>HD013962</t>
  </si>
  <si>
    <t>841/4 quốc lộ 13 hiệp bình phước</t>
  </si>
  <si>
    <t>Hoa Cây Cà</t>
  </si>
  <si>
    <t>HD014107</t>
  </si>
  <si>
    <t>36 đường 40 kết vạn phúc, hiệp bình phước</t>
  </si>
  <si>
    <t>thảo - fb Hang Bui</t>
  </si>
  <si>
    <t>HD014323</t>
  </si>
  <si>
    <t>36/42/2 đường số 4, kp6, hiệp bình phước</t>
  </si>
  <si>
    <t>HD014195</t>
  </si>
  <si>
    <t>chung cư flora novia, block b phạm văn đồng, an bình</t>
  </si>
  <si>
    <t>Nguyễn Duy</t>
  </si>
  <si>
    <t>HD013999</t>
  </si>
  <si>
    <t>99/13 trần bình trọng p1</t>
  </si>
  <si>
    <t>HD014087</t>
  </si>
  <si>
    <t>160/7 bùi đinh túy,p12</t>
  </si>
  <si>
    <t>Đặng Phạm Hương Giang</t>
  </si>
  <si>
    <t>HD014112</t>
  </si>
  <si>
    <t>128/18 lê đức thọ, phường an nhơn</t>
  </si>
  <si>
    <t>NABY 22</t>
  </si>
  <si>
    <t>90/35 Trần Văn Ơn, phường Tân Sơn Nhì</t>
  </si>
  <si>
    <t>VERISKA (YAYANG) - ROOM 104</t>
  </si>
  <si>
    <t>HD014162</t>
  </si>
  <si>
    <t>Saigon Europe Hotel, Số 207 đường Đề Thám, phường bến Thành</t>
  </si>
  <si>
    <t>Quỳnh Vi</t>
  </si>
  <si>
    <t>HD014111</t>
  </si>
  <si>
    <t>40/4 nguyễn văn đậu p5</t>
  </si>
  <si>
    <t>Sam Meo</t>
  </si>
  <si>
    <t>HD014212</t>
  </si>
  <si>
    <t>81 Tân Sơn hòa p2</t>
  </si>
  <si>
    <t>CUS19950/pepanhaketya</t>
  </si>
  <si>
    <t>HD014360</t>
  </si>
  <si>
    <t>KIM YẾN ( mụi mụi)</t>
  </si>
  <si>
    <t>HD013983</t>
  </si>
  <si>
    <t>Tk24c/16 Nguyễn cảnh chân thường cầu ông lãnh</t>
  </si>
  <si>
    <t>Kim Ju CUS One Eight Zero Six Seven</t>
  </si>
  <si>
    <t>HD014008</t>
  </si>
  <si>
    <t>HD014007</t>
  </si>
  <si>
    <t>Nguyễn Thư</t>
  </si>
  <si>
    <t>HD014056</t>
  </si>
  <si>
    <t>39 hồ hảo hớn, P. Cô Giang</t>
  </si>
  <si>
    <t>Nguyễn Minh Anhh</t>
  </si>
  <si>
    <t>HD014302</t>
  </si>
  <si>
    <t>385b3 nguyen trai</t>
  </si>
  <si>
    <t>Tô Tô</t>
  </si>
  <si>
    <t>HD013964</t>
  </si>
  <si>
    <t>46 Lê Thị Riêng, phường Bến Thành</t>
  </si>
  <si>
    <t>Ngân Kim Lê</t>
  </si>
  <si>
    <t>HD013991</t>
  </si>
  <si>
    <t>90 trần đình xu, phường Cầu Ông Lãnh</t>
  </si>
  <si>
    <t>Somas dothing (insta soma_clothing21)</t>
  </si>
  <si>
    <t>HD014291</t>
  </si>
  <si>
    <t>HD013989</t>
  </si>
  <si>
    <t>Đỗ Thảo</t>
  </si>
  <si>
    <t>HD014221</t>
  </si>
  <si>
    <t>80a bến vân đồn p9</t>
  </si>
  <si>
    <t>Sokhavy Room 205</t>
  </si>
  <si>
    <t>HD013992</t>
  </si>
  <si>
    <t>A25 luxury hotel 277B Le Thanh Ton, Ben Thanh ward</t>
  </si>
  <si>
    <t>kh ck shop 475k</t>
  </si>
  <si>
    <t>Thanh Vy Le</t>
  </si>
  <si>
    <t>HD014227</t>
  </si>
  <si>
    <t>42/10 Tôn Thất Thiệp, phường Bến Nghé</t>
  </si>
  <si>
    <t>Thùy Dung</t>
  </si>
  <si>
    <t>HD014274</t>
  </si>
  <si>
    <t>Chung cư Hà Đô iris3, đường 3/2, phường 12</t>
  </si>
  <si>
    <t>Ín Nile</t>
  </si>
  <si>
    <t>HD014086</t>
  </si>
  <si>
    <t>429/1 nguyễn kiệm p9</t>
  </si>
  <si>
    <t>Nguyễn Uyên</t>
  </si>
  <si>
    <t>HD014061</t>
  </si>
  <si>
    <t>525/44 tô hiến thành p diên hồng</t>
  </si>
  <si>
    <t>TOM AG</t>
  </si>
  <si>
    <t>12 HỒ VĂN HUÊ PHƯỜNG 9</t>
  </si>
  <si>
    <t>HD014529</t>
  </si>
  <si>
    <t>Bs16a The oasis Vinhomes grand park ( Phước Thiện Long Bình)</t>
  </si>
  <si>
    <t>23-04-2026</t>
  </si>
  <si>
    <t>Ái</t>
  </si>
  <si>
    <t>HD014697</t>
  </si>
  <si>
    <t>265 lý tự trọng</t>
  </si>
  <si>
    <t>AT 23-04</t>
  </si>
  <si>
    <t>HD014543</t>
  </si>
  <si>
    <t>Huyền Trinh</t>
  </si>
  <si>
    <t>HD014739</t>
  </si>
  <si>
    <t>69 phố tiểu nam, phường tân phú</t>
  </si>
  <si>
    <t>HD014714</t>
  </si>
  <si>
    <t>Xuân Anh</t>
  </si>
  <si>
    <t>HD014688</t>
  </si>
  <si>
    <t>18/23 đường 266 Bùi Minh Trực P6</t>
  </si>
  <si>
    <t>fb Thuyền Quyên</t>
  </si>
  <si>
    <t>HD014695</t>
  </si>
  <si>
    <t>688/23/1C hương lộ 2, phường bình trị đông A</t>
  </si>
  <si>
    <t>HD014415</t>
  </si>
  <si>
    <t>Thanh Trần</t>
  </si>
  <si>
    <t>HD014525</t>
  </si>
  <si>
    <t>23 Đ. Phú Thuận, Phú Thuận , hcm Sunshine Sky City sảnh A1</t>
  </si>
  <si>
    <t>HD014666</t>
  </si>
  <si>
    <t>HD000100</t>
  </si>
  <si>
    <t>Chung cư Tecco, block C, đường Nguyễn Cửu Phủ, phường Tân Tạo</t>
  </si>
  <si>
    <t>Quế Anh Đỗ</t>
  </si>
  <si>
    <t>HD014655</t>
  </si>
  <si>
    <t>chung cư de la sol</t>
  </si>
  <si>
    <t>Nhận hàng giúp chị phương (ở Úc) fb Phương My</t>
  </si>
  <si>
    <t>HD014448</t>
  </si>
  <si>
    <t>Tên Nhi fb Kim Khoa</t>
  </si>
  <si>
    <t>HD014404</t>
  </si>
  <si>
    <t>275A phạm ngũ lão phường phạm ngũ lão</t>
  </si>
  <si>
    <t>Phẩm Huỳnh</t>
  </si>
  <si>
    <t>HD014565</t>
  </si>
  <si>
    <t>84 phạm Hồng thái phường bến thành</t>
  </si>
  <si>
    <t>Trang Lâm</t>
  </si>
  <si>
    <t>HD014526</t>
  </si>
  <si>
    <t>1806/45/20/10 huỳnh tấn phát</t>
  </si>
  <si>
    <t>HD014694</t>
  </si>
  <si>
    <t>Tran Huyen Thuong</t>
  </si>
  <si>
    <t>HD014171</t>
  </si>
  <si>
    <t>422 đào trí shunshine diamond</t>
  </si>
  <si>
    <t>Anie Nguyen</t>
  </si>
  <si>
    <t>HD014598</t>
  </si>
  <si>
    <t>C3B/124 ấp 3B Vĩnh Lộc B, hẻm Tiến Long chạy vào quẹo hẻm 2 tay phải, xã Vĩnh Lộc B</t>
  </si>
  <si>
    <t>amy doan</t>
  </si>
  <si>
    <t>HD014399</t>
  </si>
  <si>
    <t>36/18 dương đức thiền tây thạnh</t>
  </si>
  <si>
    <t>chip chip</t>
  </si>
  <si>
    <t>HD014665</t>
  </si>
  <si>
    <t>71/16 thới an 16</t>
  </si>
  <si>
    <t>HD014594</t>
  </si>
  <si>
    <t>HD014669</t>
  </si>
  <si>
    <t>Saigon Royal Res cences,Nguyễn Trường Tộ, phường 13</t>
  </si>
  <si>
    <t>Châu Trần</t>
  </si>
  <si>
    <t>HD014449</t>
  </si>
  <si>
    <t>số 3 hoà bình phường bình thới</t>
  </si>
  <si>
    <t>HD014600</t>
  </si>
  <si>
    <t>HD014497</t>
  </si>
  <si>
    <t>Phương Linh fb Lê Hoàng Sang</t>
  </si>
  <si>
    <t>HD014346</t>
  </si>
  <si>
    <t>22-24 Thi Sách, Bến Nghế</t>
  </si>
  <si>
    <t>Kim Anh Phạm Nguyễn</t>
  </si>
  <si>
    <t>HD014381</t>
  </si>
  <si>
    <t>240/38/4 Tô ngọc vân, phường Thạnh Xuân</t>
  </si>
  <si>
    <t>Huong, A20.08</t>
  </si>
  <si>
    <t>HD014420</t>
  </si>
  <si>
    <t>CC Tân Phước lỗ a 153 Lý Thường Kiệt, Phường 7</t>
  </si>
  <si>
    <t>NG MY</t>
  </si>
  <si>
    <t>HD014515</t>
  </si>
  <si>
    <t>182 phú thọ hoa phường phú thọ hoa</t>
  </si>
  <si>
    <t>Hoàng Thanh Hiền</t>
  </si>
  <si>
    <t>HD014608</t>
  </si>
  <si>
    <t>5 đương số 8 bình thuận</t>
  </si>
  <si>
    <t>Van Anh</t>
  </si>
  <si>
    <t>HD014468</t>
  </si>
  <si>
    <t>2/1a quốc lộ 1a, tân chánh hiệp</t>
  </si>
  <si>
    <t>HD014726</t>
  </si>
  <si>
    <t>Vy - hàng của hồng</t>
  </si>
  <si>
    <t>HD014730</t>
  </si>
  <si>
    <t>8y Lạc Long Quân, P. Hòa Bình</t>
  </si>
  <si>
    <t>Carol Phuong Trinh</t>
  </si>
  <si>
    <t>HD014685</t>
  </si>
  <si>
    <t>156/3 Nguyễn Văn Linh phường Tân Thuận Tây</t>
  </si>
  <si>
    <t>Người nhận chuột</t>
  </si>
  <si>
    <t>HD014672</t>
  </si>
  <si>
    <t>Thu Tài Trần - Phù Thỉ</t>
  </si>
  <si>
    <t>HD014684</t>
  </si>
  <si>
    <t>Trúc Phương</t>
  </si>
  <si>
    <t>HD014191</t>
  </si>
  <si>
    <t>Chung cư Citiesto, cát lái</t>
  </si>
  <si>
    <t>W3235</t>
  </si>
  <si>
    <t>HD014374</t>
  </si>
  <si>
    <t>Như Hảo</t>
  </si>
  <si>
    <t>HD014400</t>
  </si>
  <si>
    <t>15 dương 26 linh đông</t>
  </si>
  <si>
    <t>Linh Phạm</t>
  </si>
  <si>
    <t>HD014734</t>
  </si>
  <si>
    <t>304/66/3E bùi đình tuý, p12</t>
  </si>
  <si>
    <t>Ngân</t>
  </si>
  <si>
    <t>HD014686</t>
  </si>
  <si>
    <t>Landmark Plus, 208 Nguyễn Hữu Cảnh, phường 22</t>
  </si>
  <si>
    <t>Xiabao</t>
  </si>
  <si>
    <t>HD014094</t>
  </si>
  <si>
    <t>375 Tân thới hiệp 21, Tổ 3</t>
  </si>
  <si>
    <t>Thu Hà</t>
  </si>
  <si>
    <t>HD014340</t>
  </si>
  <si>
    <t>61/8 đường 23 hiệp bình Chánh</t>
  </si>
  <si>
    <t>Charli (inst char importshop )-BN2441</t>
  </si>
  <si>
    <t>HD014661</t>
  </si>
  <si>
    <t>Thị Bi</t>
  </si>
  <si>
    <t>HD014615</t>
  </si>
  <si>
    <t>86/36/3 PHỔ QUANG, PHƯỜNG TÂN SƠN HOÀ</t>
  </si>
  <si>
    <t>Hoài An ft Ann Nguyen</t>
  </si>
  <si>
    <t>HD014716</t>
  </si>
  <si>
    <t>Toà S5, chung cư the Sun Avenue 28 Mai Chí Thọ, P.Bình Trưng</t>
  </si>
  <si>
    <t>Mỹ Hạnh</t>
  </si>
  <si>
    <t>HD014717</t>
  </si>
  <si>
    <t>448/65/2 Phan Huy Ích P.12</t>
  </si>
  <si>
    <t>Ngọc fb Nga Nguyenn</t>
  </si>
  <si>
    <t>HD014668</t>
  </si>
  <si>
    <t>434/20/14 Phạm Văn Chiêu Phường 9</t>
  </si>
  <si>
    <t>Trần Phượng Liên</t>
  </si>
  <si>
    <t>HD014498</t>
  </si>
  <si>
    <t>207/9 nguyễn văn khôi p8</t>
  </si>
  <si>
    <t>Ngọc Vinh</t>
  </si>
  <si>
    <t>HD014488</t>
  </si>
  <si>
    <t>17-19 Trường Sơn P4</t>
  </si>
  <si>
    <t>Hoàng An</t>
  </si>
  <si>
    <t>HD014524</t>
  </si>
  <si>
    <t>47/3 trần bình trọng</t>
  </si>
  <si>
    <t>Cuc Nguyen</t>
  </si>
  <si>
    <t>HD014696</t>
  </si>
  <si>
    <t>Block b, 102 đặng văn bi, bình thọ</t>
  </si>
  <si>
    <t>Hong Nho+Nguyễn Thị Diễm Chi</t>
  </si>
  <si>
    <t>29/7 Yên Thế, Phường 2</t>
  </si>
  <si>
    <t>BN8823</t>
  </si>
  <si>
    <t>482/10/26 nơ trang Long, p13</t>
  </si>
  <si>
    <t>Pidor 012736103</t>
  </si>
  <si>
    <t>HD013727</t>
  </si>
  <si>
    <t>NHÀ XE KHẢI NAM</t>
  </si>
  <si>
    <t>HD014667</t>
  </si>
  <si>
    <t>T6.24.4.2026</t>
  </si>
  <si>
    <t>T5.23.4.2026</t>
  </si>
  <si>
    <t>NGAY 23-4</t>
  </si>
  <si>
    <t>NGAY 24-4</t>
  </si>
  <si>
    <t>HD015008</t>
  </si>
  <si>
    <t>24-04-2026</t>
  </si>
  <si>
    <t>Ngọc Hồng Thương</t>
  </si>
  <si>
    <t>HD014885</t>
  </si>
  <si>
    <t>51 đường 81 tân quy</t>
  </si>
  <si>
    <t>AT 24-04</t>
  </si>
  <si>
    <t>Nguyễn Kim Hằng,</t>
  </si>
  <si>
    <t>HD015065</t>
  </si>
  <si>
    <t>A22/5 phạm thế hiển p3</t>
  </si>
  <si>
    <t>HD015129</t>
  </si>
  <si>
    <t>Thuương</t>
  </si>
  <si>
    <t>HD014951</t>
  </si>
  <si>
    <t>32/50 đường số 5, Bình Hưng Hoà</t>
  </si>
  <si>
    <t>HD014899</t>
  </si>
  <si>
    <t>HD014866</t>
  </si>
  <si>
    <t>132 bến vân đồn p9</t>
  </si>
  <si>
    <t>Phạm T.Thảo</t>
  </si>
  <si>
    <t>HD015179</t>
  </si>
  <si>
    <t>63 dương bá trạc p.rạch ông</t>
  </si>
  <si>
    <t>HD015161</t>
  </si>
  <si>
    <t>Lê Tuyết Nhi</t>
  </si>
  <si>
    <t>HD015201</t>
  </si>
  <si>
    <t>8/14 Trịnh Đình Thảo, Hoà Thạnh</t>
  </si>
  <si>
    <t>An Vi</t>
  </si>
  <si>
    <t>HD014867</t>
  </si>
  <si>
    <t>139/1 dạ nam phường 3</t>
  </si>
  <si>
    <t>Hải Dương</t>
  </si>
  <si>
    <t>HD014950</t>
  </si>
  <si>
    <t>Chung Cư số 1 Tôn Thất Thuyết Lô M1.613</t>
  </si>
  <si>
    <t>CUS19950/pe panhaketya</t>
  </si>
  <si>
    <t>HD015159</t>
  </si>
  <si>
    <t>HD015214</t>
  </si>
  <si>
    <t>Nguyễn Thị Bích Huyền</t>
  </si>
  <si>
    <t>HD015022</t>
  </si>
  <si>
    <t>Sunrise lô D Nguyễn hữa thọ, Xã Phước Kiển</t>
  </si>
  <si>
    <t>Nguyen Thi Thu Trang</t>
  </si>
  <si>
    <t>HD015082</t>
  </si>
  <si>
    <t>13 đường số 3, Khu dân cư phước kiển A, Lê Văn Lương</t>
  </si>
  <si>
    <t>gộp, kh ck shop 865k</t>
  </si>
  <si>
    <t>HD014831</t>
  </si>
  <si>
    <t>bảo bảo fb Phương Phương</t>
  </si>
  <si>
    <t>HD015165</t>
  </si>
  <si>
    <t>132 bến vân đồn p6</t>
  </si>
  <si>
    <t>Thý An</t>
  </si>
  <si>
    <t>HD014870</t>
  </si>
  <si>
    <t>306 Nguyễn thiện thuật phường 3</t>
  </si>
  <si>
    <t>Trần Lê Trâm Anh</t>
  </si>
  <si>
    <t>HD015267</t>
  </si>
  <si>
    <t>179/13A hoà bình Phường Hiệp Tân</t>
  </si>
  <si>
    <t>HD015264</t>
  </si>
  <si>
    <t>179/13A hoà bình</t>
  </si>
  <si>
    <t>Xuân Phát tiktok @xuanphat94</t>
  </si>
  <si>
    <t>HD015085</t>
  </si>
  <si>
    <t>B214bis đường đông hưng thuận 1, phường đông hưng thuận</t>
  </si>
  <si>
    <t>Phương Quỳnh</t>
  </si>
  <si>
    <t>HD014884</t>
  </si>
  <si>
    <t>6D đường số 2B, Khu Phố 9, Bình Hưng Hòa A</t>
  </si>
  <si>
    <t>HD014965</t>
  </si>
  <si>
    <t>Hà Gia Mẫn</t>
  </si>
  <si>
    <t>HD015024</t>
  </si>
  <si>
    <t>Tk22/26 Nguyễn cảnh chân- cầu ông lãnh</t>
  </si>
  <si>
    <t>Nhớ Nhớ</t>
  </si>
  <si>
    <t>HD015170</t>
  </si>
  <si>
    <t>Sài gòn Mia block A đường 9a khu trung sơn bình hưng</t>
  </si>
  <si>
    <t>Tuyết Nhi</t>
  </si>
  <si>
    <t>HD014894</t>
  </si>
  <si>
    <t>Block d2, chung cư sài gòn riverside (số 4 đào trí, phú thuận)</t>
  </si>
  <si>
    <t>HD015158</t>
  </si>
  <si>
    <t>Ngọc Phượng</t>
  </si>
  <si>
    <t>HD014928</t>
  </si>
  <si>
    <t>The grand midtown m5 đường số 16 p. Tân Phú</t>
  </si>
  <si>
    <t>HD015089</t>
  </si>
  <si>
    <t>HD014764</t>
  </si>
  <si>
    <t>116a đường số 16 p tân quy</t>
  </si>
  <si>
    <t>Trang Nhung</t>
  </si>
  <si>
    <t>HD015083</t>
  </si>
  <si>
    <t>Chung cư Hà độ toà orchid 2</t>
  </si>
  <si>
    <t>Nguyễn Kim Ngân</t>
  </si>
  <si>
    <t>HD014871</t>
  </si>
  <si>
    <t>Lavida Plus, Nguyễn Văi Linh, Tân Phong</t>
  </si>
  <si>
    <t>Ny</t>
  </si>
  <si>
    <t>HD015044</t>
  </si>
  <si>
    <t>301 Phuong Pham Ngu Lao Street, District 1</t>
  </si>
  <si>
    <t>HD015072</t>
  </si>
  <si>
    <t>Trần Hương</t>
  </si>
  <si>
    <t>HD015100</t>
  </si>
  <si>
    <t>339 lê văn quới phường bình trị đông A</t>
  </si>
  <si>
    <t>Lê Thị Tuyết Trâm</t>
  </si>
  <si>
    <t>HD014837</t>
  </si>
  <si>
    <t>90/11 dương bá trạc phương rạch ông</t>
  </si>
  <si>
    <t>Nguyễn Thùy Vi</t>
  </si>
  <si>
    <t>HD015077</t>
  </si>
  <si>
    <t>The Tresor,39-39b bến vân đồn</t>
  </si>
  <si>
    <t>Họ Yen</t>
  </si>
  <si>
    <t>HD014983</t>
  </si>
  <si>
    <t>Toà Central 2, Vinhomes Central Park, số 208 Nguyễn Hữu Cảnh, phường 22</t>
  </si>
  <si>
    <t>HD015027</t>
  </si>
  <si>
    <t>36 đường 40 kdt vạn phúc, hiệp bình phước</t>
  </si>
  <si>
    <t>Hiền Hoàng</t>
  </si>
  <si>
    <t>HD015189</t>
  </si>
  <si>
    <t>208 nguyễn hữu cảnh p22 - landmark 3</t>
  </si>
  <si>
    <t>Thủy Ngọc Võ</t>
  </si>
  <si>
    <t>HD015166</t>
  </si>
  <si>
    <t>Thơm Thơm</t>
  </si>
  <si>
    <t>HD015104</t>
  </si>
  <si>
    <t>119 nguyễn văn công p. Hạnh Thông</t>
  </si>
  <si>
    <t>Tu Chi Tien</t>
  </si>
  <si>
    <t>HD015173</t>
  </si>
  <si>
    <t>41 trần quy khoách tân định</t>
  </si>
  <si>
    <t>HD014919</t>
  </si>
  <si>
    <t>Hằng Nhi</t>
  </si>
  <si>
    <t>HD014563</t>
  </si>
  <si>
    <t>đường số 104 brillant tower 3 1206 cc đảo kim cương bình trưng tây</t>
  </si>
  <si>
    <t>HD015199</t>
  </si>
  <si>
    <t>HD015068</t>
  </si>
  <si>
    <t>HD015010</t>
  </si>
  <si>
    <t>The Sun Avenue S3-Mai Chí thọ</t>
  </si>
  <si>
    <t>Nhã Phương</t>
  </si>
  <si>
    <t>HD015029</t>
  </si>
  <si>
    <t>26/2 đường 59 p14</t>
  </si>
  <si>
    <t>HD014972</t>
  </si>
  <si>
    <t>Thanh Hà Phạm</t>
  </si>
  <si>
    <t>HD015051</t>
  </si>
  <si>
    <t>29/15 yên thế, p2</t>
  </si>
  <si>
    <t>Yen Nguyen</t>
  </si>
  <si>
    <t>HD015181</t>
  </si>
  <si>
    <t>92g nguyễn hữu cảnh, phường 22</t>
  </si>
  <si>
    <t>fb Trang Nguyen</t>
  </si>
  <si>
    <t>HD015080</t>
  </si>
  <si>
    <t>452/ G33 Phan Văn trị phường 7 Công ty chuyển phát nhanh quốc tế Bm ViNa</t>
  </si>
  <si>
    <t>Nguyễn Hồng Nga</t>
  </si>
  <si>
    <t>HD014904</t>
  </si>
  <si>
    <t>104/12 Nguyễn Trọng Tuyển, P15</t>
  </si>
  <si>
    <t>Nguyễn Hương Giang</t>
  </si>
  <si>
    <t>HD015198</t>
  </si>
  <si>
    <t>1702 Quang Trung, P.10</t>
  </si>
  <si>
    <t>HD015180</t>
  </si>
  <si>
    <t>HD014918</t>
  </si>
  <si>
    <t>mai chí thọ phường an phú Cc lexington block B</t>
  </si>
  <si>
    <t>HD015247</t>
  </si>
  <si>
    <t>82/17/20 đinh tiên hoàng p1</t>
  </si>
  <si>
    <t>HD015167</t>
  </si>
  <si>
    <t>chung cư terrace 21 võ trường toản</t>
  </si>
  <si>
    <t>MINZZY</t>
  </si>
  <si>
    <t>XE TOÀN THẮNG</t>
  </si>
  <si>
    <t>kh ck shop 865k</t>
  </si>
  <si>
    <t>T7.25.4.2026</t>
  </si>
  <si>
    <t>NGAY 25-4</t>
  </si>
  <si>
    <t>HD015502</t>
  </si>
  <si>
    <t>tòa B chung cư 9 view phường phước long</t>
  </si>
  <si>
    <t>25-04-2026</t>
  </si>
  <si>
    <t>kh ck shop 730k</t>
  </si>
  <si>
    <t>HD015763</t>
  </si>
  <si>
    <t>AT 25-04</t>
  </si>
  <si>
    <t>HD015601</t>
  </si>
  <si>
    <t>980/4b là gốm p8</t>
  </si>
  <si>
    <t>Thuy An Dao</t>
  </si>
  <si>
    <t>HD015672</t>
  </si>
  <si>
    <t>Sảnh B2 chung cư Emerald phường Sơn Kỳ</t>
  </si>
  <si>
    <t>Loan Tran</t>
  </si>
  <si>
    <t>HD015680</t>
  </si>
  <si>
    <t>Chung Cư Diamond Brilliant Số 3 Đường N1 phường Tân Sơn Nhì Sảnh B1</t>
  </si>
  <si>
    <t>HD015574</t>
  </si>
  <si>
    <t>206/26/10 Lê văn quới, kp4, bình trị đông</t>
  </si>
  <si>
    <t>YU MY</t>
  </si>
  <si>
    <t>HD015600</t>
  </si>
  <si>
    <t>99 đương số 9 KDC bình hưng</t>
  </si>
  <si>
    <t>HD015602</t>
  </si>
  <si>
    <t>18/10 kdc bảo anh kp40 đường TL26 phường an phú đông</t>
  </si>
  <si>
    <t>Nguyễn Hải Phụng</t>
  </si>
  <si>
    <t>HD015693</t>
  </si>
  <si>
    <t>36 bờ bao tận trắng P. Sơn Kỳ (chung cư celedon cổng diamond brilliant block B2)</t>
  </si>
  <si>
    <t>Thuy Trang</t>
  </si>
  <si>
    <t>HD015739</t>
  </si>
  <si>
    <t>A3 Chung cư The Gold View 346 Bến Vân Đồn - P.1</t>
  </si>
  <si>
    <t>HD015528</t>
  </si>
  <si>
    <t>NHƯ Ý LÊ</t>
  </si>
  <si>
    <t>HD015418</t>
  </si>
  <si>
    <t>số 13 đường số 9, P13</t>
  </si>
  <si>
    <t>kh ck shop 1895k</t>
  </si>
  <si>
    <t>HD015588</t>
  </si>
  <si>
    <t>HD015392</t>
  </si>
  <si>
    <t>HD015427</t>
  </si>
  <si>
    <t>MỸ HUYỀN - giữ đơn</t>
  </si>
  <si>
    <t>HD014566</t>
  </si>
  <si>
    <t>17 Bùi Thế Mỹ P. Bảy Hiền</t>
  </si>
  <si>
    <t>Ms Thuyên Tổ Như ari</t>
  </si>
  <si>
    <t>HD015674</t>
  </si>
  <si>
    <t>Vũ Duy Tâm - fb Ngoc Nga</t>
  </si>
  <si>
    <t>HD015761</t>
  </si>
  <si>
    <t>169 Kênh Trung Ương, Ấp 50, Xã Xuân Thới Thượng</t>
  </si>
  <si>
    <t>HD015581</t>
  </si>
  <si>
    <t>346 bến vân đồn, P1</t>
  </si>
  <si>
    <t>HD015372</t>
  </si>
  <si>
    <t>Cc cardinal tower B Phường Tân Phú B908</t>
  </si>
  <si>
    <t>Nguyễn Kim Hồng</t>
  </si>
  <si>
    <t>HD015760</t>
  </si>
  <si>
    <t>A22/6 phạm thể hiển p3</t>
  </si>
  <si>
    <t>Minh Trang</t>
  </si>
  <si>
    <t>HD015370</t>
  </si>
  <si>
    <t>Eco green sài gòn, đường nguyễn văn linh, phường tân thuận tân Block B</t>
  </si>
  <si>
    <t>HD015483</t>
  </si>
  <si>
    <t>Chung cư Hà đô toà orchid 2</t>
  </si>
  <si>
    <t>HD015678</t>
  </si>
  <si>
    <t>Lucie Huỳnh</t>
  </si>
  <si>
    <t>HD015492</t>
  </si>
  <si>
    <t>Chung cư starlight riverside phường bình phú</t>
  </si>
  <si>
    <t>HD015705</t>
  </si>
  <si>
    <t>Chan Vin</t>
  </si>
  <si>
    <t>HD015702</t>
  </si>
  <si>
    <t>LIBERTY CENTRAL SAIGON RIVERSIDE HOTEL - 17 Ton Duc Thang St</t>
  </si>
  <si>
    <t>Thảo Quyên người nhận tên Thuỳ Minh</t>
  </si>
  <si>
    <t>HD015571</t>
  </si>
  <si>
    <t>336/43/5e nguyễn văn luôn p12</t>
  </si>
  <si>
    <t>coca kẹ</t>
  </si>
  <si>
    <t>HD015733</t>
  </si>
  <si>
    <t>532/3/93 Kinh Dương Vương. Phường An Lạc</t>
  </si>
  <si>
    <t>TRINH fb Nguyễn --oben</t>
  </si>
  <si>
    <t>HD015527</t>
  </si>
  <si>
    <t>Thuỷ Trúc</t>
  </si>
  <si>
    <t>HD015561</t>
  </si>
  <si>
    <t>Chung cư Callagarden, kdc Greenlife 13C, Đ. Nguyễn Văn Linh, X. Phong Phú</t>
  </si>
  <si>
    <t>Nguyễn Như Ý</t>
  </si>
  <si>
    <t>HD015595</t>
  </si>
  <si>
    <t>28/13 Trần Thiện Chánh p12</t>
  </si>
  <si>
    <t>Lê Ngọc Diễm</t>
  </si>
  <si>
    <t>HD015562</t>
  </si>
  <si>
    <t>Chung cư tara. Phường 6. Block B2 tòa khải hoàn</t>
  </si>
  <si>
    <t>Hoàng Thuý Liên</t>
  </si>
  <si>
    <t>HD015756</t>
  </si>
  <si>
    <t>290 an dương vương phường chợ quán</t>
  </si>
  <si>
    <t>Hằng Nguyễn</t>
  </si>
  <si>
    <t>HD015363</t>
  </si>
  <si>
    <t>686 Tô Ngọc Vân, P. Tam Bình</t>
  </si>
  <si>
    <t>HD015565</t>
  </si>
  <si>
    <t>29 Tran thi nghĩ p7</t>
  </si>
  <si>
    <t>kh ck shop 685k</t>
  </si>
  <si>
    <t>Lotus Tram</t>
  </si>
  <si>
    <t>HD015505</t>
  </si>
  <si>
    <t>Số 3, đường 37,khu dân cư vạn phúc?phường hiệp bình phước</t>
  </si>
  <si>
    <t>HĐ015764</t>
  </si>
  <si>
    <t>47 hiệp bình, hiệp bình chánh</t>
  </si>
  <si>
    <t>Dang Thuy Trang</t>
  </si>
  <si>
    <t>HD015726</t>
  </si>
  <si>
    <t>Tòa landmark3, vinhome tân cang</t>
  </si>
  <si>
    <t>HD015737</t>
  </si>
  <si>
    <t>HD015334</t>
  </si>
  <si>
    <t>Emily Le</t>
  </si>
  <si>
    <t>HD015400</t>
  </si>
  <si>
    <t>281/36 Lê Văn Sỹ P1</t>
  </si>
  <si>
    <t>Ngân Hà</t>
  </si>
  <si>
    <t>HD015652</t>
  </si>
  <si>
    <t>Cc dream home 2, lô B, đường 59, p14</t>
  </si>
  <si>
    <t>Nguyễn Hoài An</t>
  </si>
  <si>
    <t>HD015748</t>
  </si>
  <si>
    <t>15 đặng thai mai p7</t>
  </si>
  <si>
    <t>HD015424</t>
  </si>
  <si>
    <t>107/189 Quang Trung P10</t>
  </si>
  <si>
    <t>Vân Vân</t>
  </si>
  <si>
    <t>HD015567</t>
  </si>
  <si>
    <t>86/36/3 phổ quang, tân sơn hòa</t>
  </si>
  <si>
    <t>trâm fb Anne Ng</t>
  </si>
  <si>
    <t>HD015736</t>
  </si>
  <si>
    <t>294/22/53 xô viết nghệ tinh,khu phố 21 phường thạnh mỹ tây</t>
  </si>
  <si>
    <t>119 hoàng diệu 2</t>
  </si>
  <si>
    <t>thu đuc</t>
  </si>
  <si>
    <t>685 Tân Sơn phường 12</t>
  </si>
  <si>
    <t>đơn trả 25.4</t>
  </si>
  <si>
    <t>đơn thiếu ngày 13.4</t>
  </si>
  <si>
    <t>Mỹ Mỹ</t>
  </si>
  <si>
    <t>H0016352</t>
  </si>
  <si>
    <t>135/2F đình phong phú</t>
  </si>
  <si>
    <t>27-04-2026</t>
  </si>
  <si>
    <t>Lê Thuỳ Tiên</t>
  </si>
  <si>
    <t>HD016104</t>
  </si>
  <si>
    <t>Thanh</t>
  </si>
  <si>
    <t>HD016208</t>
  </si>
  <si>
    <t>63/5 Dương Đình Hội, Phường Phước Long</t>
  </si>
  <si>
    <t>Nguyễn Thị Trà My</t>
  </si>
  <si>
    <t>HD016071</t>
  </si>
  <si>
    <t>264 Võ Văn Hát Long Trường</t>
  </si>
  <si>
    <t>Mỹ Diện</t>
  </si>
  <si>
    <t>HD016619</t>
  </si>
  <si>
    <t>virhomes grand park tòa nhà s705 nguyễn xiển p long thạnh mỹ</t>
  </si>
  <si>
    <t>Thu Hiền (Hòa)</t>
  </si>
  <si>
    <t>HD016623</t>
  </si>
  <si>
    <t>73/50 Đình Phong Phú, p. Tăng Nhơn Phú B</t>
  </si>
  <si>
    <t>Bùi Thị Cẩm Dung (inst: zunzung99)</t>
  </si>
  <si>
    <t>HD016569</t>
  </si>
  <si>
    <t>Hảo Ngọc</t>
  </si>
  <si>
    <t>HD016263</t>
  </si>
  <si>
    <t>220b lê văn lương, P. Tân Hưng</t>
  </si>
  <si>
    <t>AT 27-04</t>
  </si>
  <si>
    <t>HD016010</t>
  </si>
  <si>
    <t>Suby Phạm</t>
  </si>
  <si>
    <t>HD016415</t>
  </si>
  <si>
    <t>16 đường 36 Tân quy</t>
  </si>
  <si>
    <t>Kim Anh Phạm</t>
  </si>
  <si>
    <t>HD015993</t>
  </si>
  <si>
    <t>16 cư xá bình minh, đường dương bá trạc, phường 1</t>
  </si>
  <si>
    <t>HD016476</t>
  </si>
  <si>
    <t>Shipping Mark PT: Srcyneth Min</t>
  </si>
  <si>
    <t>HD016360</t>
  </si>
  <si>
    <t>Nhà 39, Đường B4, Tây Thạnh, Tân Phú</t>
  </si>
  <si>
    <t>HD016301</t>
  </si>
  <si>
    <t>HD015955</t>
  </si>
  <si>
    <t>HD015903</t>
  </si>
  <si>
    <t>6/24 tân chánh hiệp 36, P trung mỹ tây</t>
  </si>
  <si>
    <t>HD015889</t>
  </si>
  <si>
    <t>Ái My</t>
  </si>
  <si>
    <t>HD015320</t>
  </si>
  <si>
    <t>82 bình long phường phú thạnh</t>
  </si>
  <si>
    <t>HD016112</t>
  </si>
  <si>
    <t>Hùng fb Hini Bie</t>
  </si>
  <si>
    <t>HD016199</t>
  </si>
  <si>
    <t>1 đường số 1, Tân kiểng</t>
  </si>
  <si>
    <t>bé đầm fb Ngân Phạm</t>
  </si>
  <si>
    <t>HD015858</t>
  </si>
  <si>
    <t>7 đường số 13a.khu phố 7, bình hưng hòa a</t>
  </si>
  <si>
    <t>Trân Trương</t>
  </si>
  <si>
    <t>HD016368</t>
  </si>
  <si>
    <t>511 trần xuân soạn phường tân kiểng</t>
  </si>
  <si>
    <t>Lê Kim Khỏe</t>
  </si>
  <si>
    <t>HD015848</t>
  </si>
  <si>
    <t>block C, Chung cư Conic Đông Nam Á, đường số 2, Xã Bình Hưng (Xã Phong Phú cũ)</t>
  </si>
  <si>
    <t>Hân Trương</t>
  </si>
  <si>
    <t>HD016007</t>
  </si>
  <si>
    <t>347/40B Minh Phụng, p2</t>
  </si>
  <si>
    <t>Nguyễn Trinh</t>
  </si>
  <si>
    <t>HD016185</t>
  </si>
  <si>
    <t>198/8 Dương Bá Trạc Phường Chánh Hưng</t>
  </si>
  <si>
    <t>Võ Thu Hà</t>
  </si>
  <si>
    <t>HD016679</t>
  </si>
  <si>
    <t>262/15 lũy bán bích, hòa thạch</t>
  </si>
  <si>
    <t>HD016331</t>
  </si>
  <si>
    <t>Cc cardinal tower B Phường Tân Phú</t>
  </si>
  <si>
    <t>HD016636</t>
  </si>
  <si>
    <t>Xuân Nghi</t>
  </si>
  <si>
    <t>HD016401</t>
  </si>
  <si>
    <t>116 lý chiêu hoàng, phường Bình Phú</t>
  </si>
  <si>
    <t>Pinky Nguyễn</t>
  </si>
  <si>
    <t>HD015827</t>
  </si>
  <si>
    <t>278 Hoà Bình, hiệp tân</t>
  </si>
  <si>
    <t>HD016687</t>
  </si>
  <si>
    <t>Kim Kim</t>
  </si>
  <si>
    <t>HD016265</t>
  </si>
  <si>
    <t>206 Tây Thạnh, P Tây Thạnh</t>
  </si>
  <si>
    <t>Phuong Thao</t>
  </si>
  <si>
    <t>HD016211</t>
  </si>
  <si>
    <t>126/5h song hành tân hiệp</t>
  </si>
  <si>
    <t>HD016630</t>
  </si>
  <si>
    <t>HD016631</t>
  </si>
  <si>
    <t>Huong Nguyễn</t>
  </si>
  <si>
    <t>HD016369</t>
  </si>
  <si>
    <t>182/9/5 đường 26/3 bình hưng hoà</t>
  </si>
  <si>
    <t>Tuyen Huynh</t>
  </si>
  <si>
    <t>HD016287</t>
  </si>
  <si>
    <t>185/9 nguyễn suý tân quý</t>
  </si>
  <si>
    <t>Minh Hai ( Bobay Laddavanh )</t>
  </si>
  <si>
    <t>HD016530</t>
  </si>
  <si>
    <t>17, đường số 13, bình hưng hoà</t>
  </si>
  <si>
    <t>kanchana Phnom Penh 017882879</t>
  </si>
  <si>
    <t>HD016585</t>
  </si>
  <si>
    <t>1610 võ văn kiệt bình tiền</t>
  </si>
  <si>
    <t>Kennith Phe Loong Biau</t>
  </si>
  <si>
    <t>HD016517</t>
  </si>
  <si>
    <t>Kennith Phe Loong Biau B2 Duong Số 20, Trung My Tay Ward</t>
  </si>
  <si>
    <t>Huế Vũ</t>
  </si>
  <si>
    <t>HD016682</t>
  </si>
  <si>
    <t>352/9 lê văn quới, phường bình hưng hòa</t>
  </si>
  <si>
    <t>Huỳnh Hương Nhi</t>
  </si>
  <si>
    <t>HD016644</t>
  </si>
  <si>
    <t>Số 17 đường số 13 phường bình hưng hoà</t>
  </si>
  <si>
    <t>nhận hộ anna</t>
  </si>
  <si>
    <t>HD016191</t>
  </si>
  <si>
    <t>A5-09 THE SILVER STAR, 1564 NGUYỄN HỮU THỌ, PHƯỚC KIỂN</t>
  </si>
  <si>
    <t>Hoài Yên - fb Truc Nguyen</t>
  </si>
  <si>
    <t>HD016617</t>
  </si>
  <si>
    <t>55/24/11 Thành Mỹ, P. Tân Hòa</t>
  </si>
  <si>
    <t>HD016102</t>
  </si>
  <si>
    <t>HD016108</t>
  </si>
  <si>
    <t>240/38/4 Tô ngọc vân, phường Thanh Xuân</t>
  </si>
  <si>
    <t>HD016319</t>
  </si>
  <si>
    <t>Khánh An Bùi</t>
  </si>
  <si>
    <t>HD016618</t>
  </si>
  <si>
    <t>64/18 ốp 2 đường Tân Liễu, xã Hưng Long</t>
  </si>
  <si>
    <t>Hý Hý</t>
  </si>
  <si>
    <t>HD016554</t>
  </si>
  <si>
    <t>424 mã lò, Bình Trị Đông A</t>
  </si>
  <si>
    <t>Trần Châu Yến Vy</t>
  </si>
  <si>
    <t>HD016317</t>
  </si>
  <si>
    <t>2B Mai Chí Thọ, Empire Tòa Tila</t>
  </si>
  <si>
    <t>Hoàng THỊ Diễm Quỳnh</t>
  </si>
  <si>
    <t>HD016105</t>
  </si>
  <si>
    <t>Khu Holm căn 21 145 Nguyễn Và Hưởng</t>
  </si>
  <si>
    <t>HD016276</t>
  </si>
  <si>
    <t>Landmark plus. 720a điện biên phủ. Phường 22</t>
  </si>
  <si>
    <t>HD016362</t>
  </si>
  <si>
    <t>Trần Thị Kim Giang</t>
  </si>
  <si>
    <t>HD016266</t>
  </si>
  <si>
    <t>234/674 lê đức thọ p6</t>
  </si>
  <si>
    <t>Tran Thanh (Sammy Mona)</t>
  </si>
  <si>
    <t>HD015142</t>
  </si>
  <si>
    <t>228/1/3 nguyễn thượng hiền, Phường 1</t>
  </si>
  <si>
    <t>Minh Hà Hana</t>
  </si>
  <si>
    <t>HD015716</t>
  </si>
  <si>
    <t>So 1 võ trường toản</t>
  </si>
  <si>
    <t>Hoài Thanh</t>
  </si>
  <si>
    <t>HD016113</t>
  </si>
  <si>
    <t>108/10 đường ngô chí quốc, p tam bình</t>
  </si>
  <si>
    <t>Thúy Hằng Trương</t>
  </si>
  <si>
    <t>HD016254</t>
  </si>
  <si>
    <t>26 hoàng diệu 2 phường linh chiểu</t>
  </si>
  <si>
    <t>Phan Thị Huyền My</t>
  </si>
  <si>
    <t>HD016110</t>
  </si>
  <si>
    <t>533/15 B lê đức thọ</t>
  </si>
  <si>
    <t>Chị Vy - Ib Phạm Thị Hồng Ngọc</t>
  </si>
  <si>
    <t>HD016018</t>
  </si>
  <si>
    <t>109 Chu Văn An, Phường 26</t>
  </si>
  <si>
    <t>Quynh Trang Hoang</t>
  </si>
  <si>
    <t>HD016602</t>
  </si>
  <si>
    <t>landmark 1- vinhome central park</t>
  </si>
  <si>
    <t>W3320</t>
  </si>
  <si>
    <t>HD016053</t>
  </si>
  <si>
    <t>Trần Trang</t>
  </si>
  <si>
    <t>HD016148</t>
  </si>
  <si>
    <t>T1 08 02, Chung cư Palm Heights, phường Bình Trưng</t>
  </si>
  <si>
    <t>Mị Nương nguyễn</t>
  </si>
  <si>
    <t>HD016064</t>
  </si>
  <si>
    <t>16 nguyễn Văn kinh Thạnh Mỹ Lợi</t>
  </si>
  <si>
    <t>Đặng ngọc thuỳ vân</t>
  </si>
  <si>
    <t>HD015121</t>
  </si>
  <si>
    <t>Chung cư an lộc1 p bình trưng</t>
  </si>
  <si>
    <t>Mai Phuong Nguyen</t>
  </si>
  <si>
    <t>HD016678</t>
  </si>
  <si>
    <t>626 Phan Văn Trị, phường Gò Vấp</t>
  </si>
  <si>
    <t>HD016550</t>
  </si>
  <si>
    <t>HD016692</t>
  </si>
  <si>
    <t>63/14 đường số 19 An Khánh</t>
  </si>
  <si>
    <t>nguyễn ngân</t>
  </si>
  <si>
    <t>HD016599</t>
  </si>
  <si>
    <t>411/93 lê đức thọ p17</t>
  </si>
  <si>
    <t>HD016290</t>
  </si>
  <si>
    <t>W3189</t>
  </si>
  <si>
    <t>HD016463</t>
  </si>
  <si>
    <t>HD016608</t>
  </si>
  <si>
    <t>Thao Doan</t>
  </si>
  <si>
    <t>HD016691</t>
  </si>
  <si>
    <t>81/64 Nguyễn Cửu Vân, p17</t>
  </si>
  <si>
    <t>HD015560</t>
  </si>
  <si>
    <t>29/08 nguyen van đậu. phuong binh loi trung</t>
  </si>
  <si>
    <t>HD016466</t>
  </si>
  <si>
    <t>Nguyễn My</t>
  </si>
  <si>
    <t>HD016488</t>
  </si>
  <si>
    <t>Căn 1803 Lô A, Chung Cư An Khang, phường An Phú</t>
  </si>
  <si>
    <t>Nguyệt -Nancy truong</t>
  </si>
  <si>
    <t>HD016556</t>
  </si>
  <si>
    <t>57 Nguyễn Quang Bích phường 13</t>
  </si>
  <si>
    <t>Charli ( Inst chari_Importshop )-EN2441</t>
  </si>
  <si>
    <t>HD016215</t>
  </si>
  <si>
    <t>163 Trương Thị Hoa, phương Tân Thới Hiệp</t>
  </si>
  <si>
    <t>401 Quang Trung f10</t>
  </si>
  <si>
    <t>HD016292</t>
  </si>
  <si>
    <t>Bông Bong</t>
  </si>
  <si>
    <t>HD016136</t>
  </si>
  <si>
    <t>số 31 Lê Hồng Phong, p4</t>
  </si>
  <si>
    <t>Nhật Lê Hin</t>
  </si>
  <si>
    <t>HD016217</t>
  </si>
  <si>
    <t>814 sư vạn hạnh</t>
  </si>
  <si>
    <t>Lam</t>
  </si>
  <si>
    <t>HD015857</t>
  </si>
  <si>
    <t>168/50 nguyễn cư trinh phường nguyễn cư trinh</t>
  </si>
  <si>
    <t>HD016312</t>
  </si>
  <si>
    <t>Chi Tel : 068968666 (inst -lefemaleboutique)</t>
  </si>
  <si>
    <t>HD015894</t>
  </si>
  <si>
    <t>nhà xe khải nam 367 hùng vương</t>
  </si>
  <si>
    <t>Triệu Như Huyền</t>
  </si>
  <si>
    <t>HD016038</t>
  </si>
  <si>
    <t>39 bến vân đồn</t>
  </si>
  <si>
    <t>Danh Hồng</t>
  </si>
  <si>
    <t>HD016192</t>
  </si>
  <si>
    <t>33 nguyễn văn giai p đakao</t>
  </si>
  <si>
    <t>Lam Ngọc Tuyết</t>
  </si>
  <si>
    <t>HD016416</t>
  </si>
  <si>
    <t>25 Nguyễn bỉnh khiêm phường ben nghe</t>
  </si>
  <si>
    <t>Nina Châu</t>
  </si>
  <si>
    <t>HD016235</t>
  </si>
  <si>
    <t>88/10/5 trần văn quang p10</t>
  </si>
  <si>
    <t>em xíu shiiny</t>
  </si>
  <si>
    <t>HD016293</t>
  </si>
  <si>
    <t>số 217 Đường bùi thị xuân phường 1</t>
  </si>
  <si>
    <t>Vu Hao Nhi</t>
  </si>
  <si>
    <t>HD016228</t>
  </si>
  <si>
    <t>30/43 đoàn văn bơ p9</t>
  </si>
  <si>
    <t>Mễ Mễ</t>
  </si>
  <si>
    <t>HD016245</t>
  </si>
  <si>
    <t>60b Nguyễn thông p9</t>
  </si>
  <si>
    <t>Trần Nguyễn Ánh Ngọc</t>
  </si>
  <si>
    <t>HD016376</t>
  </si>
  <si>
    <t>49 đương số 3 cư xá đô thành p4</t>
  </si>
  <si>
    <t>C30ST (inst-sth3a)</t>
  </si>
  <si>
    <t>HD016201</t>
  </si>
  <si>
    <t>270B Đường Lý Thường Kiệt, Khu Phố 1 Phường 6</t>
  </si>
  <si>
    <t>Ngân Lê</t>
  </si>
  <si>
    <t>HD016355</t>
  </si>
  <si>
    <t>358/2/2 CMT8</t>
  </si>
  <si>
    <t>HD016643</t>
  </si>
  <si>
    <t>623/43 CMT8 P15</t>
  </si>
  <si>
    <t>HIẾU (fb Huyen Nguyen}</t>
  </si>
  <si>
    <t>HD015871</t>
  </si>
  <si>
    <t>Gia Huy nhận của ILIS NGUYỄN ( singapore)</t>
  </si>
  <si>
    <t>HD016677</t>
  </si>
  <si>
    <t>2/11 Đường Thiên Phước, Phường 9</t>
  </si>
  <si>
    <t>Jenny Đoàn</t>
  </si>
  <si>
    <t>HD016652</t>
  </si>
  <si>
    <t>lô m3 chung cư tôn thất thuyết p1</t>
  </si>
  <si>
    <t>Trường Quanh</t>
  </si>
  <si>
    <t>HD016589</t>
  </si>
  <si>
    <t>26 lê văn sỹ, phường 11</t>
  </si>
  <si>
    <t>HD016335</t>
  </si>
  <si>
    <t>HD015670</t>
  </si>
  <si>
    <t>HD016058</t>
  </si>
  <si>
    <t>Kim Sky</t>
  </si>
  <si>
    <t>HD016086</t>
  </si>
  <si>
    <t>17/8 Lê Thánh Tôn phường Bến Nghé</t>
  </si>
  <si>
    <t>Thu Trần</t>
  </si>
  <si>
    <t>HD016454</t>
  </si>
  <si>
    <t>Khách sạn The Blue Airport 2, 37 Phan Thúc Duyện, Phường 4</t>
  </si>
  <si>
    <t>Mỹ Tâm</t>
  </si>
  <si>
    <t>HD016571</t>
  </si>
  <si>
    <t>342a cách mạng tháng tám</t>
  </si>
  <si>
    <t>Kim An</t>
  </si>
  <si>
    <t>HD016560</t>
  </si>
  <si>
    <t>14/27 Hoàng Dư Khương, phường 12</t>
  </si>
  <si>
    <t>____det____ insta Address: Phnom Penh NHÀ XE KHAI NAM</t>
  </si>
  <si>
    <t>HD016353</t>
  </si>
  <si>
    <t>Bánh Mì</t>
  </si>
  <si>
    <t>HD016473</t>
  </si>
  <si>
    <t>193/12 bà hat p vườn lài</t>
  </si>
  <si>
    <t>HD016264</t>
  </si>
  <si>
    <t>Cẩm Hiền Nguyễn</t>
  </si>
  <si>
    <t>HD016551</t>
  </si>
  <si>
    <t>số 94/10, Trần Khắc Chân, Phường 9</t>
  </si>
  <si>
    <t>Dii da</t>
  </si>
  <si>
    <t>HD016040</t>
  </si>
  <si>
    <t>Nhà Xe khải nam</t>
  </si>
  <si>
    <t>DARAVIN</t>
  </si>
  <si>
    <t>301 Phạm Ngũ Lão, phường Phạm Ngũ Lão</t>
  </si>
  <si>
    <t>VVIEVA</t>
  </si>
  <si>
    <t>Sapphire Tran</t>
  </si>
  <si>
    <t>HD016311</t>
  </si>
  <si>
    <t>The standard bình dương-p.tân khánh-kp khánh hội</t>
  </si>
  <si>
    <t>Nguyen Vo Tuong Vyy</t>
  </si>
  <si>
    <t>HD015830</t>
  </si>
  <si>
    <t>Số 13 đường 126 ấp 12 phú hoà đông</t>
  </si>
  <si>
    <t>cu chi</t>
  </si>
  <si>
    <t>HD016597</t>
  </si>
  <si>
    <t>Hienn Nguyen</t>
  </si>
  <si>
    <t>HD015994</t>
  </si>
  <si>
    <t>Số 9, khu phố 1a, phường chánh phú hoà</t>
  </si>
  <si>
    <t>NGAY 27-4</t>
  </si>
  <si>
    <t>đơn trả 27.4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</si>
</sst>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58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3" fontId="0" fillId="0" borderId="0" xfId="0" applyNumberFormat="1"/>
    <xf numFmtId="0" fontId="0" fillId="0" borderId="1" xfId="0" applyBorder="1"/>
    <xf numFmtId="3" fontId="0" fillId="0" borderId="1" xfId="0" applyNumberFormat="1" applyBorder="1"/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0" fontId="8" fillId="0" borderId="0" xfId="1" applyFont="1"/>
    <xf numFmtId="0" fontId="8" fillId="0" borderId="1" xfId="0" applyFont="1" applyBorder="1"/>
    <xf numFmtId="3" fontId="8" fillId="0" borderId="1" xfId="0" applyNumberFormat="1" applyFont="1" applyBorder="1"/>
    <xf numFmtId="0" fontId="8" fillId="2" borderId="1" xfId="0" applyFont="1" applyFill="1" applyBorder="1"/>
    <xf numFmtId="0" fontId="0" fillId="2" borderId="1" xfId="0" applyFill="1" applyBorder="1"/>
    <xf numFmtId="49" fontId="8" fillId="0" borderId="1" xfId="0" applyNumberFormat="1" applyFont="1" applyBorder="1"/>
    <xf numFmtId="3" fontId="0" fillId="8" borderId="0" xfId="0" applyNumberFormat="1" applyFill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9" fillId="10" borderId="1" xfId="0" applyFont="1" applyFill="1" applyBorder="1"/>
    <xf numFmtId="0" fontId="8" fillId="11" borderId="2" xfId="0" applyFont="1" applyFill="1" applyBorder="1"/>
    <xf numFmtId="3" fontId="10" fillId="0" borderId="1" xfId="0" applyNumberFormat="1" applyFont="1" applyBorder="1"/>
    <xf numFmtId="0" fontId="11" fillId="0" borderId="0" xfId="0" applyFont="1"/>
    <xf numFmtId="0" fontId="12" fillId="9" borderId="1" xfId="0" applyFont="1" applyFill="1" applyBorder="1"/>
    <xf numFmtId="3" fontId="12" fillId="9" borderId="1" xfId="0" applyNumberFormat="1" applyFont="1" applyFill="1" applyBorder="1"/>
    <xf numFmtId="0" fontId="12" fillId="2" borderId="1" xfId="0" applyFont="1" applyFill="1" applyBorder="1"/>
    <xf numFmtId="3" fontId="12" fillId="9" borderId="0" xfId="0" applyNumberFormat="1" applyFont="1" applyFill="1"/>
    <xf numFmtId="0" fontId="12" fillId="9" borderId="0" xfId="0" applyFont="1" applyFill="1"/>
    <xf numFmtId="0" fontId="8" fillId="9" borderId="1" xfId="0" applyFont="1" applyFill="1" applyBorder="1"/>
    <xf numFmtId="0" fontId="10" fillId="12" borderId="3" xfId="0" applyFont="1" applyFill="1" applyBorder="1"/>
    <xf numFmtId="3" fontId="10" fillId="0" borderId="3" xfId="0" applyNumberFormat="1" applyFont="1" applyBorder="1"/>
    <xf numFmtId="0" fontId="11" fillId="0" borderId="1" xfId="0" applyFont="1" applyBorder="1"/>
    <xf numFmtId="3" fontId="11" fillId="0" borderId="1" xfId="0" applyNumberFormat="1" applyFont="1" applyBorder="1"/>
    <xf numFmtId="0" fontId="12" fillId="2" borderId="1" xfId="1" applyFont="1" applyFill="1" applyBorder="1"/>
    <xf numFmtId="0" fontId="11" fillId="2" borderId="1" xfId="0" applyFont="1" applyFill="1" applyBorder="1"/>
    <xf numFmtId="0" fontId="10" fillId="0" borderId="1" xfId="0" applyFont="1" applyBorder="1"/>
    <xf numFmtId="0" fontId="2" fillId="9" borderId="0" xfId="1" applyFill="1"/>
    <xf numFmtId="0" fontId="11" fillId="9" borderId="0" xfId="0" applyFont="1" applyFill="1"/>
    <xf numFmtId="3" fontId="11" fillId="9" borderId="0" xfId="0" applyNumberFormat="1" applyFont="1" applyFill="1"/>
    <xf numFmtId="0" fontId="12" fillId="9" borderId="0" xfId="1" applyFont="1" applyFill="1"/>
    <xf numFmtId="3" fontId="0" fillId="0" borderId="1" xfId="0" quotePrefix="1" applyNumberFormat="1" applyBorder="1"/>
    <xf numFmtId="0" fontId="8" fillId="0" borderId="1" xfId="1" applyFont="1" applyBorder="1"/>
    <xf numFmtId="0" fontId="8" fillId="2" borderId="1" xfId="1" applyFont="1" applyFill="1" applyBorder="1"/>
    <xf numFmtId="0" fontId="12" fillId="0" borderId="1" xfId="1" applyFont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4BC43-3E96-403E-95A6-EB6F74A4AE2D}">
  <dimension ref="A1:R37"/>
  <sheetViews>
    <sheetView topLeftCell="A23" workbookViewId="0">
      <selection activeCell="C49" sqref="C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11" width="9.140625" style="1"/>
    <col min="12" max="12" width="12.28515625" style="1" bestFit="1" customWidth="1"/>
    <col min="13" max="16384" width="9.140625" style="1"/>
  </cols>
  <sheetData>
    <row r="1" spans="1:18" x14ac:dyDescent="0.25">
      <c r="B1" s="1" t="s">
        <v>31</v>
      </c>
      <c r="C1" s="1" t="s">
        <v>32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53</v>
      </c>
      <c r="D3" s="18" t="s">
        <v>54</v>
      </c>
      <c r="E3" s="18" t="s">
        <v>55</v>
      </c>
      <c r="F3" s="19">
        <v>9</v>
      </c>
      <c r="G3" s="19">
        <v>780</v>
      </c>
      <c r="H3" s="19">
        <v>30</v>
      </c>
      <c r="I3" s="19">
        <f>G3-H3</f>
        <v>750</v>
      </c>
      <c r="J3" s="18" t="s">
        <v>56</v>
      </c>
      <c r="K3" s="18" t="s">
        <v>15</v>
      </c>
      <c r="L3" s="18" t="s">
        <v>40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35</v>
      </c>
      <c r="D4" s="18" t="s">
        <v>36</v>
      </c>
      <c r="E4" s="18" t="s">
        <v>37</v>
      </c>
      <c r="F4" s="18" t="s">
        <v>38</v>
      </c>
      <c r="G4" s="19">
        <v>0</v>
      </c>
      <c r="H4" s="19">
        <v>30</v>
      </c>
      <c r="I4" s="19">
        <f>-H4</f>
        <v>-30</v>
      </c>
      <c r="J4" s="18" t="s">
        <v>39</v>
      </c>
      <c r="K4" s="18" t="s">
        <v>15</v>
      </c>
      <c r="L4" s="18" t="s">
        <v>40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41</v>
      </c>
      <c r="D5" s="18" t="s">
        <v>42</v>
      </c>
      <c r="E5" s="18" t="s">
        <v>43</v>
      </c>
      <c r="F5" s="19">
        <v>7</v>
      </c>
      <c r="G5" s="19">
        <v>850</v>
      </c>
      <c r="H5" s="19">
        <v>30</v>
      </c>
      <c r="I5" s="19">
        <f>G5-H5</f>
        <v>820</v>
      </c>
      <c r="J5" s="18" t="s">
        <v>39</v>
      </c>
      <c r="K5" s="18" t="s">
        <v>15</v>
      </c>
      <c r="L5" s="18" t="s">
        <v>40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44</v>
      </c>
      <c r="D6" s="18" t="s">
        <v>45</v>
      </c>
      <c r="E6" s="18" t="s">
        <v>46</v>
      </c>
      <c r="F6" s="19">
        <v>3</v>
      </c>
      <c r="G6" s="19">
        <v>695</v>
      </c>
      <c r="H6" s="19">
        <v>25</v>
      </c>
      <c r="I6" s="19">
        <f>G6-H6</f>
        <v>670</v>
      </c>
      <c r="J6" s="18" t="s">
        <v>39</v>
      </c>
      <c r="K6" s="18" t="s">
        <v>15</v>
      </c>
      <c r="L6" s="18" t="s">
        <v>40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47</v>
      </c>
      <c r="D7" s="18" t="s">
        <v>48</v>
      </c>
      <c r="E7" s="18" t="s">
        <v>49</v>
      </c>
      <c r="F7" s="19">
        <v>7</v>
      </c>
      <c r="G7" s="19">
        <v>740</v>
      </c>
      <c r="H7" s="19">
        <v>30</v>
      </c>
      <c r="I7" s="19">
        <f>G7-H7</f>
        <v>710</v>
      </c>
      <c r="J7" s="18" t="s">
        <v>39</v>
      </c>
      <c r="K7" s="18" t="s">
        <v>15</v>
      </c>
      <c r="L7" s="18" t="s">
        <v>40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60</v>
      </c>
      <c r="D8" s="18" t="s">
        <v>61</v>
      </c>
      <c r="E8" s="18" t="s">
        <v>62</v>
      </c>
      <c r="F8" s="18" t="s">
        <v>38</v>
      </c>
      <c r="G8" s="19">
        <v>610</v>
      </c>
      <c r="H8" s="19">
        <v>30</v>
      </c>
      <c r="I8" s="19">
        <f>G8-H8</f>
        <v>580</v>
      </c>
      <c r="J8" s="18" t="s">
        <v>39</v>
      </c>
      <c r="K8" s="18" t="s">
        <v>15</v>
      </c>
      <c r="L8" s="18" t="s">
        <v>40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63</v>
      </c>
      <c r="D9" s="18" t="s">
        <v>64</v>
      </c>
      <c r="E9" s="18" t="s">
        <v>65</v>
      </c>
      <c r="F9" s="19">
        <v>8</v>
      </c>
      <c r="G9" s="19">
        <v>0</v>
      </c>
      <c r="H9" s="19">
        <v>25</v>
      </c>
      <c r="I9" s="19">
        <f>-H9</f>
        <v>-25</v>
      </c>
      <c r="J9" s="18" t="s">
        <v>39</v>
      </c>
      <c r="K9" s="18" t="s">
        <v>15</v>
      </c>
      <c r="L9" s="18" t="s">
        <v>40</v>
      </c>
      <c r="M9" s="18"/>
      <c r="N9" s="18"/>
      <c r="O9" s="18"/>
      <c r="P9" s="18"/>
      <c r="Q9" s="18">
        <v>1</v>
      </c>
      <c r="R9" s="17">
        <f>H9</f>
        <v>25</v>
      </c>
    </row>
    <row r="10" spans="1:18" customFormat="1" x14ac:dyDescent="0.25">
      <c r="A10" s="18"/>
      <c r="B10" s="18" t="s">
        <v>34</v>
      </c>
      <c r="C10" s="18" t="s">
        <v>69</v>
      </c>
      <c r="D10" s="18" t="s">
        <v>70</v>
      </c>
      <c r="E10" s="18" t="s">
        <v>71</v>
      </c>
      <c r="F10" s="19">
        <v>12</v>
      </c>
      <c r="G10" s="19">
        <v>750</v>
      </c>
      <c r="H10" s="19">
        <v>30</v>
      </c>
      <c r="I10" s="19">
        <f t="shared" ref="I10:I15" si="0">G10-H10</f>
        <v>720</v>
      </c>
      <c r="J10" s="18" t="s">
        <v>39</v>
      </c>
      <c r="K10" s="18" t="s">
        <v>15</v>
      </c>
      <c r="L10" s="18" t="s">
        <v>40</v>
      </c>
      <c r="M10" s="18"/>
      <c r="N10" s="18"/>
      <c r="O10" s="18"/>
      <c r="P10" s="18"/>
      <c r="Q10" s="18">
        <v>1</v>
      </c>
    </row>
    <row r="11" spans="1:18" s="22" customFormat="1" x14ac:dyDescent="0.25">
      <c r="A11" s="20"/>
      <c r="B11" s="20" t="s">
        <v>34</v>
      </c>
      <c r="C11" s="20" t="s">
        <v>78</v>
      </c>
      <c r="D11" s="20" t="s">
        <v>79</v>
      </c>
      <c r="E11" s="20" t="s">
        <v>80</v>
      </c>
      <c r="F11" s="21">
        <v>7</v>
      </c>
      <c r="G11" s="21">
        <v>30</v>
      </c>
      <c r="H11" s="21">
        <v>30</v>
      </c>
      <c r="I11" s="21">
        <f t="shared" si="0"/>
        <v>0</v>
      </c>
      <c r="J11" s="20" t="s">
        <v>39</v>
      </c>
      <c r="K11" s="20" t="s">
        <v>15</v>
      </c>
      <c r="L11" s="20" t="s">
        <v>40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81</v>
      </c>
      <c r="D12" s="18" t="s">
        <v>82</v>
      </c>
      <c r="E12" s="18" t="s">
        <v>83</v>
      </c>
      <c r="F12" s="19">
        <v>7</v>
      </c>
      <c r="G12" s="19">
        <v>1640</v>
      </c>
      <c r="H12" s="19">
        <v>30</v>
      </c>
      <c r="I12" s="19">
        <f t="shared" si="0"/>
        <v>1610</v>
      </c>
      <c r="J12" s="18" t="s">
        <v>39</v>
      </c>
      <c r="K12" s="18" t="s">
        <v>15</v>
      </c>
      <c r="L12" s="18" t="s">
        <v>40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84</v>
      </c>
      <c r="D13" s="18" t="s">
        <v>85</v>
      </c>
      <c r="E13" s="18" t="s">
        <v>86</v>
      </c>
      <c r="F13" s="19">
        <v>12</v>
      </c>
      <c r="G13" s="19">
        <v>590</v>
      </c>
      <c r="H13" s="19">
        <v>30</v>
      </c>
      <c r="I13" s="19">
        <f t="shared" si="0"/>
        <v>560</v>
      </c>
      <c r="J13" s="18" t="s">
        <v>39</v>
      </c>
      <c r="K13" s="18" t="s">
        <v>15</v>
      </c>
      <c r="L13" s="18" t="s">
        <v>40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87</v>
      </c>
      <c r="D14" s="18" t="s">
        <v>88</v>
      </c>
      <c r="E14" s="18" t="s">
        <v>89</v>
      </c>
      <c r="F14" s="19">
        <v>7</v>
      </c>
      <c r="G14" s="19">
        <v>850</v>
      </c>
      <c r="H14" s="19">
        <v>30</v>
      </c>
      <c r="I14" s="19">
        <f t="shared" si="0"/>
        <v>820</v>
      </c>
      <c r="J14" s="18" t="s">
        <v>39</v>
      </c>
      <c r="K14" s="18" t="s">
        <v>15</v>
      </c>
      <c r="L14" s="18" t="s">
        <v>40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</v>
      </c>
      <c r="D15" s="18" t="s">
        <v>94</v>
      </c>
      <c r="E15" s="18" t="s">
        <v>95</v>
      </c>
      <c r="F15" s="18" t="s">
        <v>38</v>
      </c>
      <c r="G15" s="19">
        <v>820</v>
      </c>
      <c r="H15" s="19">
        <v>30</v>
      </c>
      <c r="I15" s="19">
        <f t="shared" si="0"/>
        <v>790</v>
      </c>
      <c r="J15" s="18" t="s">
        <v>39</v>
      </c>
      <c r="K15" s="18" t="s">
        <v>15</v>
      </c>
      <c r="L15" s="18" t="s">
        <v>40</v>
      </c>
      <c r="M15" s="18"/>
      <c r="N15" s="18"/>
      <c r="O15" s="18"/>
      <c r="P15" s="18"/>
      <c r="Q15" s="18">
        <v>1</v>
      </c>
    </row>
    <row r="16" spans="1:18" customFormat="1" x14ac:dyDescent="0.25">
      <c r="A16" s="18" t="s">
        <v>96</v>
      </c>
      <c r="B16" s="18" t="s">
        <v>34</v>
      </c>
      <c r="C16" s="18" t="s">
        <v>99</v>
      </c>
      <c r="D16" s="18"/>
      <c r="E16" s="18" t="s">
        <v>100</v>
      </c>
      <c r="F16" s="19">
        <v>6</v>
      </c>
      <c r="G16" s="19">
        <v>0</v>
      </c>
      <c r="H16" s="19">
        <v>30</v>
      </c>
      <c r="I16" s="19">
        <f>-H16</f>
        <v>-30</v>
      </c>
      <c r="J16" s="18" t="s">
        <v>39</v>
      </c>
      <c r="K16" s="18" t="s">
        <v>15</v>
      </c>
      <c r="L16" s="18" t="s">
        <v>40</v>
      </c>
      <c r="M16" s="18"/>
      <c r="N16" s="18"/>
      <c r="O16" s="18"/>
      <c r="P16" s="18"/>
      <c r="Q16" s="18">
        <v>1</v>
      </c>
      <c r="R16" s="17">
        <f t="shared" ref="R16:R17" si="1">H16</f>
        <v>30</v>
      </c>
    </row>
    <row r="17" spans="1:18" customFormat="1" x14ac:dyDescent="0.25">
      <c r="A17" s="18"/>
      <c r="B17" s="18" t="s">
        <v>34</v>
      </c>
      <c r="C17" s="18" t="s">
        <v>50</v>
      </c>
      <c r="D17" s="18" t="s">
        <v>51</v>
      </c>
      <c r="E17" s="18" t="s">
        <v>52</v>
      </c>
      <c r="F17" s="18" t="s">
        <v>19</v>
      </c>
      <c r="G17" s="19">
        <v>0</v>
      </c>
      <c r="H17" s="19">
        <v>20</v>
      </c>
      <c r="I17" s="19">
        <f>-H17</f>
        <v>-20</v>
      </c>
      <c r="J17" s="18" t="s">
        <v>15</v>
      </c>
      <c r="K17" s="18" t="s">
        <v>15</v>
      </c>
      <c r="L17" s="18" t="s">
        <v>40</v>
      </c>
      <c r="M17" s="18"/>
      <c r="N17" s="18"/>
      <c r="O17" s="18"/>
      <c r="P17" s="18"/>
      <c r="Q17" s="18">
        <v>1</v>
      </c>
      <c r="R17" s="17">
        <f t="shared" si="1"/>
        <v>20</v>
      </c>
    </row>
    <row r="18" spans="1:18" customFormat="1" x14ac:dyDescent="0.25">
      <c r="A18" s="18"/>
      <c r="B18" s="18" t="s">
        <v>34</v>
      </c>
      <c r="C18" s="18" t="s">
        <v>57</v>
      </c>
      <c r="D18" s="18" t="s">
        <v>58</v>
      </c>
      <c r="E18" s="18" t="s">
        <v>59</v>
      </c>
      <c r="F18" s="18" t="s">
        <v>20</v>
      </c>
      <c r="G18" s="19">
        <v>615</v>
      </c>
      <c r="H18" s="19">
        <v>25</v>
      </c>
      <c r="I18" s="19">
        <f>G18-H18</f>
        <v>590</v>
      </c>
      <c r="J18" s="18" t="s">
        <v>15</v>
      </c>
      <c r="K18" s="18" t="s">
        <v>15</v>
      </c>
      <c r="L18" s="18" t="s">
        <v>40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66</v>
      </c>
      <c r="D19" s="18" t="s">
        <v>67</v>
      </c>
      <c r="E19" s="18" t="s">
        <v>68</v>
      </c>
      <c r="F19" s="19">
        <v>1</v>
      </c>
      <c r="G19" s="19">
        <v>845</v>
      </c>
      <c r="H19" s="19">
        <v>25</v>
      </c>
      <c r="I19" s="19">
        <f>G19-H19</f>
        <v>820</v>
      </c>
      <c r="J19" s="18" t="s">
        <v>15</v>
      </c>
      <c r="K19" s="18" t="s">
        <v>15</v>
      </c>
      <c r="L19" s="18" t="s">
        <v>40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72</v>
      </c>
      <c r="D20" s="18" t="s">
        <v>73</v>
      </c>
      <c r="E20" s="18" t="s">
        <v>74</v>
      </c>
      <c r="F20" s="18" t="s">
        <v>19</v>
      </c>
      <c r="G20" s="19">
        <v>1630</v>
      </c>
      <c r="H20" s="19">
        <v>20</v>
      </c>
      <c r="I20" s="19">
        <f>G20-H20</f>
        <v>1610</v>
      </c>
      <c r="J20" s="18" t="s">
        <v>15</v>
      </c>
      <c r="K20" s="18" t="s">
        <v>15</v>
      </c>
      <c r="L20" s="18" t="s">
        <v>40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75</v>
      </c>
      <c r="D21" s="18" t="s">
        <v>76</v>
      </c>
      <c r="E21" s="18" t="s">
        <v>77</v>
      </c>
      <c r="F21" s="19">
        <v>3</v>
      </c>
      <c r="G21" s="19">
        <v>405</v>
      </c>
      <c r="H21" s="19">
        <v>25</v>
      </c>
      <c r="I21" s="19">
        <f>G21-H21</f>
        <v>380</v>
      </c>
      <c r="J21" s="18" t="s">
        <v>15</v>
      </c>
      <c r="K21" s="18" t="s">
        <v>15</v>
      </c>
      <c r="L21" s="18" t="s">
        <v>40</v>
      </c>
      <c r="M21" s="18"/>
      <c r="N21" s="18"/>
      <c r="O21" s="18"/>
      <c r="P21" s="18"/>
      <c r="Q21" s="18">
        <v>1</v>
      </c>
    </row>
    <row r="22" spans="1:18" s="22" customFormat="1" x14ac:dyDescent="0.25">
      <c r="A22" s="20"/>
      <c r="B22" s="20" t="s">
        <v>34</v>
      </c>
      <c r="C22" s="20" t="s">
        <v>90</v>
      </c>
      <c r="D22" s="20" t="s">
        <v>91</v>
      </c>
      <c r="E22" s="20" t="s">
        <v>92</v>
      </c>
      <c r="F22" s="20" t="s">
        <v>17</v>
      </c>
      <c r="G22" s="21">
        <v>20</v>
      </c>
      <c r="H22" s="21">
        <v>20</v>
      </c>
      <c r="I22" s="21">
        <f>G22-H22</f>
        <v>0</v>
      </c>
      <c r="J22" s="20" t="s">
        <v>15</v>
      </c>
      <c r="K22" s="20" t="s">
        <v>15</v>
      </c>
      <c r="L22" s="20" t="s">
        <v>40</v>
      </c>
      <c r="M22" s="20" t="s">
        <v>16</v>
      </c>
      <c r="N22" s="20"/>
      <c r="O22" s="20"/>
      <c r="P22" s="20"/>
      <c r="Q22" s="20">
        <v>1</v>
      </c>
    </row>
    <row r="23" spans="1:18" customFormat="1" x14ac:dyDescent="0.25">
      <c r="A23" s="18" t="s">
        <v>96</v>
      </c>
      <c r="B23" s="18" t="s">
        <v>34</v>
      </c>
      <c r="C23" s="18" t="s">
        <v>97</v>
      </c>
      <c r="D23" s="18"/>
      <c r="E23" s="18" t="s">
        <v>98</v>
      </c>
      <c r="F23" s="18" t="s">
        <v>18</v>
      </c>
      <c r="G23" s="19">
        <v>0</v>
      </c>
      <c r="H23" s="19">
        <v>30</v>
      </c>
      <c r="I23" s="19">
        <f>-H23</f>
        <v>-30</v>
      </c>
      <c r="J23" s="18" t="s">
        <v>15</v>
      </c>
      <c r="K23" s="18" t="s">
        <v>15</v>
      </c>
      <c r="L23" s="18" t="s">
        <v>40</v>
      </c>
      <c r="M23" s="18"/>
      <c r="N23" s="18"/>
      <c r="O23" s="18"/>
      <c r="P23" s="18"/>
      <c r="Q23" s="18">
        <v>1</v>
      </c>
      <c r="R23" s="17">
        <f>H23</f>
        <v>30</v>
      </c>
    </row>
    <row r="25" spans="1:18" x14ac:dyDescent="0.25">
      <c r="G25" s="1">
        <f t="shared" ref="G25:R25" si="2">SUBTOTAL(9,G3:G24)</f>
        <v>11870</v>
      </c>
      <c r="H25" s="1">
        <f t="shared" si="2"/>
        <v>575</v>
      </c>
      <c r="I25" s="1">
        <f t="shared" si="2"/>
        <v>11295</v>
      </c>
      <c r="J25" s="1">
        <f t="shared" si="2"/>
        <v>0</v>
      </c>
      <c r="K25" s="1">
        <f t="shared" si="2"/>
        <v>0</v>
      </c>
      <c r="L25" s="1">
        <f t="shared" si="2"/>
        <v>0</v>
      </c>
      <c r="M25" s="1">
        <f t="shared" si="2"/>
        <v>0</v>
      </c>
      <c r="N25" s="1">
        <f t="shared" si="2"/>
        <v>0</v>
      </c>
      <c r="O25" s="1">
        <f t="shared" si="2"/>
        <v>0</v>
      </c>
      <c r="P25" s="1">
        <f t="shared" si="2"/>
        <v>0</v>
      </c>
      <c r="Q25" s="1">
        <f t="shared" si="2"/>
        <v>21</v>
      </c>
      <c r="R25" s="1">
        <f t="shared" si="2"/>
        <v>135</v>
      </c>
    </row>
    <row r="29" spans="1:18" ht="20.25" customHeight="1" x14ac:dyDescent="0.3">
      <c r="H29" s="4" t="s">
        <v>33</v>
      </c>
      <c r="I29" s="5" t="s">
        <v>21</v>
      </c>
      <c r="J29" s="6" t="s">
        <v>22</v>
      </c>
    </row>
    <row r="30" spans="1:18" ht="15.75" customHeight="1" x14ac:dyDescent="0.25">
      <c r="H30" s="7" t="s">
        <v>23</v>
      </c>
      <c r="I30" s="8">
        <f>SUM(I24:I28)</f>
        <v>11295</v>
      </c>
      <c r="J30" s="8">
        <f>Q25</f>
        <v>21</v>
      </c>
    </row>
    <row r="31" spans="1:18" x14ac:dyDescent="0.25">
      <c r="H31" s="9" t="s">
        <v>24</v>
      </c>
      <c r="I31" s="10">
        <f>R25</f>
        <v>135</v>
      </c>
      <c r="J31" s="11"/>
    </row>
    <row r="32" spans="1:18" x14ac:dyDescent="0.25">
      <c r="H32" s="9" t="s">
        <v>25</v>
      </c>
      <c r="I32" s="10">
        <f>S24</f>
        <v>0</v>
      </c>
      <c r="J32" s="11"/>
    </row>
    <row r="33" spans="8:10" x14ac:dyDescent="0.25">
      <c r="H33" s="9" t="s">
        <v>26</v>
      </c>
      <c r="I33" s="10">
        <f>T24</f>
        <v>0</v>
      </c>
      <c r="J33" s="11"/>
    </row>
    <row r="34" spans="8:10" x14ac:dyDescent="0.25">
      <c r="H34" s="9" t="s">
        <v>27</v>
      </c>
      <c r="I34" s="10">
        <f>U24</f>
        <v>0</v>
      </c>
      <c r="J34" s="11"/>
    </row>
    <row r="35" spans="8:10" ht="15.75" customHeight="1" x14ac:dyDescent="0.25">
      <c r="H35" s="12" t="s">
        <v>28</v>
      </c>
      <c r="I35" s="13"/>
      <c r="J35" s="13"/>
    </row>
    <row r="36" spans="8:10" ht="15.75" customHeight="1" x14ac:dyDescent="0.25">
      <c r="H36" s="14" t="s">
        <v>29</v>
      </c>
      <c r="I36" s="13"/>
      <c r="J36" s="13"/>
    </row>
    <row r="37" spans="8:10" ht="21" customHeight="1" x14ac:dyDescent="0.35">
      <c r="H37" s="15" t="s">
        <v>30</v>
      </c>
      <c r="I37" s="16">
        <f>SUM(I30:I36)</f>
        <v>11430</v>
      </c>
      <c r="J37" s="16">
        <f>SUM(J30:J34)</f>
        <v>21</v>
      </c>
    </row>
  </sheetData>
  <autoFilter ref="A2:P23" xr:uid="{00000000-0009-0000-0000-000006000000}">
    <sortState xmlns:xlrd2="http://schemas.microsoft.com/office/spreadsheetml/2017/richdata2" ref="A3:P23">
      <sortCondition ref="I2:I2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43"/>
  <sheetViews>
    <sheetView zoomScale="82" zoomScaleNormal="80" workbookViewId="0">
      <selection activeCell="A7" sqref="A7:XFD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102</v>
      </c>
      <c r="C1" s="1" t="s">
        <v>103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2" customFormat="1" x14ac:dyDescent="0.25">
      <c r="A3" s="20"/>
      <c r="B3" s="20" t="s">
        <v>34</v>
      </c>
      <c r="C3" s="20" t="s">
        <v>105</v>
      </c>
      <c r="D3" s="20" t="s">
        <v>106</v>
      </c>
      <c r="E3" s="20" t="s">
        <v>107</v>
      </c>
      <c r="F3" s="20" t="s">
        <v>108</v>
      </c>
      <c r="G3" s="21">
        <v>35</v>
      </c>
      <c r="H3" s="21">
        <v>35</v>
      </c>
      <c r="I3" s="21">
        <f t="shared" ref="I3:I24" si="0">G3-H3</f>
        <v>0</v>
      </c>
      <c r="J3" s="20" t="s">
        <v>109</v>
      </c>
      <c r="K3" s="20" t="s">
        <v>15</v>
      </c>
      <c r="L3" s="20" t="s">
        <v>110</v>
      </c>
      <c r="M3" s="20" t="s">
        <v>16</v>
      </c>
      <c r="N3" s="20"/>
      <c r="O3" s="20"/>
      <c r="P3" s="20"/>
      <c r="Q3" s="20">
        <v>1</v>
      </c>
    </row>
    <row r="4" spans="1:18" customFormat="1" x14ac:dyDescent="0.25">
      <c r="A4" s="18"/>
      <c r="B4" s="18" t="s">
        <v>34</v>
      </c>
      <c r="C4" s="18" t="s">
        <v>111</v>
      </c>
      <c r="D4" s="18" t="s">
        <v>112</v>
      </c>
      <c r="E4" s="18" t="s">
        <v>113</v>
      </c>
      <c r="F4" s="18" t="s">
        <v>38</v>
      </c>
      <c r="G4" s="19">
        <v>870</v>
      </c>
      <c r="H4" s="19">
        <v>30</v>
      </c>
      <c r="I4" s="19">
        <f t="shared" si="0"/>
        <v>840</v>
      </c>
      <c r="J4" s="18" t="s">
        <v>109</v>
      </c>
      <c r="K4" s="18" t="s">
        <v>15</v>
      </c>
      <c r="L4" s="18" t="s">
        <v>110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114</v>
      </c>
      <c r="D5" s="18" t="s">
        <v>115</v>
      </c>
      <c r="E5" s="18" t="s">
        <v>116</v>
      </c>
      <c r="F5" s="19">
        <v>8</v>
      </c>
      <c r="G5" s="19">
        <v>0</v>
      </c>
      <c r="H5" s="19">
        <v>25</v>
      </c>
      <c r="I5" s="19">
        <f t="shared" si="0"/>
        <v>-25</v>
      </c>
      <c r="J5" s="18" t="s">
        <v>109</v>
      </c>
      <c r="K5" s="18" t="s">
        <v>15</v>
      </c>
      <c r="L5" s="18" t="s">
        <v>110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117</v>
      </c>
      <c r="D6" s="18" t="s">
        <v>118</v>
      </c>
      <c r="E6" s="18" t="s">
        <v>119</v>
      </c>
      <c r="F6" s="19">
        <v>7</v>
      </c>
      <c r="G6" s="19">
        <v>650</v>
      </c>
      <c r="H6" s="19">
        <v>30</v>
      </c>
      <c r="I6" s="19">
        <f t="shared" si="0"/>
        <v>620</v>
      </c>
      <c r="J6" s="18" t="s">
        <v>109</v>
      </c>
      <c r="K6" s="18" t="s">
        <v>15</v>
      </c>
      <c r="L6" s="18" t="s">
        <v>110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120</v>
      </c>
      <c r="D7" s="18" t="s">
        <v>121</v>
      </c>
      <c r="E7" s="18" t="s">
        <v>122</v>
      </c>
      <c r="F7" s="18" t="s">
        <v>123</v>
      </c>
      <c r="G7" s="19">
        <v>0</v>
      </c>
      <c r="H7" s="19">
        <v>35</v>
      </c>
      <c r="I7" s="19">
        <f t="shared" si="0"/>
        <v>-35</v>
      </c>
      <c r="J7" s="18" t="s">
        <v>109</v>
      </c>
      <c r="K7" s="18" t="s">
        <v>15</v>
      </c>
      <c r="L7" s="18" t="s">
        <v>110</v>
      </c>
      <c r="M7" s="27" t="s">
        <v>151</v>
      </c>
      <c r="N7" s="18"/>
      <c r="O7" s="18"/>
      <c r="P7" s="18"/>
      <c r="Q7" s="18">
        <v>1</v>
      </c>
      <c r="R7" s="17">
        <f>H7</f>
        <v>35</v>
      </c>
    </row>
    <row r="8" spans="1:18" customFormat="1" x14ac:dyDescent="0.25">
      <c r="A8" s="18"/>
      <c r="B8" s="18" t="s">
        <v>34</v>
      </c>
      <c r="C8" s="18" t="s">
        <v>124</v>
      </c>
      <c r="D8" s="18" t="s">
        <v>125</v>
      </c>
      <c r="E8" s="18" t="s">
        <v>126</v>
      </c>
      <c r="F8" s="19">
        <v>7</v>
      </c>
      <c r="G8" s="19">
        <v>740</v>
      </c>
      <c r="H8" s="19">
        <v>30</v>
      </c>
      <c r="I8" s="19">
        <f t="shared" si="0"/>
        <v>710</v>
      </c>
      <c r="J8" s="18" t="s">
        <v>109</v>
      </c>
      <c r="K8" s="18" t="s">
        <v>15</v>
      </c>
      <c r="L8" s="18" t="s">
        <v>110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127</v>
      </c>
      <c r="D9" s="18" t="s">
        <v>128</v>
      </c>
      <c r="E9" s="18" t="s">
        <v>129</v>
      </c>
      <c r="F9" s="18" t="s">
        <v>38</v>
      </c>
      <c r="G9" s="19">
        <v>770</v>
      </c>
      <c r="H9" s="19">
        <v>30</v>
      </c>
      <c r="I9" s="19">
        <f t="shared" si="0"/>
        <v>740</v>
      </c>
      <c r="J9" s="18" t="s">
        <v>109</v>
      </c>
      <c r="K9" s="18" t="s">
        <v>15</v>
      </c>
      <c r="L9" s="18" t="s">
        <v>110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148</v>
      </c>
      <c r="D10" s="18" t="s">
        <v>149</v>
      </c>
      <c r="E10" s="18" t="s">
        <v>150</v>
      </c>
      <c r="F10" s="18" t="s">
        <v>19</v>
      </c>
      <c r="G10" s="19">
        <v>0</v>
      </c>
      <c r="H10" s="19">
        <v>20</v>
      </c>
      <c r="I10" s="19">
        <f t="shared" si="0"/>
        <v>-20</v>
      </c>
      <c r="J10" s="18" t="s">
        <v>15</v>
      </c>
      <c r="K10" s="18" t="s">
        <v>15</v>
      </c>
      <c r="L10" s="18" t="s">
        <v>110</v>
      </c>
      <c r="M10" s="1"/>
      <c r="N10" s="18"/>
      <c r="O10" s="18"/>
      <c r="P10" s="18"/>
      <c r="Q10" s="18">
        <v>1</v>
      </c>
      <c r="R10" s="17">
        <f>H10</f>
        <v>20</v>
      </c>
    </row>
    <row r="11" spans="1:18" customFormat="1" x14ac:dyDescent="0.25">
      <c r="A11" s="18" t="s">
        <v>96</v>
      </c>
      <c r="B11" s="18" t="s">
        <v>34</v>
      </c>
      <c r="C11" s="18" t="s">
        <v>130</v>
      </c>
      <c r="D11" s="18"/>
      <c r="E11" s="18" t="s">
        <v>131</v>
      </c>
      <c r="F11" s="19">
        <v>6</v>
      </c>
      <c r="G11" s="19">
        <v>70</v>
      </c>
      <c r="H11" s="19">
        <v>70</v>
      </c>
      <c r="I11" s="19">
        <f t="shared" si="0"/>
        <v>0</v>
      </c>
      <c r="J11" s="18" t="s">
        <v>15</v>
      </c>
      <c r="K11" s="18" t="s">
        <v>15</v>
      </c>
      <c r="L11" s="18" t="s">
        <v>110</v>
      </c>
      <c r="M11" s="18"/>
      <c r="N11" s="18"/>
      <c r="O11" s="18"/>
      <c r="P11" s="18"/>
      <c r="Q11" s="18">
        <v>1</v>
      </c>
      <c r="R11" s="17"/>
    </row>
    <row r="12" spans="1:18" customFormat="1" x14ac:dyDescent="0.25">
      <c r="A12" s="18" t="s">
        <v>96</v>
      </c>
      <c r="B12" s="18" t="s">
        <v>34</v>
      </c>
      <c r="C12" s="18" t="s">
        <v>132</v>
      </c>
      <c r="D12" s="18"/>
      <c r="E12" s="18" t="s">
        <v>133</v>
      </c>
      <c r="F12" s="19">
        <v>12</v>
      </c>
      <c r="G12" s="19">
        <v>30</v>
      </c>
      <c r="H12" s="19">
        <v>30</v>
      </c>
      <c r="I12" s="19">
        <f t="shared" si="0"/>
        <v>0</v>
      </c>
      <c r="J12" s="18" t="s">
        <v>15</v>
      </c>
      <c r="K12" s="18" t="s">
        <v>15</v>
      </c>
      <c r="L12" s="18" t="s">
        <v>110</v>
      </c>
      <c r="M12" s="18"/>
      <c r="N12" s="18"/>
      <c r="O12" s="18"/>
      <c r="P12" s="18"/>
      <c r="Q12" s="18">
        <v>1</v>
      </c>
    </row>
    <row r="13" spans="1:18" customFormat="1" x14ac:dyDescent="0.25">
      <c r="A13" s="18" t="s">
        <v>96</v>
      </c>
      <c r="B13" s="18" t="s">
        <v>34</v>
      </c>
      <c r="C13" s="18" t="s">
        <v>134</v>
      </c>
      <c r="D13" s="18"/>
      <c r="E13" s="18" t="s">
        <v>135</v>
      </c>
      <c r="F13" s="18" t="s">
        <v>20</v>
      </c>
      <c r="G13" s="19">
        <v>30</v>
      </c>
      <c r="H13" s="19">
        <v>30</v>
      </c>
      <c r="I13" s="19">
        <f t="shared" si="0"/>
        <v>0</v>
      </c>
      <c r="J13" s="18" t="s">
        <v>15</v>
      </c>
      <c r="K13" s="18" t="s">
        <v>15</v>
      </c>
      <c r="L13" s="18" t="s">
        <v>110</v>
      </c>
      <c r="M13" s="18"/>
      <c r="N13" s="18"/>
      <c r="O13" s="18"/>
      <c r="P13" s="18"/>
      <c r="Q13" s="18">
        <v>1</v>
      </c>
    </row>
    <row r="14" spans="1:18" customFormat="1" x14ac:dyDescent="0.25">
      <c r="A14" s="18" t="s">
        <v>96</v>
      </c>
      <c r="B14" s="18" t="s">
        <v>34</v>
      </c>
      <c r="C14" s="18" t="s">
        <v>136</v>
      </c>
      <c r="D14" s="18"/>
      <c r="E14" s="18" t="s">
        <v>137</v>
      </c>
      <c r="F14" s="18" t="s">
        <v>18</v>
      </c>
      <c r="G14" s="19">
        <v>530</v>
      </c>
      <c r="H14" s="19">
        <v>30</v>
      </c>
      <c r="I14" s="19">
        <f t="shared" si="0"/>
        <v>500</v>
      </c>
      <c r="J14" s="18" t="s">
        <v>15</v>
      </c>
      <c r="K14" s="18" t="s">
        <v>15</v>
      </c>
      <c r="L14" s="18" t="s">
        <v>110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138</v>
      </c>
      <c r="D15" s="18" t="s">
        <v>139</v>
      </c>
      <c r="E15" s="18" t="s">
        <v>140</v>
      </c>
      <c r="F15" s="18" t="s">
        <v>19</v>
      </c>
      <c r="G15" s="19">
        <v>740</v>
      </c>
      <c r="H15" s="19">
        <v>20</v>
      </c>
      <c r="I15" s="19">
        <f t="shared" si="0"/>
        <v>720</v>
      </c>
      <c r="J15" s="18" t="s">
        <v>15</v>
      </c>
      <c r="K15" s="18" t="s">
        <v>15</v>
      </c>
      <c r="L15" s="18" t="s">
        <v>110</v>
      </c>
      <c r="M15" s="18"/>
      <c r="N15" s="18"/>
      <c r="O15" s="18"/>
      <c r="P15" s="18"/>
      <c r="Q15" s="18">
        <v>1</v>
      </c>
      <c r="R15" s="17"/>
    </row>
    <row r="16" spans="1:18" customFormat="1" x14ac:dyDescent="0.25">
      <c r="A16" s="18"/>
      <c r="B16" s="18" t="s">
        <v>34</v>
      </c>
      <c r="C16" s="18" t="s">
        <v>141</v>
      </c>
      <c r="D16" s="18" t="s">
        <v>142</v>
      </c>
      <c r="E16" s="18" t="s">
        <v>143</v>
      </c>
      <c r="F16" s="18" t="s">
        <v>144</v>
      </c>
      <c r="G16" s="19">
        <v>0</v>
      </c>
      <c r="H16" s="19">
        <v>30</v>
      </c>
      <c r="I16" s="19">
        <f t="shared" si="0"/>
        <v>-30</v>
      </c>
      <c r="J16" s="18" t="s">
        <v>15</v>
      </c>
      <c r="K16" s="18" t="s">
        <v>15</v>
      </c>
      <c r="L16" s="18" t="s">
        <v>110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145</v>
      </c>
      <c r="D17" s="18" t="s">
        <v>146</v>
      </c>
      <c r="E17" s="18" t="s">
        <v>147</v>
      </c>
      <c r="F17" s="18" t="s">
        <v>19</v>
      </c>
      <c r="G17" s="19">
        <v>510</v>
      </c>
      <c r="H17" s="19">
        <v>20</v>
      </c>
      <c r="I17" s="19">
        <f t="shared" si="0"/>
        <v>490</v>
      </c>
      <c r="J17" s="18" t="s">
        <v>15</v>
      </c>
      <c r="K17" s="18" t="s">
        <v>15</v>
      </c>
      <c r="L17" s="18" t="s">
        <v>110</v>
      </c>
      <c r="M17" s="18"/>
      <c r="N17" s="18"/>
      <c r="O17" s="18"/>
      <c r="P17" s="18"/>
      <c r="Q17" s="18">
        <v>1</v>
      </c>
      <c r="R17" s="17">
        <f>H17</f>
        <v>20</v>
      </c>
    </row>
    <row r="18" spans="1:18" customFormat="1" x14ac:dyDescent="0.25">
      <c r="A18" s="18"/>
      <c r="B18" s="18" t="s">
        <v>34</v>
      </c>
      <c r="C18" s="18" t="s">
        <v>152</v>
      </c>
      <c r="D18" s="18" t="s">
        <v>153</v>
      </c>
      <c r="E18" s="18" t="s">
        <v>154</v>
      </c>
      <c r="F18" s="18" t="s">
        <v>20</v>
      </c>
      <c r="G18" s="19">
        <v>745</v>
      </c>
      <c r="H18" s="19">
        <v>25</v>
      </c>
      <c r="I18" s="19">
        <f t="shared" si="0"/>
        <v>720</v>
      </c>
      <c r="J18" s="18" t="s">
        <v>15</v>
      </c>
      <c r="K18" s="18" t="s">
        <v>15</v>
      </c>
      <c r="L18" s="18" t="s">
        <v>110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155</v>
      </c>
      <c r="D19" s="18" t="s">
        <v>156</v>
      </c>
      <c r="E19" s="18" t="s">
        <v>157</v>
      </c>
      <c r="F19" s="18" t="s">
        <v>19</v>
      </c>
      <c r="G19" s="19">
        <v>0</v>
      </c>
      <c r="H19" s="19">
        <v>20</v>
      </c>
      <c r="I19" s="19">
        <f t="shared" si="0"/>
        <v>-20</v>
      </c>
      <c r="J19" s="18" t="s">
        <v>15</v>
      </c>
      <c r="K19" s="18" t="s">
        <v>15</v>
      </c>
      <c r="L19" s="18" t="s">
        <v>110</v>
      </c>
      <c r="M19" s="18"/>
      <c r="N19" s="18"/>
      <c r="O19" s="18"/>
      <c r="P19" s="18"/>
      <c r="Q19" s="18">
        <v>1</v>
      </c>
      <c r="R19" s="17">
        <f>H19</f>
        <v>20</v>
      </c>
    </row>
    <row r="20" spans="1:18" customFormat="1" x14ac:dyDescent="0.25">
      <c r="A20" s="18" t="s">
        <v>96</v>
      </c>
      <c r="B20" s="18" t="s">
        <v>34</v>
      </c>
      <c r="C20" s="18" t="s">
        <v>158</v>
      </c>
      <c r="D20" s="18"/>
      <c r="E20" s="18" t="s">
        <v>159</v>
      </c>
      <c r="F20" s="18" t="s">
        <v>18</v>
      </c>
      <c r="G20" s="19">
        <v>30</v>
      </c>
      <c r="H20" s="19">
        <v>30</v>
      </c>
      <c r="I20" s="19">
        <f t="shared" si="0"/>
        <v>0</v>
      </c>
      <c r="J20" s="18" t="s">
        <v>160</v>
      </c>
      <c r="K20" s="18" t="s">
        <v>15</v>
      </c>
      <c r="L20" s="18" t="s">
        <v>110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161</v>
      </c>
      <c r="D21" s="18" t="s">
        <v>162</v>
      </c>
      <c r="E21" s="18" t="s">
        <v>163</v>
      </c>
      <c r="F21" s="19">
        <v>1</v>
      </c>
      <c r="G21" s="19">
        <v>695</v>
      </c>
      <c r="H21" s="19">
        <v>25</v>
      </c>
      <c r="I21" s="19">
        <f t="shared" si="0"/>
        <v>670</v>
      </c>
      <c r="J21" s="18" t="s">
        <v>160</v>
      </c>
      <c r="K21" s="18" t="s">
        <v>15</v>
      </c>
      <c r="L21" s="18" t="s">
        <v>110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134</v>
      </c>
      <c r="D22" s="18" t="s">
        <v>164</v>
      </c>
      <c r="E22" s="18" t="s">
        <v>165</v>
      </c>
      <c r="F22" s="19">
        <v>10</v>
      </c>
      <c r="G22" s="19">
        <v>775</v>
      </c>
      <c r="H22" s="19">
        <v>25</v>
      </c>
      <c r="I22" s="19">
        <f t="shared" si="0"/>
        <v>750</v>
      </c>
      <c r="J22" s="18" t="s">
        <v>160</v>
      </c>
      <c r="K22" s="18" t="s">
        <v>15</v>
      </c>
      <c r="L22" s="18" t="s">
        <v>110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166</v>
      </c>
      <c r="D23" s="18" t="s">
        <v>167</v>
      </c>
      <c r="E23" s="18" t="s">
        <v>168</v>
      </c>
      <c r="F23" s="19">
        <v>1</v>
      </c>
      <c r="G23" s="19">
        <v>0</v>
      </c>
      <c r="H23" s="19">
        <v>25</v>
      </c>
      <c r="I23" s="19">
        <f t="shared" si="0"/>
        <v>-25</v>
      </c>
      <c r="J23" s="18" t="s">
        <v>160</v>
      </c>
      <c r="K23" s="18" t="s">
        <v>15</v>
      </c>
      <c r="L23" s="18" t="s">
        <v>110</v>
      </c>
      <c r="M23" s="27" t="s">
        <v>169</v>
      </c>
      <c r="N23" s="18"/>
      <c r="O23" s="18"/>
      <c r="P23" s="18"/>
      <c r="Q23" s="18">
        <v>1</v>
      </c>
      <c r="R23" s="17">
        <f>H23</f>
        <v>25</v>
      </c>
    </row>
    <row r="24" spans="1:18" customFormat="1" x14ac:dyDescent="0.25">
      <c r="A24" s="18"/>
      <c r="B24" s="18" t="s">
        <v>34</v>
      </c>
      <c r="C24" s="18" t="s">
        <v>170</v>
      </c>
      <c r="D24" s="18" t="s">
        <v>171</v>
      </c>
      <c r="E24" s="18" t="s">
        <v>172</v>
      </c>
      <c r="F24" s="19">
        <v>1</v>
      </c>
      <c r="G24" s="19">
        <v>695</v>
      </c>
      <c r="H24" s="19">
        <v>25</v>
      </c>
      <c r="I24" s="19">
        <f t="shared" si="0"/>
        <v>670</v>
      </c>
      <c r="J24" s="18" t="s">
        <v>160</v>
      </c>
      <c r="K24" s="18" t="s">
        <v>15</v>
      </c>
      <c r="L24" s="18" t="s">
        <v>110</v>
      </c>
      <c r="M24" s="18"/>
      <c r="N24" s="18"/>
      <c r="O24" s="18"/>
      <c r="P24" s="18"/>
      <c r="Q24" s="18">
        <v>1</v>
      </c>
    </row>
    <row r="26" spans="1:18" x14ac:dyDescent="0.25">
      <c r="G26" s="1">
        <f t="shared" ref="G26:R26" si="1">SUBTOTAL(9,G3:G25)</f>
        <v>7915</v>
      </c>
      <c r="H26" s="1">
        <f t="shared" si="1"/>
        <v>640</v>
      </c>
      <c r="I26" s="1">
        <f t="shared" si="1"/>
        <v>7275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  <c r="R26" s="1">
        <f t="shared" si="1"/>
        <v>175</v>
      </c>
    </row>
    <row r="30" spans="1:18" ht="20.25" customHeight="1" x14ac:dyDescent="0.3">
      <c r="H30" s="4" t="s">
        <v>104</v>
      </c>
      <c r="I30" s="5" t="s">
        <v>21</v>
      </c>
      <c r="J30" s="6" t="s">
        <v>22</v>
      </c>
    </row>
    <row r="31" spans="1:18" ht="15.75" customHeight="1" x14ac:dyDescent="0.25">
      <c r="H31" s="7" t="s">
        <v>23</v>
      </c>
      <c r="I31" s="8">
        <f>SUM(I25:I29)</f>
        <v>7275</v>
      </c>
      <c r="J31" s="8">
        <f>Q26</f>
        <v>22</v>
      </c>
    </row>
    <row r="32" spans="1:18" x14ac:dyDescent="0.25">
      <c r="H32" s="9" t="s">
        <v>24</v>
      </c>
      <c r="I32" s="10">
        <f>R26</f>
        <v>175</v>
      </c>
      <c r="J32" s="11"/>
    </row>
    <row r="33" spans="1:12" x14ac:dyDescent="0.25">
      <c r="H33" s="9" t="s">
        <v>25</v>
      </c>
      <c r="I33" s="10">
        <f>S25</f>
        <v>0</v>
      </c>
      <c r="J33" s="11"/>
    </row>
    <row r="34" spans="1:12" x14ac:dyDescent="0.25">
      <c r="H34" s="9" t="s">
        <v>26</v>
      </c>
      <c r="I34" s="10">
        <f>T25</f>
        <v>0</v>
      </c>
      <c r="J34" s="11"/>
    </row>
    <row r="35" spans="1:12" x14ac:dyDescent="0.25">
      <c r="H35" s="9" t="s">
        <v>27</v>
      </c>
      <c r="I35" s="10">
        <f>U25</f>
        <v>0</v>
      </c>
      <c r="J35" s="11"/>
    </row>
    <row r="36" spans="1:12" ht="15.75" customHeight="1" x14ac:dyDescent="0.25">
      <c r="H36" s="12" t="s">
        <v>28</v>
      </c>
      <c r="I36" s="13"/>
      <c r="J36" s="13"/>
    </row>
    <row r="37" spans="1:12" ht="15.75" customHeight="1" x14ac:dyDescent="0.25">
      <c r="H37" s="14" t="s">
        <v>29</v>
      </c>
      <c r="I37" s="13"/>
      <c r="J37" s="13"/>
    </row>
    <row r="38" spans="1:12" ht="21" customHeight="1" x14ac:dyDescent="0.35">
      <c r="H38" s="15" t="s">
        <v>30</v>
      </c>
      <c r="I38" s="16">
        <f>SUM(I31:I37)</f>
        <v>7450</v>
      </c>
      <c r="J38" s="16">
        <f>SUM(J31:J35)</f>
        <v>22</v>
      </c>
    </row>
    <row r="41" spans="1:12" x14ac:dyDescent="0.25">
      <c r="A41" s="1" t="s">
        <v>173</v>
      </c>
    </row>
    <row r="42" spans="1:12" s="23" customFormat="1" x14ac:dyDescent="0.25">
      <c r="A42" s="24" t="s">
        <v>34</v>
      </c>
      <c r="B42" s="24" t="s">
        <v>120</v>
      </c>
      <c r="C42" s="24" t="s">
        <v>121</v>
      </c>
      <c r="D42" s="24" t="s">
        <v>122</v>
      </c>
      <c r="E42" s="24" t="s">
        <v>123</v>
      </c>
      <c r="F42" s="25">
        <v>1215</v>
      </c>
      <c r="G42" s="25">
        <v>0</v>
      </c>
      <c r="H42" s="25">
        <v>1215</v>
      </c>
      <c r="I42" s="24" t="s">
        <v>109</v>
      </c>
      <c r="J42" s="24" t="s">
        <v>15</v>
      </c>
      <c r="K42" s="24" t="s">
        <v>110</v>
      </c>
      <c r="L42" s="26" t="s">
        <v>151</v>
      </c>
    </row>
    <row r="43" spans="1:12" s="23" customFormat="1" x14ac:dyDescent="0.25">
      <c r="A43" s="24" t="s">
        <v>34</v>
      </c>
      <c r="B43" s="24" t="s">
        <v>166</v>
      </c>
      <c r="C43" s="24" t="s">
        <v>167</v>
      </c>
      <c r="D43" s="24" t="s">
        <v>168</v>
      </c>
      <c r="E43" s="28">
        <v>1</v>
      </c>
      <c r="F43" s="25">
        <v>895</v>
      </c>
      <c r="G43" s="25">
        <v>0</v>
      </c>
      <c r="H43" s="25">
        <f t="shared" ref="H43" si="2">F43-G43</f>
        <v>895</v>
      </c>
      <c r="I43" s="24" t="s">
        <v>160</v>
      </c>
      <c r="J43" s="24" t="s">
        <v>15</v>
      </c>
      <c r="K43" s="24" t="s">
        <v>110</v>
      </c>
      <c r="L43" s="26" t="s">
        <v>169</v>
      </c>
    </row>
  </sheetData>
  <autoFilter ref="A2:P24" xr:uid="{00000000-0009-0000-0000-000006000000}">
    <sortState xmlns:xlrd2="http://schemas.microsoft.com/office/spreadsheetml/2017/richdata2" ref="A3:P24">
      <sortCondition ref="J2:J24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306D0-4329-426B-9A19-17DF9E896AD6}">
  <dimension ref="A1:R67"/>
  <sheetViews>
    <sheetView topLeftCell="A20" workbookViewId="0">
      <selection activeCell="H34" sqref="H34:H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316</v>
      </c>
      <c r="C1" s="1" t="s">
        <v>317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174</v>
      </c>
      <c r="D3" s="18" t="s">
        <v>175</v>
      </c>
      <c r="E3" s="18" t="s">
        <v>176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56</v>
      </c>
      <c r="K3" s="18" t="s">
        <v>15</v>
      </c>
      <c r="L3" s="18" t="s">
        <v>177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178</v>
      </c>
      <c r="D4" s="18" t="s">
        <v>179</v>
      </c>
      <c r="E4" s="18" t="s">
        <v>180</v>
      </c>
      <c r="F4" s="19">
        <v>9</v>
      </c>
      <c r="G4" s="19">
        <v>920</v>
      </c>
      <c r="H4" s="19">
        <v>30</v>
      </c>
      <c r="I4" s="19">
        <f t="shared" ref="I4:I53" si="0">G4-H4</f>
        <v>890</v>
      </c>
      <c r="J4" s="18" t="s">
        <v>56</v>
      </c>
      <c r="K4" s="18" t="s">
        <v>15</v>
      </c>
      <c r="L4" s="18" t="s">
        <v>177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181</v>
      </c>
      <c r="D5" s="18" t="s">
        <v>182</v>
      </c>
      <c r="E5" s="18" t="s">
        <v>183</v>
      </c>
      <c r="F5" s="19">
        <v>9</v>
      </c>
      <c r="G5" s="19">
        <v>0</v>
      </c>
      <c r="H5" s="19">
        <v>30</v>
      </c>
      <c r="I5" s="19">
        <f t="shared" si="0"/>
        <v>-30</v>
      </c>
      <c r="J5" s="18" t="s">
        <v>56</v>
      </c>
      <c r="K5" s="18" t="s">
        <v>15</v>
      </c>
      <c r="L5" s="18" t="s">
        <v>177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184</v>
      </c>
      <c r="D6" s="18" t="s">
        <v>185</v>
      </c>
      <c r="E6" s="18" t="s">
        <v>186</v>
      </c>
      <c r="F6" s="19">
        <v>9</v>
      </c>
      <c r="G6" s="19">
        <v>690</v>
      </c>
      <c r="H6" s="19">
        <v>30</v>
      </c>
      <c r="I6" s="19">
        <f t="shared" si="0"/>
        <v>660</v>
      </c>
      <c r="J6" s="18" t="s">
        <v>56</v>
      </c>
      <c r="K6" s="18" t="s">
        <v>15</v>
      </c>
      <c r="L6" s="18" t="s">
        <v>177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187</v>
      </c>
      <c r="D7" s="18" t="s">
        <v>188</v>
      </c>
      <c r="E7" s="18" t="s">
        <v>189</v>
      </c>
      <c r="F7" s="19">
        <v>5</v>
      </c>
      <c r="G7" s="19">
        <v>20</v>
      </c>
      <c r="H7" s="19">
        <v>20</v>
      </c>
      <c r="I7" s="19">
        <f t="shared" si="0"/>
        <v>0</v>
      </c>
      <c r="J7" s="18" t="s">
        <v>190</v>
      </c>
      <c r="K7" s="18" t="s">
        <v>15</v>
      </c>
      <c r="L7" s="18" t="s">
        <v>177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191</v>
      </c>
      <c r="D8" s="18" t="s">
        <v>192</v>
      </c>
      <c r="E8" s="18" t="s">
        <v>193</v>
      </c>
      <c r="F8" s="19">
        <v>12</v>
      </c>
      <c r="G8" s="19">
        <v>820</v>
      </c>
      <c r="H8" s="19">
        <v>30</v>
      </c>
      <c r="I8" s="19">
        <f t="shared" si="0"/>
        <v>790</v>
      </c>
      <c r="J8" s="18" t="s">
        <v>190</v>
      </c>
      <c r="K8" s="18" t="s">
        <v>15</v>
      </c>
      <c r="L8" s="18" t="s">
        <v>177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194</v>
      </c>
      <c r="D9" s="18" t="s">
        <v>195</v>
      </c>
      <c r="E9" s="18" t="s">
        <v>196</v>
      </c>
      <c r="F9" s="19">
        <v>7</v>
      </c>
      <c r="G9" s="19">
        <v>1330</v>
      </c>
      <c r="H9" s="19">
        <v>30</v>
      </c>
      <c r="I9" s="19">
        <f t="shared" si="0"/>
        <v>1300</v>
      </c>
      <c r="J9" s="18" t="s">
        <v>190</v>
      </c>
      <c r="K9" s="18" t="s">
        <v>15</v>
      </c>
      <c r="L9" s="18" t="s">
        <v>177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197</v>
      </c>
      <c r="D10" s="18" t="s">
        <v>198</v>
      </c>
      <c r="E10" s="18" t="s">
        <v>199</v>
      </c>
      <c r="F10" s="18" t="s">
        <v>18</v>
      </c>
      <c r="G10" s="19">
        <v>375</v>
      </c>
      <c r="H10" s="19">
        <v>25</v>
      </c>
      <c r="I10" s="19">
        <f t="shared" si="0"/>
        <v>350</v>
      </c>
      <c r="J10" s="18" t="s">
        <v>190</v>
      </c>
      <c r="K10" s="18" t="s">
        <v>15</v>
      </c>
      <c r="L10" s="18" t="s">
        <v>177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200</v>
      </c>
      <c r="D11" s="18" t="s">
        <v>201</v>
      </c>
      <c r="E11" s="18" t="s">
        <v>202</v>
      </c>
      <c r="F11" s="19">
        <v>7</v>
      </c>
      <c r="G11" s="19">
        <v>850</v>
      </c>
      <c r="H11" s="19">
        <v>30</v>
      </c>
      <c r="I11" s="19">
        <f t="shared" si="0"/>
        <v>820</v>
      </c>
      <c r="J11" s="18" t="s">
        <v>190</v>
      </c>
      <c r="K11" s="18" t="s">
        <v>15</v>
      </c>
      <c r="L11" s="18" t="s">
        <v>177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203</v>
      </c>
      <c r="D12" s="18" t="s">
        <v>204</v>
      </c>
      <c r="E12" s="18" t="s">
        <v>205</v>
      </c>
      <c r="F12" s="19">
        <v>12</v>
      </c>
      <c r="G12" s="19">
        <v>380</v>
      </c>
      <c r="H12" s="19">
        <v>30</v>
      </c>
      <c r="I12" s="19">
        <f t="shared" si="0"/>
        <v>350</v>
      </c>
      <c r="J12" s="18" t="s">
        <v>190</v>
      </c>
      <c r="K12" s="18" t="s">
        <v>15</v>
      </c>
      <c r="L12" s="18" t="s">
        <v>177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206</v>
      </c>
      <c r="D13" s="18" t="s">
        <v>207</v>
      </c>
      <c r="E13" s="18" t="s">
        <v>208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190</v>
      </c>
      <c r="K13" s="18" t="s">
        <v>15</v>
      </c>
      <c r="L13" s="18" t="s">
        <v>177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209</v>
      </c>
      <c r="D14" s="18" t="s">
        <v>210</v>
      </c>
      <c r="E14" s="18" t="s">
        <v>211</v>
      </c>
      <c r="F14" s="18" t="s">
        <v>212</v>
      </c>
      <c r="G14" s="19">
        <v>365</v>
      </c>
      <c r="H14" s="19">
        <v>25</v>
      </c>
      <c r="I14" s="19">
        <f t="shared" si="0"/>
        <v>340</v>
      </c>
      <c r="J14" s="18" t="s">
        <v>190</v>
      </c>
      <c r="K14" s="18" t="s">
        <v>15</v>
      </c>
      <c r="L14" s="18" t="s">
        <v>177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213</v>
      </c>
      <c r="D15" s="18" t="s">
        <v>214</v>
      </c>
      <c r="E15" s="18" t="s">
        <v>215</v>
      </c>
      <c r="F15" s="19">
        <v>8</v>
      </c>
      <c r="G15" s="19">
        <v>1460</v>
      </c>
      <c r="H15" s="19">
        <v>30</v>
      </c>
      <c r="I15" s="19">
        <f t="shared" si="0"/>
        <v>1430</v>
      </c>
      <c r="J15" s="18" t="s">
        <v>190</v>
      </c>
      <c r="K15" s="18" t="s">
        <v>15</v>
      </c>
      <c r="L15" s="18" t="s">
        <v>177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216</v>
      </c>
      <c r="D16" s="18" t="s">
        <v>217</v>
      </c>
      <c r="E16" s="18" t="s">
        <v>218</v>
      </c>
      <c r="F16" s="19">
        <v>8</v>
      </c>
      <c r="G16" s="19">
        <v>1440</v>
      </c>
      <c r="H16" s="19">
        <v>30</v>
      </c>
      <c r="I16" s="19">
        <f t="shared" si="0"/>
        <v>1410</v>
      </c>
      <c r="J16" s="18" t="s">
        <v>190</v>
      </c>
      <c r="K16" s="18" t="s">
        <v>15</v>
      </c>
      <c r="L16" s="18" t="s">
        <v>177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219</v>
      </c>
      <c r="D17" s="18" t="s">
        <v>220</v>
      </c>
      <c r="E17" s="18" t="s">
        <v>221</v>
      </c>
      <c r="F17" s="19">
        <v>10</v>
      </c>
      <c r="G17" s="19">
        <v>375</v>
      </c>
      <c r="H17" s="19">
        <v>25</v>
      </c>
      <c r="I17" s="19">
        <f t="shared" si="0"/>
        <v>350</v>
      </c>
      <c r="J17" s="18" t="s">
        <v>190</v>
      </c>
      <c r="K17" s="18" t="s">
        <v>15</v>
      </c>
      <c r="L17" s="18" t="s">
        <v>177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222</v>
      </c>
      <c r="D18" s="18" t="s">
        <v>223</v>
      </c>
      <c r="E18" s="18" t="s">
        <v>224</v>
      </c>
      <c r="F18" s="19">
        <v>10</v>
      </c>
      <c r="G18" s="19">
        <v>745</v>
      </c>
      <c r="H18" s="19">
        <v>25</v>
      </c>
      <c r="I18" s="19">
        <f t="shared" si="0"/>
        <v>720</v>
      </c>
      <c r="J18" s="18" t="s">
        <v>190</v>
      </c>
      <c r="K18" s="18" t="s">
        <v>15</v>
      </c>
      <c r="L18" s="18" t="s">
        <v>177</v>
      </c>
      <c r="M18" s="18"/>
      <c r="N18" s="18"/>
      <c r="O18" s="18"/>
      <c r="P18" s="18"/>
      <c r="Q18" s="18">
        <v>1</v>
      </c>
    </row>
    <row r="19" spans="1:18" s="22" customFormat="1" x14ac:dyDescent="0.25">
      <c r="A19" s="20"/>
      <c r="B19" s="20" t="s">
        <v>34</v>
      </c>
      <c r="C19" s="20" t="s">
        <v>225</v>
      </c>
      <c r="D19" s="20" t="s">
        <v>226</v>
      </c>
      <c r="E19" s="20" t="s">
        <v>227</v>
      </c>
      <c r="F19" s="21">
        <v>5</v>
      </c>
      <c r="G19" s="21">
        <v>30</v>
      </c>
      <c r="H19" s="21">
        <v>30</v>
      </c>
      <c r="I19" s="21">
        <f t="shared" si="0"/>
        <v>0</v>
      </c>
      <c r="J19" s="20" t="s">
        <v>190</v>
      </c>
      <c r="K19" s="20" t="s">
        <v>15</v>
      </c>
      <c r="L19" s="20" t="s">
        <v>177</v>
      </c>
      <c r="M19" s="20" t="s">
        <v>16</v>
      </c>
      <c r="N19" s="20"/>
      <c r="O19" s="20"/>
      <c r="P19" s="20"/>
      <c r="Q19" s="20">
        <v>1</v>
      </c>
    </row>
    <row r="20" spans="1:18" customFormat="1" x14ac:dyDescent="0.25">
      <c r="A20" s="18"/>
      <c r="B20" s="18" t="s">
        <v>34</v>
      </c>
      <c r="C20" s="18" t="s">
        <v>228</v>
      </c>
      <c r="D20" s="18" t="s">
        <v>229</v>
      </c>
      <c r="E20" s="18" t="s">
        <v>230</v>
      </c>
      <c r="F20" s="18" t="s">
        <v>123</v>
      </c>
      <c r="G20" s="19">
        <v>695</v>
      </c>
      <c r="H20" s="19">
        <v>35</v>
      </c>
      <c r="I20" s="19">
        <f t="shared" si="0"/>
        <v>660</v>
      </c>
      <c r="J20" s="18" t="s">
        <v>190</v>
      </c>
      <c r="K20" s="18" t="s">
        <v>15</v>
      </c>
      <c r="L20" s="18" t="s">
        <v>177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231</v>
      </c>
      <c r="D21" s="18" t="s">
        <v>232</v>
      </c>
      <c r="E21" s="18" t="s">
        <v>233</v>
      </c>
      <c r="F21" s="19">
        <v>10</v>
      </c>
      <c r="G21" s="19">
        <v>765</v>
      </c>
      <c r="H21" s="19">
        <v>25</v>
      </c>
      <c r="I21" s="19">
        <f t="shared" si="0"/>
        <v>740</v>
      </c>
      <c r="J21" s="18" t="s">
        <v>190</v>
      </c>
      <c r="K21" s="18" t="s">
        <v>15</v>
      </c>
      <c r="L21" s="18" t="s">
        <v>177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234</v>
      </c>
      <c r="D22" s="18" t="s">
        <v>235</v>
      </c>
      <c r="E22" s="18" t="s">
        <v>236</v>
      </c>
      <c r="F22" s="19">
        <v>1</v>
      </c>
      <c r="G22" s="19">
        <v>680</v>
      </c>
      <c r="H22" s="19">
        <v>20</v>
      </c>
      <c r="I22" s="19">
        <f t="shared" si="0"/>
        <v>660</v>
      </c>
      <c r="J22" s="18" t="s">
        <v>190</v>
      </c>
      <c r="K22" s="18" t="s">
        <v>15</v>
      </c>
      <c r="L22" s="18" t="s">
        <v>177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237</v>
      </c>
      <c r="D23" s="18" t="s">
        <v>238</v>
      </c>
      <c r="E23" s="18" t="s">
        <v>239</v>
      </c>
      <c r="F23" s="19">
        <v>10</v>
      </c>
      <c r="G23" s="19">
        <v>815</v>
      </c>
      <c r="H23" s="19">
        <v>25</v>
      </c>
      <c r="I23" s="19">
        <f t="shared" si="0"/>
        <v>790</v>
      </c>
      <c r="J23" s="18" t="s">
        <v>190</v>
      </c>
      <c r="K23" s="18" t="s">
        <v>15</v>
      </c>
      <c r="L23" s="18" t="s">
        <v>177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191</v>
      </c>
      <c r="D24" s="18" t="s">
        <v>240</v>
      </c>
      <c r="E24" s="18" t="s">
        <v>241</v>
      </c>
      <c r="F24" s="19">
        <v>12</v>
      </c>
      <c r="G24" s="19">
        <v>690</v>
      </c>
      <c r="H24" s="19">
        <v>30</v>
      </c>
      <c r="I24" s="19">
        <f t="shared" si="0"/>
        <v>660</v>
      </c>
      <c r="J24" s="18" t="s">
        <v>190</v>
      </c>
      <c r="K24" s="18" t="s">
        <v>15</v>
      </c>
      <c r="L24" s="18" t="s">
        <v>177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242</v>
      </c>
      <c r="D25" s="18" t="s">
        <v>243</v>
      </c>
      <c r="E25" s="18" t="s">
        <v>244</v>
      </c>
      <c r="F25" s="18" t="s">
        <v>123</v>
      </c>
      <c r="G25" s="19">
        <v>765</v>
      </c>
      <c r="H25" s="19">
        <v>35</v>
      </c>
      <c r="I25" s="19">
        <f t="shared" si="0"/>
        <v>730</v>
      </c>
      <c r="J25" s="18" t="s">
        <v>190</v>
      </c>
      <c r="K25" s="18" t="s">
        <v>15</v>
      </c>
      <c r="L25" s="18" t="s">
        <v>177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245</v>
      </c>
      <c r="D26" s="18" t="s">
        <v>246</v>
      </c>
      <c r="E26" s="18" t="s">
        <v>247</v>
      </c>
      <c r="F26" s="18" t="s">
        <v>38</v>
      </c>
      <c r="G26" s="19">
        <v>690</v>
      </c>
      <c r="H26" s="19">
        <v>30</v>
      </c>
      <c r="I26" s="19">
        <f t="shared" si="0"/>
        <v>660</v>
      </c>
      <c r="J26" s="18" t="s">
        <v>190</v>
      </c>
      <c r="K26" s="18" t="s">
        <v>15</v>
      </c>
      <c r="L26" s="18" t="s">
        <v>177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248</v>
      </c>
      <c r="D27" s="18" t="s">
        <v>249</v>
      </c>
      <c r="E27" s="18" t="s">
        <v>250</v>
      </c>
      <c r="F27" s="19">
        <v>7</v>
      </c>
      <c r="G27" s="19">
        <v>890</v>
      </c>
      <c r="H27" s="19">
        <v>30</v>
      </c>
      <c r="I27" s="19">
        <f t="shared" si="0"/>
        <v>860</v>
      </c>
      <c r="J27" s="18" t="s">
        <v>190</v>
      </c>
      <c r="K27" s="18" t="s">
        <v>15</v>
      </c>
      <c r="L27" s="18" t="s">
        <v>177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251</v>
      </c>
      <c r="D28" s="18" t="s">
        <v>252</v>
      </c>
      <c r="E28" s="18" t="s">
        <v>253</v>
      </c>
      <c r="F28" s="18" t="s">
        <v>254</v>
      </c>
      <c r="G28" s="19">
        <v>695</v>
      </c>
      <c r="H28" s="19">
        <v>35</v>
      </c>
      <c r="I28" s="19">
        <f t="shared" si="0"/>
        <v>660</v>
      </c>
      <c r="J28" s="18" t="s">
        <v>190</v>
      </c>
      <c r="K28" s="18" t="s">
        <v>15</v>
      </c>
      <c r="L28" s="18" t="s">
        <v>177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255</v>
      </c>
      <c r="D29" s="18" t="s">
        <v>256</v>
      </c>
      <c r="E29" s="18" t="s">
        <v>257</v>
      </c>
      <c r="F29" s="19">
        <v>8</v>
      </c>
      <c r="G29" s="19">
        <v>845</v>
      </c>
      <c r="H29" s="19">
        <v>25</v>
      </c>
      <c r="I29" s="19">
        <f t="shared" si="0"/>
        <v>820</v>
      </c>
      <c r="J29" s="18" t="s">
        <v>190</v>
      </c>
      <c r="K29" s="18" t="s">
        <v>15</v>
      </c>
      <c r="L29" s="18" t="s">
        <v>177</v>
      </c>
      <c r="M29" s="18"/>
      <c r="N29" s="18"/>
      <c r="O29" s="18"/>
      <c r="P29" s="18"/>
      <c r="Q29" s="18">
        <v>1</v>
      </c>
    </row>
    <row r="30" spans="1:18" customFormat="1" x14ac:dyDescent="0.25">
      <c r="A30" s="18" t="s">
        <v>96</v>
      </c>
      <c r="B30" s="18" t="s">
        <v>34</v>
      </c>
      <c r="C30" s="18" t="s">
        <v>99</v>
      </c>
      <c r="D30" s="18"/>
      <c r="E30" s="18" t="s">
        <v>100</v>
      </c>
      <c r="F30" s="19">
        <v>6</v>
      </c>
      <c r="G30" s="19">
        <v>0</v>
      </c>
      <c r="H30" s="19">
        <v>30</v>
      </c>
      <c r="I30" s="19">
        <f t="shared" si="0"/>
        <v>-30</v>
      </c>
      <c r="J30" s="18" t="s">
        <v>190</v>
      </c>
      <c r="K30" s="18" t="s">
        <v>15</v>
      </c>
      <c r="L30" s="18" t="s">
        <v>177</v>
      </c>
      <c r="M30" s="18"/>
      <c r="N30" s="18"/>
      <c r="O30" s="18"/>
      <c r="P30" s="18"/>
      <c r="Q30" s="18">
        <v>1</v>
      </c>
      <c r="R30" s="17">
        <f t="shared" ref="R30:R31" si="1">H30</f>
        <v>30</v>
      </c>
    </row>
    <row r="31" spans="1:18" customFormat="1" x14ac:dyDescent="0.25">
      <c r="A31" s="18" t="s">
        <v>96</v>
      </c>
      <c r="B31" s="18" t="s">
        <v>34</v>
      </c>
      <c r="C31" s="18" t="s">
        <v>258</v>
      </c>
      <c r="D31" s="18"/>
      <c r="E31" s="18" t="s">
        <v>259</v>
      </c>
      <c r="F31" s="19">
        <v>12</v>
      </c>
      <c r="G31" s="19">
        <v>0</v>
      </c>
      <c r="H31" s="19">
        <v>35</v>
      </c>
      <c r="I31" s="19">
        <f t="shared" si="0"/>
        <v>-35</v>
      </c>
      <c r="J31" s="18" t="s">
        <v>190</v>
      </c>
      <c r="K31" s="18" t="s">
        <v>15</v>
      </c>
      <c r="L31" s="18" t="s">
        <v>177</v>
      </c>
      <c r="M31" s="18"/>
      <c r="N31" s="18"/>
      <c r="O31" s="18"/>
      <c r="P31" s="18"/>
      <c r="Q31" s="18">
        <v>1</v>
      </c>
      <c r="R31" s="17">
        <f t="shared" si="1"/>
        <v>35</v>
      </c>
    </row>
    <row r="32" spans="1:18" customFormat="1" x14ac:dyDescent="0.25">
      <c r="A32" s="18" t="s">
        <v>96</v>
      </c>
      <c r="B32" s="18" t="s">
        <v>34</v>
      </c>
      <c r="C32" s="18" t="s">
        <v>260</v>
      </c>
      <c r="D32" s="18"/>
      <c r="E32" s="18" t="s">
        <v>261</v>
      </c>
      <c r="F32" s="19">
        <v>6</v>
      </c>
      <c r="G32" s="19">
        <v>35</v>
      </c>
      <c r="H32" s="19">
        <v>35</v>
      </c>
      <c r="I32" s="19">
        <f t="shared" si="0"/>
        <v>0</v>
      </c>
      <c r="J32" s="18" t="s">
        <v>190</v>
      </c>
      <c r="K32" s="18" t="s">
        <v>15</v>
      </c>
      <c r="L32" s="18" t="s">
        <v>177</v>
      </c>
      <c r="M32" s="18"/>
      <c r="N32" s="18"/>
      <c r="O32" s="18"/>
      <c r="P32" s="18"/>
      <c r="Q32" s="18">
        <v>1</v>
      </c>
    </row>
    <row r="33" spans="1:18" s="22" customFormat="1" x14ac:dyDescent="0.25">
      <c r="A33" s="20" t="s">
        <v>96</v>
      </c>
      <c r="B33" s="20" t="s">
        <v>34</v>
      </c>
      <c r="C33" s="20" t="s">
        <v>262</v>
      </c>
      <c r="D33" s="20"/>
      <c r="E33" s="20" t="s">
        <v>263</v>
      </c>
      <c r="F33" s="21">
        <v>6</v>
      </c>
      <c r="G33" s="21">
        <v>0</v>
      </c>
      <c r="H33" s="21">
        <v>30</v>
      </c>
      <c r="I33" s="21">
        <f t="shared" si="0"/>
        <v>-30</v>
      </c>
      <c r="J33" s="20" t="s">
        <v>190</v>
      </c>
      <c r="K33" s="20" t="s">
        <v>15</v>
      </c>
      <c r="L33" s="20" t="s">
        <v>177</v>
      </c>
      <c r="M33" s="20" t="s">
        <v>16</v>
      </c>
      <c r="N33" s="20"/>
      <c r="O33" s="20"/>
      <c r="P33" s="20"/>
      <c r="Q33" s="20">
        <v>1</v>
      </c>
      <c r="R33" s="29">
        <f>H33</f>
        <v>30</v>
      </c>
    </row>
    <row r="34" spans="1:18" customFormat="1" x14ac:dyDescent="0.25">
      <c r="A34" s="18"/>
      <c r="B34" s="18" t="s">
        <v>34</v>
      </c>
      <c r="C34" s="18" t="s">
        <v>264</v>
      </c>
      <c r="D34" s="18" t="s">
        <v>265</v>
      </c>
      <c r="E34" s="18" t="s">
        <v>266</v>
      </c>
      <c r="F34" s="18" t="s">
        <v>17</v>
      </c>
      <c r="G34" s="19">
        <v>680</v>
      </c>
      <c r="H34" s="19">
        <v>20</v>
      </c>
      <c r="I34" s="19">
        <f t="shared" si="0"/>
        <v>660</v>
      </c>
      <c r="J34" s="18" t="s">
        <v>15</v>
      </c>
      <c r="K34" s="18" t="s">
        <v>15</v>
      </c>
      <c r="L34" s="18" t="s">
        <v>177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267</v>
      </c>
      <c r="D35" s="18" t="s">
        <v>268</v>
      </c>
      <c r="E35" s="18" t="s">
        <v>269</v>
      </c>
      <c r="F35" s="18" t="s">
        <v>18</v>
      </c>
      <c r="G35" s="19">
        <v>685</v>
      </c>
      <c r="H35" s="19">
        <v>25</v>
      </c>
      <c r="I35" s="19">
        <f>G35-H35</f>
        <v>660</v>
      </c>
      <c r="J35" s="18" t="s">
        <v>15</v>
      </c>
      <c r="K35" s="18" t="s">
        <v>15</v>
      </c>
      <c r="L35" s="18" t="s">
        <v>177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270</v>
      </c>
      <c r="D36" s="18" t="s">
        <v>271</v>
      </c>
      <c r="E36" s="18" t="s">
        <v>272</v>
      </c>
      <c r="F36" s="19">
        <v>2</v>
      </c>
      <c r="G36" s="19">
        <v>1500</v>
      </c>
      <c r="H36" s="19">
        <v>30</v>
      </c>
      <c r="I36" s="19">
        <f t="shared" si="0"/>
        <v>1470</v>
      </c>
      <c r="J36" s="18" t="s">
        <v>15</v>
      </c>
      <c r="K36" s="18" t="s">
        <v>15</v>
      </c>
      <c r="L36" s="18" t="s">
        <v>177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273</v>
      </c>
      <c r="D37" s="18" t="s">
        <v>274</v>
      </c>
      <c r="E37" s="18" t="s">
        <v>275</v>
      </c>
      <c r="F37" s="18" t="s">
        <v>20</v>
      </c>
      <c r="G37" s="19">
        <v>0</v>
      </c>
      <c r="H37" s="19">
        <v>25</v>
      </c>
      <c r="I37" s="19">
        <f t="shared" si="0"/>
        <v>-25</v>
      </c>
      <c r="J37" s="18" t="s">
        <v>15</v>
      </c>
      <c r="K37" s="18" t="s">
        <v>15</v>
      </c>
      <c r="L37" s="18" t="s">
        <v>177</v>
      </c>
      <c r="M37" s="18"/>
      <c r="N37" s="18"/>
      <c r="O37" s="18"/>
      <c r="P37" s="18"/>
      <c r="Q37" s="18">
        <v>1</v>
      </c>
      <c r="R37" s="17">
        <f t="shared" ref="R37:R38" si="2">H37</f>
        <v>25</v>
      </c>
    </row>
    <row r="38" spans="1:18" customFormat="1" x14ac:dyDescent="0.25">
      <c r="A38" s="18"/>
      <c r="B38" s="18" t="s">
        <v>34</v>
      </c>
      <c r="C38" s="18" t="s">
        <v>276</v>
      </c>
      <c r="D38" s="18" t="s">
        <v>277</v>
      </c>
      <c r="E38" s="18" t="s">
        <v>278</v>
      </c>
      <c r="F38" s="18" t="s">
        <v>17</v>
      </c>
      <c r="G38" s="19">
        <v>0</v>
      </c>
      <c r="H38" s="19">
        <v>20</v>
      </c>
      <c r="I38" s="19">
        <f t="shared" si="0"/>
        <v>-20</v>
      </c>
      <c r="J38" s="18" t="s">
        <v>15</v>
      </c>
      <c r="K38" s="18" t="s">
        <v>15</v>
      </c>
      <c r="L38" s="18" t="s">
        <v>177</v>
      </c>
      <c r="M38" s="18"/>
      <c r="N38" s="18"/>
      <c r="O38" s="18"/>
      <c r="P38" s="18"/>
      <c r="Q38" s="18">
        <v>1</v>
      </c>
      <c r="R38" s="17">
        <f t="shared" si="2"/>
        <v>20</v>
      </c>
    </row>
    <row r="39" spans="1:18" customFormat="1" x14ac:dyDescent="0.25">
      <c r="A39" s="18"/>
      <c r="B39" s="18" t="s">
        <v>34</v>
      </c>
      <c r="C39" s="18" t="s">
        <v>279</v>
      </c>
      <c r="D39" s="18" t="s">
        <v>280</v>
      </c>
      <c r="E39" s="18" t="s">
        <v>281</v>
      </c>
      <c r="F39" s="18" t="s">
        <v>144</v>
      </c>
      <c r="G39" s="19">
        <v>690</v>
      </c>
      <c r="H39" s="19">
        <v>30</v>
      </c>
      <c r="I39" s="19">
        <f t="shared" si="0"/>
        <v>660</v>
      </c>
      <c r="J39" s="18" t="s">
        <v>15</v>
      </c>
      <c r="K39" s="18" t="s">
        <v>15</v>
      </c>
      <c r="L39" s="18" t="s">
        <v>177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282</v>
      </c>
      <c r="D40" s="18" t="s">
        <v>283</v>
      </c>
      <c r="E40" s="18" t="s">
        <v>284</v>
      </c>
      <c r="F40" s="18" t="s">
        <v>144</v>
      </c>
      <c r="G40" s="19">
        <v>0</v>
      </c>
      <c r="H40" s="19">
        <v>30</v>
      </c>
      <c r="I40" s="19">
        <f t="shared" si="0"/>
        <v>-30</v>
      </c>
      <c r="J40" s="18" t="s">
        <v>15</v>
      </c>
      <c r="K40" s="18" t="s">
        <v>15</v>
      </c>
      <c r="L40" s="18" t="s">
        <v>177</v>
      </c>
      <c r="M40" s="18"/>
      <c r="N40" s="18"/>
      <c r="O40" s="18"/>
      <c r="P40" s="18"/>
      <c r="Q40" s="18">
        <v>1</v>
      </c>
      <c r="R40" s="17">
        <f t="shared" ref="R40:R41" si="3">H40</f>
        <v>30</v>
      </c>
    </row>
    <row r="41" spans="1:18" customFormat="1" x14ac:dyDescent="0.25">
      <c r="A41" s="18"/>
      <c r="B41" s="18" t="s">
        <v>34</v>
      </c>
      <c r="C41" s="18" t="s">
        <v>148</v>
      </c>
      <c r="D41" s="18" t="s">
        <v>285</v>
      </c>
      <c r="E41" s="18" t="s">
        <v>150</v>
      </c>
      <c r="F41" s="18" t="s">
        <v>19</v>
      </c>
      <c r="G41" s="19">
        <v>0</v>
      </c>
      <c r="H41" s="19">
        <v>20</v>
      </c>
      <c r="I41" s="19">
        <f t="shared" si="0"/>
        <v>-20</v>
      </c>
      <c r="J41" s="18" t="s">
        <v>15</v>
      </c>
      <c r="K41" s="18" t="s">
        <v>15</v>
      </c>
      <c r="L41" s="18" t="s">
        <v>177</v>
      </c>
      <c r="M41" s="18"/>
      <c r="N41" s="18"/>
      <c r="O41" s="18"/>
      <c r="P41" s="18"/>
      <c r="Q41" s="18">
        <v>1</v>
      </c>
      <c r="R41" s="17">
        <f t="shared" si="3"/>
        <v>20</v>
      </c>
    </row>
    <row r="42" spans="1:18" customFormat="1" x14ac:dyDescent="0.25">
      <c r="A42" s="18"/>
      <c r="B42" s="18" t="s">
        <v>34</v>
      </c>
      <c r="C42" s="18" t="s">
        <v>286</v>
      </c>
      <c r="D42" s="18" t="s">
        <v>287</v>
      </c>
      <c r="E42" s="18" t="s">
        <v>288</v>
      </c>
      <c r="F42" s="19">
        <v>2</v>
      </c>
      <c r="G42" s="19">
        <v>1480</v>
      </c>
      <c r="H42" s="19">
        <v>30</v>
      </c>
      <c r="I42" s="19">
        <f t="shared" si="0"/>
        <v>1450</v>
      </c>
      <c r="J42" s="18" t="s">
        <v>15</v>
      </c>
      <c r="K42" s="18" t="s">
        <v>15</v>
      </c>
      <c r="L42" s="18" t="s">
        <v>177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289</v>
      </c>
      <c r="D43" s="18" t="s">
        <v>290</v>
      </c>
      <c r="E43" s="18" t="s">
        <v>291</v>
      </c>
      <c r="F43" s="19">
        <v>3</v>
      </c>
      <c r="G43" s="19">
        <v>685</v>
      </c>
      <c r="H43" s="19">
        <v>25</v>
      </c>
      <c r="I43" s="19">
        <f t="shared" si="0"/>
        <v>660</v>
      </c>
      <c r="J43" s="18" t="s">
        <v>15</v>
      </c>
      <c r="K43" s="18" t="s">
        <v>15</v>
      </c>
      <c r="L43" s="18" t="s">
        <v>177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292</v>
      </c>
      <c r="D44" s="18" t="s">
        <v>293</v>
      </c>
      <c r="E44" s="18" t="s">
        <v>294</v>
      </c>
      <c r="F44" s="18" t="s">
        <v>19</v>
      </c>
      <c r="G44" s="19">
        <v>770</v>
      </c>
      <c r="H44" s="19">
        <v>20</v>
      </c>
      <c r="I44" s="19">
        <f t="shared" si="0"/>
        <v>750</v>
      </c>
      <c r="J44" s="18" t="s">
        <v>15</v>
      </c>
      <c r="K44" s="18" t="s">
        <v>15</v>
      </c>
      <c r="L44" s="18" t="s">
        <v>177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295</v>
      </c>
      <c r="D45" s="18" t="s">
        <v>296</v>
      </c>
      <c r="E45" s="18" t="s">
        <v>297</v>
      </c>
      <c r="F45" s="18" t="s">
        <v>19</v>
      </c>
      <c r="G45" s="19">
        <v>680</v>
      </c>
      <c r="H45" s="19">
        <v>20</v>
      </c>
      <c r="I45" s="19">
        <f t="shared" si="0"/>
        <v>660</v>
      </c>
      <c r="J45" s="18" t="s">
        <v>15</v>
      </c>
      <c r="K45" s="18" t="s">
        <v>15</v>
      </c>
      <c r="L45" s="18" t="s">
        <v>177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298</v>
      </c>
      <c r="D46" s="18" t="s">
        <v>299</v>
      </c>
      <c r="E46" s="18" t="s">
        <v>300</v>
      </c>
      <c r="F46" s="18" t="s">
        <v>144</v>
      </c>
      <c r="G46" s="19">
        <v>1030</v>
      </c>
      <c r="H46" s="19">
        <v>30</v>
      </c>
      <c r="I46" s="19">
        <f t="shared" si="0"/>
        <v>1000</v>
      </c>
      <c r="J46" s="18" t="s">
        <v>15</v>
      </c>
      <c r="K46" s="18" t="s">
        <v>15</v>
      </c>
      <c r="L46" s="18" t="s">
        <v>177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301</v>
      </c>
      <c r="D47" s="18" t="s">
        <v>302</v>
      </c>
      <c r="E47" s="18" t="s">
        <v>303</v>
      </c>
      <c r="F47" s="18" t="s">
        <v>19</v>
      </c>
      <c r="G47" s="19">
        <v>680</v>
      </c>
      <c r="H47" s="19">
        <v>20</v>
      </c>
      <c r="I47" s="19">
        <f t="shared" si="0"/>
        <v>660</v>
      </c>
      <c r="J47" s="18" t="s">
        <v>15</v>
      </c>
      <c r="K47" s="18" t="s">
        <v>15</v>
      </c>
      <c r="L47" s="18" t="s">
        <v>177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304</v>
      </c>
      <c r="D48" s="18" t="s">
        <v>305</v>
      </c>
      <c r="E48" s="18" t="s">
        <v>306</v>
      </c>
      <c r="F48" s="18" t="s">
        <v>20</v>
      </c>
      <c r="G48" s="19">
        <v>685</v>
      </c>
      <c r="H48" s="19">
        <v>25</v>
      </c>
      <c r="I48" s="19">
        <f t="shared" si="0"/>
        <v>660</v>
      </c>
      <c r="J48" s="18" t="s">
        <v>15</v>
      </c>
      <c r="K48" s="18" t="s">
        <v>15</v>
      </c>
      <c r="L48" s="18" t="s">
        <v>177</v>
      </c>
      <c r="M48" s="27" t="s">
        <v>307</v>
      </c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308</v>
      </c>
      <c r="D49" s="18" t="s">
        <v>309</v>
      </c>
      <c r="E49" s="18" t="s">
        <v>310</v>
      </c>
      <c r="F49" s="18" t="s">
        <v>18</v>
      </c>
      <c r="G49" s="19">
        <v>820</v>
      </c>
      <c r="H49" s="19">
        <v>0</v>
      </c>
      <c r="I49" s="19">
        <f t="shared" si="0"/>
        <v>820</v>
      </c>
      <c r="J49" s="18" t="s">
        <v>15</v>
      </c>
      <c r="K49" s="18" t="s">
        <v>15</v>
      </c>
      <c r="L49" s="18" t="s">
        <v>177</v>
      </c>
      <c r="M49" s="27" t="s">
        <v>307</v>
      </c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308</v>
      </c>
      <c r="D50" s="18" t="s">
        <v>319</v>
      </c>
      <c r="E50" s="18" t="s">
        <v>310</v>
      </c>
      <c r="F50" s="18" t="s">
        <v>18</v>
      </c>
      <c r="G50" s="19">
        <v>1585</v>
      </c>
      <c r="H50" s="19">
        <v>25</v>
      </c>
      <c r="I50" s="19">
        <f t="shared" ref="I50" si="4">G50-H50</f>
        <v>1560</v>
      </c>
      <c r="J50" s="18" t="s">
        <v>15</v>
      </c>
      <c r="K50" s="18" t="s">
        <v>15</v>
      </c>
      <c r="L50" s="18" t="s">
        <v>177</v>
      </c>
      <c r="M50" s="27" t="s">
        <v>307</v>
      </c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304</v>
      </c>
      <c r="D51" s="18" t="s">
        <v>311</v>
      </c>
      <c r="E51" s="18" t="s">
        <v>306</v>
      </c>
      <c r="F51" s="18" t="s">
        <v>20</v>
      </c>
      <c r="G51" s="19">
        <v>1050</v>
      </c>
      <c r="H51" s="19">
        <v>0</v>
      </c>
      <c r="I51" s="19">
        <f t="shared" si="0"/>
        <v>1050</v>
      </c>
      <c r="J51" s="18" t="s">
        <v>15</v>
      </c>
      <c r="K51" s="18" t="s">
        <v>15</v>
      </c>
      <c r="L51" s="18" t="s">
        <v>177</v>
      </c>
      <c r="M51" s="27" t="s">
        <v>307</v>
      </c>
      <c r="N51" s="18"/>
      <c r="O51" s="18"/>
      <c r="P51" s="18"/>
      <c r="Q51" s="18">
        <v>1</v>
      </c>
    </row>
    <row r="52" spans="1:18" customFormat="1" x14ac:dyDescent="0.25">
      <c r="A52" s="18" t="s">
        <v>96</v>
      </c>
      <c r="B52" s="18" t="s">
        <v>34</v>
      </c>
      <c r="C52" s="18" t="s">
        <v>312</v>
      </c>
      <c r="D52" s="18"/>
      <c r="E52" s="18" t="s">
        <v>313</v>
      </c>
      <c r="F52" s="18" t="s">
        <v>20</v>
      </c>
      <c r="G52" s="19">
        <v>30</v>
      </c>
      <c r="H52" s="19">
        <v>30</v>
      </c>
      <c r="I52" s="19">
        <f t="shared" si="0"/>
        <v>0</v>
      </c>
      <c r="J52" s="18" t="s">
        <v>15</v>
      </c>
      <c r="K52" s="18" t="s">
        <v>15</v>
      </c>
      <c r="L52" s="18" t="s">
        <v>177</v>
      </c>
      <c r="M52" s="18"/>
      <c r="N52" s="18"/>
      <c r="O52" s="18"/>
      <c r="P52" s="18"/>
      <c r="Q52" s="18">
        <v>1</v>
      </c>
    </row>
    <row r="53" spans="1:18" customFormat="1" x14ac:dyDescent="0.25">
      <c r="A53" s="18" t="s">
        <v>96</v>
      </c>
      <c r="B53" s="18" t="s">
        <v>34</v>
      </c>
      <c r="C53" s="18" t="s">
        <v>314</v>
      </c>
      <c r="D53" s="18"/>
      <c r="E53" s="18" t="s">
        <v>315</v>
      </c>
      <c r="F53" s="18" t="s">
        <v>20</v>
      </c>
      <c r="G53" s="19">
        <v>30</v>
      </c>
      <c r="H53" s="19">
        <v>30</v>
      </c>
      <c r="I53" s="19">
        <f t="shared" si="0"/>
        <v>0</v>
      </c>
      <c r="J53" s="18" t="s">
        <v>15</v>
      </c>
      <c r="K53" s="18" t="s">
        <v>15</v>
      </c>
      <c r="L53" s="18" t="s">
        <v>177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31165</v>
      </c>
      <c r="H55" s="1">
        <f t="shared" si="5"/>
        <v>1355</v>
      </c>
      <c r="I55" s="1">
        <f t="shared" si="5"/>
        <v>29810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220</v>
      </c>
    </row>
    <row r="59" spans="1:18" ht="20.25" customHeight="1" x14ac:dyDescent="0.3">
      <c r="H59" s="4" t="s">
        <v>318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29810</v>
      </c>
      <c r="J60" s="8">
        <f>Q55</f>
        <v>51</v>
      </c>
    </row>
    <row r="61" spans="1:18" x14ac:dyDescent="0.25">
      <c r="H61" s="9" t="s">
        <v>24</v>
      </c>
      <c r="I61" s="10">
        <f>R55</f>
        <v>220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8:10" ht="15.75" customHeight="1" x14ac:dyDescent="0.25">
      <c r="H65" s="12" t="s">
        <v>28</v>
      </c>
      <c r="I65" s="13"/>
      <c r="J65" s="13"/>
    </row>
    <row r="66" spans="8:10" ht="15.75" customHeight="1" x14ac:dyDescent="0.25">
      <c r="H66" s="14" t="s">
        <v>29</v>
      </c>
      <c r="I66" s="13"/>
      <c r="J66" s="13"/>
    </row>
    <row r="67" spans="8:10" ht="21" customHeight="1" x14ac:dyDescent="0.35">
      <c r="H67" s="15" t="s">
        <v>30</v>
      </c>
      <c r="I67" s="16">
        <f>SUM(I60:I66)</f>
        <v>30030</v>
      </c>
      <c r="J67" s="16">
        <f>SUM(J60:J64)</f>
        <v>51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2EBAD-A14F-499E-B383-585ACCC3575B}">
  <dimension ref="A1:R56"/>
  <sheetViews>
    <sheetView topLeftCell="A7" workbookViewId="0">
      <selection activeCell="A27" sqref="A27:XFD2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320</v>
      </c>
      <c r="C1" s="1" t="s">
        <v>321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362</v>
      </c>
      <c r="D3" s="18" t="s">
        <v>363</v>
      </c>
      <c r="E3" s="18" t="s">
        <v>364</v>
      </c>
      <c r="F3" s="19">
        <v>9</v>
      </c>
      <c r="G3" s="19">
        <v>690</v>
      </c>
      <c r="H3" s="19">
        <v>30</v>
      </c>
      <c r="I3" s="19">
        <f t="shared" ref="I3:I42" si="0">G3-H3</f>
        <v>660</v>
      </c>
      <c r="J3" s="18" t="s">
        <v>56</v>
      </c>
      <c r="K3" s="18" t="s">
        <v>15</v>
      </c>
      <c r="L3" s="18" t="s">
        <v>325</v>
      </c>
      <c r="M3" s="18"/>
      <c r="N3" s="18"/>
      <c r="O3" s="18"/>
      <c r="P3" s="18"/>
      <c r="Q3" s="18">
        <v>1</v>
      </c>
    </row>
    <row r="4" spans="1:18" customFormat="1" x14ac:dyDescent="0.25">
      <c r="A4" s="18" t="s">
        <v>96</v>
      </c>
      <c r="B4" s="18" t="s">
        <v>34</v>
      </c>
      <c r="C4" s="18" t="s">
        <v>436</v>
      </c>
      <c r="D4" s="18"/>
      <c r="E4" s="18" t="s">
        <v>437</v>
      </c>
      <c r="F4" s="19">
        <v>9</v>
      </c>
      <c r="G4" s="19">
        <v>35</v>
      </c>
      <c r="H4" s="19">
        <v>35</v>
      </c>
      <c r="I4" s="19">
        <f t="shared" si="0"/>
        <v>0</v>
      </c>
      <c r="J4" s="18" t="s">
        <v>56</v>
      </c>
      <c r="K4" s="18" t="s">
        <v>15</v>
      </c>
      <c r="L4" s="18" t="s">
        <v>325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322</v>
      </c>
      <c r="D5" s="18" t="s">
        <v>323</v>
      </c>
      <c r="E5" s="18" t="s">
        <v>253</v>
      </c>
      <c r="F5" s="18" t="s">
        <v>254</v>
      </c>
      <c r="G5" s="19">
        <v>735</v>
      </c>
      <c r="H5" s="19">
        <v>35</v>
      </c>
      <c r="I5" s="19">
        <f t="shared" si="0"/>
        <v>700</v>
      </c>
      <c r="J5" s="18" t="s">
        <v>324</v>
      </c>
      <c r="K5" s="18" t="s">
        <v>15</v>
      </c>
      <c r="L5" s="18" t="s">
        <v>325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329</v>
      </c>
      <c r="D6" s="18" t="s">
        <v>330</v>
      </c>
      <c r="E6" s="18" t="s">
        <v>331</v>
      </c>
      <c r="F6" s="19">
        <v>12</v>
      </c>
      <c r="G6" s="19">
        <v>760</v>
      </c>
      <c r="H6" s="19">
        <v>30</v>
      </c>
      <c r="I6" s="19">
        <f t="shared" si="0"/>
        <v>730</v>
      </c>
      <c r="J6" s="18" t="s">
        <v>324</v>
      </c>
      <c r="K6" s="18" t="s">
        <v>15</v>
      </c>
      <c r="L6" s="18" t="s">
        <v>325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332</v>
      </c>
      <c r="D7" s="18" t="s">
        <v>333</v>
      </c>
      <c r="E7" s="18" t="s">
        <v>334</v>
      </c>
      <c r="F7" s="19">
        <v>7</v>
      </c>
      <c r="G7" s="19">
        <v>690</v>
      </c>
      <c r="H7" s="19">
        <v>30</v>
      </c>
      <c r="I7" s="19">
        <f t="shared" si="0"/>
        <v>660</v>
      </c>
      <c r="J7" s="18" t="s">
        <v>324</v>
      </c>
      <c r="K7" s="18" t="s">
        <v>15</v>
      </c>
      <c r="L7" s="18" t="s">
        <v>325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335</v>
      </c>
      <c r="D8" s="18" t="s">
        <v>336</v>
      </c>
      <c r="E8" s="18" t="s">
        <v>337</v>
      </c>
      <c r="F8" s="19">
        <v>7</v>
      </c>
      <c r="G8" s="19">
        <v>920</v>
      </c>
      <c r="H8" s="19">
        <v>30</v>
      </c>
      <c r="I8" s="19">
        <f t="shared" si="0"/>
        <v>890</v>
      </c>
      <c r="J8" s="18" t="s">
        <v>324</v>
      </c>
      <c r="K8" s="18" t="s">
        <v>15</v>
      </c>
      <c r="L8" s="18" t="s">
        <v>325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341</v>
      </c>
      <c r="D9" s="18" t="s">
        <v>342</v>
      </c>
      <c r="E9" s="18" t="s">
        <v>343</v>
      </c>
      <c r="F9" s="19">
        <v>11</v>
      </c>
      <c r="G9" s="19">
        <v>375</v>
      </c>
      <c r="H9" s="19">
        <v>25</v>
      </c>
      <c r="I9" s="19">
        <f t="shared" si="0"/>
        <v>350</v>
      </c>
      <c r="J9" s="18" t="s">
        <v>324</v>
      </c>
      <c r="K9" s="18" t="s">
        <v>15</v>
      </c>
      <c r="L9" s="18" t="s">
        <v>325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347</v>
      </c>
      <c r="D10" s="18" t="s">
        <v>348</v>
      </c>
      <c r="E10" s="18" t="s">
        <v>349</v>
      </c>
      <c r="F10" s="18" t="s">
        <v>38</v>
      </c>
      <c r="G10" s="19">
        <v>720</v>
      </c>
      <c r="H10" s="19">
        <v>30</v>
      </c>
      <c r="I10" s="19">
        <f t="shared" si="0"/>
        <v>690</v>
      </c>
      <c r="J10" s="18" t="s">
        <v>324</v>
      </c>
      <c r="K10" s="18" t="s">
        <v>15</v>
      </c>
      <c r="L10" s="18" t="s">
        <v>325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356</v>
      </c>
      <c r="D11" s="18" t="s">
        <v>357</v>
      </c>
      <c r="E11" s="18" t="s">
        <v>358</v>
      </c>
      <c r="F11" s="18" t="s">
        <v>108</v>
      </c>
      <c r="G11" s="19">
        <v>1775</v>
      </c>
      <c r="H11" s="19">
        <v>35</v>
      </c>
      <c r="I11" s="19">
        <f t="shared" si="0"/>
        <v>1740</v>
      </c>
      <c r="J11" s="18" t="s">
        <v>324</v>
      </c>
      <c r="K11" s="18" t="s">
        <v>15</v>
      </c>
      <c r="L11" s="18" t="s">
        <v>325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384</v>
      </c>
      <c r="D12" s="18" t="s">
        <v>385</v>
      </c>
      <c r="E12" s="18" t="s">
        <v>386</v>
      </c>
      <c r="F12" s="19">
        <v>12</v>
      </c>
      <c r="G12" s="19">
        <v>720</v>
      </c>
      <c r="H12" s="19">
        <v>30</v>
      </c>
      <c r="I12" s="19">
        <f t="shared" si="0"/>
        <v>690</v>
      </c>
      <c r="J12" s="18" t="s">
        <v>324</v>
      </c>
      <c r="K12" s="18" t="s">
        <v>15</v>
      </c>
      <c r="L12" s="18" t="s">
        <v>325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387</v>
      </c>
      <c r="D13" s="18" t="s">
        <v>388</v>
      </c>
      <c r="E13" s="18" t="s">
        <v>389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324</v>
      </c>
      <c r="K13" s="18" t="s">
        <v>15</v>
      </c>
      <c r="L13" s="18" t="s">
        <v>325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390</v>
      </c>
      <c r="D14" s="18" t="s">
        <v>391</v>
      </c>
      <c r="E14" s="18" t="s">
        <v>392</v>
      </c>
      <c r="F14" s="19">
        <v>7</v>
      </c>
      <c r="G14" s="19">
        <v>0</v>
      </c>
      <c r="H14" s="19">
        <v>30</v>
      </c>
      <c r="I14" s="19">
        <f t="shared" si="0"/>
        <v>-30</v>
      </c>
      <c r="J14" s="18" t="s">
        <v>324</v>
      </c>
      <c r="K14" s="18" t="s">
        <v>15</v>
      </c>
      <c r="L14" s="18" t="s">
        <v>325</v>
      </c>
      <c r="M14" s="18"/>
      <c r="N14" s="18"/>
      <c r="O14" s="18"/>
      <c r="P14" s="18"/>
      <c r="Q14" s="18">
        <v>1</v>
      </c>
      <c r="R14" s="17">
        <f>H14</f>
        <v>30</v>
      </c>
    </row>
    <row r="15" spans="1:18" customFormat="1" x14ac:dyDescent="0.25">
      <c r="A15" s="18"/>
      <c r="B15" s="18" t="s">
        <v>34</v>
      </c>
      <c r="C15" s="18" t="s">
        <v>402</v>
      </c>
      <c r="D15" s="18" t="s">
        <v>403</v>
      </c>
      <c r="E15" s="18" t="s">
        <v>404</v>
      </c>
      <c r="F15" s="19">
        <v>8</v>
      </c>
      <c r="G15" s="19">
        <v>820</v>
      </c>
      <c r="H15" s="19">
        <v>30</v>
      </c>
      <c r="I15" s="19">
        <f t="shared" si="0"/>
        <v>790</v>
      </c>
      <c r="J15" s="18" t="s">
        <v>324</v>
      </c>
      <c r="K15" s="18" t="s">
        <v>15</v>
      </c>
      <c r="L15" s="18" t="s">
        <v>325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405</v>
      </c>
      <c r="D16" s="18" t="s">
        <v>406</v>
      </c>
      <c r="E16" s="18" t="s">
        <v>407</v>
      </c>
      <c r="F16" s="18" t="s">
        <v>38</v>
      </c>
      <c r="G16" s="19">
        <v>690</v>
      </c>
      <c r="H16" s="19">
        <v>30</v>
      </c>
      <c r="I16" s="19">
        <f t="shared" si="0"/>
        <v>660</v>
      </c>
      <c r="J16" s="18" t="s">
        <v>324</v>
      </c>
      <c r="K16" s="18" t="s">
        <v>15</v>
      </c>
      <c r="L16" s="18" t="s">
        <v>325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426</v>
      </c>
      <c r="D17" s="18" t="s">
        <v>427</v>
      </c>
      <c r="E17" s="18" t="s">
        <v>428</v>
      </c>
      <c r="F17" s="19">
        <v>5</v>
      </c>
      <c r="G17" s="19">
        <v>715</v>
      </c>
      <c r="H17" s="19">
        <v>25</v>
      </c>
      <c r="I17" s="19">
        <f t="shared" si="0"/>
        <v>690</v>
      </c>
      <c r="J17" s="18" t="s">
        <v>324</v>
      </c>
      <c r="K17" s="18" t="s">
        <v>15</v>
      </c>
      <c r="L17" s="18" t="s">
        <v>325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434</v>
      </c>
      <c r="D18" s="18"/>
      <c r="E18" s="18" t="s">
        <v>435</v>
      </c>
      <c r="F18" s="18" t="s">
        <v>212</v>
      </c>
      <c r="G18" s="19">
        <v>30</v>
      </c>
      <c r="H18" s="19">
        <v>30</v>
      </c>
      <c r="I18" s="19">
        <f t="shared" si="0"/>
        <v>0</v>
      </c>
      <c r="J18" s="18" t="s">
        <v>324</v>
      </c>
      <c r="K18" s="18" t="s">
        <v>15</v>
      </c>
      <c r="L18" s="18" t="s">
        <v>325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438</v>
      </c>
      <c r="D19" s="18"/>
      <c r="E19" s="18" t="s">
        <v>439</v>
      </c>
      <c r="F19" s="18" t="s">
        <v>38</v>
      </c>
      <c r="G19" s="19">
        <v>40</v>
      </c>
      <c r="H19" s="19">
        <v>40</v>
      </c>
      <c r="I19" s="19">
        <f t="shared" si="0"/>
        <v>0</v>
      </c>
      <c r="J19" s="18" t="s">
        <v>324</v>
      </c>
      <c r="K19" s="18" t="s">
        <v>15</v>
      </c>
      <c r="L19" s="18" t="s">
        <v>325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326</v>
      </c>
      <c r="D20" s="18" t="s">
        <v>327</v>
      </c>
      <c r="E20" s="18" t="s">
        <v>328</v>
      </c>
      <c r="F20" s="18" t="s">
        <v>144</v>
      </c>
      <c r="G20" s="19">
        <v>700</v>
      </c>
      <c r="H20" s="19">
        <v>30</v>
      </c>
      <c r="I20" s="19">
        <f t="shared" si="0"/>
        <v>670</v>
      </c>
      <c r="J20" s="18" t="s">
        <v>15</v>
      </c>
      <c r="K20" s="18" t="s">
        <v>15</v>
      </c>
      <c r="L20" s="18" t="s">
        <v>325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344</v>
      </c>
      <c r="D21" s="18" t="s">
        <v>345</v>
      </c>
      <c r="E21" s="18" t="s">
        <v>346</v>
      </c>
      <c r="F21" s="19">
        <v>2</v>
      </c>
      <c r="G21" s="19">
        <v>720</v>
      </c>
      <c r="H21" s="19">
        <v>30</v>
      </c>
      <c r="I21" s="19">
        <f t="shared" si="0"/>
        <v>690</v>
      </c>
      <c r="J21" s="18" t="s">
        <v>15</v>
      </c>
      <c r="K21" s="18" t="s">
        <v>15</v>
      </c>
      <c r="L21" s="18" t="s">
        <v>325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350</v>
      </c>
      <c r="D22" s="18" t="s">
        <v>351</v>
      </c>
      <c r="E22" s="18" t="s">
        <v>352</v>
      </c>
      <c r="F22" s="18" t="s">
        <v>144</v>
      </c>
      <c r="G22" s="19">
        <v>730</v>
      </c>
      <c r="H22" s="19">
        <v>30</v>
      </c>
      <c r="I22" s="19">
        <f t="shared" si="0"/>
        <v>700</v>
      </c>
      <c r="J22" s="18" t="s">
        <v>15</v>
      </c>
      <c r="K22" s="18" t="s">
        <v>15</v>
      </c>
      <c r="L22" s="18" t="s">
        <v>325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353</v>
      </c>
      <c r="D23" s="18" t="s">
        <v>354</v>
      </c>
      <c r="E23" s="18" t="s">
        <v>355</v>
      </c>
      <c r="F23" s="18" t="s">
        <v>144</v>
      </c>
      <c r="G23" s="19">
        <v>890</v>
      </c>
      <c r="H23" s="19">
        <v>30</v>
      </c>
      <c r="I23" s="19">
        <f t="shared" si="0"/>
        <v>860</v>
      </c>
      <c r="J23" s="18" t="s">
        <v>15</v>
      </c>
      <c r="K23" s="18" t="s">
        <v>15</v>
      </c>
      <c r="L23" s="18" t="s">
        <v>325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365</v>
      </c>
      <c r="D24" s="18" t="s">
        <v>366</v>
      </c>
      <c r="E24" s="18" t="s">
        <v>367</v>
      </c>
      <c r="F24" s="18" t="s">
        <v>20</v>
      </c>
      <c r="G24" s="19">
        <v>685</v>
      </c>
      <c r="H24" s="19">
        <v>25</v>
      </c>
      <c r="I24" s="19">
        <f t="shared" si="0"/>
        <v>660</v>
      </c>
      <c r="J24" s="18" t="s">
        <v>15</v>
      </c>
      <c r="K24" s="18" t="s">
        <v>15</v>
      </c>
      <c r="L24" s="18" t="s">
        <v>325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368</v>
      </c>
      <c r="D25" s="18" t="s">
        <v>369</v>
      </c>
      <c r="E25" s="18" t="s">
        <v>370</v>
      </c>
      <c r="F25" s="18" t="s">
        <v>20</v>
      </c>
      <c r="G25" s="19">
        <v>0</v>
      </c>
      <c r="H25" s="19">
        <v>25</v>
      </c>
      <c r="I25" s="19">
        <f t="shared" si="0"/>
        <v>-25</v>
      </c>
      <c r="J25" s="18" t="s">
        <v>15</v>
      </c>
      <c r="K25" s="18" t="s">
        <v>15</v>
      </c>
      <c r="L25" s="18" t="s">
        <v>325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371</v>
      </c>
      <c r="D26" s="18" t="s">
        <v>372</v>
      </c>
      <c r="E26" s="18" t="s">
        <v>373</v>
      </c>
      <c r="F26" s="19">
        <v>12</v>
      </c>
      <c r="G26" s="19">
        <v>870</v>
      </c>
      <c r="H26" s="19">
        <v>30</v>
      </c>
      <c r="I26" s="19">
        <f t="shared" si="0"/>
        <v>840</v>
      </c>
      <c r="J26" s="18" t="s">
        <v>15</v>
      </c>
      <c r="K26" s="18" t="s">
        <v>15</v>
      </c>
      <c r="L26" s="18" t="s">
        <v>325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374</v>
      </c>
      <c r="D27" s="18" t="s">
        <v>375</v>
      </c>
      <c r="E27" s="18" t="s">
        <v>376</v>
      </c>
      <c r="F27" s="18" t="s">
        <v>20</v>
      </c>
      <c r="G27" s="19">
        <v>0</v>
      </c>
      <c r="H27" s="19">
        <v>25</v>
      </c>
      <c r="I27" s="19">
        <f t="shared" si="0"/>
        <v>-25</v>
      </c>
      <c r="J27" s="18" t="s">
        <v>15</v>
      </c>
      <c r="K27" s="18" t="s">
        <v>15</v>
      </c>
      <c r="L27" s="18" t="s">
        <v>325</v>
      </c>
      <c r="M27" s="27" t="s">
        <v>589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378</v>
      </c>
      <c r="D28" s="18" t="s">
        <v>379</v>
      </c>
      <c r="E28" s="18" t="s">
        <v>380</v>
      </c>
      <c r="F28" s="18" t="s">
        <v>19</v>
      </c>
      <c r="G28" s="19">
        <v>910</v>
      </c>
      <c r="H28" s="19">
        <v>20</v>
      </c>
      <c r="I28" s="19">
        <f t="shared" si="0"/>
        <v>890</v>
      </c>
      <c r="J28" s="18" t="s">
        <v>15</v>
      </c>
      <c r="K28" s="18" t="s">
        <v>15</v>
      </c>
      <c r="L28" s="18" t="s">
        <v>325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396</v>
      </c>
      <c r="D29" s="18" t="s">
        <v>397</v>
      </c>
      <c r="E29" s="18" t="s">
        <v>398</v>
      </c>
      <c r="F29" s="19">
        <v>2</v>
      </c>
      <c r="G29" s="19">
        <v>0</v>
      </c>
      <c r="H29" s="19">
        <v>30</v>
      </c>
      <c r="I29" s="19">
        <f t="shared" si="0"/>
        <v>-30</v>
      </c>
      <c r="J29" s="18" t="s">
        <v>15</v>
      </c>
      <c r="K29" s="18" t="s">
        <v>15</v>
      </c>
      <c r="L29" s="18" t="s">
        <v>325</v>
      </c>
      <c r="M29" s="18"/>
      <c r="N29" s="18"/>
      <c r="O29" s="18"/>
      <c r="P29" s="18"/>
      <c r="Q29" s="18">
        <v>1</v>
      </c>
      <c r="R29" s="17">
        <f>H29</f>
        <v>30</v>
      </c>
    </row>
    <row r="30" spans="1:18" customFormat="1" x14ac:dyDescent="0.25">
      <c r="A30" s="18"/>
      <c r="B30" s="18" t="s">
        <v>34</v>
      </c>
      <c r="C30" s="18" t="s">
        <v>411</v>
      </c>
      <c r="D30" s="18" t="s">
        <v>412</v>
      </c>
      <c r="E30" s="18" t="s">
        <v>413</v>
      </c>
      <c r="F30" s="18" t="s">
        <v>19</v>
      </c>
      <c r="G30" s="19">
        <v>680</v>
      </c>
      <c r="H30" s="19">
        <v>20</v>
      </c>
      <c r="I30" s="19">
        <f t="shared" si="0"/>
        <v>660</v>
      </c>
      <c r="J30" s="18" t="s">
        <v>15</v>
      </c>
      <c r="K30" s="18" t="s">
        <v>15</v>
      </c>
      <c r="L30" s="18" t="s">
        <v>325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414</v>
      </c>
      <c r="D31" s="18" t="s">
        <v>415</v>
      </c>
      <c r="E31" s="18" t="s">
        <v>416</v>
      </c>
      <c r="F31" s="18" t="s">
        <v>19</v>
      </c>
      <c r="G31" s="19">
        <v>840</v>
      </c>
      <c r="H31" s="19">
        <v>20</v>
      </c>
      <c r="I31" s="19">
        <f t="shared" si="0"/>
        <v>820</v>
      </c>
      <c r="J31" s="18" t="s">
        <v>15</v>
      </c>
      <c r="K31" s="18" t="s">
        <v>15</v>
      </c>
      <c r="L31" s="18" t="s">
        <v>325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417</v>
      </c>
      <c r="D32" s="18" t="s">
        <v>418</v>
      </c>
      <c r="E32" s="18" t="s">
        <v>419</v>
      </c>
      <c r="F32" s="18" t="s">
        <v>18</v>
      </c>
      <c r="G32" s="19">
        <v>0</v>
      </c>
      <c r="H32" s="19">
        <v>25</v>
      </c>
      <c r="I32" s="19">
        <f t="shared" si="0"/>
        <v>-25</v>
      </c>
      <c r="J32" s="18" t="s">
        <v>15</v>
      </c>
      <c r="K32" s="18" t="s">
        <v>15</v>
      </c>
      <c r="L32" s="18" t="s">
        <v>325</v>
      </c>
      <c r="M32" s="18"/>
      <c r="N32" s="18"/>
      <c r="O32" s="18"/>
      <c r="P32" s="18"/>
      <c r="Q32" s="18">
        <v>1</v>
      </c>
      <c r="R32" s="17">
        <f t="shared" ref="R32:R34" si="1">H32</f>
        <v>25</v>
      </c>
    </row>
    <row r="33" spans="1:18" customFormat="1" x14ac:dyDescent="0.25">
      <c r="A33" s="18"/>
      <c r="B33" s="18" t="s">
        <v>34</v>
      </c>
      <c r="C33" s="18" t="s">
        <v>420</v>
      </c>
      <c r="D33" s="18" t="s">
        <v>421</v>
      </c>
      <c r="E33" s="18" t="s">
        <v>422</v>
      </c>
      <c r="F33" s="19">
        <v>12</v>
      </c>
      <c r="G33" s="19">
        <v>0</v>
      </c>
      <c r="H33" s="19">
        <v>40</v>
      </c>
      <c r="I33" s="19">
        <f t="shared" si="0"/>
        <v>-40</v>
      </c>
      <c r="J33" s="18" t="s">
        <v>15</v>
      </c>
      <c r="K33" s="18" t="s">
        <v>15</v>
      </c>
      <c r="L33" s="18" t="s">
        <v>325</v>
      </c>
      <c r="M33" s="18"/>
      <c r="N33" s="18"/>
      <c r="O33" s="18"/>
      <c r="P33" s="18"/>
      <c r="Q33" s="18">
        <v>1</v>
      </c>
      <c r="R33" s="17">
        <f t="shared" si="1"/>
        <v>40</v>
      </c>
    </row>
    <row r="34" spans="1:18" customFormat="1" x14ac:dyDescent="0.25">
      <c r="A34" s="18"/>
      <c r="B34" s="18" t="s">
        <v>34</v>
      </c>
      <c r="C34" s="18" t="s">
        <v>338</v>
      </c>
      <c r="D34" s="18" t="s">
        <v>339</v>
      </c>
      <c r="E34" s="18" t="s">
        <v>340</v>
      </c>
      <c r="F34" s="19">
        <v>3</v>
      </c>
      <c r="G34" s="19">
        <v>0</v>
      </c>
      <c r="H34" s="19">
        <v>25</v>
      </c>
      <c r="I34" s="19">
        <f t="shared" si="0"/>
        <v>-25</v>
      </c>
      <c r="J34" s="18" t="s">
        <v>160</v>
      </c>
      <c r="K34" s="18" t="s">
        <v>15</v>
      </c>
      <c r="L34" s="18" t="s">
        <v>325</v>
      </c>
      <c r="M34" s="18"/>
      <c r="N34" s="18"/>
      <c r="O34" s="18"/>
      <c r="P34" s="18"/>
      <c r="Q34" s="18">
        <v>1</v>
      </c>
      <c r="R34" s="17">
        <f t="shared" si="1"/>
        <v>25</v>
      </c>
    </row>
    <row r="35" spans="1:18" customFormat="1" x14ac:dyDescent="0.25">
      <c r="A35" s="18"/>
      <c r="B35" s="18" t="s">
        <v>34</v>
      </c>
      <c r="C35" s="18" t="s">
        <v>359</v>
      </c>
      <c r="D35" s="18" t="s">
        <v>360</v>
      </c>
      <c r="E35" s="18" t="s">
        <v>361</v>
      </c>
      <c r="F35" s="19">
        <v>1</v>
      </c>
      <c r="G35" s="19">
        <v>885</v>
      </c>
      <c r="H35" s="19">
        <v>25</v>
      </c>
      <c r="I35" s="19">
        <f t="shared" si="0"/>
        <v>860</v>
      </c>
      <c r="J35" s="18" t="s">
        <v>160</v>
      </c>
      <c r="K35" s="18" t="s">
        <v>15</v>
      </c>
      <c r="L35" s="18" t="s">
        <v>325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381</v>
      </c>
      <c r="D36" s="18" t="s">
        <v>382</v>
      </c>
      <c r="E36" s="18" t="s">
        <v>383</v>
      </c>
      <c r="F36" s="19">
        <v>4</v>
      </c>
      <c r="G36" s="19">
        <v>375</v>
      </c>
      <c r="H36" s="19">
        <v>25</v>
      </c>
      <c r="I36" s="19">
        <f t="shared" si="0"/>
        <v>350</v>
      </c>
      <c r="J36" s="18" t="s">
        <v>160</v>
      </c>
      <c r="K36" s="18" t="s">
        <v>15</v>
      </c>
      <c r="L36" s="18" t="s">
        <v>325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393</v>
      </c>
      <c r="D37" s="18" t="s">
        <v>394</v>
      </c>
      <c r="E37" s="18" t="s">
        <v>395</v>
      </c>
      <c r="F37" s="19">
        <v>10</v>
      </c>
      <c r="G37" s="19">
        <v>815</v>
      </c>
      <c r="H37" s="19">
        <v>25</v>
      </c>
      <c r="I37" s="19">
        <f t="shared" si="0"/>
        <v>790</v>
      </c>
      <c r="J37" s="18" t="s">
        <v>160</v>
      </c>
      <c r="K37" s="18" t="s">
        <v>15</v>
      </c>
      <c r="L37" s="18" t="s">
        <v>325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399</v>
      </c>
      <c r="D38" s="18" t="s">
        <v>400</v>
      </c>
      <c r="E38" s="18" t="s">
        <v>401</v>
      </c>
      <c r="F38" s="19">
        <v>4</v>
      </c>
      <c r="G38" s="19">
        <v>775</v>
      </c>
      <c r="H38" s="19">
        <v>25</v>
      </c>
      <c r="I38" s="19">
        <f t="shared" si="0"/>
        <v>750</v>
      </c>
      <c r="J38" s="18" t="s">
        <v>160</v>
      </c>
      <c r="K38" s="18" t="s">
        <v>15</v>
      </c>
      <c r="L38" s="18" t="s">
        <v>325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408</v>
      </c>
      <c r="D39" s="18" t="s">
        <v>409</v>
      </c>
      <c r="E39" s="18" t="s">
        <v>410</v>
      </c>
      <c r="F39" s="18" t="s">
        <v>18</v>
      </c>
      <c r="G39" s="19">
        <v>885</v>
      </c>
      <c r="H39" s="19">
        <v>25</v>
      </c>
      <c r="I39" s="19">
        <f t="shared" si="0"/>
        <v>860</v>
      </c>
      <c r="J39" s="18" t="s">
        <v>160</v>
      </c>
      <c r="K39" s="18" t="s">
        <v>15</v>
      </c>
      <c r="L39" s="18" t="s">
        <v>325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423</v>
      </c>
      <c r="D40" s="18" t="s">
        <v>424</v>
      </c>
      <c r="E40" s="18" t="s">
        <v>425</v>
      </c>
      <c r="F40" s="18" t="s">
        <v>17</v>
      </c>
      <c r="G40" s="19">
        <v>680</v>
      </c>
      <c r="H40" s="19">
        <v>20</v>
      </c>
      <c r="I40" s="19">
        <f t="shared" si="0"/>
        <v>660</v>
      </c>
      <c r="J40" s="18" t="s">
        <v>160</v>
      </c>
      <c r="K40" s="18" t="s">
        <v>15</v>
      </c>
      <c r="L40" s="18" t="s">
        <v>325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429</v>
      </c>
      <c r="D41" s="18" t="s">
        <v>430</v>
      </c>
      <c r="E41" s="18" t="s">
        <v>431</v>
      </c>
      <c r="F41" s="19">
        <v>1</v>
      </c>
      <c r="G41" s="19">
        <v>0</v>
      </c>
      <c r="H41" s="19">
        <v>25</v>
      </c>
      <c r="I41" s="19">
        <f t="shared" si="0"/>
        <v>-25</v>
      </c>
      <c r="J41" s="18" t="s">
        <v>160</v>
      </c>
      <c r="K41" s="18" t="s">
        <v>15</v>
      </c>
      <c r="L41" s="18" t="s">
        <v>325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 t="s">
        <v>96</v>
      </c>
      <c r="B42" s="18" t="s">
        <v>34</v>
      </c>
      <c r="C42" s="18" t="s">
        <v>432</v>
      </c>
      <c r="D42" s="18"/>
      <c r="E42" s="18" t="s">
        <v>433</v>
      </c>
      <c r="F42" s="18" t="s">
        <v>18</v>
      </c>
      <c r="G42" s="19">
        <v>30</v>
      </c>
      <c r="H42" s="19">
        <v>30</v>
      </c>
      <c r="I42" s="19">
        <f t="shared" si="0"/>
        <v>0</v>
      </c>
      <c r="J42" s="18" t="s">
        <v>160</v>
      </c>
      <c r="K42" s="18" t="s">
        <v>15</v>
      </c>
      <c r="L42" s="18" t="s">
        <v>325</v>
      </c>
      <c r="M42" s="18"/>
      <c r="N42" s="18"/>
      <c r="O42" s="18"/>
      <c r="P42" s="18"/>
      <c r="Q42" s="18">
        <v>1</v>
      </c>
    </row>
    <row r="44" spans="1:18" x14ac:dyDescent="0.25">
      <c r="G44" s="1">
        <f t="shared" ref="G44:R44" si="2">SUBTOTAL(9,G3:G43)</f>
        <v>21875</v>
      </c>
      <c r="H44" s="1">
        <f t="shared" si="2"/>
        <v>1130</v>
      </c>
      <c r="I44" s="1">
        <f t="shared" si="2"/>
        <v>20745</v>
      </c>
      <c r="J44" s="1">
        <f t="shared" si="2"/>
        <v>0</v>
      </c>
      <c r="K44" s="1">
        <f t="shared" si="2"/>
        <v>0</v>
      </c>
      <c r="L44" s="1">
        <f t="shared" si="2"/>
        <v>0</v>
      </c>
      <c r="M44" s="1">
        <f t="shared" si="2"/>
        <v>0</v>
      </c>
      <c r="N44" s="1">
        <f t="shared" si="2"/>
        <v>0</v>
      </c>
      <c r="O44" s="1">
        <f t="shared" si="2"/>
        <v>0</v>
      </c>
      <c r="P44" s="1">
        <f t="shared" si="2"/>
        <v>0</v>
      </c>
      <c r="Q44" s="1">
        <f t="shared" si="2"/>
        <v>40</v>
      </c>
      <c r="R44" s="1">
        <f t="shared" si="2"/>
        <v>225</v>
      </c>
    </row>
    <row r="45" spans="1:18" x14ac:dyDescent="0.25">
      <c r="I45" s="1">
        <v>-970</v>
      </c>
      <c r="J45" s="1" t="s">
        <v>440</v>
      </c>
    </row>
    <row r="48" spans="1:18" ht="20.25" customHeight="1" x14ac:dyDescent="0.3">
      <c r="H48" s="4" t="s">
        <v>318</v>
      </c>
      <c r="I48" s="5" t="s">
        <v>21</v>
      </c>
      <c r="J48" s="6" t="s">
        <v>22</v>
      </c>
    </row>
    <row r="49" spans="8:10" ht="15.75" customHeight="1" x14ac:dyDescent="0.25">
      <c r="H49" s="7" t="s">
        <v>23</v>
      </c>
      <c r="I49" s="8">
        <f>SUM(I43:I47)</f>
        <v>19775</v>
      </c>
      <c r="J49" s="8">
        <f>Q44</f>
        <v>40</v>
      </c>
    </row>
    <row r="50" spans="8:10" x14ac:dyDescent="0.25">
      <c r="H50" s="9" t="s">
        <v>24</v>
      </c>
      <c r="I50" s="10">
        <f>R44</f>
        <v>225</v>
      </c>
      <c r="J50" s="11"/>
    </row>
    <row r="51" spans="8:10" x14ac:dyDescent="0.25">
      <c r="H51" s="9" t="s">
        <v>25</v>
      </c>
      <c r="I51" s="10">
        <f>S43</f>
        <v>0</v>
      </c>
      <c r="J51" s="11"/>
    </row>
    <row r="52" spans="8:10" x14ac:dyDescent="0.25">
      <c r="H52" s="9" t="s">
        <v>26</v>
      </c>
      <c r="I52" s="10">
        <f>T43</f>
        <v>0</v>
      </c>
      <c r="J52" s="11"/>
    </row>
    <row r="53" spans="8:10" x14ac:dyDescent="0.25">
      <c r="H53" s="9" t="s">
        <v>27</v>
      </c>
      <c r="I53" s="10">
        <f>U43</f>
        <v>0</v>
      </c>
      <c r="J53" s="11"/>
    </row>
    <row r="54" spans="8:10" ht="15.75" customHeight="1" x14ac:dyDescent="0.25">
      <c r="H54" s="12" t="s">
        <v>28</v>
      </c>
      <c r="I54" s="13"/>
      <c r="J54" s="13"/>
    </row>
    <row r="55" spans="8:10" ht="15.75" customHeight="1" x14ac:dyDescent="0.25">
      <c r="H55" s="14" t="s">
        <v>29</v>
      </c>
      <c r="I55" s="13"/>
      <c r="J55" s="13"/>
    </row>
    <row r="56" spans="8:10" ht="21" customHeight="1" x14ac:dyDescent="0.35">
      <c r="H56" s="15" t="s">
        <v>30</v>
      </c>
      <c r="I56" s="16">
        <f>SUM(I49:I55)</f>
        <v>20000</v>
      </c>
      <c r="J56" s="16">
        <f>SUM(J49:J53)</f>
        <v>40</v>
      </c>
    </row>
  </sheetData>
  <autoFilter ref="A2:P42" xr:uid="{00000000-0009-0000-0000-000006000000}">
    <sortState xmlns:xlrd2="http://schemas.microsoft.com/office/spreadsheetml/2017/richdata2" ref="A3:P42">
      <sortCondition ref="J2:J42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1009E-85BD-4AF1-AB22-5EF93D8AE06B}">
  <dimension ref="A1:R68"/>
  <sheetViews>
    <sheetView topLeftCell="A39" workbookViewId="0">
      <selection activeCell="C43" sqref="C4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442</v>
      </c>
      <c r="C1" s="1" t="s">
        <v>443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448</v>
      </c>
      <c r="D3" s="18" t="s">
        <v>449</v>
      </c>
      <c r="E3" s="18" t="s">
        <v>450</v>
      </c>
      <c r="F3" s="19">
        <v>7</v>
      </c>
      <c r="G3" s="19">
        <v>470</v>
      </c>
      <c r="H3" s="19">
        <v>30</v>
      </c>
      <c r="I3" s="19">
        <f>G3-H3</f>
        <v>440</v>
      </c>
      <c r="J3" s="18" t="s">
        <v>451</v>
      </c>
      <c r="K3" s="18" t="s">
        <v>15</v>
      </c>
      <c r="L3" s="18" t="s">
        <v>447</v>
      </c>
      <c r="M3" s="18"/>
      <c r="N3" s="18"/>
      <c r="O3" s="18"/>
      <c r="P3" s="18"/>
      <c r="Q3" s="19">
        <v>1</v>
      </c>
    </row>
    <row r="4" spans="1:18" customFormat="1" x14ac:dyDescent="0.25">
      <c r="A4" s="18"/>
      <c r="B4" s="18" t="s">
        <v>34</v>
      </c>
      <c r="C4" s="18" t="s">
        <v>455</v>
      </c>
      <c r="D4" s="18" t="s">
        <v>456</v>
      </c>
      <c r="E4" s="18" t="s">
        <v>457</v>
      </c>
      <c r="F4" s="18" t="s">
        <v>38</v>
      </c>
      <c r="G4" s="19">
        <v>820</v>
      </c>
      <c r="H4" s="19">
        <v>30</v>
      </c>
      <c r="I4" s="19">
        <f>G4-H4</f>
        <v>790</v>
      </c>
      <c r="J4" s="18" t="s">
        <v>451</v>
      </c>
      <c r="K4" s="18" t="s">
        <v>15</v>
      </c>
      <c r="L4" s="18" t="s">
        <v>447</v>
      </c>
      <c r="M4" s="18"/>
      <c r="N4" s="18"/>
      <c r="O4" s="18"/>
      <c r="P4" s="18"/>
      <c r="Q4" s="19">
        <v>1</v>
      </c>
    </row>
    <row r="5" spans="1:18" customFormat="1" x14ac:dyDescent="0.25">
      <c r="A5" s="18"/>
      <c r="B5" s="18" t="s">
        <v>34</v>
      </c>
      <c r="C5" s="18" t="s">
        <v>458</v>
      </c>
      <c r="D5" s="18" t="s">
        <v>459</v>
      </c>
      <c r="E5" s="18" t="s">
        <v>460</v>
      </c>
      <c r="F5" s="19">
        <v>8</v>
      </c>
      <c r="G5" s="19">
        <v>0</v>
      </c>
      <c r="H5" s="19">
        <v>25</v>
      </c>
      <c r="I5" s="19">
        <f>-H5</f>
        <v>-25</v>
      </c>
      <c r="J5" s="18" t="s">
        <v>451</v>
      </c>
      <c r="K5" s="18" t="s">
        <v>15</v>
      </c>
      <c r="L5" s="18" t="s">
        <v>447</v>
      </c>
      <c r="M5" s="18"/>
      <c r="N5" s="18"/>
      <c r="O5" s="18"/>
      <c r="P5" s="18"/>
      <c r="Q5" s="19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461</v>
      </c>
      <c r="D6" s="18" t="s">
        <v>462</v>
      </c>
      <c r="E6" s="18" t="s">
        <v>463</v>
      </c>
      <c r="F6" s="19">
        <v>6</v>
      </c>
      <c r="G6" s="19">
        <v>1515</v>
      </c>
      <c r="H6" s="19">
        <v>25</v>
      </c>
      <c r="I6" s="19">
        <f t="shared" ref="I6:I11" si="0">G6-H6</f>
        <v>1490</v>
      </c>
      <c r="J6" s="18" t="s">
        <v>451</v>
      </c>
      <c r="K6" s="18" t="s">
        <v>15</v>
      </c>
      <c r="L6" s="18" t="s">
        <v>447</v>
      </c>
      <c r="M6" s="18"/>
      <c r="N6" s="18"/>
      <c r="O6" s="18"/>
      <c r="P6" s="18"/>
      <c r="Q6" s="19">
        <v>1</v>
      </c>
    </row>
    <row r="7" spans="1:18" customFormat="1" x14ac:dyDescent="0.25">
      <c r="A7" s="18"/>
      <c r="B7" s="18" t="s">
        <v>34</v>
      </c>
      <c r="C7" s="18" t="s">
        <v>464</v>
      </c>
      <c r="D7" s="18" t="s">
        <v>465</v>
      </c>
      <c r="E7" s="18" t="s">
        <v>466</v>
      </c>
      <c r="F7" s="18" t="s">
        <v>38</v>
      </c>
      <c r="G7" s="19">
        <v>890</v>
      </c>
      <c r="H7" s="19">
        <v>30</v>
      </c>
      <c r="I7" s="19">
        <f t="shared" si="0"/>
        <v>860</v>
      </c>
      <c r="J7" s="18" t="s">
        <v>451</v>
      </c>
      <c r="K7" s="18" t="s">
        <v>15</v>
      </c>
      <c r="L7" s="18" t="s">
        <v>447</v>
      </c>
      <c r="M7" s="18"/>
      <c r="N7" s="18"/>
      <c r="O7" s="18"/>
      <c r="P7" s="18"/>
      <c r="Q7" s="19">
        <v>1</v>
      </c>
    </row>
    <row r="8" spans="1:18" customFormat="1" x14ac:dyDescent="0.25">
      <c r="A8" s="18"/>
      <c r="B8" s="18" t="s">
        <v>34</v>
      </c>
      <c r="C8" s="18" t="s">
        <v>467</v>
      </c>
      <c r="D8" s="18" t="s">
        <v>468</v>
      </c>
      <c r="E8" s="18" t="s">
        <v>469</v>
      </c>
      <c r="F8" s="18" t="s">
        <v>38</v>
      </c>
      <c r="G8" s="19">
        <v>470</v>
      </c>
      <c r="H8" s="19">
        <v>30</v>
      </c>
      <c r="I8" s="19">
        <f t="shared" si="0"/>
        <v>440</v>
      </c>
      <c r="J8" s="18" t="s">
        <v>451</v>
      </c>
      <c r="K8" s="18" t="s">
        <v>15</v>
      </c>
      <c r="L8" s="18" t="s">
        <v>447</v>
      </c>
      <c r="M8" s="18"/>
      <c r="N8" s="18"/>
      <c r="O8" s="18"/>
      <c r="P8" s="18"/>
      <c r="Q8" s="19">
        <v>1</v>
      </c>
    </row>
    <row r="9" spans="1:18" customFormat="1" x14ac:dyDescent="0.25">
      <c r="A9" s="18"/>
      <c r="B9" s="18" t="s">
        <v>34</v>
      </c>
      <c r="C9" s="18" t="s">
        <v>479</v>
      </c>
      <c r="D9" s="18" t="s">
        <v>480</v>
      </c>
      <c r="E9" s="18" t="s">
        <v>481</v>
      </c>
      <c r="F9" s="18" t="s">
        <v>38</v>
      </c>
      <c r="G9" s="19">
        <v>920</v>
      </c>
      <c r="H9" s="19">
        <v>30</v>
      </c>
      <c r="I9" s="19">
        <f t="shared" si="0"/>
        <v>890</v>
      </c>
      <c r="J9" s="18" t="s">
        <v>451</v>
      </c>
      <c r="K9" s="18" t="s">
        <v>15</v>
      </c>
      <c r="L9" s="18" t="s">
        <v>447</v>
      </c>
      <c r="M9" s="18"/>
      <c r="N9" s="18"/>
      <c r="O9" s="18"/>
      <c r="P9" s="18"/>
      <c r="Q9" s="19">
        <v>1</v>
      </c>
    </row>
    <row r="10" spans="1:18" customFormat="1" x14ac:dyDescent="0.25">
      <c r="A10" s="18"/>
      <c r="B10" s="18" t="s">
        <v>34</v>
      </c>
      <c r="C10" s="18" t="s">
        <v>495</v>
      </c>
      <c r="D10" s="18" t="s">
        <v>496</v>
      </c>
      <c r="E10" s="18" t="s">
        <v>497</v>
      </c>
      <c r="F10" s="19">
        <v>6</v>
      </c>
      <c r="G10" s="19">
        <v>695</v>
      </c>
      <c r="H10" s="19">
        <v>25</v>
      </c>
      <c r="I10" s="19">
        <f t="shared" si="0"/>
        <v>670</v>
      </c>
      <c r="J10" s="18" t="s">
        <v>451</v>
      </c>
      <c r="K10" s="18" t="s">
        <v>15</v>
      </c>
      <c r="L10" s="18" t="s">
        <v>447</v>
      </c>
      <c r="M10" s="18"/>
      <c r="N10" s="18"/>
      <c r="O10" s="18"/>
      <c r="P10" s="18"/>
      <c r="Q10" s="19">
        <v>1</v>
      </c>
    </row>
    <row r="11" spans="1:18" customFormat="1" x14ac:dyDescent="0.25">
      <c r="A11" s="18"/>
      <c r="B11" s="18" t="s">
        <v>34</v>
      </c>
      <c r="C11" s="18" t="s">
        <v>498</v>
      </c>
      <c r="D11" s="18" t="s">
        <v>499</v>
      </c>
      <c r="E11" s="18" t="s">
        <v>500</v>
      </c>
      <c r="F11" s="19">
        <v>7</v>
      </c>
      <c r="G11" s="19">
        <v>700</v>
      </c>
      <c r="H11" s="19">
        <v>30</v>
      </c>
      <c r="I11" s="19">
        <f t="shared" si="0"/>
        <v>670</v>
      </c>
      <c r="J11" s="18" t="s">
        <v>451</v>
      </c>
      <c r="K11" s="18" t="s">
        <v>15</v>
      </c>
      <c r="L11" s="18" t="s">
        <v>447</v>
      </c>
      <c r="M11" s="18"/>
      <c r="N11" s="18"/>
      <c r="O11" s="18"/>
      <c r="P11" s="18"/>
      <c r="Q11" s="19">
        <v>1</v>
      </c>
    </row>
    <row r="12" spans="1:18" customFormat="1" x14ac:dyDescent="0.25">
      <c r="A12" s="18"/>
      <c r="B12" s="18" t="s">
        <v>34</v>
      </c>
      <c r="C12" s="18" t="s">
        <v>510</v>
      </c>
      <c r="D12" s="18" t="s">
        <v>511</v>
      </c>
      <c r="E12" s="18" t="s">
        <v>512</v>
      </c>
      <c r="F12" s="19">
        <v>7</v>
      </c>
      <c r="G12" s="19">
        <v>0</v>
      </c>
      <c r="H12" s="19">
        <v>30</v>
      </c>
      <c r="I12" s="19">
        <f>-H12</f>
        <v>-30</v>
      </c>
      <c r="J12" s="18" t="s">
        <v>451</v>
      </c>
      <c r="K12" s="18" t="s">
        <v>15</v>
      </c>
      <c r="L12" s="18" t="s">
        <v>447</v>
      </c>
      <c r="M12" s="18"/>
      <c r="N12" s="18"/>
      <c r="O12" s="18"/>
      <c r="P12" s="18"/>
      <c r="Q12" s="19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516</v>
      </c>
      <c r="D13" s="18" t="s">
        <v>517</v>
      </c>
      <c r="E13" s="18" t="s">
        <v>518</v>
      </c>
      <c r="F13" s="18" t="s">
        <v>38</v>
      </c>
      <c r="G13" s="19">
        <v>1020</v>
      </c>
      <c r="H13" s="19">
        <v>30</v>
      </c>
      <c r="I13" s="19">
        <f t="shared" ref="I13:I26" si="1">G13-H13</f>
        <v>990</v>
      </c>
      <c r="J13" s="18" t="s">
        <v>451</v>
      </c>
      <c r="K13" s="18" t="s">
        <v>15</v>
      </c>
      <c r="L13" s="18" t="s">
        <v>447</v>
      </c>
      <c r="M13" s="18"/>
      <c r="N13" s="18"/>
      <c r="O13" s="18"/>
      <c r="P13" s="18"/>
      <c r="Q13" s="19">
        <v>1</v>
      </c>
    </row>
    <row r="14" spans="1:18" customFormat="1" x14ac:dyDescent="0.25">
      <c r="A14" s="18"/>
      <c r="B14" s="18" t="s">
        <v>34</v>
      </c>
      <c r="C14" s="18" t="s">
        <v>540</v>
      </c>
      <c r="D14" s="18" t="s">
        <v>541</v>
      </c>
      <c r="E14" s="18" t="s">
        <v>542</v>
      </c>
      <c r="F14" s="18" t="s">
        <v>123</v>
      </c>
      <c r="G14" s="19">
        <v>475</v>
      </c>
      <c r="H14" s="19">
        <v>35</v>
      </c>
      <c r="I14" s="19">
        <f t="shared" si="1"/>
        <v>440</v>
      </c>
      <c r="J14" s="18" t="s">
        <v>451</v>
      </c>
      <c r="K14" s="18" t="s">
        <v>15</v>
      </c>
      <c r="L14" s="18" t="s">
        <v>447</v>
      </c>
      <c r="M14" s="18"/>
      <c r="N14" s="18"/>
      <c r="O14" s="18"/>
      <c r="P14" s="18"/>
      <c r="Q14" s="19">
        <v>1</v>
      </c>
    </row>
    <row r="15" spans="1:18" customFormat="1" x14ac:dyDescent="0.25">
      <c r="A15" s="18"/>
      <c r="B15" s="18" t="s">
        <v>34</v>
      </c>
      <c r="C15" s="18" t="s">
        <v>549</v>
      </c>
      <c r="D15" s="18" t="s">
        <v>550</v>
      </c>
      <c r="E15" s="18" t="s">
        <v>551</v>
      </c>
      <c r="F15" s="19">
        <v>6</v>
      </c>
      <c r="G15" s="19">
        <v>2220</v>
      </c>
      <c r="H15" s="19">
        <v>30</v>
      </c>
      <c r="I15" s="19">
        <f t="shared" si="1"/>
        <v>2190</v>
      </c>
      <c r="J15" s="18" t="s">
        <v>451</v>
      </c>
      <c r="K15" s="18" t="s">
        <v>15</v>
      </c>
      <c r="L15" s="18" t="s">
        <v>447</v>
      </c>
      <c r="M15" s="27" t="s">
        <v>377</v>
      </c>
      <c r="N15" s="18"/>
      <c r="O15" s="18"/>
      <c r="P15" s="18"/>
      <c r="Q15" s="19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558</v>
      </c>
      <c r="D16" s="18" t="s">
        <v>559</v>
      </c>
      <c r="E16" s="18" t="s">
        <v>407</v>
      </c>
      <c r="F16" s="18" t="s">
        <v>38</v>
      </c>
      <c r="G16" s="19">
        <v>720</v>
      </c>
      <c r="H16" s="19">
        <v>30</v>
      </c>
      <c r="I16" s="19">
        <f t="shared" si="1"/>
        <v>690</v>
      </c>
      <c r="J16" s="18" t="s">
        <v>451</v>
      </c>
      <c r="K16" s="18" t="s">
        <v>15</v>
      </c>
      <c r="L16" s="18" t="s">
        <v>447</v>
      </c>
      <c r="M16" s="18"/>
      <c r="N16" s="18"/>
      <c r="O16" s="18"/>
      <c r="P16" s="18"/>
      <c r="Q16" s="19">
        <v>1</v>
      </c>
    </row>
    <row r="17" spans="1:18" customFormat="1" x14ac:dyDescent="0.25">
      <c r="A17" s="18"/>
      <c r="B17" s="18" t="s">
        <v>34</v>
      </c>
      <c r="C17" s="18" t="s">
        <v>560</v>
      </c>
      <c r="D17" s="18" t="s">
        <v>561</v>
      </c>
      <c r="E17" s="18" t="s">
        <v>562</v>
      </c>
      <c r="F17" s="18" t="s">
        <v>38</v>
      </c>
      <c r="G17" s="19">
        <v>750</v>
      </c>
      <c r="H17" s="19">
        <v>30</v>
      </c>
      <c r="I17" s="19">
        <f t="shared" si="1"/>
        <v>720</v>
      </c>
      <c r="J17" s="18" t="s">
        <v>451</v>
      </c>
      <c r="K17" s="18" t="s">
        <v>15</v>
      </c>
      <c r="L17" s="18" t="s">
        <v>447</v>
      </c>
      <c r="M17" s="18"/>
      <c r="N17" s="18"/>
      <c r="O17" s="18"/>
      <c r="P17" s="18"/>
      <c r="Q17" s="19">
        <v>1</v>
      </c>
    </row>
    <row r="18" spans="1:18" customFormat="1" x14ac:dyDescent="0.25">
      <c r="A18" s="18"/>
      <c r="B18" s="18" t="s">
        <v>34</v>
      </c>
      <c r="C18" s="18" t="s">
        <v>563</v>
      </c>
      <c r="D18" s="18" t="s">
        <v>564</v>
      </c>
      <c r="E18" s="18" t="s">
        <v>565</v>
      </c>
      <c r="F18" s="19">
        <v>8</v>
      </c>
      <c r="G18" s="19">
        <v>390</v>
      </c>
      <c r="H18" s="19">
        <v>30</v>
      </c>
      <c r="I18" s="19">
        <f t="shared" si="1"/>
        <v>360</v>
      </c>
      <c r="J18" s="18" t="s">
        <v>451</v>
      </c>
      <c r="K18" s="18" t="s">
        <v>15</v>
      </c>
      <c r="L18" s="18" t="s">
        <v>447</v>
      </c>
      <c r="M18" s="18"/>
      <c r="N18" s="18"/>
      <c r="O18" s="18"/>
      <c r="P18" s="18"/>
      <c r="Q18" s="19">
        <v>1</v>
      </c>
    </row>
    <row r="19" spans="1:18" customFormat="1" x14ac:dyDescent="0.25">
      <c r="A19" s="18"/>
      <c r="B19" s="18" t="s">
        <v>34</v>
      </c>
      <c r="C19" s="18" t="s">
        <v>574</v>
      </c>
      <c r="D19" s="18" t="s">
        <v>575</v>
      </c>
      <c r="E19" s="18" t="s">
        <v>576</v>
      </c>
      <c r="F19" s="18" t="s">
        <v>38</v>
      </c>
      <c r="G19" s="19">
        <v>820</v>
      </c>
      <c r="H19" s="19">
        <v>30</v>
      </c>
      <c r="I19" s="19">
        <f t="shared" si="1"/>
        <v>790</v>
      </c>
      <c r="J19" s="18" t="s">
        <v>451</v>
      </c>
      <c r="K19" s="18" t="s">
        <v>15</v>
      </c>
      <c r="L19" s="18" t="s">
        <v>447</v>
      </c>
      <c r="M19" s="18"/>
      <c r="N19" s="18"/>
      <c r="O19" s="18"/>
      <c r="P19" s="18"/>
      <c r="Q19" s="19">
        <v>1</v>
      </c>
    </row>
    <row r="20" spans="1:18" customFormat="1" x14ac:dyDescent="0.25">
      <c r="A20" s="18" t="s">
        <v>96</v>
      </c>
      <c r="B20" s="18" t="s">
        <v>34</v>
      </c>
      <c r="C20" s="18" t="s">
        <v>583</v>
      </c>
      <c r="D20" s="18"/>
      <c r="E20" s="18" t="s">
        <v>584</v>
      </c>
      <c r="F20" s="18" t="s">
        <v>212</v>
      </c>
      <c r="G20" s="19">
        <v>30</v>
      </c>
      <c r="H20" s="19">
        <v>30</v>
      </c>
      <c r="I20" s="19">
        <f t="shared" si="1"/>
        <v>0</v>
      </c>
      <c r="J20" s="18" t="s">
        <v>451</v>
      </c>
      <c r="K20" s="18" t="s">
        <v>15</v>
      </c>
      <c r="L20" s="18" t="s">
        <v>447</v>
      </c>
      <c r="M20" s="18"/>
      <c r="N20" s="18"/>
      <c r="O20" s="18"/>
      <c r="P20" s="18"/>
      <c r="Q20" s="19">
        <v>1</v>
      </c>
    </row>
    <row r="21" spans="1:18" customFormat="1" x14ac:dyDescent="0.25">
      <c r="A21" s="18" t="s">
        <v>96</v>
      </c>
      <c r="B21" s="18" t="s">
        <v>34</v>
      </c>
      <c r="C21" s="18" t="s">
        <v>260</v>
      </c>
      <c r="D21" s="18"/>
      <c r="E21" s="18" t="s">
        <v>585</v>
      </c>
      <c r="F21" s="19">
        <v>6</v>
      </c>
      <c r="G21" s="19">
        <v>30</v>
      </c>
      <c r="H21" s="19">
        <v>30</v>
      </c>
      <c r="I21" s="19">
        <f t="shared" si="1"/>
        <v>0</v>
      </c>
      <c r="J21" s="18" t="s">
        <v>451</v>
      </c>
      <c r="K21" s="18" t="s">
        <v>15</v>
      </c>
      <c r="L21" s="18" t="s">
        <v>447</v>
      </c>
      <c r="M21" s="18"/>
      <c r="N21" s="18"/>
      <c r="O21" s="18"/>
      <c r="P21" s="18"/>
      <c r="Q21" s="19">
        <v>1</v>
      </c>
    </row>
    <row r="22" spans="1:18" customFormat="1" x14ac:dyDescent="0.25">
      <c r="A22" s="18"/>
      <c r="B22" s="18" t="s">
        <v>34</v>
      </c>
      <c r="C22" s="18" t="s">
        <v>444</v>
      </c>
      <c r="D22" s="18" t="s">
        <v>445</v>
      </c>
      <c r="E22" s="18" t="s">
        <v>446</v>
      </c>
      <c r="F22" s="18" t="s">
        <v>18</v>
      </c>
      <c r="G22" s="19">
        <v>0</v>
      </c>
      <c r="H22" s="19">
        <v>25</v>
      </c>
      <c r="I22" s="19">
        <f t="shared" si="1"/>
        <v>-25</v>
      </c>
      <c r="J22" s="18" t="s">
        <v>15</v>
      </c>
      <c r="K22" s="18" t="s">
        <v>15</v>
      </c>
      <c r="L22" s="18" t="s">
        <v>447</v>
      </c>
      <c r="M22" s="33" t="s">
        <v>590</v>
      </c>
      <c r="N22" s="18"/>
      <c r="O22" s="18"/>
      <c r="P22" s="18"/>
      <c r="Q22" s="19">
        <v>1</v>
      </c>
      <c r="R22" s="17">
        <f>H22</f>
        <v>25</v>
      </c>
    </row>
    <row r="23" spans="1:18" s="32" customFormat="1" x14ac:dyDescent="0.25">
      <c r="A23" s="30"/>
      <c r="B23" s="30" t="s">
        <v>34</v>
      </c>
      <c r="C23" s="30" t="s">
        <v>452</v>
      </c>
      <c r="D23" s="30" t="s">
        <v>453</v>
      </c>
      <c r="E23" s="30" t="s">
        <v>454</v>
      </c>
      <c r="F23" s="30" t="s">
        <v>144</v>
      </c>
      <c r="G23" s="31">
        <v>1710</v>
      </c>
      <c r="H23" s="31">
        <v>30</v>
      </c>
      <c r="I23" s="31">
        <f t="shared" si="1"/>
        <v>1680</v>
      </c>
      <c r="J23" s="30" t="s">
        <v>15</v>
      </c>
      <c r="K23" s="30" t="s">
        <v>15</v>
      </c>
      <c r="L23" s="30" t="s">
        <v>447</v>
      </c>
      <c r="M23" s="30"/>
      <c r="N23" s="30"/>
      <c r="O23" s="30"/>
      <c r="P23" s="30"/>
      <c r="Q23" s="31">
        <v>1</v>
      </c>
    </row>
    <row r="24" spans="1:18" customFormat="1" x14ac:dyDescent="0.25">
      <c r="A24" s="18"/>
      <c r="B24" s="18" t="s">
        <v>34</v>
      </c>
      <c r="C24" s="18" t="s">
        <v>476</v>
      </c>
      <c r="D24" s="18" t="s">
        <v>477</v>
      </c>
      <c r="E24" s="18" t="s">
        <v>478</v>
      </c>
      <c r="F24" s="19">
        <v>2</v>
      </c>
      <c r="G24" s="19">
        <v>1510</v>
      </c>
      <c r="H24" s="19">
        <v>30</v>
      </c>
      <c r="I24" s="19">
        <f t="shared" si="1"/>
        <v>1480</v>
      </c>
      <c r="J24" s="18" t="s">
        <v>15</v>
      </c>
      <c r="K24" s="18" t="s">
        <v>15</v>
      </c>
      <c r="L24" s="18" t="s">
        <v>447</v>
      </c>
      <c r="M24" s="18"/>
      <c r="N24" s="18"/>
      <c r="O24" s="18"/>
      <c r="P24" s="18"/>
      <c r="Q24" s="19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482</v>
      </c>
      <c r="E25" s="18" t="s">
        <v>140</v>
      </c>
      <c r="F25" s="18" t="s">
        <v>19</v>
      </c>
      <c r="G25" s="19">
        <v>680</v>
      </c>
      <c r="H25" s="19">
        <v>20</v>
      </c>
      <c r="I25" s="19">
        <f t="shared" si="1"/>
        <v>660</v>
      </c>
      <c r="J25" s="18" t="s">
        <v>15</v>
      </c>
      <c r="K25" s="18" t="s">
        <v>15</v>
      </c>
      <c r="L25" s="18" t="s">
        <v>447</v>
      </c>
      <c r="M25" s="18"/>
      <c r="N25" s="18"/>
      <c r="O25" s="18"/>
      <c r="P25" s="18"/>
      <c r="Q25" s="19">
        <v>1</v>
      </c>
    </row>
    <row r="26" spans="1:18" customFormat="1" x14ac:dyDescent="0.25">
      <c r="A26" s="18"/>
      <c r="B26" s="18" t="s">
        <v>34</v>
      </c>
      <c r="C26" s="18" t="s">
        <v>483</v>
      </c>
      <c r="D26" s="18" t="s">
        <v>484</v>
      </c>
      <c r="E26" s="18" t="s">
        <v>485</v>
      </c>
      <c r="F26" s="18" t="s">
        <v>144</v>
      </c>
      <c r="G26" s="19">
        <v>1020</v>
      </c>
      <c r="H26" s="19">
        <v>30</v>
      </c>
      <c r="I26" s="19">
        <f t="shared" si="1"/>
        <v>990</v>
      </c>
      <c r="J26" s="18" t="s">
        <v>15</v>
      </c>
      <c r="K26" s="18" t="s">
        <v>15</v>
      </c>
      <c r="L26" s="18" t="s">
        <v>447</v>
      </c>
      <c r="M26" s="18"/>
      <c r="N26" s="18"/>
      <c r="O26" s="18"/>
      <c r="P26" s="18"/>
      <c r="Q26" s="19">
        <v>1</v>
      </c>
    </row>
    <row r="27" spans="1:18" customFormat="1" x14ac:dyDescent="0.25">
      <c r="A27" s="18"/>
      <c r="B27" s="18" t="s">
        <v>34</v>
      </c>
      <c r="C27" s="18" t="s">
        <v>486</v>
      </c>
      <c r="D27" s="18" t="s">
        <v>487</v>
      </c>
      <c r="E27" s="18" t="s">
        <v>488</v>
      </c>
      <c r="F27" s="18" t="s">
        <v>144</v>
      </c>
      <c r="G27" s="19">
        <v>0</v>
      </c>
      <c r="H27" s="19">
        <v>30</v>
      </c>
      <c r="I27" s="19">
        <f>-H27</f>
        <v>-30</v>
      </c>
      <c r="J27" s="18" t="s">
        <v>15</v>
      </c>
      <c r="K27" s="18" t="s">
        <v>15</v>
      </c>
      <c r="L27" s="18" t="s">
        <v>447</v>
      </c>
      <c r="M27" s="18"/>
      <c r="N27" s="18"/>
      <c r="O27" s="18"/>
      <c r="P27" s="18"/>
      <c r="Q27" s="19">
        <v>1</v>
      </c>
      <c r="R27" s="17">
        <f t="shared" ref="R27:R28" si="2">H27</f>
        <v>30</v>
      </c>
    </row>
    <row r="28" spans="1:18" customFormat="1" x14ac:dyDescent="0.25">
      <c r="A28" s="18"/>
      <c r="B28" s="18" t="s">
        <v>34</v>
      </c>
      <c r="C28" s="18" t="s">
        <v>528</v>
      </c>
      <c r="D28" s="18" t="s">
        <v>529</v>
      </c>
      <c r="E28" s="18" t="s">
        <v>530</v>
      </c>
      <c r="F28" s="18" t="s">
        <v>18</v>
      </c>
      <c r="G28" s="19">
        <v>0</v>
      </c>
      <c r="H28" s="19">
        <v>25</v>
      </c>
      <c r="I28" s="19">
        <f>-H28</f>
        <v>-25</v>
      </c>
      <c r="J28" s="18" t="s">
        <v>15</v>
      </c>
      <c r="K28" s="18" t="s">
        <v>15</v>
      </c>
      <c r="L28" s="18" t="s">
        <v>447</v>
      </c>
      <c r="M28" s="18"/>
      <c r="N28" s="18"/>
      <c r="O28" s="18"/>
      <c r="P28" s="18"/>
      <c r="Q28" s="19">
        <v>1</v>
      </c>
      <c r="R28" s="17">
        <f t="shared" si="2"/>
        <v>25</v>
      </c>
    </row>
    <row r="29" spans="1:18" customFormat="1" x14ac:dyDescent="0.25">
      <c r="A29" s="18"/>
      <c r="B29" s="18" t="s">
        <v>34</v>
      </c>
      <c r="C29" s="18" t="s">
        <v>543</v>
      </c>
      <c r="D29" s="18" t="s">
        <v>544</v>
      </c>
      <c r="E29" s="18" t="s">
        <v>545</v>
      </c>
      <c r="F29" s="19">
        <v>2</v>
      </c>
      <c r="G29" s="19">
        <v>820</v>
      </c>
      <c r="H29" s="19">
        <v>30</v>
      </c>
      <c r="I29" s="19">
        <f>G29-H29</f>
        <v>790</v>
      </c>
      <c r="J29" s="18" t="s">
        <v>15</v>
      </c>
      <c r="K29" s="18" t="s">
        <v>15</v>
      </c>
      <c r="L29" s="18" t="s">
        <v>447</v>
      </c>
      <c r="M29" s="18"/>
      <c r="N29" s="18"/>
      <c r="O29" s="18"/>
      <c r="P29" s="18"/>
      <c r="Q29" s="19">
        <v>1</v>
      </c>
    </row>
    <row r="30" spans="1:18" customFormat="1" x14ac:dyDescent="0.25">
      <c r="A30" s="18"/>
      <c r="B30" s="18" t="s">
        <v>34</v>
      </c>
      <c r="C30" s="18" t="s">
        <v>552</v>
      </c>
      <c r="D30" s="18" t="s">
        <v>553</v>
      </c>
      <c r="E30" s="18" t="s">
        <v>554</v>
      </c>
      <c r="F30" s="18" t="s">
        <v>18</v>
      </c>
      <c r="G30" s="19">
        <v>0</v>
      </c>
      <c r="H30" s="19">
        <v>25</v>
      </c>
      <c r="I30" s="19">
        <f>-H30</f>
        <v>-25</v>
      </c>
      <c r="J30" s="18" t="s">
        <v>15</v>
      </c>
      <c r="K30" s="18" t="s">
        <v>15</v>
      </c>
      <c r="L30" s="18" t="s">
        <v>447</v>
      </c>
      <c r="M30" s="18"/>
      <c r="N30" s="18"/>
      <c r="O30" s="18"/>
      <c r="P30" s="18"/>
      <c r="Q30" s="19">
        <v>1</v>
      </c>
      <c r="R30" s="17">
        <f>H30</f>
        <v>25</v>
      </c>
    </row>
    <row r="31" spans="1:18" customFormat="1" x14ac:dyDescent="0.25">
      <c r="A31" s="18"/>
      <c r="B31" s="18" t="s">
        <v>34</v>
      </c>
      <c r="C31" s="18" t="s">
        <v>566</v>
      </c>
      <c r="D31" s="18" t="s">
        <v>567</v>
      </c>
      <c r="E31" s="18" t="s">
        <v>568</v>
      </c>
      <c r="F31" s="19">
        <v>2</v>
      </c>
      <c r="G31" s="19">
        <v>1020</v>
      </c>
      <c r="H31" s="19">
        <v>30</v>
      </c>
      <c r="I31" s="19">
        <f>G31-H31</f>
        <v>990</v>
      </c>
      <c r="J31" s="18" t="s">
        <v>15</v>
      </c>
      <c r="K31" s="18" t="s">
        <v>15</v>
      </c>
      <c r="L31" s="18" t="s">
        <v>447</v>
      </c>
      <c r="M31" s="18"/>
      <c r="N31" s="18"/>
      <c r="O31" s="18"/>
      <c r="P31" s="18"/>
      <c r="Q31" s="19">
        <v>1</v>
      </c>
    </row>
    <row r="32" spans="1:18" customFormat="1" x14ac:dyDescent="0.25">
      <c r="A32" s="18"/>
      <c r="B32" s="18" t="s">
        <v>34</v>
      </c>
      <c r="C32" s="18" t="s">
        <v>326</v>
      </c>
      <c r="D32" s="18" t="s">
        <v>569</v>
      </c>
      <c r="E32" s="18" t="s">
        <v>570</v>
      </c>
      <c r="F32" s="19">
        <v>2</v>
      </c>
      <c r="G32" s="19">
        <v>380</v>
      </c>
      <c r="H32" s="19">
        <v>30</v>
      </c>
      <c r="I32" s="19">
        <f>G32-H32</f>
        <v>350</v>
      </c>
      <c r="J32" s="18" t="s">
        <v>15</v>
      </c>
      <c r="K32" s="18" t="s">
        <v>15</v>
      </c>
      <c r="L32" s="18" t="s">
        <v>447</v>
      </c>
      <c r="M32" s="18"/>
      <c r="N32" s="18"/>
      <c r="O32" s="18"/>
      <c r="P32" s="18"/>
      <c r="Q32" s="19">
        <v>1</v>
      </c>
    </row>
    <row r="33" spans="1:18" customFormat="1" x14ac:dyDescent="0.25">
      <c r="A33" s="18"/>
      <c r="B33" s="18" t="s">
        <v>34</v>
      </c>
      <c r="C33" s="18" t="s">
        <v>571</v>
      </c>
      <c r="D33" s="18" t="s">
        <v>572</v>
      </c>
      <c r="E33" s="18" t="s">
        <v>573</v>
      </c>
      <c r="F33" s="19">
        <v>12</v>
      </c>
      <c r="G33" s="19">
        <v>1020</v>
      </c>
      <c r="H33" s="19">
        <v>30</v>
      </c>
      <c r="I33" s="19">
        <f>G33-H33</f>
        <v>990</v>
      </c>
      <c r="J33" s="18" t="s">
        <v>15</v>
      </c>
      <c r="K33" s="18" t="s">
        <v>15</v>
      </c>
      <c r="L33" s="18" t="s">
        <v>447</v>
      </c>
      <c r="M33" s="18"/>
      <c r="N33" s="18"/>
      <c r="O33" s="18"/>
      <c r="P33" s="18"/>
      <c r="Q33" s="19">
        <v>1</v>
      </c>
    </row>
    <row r="34" spans="1:18" customFormat="1" x14ac:dyDescent="0.25">
      <c r="A34" s="18" t="s">
        <v>96</v>
      </c>
      <c r="B34" s="18" t="s">
        <v>34</v>
      </c>
      <c r="C34" s="18" t="s">
        <v>577</v>
      </c>
      <c r="D34" s="18"/>
      <c r="E34" s="18" t="s">
        <v>578</v>
      </c>
      <c r="F34" s="18" t="s">
        <v>20</v>
      </c>
      <c r="G34" s="19">
        <v>30</v>
      </c>
      <c r="H34" s="19">
        <v>30</v>
      </c>
      <c r="I34" s="19">
        <f>G34-H34</f>
        <v>0</v>
      </c>
      <c r="J34" s="18" t="s">
        <v>15</v>
      </c>
      <c r="K34" s="18" t="s">
        <v>15</v>
      </c>
      <c r="L34" s="18" t="s">
        <v>447</v>
      </c>
      <c r="M34" s="18"/>
      <c r="N34" s="18"/>
      <c r="O34" s="18"/>
      <c r="P34" s="18"/>
      <c r="Q34" s="19">
        <v>1</v>
      </c>
    </row>
    <row r="35" spans="1:18" customFormat="1" x14ac:dyDescent="0.25">
      <c r="A35" s="18" t="s">
        <v>96</v>
      </c>
      <c r="B35" s="18" t="s">
        <v>34</v>
      </c>
      <c r="C35" s="18" t="s">
        <v>581</v>
      </c>
      <c r="D35" s="18"/>
      <c r="E35" s="18" t="s">
        <v>582</v>
      </c>
      <c r="F35" s="19">
        <v>12</v>
      </c>
      <c r="G35" s="19">
        <v>0</v>
      </c>
      <c r="H35" s="19">
        <v>35</v>
      </c>
      <c r="I35" s="19">
        <f>-H35</f>
        <v>-35</v>
      </c>
      <c r="J35" s="18" t="s">
        <v>15</v>
      </c>
      <c r="K35" s="18" t="s">
        <v>15</v>
      </c>
      <c r="L35" s="18" t="s">
        <v>447</v>
      </c>
      <c r="M35" s="18"/>
      <c r="N35" s="18"/>
      <c r="O35" s="18"/>
      <c r="P35" s="18"/>
      <c r="Q35" s="19">
        <v>1</v>
      </c>
      <c r="R35" s="17">
        <f>H35</f>
        <v>35</v>
      </c>
    </row>
    <row r="36" spans="1:18" customFormat="1" x14ac:dyDescent="0.25">
      <c r="A36" s="18" t="s">
        <v>96</v>
      </c>
      <c r="B36" s="18" t="s">
        <v>34</v>
      </c>
      <c r="C36" s="18" t="s">
        <v>314</v>
      </c>
      <c r="D36" s="18"/>
      <c r="E36" s="18" t="s">
        <v>315</v>
      </c>
      <c r="F36" s="18" t="s">
        <v>20</v>
      </c>
      <c r="G36" s="19">
        <v>30</v>
      </c>
      <c r="H36" s="19">
        <v>30</v>
      </c>
      <c r="I36" s="19">
        <f t="shared" ref="I36:I52" si="3">G36-H36</f>
        <v>0</v>
      </c>
      <c r="J36" s="18" t="s">
        <v>15</v>
      </c>
      <c r="K36" s="18" t="s">
        <v>15</v>
      </c>
      <c r="L36" s="18" t="s">
        <v>447</v>
      </c>
      <c r="M36" s="18"/>
      <c r="N36" s="18"/>
      <c r="O36" s="18"/>
      <c r="P36" s="18"/>
      <c r="Q36" s="19">
        <v>1</v>
      </c>
    </row>
    <row r="37" spans="1:18" customFormat="1" x14ac:dyDescent="0.25">
      <c r="A37" s="18" t="s">
        <v>96</v>
      </c>
      <c r="B37" s="18" t="s">
        <v>34</v>
      </c>
      <c r="C37" s="18" t="s">
        <v>586</v>
      </c>
      <c r="D37" s="18"/>
      <c r="E37" s="18" t="s">
        <v>587</v>
      </c>
      <c r="F37" s="18" t="s">
        <v>144</v>
      </c>
      <c r="G37" s="19">
        <v>1015</v>
      </c>
      <c r="H37" s="19">
        <v>35</v>
      </c>
      <c r="I37" s="19">
        <f t="shared" si="3"/>
        <v>980</v>
      </c>
      <c r="J37" s="18" t="s">
        <v>15</v>
      </c>
      <c r="K37" s="18" t="s">
        <v>15</v>
      </c>
      <c r="L37" s="18" t="s">
        <v>447</v>
      </c>
      <c r="M37" s="18"/>
      <c r="N37" s="18"/>
      <c r="O37" s="18"/>
      <c r="P37" s="18"/>
      <c r="Q37" s="19">
        <v>1</v>
      </c>
    </row>
    <row r="38" spans="1:18" customFormat="1" x14ac:dyDescent="0.25">
      <c r="A38" s="18"/>
      <c r="B38" s="18" t="s">
        <v>34</v>
      </c>
      <c r="C38" s="18" t="s">
        <v>470</v>
      </c>
      <c r="D38" s="18" t="s">
        <v>471</v>
      </c>
      <c r="E38" s="18" t="s">
        <v>472</v>
      </c>
      <c r="F38" s="19">
        <v>10</v>
      </c>
      <c r="G38" s="19">
        <v>1505</v>
      </c>
      <c r="H38" s="19">
        <v>25</v>
      </c>
      <c r="I38" s="19">
        <f t="shared" si="3"/>
        <v>1480</v>
      </c>
      <c r="J38" s="18" t="s">
        <v>160</v>
      </c>
      <c r="K38" s="18" t="s">
        <v>15</v>
      </c>
      <c r="L38" s="18" t="s">
        <v>447</v>
      </c>
      <c r="M38" s="18"/>
      <c r="N38" s="18"/>
      <c r="O38" s="18"/>
      <c r="P38" s="18"/>
      <c r="Q38" s="19">
        <v>1</v>
      </c>
    </row>
    <row r="39" spans="1:18" customFormat="1" x14ac:dyDescent="0.25">
      <c r="A39" s="18"/>
      <c r="B39" s="18" t="s">
        <v>34</v>
      </c>
      <c r="C39" s="18" t="s">
        <v>473</v>
      </c>
      <c r="D39" s="18" t="s">
        <v>474</v>
      </c>
      <c r="E39" s="18" t="s">
        <v>475</v>
      </c>
      <c r="F39" s="19">
        <v>4</v>
      </c>
      <c r="G39" s="19">
        <v>815</v>
      </c>
      <c r="H39" s="19">
        <v>25</v>
      </c>
      <c r="I39" s="19">
        <f t="shared" si="3"/>
        <v>790</v>
      </c>
      <c r="J39" s="18" t="s">
        <v>160</v>
      </c>
      <c r="K39" s="18" t="s">
        <v>15</v>
      </c>
      <c r="L39" s="18" t="s">
        <v>447</v>
      </c>
      <c r="M39" s="18"/>
      <c r="N39" s="18"/>
      <c r="O39" s="18"/>
      <c r="P39" s="18"/>
      <c r="Q39" s="19">
        <v>1</v>
      </c>
    </row>
    <row r="40" spans="1:18" customFormat="1" x14ac:dyDescent="0.25">
      <c r="A40" s="18"/>
      <c r="B40" s="18" t="s">
        <v>34</v>
      </c>
      <c r="C40" s="18" t="s">
        <v>489</v>
      </c>
      <c r="D40" s="18" t="s">
        <v>490</v>
      </c>
      <c r="E40" s="18" t="s">
        <v>491</v>
      </c>
      <c r="F40" s="19">
        <v>8</v>
      </c>
      <c r="G40" s="19">
        <v>820</v>
      </c>
      <c r="H40" s="19">
        <v>30</v>
      </c>
      <c r="I40" s="19">
        <f t="shared" si="3"/>
        <v>790</v>
      </c>
      <c r="J40" s="18" t="s">
        <v>160</v>
      </c>
      <c r="K40" s="18" t="s">
        <v>15</v>
      </c>
      <c r="L40" s="18" t="s">
        <v>447</v>
      </c>
      <c r="M40" s="18"/>
      <c r="N40" s="18"/>
      <c r="O40" s="18"/>
      <c r="P40" s="18"/>
      <c r="Q40" s="19">
        <v>1</v>
      </c>
    </row>
    <row r="41" spans="1:18" customFormat="1" x14ac:dyDescent="0.25">
      <c r="A41" s="18"/>
      <c r="B41" s="18" t="s">
        <v>34</v>
      </c>
      <c r="C41" s="18" t="s">
        <v>492</v>
      </c>
      <c r="D41" s="18" t="s">
        <v>493</v>
      </c>
      <c r="E41" s="18" t="s">
        <v>494</v>
      </c>
      <c r="F41" s="18" t="s">
        <v>18</v>
      </c>
      <c r="G41" s="19">
        <v>845</v>
      </c>
      <c r="H41" s="19">
        <v>25</v>
      </c>
      <c r="I41" s="19">
        <f t="shared" si="3"/>
        <v>820</v>
      </c>
      <c r="J41" s="18" t="s">
        <v>160</v>
      </c>
      <c r="K41" s="18" t="s">
        <v>15</v>
      </c>
      <c r="L41" s="18" t="s">
        <v>447</v>
      </c>
      <c r="M41" s="18"/>
      <c r="N41" s="18"/>
      <c r="O41" s="18"/>
      <c r="P41" s="18"/>
      <c r="Q41" s="19">
        <v>1</v>
      </c>
    </row>
    <row r="42" spans="1:18" customFormat="1" x14ac:dyDescent="0.25">
      <c r="A42" s="18"/>
      <c r="B42" s="18" t="s">
        <v>34</v>
      </c>
      <c r="C42" s="18" t="s">
        <v>501</v>
      </c>
      <c r="D42" s="18" t="s">
        <v>502</v>
      </c>
      <c r="E42" s="18" t="s">
        <v>503</v>
      </c>
      <c r="F42" s="19">
        <v>4</v>
      </c>
      <c r="G42" s="19">
        <v>735</v>
      </c>
      <c r="H42" s="19">
        <v>25</v>
      </c>
      <c r="I42" s="19">
        <f t="shared" si="3"/>
        <v>710</v>
      </c>
      <c r="J42" s="18" t="s">
        <v>160</v>
      </c>
      <c r="K42" s="18" t="s">
        <v>15</v>
      </c>
      <c r="L42" s="18" t="s">
        <v>447</v>
      </c>
      <c r="M42" s="18"/>
      <c r="N42" s="18"/>
      <c r="O42" s="18"/>
      <c r="P42" s="18"/>
      <c r="Q42" s="19">
        <v>1</v>
      </c>
    </row>
    <row r="43" spans="1:18" s="22" customFormat="1" x14ac:dyDescent="0.25">
      <c r="A43" s="20"/>
      <c r="B43" s="20" t="s">
        <v>34</v>
      </c>
      <c r="C43" s="20" t="s">
        <v>504</v>
      </c>
      <c r="D43" s="20" t="s">
        <v>505</v>
      </c>
      <c r="E43" s="20" t="s">
        <v>506</v>
      </c>
      <c r="F43" s="21">
        <v>4</v>
      </c>
      <c r="G43" s="21">
        <v>75</v>
      </c>
      <c r="H43" s="21">
        <v>25</v>
      </c>
      <c r="I43" s="21">
        <f t="shared" si="3"/>
        <v>50</v>
      </c>
      <c r="J43" s="20" t="s">
        <v>160</v>
      </c>
      <c r="K43" s="20" t="s">
        <v>15</v>
      </c>
      <c r="L43" s="20" t="s">
        <v>447</v>
      </c>
      <c r="M43" s="20" t="s">
        <v>16</v>
      </c>
      <c r="N43" s="20"/>
      <c r="O43" s="20"/>
      <c r="P43" s="20"/>
      <c r="Q43" s="21">
        <v>1</v>
      </c>
    </row>
    <row r="44" spans="1:18" customFormat="1" x14ac:dyDescent="0.25">
      <c r="A44" s="18"/>
      <c r="B44" s="18" t="s">
        <v>34</v>
      </c>
      <c r="C44" s="18" t="s">
        <v>507</v>
      </c>
      <c r="D44" s="18" t="s">
        <v>508</v>
      </c>
      <c r="E44" s="18" t="s">
        <v>509</v>
      </c>
      <c r="F44" s="19">
        <v>4</v>
      </c>
      <c r="G44" s="19">
        <v>715</v>
      </c>
      <c r="H44" s="19">
        <v>25</v>
      </c>
      <c r="I44" s="19">
        <f t="shared" si="3"/>
        <v>690</v>
      </c>
      <c r="J44" s="18" t="s">
        <v>160</v>
      </c>
      <c r="K44" s="18" t="s">
        <v>15</v>
      </c>
      <c r="L44" s="18" t="s">
        <v>447</v>
      </c>
      <c r="M44" s="18"/>
      <c r="N44" s="18"/>
      <c r="O44" s="18"/>
      <c r="P44" s="18"/>
      <c r="Q44" s="19">
        <v>1</v>
      </c>
    </row>
    <row r="45" spans="1:18" customFormat="1" x14ac:dyDescent="0.25">
      <c r="A45" s="18"/>
      <c r="B45" s="18" t="s">
        <v>34</v>
      </c>
      <c r="C45" s="18" t="s">
        <v>513</v>
      </c>
      <c r="D45" s="18" t="s">
        <v>514</v>
      </c>
      <c r="E45" s="18" t="s">
        <v>515</v>
      </c>
      <c r="F45" s="19">
        <v>5</v>
      </c>
      <c r="G45" s="19">
        <v>685</v>
      </c>
      <c r="H45" s="19">
        <v>25</v>
      </c>
      <c r="I45" s="19">
        <f t="shared" si="3"/>
        <v>660</v>
      </c>
      <c r="J45" s="18" t="s">
        <v>160</v>
      </c>
      <c r="K45" s="18" t="s">
        <v>15</v>
      </c>
      <c r="L45" s="18" t="s">
        <v>447</v>
      </c>
      <c r="M45" s="18"/>
      <c r="N45" s="18"/>
      <c r="O45" s="18"/>
      <c r="P45" s="18"/>
      <c r="Q45" s="19">
        <v>1</v>
      </c>
    </row>
    <row r="46" spans="1:18" customFormat="1" x14ac:dyDescent="0.25">
      <c r="A46" s="18"/>
      <c r="B46" s="18" t="s">
        <v>34</v>
      </c>
      <c r="C46" s="18" t="s">
        <v>519</v>
      </c>
      <c r="D46" s="18" t="s">
        <v>520</v>
      </c>
      <c r="E46" s="18" t="s">
        <v>521</v>
      </c>
      <c r="F46" s="19">
        <v>5</v>
      </c>
      <c r="G46" s="19">
        <v>1185</v>
      </c>
      <c r="H46" s="19">
        <v>25</v>
      </c>
      <c r="I46" s="19">
        <f t="shared" si="3"/>
        <v>1160</v>
      </c>
      <c r="J46" s="18" t="s">
        <v>160</v>
      </c>
      <c r="K46" s="18" t="s">
        <v>15</v>
      </c>
      <c r="L46" s="18" t="s">
        <v>447</v>
      </c>
      <c r="M46" s="18"/>
      <c r="N46" s="18"/>
      <c r="O46" s="18"/>
      <c r="P46" s="18"/>
      <c r="Q46" s="19">
        <v>1</v>
      </c>
    </row>
    <row r="47" spans="1:18" customFormat="1" x14ac:dyDescent="0.25">
      <c r="A47" s="18"/>
      <c r="B47" s="18" t="s">
        <v>34</v>
      </c>
      <c r="C47" s="18" t="s">
        <v>522</v>
      </c>
      <c r="D47" s="18" t="s">
        <v>523</v>
      </c>
      <c r="E47" s="18" t="s">
        <v>524</v>
      </c>
      <c r="F47" s="19">
        <v>1</v>
      </c>
      <c r="G47" s="19">
        <v>745</v>
      </c>
      <c r="H47" s="19">
        <v>25</v>
      </c>
      <c r="I47" s="19">
        <f t="shared" si="3"/>
        <v>720</v>
      </c>
      <c r="J47" s="18" t="s">
        <v>160</v>
      </c>
      <c r="K47" s="18" t="s">
        <v>15</v>
      </c>
      <c r="L47" s="18" t="s">
        <v>447</v>
      </c>
      <c r="M47" s="18"/>
      <c r="N47" s="18"/>
      <c r="O47" s="18"/>
      <c r="P47" s="18"/>
      <c r="Q47" s="19">
        <v>1</v>
      </c>
    </row>
    <row r="48" spans="1:18" customFormat="1" x14ac:dyDescent="0.25">
      <c r="A48" s="18"/>
      <c r="B48" s="18" t="s">
        <v>34</v>
      </c>
      <c r="C48" s="18" t="s">
        <v>525</v>
      </c>
      <c r="D48" s="18" t="s">
        <v>526</v>
      </c>
      <c r="E48" s="18" t="s">
        <v>527</v>
      </c>
      <c r="F48" s="19">
        <v>10</v>
      </c>
      <c r="G48" s="19">
        <v>1255</v>
      </c>
      <c r="H48" s="19">
        <v>25</v>
      </c>
      <c r="I48" s="19">
        <f t="shared" si="3"/>
        <v>1230</v>
      </c>
      <c r="J48" s="18" t="s">
        <v>160</v>
      </c>
      <c r="K48" s="18" t="s">
        <v>15</v>
      </c>
      <c r="L48" s="18" t="s">
        <v>447</v>
      </c>
      <c r="M48" s="18"/>
      <c r="N48" s="18"/>
      <c r="O48" s="18"/>
      <c r="P48" s="18"/>
      <c r="Q48" s="19">
        <v>1</v>
      </c>
    </row>
    <row r="49" spans="1:18" customFormat="1" x14ac:dyDescent="0.25">
      <c r="A49" s="18"/>
      <c r="B49" s="18" t="s">
        <v>34</v>
      </c>
      <c r="C49" s="18" t="s">
        <v>531</v>
      </c>
      <c r="D49" s="18" t="s">
        <v>532</v>
      </c>
      <c r="E49" s="18" t="s">
        <v>533</v>
      </c>
      <c r="F49" s="18" t="s">
        <v>17</v>
      </c>
      <c r="G49" s="19">
        <v>370</v>
      </c>
      <c r="H49" s="19">
        <v>20</v>
      </c>
      <c r="I49" s="19">
        <f t="shared" si="3"/>
        <v>350</v>
      </c>
      <c r="J49" s="18" t="s">
        <v>160</v>
      </c>
      <c r="K49" s="18" t="s">
        <v>15</v>
      </c>
      <c r="L49" s="18" t="s">
        <v>447</v>
      </c>
      <c r="M49" s="18"/>
      <c r="N49" s="18"/>
      <c r="O49" s="18"/>
      <c r="P49" s="18"/>
      <c r="Q49" s="19">
        <v>1</v>
      </c>
    </row>
    <row r="50" spans="1:18" customFormat="1" x14ac:dyDescent="0.25">
      <c r="A50" s="18"/>
      <c r="B50" s="18" t="s">
        <v>34</v>
      </c>
      <c r="C50" s="18" t="s">
        <v>534</v>
      </c>
      <c r="D50" s="18" t="s">
        <v>535</v>
      </c>
      <c r="E50" s="18" t="s">
        <v>536</v>
      </c>
      <c r="F50" s="19">
        <v>1</v>
      </c>
      <c r="G50" s="19">
        <v>915</v>
      </c>
      <c r="H50" s="19">
        <v>25</v>
      </c>
      <c r="I50" s="19">
        <f t="shared" si="3"/>
        <v>890</v>
      </c>
      <c r="J50" s="18" t="s">
        <v>160</v>
      </c>
      <c r="K50" s="18" t="s">
        <v>15</v>
      </c>
      <c r="L50" s="18" t="s">
        <v>447</v>
      </c>
      <c r="M50" s="18"/>
      <c r="N50" s="18"/>
      <c r="O50" s="18"/>
      <c r="P50" s="18"/>
      <c r="Q50" s="19">
        <v>1</v>
      </c>
    </row>
    <row r="51" spans="1:18" customFormat="1" x14ac:dyDescent="0.25">
      <c r="A51" s="18"/>
      <c r="B51" s="18" t="s">
        <v>34</v>
      </c>
      <c r="C51" s="18" t="s">
        <v>537</v>
      </c>
      <c r="D51" s="18" t="s">
        <v>538</v>
      </c>
      <c r="E51" s="18" t="s">
        <v>539</v>
      </c>
      <c r="F51" s="19">
        <v>1</v>
      </c>
      <c r="G51" s="19">
        <v>1635</v>
      </c>
      <c r="H51" s="19">
        <v>25</v>
      </c>
      <c r="I51" s="19">
        <f t="shared" si="3"/>
        <v>1610</v>
      </c>
      <c r="J51" s="18" t="s">
        <v>160</v>
      </c>
      <c r="K51" s="18" t="s">
        <v>15</v>
      </c>
      <c r="L51" s="18" t="s">
        <v>447</v>
      </c>
      <c r="M51" s="18"/>
      <c r="N51" s="18"/>
      <c r="O51" s="18"/>
      <c r="P51" s="18"/>
      <c r="Q51" s="19">
        <v>1</v>
      </c>
    </row>
    <row r="52" spans="1:18" customFormat="1" x14ac:dyDescent="0.25">
      <c r="A52" s="18"/>
      <c r="B52" s="18" t="s">
        <v>34</v>
      </c>
      <c r="C52" s="18" t="s">
        <v>546</v>
      </c>
      <c r="D52" s="18" t="s">
        <v>547</v>
      </c>
      <c r="E52" s="18" t="s">
        <v>548</v>
      </c>
      <c r="F52" s="19">
        <v>10</v>
      </c>
      <c r="G52" s="19">
        <v>465</v>
      </c>
      <c r="H52" s="19">
        <v>25</v>
      </c>
      <c r="I52" s="19">
        <f t="shared" si="3"/>
        <v>440</v>
      </c>
      <c r="J52" s="18" t="s">
        <v>160</v>
      </c>
      <c r="K52" s="18" t="s">
        <v>15</v>
      </c>
      <c r="L52" s="18" t="s">
        <v>447</v>
      </c>
      <c r="M52" s="18"/>
      <c r="N52" s="18"/>
      <c r="O52" s="18"/>
      <c r="P52" s="18"/>
      <c r="Q52" s="19">
        <v>1</v>
      </c>
    </row>
    <row r="53" spans="1:18" customFormat="1" x14ac:dyDescent="0.25">
      <c r="A53" s="18"/>
      <c r="B53" s="18" t="s">
        <v>34</v>
      </c>
      <c r="C53" s="18" t="s">
        <v>555</v>
      </c>
      <c r="D53" s="18" t="s">
        <v>556</v>
      </c>
      <c r="E53" s="18" t="s">
        <v>557</v>
      </c>
      <c r="F53" s="19">
        <v>4</v>
      </c>
      <c r="G53" s="19">
        <v>0</v>
      </c>
      <c r="H53" s="19">
        <v>25</v>
      </c>
      <c r="I53" s="19">
        <f>-H53</f>
        <v>-25</v>
      </c>
      <c r="J53" s="18" t="s">
        <v>160</v>
      </c>
      <c r="K53" s="18" t="s">
        <v>15</v>
      </c>
      <c r="L53" s="18" t="s">
        <v>447</v>
      </c>
      <c r="M53" s="18"/>
      <c r="N53" s="18"/>
      <c r="O53" s="18"/>
      <c r="P53" s="18"/>
      <c r="Q53" s="19">
        <v>1</v>
      </c>
      <c r="R53" s="17">
        <f>H53</f>
        <v>25</v>
      </c>
    </row>
    <row r="54" spans="1:18" customFormat="1" x14ac:dyDescent="0.25">
      <c r="A54" s="18" t="s">
        <v>96</v>
      </c>
      <c r="B54" s="18" t="s">
        <v>34</v>
      </c>
      <c r="C54" s="18" t="s">
        <v>579</v>
      </c>
      <c r="D54" s="18"/>
      <c r="E54" s="18" t="s">
        <v>580</v>
      </c>
      <c r="F54" s="19">
        <v>4</v>
      </c>
      <c r="G54" s="19">
        <v>30</v>
      </c>
      <c r="H54" s="19">
        <v>30</v>
      </c>
      <c r="I54" s="19">
        <f>G54-H54</f>
        <v>0</v>
      </c>
      <c r="J54" s="18" t="s">
        <v>160</v>
      </c>
      <c r="K54" s="18" t="s">
        <v>15</v>
      </c>
      <c r="L54" s="18" t="s">
        <v>447</v>
      </c>
      <c r="M54" s="18"/>
      <c r="N54" s="18"/>
      <c r="O54" s="18"/>
      <c r="P54" s="18"/>
      <c r="Q54" s="19">
        <v>1</v>
      </c>
    </row>
    <row r="56" spans="1:18" x14ac:dyDescent="0.25">
      <c r="G56" s="1">
        <f t="shared" ref="G56:R56" si="4">SUBTOTAL(9,G3:G55)</f>
        <v>34965</v>
      </c>
      <c r="H56" s="1">
        <f t="shared" si="4"/>
        <v>1455</v>
      </c>
      <c r="I56" s="1">
        <f t="shared" si="4"/>
        <v>33510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52</v>
      </c>
      <c r="R56" s="1">
        <f t="shared" si="4"/>
        <v>250</v>
      </c>
    </row>
    <row r="57" spans="1:18" x14ac:dyDescent="0.25">
      <c r="I57" s="1">
        <v>-860</v>
      </c>
      <c r="J57" s="1" t="s">
        <v>588</v>
      </c>
    </row>
    <row r="60" spans="1:18" ht="20.25" customHeight="1" x14ac:dyDescent="0.3">
      <c r="H60" s="4" t="s">
        <v>441</v>
      </c>
      <c r="I60" s="5" t="s">
        <v>21</v>
      </c>
      <c r="J60" s="6" t="s">
        <v>22</v>
      </c>
    </row>
    <row r="61" spans="1:18" ht="15.75" customHeight="1" x14ac:dyDescent="0.25">
      <c r="H61" s="7" t="s">
        <v>23</v>
      </c>
      <c r="I61" s="8">
        <f>SUM(I55:I59)</f>
        <v>32650</v>
      </c>
      <c r="J61" s="8">
        <f>Q56</f>
        <v>52</v>
      </c>
    </row>
    <row r="62" spans="1:18" x14ac:dyDescent="0.25">
      <c r="H62" s="9" t="s">
        <v>24</v>
      </c>
      <c r="I62" s="10">
        <f>R56</f>
        <v>250</v>
      </c>
      <c r="J62" s="11"/>
    </row>
    <row r="63" spans="1:18" x14ac:dyDescent="0.25">
      <c r="H63" s="9" t="s">
        <v>25</v>
      </c>
      <c r="I63" s="10">
        <f>S55</f>
        <v>0</v>
      </c>
      <c r="J63" s="11"/>
    </row>
    <row r="64" spans="1:18" x14ac:dyDescent="0.25">
      <c r="H64" s="9" t="s">
        <v>26</v>
      </c>
      <c r="I64" s="10">
        <f>T55</f>
        <v>0</v>
      </c>
      <c r="J64" s="11"/>
    </row>
    <row r="65" spans="8:10" x14ac:dyDescent="0.25">
      <c r="H65" s="9" t="s">
        <v>27</v>
      </c>
      <c r="I65" s="10">
        <f>U55</f>
        <v>0</v>
      </c>
      <c r="J65" s="11"/>
    </row>
    <row r="66" spans="8:10" ht="15.75" customHeight="1" x14ac:dyDescent="0.25">
      <c r="H66" s="12" t="s">
        <v>28</v>
      </c>
      <c r="I66" s="13"/>
      <c r="J66" s="13"/>
    </row>
    <row r="67" spans="8:10" ht="15.75" customHeight="1" x14ac:dyDescent="0.25">
      <c r="H67" s="14" t="s">
        <v>29</v>
      </c>
      <c r="I67" s="13"/>
      <c r="J67" s="13"/>
    </row>
    <row r="68" spans="8:10" ht="21" customHeight="1" x14ac:dyDescent="0.35">
      <c r="H68" s="15" t="s">
        <v>30</v>
      </c>
      <c r="I68" s="16">
        <f>SUM(I61:I67)</f>
        <v>32900</v>
      </c>
      <c r="J68" s="16">
        <f>SUM(J61:J65)</f>
        <v>52</v>
      </c>
    </row>
  </sheetData>
  <autoFilter ref="A2:P54" xr:uid="{00000000-0009-0000-0000-000006000000}">
    <sortState xmlns:xlrd2="http://schemas.microsoft.com/office/spreadsheetml/2017/richdata2" ref="A3:P54">
      <sortCondition ref="J2:J5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89614-9040-44FF-A0BC-959B92F97DFE}">
  <dimension ref="A1:R48"/>
  <sheetViews>
    <sheetView topLeftCell="A22" workbookViewId="0">
      <selection activeCell="J30" sqref="J3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591</v>
      </c>
      <c r="C1" s="1" t="s">
        <v>592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594</v>
      </c>
      <c r="D3" s="18" t="s">
        <v>595</v>
      </c>
      <c r="E3" s="18" t="s">
        <v>596</v>
      </c>
      <c r="F3" s="18" t="s">
        <v>212</v>
      </c>
      <c r="G3" s="19">
        <v>1035</v>
      </c>
      <c r="H3" s="19">
        <v>25</v>
      </c>
      <c r="I3" s="19">
        <f t="shared" ref="I3:I15" si="0">G3-H3</f>
        <v>1010</v>
      </c>
      <c r="J3" s="18" t="s">
        <v>597</v>
      </c>
      <c r="K3" s="18" t="s">
        <v>15</v>
      </c>
      <c r="L3" s="18" t="s">
        <v>598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599</v>
      </c>
      <c r="D4" s="18" t="s">
        <v>600</v>
      </c>
      <c r="E4" s="18" t="s">
        <v>601</v>
      </c>
      <c r="F4" s="18" t="s">
        <v>38</v>
      </c>
      <c r="G4" s="19">
        <v>820</v>
      </c>
      <c r="H4" s="19">
        <v>30</v>
      </c>
      <c r="I4" s="19">
        <f t="shared" si="0"/>
        <v>790</v>
      </c>
      <c r="J4" s="18" t="s">
        <v>597</v>
      </c>
      <c r="K4" s="18" t="s">
        <v>15</v>
      </c>
      <c r="L4" s="18" t="s">
        <v>598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602</v>
      </c>
      <c r="D5" s="18" t="s">
        <v>603</v>
      </c>
      <c r="E5" s="18" t="s">
        <v>604</v>
      </c>
      <c r="F5" s="19">
        <v>7</v>
      </c>
      <c r="G5" s="19">
        <v>780</v>
      </c>
      <c r="H5" s="19">
        <v>30</v>
      </c>
      <c r="I5" s="19">
        <f t="shared" si="0"/>
        <v>750</v>
      </c>
      <c r="J5" s="18" t="s">
        <v>597</v>
      </c>
      <c r="K5" s="18" t="s">
        <v>15</v>
      </c>
      <c r="L5" s="18" t="s">
        <v>598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605</v>
      </c>
      <c r="D6" s="18" t="s">
        <v>606</v>
      </c>
      <c r="E6" s="18" t="s">
        <v>607</v>
      </c>
      <c r="F6" s="18" t="s">
        <v>38</v>
      </c>
      <c r="G6" s="19">
        <v>2500</v>
      </c>
      <c r="H6" s="19">
        <v>35</v>
      </c>
      <c r="I6" s="19">
        <f t="shared" si="0"/>
        <v>2465</v>
      </c>
      <c r="J6" s="18" t="s">
        <v>597</v>
      </c>
      <c r="K6" s="18" t="s">
        <v>15</v>
      </c>
      <c r="L6" s="18" t="s">
        <v>598</v>
      </c>
      <c r="M6" s="27" t="s">
        <v>377</v>
      </c>
      <c r="N6" s="18"/>
      <c r="O6" s="18"/>
      <c r="P6" s="18"/>
      <c r="Q6" s="18">
        <v>1</v>
      </c>
      <c r="R6" s="17">
        <f>H6</f>
        <v>35</v>
      </c>
    </row>
    <row r="7" spans="1:18" customFormat="1" x14ac:dyDescent="0.25">
      <c r="A7" s="18"/>
      <c r="B7" s="18" t="s">
        <v>34</v>
      </c>
      <c r="C7" s="18" t="s">
        <v>608</v>
      </c>
      <c r="D7" s="18" t="s">
        <v>609</v>
      </c>
      <c r="E7" s="18" t="s">
        <v>610</v>
      </c>
      <c r="F7" s="19">
        <v>6</v>
      </c>
      <c r="G7" s="19">
        <v>845</v>
      </c>
      <c r="H7" s="19">
        <v>25</v>
      </c>
      <c r="I7" s="19">
        <f t="shared" si="0"/>
        <v>820</v>
      </c>
      <c r="J7" s="18" t="s">
        <v>597</v>
      </c>
      <c r="K7" s="18" t="s">
        <v>15</v>
      </c>
      <c r="L7" s="18" t="s">
        <v>598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611</v>
      </c>
      <c r="D8" s="18" t="s">
        <v>612</v>
      </c>
      <c r="E8" s="18" t="s">
        <v>613</v>
      </c>
      <c r="F8" s="19">
        <v>8</v>
      </c>
      <c r="G8" s="19">
        <v>620</v>
      </c>
      <c r="H8" s="19">
        <v>30</v>
      </c>
      <c r="I8" s="19">
        <f t="shared" si="0"/>
        <v>590</v>
      </c>
      <c r="J8" s="18" t="s">
        <v>597</v>
      </c>
      <c r="K8" s="18" t="s">
        <v>15</v>
      </c>
      <c r="L8" s="18" t="s">
        <v>598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41</v>
      </c>
      <c r="D9" s="18" t="s">
        <v>614</v>
      </c>
      <c r="E9" s="18" t="s">
        <v>43</v>
      </c>
      <c r="F9" s="19">
        <v>7</v>
      </c>
      <c r="G9" s="19">
        <v>820</v>
      </c>
      <c r="H9" s="19">
        <v>30</v>
      </c>
      <c r="I9" s="19">
        <f t="shared" si="0"/>
        <v>790</v>
      </c>
      <c r="J9" s="18" t="s">
        <v>597</v>
      </c>
      <c r="K9" s="18" t="s">
        <v>15</v>
      </c>
      <c r="L9" s="18" t="s">
        <v>598</v>
      </c>
      <c r="M9" s="18"/>
      <c r="N9" s="18"/>
      <c r="O9" s="18"/>
      <c r="P9" s="18"/>
      <c r="Q9" s="18">
        <v>1</v>
      </c>
    </row>
    <row r="10" spans="1:18" customFormat="1" x14ac:dyDescent="0.25">
      <c r="A10" s="18" t="s">
        <v>96</v>
      </c>
      <c r="B10" s="18" t="s">
        <v>34</v>
      </c>
      <c r="C10" s="18" t="s">
        <v>615</v>
      </c>
      <c r="D10" s="18"/>
      <c r="E10" s="18" t="s">
        <v>616</v>
      </c>
      <c r="F10" s="19">
        <v>6</v>
      </c>
      <c r="G10" s="19">
        <v>1110</v>
      </c>
      <c r="H10" s="19">
        <v>30</v>
      </c>
      <c r="I10" s="19">
        <f t="shared" si="0"/>
        <v>1080</v>
      </c>
      <c r="J10" s="18" t="s">
        <v>597</v>
      </c>
      <c r="K10" s="18" t="s">
        <v>15</v>
      </c>
      <c r="L10" s="18" t="s">
        <v>598</v>
      </c>
      <c r="M10" s="18"/>
      <c r="N10" s="18"/>
      <c r="O10" s="18"/>
      <c r="P10" s="18"/>
      <c r="Q10" s="18">
        <v>1</v>
      </c>
    </row>
    <row r="11" spans="1:18" customFormat="1" x14ac:dyDescent="0.25">
      <c r="A11" s="18" t="s">
        <v>96</v>
      </c>
      <c r="B11" s="18" t="s">
        <v>34</v>
      </c>
      <c r="C11" s="18" t="s">
        <v>617</v>
      </c>
      <c r="D11" s="18"/>
      <c r="E11" s="18" t="s">
        <v>618</v>
      </c>
      <c r="F11" s="18" t="s">
        <v>254</v>
      </c>
      <c r="G11" s="19">
        <v>45</v>
      </c>
      <c r="H11" s="19">
        <v>45</v>
      </c>
      <c r="I11" s="19">
        <f t="shared" si="0"/>
        <v>0</v>
      </c>
      <c r="J11" s="18" t="s">
        <v>597</v>
      </c>
      <c r="K11" s="18" t="s">
        <v>15</v>
      </c>
      <c r="L11" s="18" t="s">
        <v>598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619</v>
      </c>
      <c r="D12" s="18" t="s">
        <v>620</v>
      </c>
      <c r="E12" s="18" t="s">
        <v>621</v>
      </c>
      <c r="F12" s="19">
        <v>2</v>
      </c>
      <c r="G12" s="19">
        <v>850</v>
      </c>
      <c r="H12" s="19">
        <v>30</v>
      </c>
      <c r="I12" s="19">
        <f t="shared" si="0"/>
        <v>820</v>
      </c>
      <c r="J12" s="18" t="s">
        <v>15</v>
      </c>
      <c r="K12" s="18" t="s">
        <v>15</v>
      </c>
      <c r="L12" s="18" t="s">
        <v>598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622</v>
      </c>
      <c r="D13" s="18" t="s">
        <v>623</v>
      </c>
      <c r="E13" s="18" t="s">
        <v>624</v>
      </c>
      <c r="F13" s="18" t="s">
        <v>144</v>
      </c>
      <c r="G13" s="19">
        <v>1840</v>
      </c>
      <c r="H13" s="19">
        <v>30</v>
      </c>
      <c r="I13" s="19">
        <f t="shared" si="0"/>
        <v>1810</v>
      </c>
      <c r="J13" s="18" t="s">
        <v>15</v>
      </c>
      <c r="K13" s="18" t="s">
        <v>15</v>
      </c>
      <c r="L13" s="18" t="s">
        <v>598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625</v>
      </c>
      <c r="D14" s="18" t="s">
        <v>626</v>
      </c>
      <c r="E14" s="18" t="s">
        <v>627</v>
      </c>
      <c r="F14" s="18" t="s">
        <v>19</v>
      </c>
      <c r="G14" s="19">
        <v>815</v>
      </c>
      <c r="H14" s="19">
        <v>25</v>
      </c>
      <c r="I14" s="19">
        <f t="shared" si="0"/>
        <v>790</v>
      </c>
      <c r="J14" s="18" t="s">
        <v>15</v>
      </c>
      <c r="K14" s="18" t="s">
        <v>15</v>
      </c>
      <c r="L14" s="18" t="s">
        <v>598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628</v>
      </c>
      <c r="D15" s="18" t="s">
        <v>629</v>
      </c>
      <c r="E15" s="18" t="s">
        <v>630</v>
      </c>
      <c r="F15" s="18" t="s">
        <v>20</v>
      </c>
      <c r="G15" s="19">
        <v>815</v>
      </c>
      <c r="H15" s="19">
        <v>25</v>
      </c>
      <c r="I15" s="19">
        <f t="shared" si="0"/>
        <v>790</v>
      </c>
      <c r="J15" s="18" t="s">
        <v>15</v>
      </c>
      <c r="K15" s="18" t="s">
        <v>15</v>
      </c>
      <c r="L15" s="18" t="s">
        <v>598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631</v>
      </c>
      <c r="D16" s="18" t="s">
        <v>632</v>
      </c>
      <c r="E16" s="18" t="s">
        <v>633</v>
      </c>
      <c r="F16" s="19">
        <v>12</v>
      </c>
      <c r="G16" s="19">
        <v>0</v>
      </c>
      <c r="H16" s="19">
        <v>30</v>
      </c>
      <c r="I16" s="19">
        <f>-H16</f>
        <v>-30</v>
      </c>
      <c r="J16" s="18" t="s">
        <v>15</v>
      </c>
      <c r="K16" s="18" t="s">
        <v>15</v>
      </c>
      <c r="L16" s="18" t="s">
        <v>598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634</v>
      </c>
      <c r="D17" s="18" t="s">
        <v>635</v>
      </c>
      <c r="E17" s="18" t="s">
        <v>636</v>
      </c>
      <c r="F17" s="18" t="s">
        <v>144</v>
      </c>
      <c r="G17" s="19">
        <v>0</v>
      </c>
      <c r="H17" s="19">
        <v>30</v>
      </c>
      <c r="I17" s="19">
        <f>-H17</f>
        <v>-30</v>
      </c>
      <c r="J17" s="18" t="s">
        <v>15</v>
      </c>
      <c r="K17" s="18" t="s">
        <v>15</v>
      </c>
      <c r="L17" s="18" t="s">
        <v>598</v>
      </c>
      <c r="M17" s="18"/>
      <c r="N17" s="18"/>
      <c r="O17" s="18"/>
      <c r="P17" s="18"/>
      <c r="Q17" s="18">
        <v>1</v>
      </c>
      <c r="R17" s="17">
        <f>H17</f>
        <v>30</v>
      </c>
    </row>
    <row r="18" spans="1:18" customFormat="1" x14ac:dyDescent="0.25">
      <c r="A18" s="18"/>
      <c r="B18" s="18" t="s">
        <v>34</v>
      </c>
      <c r="C18" s="18" t="s">
        <v>637</v>
      </c>
      <c r="D18" s="18" t="s">
        <v>638</v>
      </c>
      <c r="E18" s="18" t="s">
        <v>639</v>
      </c>
      <c r="F18" s="18" t="s">
        <v>20</v>
      </c>
      <c r="G18" s="19">
        <v>695</v>
      </c>
      <c r="H18" s="19">
        <v>25</v>
      </c>
      <c r="I18" s="19">
        <f>G18-H18</f>
        <v>670</v>
      </c>
      <c r="J18" s="18" t="s">
        <v>15</v>
      </c>
      <c r="K18" s="18" t="s">
        <v>15</v>
      </c>
      <c r="L18" s="18" t="s">
        <v>598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640</v>
      </c>
      <c r="D19" s="18"/>
      <c r="E19" s="18" t="s">
        <v>641</v>
      </c>
      <c r="F19" s="18" t="s">
        <v>20</v>
      </c>
      <c r="G19" s="19">
        <v>4895</v>
      </c>
      <c r="H19" s="19">
        <v>35</v>
      </c>
      <c r="I19" s="19">
        <f>G19-H19</f>
        <v>4860</v>
      </c>
      <c r="J19" s="18" t="s">
        <v>15</v>
      </c>
      <c r="K19" s="18" t="s">
        <v>15</v>
      </c>
      <c r="L19" s="18" t="s">
        <v>598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642</v>
      </c>
      <c r="D20" s="18"/>
      <c r="E20" s="18" t="s">
        <v>643</v>
      </c>
      <c r="F20" s="19">
        <v>12</v>
      </c>
      <c r="G20" s="19">
        <v>0</v>
      </c>
      <c r="H20" s="19">
        <v>35</v>
      </c>
      <c r="I20" s="19">
        <f>-H20</f>
        <v>-35</v>
      </c>
      <c r="J20" s="18" t="s">
        <v>15</v>
      </c>
      <c r="K20" s="18" t="s">
        <v>15</v>
      </c>
      <c r="L20" s="18" t="s">
        <v>598</v>
      </c>
      <c r="M20" s="18"/>
      <c r="N20" s="18"/>
      <c r="O20" s="18"/>
      <c r="P20" s="18"/>
      <c r="Q20" s="18">
        <v>1</v>
      </c>
      <c r="R20" s="17">
        <f t="shared" ref="R20:R21" si="1">H20</f>
        <v>35</v>
      </c>
    </row>
    <row r="21" spans="1:18" customFormat="1" x14ac:dyDescent="0.25">
      <c r="A21" s="18" t="s">
        <v>96</v>
      </c>
      <c r="B21" s="18" t="s">
        <v>34</v>
      </c>
      <c r="C21" s="18" t="s">
        <v>644</v>
      </c>
      <c r="D21" s="18"/>
      <c r="E21" s="18" t="s">
        <v>422</v>
      </c>
      <c r="F21" s="19">
        <v>12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598</v>
      </c>
      <c r="M21" s="18"/>
      <c r="N21" s="18"/>
      <c r="O21" s="18"/>
      <c r="P21" s="18"/>
      <c r="Q21" s="18">
        <v>1</v>
      </c>
      <c r="R21" s="17">
        <f t="shared" si="1"/>
        <v>35</v>
      </c>
    </row>
    <row r="22" spans="1:18" customFormat="1" x14ac:dyDescent="0.25">
      <c r="A22" s="18"/>
      <c r="B22" s="18" t="s">
        <v>34</v>
      </c>
      <c r="C22" s="18" t="s">
        <v>645</v>
      </c>
      <c r="D22" s="18" t="s">
        <v>646</v>
      </c>
      <c r="E22" s="18" t="s">
        <v>647</v>
      </c>
      <c r="F22" s="19">
        <v>1</v>
      </c>
      <c r="G22" s="19">
        <v>745</v>
      </c>
      <c r="H22" s="19">
        <v>25</v>
      </c>
      <c r="I22" s="19">
        <f t="shared" ref="I22:I27" si="2">G22-H22</f>
        <v>720</v>
      </c>
      <c r="J22" s="18" t="s">
        <v>160</v>
      </c>
      <c r="K22" s="18" t="s">
        <v>15</v>
      </c>
      <c r="L22" s="18" t="s">
        <v>598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648</v>
      </c>
      <c r="D23" s="18" t="s">
        <v>649</v>
      </c>
      <c r="E23" s="18" t="s">
        <v>650</v>
      </c>
      <c r="F23" s="19">
        <v>3</v>
      </c>
      <c r="G23" s="19">
        <v>1025</v>
      </c>
      <c r="H23" s="19">
        <v>25</v>
      </c>
      <c r="I23" s="19">
        <f t="shared" si="2"/>
        <v>1000</v>
      </c>
      <c r="J23" s="18" t="s">
        <v>160</v>
      </c>
      <c r="K23" s="18" t="s">
        <v>15</v>
      </c>
      <c r="L23" s="18" t="s">
        <v>598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651</v>
      </c>
      <c r="D24" s="18" t="s">
        <v>652</v>
      </c>
      <c r="E24" s="18" t="s">
        <v>653</v>
      </c>
      <c r="F24" s="18" t="s">
        <v>18</v>
      </c>
      <c r="G24" s="19">
        <v>115</v>
      </c>
      <c r="H24" s="19">
        <v>25</v>
      </c>
      <c r="I24" s="19">
        <f t="shared" si="2"/>
        <v>90</v>
      </c>
      <c r="J24" s="18" t="s">
        <v>160</v>
      </c>
      <c r="K24" s="18" t="s">
        <v>15</v>
      </c>
      <c r="L24" s="18" t="s">
        <v>598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654</v>
      </c>
      <c r="D25" s="18" t="s">
        <v>655</v>
      </c>
      <c r="E25" s="18" t="s">
        <v>656</v>
      </c>
      <c r="F25" s="18" t="s">
        <v>18</v>
      </c>
      <c r="G25" s="19">
        <v>1325</v>
      </c>
      <c r="H25" s="19">
        <v>25</v>
      </c>
      <c r="I25" s="19">
        <f t="shared" si="2"/>
        <v>1300</v>
      </c>
      <c r="J25" s="18" t="s">
        <v>160</v>
      </c>
      <c r="K25" s="18" t="s">
        <v>15</v>
      </c>
      <c r="L25" s="18" t="s">
        <v>598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657</v>
      </c>
      <c r="D26" s="18" t="s">
        <v>658</v>
      </c>
      <c r="E26" s="18" t="s">
        <v>659</v>
      </c>
      <c r="F26" s="18" t="s">
        <v>18</v>
      </c>
      <c r="G26" s="19">
        <v>765</v>
      </c>
      <c r="H26" s="19">
        <v>25</v>
      </c>
      <c r="I26" s="19">
        <f t="shared" si="2"/>
        <v>740</v>
      </c>
      <c r="J26" s="18" t="s">
        <v>160</v>
      </c>
      <c r="K26" s="18" t="s">
        <v>15</v>
      </c>
      <c r="L26" s="18" t="s">
        <v>598</v>
      </c>
      <c r="M26" s="18"/>
      <c r="N26" s="18"/>
      <c r="O26" s="18"/>
      <c r="P26" s="18"/>
      <c r="Q26" s="18">
        <v>1</v>
      </c>
    </row>
    <row r="27" spans="1:18" customFormat="1" x14ac:dyDescent="0.25">
      <c r="A27" s="18" t="s">
        <v>96</v>
      </c>
      <c r="B27" s="18" t="s">
        <v>34</v>
      </c>
      <c r="C27" s="18" t="s">
        <v>660</v>
      </c>
      <c r="D27" s="18"/>
      <c r="E27" s="18" t="s">
        <v>661</v>
      </c>
      <c r="F27" s="19">
        <v>5</v>
      </c>
      <c r="G27" s="19">
        <v>30</v>
      </c>
      <c r="H27" s="19">
        <v>30</v>
      </c>
      <c r="I27" s="19">
        <f t="shared" si="2"/>
        <v>0</v>
      </c>
      <c r="J27" s="18" t="s">
        <v>160</v>
      </c>
      <c r="K27" s="18" t="s">
        <v>15</v>
      </c>
      <c r="L27" s="18" t="s">
        <v>598</v>
      </c>
      <c r="M27" s="18"/>
      <c r="N27" s="18"/>
      <c r="O27" s="18"/>
      <c r="P27" s="18"/>
      <c r="Q27" s="18">
        <v>1</v>
      </c>
    </row>
    <row r="29" spans="1:18" x14ac:dyDescent="0.25">
      <c r="G29" s="1">
        <f t="shared" ref="G29:R29" si="3">SUBTOTAL(9,G3:G28)</f>
        <v>22490</v>
      </c>
      <c r="H29" s="1">
        <f t="shared" si="3"/>
        <v>735</v>
      </c>
      <c r="I29" s="1">
        <f t="shared" si="3"/>
        <v>21755</v>
      </c>
      <c r="J29" s="1">
        <f t="shared" si="3"/>
        <v>0</v>
      </c>
      <c r="K29" s="1">
        <f t="shared" si="3"/>
        <v>0</v>
      </c>
      <c r="L29" s="1">
        <f t="shared" si="3"/>
        <v>0</v>
      </c>
      <c r="M29" s="1">
        <f t="shared" si="3"/>
        <v>0</v>
      </c>
      <c r="N29" s="1">
        <f t="shared" si="3"/>
        <v>0</v>
      </c>
      <c r="O29" s="1">
        <f t="shared" si="3"/>
        <v>0</v>
      </c>
      <c r="P29" s="1">
        <f t="shared" si="3"/>
        <v>0</v>
      </c>
      <c r="Q29" s="1">
        <f t="shared" si="3"/>
        <v>25</v>
      </c>
      <c r="R29" s="1">
        <f t="shared" si="3"/>
        <v>165</v>
      </c>
    </row>
    <row r="30" spans="1:18" x14ac:dyDescent="0.25">
      <c r="I30" s="1">
        <v>-1715</v>
      </c>
      <c r="J30" s="1" t="s">
        <v>663</v>
      </c>
    </row>
    <row r="31" spans="1:18" x14ac:dyDescent="0.25">
      <c r="I31" s="1">
        <v>-70</v>
      </c>
      <c r="J31" s="1" t="s">
        <v>666</v>
      </c>
    </row>
    <row r="32" spans="1:18" x14ac:dyDescent="0.25">
      <c r="I32" s="1">
        <v>2390</v>
      </c>
      <c r="J32" s="1" t="s">
        <v>667</v>
      </c>
    </row>
    <row r="33" spans="1:18" ht="20.25" customHeight="1" x14ac:dyDescent="0.3">
      <c r="H33" s="4" t="s">
        <v>593</v>
      </c>
      <c r="I33" s="5" t="s">
        <v>21</v>
      </c>
      <c r="J33" s="6" t="s">
        <v>22</v>
      </c>
    </row>
    <row r="34" spans="1:18" ht="15.75" customHeight="1" x14ac:dyDescent="0.25">
      <c r="H34" s="7" t="s">
        <v>23</v>
      </c>
      <c r="I34" s="8">
        <f>SUM(I28:I32)</f>
        <v>22360</v>
      </c>
      <c r="J34" s="8">
        <f>Q29</f>
        <v>25</v>
      </c>
    </row>
    <row r="35" spans="1:18" x14ac:dyDescent="0.25">
      <c r="H35" s="9" t="s">
        <v>24</v>
      </c>
      <c r="I35" s="10">
        <f>R29</f>
        <v>165</v>
      </c>
      <c r="J35" s="11"/>
    </row>
    <row r="36" spans="1:18" x14ac:dyDescent="0.25">
      <c r="H36" s="9" t="s">
        <v>25</v>
      </c>
      <c r="I36" s="10">
        <f>S28</f>
        <v>0</v>
      </c>
      <c r="J36" s="11"/>
    </row>
    <row r="37" spans="1:18" x14ac:dyDescent="0.25">
      <c r="H37" s="9" t="s">
        <v>26</v>
      </c>
      <c r="I37" s="10">
        <f>T28</f>
        <v>0</v>
      </c>
      <c r="J37" s="11"/>
    </row>
    <row r="38" spans="1:18" x14ac:dyDescent="0.25">
      <c r="H38" s="9" t="s">
        <v>27</v>
      </c>
      <c r="I38" s="10">
        <f>U28</f>
        <v>0</v>
      </c>
      <c r="J38" s="11"/>
    </row>
    <row r="39" spans="1:18" ht="15.75" customHeight="1" x14ac:dyDescent="0.25">
      <c r="H39" s="12" t="s">
        <v>28</v>
      </c>
      <c r="I39" s="13"/>
      <c r="J39" s="13"/>
    </row>
    <row r="40" spans="1:18" ht="15.75" customHeight="1" x14ac:dyDescent="0.25">
      <c r="H40" s="14" t="s">
        <v>29</v>
      </c>
      <c r="I40" s="13"/>
      <c r="J40" s="13"/>
    </row>
    <row r="41" spans="1:18" ht="21" customHeight="1" x14ac:dyDescent="0.35">
      <c r="H41" s="15" t="s">
        <v>30</v>
      </c>
      <c r="I41" s="16">
        <f>SUM(I34:I40)</f>
        <v>22525</v>
      </c>
      <c r="J41" s="16">
        <f>SUM(J34:J38)</f>
        <v>25</v>
      </c>
    </row>
    <row r="44" spans="1:18" x14ac:dyDescent="0.25">
      <c r="A44" s="1" t="s">
        <v>663</v>
      </c>
    </row>
    <row r="45" spans="1:18" s="23" customFormat="1" x14ac:dyDescent="0.25">
      <c r="A45" s="24" t="s">
        <v>34</v>
      </c>
      <c r="B45" s="24" t="s">
        <v>566</v>
      </c>
      <c r="C45" s="24" t="s">
        <v>567</v>
      </c>
      <c r="D45" s="24" t="s">
        <v>568</v>
      </c>
      <c r="E45" s="24">
        <v>2</v>
      </c>
      <c r="F45" s="25">
        <v>1020</v>
      </c>
      <c r="G45" s="25">
        <v>0</v>
      </c>
      <c r="H45" s="25">
        <v>1020</v>
      </c>
      <c r="I45" s="24" t="s">
        <v>662</v>
      </c>
      <c r="J45" s="24" t="s">
        <v>15</v>
      </c>
      <c r="K45" s="24" t="s">
        <v>447</v>
      </c>
      <c r="L45" s="26" t="s">
        <v>665</v>
      </c>
    </row>
    <row r="46" spans="1:18" s="23" customFormat="1" x14ac:dyDescent="0.25">
      <c r="A46" s="24" t="s">
        <v>34</v>
      </c>
      <c r="B46" s="24" t="s">
        <v>228</v>
      </c>
      <c r="C46" s="24" t="s">
        <v>229</v>
      </c>
      <c r="D46" s="24" t="s">
        <v>230</v>
      </c>
      <c r="E46" s="24" t="s">
        <v>123</v>
      </c>
      <c r="F46" s="25">
        <v>695</v>
      </c>
      <c r="G46" s="25">
        <v>0</v>
      </c>
      <c r="H46" s="25">
        <v>695</v>
      </c>
      <c r="I46" s="24" t="s">
        <v>662</v>
      </c>
      <c r="J46" s="24" t="s">
        <v>15</v>
      </c>
      <c r="K46" s="24" t="s">
        <v>177</v>
      </c>
      <c r="L46" s="26" t="s">
        <v>664</v>
      </c>
    </row>
    <row r="47" spans="1:18" x14ac:dyDescent="0.25">
      <c r="A47" s="1" t="s">
        <v>667</v>
      </c>
    </row>
    <row r="48" spans="1:18" customFormat="1" x14ac:dyDescent="0.25">
      <c r="A48" s="24" t="s">
        <v>34</v>
      </c>
      <c r="B48" s="24" t="s">
        <v>444</v>
      </c>
      <c r="C48" s="24" t="s">
        <v>445</v>
      </c>
      <c r="D48" s="24" t="s">
        <v>446</v>
      </c>
      <c r="E48" s="24" t="s">
        <v>18</v>
      </c>
      <c r="F48" s="25">
        <v>2390</v>
      </c>
      <c r="G48" s="25">
        <v>0</v>
      </c>
      <c r="H48" s="25">
        <f t="shared" ref="H48" si="4">F48-G48</f>
        <v>2390</v>
      </c>
      <c r="I48" s="24" t="s">
        <v>15</v>
      </c>
      <c r="J48" s="24" t="s">
        <v>15</v>
      </c>
      <c r="K48" s="24" t="s">
        <v>447</v>
      </c>
      <c r="L48" s="34"/>
      <c r="M48" s="1"/>
      <c r="Q48" s="17"/>
      <c r="R48" s="17"/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97B9-F2E8-4DF4-9FB4-E70914D177FE}">
  <dimension ref="A1:R63"/>
  <sheetViews>
    <sheetView topLeftCell="A37" workbookViewId="0">
      <selection activeCell="A62" sqref="A62:XFD6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7" x14ac:dyDescent="0.25">
      <c r="B1" s="1" t="s">
        <v>31</v>
      </c>
      <c r="C1" s="1" t="s">
        <v>792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18"/>
      <c r="B3" s="18" t="s">
        <v>34</v>
      </c>
      <c r="C3" s="18" t="s">
        <v>669</v>
      </c>
      <c r="D3" s="18" t="s">
        <v>670</v>
      </c>
      <c r="E3" s="18" t="s">
        <v>671</v>
      </c>
      <c r="F3" s="19">
        <v>9</v>
      </c>
      <c r="G3" s="19">
        <v>35</v>
      </c>
      <c r="H3" s="19">
        <v>35</v>
      </c>
      <c r="I3" s="19">
        <f t="shared" ref="I3:I8" si="0">G3-H3</f>
        <v>0</v>
      </c>
      <c r="J3" s="18" t="s">
        <v>56</v>
      </c>
      <c r="K3" s="18" t="s">
        <v>15</v>
      </c>
      <c r="L3" s="18" t="s">
        <v>672</v>
      </c>
      <c r="M3" s="18"/>
      <c r="N3" s="18"/>
      <c r="O3" s="18"/>
      <c r="P3" s="18"/>
      <c r="Q3" s="18">
        <v>1</v>
      </c>
    </row>
    <row r="4" spans="1:17" s="22" customFormat="1" x14ac:dyDescent="0.25">
      <c r="A4" s="20"/>
      <c r="B4" s="20" t="s">
        <v>34</v>
      </c>
      <c r="C4" s="20" t="s">
        <v>174</v>
      </c>
      <c r="D4" s="20" t="s">
        <v>673</v>
      </c>
      <c r="E4" s="20" t="s">
        <v>176</v>
      </c>
      <c r="F4" s="21">
        <v>9</v>
      </c>
      <c r="G4" s="21">
        <v>30</v>
      </c>
      <c r="H4" s="21">
        <v>30</v>
      </c>
      <c r="I4" s="21">
        <f t="shared" si="0"/>
        <v>0</v>
      </c>
      <c r="J4" s="20" t="s">
        <v>56</v>
      </c>
      <c r="K4" s="20" t="s">
        <v>15</v>
      </c>
      <c r="L4" s="20" t="s">
        <v>672</v>
      </c>
      <c r="M4" s="20" t="s">
        <v>16</v>
      </c>
      <c r="N4" s="20"/>
      <c r="O4" s="20"/>
      <c r="P4" s="20"/>
      <c r="Q4" s="20">
        <v>1</v>
      </c>
    </row>
    <row r="5" spans="1:17" customFormat="1" x14ac:dyDescent="0.25">
      <c r="A5" s="18" t="s">
        <v>96</v>
      </c>
      <c r="B5" s="18" t="s">
        <v>34</v>
      </c>
      <c r="C5" s="18" t="s">
        <v>674</v>
      </c>
      <c r="D5" s="18"/>
      <c r="E5" s="18" t="s">
        <v>675</v>
      </c>
      <c r="F5" s="18" t="s">
        <v>254</v>
      </c>
      <c r="G5" s="19">
        <v>3660</v>
      </c>
      <c r="H5" s="19">
        <v>40</v>
      </c>
      <c r="I5" s="19">
        <f t="shared" si="0"/>
        <v>3620</v>
      </c>
      <c r="J5" s="18" t="s">
        <v>676</v>
      </c>
      <c r="K5" s="18" t="s">
        <v>15</v>
      </c>
      <c r="L5" s="18" t="s">
        <v>672</v>
      </c>
      <c r="M5" s="18"/>
      <c r="N5" s="18"/>
      <c r="O5" s="18"/>
      <c r="P5" s="18"/>
      <c r="Q5" s="18">
        <v>1</v>
      </c>
    </row>
    <row r="6" spans="1:17" customFormat="1" x14ac:dyDescent="0.25">
      <c r="A6" s="18"/>
      <c r="B6" s="18" t="s">
        <v>34</v>
      </c>
      <c r="C6" s="18" t="s">
        <v>677</v>
      </c>
      <c r="D6" s="18" t="s">
        <v>678</v>
      </c>
      <c r="E6" s="18" t="s">
        <v>679</v>
      </c>
      <c r="F6" s="18" t="s">
        <v>108</v>
      </c>
      <c r="G6" s="19">
        <v>475</v>
      </c>
      <c r="H6" s="19">
        <v>35</v>
      </c>
      <c r="I6" s="19">
        <f t="shared" si="0"/>
        <v>440</v>
      </c>
      <c r="J6" s="18" t="s">
        <v>676</v>
      </c>
      <c r="K6" s="18" t="s">
        <v>15</v>
      </c>
      <c r="L6" s="18" t="s">
        <v>672</v>
      </c>
      <c r="M6" s="18"/>
      <c r="N6" s="18"/>
      <c r="O6" s="18"/>
      <c r="P6" s="18"/>
      <c r="Q6" s="18">
        <v>1</v>
      </c>
    </row>
    <row r="7" spans="1:17" customFormat="1" x14ac:dyDescent="0.25">
      <c r="A7" s="18"/>
      <c r="B7" s="18" t="s">
        <v>34</v>
      </c>
      <c r="C7" s="18" t="s">
        <v>680</v>
      </c>
      <c r="D7" s="18" t="s">
        <v>681</v>
      </c>
      <c r="E7" s="18" t="s">
        <v>682</v>
      </c>
      <c r="F7" s="19">
        <v>6</v>
      </c>
      <c r="G7" s="19">
        <v>855</v>
      </c>
      <c r="H7" s="19">
        <v>25</v>
      </c>
      <c r="I7" s="19">
        <f t="shared" si="0"/>
        <v>830</v>
      </c>
      <c r="J7" s="18" t="s">
        <v>676</v>
      </c>
      <c r="K7" s="18" t="s">
        <v>15</v>
      </c>
      <c r="L7" s="18" t="s">
        <v>672</v>
      </c>
      <c r="M7" s="18"/>
      <c r="N7" s="18"/>
      <c r="O7" s="18"/>
      <c r="P7" s="18"/>
      <c r="Q7" s="18">
        <v>1</v>
      </c>
    </row>
    <row r="8" spans="1:17" customFormat="1" x14ac:dyDescent="0.25">
      <c r="A8" s="18"/>
      <c r="B8" s="18" t="s">
        <v>34</v>
      </c>
      <c r="C8" s="18" t="s">
        <v>683</v>
      </c>
      <c r="D8" s="18" t="s">
        <v>684</v>
      </c>
      <c r="E8" s="18" t="s">
        <v>685</v>
      </c>
      <c r="F8" s="19">
        <v>7</v>
      </c>
      <c r="G8" s="19">
        <v>730</v>
      </c>
      <c r="H8" s="19">
        <v>30</v>
      </c>
      <c r="I8" s="19">
        <f t="shared" si="0"/>
        <v>700</v>
      </c>
      <c r="J8" s="18" t="s">
        <v>676</v>
      </c>
      <c r="K8" s="18" t="s">
        <v>15</v>
      </c>
      <c r="L8" s="18" t="s">
        <v>672</v>
      </c>
      <c r="M8" s="18"/>
      <c r="N8" s="18"/>
      <c r="O8" s="18"/>
      <c r="P8" s="18"/>
      <c r="Q8" s="18">
        <v>1</v>
      </c>
    </row>
    <row r="9" spans="1:17" customFormat="1" x14ac:dyDescent="0.25">
      <c r="A9" s="18"/>
      <c r="B9" s="18" t="s">
        <v>34</v>
      </c>
      <c r="C9" s="18" t="s">
        <v>191</v>
      </c>
      <c r="D9" s="18" t="s">
        <v>686</v>
      </c>
      <c r="E9" s="18" t="s">
        <v>687</v>
      </c>
      <c r="F9" s="18" t="s">
        <v>20</v>
      </c>
      <c r="G9" s="19">
        <v>0</v>
      </c>
      <c r="H9" s="19">
        <v>25</v>
      </c>
      <c r="I9" s="19">
        <f>-H9</f>
        <v>-25</v>
      </c>
      <c r="J9" s="18" t="s">
        <v>676</v>
      </c>
      <c r="K9" s="18" t="s">
        <v>15</v>
      </c>
      <c r="L9" s="18" t="s">
        <v>672</v>
      </c>
      <c r="M9" s="18"/>
      <c r="N9" s="18"/>
      <c r="O9" s="18"/>
      <c r="P9" s="18"/>
      <c r="Q9" s="18">
        <v>1</v>
      </c>
    </row>
    <row r="10" spans="1:17" customFormat="1" x14ac:dyDescent="0.25">
      <c r="A10" s="18"/>
      <c r="B10" s="18" t="s">
        <v>34</v>
      </c>
      <c r="C10" s="18" t="s">
        <v>688</v>
      </c>
      <c r="D10" s="18" t="s">
        <v>689</v>
      </c>
      <c r="E10" s="18" t="s">
        <v>690</v>
      </c>
      <c r="F10" s="19">
        <v>8</v>
      </c>
      <c r="G10" s="19">
        <v>470</v>
      </c>
      <c r="H10" s="19">
        <v>30</v>
      </c>
      <c r="I10" s="19">
        <f>G10-H10</f>
        <v>440</v>
      </c>
      <c r="J10" s="18" t="s">
        <v>676</v>
      </c>
      <c r="K10" s="18" t="s">
        <v>15</v>
      </c>
      <c r="L10" s="18" t="s">
        <v>672</v>
      </c>
      <c r="M10" s="18"/>
      <c r="N10" s="18"/>
      <c r="O10" s="18"/>
      <c r="P10" s="18"/>
      <c r="Q10" s="18">
        <v>1</v>
      </c>
    </row>
    <row r="11" spans="1:17" customFormat="1" x14ac:dyDescent="0.25">
      <c r="A11" s="18"/>
      <c r="B11" s="18" t="s">
        <v>34</v>
      </c>
      <c r="C11" s="18" t="s">
        <v>691</v>
      </c>
      <c r="D11" s="18" t="s">
        <v>692</v>
      </c>
      <c r="E11" s="18" t="s">
        <v>693</v>
      </c>
      <c r="F11" s="18" t="s">
        <v>38</v>
      </c>
      <c r="G11" s="19">
        <v>1170</v>
      </c>
      <c r="H11" s="19">
        <v>30</v>
      </c>
      <c r="I11" s="19">
        <f>G11-H11</f>
        <v>1140</v>
      </c>
      <c r="J11" s="18" t="s">
        <v>676</v>
      </c>
      <c r="K11" s="18" t="s">
        <v>15</v>
      </c>
      <c r="L11" s="18" t="s">
        <v>672</v>
      </c>
      <c r="M11" s="18"/>
      <c r="N11" s="18"/>
      <c r="O11" s="18"/>
      <c r="P11" s="18"/>
      <c r="Q11" s="18">
        <v>1</v>
      </c>
    </row>
    <row r="12" spans="1:17" customFormat="1" x14ac:dyDescent="0.25">
      <c r="A12" s="18"/>
      <c r="B12" s="18" t="s">
        <v>34</v>
      </c>
      <c r="C12" s="18" t="s">
        <v>694</v>
      </c>
      <c r="D12" s="18" t="s">
        <v>695</v>
      </c>
      <c r="E12" s="18" t="s">
        <v>696</v>
      </c>
      <c r="F12" s="19">
        <v>7</v>
      </c>
      <c r="G12" s="19">
        <v>720</v>
      </c>
      <c r="H12" s="19">
        <v>30</v>
      </c>
      <c r="I12" s="19">
        <f>G12-H12</f>
        <v>690</v>
      </c>
      <c r="J12" s="18" t="s">
        <v>676</v>
      </c>
      <c r="K12" s="18" t="s">
        <v>15</v>
      </c>
      <c r="L12" s="18" t="s">
        <v>672</v>
      </c>
      <c r="M12" s="18"/>
      <c r="N12" s="18"/>
      <c r="O12" s="18"/>
      <c r="P12" s="18"/>
      <c r="Q12" s="18">
        <v>1</v>
      </c>
    </row>
    <row r="13" spans="1:17" customFormat="1" x14ac:dyDescent="0.25">
      <c r="A13" s="18"/>
      <c r="B13" s="18" t="s">
        <v>34</v>
      </c>
      <c r="C13" s="18" t="s">
        <v>228</v>
      </c>
      <c r="D13" s="18" t="s">
        <v>697</v>
      </c>
      <c r="E13" s="18" t="s">
        <v>698</v>
      </c>
      <c r="F13" s="18" t="s">
        <v>254</v>
      </c>
      <c r="G13" s="19">
        <v>785</v>
      </c>
      <c r="H13" s="19">
        <v>35</v>
      </c>
      <c r="I13" s="19">
        <f>G13-H13</f>
        <v>750</v>
      </c>
      <c r="J13" s="18" t="s">
        <v>676</v>
      </c>
      <c r="K13" s="18" t="s">
        <v>15</v>
      </c>
      <c r="L13" s="18" t="s">
        <v>672</v>
      </c>
      <c r="M13" s="18"/>
      <c r="N13" s="18"/>
      <c r="O13" s="18"/>
      <c r="P13" s="18"/>
      <c r="Q13" s="18">
        <v>1</v>
      </c>
    </row>
    <row r="14" spans="1:17" customFormat="1" x14ac:dyDescent="0.25">
      <c r="A14" s="18"/>
      <c r="B14" s="18" t="s">
        <v>34</v>
      </c>
      <c r="C14" s="18" t="s">
        <v>699</v>
      </c>
      <c r="D14" s="18" t="s">
        <v>700</v>
      </c>
      <c r="E14" s="18" t="s">
        <v>701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676</v>
      </c>
      <c r="K14" s="18" t="s">
        <v>15</v>
      </c>
      <c r="L14" s="18" t="s">
        <v>672</v>
      </c>
      <c r="M14" s="18"/>
      <c r="N14" s="18"/>
      <c r="O14" s="18"/>
      <c r="P14" s="18"/>
      <c r="Q14" s="18">
        <v>1</v>
      </c>
    </row>
    <row r="15" spans="1:17" customFormat="1" x14ac:dyDescent="0.25">
      <c r="A15" s="18"/>
      <c r="B15" s="18" t="s">
        <v>34</v>
      </c>
      <c r="C15" s="18" t="s">
        <v>702</v>
      </c>
      <c r="D15" s="18" t="s">
        <v>703</v>
      </c>
      <c r="E15" s="18" t="s">
        <v>704</v>
      </c>
      <c r="F15" s="19">
        <v>7</v>
      </c>
      <c r="G15" s="19">
        <v>380</v>
      </c>
      <c r="H15" s="19">
        <v>30</v>
      </c>
      <c r="I15" s="19">
        <f t="shared" ref="I15:I20" si="1">G15-H15</f>
        <v>350</v>
      </c>
      <c r="J15" s="18" t="s">
        <v>676</v>
      </c>
      <c r="K15" s="18" t="s">
        <v>15</v>
      </c>
      <c r="L15" s="18" t="s">
        <v>672</v>
      </c>
      <c r="M15" s="18"/>
      <c r="N15" s="18"/>
      <c r="O15" s="18"/>
      <c r="P15" s="18"/>
      <c r="Q15" s="18">
        <v>1</v>
      </c>
    </row>
    <row r="16" spans="1:17" customFormat="1" x14ac:dyDescent="0.25">
      <c r="A16" s="18"/>
      <c r="B16" s="18" t="s">
        <v>34</v>
      </c>
      <c r="C16" s="18" t="s">
        <v>705</v>
      </c>
      <c r="D16" s="18" t="s">
        <v>706</v>
      </c>
      <c r="E16" s="18" t="s">
        <v>707</v>
      </c>
      <c r="F16" s="18" t="s">
        <v>212</v>
      </c>
      <c r="G16" s="19">
        <v>725</v>
      </c>
      <c r="H16" s="19">
        <v>25</v>
      </c>
      <c r="I16" s="19">
        <f t="shared" si="1"/>
        <v>700</v>
      </c>
      <c r="J16" s="18" t="s">
        <v>676</v>
      </c>
      <c r="K16" s="18" t="s">
        <v>15</v>
      </c>
      <c r="L16" s="18" t="s">
        <v>672</v>
      </c>
      <c r="M16" s="18"/>
      <c r="N16" s="18"/>
      <c r="O16" s="18"/>
      <c r="P16" s="18"/>
      <c r="Q16" s="18">
        <v>1</v>
      </c>
    </row>
    <row r="17" spans="1:17" customFormat="1" x14ac:dyDescent="0.25">
      <c r="A17" s="18"/>
      <c r="B17" s="18" t="s">
        <v>34</v>
      </c>
      <c r="C17" s="18" t="s">
        <v>708</v>
      </c>
      <c r="D17" s="18" t="s">
        <v>709</v>
      </c>
      <c r="E17" s="18" t="s">
        <v>710</v>
      </c>
      <c r="F17" s="19">
        <v>7</v>
      </c>
      <c r="G17" s="19">
        <v>470</v>
      </c>
      <c r="H17" s="19">
        <v>30</v>
      </c>
      <c r="I17" s="19">
        <f t="shared" si="1"/>
        <v>440</v>
      </c>
      <c r="J17" s="18" t="s">
        <v>676</v>
      </c>
      <c r="K17" s="18" t="s">
        <v>15</v>
      </c>
      <c r="L17" s="18" t="s">
        <v>672</v>
      </c>
      <c r="M17" s="18"/>
      <c r="N17" s="18"/>
      <c r="O17" s="18"/>
      <c r="P17" s="18"/>
      <c r="Q17" s="18">
        <v>1</v>
      </c>
    </row>
    <row r="18" spans="1:17" customFormat="1" x14ac:dyDescent="0.25">
      <c r="A18" s="18"/>
      <c r="B18" s="18" t="s">
        <v>34</v>
      </c>
      <c r="C18" s="18" t="s">
        <v>711</v>
      </c>
      <c r="D18" s="18" t="s">
        <v>712</v>
      </c>
      <c r="E18" s="18" t="s">
        <v>713</v>
      </c>
      <c r="F18" s="19">
        <v>6</v>
      </c>
      <c r="G18" s="19">
        <v>375</v>
      </c>
      <c r="H18" s="19">
        <v>25</v>
      </c>
      <c r="I18" s="19">
        <f t="shared" si="1"/>
        <v>350</v>
      </c>
      <c r="J18" s="18" t="s">
        <v>676</v>
      </c>
      <c r="K18" s="18" t="s">
        <v>15</v>
      </c>
      <c r="L18" s="18" t="s">
        <v>672</v>
      </c>
      <c r="M18" s="18"/>
      <c r="N18" s="18"/>
      <c r="O18" s="18"/>
      <c r="P18" s="18"/>
      <c r="Q18" s="18">
        <v>1</v>
      </c>
    </row>
    <row r="19" spans="1:17" customFormat="1" x14ac:dyDescent="0.25">
      <c r="A19" s="18"/>
      <c r="B19" s="18" t="s">
        <v>34</v>
      </c>
      <c r="C19" s="18" t="s">
        <v>516</v>
      </c>
      <c r="D19" s="18" t="s">
        <v>714</v>
      </c>
      <c r="E19" s="18" t="s">
        <v>518</v>
      </c>
      <c r="F19" s="18" t="s">
        <v>38</v>
      </c>
      <c r="G19" s="19">
        <v>2010</v>
      </c>
      <c r="H19" s="19">
        <v>30</v>
      </c>
      <c r="I19" s="19">
        <f t="shared" si="1"/>
        <v>1980</v>
      </c>
      <c r="J19" s="18" t="s">
        <v>676</v>
      </c>
      <c r="K19" s="18" t="s">
        <v>15</v>
      </c>
      <c r="L19" s="18" t="s">
        <v>672</v>
      </c>
      <c r="M19" s="18"/>
      <c r="N19" s="18"/>
      <c r="O19" s="18"/>
      <c r="P19" s="18"/>
      <c r="Q19" s="18">
        <v>1</v>
      </c>
    </row>
    <row r="20" spans="1:17" customFormat="1" x14ac:dyDescent="0.25">
      <c r="A20" s="18"/>
      <c r="B20" s="18" t="s">
        <v>34</v>
      </c>
      <c r="C20" s="18" t="s">
        <v>715</v>
      </c>
      <c r="D20" s="18" t="s">
        <v>716</v>
      </c>
      <c r="E20" s="18" t="s">
        <v>717</v>
      </c>
      <c r="F20" s="19">
        <v>12</v>
      </c>
      <c r="G20" s="19">
        <v>380</v>
      </c>
      <c r="H20" s="19">
        <v>30</v>
      </c>
      <c r="I20" s="19">
        <f t="shared" si="1"/>
        <v>350</v>
      </c>
      <c r="J20" s="18" t="s">
        <v>676</v>
      </c>
      <c r="K20" s="18" t="s">
        <v>15</v>
      </c>
      <c r="L20" s="18" t="s">
        <v>672</v>
      </c>
      <c r="M20" s="18"/>
      <c r="N20" s="18"/>
      <c r="O20" s="18"/>
      <c r="P20" s="18"/>
      <c r="Q20" s="18">
        <v>1</v>
      </c>
    </row>
    <row r="21" spans="1:17" customFormat="1" x14ac:dyDescent="0.25">
      <c r="A21" s="18" t="s">
        <v>96</v>
      </c>
      <c r="B21" s="18" t="s">
        <v>34</v>
      </c>
      <c r="C21" s="18" t="s">
        <v>718</v>
      </c>
      <c r="D21" s="18"/>
      <c r="E21" s="18" t="s">
        <v>719</v>
      </c>
      <c r="F21" s="18" t="s">
        <v>144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672</v>
      </c>
      <c r="M21" s="18"/>
      <c r="N21" s="18"/>
      <c r="O21" s="18"/>
      <c r="P21" s="18"/>
      <c r="Q21" s="18">
        <v>1</v>
      </c>
    </row>
    <row r="22" spans="1:17" customFormat="1" x14ac:dyDescent="0.25">
      <c r="A22" s="18" t="s">
        <v>96</v>
      </c>
      <c r="B22" s="18" t="s">
        <v>34</v>
      </c>
      <c r="C22" s="18" t="s">
        <v>312</v>
      </c>
      <c r="D22" s="18"/>
      <c r="E22" s="18" t="s">
        <v>313</v>
      </c>
      <c r="F22" s="18" t="s">
        <v>20</v>
      </c>
      <c r="G22" s="19">
        <v>30</v>
      </c>
      <c r="H22" s="19">
        <v>30</v>
      </c>
      <c r="I22" s="19">
        <f>G22-H22</f>
        <v>0</v>
      </c>
      <c r="J22" s="18" t="s">
        <v>15</v>
      </c>
      <c r="K22" s="18" t="s">
        <v>15</v>
      </c>
      <c r="L22" s="18" t="s">
        <v>672</v>
      </c>
      <c r="M22" s="18"/>
      <c r="N22" s="18"/>
      <c r="O22" s="18"/>
      <c r="P22" s="18"/>
      <c r="Q22" s="18">
        <v>1</v>
      </c>
    </row>
    <row r="23" spans="1:17" customFormat="1" x14ac:dyDescent="0.25">
      <c r="A23" s="18"/>
      <c r="B23" s="18" t="s">
        <v>34</v>
      </c>
      <c r="C23" s="18" t="s">
        <v>720</v>
      </c>
      <c r="D23" s="18" t="s">
        <v>721</v>
      </c>
      <c r="E23" s="18" t="s">
        <v>722</v>
      </c>
      <c r="F23" s="19">
        <v>2</v>
      </c>
      <c r="G23" s="19">
        <v>920</v>
      </c>
      <c r="H23" s="19">
        <v>30</v>
      </c>
      <c r="I23" s="19">
        <f>G23-H23</f>
        <v>890</v>
      </c>
      <c r="J23" s="18" t="s">
        <v>15</v>
      </c>
      <c r="K23" s="18" t="s">
        <v>15</v>
      </c>
      <c r="L23" s="18" t="s">
        <v>672</v>
      </c>
      <c r="M23" s="18"/>
      <c r="N23" s="18"/>
      <c r="O23" s="18"/>
      <c r="P23" s="18"/>
      <c r="Q23" s="18">
        <v>1</v>
      </c>
    </row>
    <row r="24" spans="1:17" customFormat="1" x14ac:dyDescent="0.25">
      <c r="A24" s="18"/>
      <c r="B24" s="18" t="s">
        <v>34</v>
      </c>
      <c r="C24" s="18" t="s">
        <v>148</v>
      </c>
      <c r="D24" s="18" t="s">
        <v>723</v>
      </c>
      <c r="E24" s="18" t="s">
        <v>150</v>
      </c>
      <c r="F24" s="18" t="s">
        <v>19</v>
      </c>
      <c r="G24" s="19">
        <v>0</v>
      </c>
      <c r="H24" s="19">
        <v>20</v>
      </c>
      <c r="I24" s="19">
        <f>-H24</f>
        <v>-20</v>
      </c>
      <c r="J24" s="18" t="s">
        <v>15</v>
      </c>
      <c r="K24" s="18" t="s">
        <v>15</v>
      </c>
      <c r="L24" s="18" t="s">
        <v>672</v>
      </c>
      <c r="M24" s="18"/>
      <c r="N24" s="18"/>
      <c r="O24" s="18"/>
      <c r="P24" s="18"/>
      <c r="Q24" s="18">
        <v>1</v>
      </c>
    </row>
    <row r="25" spans="1:17" customFormat="1" x14ac:dyDescent="0.25">
      <c r="A25" s="18"/>
      <c r="B25" s="18" t="s">
        <v>34</v>
      </c>
      <c r="C25" s="18" t="s">
        <v>724</v>
      </c>
      <c r="D25" s="18" t="s">
        <v>725</v>
      </c>
      <c r="E25" s="18" t="s">
        <v>726</v>
      </c>
      <c r="F25" s="19">
        <v>2</v>
      </c>
      <c r="G25" s="19">
        <v>0</v>
      </c>
      <c r="H25" s="19">
        <v>30</v>
      </c>
      <c r="I25" s="19">
        <f>-H25</f>
        <v>-30</v>
      </c>
      <c r="J25" s="18" t="s">
        <v>15</v>
      </c>
      <c r="K25" s="18" t="s">
        <v>15</v>
      </c>
      <c r="L25" s="18" t="s">
        <v>672</v>
      </c>
      <c r="M25" s="18"/>
      <c r="N25" s="18"/>
      <c r="O25" s="18"/>
      <c r="P25" s="18"/>
      <c r="Q25" s="18">
        <v>1</v>
      </c>
    </row>
    <row r="26" spans="1:17" customFormat="1" x14ac:dyDescent="0.25">
      <c r="A26" s="18"/>
      <c r="B26" s="18" t="s">
        <v>34</v>
      </c>
      <c r="C26" s="18" t="s">
        <v>727</v>
      </c>
      <c r="D26" s="18" t="s">
        <v>728</v>
      </c>
      <c r="E26" s="18" t="s">
        <v>729</v>
      </c>
      <c r="F26" s="19">
        <v>2</v>
      </c>
      <c r="G26" s="19">
        <v>1120</v>
      </c>
      <c r="H26" s="19">
        <v>30</v>
      </c>
      <c r="I26" s="19">
        <f>G26-H26</f>
        <v>1090</v>
      </c>
      <c r="J26" s="18" t="s">
        <v>15</v>
      </c>
      <c r="K26" s="18" t="s">
        <v>15</v>
      </c>
      <c r="L26" s="18" t="s">
        <v>672</v>
      </c>
      <c r="M26" s="18"/>
      <c r="N26" s="18"/>
      <c r="O26" s="18"/>
      <c r="P26" s="18"/>
      <c r="Q26" s="18">
        <v>1</v>
      </c>
    </row>
    <row r="27" spans="1:17" customFormat="1" x14ac:dyDescent="0.25">
      <c r="A27" s="18"/>
      <c r="B27" s="18" t="s">
        <v>34</v>
      </c>
      <c r="C27" s="18" t="s">
        <v>730</v>
      </c>
      <c r="D27" s="18" t="s">
        <v>731</v>
      </c>
      <c r="E27" s="18" t="s">
        <v>732</v>
      </c>
      <c r="F27" s="18" t="s">
        <v>19</v>
      </c>
      <c r="G27" s="19">
        <v>460</v>
      </c>
      <c r="H27" s="19">
        <v>20</v>
      </c>
      <c r="I27" s="19">
        <f>G27-H27</f>
        <v>440</v>
      </c>
      <c r="J27" s="18" t="s">
        <v>15</v>
      </c>
      <c r="K27" s="18" t="s">
        <v>15</v>
      </c>
      <c r="L27" s="18" t="s">
        <v>672</v>
      </c>
      <c r="M27" s="18"/>
      <c r="N27" s="18"/>
      <c r="O27" s="18"/>
      <c r="P27" s="18"/>
      <c r="Q27" s="18">
        <v>1</v>
      </c>
    </row>
    <row r="28" spans="1:17" customFormat="1" x14ac:dyDescent="0.25">
      <c r="A28" s="18"/>
      <c r="B28" s="18" t="s">
        <v>34</v>
      </c>
      <c r="C28" s="18" t="s">
        <v>733</v>
      </c>
      <c r="D28" s="18" t="s">
        <v>734</v>
      </c>
      <c r="E28" s="18" t="s">
        <v>735</v>
      </c>
      <c r="F28" s="19">
        <v>2</v>
      </c>
      <c r="G28" s="19">
        <v>0</v>
      </c>
      <c r="H28" s="19">
        <v>30</v>
      </c>
      <c r="I28" s="19">
        <f>-H28</f>
        <v>-30</v>
      </c>
      <c r="J28" s="18" t="s">
        <v>15</v>
      </c>
      <c r="K28" s="18" t="s">
        <v>15</v>
      </c>
      <c r="L28" s="18" t="s">
        <v>672</v>
      </c>
      <c r="M28" s="18"/>
      <c r="N28" s="18"/>
      <c r="O28" s="18"/>
      <c r="P28" s="18"/>
      <c r="Q28" s="18">
        <v>1</v>
      </c>
    </row>
    <row r="29" spans="1:17" customFormat="1" x14ac:dyDescent="0.25">
      <c r="A29" s="18"/>
      <c r="B29" s="18" t="s">
        <v>34</v>
      </c>
      <c r="C29" s="18" t="s">
        <v>736</v>
      </c>
      <c r="D29" s="18" t="s">
        <v>737</v>
      </c>
      <c r="E29" s="18" t="s">
        <v>738</v>
      </c>
      <c r="F29" s="18" t="s">
        <v>20</v>
      </c>
      <c r="G29" s="19">
        <v>1115</v>
      </c>
      <c r="H29" s="19">
        <v>25</v>
      </c>
      <c r="I29" s="19">
        <f>G29-H29</f>
        <v>1090</v>
      </c>
      <c r="J29" s="18" t="s">
        <v>15</v>
      </c>
      <c r="K29" s="18" t="s">
        <v>15</v>
      </c>
      <c r="L29" s="18" t="s">
        <v>672</v>
      </c>
      <c r="M29" s="18"/>
      <c r="N29" s="18"/>
      <c r="O29" s="18"/>
      <c r="P29" s="18"/>
      <c r="Q29" s="18">
        <v>1</v>
      </c>
    </row>
    <row r="30" spans="1:17" customFormat="1" x14ac:dyDescent="0.25">
      <c r="A30" s="18"/>
      <c r="B30" s="18" t="s">
        <v>34</v>
      </c>
      <c r="C30" s="18" t="s">
        <v>739</v>
      </c>
      <c r="D30" s="18" t="s">
        <v>740</v>
      </c>
      <c r="E30" s="18" t="s">
        <v>741</v>
      </c>
      <c r="F30" s="18" t="s">
        <v>144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672</v>
      </c>
      <c r="M30" s="18"/>
      <c r="N30" s="18"/>
      <c r="O30" s="18"/>
      <c r="P30" s="18"/>
      <c r="Q30" s="18">
        <v>1</v>
      </c>
    </row>
    <row r="31" spans="1:17" customFormat="1" x14ac:dyDescent="0.25">
      <c r="A31" s="18"/>
      <c r="B31" s="18" t="s">
        <v>34</v>
      </c>
      <c r="C31" s="18" t="s">
        <v>742</v>
      </c>
      <c r="D31" s="18" t="s">
        <v>743</v>
      </c>
      <c r="E31" s="18" t="s">
        <v>744</v>
      </c>
      <c r="F31" s="18" t="s">
        <v>144</v>
      </c>
      <c r="G31" s="19">
        <v>820</v>
      </c>
      <c r="H31" s="19">
        <v>30</v>
      </c>
      <c r="I31" s="19">
        <f>G31-H31</f>
        <v>790</v>
      </c>
      <c r="J31" s="18" t="s">
        <v>15</v>
      </c>
      <c r="K31" s="18" t="s">
        <v>15</v>
      </c>
      <c r="L31" s="18" t="s">
        <v>672</v>
      </c>
      <c r="M31" s="18"/>
      <c r="N31" s="18"/>
      <c r="O31" s="18"/>
      <c r="P31" s="18"/>
      <c r="Q31" s="18">
        <v>1</v>
      </c>
    </row>
    <row r="32" spans="1:17" customFormat="1" x14ac:dyDescent="0.25">
      <c r="A32" s="18"/>
      <c r="B32" s="18" t="s">
        <v>34</v>
      </c>
      <c r="C32" s="18" t="s">
        <v>745</v>
      </c>
      <c r="D32" s="18" t="s">
        <v>746</v>
      </c>
      <c r="E32" s="18" t="s">
        <v>747</v>
      </c>
      <c r="F32" s="19">
        <v>2</v>
      </c>
      <c r="G32" s="19">
        <v>740</v>
      </c>
      <c r="H32" s="19">
        <v>30</v>
      </c>
      <c r="I32" s="19">
        <f>G32-H32</f>
        <v>710</v>
      </c>
      <c r="J32" s="18" t="s">
        <v>15</v>
      </c>
      <c r="K32" s="18" t="s">
        <v>15</v>
      </c>
      <c r="L32" s="18" t="s">
        <v>672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748</v>
      </c>
      <c r="D33" s="18" t="s">
        <v>749</v>
      </c>
      <c r="E33" s="18" t="s">
        <v>750</v>
      </c>
      <c r="F33" s="18" t="s">
        <v>17</v>
      </c>
      <c r="G33" s="19">
        <v>370</v>
      </c>
      <c r="H33" s="19">
        <v>20</v>
      </c>
      <c r="I33" s="19">
        <f>G33-H33</f>
        <v>350</v>
      </c>
      <c r="J33" s="18" t="s">
        <v>160</v>
      </c>
      <c r="K33" s="18" t="s">
        <v>15</v>
      </c>
      <c r="L33" s="18" t="s">
        <v>672</v>
      </c>
      <c r="M33" s="18"/>
      <c r="N33" s="18"/>
      <c r="O33" s="18"/>
      <c r="P33" s="18"/>
      <c r="Q33" s="18">
        <v>1</v>
      </c>
    </row>
    <row r="34" spans="1:18" s="22" customFormat="1" x14ac:dyDescent="0.25">
      <c r="A34" s="20"/>
      <c r="B34" s="20" t="s">
        <v>34</v>
      </c>
      <c r="C34" s="20" t="s">
        <v>399</v>
      </c>
      <c r="D34" s="20" t="s">
        <v>751</v>
      </c>
      <c r="E34" s="20" t="s">
        <v>401</v>
      </c>
      <c r="F34" s="21">
        <v>4</v>
      </c>
      <c r="G34" s="21">
        <v>935</v>
      </c>
      <c r="H34" s="21">
        <v>25</v>
      </c>
      <c r="I34" s="21">
        <f>G34-H34</f>
        <v>910</v>
      </c>
      <c r="J34" s="20" t="s">
        <v>160</v>
      </c>
      <c r="K34" s="20" t="s">
        <v>15</v>
      </c>
      <c r="L34" s="20" t="s">
        <v>672</v>
      </c>
      <c r="M34" s="20" t="s">
        <v>16</v>
      </c>
      <c r="N34" s="20"/>
      <c r="O34" s="20"/>
      <c r="P34" s="20"/>
      <c r="Q34" s="20">
        <v>1</v>
      </c>
    </row>
    <row r="35" spans="1:18" customFormat="1" x14ac:dyDescent="0.25">
      <c r="A35" s="18"/>
      <c r="B35" s="18" t="s">
        <v>34</v>
      </c>
      <c r="C35" s="18" t="s">
        <v>752</v>
      </c>
      <c r="D35" s="18" t="s">
        <v>753</v>
      </c>
      <c r="E35" s="18" t="s">
        <v>754</v>
      </c>
      <c r="F35" s="18" t="s">
        <v>17</v>
      </c>
      <c r="G35" s="19">
        <v>0</v>
      </c>
      <c r="H35" s="19">
        <v>20</v>
      </c>
      <c r="I35" s="19">
        <f>-H35</f>
        <v>-20</v>
      </c>
      <c r="J35" s="18" t="s">
        <v>160</v>
      </c>
      <c r="K35" s="18" t="s">
        <v>15</v>
      </c>
      <c r="L35" s="18" t="s">
        <v>672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755</v>
      </c>
      <c r="D36" s="18" t="s">
        <v>756</v>
      </c>
      <c r="E36" s="18" t="s">
        <v>757</v>
      </c>
      <c r="F36" s="19">
        <v>1</v>
      </c>
      <c r="G36" s="19">
        <v>2010</v>
      </c>
      <c r="H36" s="19">
        <v>30</v>
      </c>
      <c r="I36" s="19">
        <f t="shared" ref="I36:I45" si="2">G36-H36</f>
        <v>1980</v>
      </c>
      <c r="J36" s="18" t="s">
        <v>160</v>
      </c>
      <c r="K36" s="18" t="s">
        <v>15</v>
      </c>
      <c r="L36" s="18" t="s">
        <v>672</v>
      </c>
      <c r="M36" s="27" t="s">
        <v>377</v>
      </c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758</v>
      </c>
      <c r="D37" s="18" t="s">
        <v>759</v>
      </c>
      <c r="E37" s="18" t="s">
        <v>760</v>
      </c>
      <c r="F37" s="18" t="s">
        <v>18</v>
      </c>
      <c r="G37" s="19">
        <v>725</v>
      </c>
      <c r="H37" s="19">
        <v>25</v>
      </c>
      <c r="I37" s="19">
        <f t="shared" si="2"/>
        <v>700</v>
      </c>
      <c r="J37" s="18" t="s">
        <v>160</v>
      </c>
      <c r="K37" s="18" t="s">
        <v>15</v>
      </c>
      <c r="L37" s="18" t="s">
        <v>672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761</v>
      </c>
      <c r="D38" s="18" t="s">
        <v>762</v>
      </c>
      <c r="E38" s="18" t="s">
        <v>763</v>
      </c>
      <c r="F38" s="19">
        <v>1</v>
      </c>
      <c r="G38" s="19">
        <v>465</v>
      </c>
      <c r="H38" s="19">
        <v>25</v>
      </c>
      <c r="I38" s="19">
        <f t="shared" si="2"/>
        <v>440</v>
      </c>
      <c r="J38" s="18" t="s">
        <v>160</v>
      </c>
      <c r="K38" s="18" t="s">
        <v>15</v>
      </c>
      <c r="L38" s="18" t="s">
        <v>672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264</v>
      </c>
      <c r="D39" s="18" t="s">
        <v>764</v>
      </c>
      <c r="E39" s="18" t="s">
        <v>266</v>
      </c>
      <c r="F39" s="18" t="s">
        <v>17</v>
      </c>
      <c r="G39" s="19">
        <v>810</v>
      </c>
      <c r="H39" s="19">
        <v>20</v>
      </c>
      <c r="I39" s="19">
        <f t="shared" si="2"/>
        <v>790</v>
      </c>
      <c r="J39" s="18" t="s">
        <v>160</v>
      </c>
      <c r="K39" s="18" t="s">
        <v>15</v>
      </c>
      <c r="L39" s="18" t="s">
        <v>672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765</v>
      </c>
      <c r="D40" s="18" t="s">
        <v>766</v>
      </c>
      <c r="E40" s="18" t="s">
        <v>767</v>
      </c>
      <c r="F40" s="19">
        <v>10</v>
      </c>
      <c r="G40" s="19">
        <v>0</v>
      </c>
      <c r="H40" s="19">
        <v>25</v>
      </c>
      <c r="I40" s="19">
        <f t="shared" si="2"/>
        <v>-25</v>
      </c>
      <c r="J40" s="18" t="s">
        <v>160</v>
      </c>
      <c r="K40" s="18" t="s">
        <v>15</v>
      </c>
      <c r="L40" s="18" t="s">
        <v>672</v>
      </c>
      <c r="M40" s="27" t="s">
        <v>768</v>
      </c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769</v>
      </c>
      <c r="D41" s="18" t="s">
        <v>770</v>
      </c>
      <c r="E41" s="18" t="s">
        <v>771</v>
      </c>
      <c r="F41" s="19">
        <v>1</v>
      </c>
      <c r="G41" s="19">
        <v>815</v>
      </c>
      <c r="H41" s="19">
        <v>25</v>
      </c>
      <c r="I41" s="19">
        <f t="shared" si="2"/>
        <v>790</v>
      </c>
      <c r="J41" s="18" t="s">
        <v>160</v>
      </c>
      <c r="K41" s="18" t="s">
        <v>15</v>
      </c>
      <c r="L41" s="18" t="s">
        <v>672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772</v>
      </c>
      <c r="D42" s="18" t="s">
        <v>773</v>
      </c>
      <c r="E42" s="18" t="s">
        <v>774</v>
      </c>
      <c r="F42" s="19">
        <v>1</v>
      </c>
      <c r="G42" s="19">
        <v>405</v>
      </c>
      <c r="H42" s="19">
        <v>25</v>
      </c>
      <c r="I42" s="19">
        <f t="shared" si="2"/>
        <v>380</v>
      </c>
      <c r="J42" s="18" t="s">
        <v>160</v>
      </c>
      <c r="K42" s="18" t="s">
        <v>15</v>
      </c>
      <c r="L42" s="18" t="s">
        <v>672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775</v>
      </c>
      <c r="D43" s="18" t="s">
        <v>776</v>
      </c>
      <c r="E43" s="18" t="s">
        <v>777</v>
      </c>
      <c r="F43" s="18" t="s">
        <v>17</v>
      </c>
      <c r="G43" s="19">
        <v>710</v>
      </c>
      <c r="H43" s="19">
        <v>20</v>
      </c>
      <c r="I43" s="19">
        <f t="shared" si="2"/>
        <v>690</v>
      </c>
      <c r="J43" s="18" t="s">
        <v>160</v>
      </c>
      <c r="K43" s="18" t="s">
        <v>15</v>
      </c>
      <c r="L43" s="18" t="s">
        <v>672</v>
      </c>
      <c r="M43" s="18"/>
      <c r="N43" s="18"/>
      <c r="O43" s="18"/>
      <c r="P43" s="18"/>
      <c r="Q43" s="18">
        <v>1</v>
      </c>
    </row>
    <row r="44" spans="1:18" s="36" customFormat="1" x14ac:dyDescent="0.25">
      <c r="A44" s="18"/>
      <c r="B44" s="18" t="s">
        <v>34</v>
      </c>
      <c r="C44" s="18" t="s">
        <v>778</v>
      </c>
      <c r="D44" s="18" t="s">
        <v>779</v>
      </c>
      <c r="E44" s="18" t="s">
        <v>780</v>
      </c>
      <c r="F44" s="19">
        <v>1</v>
      </c>
      <c r="G44" s="19">
        <v>465</v>
      </c>
      <c r="H44" s="19">
        <v>25</v>
      </c>
      <c r="I44" s="19">
        <f t="shared" si="2"/>
        <v>440</v>
      </c>
      <c r="J44" s="18" t="s">
        <v>160</v>
      </c>
      <c r="K44" s="18" t="s">
        <v>15</v>
      </c>
      <c r="L44" s="18" t="s">
        <v>672</v>
      </c>
      <c r="M44" s="18"/>
      <c r="N44" s="18"/>
      <c r="O44" s="18"/>
      <c r="P44" s="18"/>
      <c r="Q44" s="35">
        <v>1</v>
      </c>
    </row>
    <row r="45" spans="1:18" s="41" customFormat="1" x14ac:dyDescent="0.25">
      <c r="A45" s="37"/>
      <c r="B45" s="37" t="s">
        <v>34</v>
      </c>
      <c r="C45" s="37" t="s">
        <v>781</v>
      </c>
      <c r="D45" s="37" t="s">
        <v>782</v>
      </c>
      <c r="E45" s="37" t="s">
        <v>783</v>
      </c>
      <c r="F45" s="37" t="s">
        <v>784</v>
      </c>
      <c r="G45" s="38">
        <v>360</v>
      </c>
      <c r="H45" s="38">
        <v>0</v>
      </c>
      <c r="I45" s="38">
        <f t="shared" si="2"/>
        <v>360</v>
      </c>
      <c r="J45" s="37" t="s">
        <v>662</v>
      </c>
      <c r="K45" s="37" t="s">
        <v>15</v>
      </c>
      <c r="L45" s="37" t="s">
        <v>785</v>
      </c>
      <c r="M45" s="39" t="s">
        <v>786</v>
      </c>
      <c r="N45" s="37" t="s">
        <v>787</v>
      </c>
      <c r="O45" s="37"/>
      <c r="P45" s="37" t="s">
        <v>788</v>
      </c>
      <c r="Q45" s="38">
        <v>1</v>
      </c>
      <c r="R45" s="40"/>
    </row>
    <row r="47" spans="1:18" x14ac:dyDescent="0.25">
      <c r="G47" s="1">
        <f t="shared" ref="G47:R47" si="3">SUBTOTAL(9,G3:G46)</f>
        <v>26545</v>
      </c>
      <c r="H47" s="1">
        <f t="shared" si="3"/>
        <v>1165</v>
      </c>
      <c r="I47" s="1">
        <f t="shared" si="3"/>
        <v>25380</v>
      </c>
      <c r="J47" s="1">
        <f t="shared" si="3"/>
        <v>0</v>
      </c>
      <c r="K47" s="1">
        <f t="shared" si="3"/>
        <v>0</v>
      </c>
      <c r="L47" s="1">
        <f t="shared" si="3"/>
        <v>0</v>
      </c>
      <c r="M47" s="1">
        <f t="shared" si="3"/>
        <v>0</v>
      </c>
      <c r="N47" s="1">
        <f t="shared" si="3"/>
        <v>0</v>
      </c>
      <c r="O47" s="1">
        <f t="shared" si="3"/>
        <v>0</v>
      </c>
      <c r="P47" s="1">
        <f t="shared" si="3"/>
        <v>0</v>
      </c>
      <c r="Q47" s="1">
        <f t="shared" si="3"/>
        <v>43</v>
      </c>
      <c r="R47" s="1">
        <f t="shared" si="3"/>
        <v>0</v>
      </c>
    </row>
    <row r="48" spans="1:18" x14ac:dyDescent="0.25">
      <c r="I48" s="1">
        <v>-710</v>
      </c>
      <c r="J48" s="1" t="s">
        <v>789</v>
      </c>
    </row>
    <row r="51" spans="1:12" ht="20.25" customHeight="1" x14ac:dyDescent="0.3">
      <c r="H51" s="4" t="s">
        <v>668</v>
      </c>
      <c r="I51" s="5" t="s">
        <v>21</v>
      </c>
      <c r="J51" s="6" t="s">
        <v>22</v>
      </c>
    </row>
    <row r="52" spans="1:12" ht="15.75" customHeight="1" x14ac:dyDescent="0.25">
      <c r="H52" s="7" t="s">
        <v>23</v>
      </c>
      <c r="I52" s="8">
        <f>SUM(I46:I50)</f>
        <v>24670</v>
      </c>
      <c r="J52" s="8">
        <f>Q47</f>
        <v>43</v>
      </c>
    </row>
    <row r="53" spans="1:12" x14ac:dyDescent="0.25">
      <c r="H53" s="9" t="s">
        <v>24</v>
      </c>
      <c r="I53" s="10">
        <f>R47</f>
        <v>0</v>
      </c>
      <c r="J53" s="11"/>
    </row>
    <row r="54" spans="1:12" x14ac:dyDescent="0.25">
      <c r="H54" s="9" t="s">
        <v>25</v>
      </c>
      <c r="I54" s="10">
        <f>S46</f>
        <v>0</v>
      </c>
      <c r="J54" s="11"/>
    </row>
    <row r="55" spans="1:12" x14ac:dyDescent="0.25">
      <c r="H55" s="9" t="s">
        <v>26</v>
      </c>
      <c r="I55" s="10">
        <f>T46</f>
        <v>0</v>
      </c>
      <c r="J55" s="11"/>
    </row>
    <row r="56" spans="1:12" x14ac:dyDescent="0.25">
      <c r="H56" s="9" t="s">
        <v>27</v>
      </c>
      <c r="I56" s="10">
        <f>U46</f>
        <v>0</v>
      </c>
      <c r="J56" s="11"/>
    </row>
    <row r="57" spans="1:12" ht="15.75" customHeight="1" x14ac:dyDescent="0.25">
      <c r="H57" s="12" t="s">
        <v>28</v>
      </c>
      <c r="I57" s="13"/>
      <c r="J57" s="13"/>
    </row>
    <row r="58" spans="1:12" ht="15.75" customHeight="1" x14ac:dyDescent="0.25">
      <c r="H58" s="14" t="s">
        <v>29</v>
      </c>
      <c r="I58" s="13"/>
      <c r="J58" s="13"/>
    </row>
    <row r="59" spans="1:12" ht="21" customHeight="1" x14ac:dyDescent="0.35">
      <c r="H59" s="15" t="s">
        <v>30</v>
      </c>
      <c r="I59" s="16">
        <f>SUM(I52:I58)</f>
        <v>24670</v>
      </c>
      <c r="J59" s="16">
        <f>SUM(J52:J56)</f>
        <v>43</v>
      </c>
    </row>
    <row r="62" spans="1:12" x14ac:dyDescent="0.25">
      <c r="A62" s="1" t="s">
        <v>173</v>
      </c>
    </row>
    <row r="63" spans="1:12" x14ac:dyDescent="0.25">
      <c r="A63" s="24" t="s">
        <v>34</v>
      </c>
      <c r="B63" s="24" t="s">
        <v>765</v>
      </c>
      <c r="C63" s="24" t="s">
        <v>766</v>
      </c>
      <c r="D63" s="24" t="s">
        <v>767</v>
      </c>
      <c r="E63" s="25">
        <v>10</v>
      </c>
      <c r="F63" s="25">
        <v>1935</v>
      </c>
      <c r="G63" s="25">
        <v>0</v>
      </c>
      <c r="H63" s="25">
        <f t="shared" ref="H63" si="4">F63-G63</f>
        <v>1935</v>
      </c>
      <c r="I63" s="24" t="s">
        <v>160</v>
      </c>
      <c r="J63" s="24" t="s">
        <v>15</v>
      </c>
      <c r="K63" s="24" t="s">
        <v>672</v>
      </c>
      <c r="L63" s="26" t="s">
        <v>768</v>
      </c>
    </row>
  </sheetData>
  <autoFilter ref="A2:P45" xr:uid="{00000000-0009-0000-0000-000006000000}">
    <sortState xmlns:xlrd2="http://schemas.microsoft.com/office/spreadsheetml/2017/richdata2" ref="A3:P45">
      <sortCondition ref="J2:J45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4D2BC-03C6-489C-8EEF-A37F190B53E9}">
  <dimension ref="A1:R53"/>
  <sheetViews>
    <sheetView topLeftCell="A28" workbookViewId="0">
      <selection activeCell="E34" sqref="E3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102</v>
      </c>
      <c r="C1" s="1" t="s">
        <v>791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 t="s">
        <v>96</v>
      </c>
      <c r="B3" s="18" t="s">
        <v>34</v>
      </c>
      <c r="C3" s="18" t="s">
        <v>260</v>
      </c>
      <c r="D3" s="18"/>
      <c r="E3" s="18" t="s">
        <v>261</v>
      </c>
      <c r="F3" s="19">
        <v>6</v>
      </c>
      <c r="G3" s="19">
        <v>30</v>
      </c>
      <c r="H3" s="19">
        <v>30</v>
      </c>
      <c r="I3" s="19">
        <f>G3-H3</f>
        <v>0</v>
      </c>
      <c r="J3" s="18" t="s">
        <v>793</v>
      </c>
      <c r="K3" s="18" t="s">
        <v>15</v>
      </c>
      <c r="L3" s="18" t="s">
        <v>794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795</v>
      </c>
      <c r="D4" s="18" t="s">
        <v>796</v>
      </c>
      <c r="E4" s="18" t="s">
        <v>797</v>
      </c>
      <c r="F4" s="19">
        <v>8</v>
      </c>
      <c r="G4" s="19">
        <v>820</v>
      </c>
      <c r="H4" s="19">
        <v>30</v>
      </c>
      <c r="I4" s="19">
        <f>G4-H4</f>
        <v>790</v>
      </c>
      <c r="J4" s="18" t="s">
        <v>793</v>
      </c>
      <c r="K4" s="18" t="s">
        <v>15</v>
      </c>
      <c r="L4" s="18" t="s">
        <v>794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798</v>
      </c>
      <c r="D5" s="18" t="s">
        <v>799</v>
      </c>
      <c r="E5" s="18" t="s">
        <v>800</v>
      </c>
      <c r="F5" s="18" t="s">
        <v>212</v>
      </c>
      <c r="G5" s="19">
        <v>0</v>
      </c>
      <c r="H5" s="19">
        <v>25</v>
      </c>
      <c r="I5" s="19">
        <f>-H5</f>
        <v>-25</v>
      </c>
      <c r="J5" s="18" t="s">
        <v>793</v>
      </c>
      <c r="K5" s="18" t="s">
        <v>15</v>
      </c>
      <c r="L5" s="18" t="s">
        <v>794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801</v>
      </c>
      <c r="D6" s="18" t="s">
        <v>802</v>
      </c>
      <c r="E6" s="18" t="s">
        <v>610</v>
      </c>
      <c r="F6" s="19">
        <v>6</v>
      </c>
      <c r="G6" s="19">
        <v>465</v>
      </c>
      <c r="H6" s="19">
        <v>25</v>
      </c>
      <c r="I6" s="19">
        <f t="shared" ref="I6:I11" si="0">G6-H6</f>
        <v>440</v>
      </c>
      <c r="J6" s="18" t="s">
        <v>793</v>
      </c>
      <c r="K6" s="18" t="s">
        <v>15</v>
      </c>
      <c r="L6" s="18" t="s">
        <v>794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803</v>
      </c>
      <c r="D7" s="18" t="s">
        <v>804</v>
      </c>
      <c r="E7" s="18" t="s">
        <v>805</v>
      </c>
      <c r="F7" s="18" t="s">
        <v>212</v>
      </c>
      <c r="G7" s="19">
        <v>1260</v>
      </c>
      <c r="H7" s="19">
        <v>30</v>
      </c>
      <c r="I7" s="19">
        <f t="shared" si="0"/>
        <v>1230</v>
      </c>
      <c r="J7" s="18" t="s">
        <v>793</v>
      </c>
      <c r="K7" s="18" t="s">
        <v>15</v>
      </c>
      <c r="L7" s="18" t="s">
        <v>794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806</v>
      </c>
      <c r="D8" s="18" t="s">
        <v>807</v>
      </c>
      <c r="E8" s="18" t="s">
        <v>808</v>
      </c>
      <c r="F8" s="19">
        <v>6</v>
      </c>
      <c r="G8" s="19">
        <v>865</v>
      </c>
      <c r="H8" s="19">
        <v>25</v>
      </c>
      <c r="I8" s="19">
        <f t="shared" si="0"/>
        <v>840</v>
      </c>
      <c r="J8" s="18" t="s">
        <v>793</v>
      </c>
      <c r="K8" s="18" t="s">
        <v>15</v>
      </c>
      <c r="L8" s="18" t="s">
        <v>794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809</v>
      </c>
      <c r="D9" s="18" t="s">
        <v>810</v>
      </c>
      <c r="E9" s="18" t="s">
        <v>811</v>
      </c>
      <c r="F9" s="18" t="s">
        <v>38</v>
      </c>
      <c r="G9" s="19">
        <v>820</v>
      </c>
      <c r="H9" s="19">
        <v>30</v>
      </c>
      <c r="I9" s="19">
        <f t="shared" si="0"/>
        <v>790</v>
      </c>
      <c r="J9" s="18" t="s">
        <v>793</v>
      </c>
      <c r="K9" s="18" t="s">
        <v>15</v>
      </c>
      <c r="L9" s="18" t="s">
        <v>794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812</v>
      </c>
      <c r="D10" s="18" t="s">
        <v>813</v>
      </c>
      <c r="E10" s="18" t="s">
        <v>814</v>
      </c>
      <c r="F10" s="19">
        <v>7</v>
      </c>
      <c r="G10" s="19">
        <v>410</v>
      </c>
      <c r="H10" s="19">
        <v>30</v>
      </c>
      <c r="I10" s="19">
        <f t="shared" si="0"/>
        <v>380</v>
      </c>
      <c r="J10" s="18" t="s">
        <v>793</v>
      </c>
      <c r="K10" s="18" t="s">
        <v>15</v>
      </c>
      <c r="L10" s="18" t="s">
        <v>794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815</v>
      </c>
      <c r="D11" s="18" t="s">
        <v>816</v>
      </c>
      <c r="E11" s="18" t="s">
        <v>817</v>
      </c>
      <c r="F11" s="19">
        <v>12</v>
      </c>
      <c r="G11" s="19">
        <v>1640</v>
      </c>
      <c r="H11" s="19">
        <v>30</v>
      </c>
      <c r="I11" s="19">
        <f t="shared" si="0"/>
        <v>1610</v>
      </c>
      <c r="J11" s="18" t="s">
        <v>793</v>
      </c>
      <c r="K11" s="18" t="s">
        <v>15</v>
      </c>
      <c r="L11" s="18" t="s">
        <v>794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818</v>
      </c>
      <c r="D12" s="18" t="s">
        <v>819</v>
      </c>
      <c r="E12" s="18" t="s">
        <v>820</v>
      </c>
      <c r="F12" s="18" t="s">
        <v>18</v>
      </c>
      <c r="G12" s="19">
        <v>0</v>
      </c>
      <c r="H12" s="19">
        <v>25</v>
      </c>
      <c r="I12" s="19">
        <f>-H12</f>
        <v>-25</v>
      </c>
      <c r="J12" s="18" t="s">
        <v>793</v>
      </c>
      <c r="K12" s="18" t="s">
        <v>15</v>
      </c>
      <c r="L12" s="18" t="s">
        <v>794</v>
      </c>
      <c r="M12" s="18"/>
      <c r="N12" s="18"/>
      <c r="O12" s="18"/>
      <c r="P12" s="18"/>
      <c r="Q12" s="18">
        <v>1</v>
      </c>
      <c r="R12" s="17">
        <f>H12</f>
        <v>25</v>
      </c>
    </row>
    <row r="13" spans="1:18" customFormat="1" x14ac:dyDescent="0.25">
      <c r="A13" s="18"/>
      <c r="B13" s="18" t="s">
        <v>34</v>
      </c>
      <c r="C13" s="18" t="s">
        <v>821</v>
      </c>
      <c r="D13" s="18" t="s">
        <v>822</v>
      </c>
      <c r="E13" s="18" t="s">
        <v>823</v>
      </c>
      <c r="F13" s="19">
        <v>6</v>
      </c>
      <c r="G13" s="19">
        <v>1735</v>
      </c>
      <c r="H13" s="19">
        <v>25</v>
      </c>
      <c r="I13" s="19">
        <f>G13-H13</f>
        <v>1710</v>
      </c>
      <c r="J13" s="18" t="s">
        <v>793</v>
      </c>
      <c r="K13" s="18" t="s">
        <v>15</v>
      </c>
      <c r="L13" s="18" t="s">
        <v>794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824</v>
      </c>
      <c r="D14" s="18" t="s">
        <v>825</v>
      </c>
      <c r="E14" s="18" t="s">
        <v>826</v>
      </c>
      <c r="F14" s="18" t="s">
        <v>38</v>
      </c>
      <c r="G14" s="19">
        <v>470</v>
      </c>
      <c r="H14" s="19">
        <v>30</v>
      </c>
      <c r="I14" s="19">
        <f>G14-H14</f>
        <v>440</v>
      </c>
      <c r="J14" s="18" t="s">
        <v>793</v>
      </c>
      <c r="K14" s="18" t="s">
        <v>15</v>
      </c>
      <c r="L14" s="18" t="s">
        <v>794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827</v>
      </c>
      <c r="D15" s="18" t="s">
        <v>828</v>
      </c>
      <c r="E15" s="18" t="s">
        <v>829</v>
      </c>
      <c r="F15" s="18" t="s">
        <v>18</v>
      </c>
      <c r="G15" s="19">
        <v>0</v>
      </c>
      <c r="H15" s="19">
        <v>25</v>
      </c>
      <c r="I15" s="19">
        <f>-H15</f>
        <v>-25</v>
      </c>
      <c r="J15" s="18" t="s">
        <v>793</v>
      </c>
      <c r="K15" s="18" t="s">
        <v>15</v>
      </c>
      <c r="L15" s="18" t="s">
        <v>794</v>
      </c>
      <c r="M15" s="18"/>
      <c r="N15" s="18"/>
      <c r="O15" s="18"/>
      <c r="P15" s="18"/>
      <c r="Q15" s="18">
        <v>1</v>
      </c>
      <c r="R15" s="17">
        <f>H15</f>
        <v>25</v>
      </c>
    </row>
    <row r="16" spans="1:18" customFormat="1" x14ac:dyDescent="0.25">
      <c r="A16" s="18"/>
      <c r="B16" s="18" t="s">
        <v>34</v>
      </c>
      <c r="C16" s="18" t="s">
        <v>830</v>
      </c>
      <c r="D16" s="18" t="s">
        <v>831</v>
      </c>
      <c r="E16" s="18" t="s">
        <v>832</v>
      </c>
      <c r="F16" s="19">
        <v>7</v>
      </c>
      <c r="G16" s="19">
        <v>890</v>
      </c>
      <c r="H16" s="19">
        <v>30</v>
      </c>
      <c r="I16" s="19">
        <f>G16-H16</f>
        <v>860</v>
      </c>
      <c r="J16" s="18" t="s">
        <v>793</v>
      </c>
      <c r="K16" s="18" t="s">
        <v>15</v>
      </c>
      <c r="L16" s="18" t="s">
        <v>794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833</v>
      </c>
      <c r="D17" s="18" t="s">
        <v>834</v>
      </c>
      <c r="E17" s="18" t="s">
        <v>835</v>
      </c>
      <c r="F17" s="19">
        <v>7</v>
      </c>
      <c r="G17" s="19">
        <v>1120</v>
      </c>
      <c r="H17" s="19">
        <v>30</v>
      </c>
      <c r="I17" s="19">
        <f>G17-H17</f>
        <v>1090</v>
      </c>
      <c r="J17" s="18" t="s">
        <v>793</v>
      </c>
      <c r="K17" s="18" t="s">
        <v>15</v>
      </c>
      <c r="L17" s="18" t="s">
        <v>794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586</v>
      </c>
      <c r="D18" s="18"/>
      <c r="E18" s="18" t="s">
        <v>587</v>
      </c>
      <c r="F18" s="18" t="s">
        <v>144</v>
      </c>
      <c r="G18" s="19">
        <v>2135</v>
      </c>
      <c r="H18" s="19">
        <v>35</v>
      </c>
      <c r="I18" s="19">
        <f>G18-H18</f>
        <v>2100</v>
      </c>
      <c r="J18" s="18" t="s">
        <v>15</v>
      </c>
      <c r="K18" s="18" t="s">
        <v>15</v>
      </c>
      <c r="L18" s="18" t="s">
        <v>794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836</v>
      </c>
      <c r="D19" s="18" t="s">
        <v>837</v>
      </c>
      <c r="E19" s="18" t="s">
        <v>838</v>
      </c>
      <c r="F19" s="19">
        <v>2</v>
      </c>
      <c r="G19" s="19">
        <v>0</v>
      </c>
      <c r="H19" s="19">
        <v>30</v>
      </c>
      <c r="I19" s="19">
        <f>-H19</f>
        <v>-30</v>
      </c>
      <c r="J19" s="18" t="s">
        <v>15</v>
      </c>
      <c r="K19" s="18" t="s">
        <v>15</v>
      </c>
      <c r="L19" s="18" t="s">
        <v>794</v>
      </c>
      <c r="M19" s="18"/>
      <c r="N19" s="18"/>
      <c r="O19" s="18"/>
      <c r="P19" s="18"/>
      <c r="Q19" s="18">
        <v>1</v>
      </c>
      <c r="R19" s="17">
        <f>H19</f>
        <v>30</v>
      </c>
    </row>
    <row r="20" spans="1:18" customFormat="1" x14ac:dyDescent="0.25">
      <c r="A20" s="18"/>
      <c r="B20" s="18" t="s">
        <v>34</v>
      </c>
      <c r="C20" s="18" t="s">
        <v>839</v>
      </c>
      <c r="D20" s="18" t="s">
        <v>840</v>
      </c>
      <c r="E20" s="18" t="s">
        <v>841</v>
      </c>
      <c r="F20" s="18" t="s">
        <v>20</v>
      </c>
      <c r="G20" s="19">
        <v>815</v>
      </c>
      <c r="H20" s="19">
        <v>25</v>
      </c>
      <c r="I20" s="19">
        <f>G20-H20</f>
        <v>790</v>
      </c>
      <c r="J20" s="18" t="s">
        <v>15</v>
      </c>
      <c r="K20" s="18" t="s">
        <v>15</v>
      </c>
      <c r="L20" s="18" t="s">
        <v>794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842</v>
      </c>
      <c r="D21" s="18" t="s">
        <v>843</v>
      </c>
      <c r="E21" s="18" t="s">
        <v>844</v>
      </c>
      <c r="F21" s="18" t="s">
        <v>18</v>
      </c>
      <c r="G21" s="19">
        <v>0</v>
      </c>
      <c r="H21" s="19">
        <v>25</v>
      </c>
      <c r="I21" s="19">
        <f>-H21</f>
        <v>-25</v>
      </c>
      <c r="J21" s="18" t="s">
        <v>15</v>
      </c>
      <c r="K21" s="18" t="s">
        <v>15</v>
      </c>
      <c r="L21" s="18" t="s">
        <v>794</v>
      </c>
      <c r="M21" s="18"/>
      <c r="N21" s="18"/>
      <c r="O21" s="18"/>
      <c r="P21" s="18"/>
      <c r="Q21" s="18">
        <v>1</v>
      </c>
      <c r="R21" s="17">
        <f>H21</f>
        <v>25</v>
      </c>
    </row>
    <row r="22" spans="1:18" customFormat="1" x14ac:dyDescent="0.25">
      <c r="A22" s="18"/>
      <c r="B22" s="18" t="s">
        <v>34</v>
      </c>
      <c r="C22" s="18" t="s">
        <v>845</v>
      </c>
      <c r="D22" s="18" t="s">
        <v>846</v>
      </c>
      <c r="E22" s="18" t="s">
        <v>847</v>
      </c>
      <c r="F22" s="18" t="s">
        <v>144</v>
      </c>
      <c r="G22" s="19">
        <v>730</v>
      </c>
      <c r="H22" s="19">
        <v>30</v>
      </c>
      <c r="I22" s="19">
        <f>G22-H22</f>
        <v>700</v>
      </c>
      <c r="J22" s="18" t="s">
        <v>15</v>
      </c>
      <c r="K22" s="18" t="s">
        <v>15</v>
      </c>
      <c r="L22" s="18" t="s">
        <v>794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848</v>
      </c>
      <c r="D23" s="18" t="s">
        <v>849</v>
      </c>
      <c r="E23" s="18" t="s">
        <v>850</v>
      </c>
      <c r="F23" s="18" t="s">
        <v>20</v>
      </c>
      <c r="G23" s="19">
        <v>1345</v>
      </c>
      <c r="H23" s="19">
        <v>25</v>
      </c>
      <c r="I23" s="19">
        <f>G23-H23</f>
        <v>1320</v>
      </c>
      <c r="J23" s="18" t="s">
        <v>15</v>
      </c>
      <c r="K23" s="18" t="s">
        <v>15</v>
      </c>
      <c r="L23" s="18" t="s">
        <v>794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851</v>
      </c>
      <c r="D24" s="18" t="s">
        <v>852</v>
      </c>
      <c r="E24" s="18" t="s">
        <v>853</v>
      </c>
      <c r="F24" s="18" t="s">
        <v>18</v>
      </c>
      <c r="G24" s="19">
        <v>0</v>
      </c>
      <c r="H24" s="19">
        <v>25</v>
      </c>
      <c r="I24" s="19">
        <f>-H24</f>
        <v>-25</v>
      </c>
      <c r="J24" s="18" t="s">
        <v>15</v>
      </c>
      <c r="K24" s="18" t="s">
        <v>15</v>
      </c>
      <c r="L24" s="18" t="s">
        <v>794</v>
      </c>
      <c r="M24" s="18"/>
      <c r="N24" s="18"/>
      <c r="O24" s="18"/>
      <c r="P24" s="18"/>
      <c r="Q24" s="18">
        <v>1</v>
      </c>
      <c r="R24" s="17">
        <f t="shared" ref="R24:R25" si="1">H24</f>
        <v>25</v>
      </c>
    </row>
    <row r="25" spans="1:18" customFormat="1" x14ac:dyDescent="0.25">
      <c r="A25" s="18"/>
      <c r="B25" s="18" t="s">
        <v>34</v>
      </c>
      <c r="C25" s="18" t="s">
        <v>854</v>
      </c>
      <c r="D25" s="18" t="s">
        <v>855</v>
      </c>
      <c r="E25" s="18" t="s">
        <v>856</v>
      </c>
      <c r="F25" s="18" t="s">
        <v>20</v>
      </c>
      <c r="G25" s="19">
        <v>0</v>
      </c>
      <c r="H25" s="19">
        <v>25</v>
      </c>
      <c r="I25" s="19">
        <f>-H25</f>
        <v>-25</v>
      </c>
      <c r="J25" s="18" t="s">
        <v>15</v>
      </c>
      <c r="K25" s="18" t="s">
        <v>15</v>
      </c>
      <c r="L25" s="18" t="s">
        <v>794</v>
      </c>
      <c r="M25" s="18"/>
      <c r="N25" s="18"/>
      <c r="O25" s="18"/>
      <c r="P25" s="18"/>
      <c r="Q25" s="18">
        <v>1</v>
      </c>
      <c r="R25" s="17">
        <f t="shared" si="1"/>
        <v>25</v>
      </c>
    </row>
    <row r="26" spans="1:18" customFormat="1" x14ac:dyDescent="0.25">
      <c r="A26" s="18"/>
      <c r="B26" s="18" t="s">
        <v>34</v>
      </c>
      <c r="C26" s="18" t="s">
        <v>857</v>
      </c>
      <c r="D26" s="18" t="s">
        <v>858</v>
      </c>
      <c r="E26" s="18" t="s">
        <v>859</v>
      </c>
      <c r="F26" s="19">
        <v>2</v>
      </c>
      <c r="G26" s="19">
        <v>920</v>
      </c>
      <c r="H26" s="19">
        <v>30</v>
      </c>
      <c r="I26" s="19">
        <f>G26-H26</f>
        <v>890</v>
      </c>
      <c r="J26" s="18" t="s">
        <v>15</v>
      </c>
      <c r="K26" s="18" t="s">
        <v>15</v>
      </c>
      <c r="L26" s="18" t="s">
        <v>794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860</v>
      </c>
      <c r="D27" s="18" t="s">
        <v>861</v>
      </c>
      <c r="E27" s="18" t="s">
        <v>862</v>
      </c>
      <c r="F27" s="18" t="s">
        <v>19</v>
      </c>
      <c r="G27" s="19">
        <v>1110</v>
      </c>
      <c r="H27" s="19">
        <v>20</v>
      </c>
      <c r="I27" s="19">
        <f>G27-H27</f>
        <v>1090</v>
      </c>
      <c r="J27" s="18" t="s">
        <v>15</v>
      </c>
      <c r="K27" s="18" t="s">
        <v>15</v>
      </c>
      <c r="L27" s="18" t="s">
        <v>794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444</v>
      </c>
      <c r="D28" s="18" t="s">
        <v>863</v>
      </c>
      <c r="E28" s="18" t="s">
        <v>446</v>
      </c>
      <c r="F28" s="18" t="s">
        <v>18</v>
      </c>
      <c r="G28" s="19">
        <v>815</v>
      </c>
      <c r="H28" s="19">
        <v>25</v>
      </c>
      <c r="I28" s="19">
        <f>G28-H28</f>
        <v>790</v>
      </c>
      <c r="J28" s="18" t="s">
        <v>15</v>
      </c>
      <c r="K28" s="18" t="s">
        <v>15</v>
      </c>
      <c r="L28" s="18" t="s">
        <v>794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864</v>
      </c>
      <c r="D29" s="18" t="s">
        <v>865</v>
      </c>
      <c r="E29" s="18" t="s">
        <v>866</v>
      </c>
      <c r="F29" s="19">
        <v>3</v>
      </c>
      <c r="G29" s="19">
        <v>0</v>
      </c>
      <c r="H29" s="19">
        <v>25</v>
      </c>
      <c r="I29" s="19">
        <f>-H29</f>
        <v>-25</v>
      </c>
      <c r="J29" s="18" t="s">
        <v>160</v>
      </c>
      <c r="K29" s="18" t="s">
        <v>15</v>
      </c>
      <c r="L29" s="18" t="s">
        <v>794</v>
      </c>
      <c r="M29" s="18"/>
      <c r="N29" s="18"/>
      <c r="O29" s="18"/>
      <c r="P29" s="18"/>
      <c r="Q29" s="18">
        <v>1</v>
      </c>
      <c r="R29" s="17">
        <f>H29</f>
        <v>25</v>
      </c>
    </row>
    <row r="30" spans="1:18" customFormat="1" x14ac:dyDescent="0.25">
      <c r="A30" s="18"/>
      <c r="B30" s="18" t="s">
        <v>34</v>
      </c>
      <c r="C30" s="18" t="s">
        <v>867</v>
      </c>
      <c r="D30" s="18" t="s">
        <v>868</v>
      </c>
      <c r="E30" s="18" t="s">
        <v>869</v>
      </c>
      <c r="F30" s="19">
        <v>1</v>
      </c>
      <c r="G30" s="19">
        <v>845</v>
      </c>
      <c r="H30" s="19">
        <v>25</v>
      </c>
      <c r="I30" s="19">
        <f>G30-H30</f>
        <v>820</v>
      </c>
      <c r="J30" s="18" t="s">
        <v>160</v>
      </c>
      <c r="K30" s="18" t="s">
        <v>15</v>
      </c>
      <c r="L30" s="18" t="s">
        <v>794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870</v>
      </c>
      <c r="D31" s="18" t="s">
        <v>871</v>
      </c>
      <c r="E31" s="18" t="s">
        <v>872</v>
      </c>
      <c r="F31" s="19">
        <v>4</v>
      </c>
      <c r="G31" s="19">
        <v>715</v>
      </c>
      <c r="H31" s="19">
        <v>25</v>
      </c>
      <c r="I31" s="19">
        <f>G31-H31</f>
        <v>690</v>
      </c>
      <c r="J31" s="18" t="s">
        <v>160</v>
      </c>
      <c r="K31" s="18" t="s">
        <v>15</v>
      </c>
      <c r="L31" s="18" t="s">
        <v>794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873</v>
      </c>
      <c r="D32" s="18" t="s">
        <v>874</v>
      </c>
      <c r="E32" s="18" t="s">
        <v>875</v>
      </c>
      <c r="F32" s="19">
        <v>1</v>
      </c>
      <c r="G32" s="19">
        <v>715</v>
      </c>
      <c r="H32" s="19">
        <v>25</v>
      </c>
      <c r="I32" s="19">
        <f>G32-H32</f>
        <v>690</v>
      </c>
      <c r="J32" s="18" t="s">
        <v>160</v>
      </c>
      <c r="K32" s="18" t="s">
        <v>15</v>
      </c>
      <c r="L32" s="18" t="s">
        <v>794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876</v>
      </c>
      <c r="D33" s="18" t="s">
        <v>877</v>
      </c>
      <c r="E33" s="18" t="s">
        <v>878</v>
      </c>
      <c r="F33" s="19">
        <v>10</v>
      </c>
      <c r="G33" s="19">
        <v>0</v>
      </c>
      <c r="H33" s="19">
        <v>25</v>
      </c>
      <c r="I33" s="19">
        <f>-H33</f>
        <v>-25</v>
      </c>
      <c r="J33" s="18" t="s">
        <v>160</v>
      </c>
      <c r="K33" s="18" t="s">
        <v>15</v>
      </c>
      <c r="L33" s="18" t="s">
        <v>794</v>
      </c>
      <c r="M33" s="18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/>
      <c r="B34" s="18" t="s">
        <v>34</v>
      </c>
      <c r="C34" s="18" t="s">
        <v>879</v>
      </c>
      <c r="D34" s="18" t="s">
        <v>880</v>
      </c>
      <c r="E34" s="18" t="s">
        <v>881</v>
      </c>
      <c r="F34" s="19">
        <v>10</v>
      </c>
      <c r="G34" s="19">
        <v>915</v>
      </c>
      <c r="H34" s="19">
        <v>25</v>
      </c>
      <c r="I34" s="19">
        <f>G34-H34</f>
        <v>890</v>
      </c>
      <c r="J34" s="18" t="s">
        <v>160</v>
      </c>
      <c r="K34" s="18" t="s">
        <v>15</v>
      </c>
      <c r="L34" s="18" t="s">
        <v>794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882</v>
      </c>
      <c r="D35" s="18" t="s">
        <v>883</v>
      </c>
      <c r="E35" s="18" t="s">
        <v>884</v>
      </c>
      <c r="F35" s="19">
        <v>10</v>
      </c>
      <c r="G35" s="19">
        <v>1705</v>
      </c>
      <c r="H35" s="19">
        <v>25</v>
      </c>
      <c r="I35" s="19">
        <f>G35-H35</f>
        <v>1680</v>
      </c>
      <c r="J35" s="18" t="s">
        <v>160</v>
      </c>
      <c r="K35" s="18" t="s">
        <v>15</v>
      </c>
      <c r="L35" s="18" t="s">
        <v>794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885</v>
      </c>
      <c r="D36" s="18" t="s">
        <v>886</v>
      </c>
      <c r="E36" s="18" t="s">
        <v>887</v>
      </c>
      <c r="F36" s="19">
        <v>3</v>
      </c>
      <c r="G36" s="19">
        <v>775</v>
      </c>
      <c r="H36" s="19">
        <v>25</v>
      </c>
      <c r="I36" s="19">
        <f>G36-H36</f>
        <v>750</v>
      </c>
      <c r="J36" s="18" t="s">
        <v>160</v>
      </c>
      <c r="K36" s="18" t="s">
        <v>15</v>
      </c>
      <c r="L36" s="18" t="s">
        <v>794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888</v>
      </c>
      <c r="D37" s="18" t="s">
        <v>889</v>
      </c>
      <c r="E37" s="18" t="s">
        <v>890</v>
      </c>
      <c r="F37" s="19">
        <v>4</v>
      </c>
      <c r="G37" s="19">
        <v>375</v>
      </c>
      <c r="H37" s="19">
        <v>25</v>
      </c>
      <c r="I37" s="19">
        <f>G37-H37</f>
        <v>350</v>
      </c>
      <c r="J37" s="18" t="s">
        <v>160</v>
      </c>
      <c r="K37" s="18" t="s">
        <v>15</v>
      </c>
      <c r="L37" s="18" t="s">
        <v>794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891</v>
      </c>
      <c r="D38" s="18" t="s">
        <v>892</v>
      </c>
      <c r="E38" s="18" t="s">
        <v>893</v>
      </c>
      <c r="F38" s="19">
        <v>4</v>
      </c>
      <c r="G38" s="19">
        <v>0</v>
      </c>
      <c r="H38" s="19">
        <v>25</v>
      </c>
      <c r="I38" s="19">
        <f>-H38</f>
        <v>-25</v>
      </c>
      <c r="J38" s="18" t="s">
        <v>160</v>
      </c>
      <c r="K38" s="18" t="s">
        <v>15</v>
      </c>
      <c r="L38" s="18" t="s">
        <v>794</v>
      </c>
      <c r="M38" s="18"/>
      <c r="N38" s="18"/>
      <c r="O38" s="18"/>
      <c r="P38" s="18"/>
      <c r="Q38" s="18">
        <v>1</v>
      </c>
      <c r="R38" s="17">
        <f>H38</f>
        <v>25</v>
      </c>
    </row>
    <row r="39" spans="1:18" customFormat="1" x14ac:dyDescent="0.25">
      <c r="A39" s="18"/>
      <c r="B39" s="18" t="s">
        <v>34</v>
      </c>
      <c r="C39" s="18" t="s">
        <v>894</v>
      </c>
      <c r="D39" s="18" t="s">
        <v>895</v>
      </c>
      <c r="E39" s="18" t="s">
        <v>896</v>
      </c>
      <c r="F39" s="18" t="s">
        <v>17</v>
      </c>
      <c r="G39" s="19">
        <v>530</v>
      </c>
      <c r="H39" s="19">
        <v>20</v>
      </c>
      <c r="I39" s="19">
        <f>G39-H39</f>
        <v>510</v>
      </c>
      <c r="J39" s="18" t="s">
        <v>160</v>
      </c>
      <c r="K39" s="18" t="s">
        <v>15</v>
      </c>
      <c r="L39" s="18" t="s">
        <v>794</v>
      </c>
      <c r="M39" s="18"/>
      <c r="N39" s="18"/>
      <c r="O39" s="18"/>
      <c r="P39" s="18"/>
      <c r="Q39" s="18">
        <v>1</v>
      </c>
    </row>
    <row r="41" spans="1:18" x14ac:dyDescent="0.25">
      <c r="G41" s="1">
        <f t="shared" ref="G41:R41" si="2">SUBTOTAL(9,G3:G40)</f>
        <v>24970</v>
      </c>
      <c r="H41" s="1">
        <f t="shared" si="2"/>
        <v>985</v>
      </c>
      <c r="I41" s="1">
        <f t="shared" si="2"/>
        <v>23985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255</v>
      </c>
    </row>
    <row r="45" spans="1:18" ht="20.25" customHeight="1" x14ac:dyDescent="0.3">
      <c r="H45" s="4" t="s">
        <v>790</v>
      </c>
      <c r="I45" s="5" t="s">
        <v>21</v>
      </c>
      <c r="J45" s="6" t="s">
        <v>22</v>
      </c>
    </row>
    <row r="46" spans="1:18" ht="15.75" customHeight="1" x14ac:dyDescent="0.25">
      <c r="H46" s="7" t="s">
        <v>23</v>
      </c>
      <c r="I46" s="8">
        <f>SUM(I40:I44)</f>
        <v>23985</v>
      </c>
      <c r="J46" s="8">
        <f>Q41</f>
        <v>37</v>
      </c>
    </row>
    <row r="47" spans="1:18" x14ac:dyDescent="0.25">
      <c r="H47" s="9" t="s">
        <v>24</v>
      </c>
      <c r="I47" s="10">
        <f>R41</f>
        <v>255</v>
      </c>
      <c r="J47" s="11"/>
    </row>
    <row r="48" spans="1:18" x14ac:dyDescent="0.25">
      <c r="H48" s="9" t="s">
        <v>25</v>
      </c>
      <c r="I48" s="10">
        <f>S40</f>
        <v>0</v>
      </c>
      <c r="J48" s="11"/>
    </row>
    <row r="49" spans="8:10" x14ac:dyDescent="0.25">
      <c r="H49" s="9" t="s">
        <v>26</v>
      </c>
      <c r="I49" s="10">
        <f>T40</f>
        <v>0</v>
      </c>
      <c r="J49" s="11"/>
    </row>
    <row r="50" spans="8:10" x14ac:dyDescent="0.25">
      <c r="H50" s="9" t="s">
        <v>27</v>
      </c>
      <c r="I50" s="10">
        <f>U40</f>
        <v>0</v>
      </c>
      <c r="J50" s="11"/>
    </row>
    <row r="51" spans="8:10" ht="15.75" customHeight="1" x14ac:dyDescent="0.25">
      <c r="H51" s="12" t="s">
        <v>28</v>
      </c>
      <c r="I51" s="13"/>
      <c r="J51" s="13"/>
    </row>
    <row r="52" spans="8:10" ht="15.75" customHeight="1" x14ac:dyDescent="0.25">
      <c r="H52" s="14" t="s">
        <v>29</v>
      </c>
      <c r="I52" s="13"/>
      <c r="J52" s="13"/>
    </row>
    <row r="53" spans="8:10" ht="21" customHeight="1" x14ac:dyDescent="0.35">
      <c r="H53" s="15" t="s">
        <v>30</v>
      </c>
      <c r="I53" s="16">
        <f>SUM(I46:I52)</f>
        <v>24240</v>
      </c>
      <c r="J53" s="16">
        <f>SUM(J46:J50)</f>
        <v>37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AD406-DBFB-4835-94EA-D8478D651C34}">
  <dimension ref="A1:R74"/>
  <sheetViews>
    <sheetView topLeftCell="A26" zoomScaleNormal="100" workbookViewId="0">
      <selection activeCell="A44" sqref="A44:XFD4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316</v>
      </c>
      <c r="C1" s="1" t="s">
        <v>898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899</v>
      </c>
      <c r="D3" s="18" t="s">
        <v>900</v>
      </c>
      <c r="E3" s="18" t="s">
        <v>901</v>
      </c>
      <c r="F3" s="18" t="s">
        <v>38</v>
      </c>
      <c r="G3" s="19">
        <v>720</v>
      </c>
      <c r="H3" s="19">
        <v>30</v>
      </c>
      <c r="I3" s="19">
        <f t="shared" ref="I3:I26" si="0">G3-H3</f>
        <v>690</v>
      </c>
      <c r="J3" s="18" t="s">
        <v>902</v>
      </c>
      <c r="K3" s="18" t="s">
        <v>15</v>
      </c>
      <c r="L3" s="18" t="s">
        <v>903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904</v>
      </c>
      <c r="D4" s="18" t="s">
        <v>905</v>
      </c>
      <c r="E4" s="18" t="s">
        <v>906</v>
      </c>
      <c r="F4" s="19">
        <v>6</v>
      </c>
      <c r="G4" s="19">
        <v>915</v>
      </c>
      <c r="H4" s="19">
        <v>25</v>
      </c>
      <c r="I4" s="19">
        <f t="shared" si="0"/>
        <v>890</v>
      </c>
      <c r="J4" s="18" t="s">
        <v>902</v>
      </c>
      <c r="K4" s="18" t="s">
        <v>15</v>
      </c>
      <c r="L4" s="18" t="s">
        <v>903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907</v>
      </c>
      <c r="D5" s="18" t="s">
        <v>908</v>
      </c>
      <c r="E5" s="18" t="s">
        <v>909</v>
      </c>
      <c r="F5" s="18" t="s">
        <v>18</v>
      </c>
      <c r="G5" s="19">
        <v>25</v>
      </c>
      <c r="H5" s="19">
        <v>25</v>
      </c>
      <c r="I5" s="19">
        <f t="shared" si="0"/>
        <v>0</v>
      </c>
      <c r="J5" s="18" t="s">
        <v>902</v>
      </c>
      <c r="K5" s="18" t="s">
        <v>15</v>
      </c>
      <c r="L5" s="18" t="s">
        <v>903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910</v>
      </c>
      <c r="D6" s="18" t="s">
        <v>911</v>
      </c>
      <c r="E6" s="18" t="s">
        <v>912</v>
      </c>
      <c r="F6" s="19">
        <v>8</v>
      </c>
      <c r="G6" s="19">
        <v>2290</v>
      </c>
      <c r="H6" s="19">
        <v>30</v>
      </c>
      <c r="I6" s="19">
        <f t="shared" si="0"/>
        <v>2260</v>
      </c>
      <c r="J6" s="18" t="s">
        <v>902</v>
      </c>
      <c r="K6" s="18" t="s">
        <v>15</v>
      </c>
      <c r="L6" s="18" t="s">
        <v>903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913</v>
      </c>
      <c r="D7" s="18" t="s">
        <v>914</v>
      </c>
      <c r="E7" s="18" t="s">
        <v>915</v>
      </c>
      <c r="F7" s="19">
        <v>7</v>
      </c>
      <c r="G7" s="19">
        <v>4130</v>
      </c>
      <c r="H7" s="19">
        <v>40</v>
      </c>
      <c r="I7" s="19">
        <f t="shared" si="0"/>
        <v>4090</v>
      </c>
      <c r="J7" s="18" t="s">
        <v>902</v>
      </c>
      <c r="K7" s="18" t="s">
        <v>15</v>
      </c>
      <c r="L7" s="18" t="s">
        <v>903</v>
      </c>
      <c r="M7" s="27" t="s">
        <v>377</v>
      </c>
      <c r="N7" s="18"/>
      <c r="O7" s="18"/>
      <c r="P7" s="18"/>
      <c r="Q7" s="18">
        <v>1</v>
      </c>
      <c r="R7" s="17">
        <f>H7</f>
        <v>40</v>
      </c>
    </row>
    <row r="8" spans="1:18" customFormat="1" x14ac:dyDescent="0.25">
      <c r="A8" s="18"/>
      <c r="B8" s="18" t="s">
        <v>34</v>
      </c>
      <c r="C8" s="18" t="s">
        <v>916</v>
      </c>
      <c r="D8" s="18" t="s">
        <v>917</v>
      </c>
      <c r="E8" s="18" t="s">
        <v>918</v>
      </c>
      <c r="F8" s="19">
        <v>6</v>
      </c>
      <c r="G8" s="19">
        <v>565</v>
      </c>
      <c r="H8" s="19">
        <v>25</v>
      </c>
      <c r="I8" s="19">
        <f t="shared" si="0"/>
        <v>540</v>
      </c>
      <c r="J8" s="18" t="s">
        <v>902</v>
      </c>
      <c r="K8" s="18" t="s">
        <v>15</v>
      </c>
      <c r="L8" s="18" t="s">
        <v>903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919</v>
      </c>
      <c r="D9" s="18" t="s">
        <v>920</v>
      </c>
      <c r="E9" s="18" t="s">
        <v>921</v>
      </c>
      <c r="F9" s="18" t="s">
        <v>212</v>
      </c>
      <c r="G9" s="19">
        <v>1535</v>
      </c>
      <c r="H9" s="19">
        <v>25</v>
      </c>
      <c r="I9" s="19">
        <f t="shared" si="0"/>
        <v>1510</v>
      </c>
      <c r="J9" s="18" t="s">
        <v>902</v>
      </c>
      <c r="K9" s="18" t="s">
        <v>15</v>
      </c>
      <c r="L9" s="18" t="s">
        <v>903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922</v>
      </c>
      <c r="D10" s="18" t="s">
        <v>923</v>
      </c>
      <c r="E10" s="18" t="s">
        <v>924</v>
      </c>
      <c r="F10" s="19">
        <v>7</v>
      </c>
      <c r="G10" s="19">
        <v>1910</v>
      </c>
      <c r="H10" s="19">
        <v>30</v>
      </c>
      <c r="I10" s="19">
        <f t="shared" si="0"/>
        <v>1880</v>
      </c>
      <c r="J10" s="18" t="s">
        <v>902</v>
      </c>
      <c r="K10" s="18" t="s">
        <v>15</v>
      </c>
      <c r="L10" s="18" t="s">
        <v>903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242</v>
      </c>
      <c r="D11" s="18" t="s">
        <v>925</v>
      </c>
      <c r="E11" s="18" t="s">
        <v>926</v>
      </c>
      <c r="F11" s="18" t="s">
        <v>38</v>
      </c>
      <c r="G11" s="19">
        <v>820</v>
      </c>
      <c r="H11" s="19">
        <v>30</v>
      </c>
      <c r="I11" s="19">
        <f t="shared" si="0"/>
        <v>790</v>
      </c>
      <c r="J11" s="18" t="s">
        <v>902</v>
      </c>
      <c r="K11" s="18" t="s">
        <v>15</v>
      </c>
      <c r="L11" s="18" t="s">
        <v>903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927</v>
      </c>
      <c r="D12" s="18" t="s">
        <v>928</v>
      </c>
      <c r="E12" s="18" t="s">
        <v>929</v>
      </c>
      <c r="F12" s="19">
        <v>7</v>
      </c>
      <c r="G12" s="19">
        <v>790</v>
      </c>
      <c r="H12" s="19">
        <v>30</v>
      </c>
      <c r="I12" s="19">
        <f t="shared" si="0"/>
        <v>760</v>
      </c>
      <c r="J12" s="18" t="s">
        <v>902</v>
      </c>
      <c r="K12" s="18" t="s">
        <v>15</v>
      </c>
      <c r="L12" s="18" t="s">
        <v>903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930</v>
      </c>
      <c r="D13" s="18" t="s">
        <v>931</v>
      </c>
      <c r="E13" s="18" t="s">
        <v>932</v>
      </c>
      <c r="F13" s="18" t="s">
        <v>18</v>
      </c>
      <c r="G13" s="19">
        <v>705</v>
      </c>
      <c r="H13" s="19">
        <v>25</v>
      </c>
      <c r="I13" s="19">
        <f t="shared" si="0"/>
        <v>680</v>
      </c>
      <c r="J13" s="18" t="s">
        <v>902</v>
      </c>
      <c r="K13" s="18" t="s">
        <v>15</v>
      </c>
      <c r="L13" s="18" t="s">
        <v>903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933</v>
      </c>
      <c r="D14" s="18" t="s">
        <v>934</v>
      </c>
      <c r="E14" s="18" t="s">
        <v>935</v>
      </c>
      <c r="F14" s="18" t="s">
        <v>38</v>
      </c>
      <c r="G14" s="19">
        <v>850</v>
      </c>
      <c r="H14" s="19">
        <v>30</v>
      </c>
      <c r="I14" s="19">
        <f t="shared" si="0"/>
        <v>820</v>
      </c>
      <c r="J14" s="18" t="s">
        <v>902</v>
      </c>
      <c r="K14" s="18" t="s">
        <v>15</v>
      </c>
      <c r="L14" s="18" t="s">
        <v>903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936</v>
      </c>
      <c r="D15" s="18" t="s">
        <v>937</v>
      </c>
      <c r="E15" s="18" t="s">
        <v>938</v>
      </c>
      <c r="F15" s="19">
        <v>11</v>
      </c>
      <c r="G15" s="19">
        <v>385</v>
      </c>
      <c r="H15" s="19">
        <v>25</v>
      </c>
      <c r="I15" s="19">
        <f t="shared" si="0"/>
        <v>360</v>
      </c>
      <c r="J15" s="18" t="s">
        <v>902</v>
      </c>
      <c r="K15" s="18" t="s">
        <v>15</v>
      </c>
      <c r="L15" s="18" t="s">
        <v>903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939</v>
      </c>
      <c r="D16" s="18" t="s">
        <v>940</v>
      </c>
      <c r="E16" s="18" t="s">
        <v>941</v>
      </c>
      <c r="F16" s="19">
        <v>7</v>
      </c>
      <c r="G16" s="19">
        <v>820</v>
      </c>
      <c r="H16" s="19">
        <v>30</v>
      </c>
      <c r="I16" s="19">
        <f t="shared" si="0"/>
        <v>790</v>
      </c>
      <c r="J16" s="18" t="s">
        <v>902</v>
      </c>
      <c r="K16" s="18" t="s">
        <v>15</v>
      </c>
      <c r="L16" s="18" t="s">
        <v>903</v>
      </c>
      <c r="M16" s="18"/>
      <c r="N16" s="18"/>
      <c r="O16" s="18"/>
      <c r="P16" s="18"/>
      <c r="Q16" s="18">
        <v>1</v>
      </c>
    </row>
    <row r="17" spans="1:18" customFormat="1" x14ac:dyDescent="0.25">
      <c r="A17" s="18" t="s">
        <v>96</v>
      </c>
      <c r="B17" s="18" t="s">
        <v>34</v>
      </c>
      <c r="C17" s="18" t="s">
        <v>942</v>
      </c>
      <c r="D17" s="18"/>
      <c r="E17" s="18" t="s">
        <v>943</v>
      </c>
      <c r="F17" s="18" t="s">
        <v>18</v>
      </c>
      <c r="G17" s="19">
        <v>30</v>
      </c>
      <c r="H17" s="19">
        <v>30</v>
      </c>
      <c r="I17" s="19">
        <f t="shared" si="0"/>
        <v>0</v>
      </c>
      <c r="J17" s="18" t="s">
        <v>15</v>
      </c>
      <c r="K17" s="18" t="s">
        <v>15</v>
      </c>
      <c r="L17" s="18" t="s">
        <v>903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640</v>
      </c>
      <c r="D18" s="18"/>
      <c r="E18" s="18" t="s">
        <v>641</v>
      </c>
      <c r="F18" s="18" t="s">
        <v>20</v>
      </c>
      <c r="G18" s="19">
        <v>3050</v>
      </c>
      <c r="H18" s="19">
        <v>30</v>
      </c>
      <c r="I18" s="19">
        <f t="shared" si="0"/>
        <v>3020</v>
      </c>
      <c r="J18" s="18" t="s">
        <v>15</v>
      </c>
      <c r="K18" s="18" t="s">
        <v>15</v>
      </c>
      <c r="L18" s="18" t="s">
        <v>903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944</v>
      </c>
      <c r="D19" s="18"/>
      <c r="E19" s="18" t="s">
        <v>945</v>
      </c>
      <c r="F19" s="19">
        <v>2</v>
      </c>
      <c r="G19" s="19">
        <v>35</v>
      </c>
      <c r="H19" s="19">
        <v>35</v>
      </c>
      <c r="I19" s="19">
        <f t="shared" si="0"/>
        <v>0</v>
      </c>
      <c r="J19" s="18" t="s">
        <v>15</v>
      </c>
      <c r="K19" s="18" t="s">
        <v>15</v>
      </c>
      <c r="L19" s="18" t="s">
        <v>903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341</v>
      </c>
      <c r="D20" s="18"/>
      <c r="E20" s="18" t="s">
        <v>946</v>
      </c>
      <c r="F20" s="18" t="s">
        <v>20</v>
      </c>
      <c r="G20" s="19">
        <v>845</v>
      </c>
      <c r="H20" s="19">
        <v>25</v>
      </c>
      <c r="I20" s="19">
        <f t="shared" si="0"/>
        <v>820</v>
      </c>
      <c r="J20" s="18" t="s">
        <v>15</v>
      </c>
      <c r="K20" s="18" t="s">
        <v>15</v>
      </c>
      <c r="L20" s="18" t="s">
        <v>903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947</v>
      </c>
      <c r="D21" s="18"/>
      <c r="E21" s="18" t="s">
        <v>643</v>
      </c>
      <c r="F21" s="19">
        <v>12</v>
      </c>
      <c r="G21" s="19">
        <v>35</v>
      </c>
      <c r="H21" s="19">
        <v>35</v>
      </c>
      <c r="I21" s="19">
        <f t="shared" si="0"/>
        <v>0</v>
      </c>
      <c r="J21" s="18" t="s">
        <v>15</v>
      </c>
      <c r="K21" s="18" t="s">
        <v>15</v>
      </c>
      <c r="L21" s="18" t="s">
        <v>903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948</v>
      </c>
      <c r="D22" s="18" t="s">
        <v>949</v>
      </c>
      <c r="E22" s="18" t="s">
        <v>950</v>
      </c>
      <c r="F22" s="18" t="s">
        <v>19</v>
      </c>
      <c r="G22" s="19">
        <v>1570</v>
      </c>
      <c r="H22" s="19">
        <v>20</v>
      </c>
      <c r="I22" s="19">
        <f t="shared" si="0"/>
        <v>1550</v>
      </c>
      <c r="J22" s="18" t="s">
        <v>15</v>
      </c>
      <c r="K22" s="18" t="s">
        <v>15</v>
      </c>
      <c r="L22" s="18" t="s">
        <v>903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951</v>
      </c>
      <c r="D23" s="18" t="s">
        <v>952</v>
      </c>
      <c r="E23" s="18" t="s">
        <v>953</v>
      </c>
      <c r="F23" s="19">
        <v>2</v>
      </c>
      <c r="G23" s="19">
        <v>700</v>
      </c>
      <c r="H23" s="19">
        <v>30</v>
      </c>
      <c r="I23" s="19">
        <f t="shared" si="0"/>
        <v>670</v>
      </c>
      <c r="J23" s="18" t="s">
        <v>15</v>
      </c>
      <c r="K23" s="18" t="s">
        <v>15</v>
      </c>
      <c r="L23" s="18" t="s">
        <v>903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857</v>
      </c>
      <c r="D24" s="18" t="s">
        <v>954</v>
      </c>
      <c r="E24" s="18" t="s">
        <v>859</v>
      </c>
      <c r="F24" s="19">
        <v>2</v>
      </c>
      <c r="G24" s="19">
        <v>920</v>
      </c>
      <c r="H24" s="19">
        <v>30</v>
      </c>
      <c r="I24" s="19">
        <f t="shared" si="0"/>
        <v>890</v>
      </c>
      <c r="J24" s="18" t="s">
        <v>15</v>
      </c>
      <c r="K24" s="18" t="s">
        <v>15</v>
      </c>
      <c r="L24" s="18" t="s">
        <v>903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955</v>
      </c>
      <c r="E25" s="18" t="s">
        <v>140</v>
      </c>
      <c r="F25" s="18" t="s">
        <v>19</v>
      </c>
      <c r="G25" s="19">
        <v>2670</v>
      </c>
      <c r="H25" s="19">
        <v>25</v>
      </c>
      <c r="I25" s="19">
        <f t="shared" si="0"/>
        <v>2645</v>
      </c>
      <c r="J25" s="18" t="s">
        <v>15</v>
      </c>
      <c r="K25" s="18" t="s">
        <v>15</v>
      </c>
      <c r="L25" s="18" t="s">
        <v>903</v>
      </c>
      <c r="M25" s="27" t="s">
        <v>377</v>
      </c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356</v>
      </c>
      <c r="D26" s="18" t="s">
        <v>956</v>
      </c>
      <c r="E26" s="18" t="s">
        <v>957</v>
      </c>
      <c r="F26" s="18" t="s">
        <v>20</v>
      </c>
      <c r="G26" s="19">
        <v>865</v>
      </c>
      <c r="H26" s="19">
        <v>25</v>
      </c>
      <c r="I26" s="19">
        <f t="shared" si="0"/>
        <v>840</v>
      </c>
      <c r="J26" s="18" t="s">
        <v>15</v>
      </c>
      <c r="K26" s="18" t="s">
        <v>15</v>
      </c>
      <c r="L26" s="18" t="s">
        <v>903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958</v>
      </c>
      <c r="D27" s="18" t="s">
        <v>959</v>
      </c>
      <c r="E27" s="18" t="s">
        <v>960</v>
      </c>
      <c r="F27" s="18" t="s">
        <v>20</v>
      </c>
      <c r="G27" s="19">
        <v>0</v>
      </c>
      <c r="H27" s="19">
        <v>25</v>
      </c>
      <c r="I27" s="19">
        <f>-H27</f>
        <v>-25</v>
      </c>
      <c r="J27" s="18" t="s">
        <v>15</v>
      </c>
      <c r="K27" s="18" t="s">
        <v>15</v>
      </c>
      <c r="L27" s="18" t="s">
        <v>903</v>
      </c>
      <c r="M27" s="26" t="s">
        <v>961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962</v>
      </c>
      <c r="D28" s="18" t="s">
        <v>963</v>
      </c>
      <c r="E28" s="18" t="s">
        <v>964</v>
      </c>
      <c r="F28" s="19">
        <v>2</v>
      </c>
      <c r="G28" s="19">
        <v>950</v>
      </c>
      <c r="H28" s="19">
        <v>30</v>
      </c>
      <c r="I28" s="19">
        <f t="shared" ref="I28:I34" si="1">G28-H28</f>
        <v>920</v>
      </c>
      <c r="J28" s="18" t="s">
        <v>15</v>
      </c>
      <c r="K28" s="18" t="s">
        <v>15</v>
      </c>
      <c r="L28" s="18" t="s">
        <v>903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965</v>
      </c>
      <c r="D29" s="18" t="s">
        <v>966</v>
      </c>
      <c r="E29" s="18" t="s">
        <v>967</v>
      </c>
      <c r="F29" s="19">
        <v>2</v>
      </c>
      <c r="G29" s="19">
        <v>1120</v>
      </c>
      <c r="H29" s="19">
        <v>30</v>
      </c>
      <c r="I29" s="19">
        <f t="shared" si="1"/>
        <v>1090</v>
      </c>
      <c r="J29" s="18" t="s">
        <v>15</v>
      </c>
      <c r="K29" s="18" t="s">
        <v>15</v>
      </c>
      <c r="L29" s="18" t="s">
        <v>903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968</v>
      </c>
      <c r="D30" s="18" t="s">
        <v>969</v>
      </c>
      <c r="E30" s="18" t="s">
        <v>970</v>
      </c>
      <c r="F30" s="19">
        <v>2</v>
      </c>
      <c r="G30" s="19">
        <v>430</v>
      </c>
      <c r="H30" s="19">
        <v>30</v>
      </c>
      <c r="I30" s="19">
        <f t="shared" si="1"/>
        <v>400</v>
      </c>
      <c r="J30" s="18" t="s">
        <v>15</v>
      </c>
      <c r="K30" s="18" t="s">
        <v>15</v>
      </c>
      <c r="L30" s="18" t="s">
        <v>903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971</v>
      </c>
      <c r="D31" s="18" t="s">
        <v>972</v>
      </c>
      <c r="E31" s="18" t="s">
        <v>973</v>
      </c>
      <c r="F31" s="19">
        <v>2</v>
      </c>
      <c r="G31" s="19">
        <v>890</v>
      </c>
      <c r="H31" s="19">
        <v>30</v>
      </c>
      <c r="I31" s="19">
        <f t="shared" si="1"/>
        <v>860</v>
      </c>
      <c r="J31" s="18" t="s">
        <v>15</v>
      </c>
      <c r="K31" s="18" t="s">
        <v>15</v>
      </c>
      <c r="L31" s="18" t="s">
        <v>903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974</v>
      </c>
      <c r="D32" s="18" t="s">
        <v>975</v>
      </c>
      <c r="E32" s="18" t="s">
        <v>976</v>
      </c>
      <c r="F32" s="18" t="s">
        <v>18</v>
      </c>
      <c r="G32" s="19">
        <v>845</v>
      </c>
      <c r="H32" s="19">
        <v>25</v>
      </c>
      <c r="I32" s="19">
        <f t="shared" si="1"/>
        <v>820</v>
      </c>
      <c r="J32" s="18" t="s">
        <v>15</v>
      </c>
      <c r="K32" s="18" t="s">
        <v>15</v>
      </c>
      <c r="L32" s="18" t="s">
        <v>903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977</v>
      </c>
      <c r="D33" s="18" t="s">
        <v>978</v>
      </c>
      <c r="E33" s="18" t="s">
        <v>979</v>
      </c>
      <c r="F33" s="19">
        <v>2</v>
      </c>
      <c r="G33" s="19">
        <v>700</v>
      </c>
      <c r="H33" s="19">
        <v>30</v>
      </c>
      <c r="I33" s="19">
        <f t="shared" si="1"/>
        <v>670</v>
      </c>
      <c r="J33" s="18" t="s">
        <v>15</v>
      </c>
      <c r="K33" s="18" t="s">
        <v>15</v>
      </c>
      <c r="L33" s="18" t="s">
        <v>903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980</v>
      </c>
      <c r="D34" s="18" t="s">
        <v>981</v>
      </c>
      <c r="E34" s="18" t="s">
        <v>982</v>
      </c>
      <c r="F34" s="18" t="s">
        <v>20</v>
      </c>
      <c r="G34" s="19">
        <v>0</v>
      </c>
      <c r="H34" s="19">
        <v>25</v>
      </c>
      <c r="I34" s="19">
        <f t="shared" si="1"/>
        <v>-25</v>
      </c>
      <c r="J34" s="18" t="s">
        <v>15</v>
      </c>
      <c r="K34" s="18" t="s">
        <v>15</v>
      </c>
      <c r="L34" s="18" t="s">
        <v>903</v>
      </c>
      <c r="M34" s="26" t="s">
        <v>983</v>
      </c>
      <c r="N34" s="18"/>
      <c r="O34" s="18"/>
      <c r="P34" s="18"/>
      <c r="Q34" s="18">
        <v>1</v>
      </c>
      <c r="R34" s="17">
        <f t="shared" ref="R34:R35" si="2">H34</f>
        <v>25</v>
      </c>
    </row>
    <row r="35" spans="1:18" customFormat="1" x14ac:dyDescent="0.25">
      <c r="A35" s="18"/>
      <c r="B35" s="18" t="s">
        <v>34</v>
      </c>
      <c r="C35" s="18" t="s">
        <v>984</v>
      </c>
      <c r="D35" s="18" t="s">
        <v>985</v>
      </c>
      <c r="E35" s="18" t="s">
        <v>986</v>
      </c>
      <c r="F35" s="18" t="s">
        <v>19</v>
      </c>
      <c r="G35" s="19">
        <v>0</v>
      </c>
      <c r="H35" s="19">
        <v>20</v>
      </c>
      <c r="I35" s="19">
        <f>-H35</f>
        <v>-20</v>
      </c>
      <c r="J35" s="18" t="s">
        <v>15</v>
      </c>
      <c r="K35" s="18" t="s">
        <v>15</v>
      </c>
      <c r="L35" s="18" t="s">
        <v>903</v>
      </c>
      <c r="M35" s="18"/>
      <c r="N35" s="18"/>
      <c r="O35" s="18"/>
      <c r="P35" s="18"/>
      <c r="Q35" s="18">
        <v>1</v>
      </c>
      <c r="R35" s="17">
        <f t="shared" si="2"/>
        <v>20</v>
      </c>
    </row>
    <row r="36" spans="1:18" customFormat="1" x14ac:dyDescent="0.25">
      <c r="A36" s="18"/>
      <c r="B36" s="18" t="s">
        <v>34</v>
      </c>
      <c r="C36" s="18" t="s">
        <v>987</v>
      </c>
      <c r="D36" s="18" t="s">
        <v>988</v>
      </c>
      <c r="E36" s="18" t="s">
        <v>989</v>
      </c>
      <c r="F36" s="18" t="s">
        <v>18</v>
      </c>
      <c r="G36" s="19">
        <v>2030</v>
      </c>
      <c r="H36" s="19">
        <v>30</v>
      </c>
      <c r="I36" s="19">
        <f t="shared" ref="I36:I44" si="3">G36-H36</f>
        <v>2000</v>
      </c>
      <c r="J36" s="18" t="s">
        <v>15</v>
      </c>
      <c r="K36" s="18" t="s">
        <v>15</v>
      </c>
      <c r="L36" s="18" t="s">
        <v>903</v>
      </c>
      <c r="M36" s="27" t="s">
        <v>377</v>
      </c>
      <c r="N36" s="18"/>
      <c r="O36" s="18"/>
      <c r="P36" s="18"/>
      <c r="Q36" s="18">
        <v>1</v>
      </c>
      <c r="R36" s="17">
        <f>H36</f>
        <v>30</v>
      </c>
    </row>
    <row r="37" spans="1:18" customFormat="1" x14ac:dyDescent="0.25">
      <c r="A37" s="18" t="s">
        <v>96</v>
      </c>
      <c r="B37" s="18" t="s">
        <v>34</v>
      </c>
      <c r="C37" s="18" t="s">
        <v>579</v>
      </c>
      <c r="D37" s="18"/>
      <c r="E37" s="18" t="s">
        <v>580</v>
      </c>
      <c r="F37" s="19">
        <v>4</v>
      </c>
      <c r="G37" s="19">
        <v>30</v>
      </c>
      <c r="H37" s="19">
        <v>30</v>
      </c>
      <c r="I37" s="19">
        <f t="shared" si="3"/>
        <v>0</v>
      </c>
      <c r="J37" s="18" t="s">
        <v>160</v>
      </c>
      <c r="K37" s="18" t="s">
        <v>15</v>
      </c>
      <c r="L37" s="18" t="s">
        <v>903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990</v>
      </c>
      <c r="D38" s="18" t="s">
        <v>991</v>
      </c>
      <c r="E38" s="18" t="s">
        <v>992</v>
      </c>
      <c r="F38" s="19">
        <v>10</v>
      </c>
      <c r="G38" s="19">
        <v>1025</v>
      </c>
      <c r="H38" s="19">
        <v>25</v>
      </c>
      <c r="I38" s="19">
        <f t="shared" si="3"/>
        <v>1000</v>
      </c>
      <c r="J38" s="18" t="s">
        <v>160</v>
      </c>
      <c r="K38" s="18" t="s">
        <v>15</v>
      </c>
      <c r="L38" s="18" t="s">
        <v>903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993</v>
      </c>
      <c r="D39" s="18" t="s">
        <v>994</v>
      </c>
      <c r="E39" s="18" t="s">
        <v>995</v>
      </c>
      <c r="F39" s="18" t="s">
        <v>17</v>
      </c>
      <c r="G39" s="19">
        <v>1110</v>
      </c>
      <c r="H39" s="19">
        <v>20</v>
      </c>
      <c r="I39" s="19">
        <f t="shared" si="3"/>
        <v>1090</v>
      </c>
      <c r="J39" s="18" t="s">
        <v>160</v>
      </c>
      <c r="K39" s="18" t="s">
        <v>15</v>
      </c>
      <c r="L39" s="18" t="s">
        <v>903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996</v>
      </c>
      <c r="D40" s="18" t="s">
        <v>997</v>
      </c>
      <c r="E40" s="18" t="s">
        <v>998</v>
      </c>
      <c r="F40" s="19">
        <v>1</v>
      </c>
      <c r="G40" s="19">
        <v>1355</v>
      </c>
      <c r="H40" s="19">
        <v>25</v>
      </c>
      <c r="I40" s="19">
        <f t="shared" si="3"/>
        <v>1330</v>
      </c>
      <c r="J40" s="18" t="s">
        <v>160</v>
      </c>
      <c r="K40" s="18" t="s">
        <v>15</v>
      </c>
      <c r="L40" s="18" t="s">
        <v>903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999</v>
      </c>
      <c r="D41" s="18" t="s">
        <v>1000</v>
      </c>
      <c r="E41" s="18" t="s">
        <v>1001</v>
      </c>
      <c r="F41" s="18" t="s">
        <v>18</v>
      </c>
      <c r="G41" s="19">
        <v>945</v>
      </c>
      <c r="H41" s="19">
        <v>25</v>
      </c>
      <c r="I41" s="19">
        <f t="shared" si="3"/>
        <v>920</v>
      </c>
      <c r="J41" s="18" t="s">
        <v>160</v>
      </c>
      <c r="K41" s="18" t="s">
        <v>15</v>
      </c>
      <c r="L41" s="18" t="s">
        <v>903</v>
      </c>
      <c r="M41" s="27" t="s">
        <v>307</v>
      </c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999</v>
      </c>
      <c r="D42" s="18" t="s">
        <v>1026</v>
      </c>
      <c r="E42" s="18" t="s">
        <v>1001</v>
      </c>
      <c r="F42" s="18" t="s">
        <v>18</v>
      </c>
      <c r="G42" s="19">
        <v>760</v>
      </c>
      <c r="H42" s="19">
        <v>0</v>
      </c>
      <c r="I42" s="19">
        <f>G42-H42</f>
        <v>760</v>
      </c>
      <c r="J42" s="18" t="s">
        <v>160</v>
      </c>
      <c r="K42" s="18" t="s">
        <v>15</v>
      </c>
      <c r="L42" s="18" t="s">
        <v>903</v>
      </c>
      <c r="M42" s="27" t="s">
        <v>307</v>
      </c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1002</v>
      </c>
      <c r="D43" s="18" t="s">
        <v>1003</v>
      </c>
      <c r="E43" s="18" t="s">
        <v>1004</v>
      </c>
      <c r="F43" s="18" t="s">
        <v>17</v>
      </c>
      <c r="G43" s="19">
        <v>560</v>
      </c>
      <c r="H43" s="19">
        <v>20</v>
      </c>
      <c r="I43" s="19">
        <f t="shared" si="3"/>
        <v>540</v>
      </c>
      <c r="J43" s="18" t="s">
        <v>160</v>
      </c>
      <c r="K43" s="18" t="s">
        <v>15</v>
      </c>
      <c r="L43" s="18" t="s">
        <v>903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1005</v>
      </c>
      <c r="D44" s="18" t="s">
        <v>1006</v>
      </c>
      <c r="E44" s="18" t="s">
        <v>1007</v>
      </c>
      <c r="F44" s="19">
        <v>1</v>
      </c>
      <c r="G44" s="44">
        <v>790</v>
      </c>
      <c r="H44" s="44">
        <v>30</v>
      </c>
      <c r="I44" s="19">
        <f t="shared" si="3"/>
        <v>760</v>
      </c>
      <c r="J44" s="18" t="s">
        <v>160</v>
      </c>
      <c r="K44" s="18" t="s">
        <v>15</v>
      </c>
      <c r="L44" s="18" t="s">
        <v>903</v>
      </c>
      <c r="M44" s="43" t="s">
        <v>1037</v>
      </c>
      <c r="N44" s="18"/>
      <c r="O44" s="18"/>
      <c r="P44" s="18"/>
      <c r="Q44" s="18">
        <v>1</v>
      </c>
      <c r="R44" s="17">
        <f>H44</f>
        <v>30</v>
      </c>
    </row>
    <row r="45" spans="1:18" customFormat="1" x14ac:dyDescent="0.25">
      <c r="A45" s="18"/>
      <c r="B45" s="18" t="s">
        <v>34</v>
      </c>
      <c r="C45" s="18" t="s">
        <v>1005</v>
      </c>
      <c r="D45" s="18" t="s">
        <v>1025</v>
      </c>
      <c r="E45" s="18" t="s">
        <v>1007</v>
      </c>
      <c r="F45" s="19">
        <v>1</v>
      </c>
      <c r="G45" s="44">
        <v>1330</v>
      </c>
      <c r="H45" s="44">
        <v>0</v>
      </c>
      <c r="I45" s="19">
        <f>G45-H45</f>
        <v>1330</v>
      </c>
      <c r="J45" s="18" t="s">
        <v>160</v>
      </c>
      <c r="K45" s="18" t="s">
        <v>15</v>
      </c>
      <c r="L45" s="18" t="s">
        <v>903</v>
      </c>
      <c r="M45" s="43" t="s">
        <v>307</v>
      </c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338</v>
      </c>
      <c r="D46" s="18" t="s">
        <v>1008</v>
      </c>
      <c r="E46" s="18" t="s">
        <v>340</v>
      </c>
      <c r="F46" s="19">
        <v>3</v>
      </c>
      <c r="G46" s="19">
        <v>0</v>
      </c>
      <c r="H46" s="19">
        <v>25</v>
      </c>
      <c r="I46" s="19">
        <f>-H46</f>
        <v>-25</v>
      </c>
      <c r="J46" s="18" t="s">
        <v>160</v>
      </c>
      <c r="K46" s="18" t="s">
        <v>15</v>
      </c>
      <c r="L46" s="18" t="s">
        <v>903</v>
      </c>
      <c r="M46" s="18"/>
      <c r="N46" s="18"/>
      <c r="O46" s="18"/>
      <c r="P46" s="18"/>
      <c r="Q46" s="18">
        <v>1</v>
      </c>
      <c r="R46" s="17">
        <f t="shared" ref="R46:R48" si="4">H46</f>
        <v>25</v>
      </c>
    </row>
    <row r="47" spans="1:18" customFormat="1" x14ac:dyDescent="0.25">
      <c r="A47" s="18"/>
      <c r="B47" s="18" t="s">
        <v>34</v>
      </c>
      <c r="C47" s="18" t="s">
        <v>1009</v>
      </c>
      <c r="D47" s="18" t="s">
        <v>1010</v>
      </c>
      <c r="E47" s="18" t="s">
        <v>1011</v>
      </c>
      <c r="F47" s="18" t="s">
        <v>18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903</v>
      </c>
      <c r="M47" s="18"/>
      <c r="N47" s="18"/>
      <c r="O47" s="18"/>
      <c r="P47" s="18"/>
      <c r="Q47" s="18">
        <v>1</v>
      </c>
      <c r="R47" s="17">
        <f t="shared" si="4"/>
        <v>25</v>
      </c>
    </row>
    <row r="48" spans="1:18" customFormat="1" x14ac:dyDescent="0.25">
      <c r="A48" s="18"/>
      <c r="B48" s="18" t="s">
        <v>34</v>
      </c>
      <c r="C48" s="18" t="s">
        <v>1012</v>
      </c>
      <c r="D48" s="18" t="s">
        <v>1013</v>
      </c>
      <c r="E48" s="18" t="s">
        <v>1014</v>
      </c>
      <c r="F48" s="19">
        <v>3</v>
      </c>
      <c r="G48" s="19">
        <v>0</v>
      </c>
      <c r="H48" s="19">
        <v>25</v>
      </c>
      <c r="I48" s="19">
        <f>G48-H48</f>
        <v>-25</v>
      </c>
      <c r="J48" s="18" t="s">
        <v>160</v>
      </c>
      <c r="K48" s="18" t="s">
        <v>15</v>
      </c>
      <c r="L48" s="18" t="s">
        <v>903</v>
      </c>
      <c r="M48" s="26" t="s">
        <v>1015</v>
      </c>
      <c r="N48" s="18"/>
      <c r="O48" s="18"/>
      <c r="P48" s="18"/>
      <c r="Q48" s="18">
        <v>1</v>
      </c>
      <c r="R48" s="17">
        <f t="shared" si="4"/>
        <v>25</v>
      </c>
    </row>
    <row r="49" spans="1:18" customFormat="1" x14ac:dyDescent="0.25">
      <c r="A49" s="18"/>
      <c r="B49" s="18" t="s">
        <v>34</v>
      </c>
      <c r="C49" s="18" t="s">
        <v>1016</v>
      </c>
      <c r="D49" s="18" t="s">
        <v>1017</v>
      </c>
      <c r="E49" s="18" t="s">
        <v>1018</v>
      </c>
      <c r="F49" s="19">
        <v>3</v>
      </c>
      <c r="G49" s="19">
        <v>1601</v>
      </c>
      <c r="H49" s="19">
        <v>25</v>
      </c>
      <c r="I49" s="19">
        <f>G49-H49</f>
        <v>1576</v>
      </c>
      <c r="J49" s="18" t="s">
        <v>160</v>
      </c>
      <c r="K49" s="18" t="s">
        <v>15</v>
      </c>
      <c r="L49" s="18" t="s">
        <v>903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1019</v>
      </c>
      <c r="D50" s="18" t="s">
        <v>1020</v>
      </c>
      <c r="E50" s="18" t="s">
        <v>1021</v>
      </c>
      <c r="F50" s="19">
        <v>1</v>
      </c>
      <c r="G50" s="19">
        <v>0</v>
      </c>
      <c r="H50" s="19">
        <v>25</v>
      </c>
      <c r="I50" s="19">
        <f>-H50</f>
        <v>-25</v>
      </c>
      <c r="J50" s="18" t="s">
        <v>160</v>
      </c>
      <c r="K50" s="18" t="s">
        <v>15</v>
      </c>
      <c r="L50" s="18" t="s">
        <v>903</v>
      </c>
      <c r="M50" s="18"/>
      <c r="N50" s="18"/>
      <c r="O50" s="18"/>
      <c r="P50" s="18"/>
      <c r="Q50" s="18">
        <v>1</v>
      </c>
      <c r="R50" s="17">
        <f>H50</f>
        <v>25</v>
      </c>
    </row>
    <row r="51" spans="1:18" customFormat="1" x14ac:dyDescent="0.25">
      <c r="A51" s="18"/>
      <c r="B51" s="18" t="s">
        <v>34</v>
      </c>
      <c r="C51" s="18" t="s">
        <v>1022</v>
      </c>
      <c r="D51" s="18" t="s">
        <v>1023</v>
      </c>
      <c r="E51" s="18" t="s">
        <v>1024</v>
      </c>
      <c r="F51" s="18" t="s">
        <v>18</v>
      </c>
      <c r="G51" s="19">
        <v>0</v>
      </c>
      <c r="H51" s="19">
        <v>25</v>
      </c>
      <c r="I51" s="19">
        <f>G51-H51</f>
        <v>-25</v>
      </c>
      <c r="J51" s="18" t="s">
        <v>160</v>
      </c>
      <c r="K51" s="18" t="s">
        <v>15</v>
      </c>
      <c r="L51" s="18" t="s">
        <v>903</v>
      </c>
      <c r="M51" s="18"/>
      <c r="N51" s="18"/>
      <c r="O51" s="18"/>
      <c r="P51" s="18"/>
      <c r="Q51" s="18">
        <v>1</v>
      </c>
      <c r="R51" s="17">
        <f>H51</f>
        <v>25</v>
      </c>
    </row>
    <row r="52" spans="1:18" customFormat="1" x14ac:dyDescent="0.25">
      <c r="A52" s="18"/>
      <c r="B52" s="18" t="s">
        <v>34</v>
      </c>
      <c r="C52" s="18" t="s">
        <v>1027</v>
      </c>
      <c r="D52" s="18" t="s">
        <v>1028</v>
      </c>
      <c r="E52" s="18" t="s">
        <v>1029</v>
      </c>
      <c r="F52" s="19">
        <v>10</v>
      </c>
      <c r="G52" s="19">
        <v>845</v>
      </c>
      <c r="H52" s="19">
        <v>25</v>
      </c>
      <c r="I52" s="19">
        <f>G52-H52</f>
        <v>820</v>
      </c>
      <c r="J52" s="18" t="s">
        <v>160</v>
      </c>
      <c r="K52" s="18" t="s">
        <v>15</v>
      </c>
      <c r="L52" s="18" t="s">
        <v>903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1030</v>
      </c>
      <c r="D53" s="18" t="s">
        <v>1031</v>
      </c>
      <c r="E53" s="18" t="s">
        <v>1032</v>
      </c>
      <c r="F53" s="19">
        <v>3</v>
      </c>
      <c r="G53" s="19">
        <v>515</v>
      </c>
      <c r="H53" s="19">
        <v>25</v>
      </c>
      <c r="I53" s="19">
        <f>G53-H53</f>
        <v>490</v>
      </c>
      <c r="J53" s="18" t="s">
        <v>160</v>
      </c>
      <c r="K53" s="18" t="s">
        <v>15</v>
      </c>
      <c r="L53" s="18" t="s">
        <v>903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45011</v>
      </c>
      <c r="H55" s="1">
        <f t="shared" si="5"/>
        <v>1335</v>
      </c>
      <c r="I55" s="1">
        <f t="shared" si="5"/>
        <v>43676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320</v>
      </c>
    </row>
    <row r="56" spans="1:18" x14ac:dyDescent="0.25">
      <c r="I56" s="1">
        <v>-210</v>
      </c>
      <c r="J56" s="1" t="s">
        <v>1033</v>
      </c>
    </row>
    <row r="57" spans="1:18" x14ac:dyDescent="0.25">
      <c r="I57" s="1">
        <v>-765</v>
      </c>
      <c r="J57" s="1" t="s">
        <v>1036</v>
      </c>
    </row>
    <row r="59" spans="1:18" ht="20.25" customHeight="1" x14ac:dyDescent="0.3">
      <c r="H59" s="4" t="s">
        <v>897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42701</v>
      </c>
      <c r="J60" s="8">
        <f>Q55</f>
        <v>51</v>
      </c>
    </row>
    <row r="61" spans="1:18" x14ac:dyDescent="0.25">
      <c r="H61" s="9" t="s">
        <v>24</v>
      </c>
      <c r="I61" s="10">
        <f>R55</f>
        <v>320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1:12" ht="15.75" customHeight="1" x14ac:dyDescent="0.25">
      <c r="H65" s="12" t="s">
        <v>28</v>
      </c>
      <c r="I65" s="13"/>
      <c r="J65" s="13"/>
    </row>
    <row r="66" spans="1:12" ht="15.75" customHeight="1" x14ac:dyDescent="0.25">
      <c r="H66" s="14" t="s">
        <v>29</v>
      </c>
      <c r="I66" s="13"/>
      <c r="J66" s="13"/>
    </row>
    <row r="67" spans="1:12" ht="21" customHeight="1" x14ac:dyDescent="0.35">
      <c r="H67" s="15" t="s">
        <v>30</v>
      </c>
      <c r="I67" s="16">
        <f>SUM(I60:I66)</f>
        <v>43021</v>
      </c>
      <c r="J67" s="16">
        <f>SUM(J60:J64)</f>
        <v>51</v>
      </c>
    </row>
    <row r="69" spans="1:12" x14ac:dyDescent="0.25">
      <c r="A69" s="1" t="s">
        <v>1033</v>
      </c>
    </row>
    <row r="70" spans="1:12" x14ac:dyDescent="0.25">
      <c r="A70" s="24" t="s">
        <v>34</v>
      </c>
      <c r="B70" s="24" t="s">
        <v>1034</v>
      </c>
      <c r="C70" s="24"/>
      <c r="D70" s="24" t="s">
        <v>1035</v>
      </c>
      <c r="E70" s="25" t="s">
        <v>17</v>
      </c>
      <c r="F70" s="25">
        <v>210</v>
      </c>
      <c r="G70" s="25">
        <v>0</v>
      </c>
      <c r="H70" s="25">
        <f>F70-G70</f>
        <v>210</v>
      </c>
      <c r="I70" s="24" t="s">
        <v>662</v>
      </c>
      <c r="J70" s="24" t="s">
        <v>15</v>
      </c>
      <c r="K70" s="24"/>
      <c r="L70" s="42"/>
    </row>
    <row r="71" spans="1:12" x14ac:dyDescent="0.25">
      <c r="A71" s="1" t="s">
        <v>173</v>
      </c>
    </row>
    <row r="72" spans="1:12" x14ac:dyDescent="0.25">
      <c r="A72" s="24" t="s">
        <v>34</v>
      </c>
      <c r="B72" s="24" t="s">
        <v>958</v>
      </c>
      <c r="C72" s="24" t="s">
        <v>959</v>
      </c>
      <c r="D72" s="24" t="s">
        <v>960</v>
      </c>
      <c r="E72" s="28" t="s">
        <v>20</v>
      </c>
      <c r="F72" s="25">
        <v>785</v>
      </c>
      <c r="G72" s="25">
        <v>0</v>
      </c>
      <c r="H72" s="25">
        <f>F72-G72</f>
        <v>785</v>
      </c>
      <c r="I72" s="24" t="s">
        <v>15</v>
      </c>
      <c r="J72" s="24" t="s">
        <v>15</v>
      </c>
      <c r="K72" s="24" t="s">
        <v>903</v>
      </c>
      <c r="L72" s="26" t="s">
        <v>961</v>
      </c>
    </row>
    <row r="73" spans="1:12" x14ac:dyDescent="0.25">
      <c r="A73" s="24" t="s">
        <v>34</v>
      </c>
      <c r="B73" s="24" t="s">
        <v>1012</v>
      </c>
      <c r="C73" s="24" t="s">
        <v>1013</v>
      </c>
      <c r="D73" s="24" t="s">
        <v>1014</v>
      </c>
      <c r="E73" s="28">
        <v>3</v>
      </c>
      <c r="F73" s="25">
        <v>465</v>
      </c>
      <c r="G73" s="25">
        <v>0</v>
      </c>
      <c r="H73" s="25">
        <f>F73-G73</f>
        <v>465</v>
      </c>
      <c r="I73" s="24" t="s">
        <v>160</v>
      </c>
      <c r="J73" s="24" t="s">
        <v>15</v>
      </c>
      <c r="K73" s="24" t="s">
        <v>903</v>
      </c>
      <c r="L73" s="26" t="s">
        <v>1015</v>
      </c>
    </row>
    <row r="74" spans="1:12" x14ac:dyDescent="0.25">
      <c r="A74" s="24" t="s">
        <v>34</v>
      </c>
      <c r="B74" s="24" t="s">
        <v>980</v>
      </c>
      <c r="C74" s="24" t="s">
        <v>981</v>
      </c>
      <c r="D74" s="24" t="s">
        <v>982</v>
      </c>
      <c r="E74" s="28" t="s">
        <v>20</v>
      </c>
      <c r="F74" s="25">
        <v>1865</v>
      </c>
      <c r="G74" s="25">
        <v>0</v>
      </c>
      <c r="H74" s="25">
        <f>F74-G74</f>
        <v>1865</v>
      </c>
      <c r="I74" s="24" t="s">
        <v>15</v>
      </c>
      <c r="J74" s="24" t="s">
        <v>15</v>
      </c>
      <c r="K74" s="24" t="s">
        <v>903</v>
      </c>
      <c r="L74" s="26" t="s">
        <v>983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4CC74-A78E-46C3-B51A-6A668A48CD0E}">
  <dimension ref="A1:R57"/>
  <sheetViews>
    <sheetView topLeftCell="A38" workbookViewId="0">
      <selection activeCell="J24" sqref="J2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320</v>
      </c>
      <c r="C1" s="1" t="s">
        <v>1039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1040</v>
      </c>
      <c r="D3" s="18" t="s">
        <v>1041</v>
      </c>
      <c r="E3" s="18" t="s">
        <v>1042</v>
      </c>
      <c r="F3" s="19">
        <v>9</v>
      </c>
      <c r="G3" s="19">
        <v>1520</v>
      </c>
      <c r="H3" s="19">
        <v>30</v>
      </c>
      <c r="I3" s="19">
        <f>G3-H3</f>
        <v>1490</v>
      </c>
      <c r="J3" s="18" t="s">
        <v>56</v>
      </c>
      <c r="K3" s="18" t="s">
        <v>15</v>
      </c>
      <c r="L3" s="18" t="s">
        <v>1043</v>
      </c>
      <c r="M3" s="18"/>
      <c r="N3" s="18"/>
      <c r="O3" s="18"/>
      <c r="P3" s="18"/>
      <c r="Q3" s="18">
        <v>1</v>
      </c>
    </row>
    <row r="4" spans="1:18" s="22" customFormat="1" x14ac:dyDescent="0.25">
      <c r="A4" s="20"/>
      <c r="B4" s="20" t="s">
        <v>34</v>
      </c>
      <c r="C4" s="20" t="s">
        <v>680</v>
      </c>
      <c r="D4" s="20" t="s">
        <v>1044</v>
      </c>
      <c r="E4" s="20" t="s">
        <v>682</v>
      </c>
      <c r="F4" s="21">
        <v>6</v>
      </c>
      <c r="G4" s="21">
        <v>0</v>
      </c>
      <c r="H4" s="21">
        <v>25</v>
      </c>
      <c r="I4" s="21">
        <f>-H4</f>
        <v>-25</v>
      </c>
      <c r="J4" s="20" t="s">
        <v>1045</v>
      </c>
      <c r="K4" s="20" t="s">
        <v>15</v>
      </c>
      <c r="L4" s="20" t="s">
        <v>1043</v>
      </c>
      <c r="M4" s="20" t="s">
        <v>16</v>
      </c>
      <c r="N4" s="20"/>
      <c r="O4" s="20"/>
      <c r="P4" s="20"/>
      <c r="Q4" s="20">
        <v>1</v>
      </c>
      <c r="R4" s="29">
        <f>H4</f>
        <v>25</v>
      </c>
    </row>
    <row r="5" spans="1:18" customFormat="1" x14ac:dyDescent="0.25">
      <c r="A5" s="18"/>
      <c r="B5" s="18" t="s">
        <v>34</v>
      </c>
      <c r="C5" s="18" t="s">
        <v>1046</v>
      </c>
      <c r="D5" s="18" t="s">
        <v>1047</v>
      </c>
      <c r="E5" s="18" t="s">
        <v>1048</v>
      </c>
      <c r="F5" s="18" t="s">
        <v>38</v>
      </c>
      <c r="G5" s="19">
        <v>390</v>
      </c>
      <c r="H5" s="19">
        <v>30</v>
      </c>
      <c r="I5" s="19">
        <f>G5-H5</f>
        <v>360</v>
      </c>
      <c r="J5" s="18" t="s">
        <v>1045</v>
      </c>
      <c r="K5" s="18" t="s">
        <v>15</v>
      </c>
      <c r="L5" s="18" t="s">
        <v>1043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1049</v>
      </c>
      <c r="D6" s="18" t="s">
        <v>1050</v>
      </c>
      <c r="E6" s="18" t="s">
        <v>1051</v>
      </c>
      <c r="F6" s="19">
        <v>7</v>
      </c>
      <c r="G6" s="19">
        <v>0</v>
      </c>
      <c r="H6" s="19">
        <v>30</v>
      </c>
      <c r="I6" s="19">
        <f>-H6</f>
        <v>-30</v>
      </c>
      <c r="J6" s="18" t="s">
        <v>1045</v>
      </c>
      <c r="K6" s="18" t="s">
        <v>15</v>
      </c>
      <c r="L6" s="18" t="s">
        <v>1043</v>
      </c>
      <c r="M6" s="18"/>
      <c r="N6" s="18"/>
      <c r="O6" s="18"/>
      <c r="P6" s="18"/>
      <c r="Q6" s="18">
        <v>1</v>
      </c>
      <c r="R6" s="17">
        <f>H6</f>
        <v>30</v>
      </c>
    </row>
    <row r="7" spans="1:18" customFormat="1" x14ac:dyDescent="0.25">
      <c r="A7" s="18"/>
      <c r="B7" s="18" t="s">
        <v>34</v>
      </c>
      <c r="C7" s="18" t="s">
        <v>1052</v>
      </c>
      <c r="D7" s="18" t="s">
        <v>1053</v>
      </c>
      <c r="E7" s="18" t="s">
        <v>1054</v>
      </c>
      <c r="F7" s="18" t="s">
        <v>144</v>
      </c>
      <c r="G7" s="19">
        <v>0</v>
      </c>
      <c r="H7" s="19">
        <v>30</v>
      </c>
      <c r="I7" s="19">
        <f>-H7</f>
        <v>-30</v>
      </c>
      <c r="J7" s="18" t="s">
        <v>1045</v>
      </c>
      <c r="K7" s="18" t="s">
        <v>15</v>
      </c>
      <c r="L7" s="18" t="s">
        <v>1043</v>
      </c>
      <c r="M7" s="18"/>
      <c r="N7" s="18"/>
      <c r="O7" s="18"/>
      <c r="P7" s="18"/>
      <c r="Q7" s="18">
        <v>1</v>
      </c>
      <c r="R7" s="17">
        <f t="shared" ref="R7:R8" si="0">H7</f>
        <v>30</v>
      </c>
    </row>
    <row r="8" spans="1:18" customFormat="1" x14ac:dyDescent="0.25">
      <c r="A8" s="18"/>
      <c r="B8" s="18" t="s">
        <v>34</v>
      </c>
      <c r="C8" s="18" t="s">
        <v>1055</v>
      </c>
      <c r="D8" s="18" t="s">
        <v>1056</v>
      </c>
      <c r="E8" s="18" t="s">
        <v>1057</v>
      </c>
      <c r="F8" s="18" t="s">
        <v>18</v>
      </c>
      <c r="G8" s="19">
        <v>0</v>
      </c>
      <c r="H8" s="19">
        <v>25</v>
      </c>
      <c r="I8" s="19">
        <f>-H8</f>
        <v>-25</v>
      </c>
      <c r="J8" s="18" t="s">
        <v>1045</v>
      </c>
      <c r="K8" s="18" t="s">
        <v>15</v>
      </c>
      <c r="L8" s="18" t="s">
        <v>1043</v>
      </c>
      <c r="M8" s="18"/>
      <c r="N8" s="18"/>
      <c r="O8" s="18"/>
      <c r="P8" s="18"/>
      <c r="Q8" s="18">
        <v>1</v>
      </c>
      <c r="R8" s="17">
        <f t="shared" si="0"/>
        <v>25</v>
      </c>
    </row>
    <row r="9" spans="1:18" customFormat="1" x14ac:dyDescent="0.25">
      <c r="A9" s="18"/>
      <c r="B9" s="18" t="s">
        <v>34</v>
      </c>
      <c r="C9" s="18" t="s">
        <v>1058</v>
      </c>
      <c r="D9" s="18" t="s">
        <v>1059</v>
      </c>
      <c r="E9" s="18" t="s">
        <v>1060</v>
      </c>
      <c r="F9" s="19">
        <v>6</v>
      </c>
      <c r="G9" s="19">
        <v>915</v>
      </c>
      <c r="H9" s="19">
        <v>25</v>
      </c>
      <c r="I9" s="19">
        <f t="shared" ref="I9:I14" si="1">G9-H9</f>
        <v>890</v>
      </c>
      <c r="J9" s="18" t="s">
        <v>1045</v>
      </c>
      <c r="K9" s="18" t="s">
        <v>15</v>
      </c>
      <c r="L9" s="18" t="s">
        <v>1043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1061</v>
      </c>
      <c r="D10" s="18" t="s">
        <v>1062</v>
      </c>
      <c r="E10" s="18" t="s">
        <v>1063</v>
      </c>
      <c r="F10" s="18" t="s">
        <v>108</v>
      </c>
      <c r="G10" s="19">
        <v>1365</v>
      </c>
      <c r="H10" s="19">
        <v>35</v>
      </c>
      <c r="I10" s="19">
        <f t="shared" si="1"/>
        <v>1330</v>
      </c>
      <c r="J10" s="18" t="s">
        <v>1045</v>
      </c>
      <c r="K10" s="18" t="s">
        <v>15</v>
      </c>
      <c r="L10" s="18" t="s">
        <v>1043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1064</v>
      </c>
      <c r="D11" s="18" t="s">
        <v>1065</v>
      </c>
      <c r="E11" s="18" t="s">
        <v>1066</v>
      </c>
      <c r="F11" s="18" t="s">
        <v>212</v>
      </c>
      <c r="G11" s="19">
        <v>2970</v>
      </c>
      <c r="H11" s="19">
        <v>30</v>
      </c>
      <c r="I11" s="19">
        <f t="shared" si="1"/>
        <v>2940</v>
      </c>
      <c r="J11" s="18" t="s">
        <v>1045</v>
      </c>
      <c r="K11" s="18" t="s">
        <v>15</v>
      </c>
      <c r="L11" s="18" t="s">
        <v>1043</v>
      </c>
      <c r="M11" s="26" t="s">
        <v>377</v>
      </c>
      <c r="N11" s="18"/>
      <c r="O11" s="18"/>
      <c r="P11" s="18"/>
      <c r="Q11" s="18">
        <v>1</v>
      </c>
      <c r="R11" s="17">
        <f>H11</f>
        <v>30</v>
      </c>
    </row>
    <row r="12" spans="1:18" customFormat="1" x14ac:dyDescent="0.25">
      <c r="A12" s="18"/>
      <c r="B12" s="18" t="s">
        <v>34</v>
      </c>
      <c r="C12" s="18" t="s">
        <v>1067</v>
      </c>
      <c r="D12" s="18" t="s">
        <v>1068</v>
      </c>
      <c r="E12" s="18" t="s">
        <v>1069</v>
      </c>
      <c r="F12" s="19">
        <v>7</v>
      </c>
      <c r="G12" s="19">
        <v>1390</v>
      </c>
      <c r="H12" s="19">
        <v>30</v>
      </c>
      <c r="I12" s="19">
        <f t="shared" si="1"/>
        <v>1360</v>
      </c>
      <c r="J12" s="18" t="s">
        <v>1045</v>
      </c>
      <c r="K12" s="18" t="s">
        <v>15</v>
      </c>
      <c r="L12" s="18" t="s">
        <v>1043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1070</v>
      </c>
      <c r="D13" s="18" t="s">
        <v>1071</v>
      </c>
      <c r="E13" s="18" t="s">
        <v>1072</v>
      </c>
      <c r="F13" s="19">
        <v>12</v>
      </c>
      <c r="G13" s="19">
        <v>890</v>
      </c>
      <c r="H13" s="19">
        <v>30</v>
      </c>
      <c r="I13" s="19">
        <f t="shared" si="1"/>
        <v>860</v>
      </c>
      <c r="J13" s="18" t="s">
        <v>1045</v>
      </c>
      <c r="K13" s="18" t="s">
        <v>15</v>
      </c>
      <c r="L13" s="18" t="s">
        <v>1043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1073</v>
      </c>
      <c r="D14" s="18" t="s">
        <v>1074</v>
      </c>
      <c r="E14" s="18" t="s">
        <v>1075</v>
      </c>
      <c r="F14" s="18" t="s">
        <v>38</v>
      </c>
      <c r="G14" s="19">
        <v>1450</v>
      </c>
      <c r="H14" s="19">
        <v>30</v>
      </c>
      <c r="I14" s="19">
        <f t="shared" si="1"/>
        <v>1420</v>
      </c>
      <c r="J14" s="18" t="s">
        <v>1045</v>
      </c>
      <c r="K14" s="18" t="s">
        <v>15</v>
      </c>
      <c r="L14" s="18" t="s">
        <v>1043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1076</v>
      </c>
      <c r="D15" s="18" t="s">
        <v>1077</v>
      </c>
      <c r="E15" s="18" t="s">
        <v>1078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1045</v>
      </c>
      <c r="K15" s="18" t="s">
        <v>15</v>
      </c>
      <c r="L15" s="18" t="s">
        <v>1043</v>
      </c>
      <c r="M15" s="18"/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1079</v>
      </c>
      <c r="D16" s="18" t="s">
        <v>1080</v>
      </c>
      <c r="E16" s="18" t="s">
        <v>1081</v>
      </c>
      <c r="F16" s="19">
        <v>7</v>
      </c>
      <c r="G16" s="19">
        <v>1120</v>
      </c>
      <c r="H16" s="19">
        <v>30</v>
      </c>
      <c r="I16" s="19">
        <f t="shared" ref="I16:I26" si="2">G16-H16</f>
        <v>1090</v>
      </c>
      <c r="J16" s="18" t="s">
        <v>1045</v>
      </c>
      <c r="K16" s="18" t="s">
        <v>15</v>
      </c>
      <c r="L16" s="18" t="s">
        <v>1043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1082</v>
      </c>
      <c r="D17" s="18" t="s">
        <v>1083</v>
      </c>
      <c r="E17" s="18" t="s">
        <v>1084</v>
      </c>
      <c r="F17" s="18" t="s">
        <v>123</v>
      </c>
      <c r="G17" s="19">
        <v>925</v>
      </c>
      <c r="H17" s="19">
        <v>35</v>
      </c>
      <c r="I17" s="19">
        <f t="shared" si="2"/>
        <v>890</v>
      </c>
      <c r="J17" s="18" t="s">
        <v>1045</v>
      </c>
      <c r="K17" s="18" t="s">
        <v>15</v>
      </c>
      <c r="L17" s="18" t="s">
        <v>1043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242</v>
      </c>
      <c r="D18" s="18" t="s">
        <v>1085</v>
      </c>
      <c r="E18" s="18" t="s">
        <v>926</v>
      </c>
      <c r="F18" s="18" t="s">
        <v>38</v>
      </c>
      <c r="G18" s="19">
        <v>3250</v>
      </c>
      <c r="H18" s="19">
        <v>35</v>
      </c>
      <c r="I18" s="19">
        <f t="shared" si="2"/>
        <v>3215</v>
      </c>
      <c r="J18" s="18" t="s">
        <v>1045</v>
      </c>
      <c r="K18" s="18" t="s">
        <v>15</v>
      </c>
      <c r="L18" s="18" t="s">
        <v>1043</v>
      </c>
      <c r="M18" s="26" t="s">
        <v>377</v>
      </c>
      <c r="N18" s="18"/>
      <c r="O18" s="18"/>
      <c r="P18" s="18"/>
      <c r="Q18" s="18">
        <v>1</v>
      </c>
      <c r="R18" s="17">
        <f>H18</f>
        <v>35</v>
      </c>
    </row>
    <row r="19" spans="1:18" customFormat="1" x14ac:dyDescent="0.25">
      <c r="A19" s="18"/>
      <c r="B19" s="18" t="s">
        <v>34</v>
      </c>
      <c r="C19" s="18" t="s">
        <v>1086</v>
      </c>
      <c r="D19" s="18" t="s">
        <v>1087</v>
      </c>
      <c r="E19" s="18" t="s">
        <v>1088</v>
      </c>
      <c r="F19" s="19">
        <v>7</v>
      </c>
      <c r="G19" s="19">
        <v>380</v>
      </c>
      <c r="H19" s="19">
        <v>30</v>
      </c>
      <c r="I19" s="19">
        <f t="shared" si="2"/>
        <v>350</v>
      </c>
      <c r="J19" s="18" t="s">
        <v>1045</v>
      </c>
      <c r="K19" s="18" t="s">
        <v>15</v>
      </c>
      <c r="L19" s="18" t="s">
        <v>1043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1089</v>
      </c>
      <c r="D20" s="18" t="s">
        <v>1090</v>
      </c>
      <c r="E20" s="18" t="s">
        <v>1091</v>
      </c>
      <c r="F20" s="19">
        <v>6</v>
      </c>
      <c r="G20" s="19">
        <v>815</v>
      </c>
      <c r="H20" s="19">
        <v>25</v>
      </c>
      <c r="I20" s="19">
        <f t="shared" si="2"/>
        <v>790</v>
      </c>
      <c r="J20" s="18" t="s">
        <v>1045</v>
      </c>
      <c r="K20" s="18" t="s">
        <v>15</v>
      </c>
      <c r="L20" s="18" t="s">
        <v>1043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944</v>
      </c>
      <c r="D21" s="18"/>
      <c r="E21" s="18" t="s">
        <v>1092</v>
      </c>
      <c r="F21" s="19">
        <v>2</v>
      </c>
      <c r="G21" s="19">
        <v>35</v>
      </c>
      <c r="H21" s="19">
        <v>35</v>
      </c>
      <c r="I21" s="19">
        <f t="shared" si="2"/>
        <v>0</v>
      </c>
      <c r="J21" s="18" t="s">
        <v>15</v>
      </c>
      <c r="K21" s="18" t="s">
        <v>15</v>
      </c>
      <c r="L21" s="18" t="s">
        <v>1043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312</v>
      </c>
      <c r="D22" s="18"/>
      <c r="E22" s="18" t="s">
        <v>313</v>
      </c>
      <c r="F22" s="18" t="s">
        <v>20</v>
      </c>
      <c r="G22" s="19">
        <v>30</v>
      </c>
      <c r="H22" s="19">
        <v>30</v>
      </c>
      <c r="I22" s="19">
        <f t="shared" si="2"/>
        <v>0</v>
      </c>
      <c r="J22" s="18" t="s">
        <v>15</v>
      </c>
      <c r="K22" s="18" t="s">
        <v>15</v>
      </c>
      <c r="L22" s="18" t="s">
        <v>1043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1093</v>
      </c>
      <c r="D23" s="18" t="s">
        <v>1094</v>
      </c>
      <c r="E23" s="18" t="s">
        <v>1095</v>
      </c>
      <c r="F23" s="18" t="s">
        <v>19</v>
      </c>
      <c r="G23" s="19">
        <v>510</v>
      </c>
      <c r="H23" s="19">
        <v>20</v>
      </c>
      <c r="I23" s="19">
        <f t="shared" si="2"/>
        <v>490</v>
      </c>
      <c r="J23" s="18" t="s">
        <v>15</v>
      </c>
      <c r="K23" s="18" t="s">
        <v>15</v>
      </c>
      <c r="L23" s="18" t="s">
        <v>1043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1096</v>
      </c>
      <c r="D24" s="18" t="s">
        <v>1097</v>
      </c>
      <c r="E24" s="18" t="s">
        <v>1098</v>
      </c>
      <c r="F24" s="19">
        <v>2</v>
      </c>
      <c r="G24" s="19">
        <v>520</v>
      </c>
      <c r="H24" s="19">
        <v>30</v>
      </c>
      <c r="I24" s="19">
        <f t="shared" si="2"/>
        <v>490</v>
      </c>
      <c r="J24" s="18" t="s">
        <v>15</v>
      </c>
      <c r="K24" s="18" t="s">
        <v>15</v>
      </c>
      <c r="L24" s="18" t="s">
        <v>1043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1099</v>
      </c>
      <c r="D25" s="18" t="s">
        <v>1100</v>
      </c>
      <c r="E25" s="18" t="s">
        <v>1101</v>
      </c>
      <c r="F25" s="18" t="s">
        <v>19</v>
      </c>
      <c r="G25" s="19">
        <v>510</v>
      </c>
      <c r="H25" s="19">
        <v>20</v>
      </c>
      <c r="I25" s="19">
        <f t="shared" si="2"/>
        <v>490</v>
      </c>
      <c r="J25" s="18" t="s">
        <v>15</v>
      </c>
      <c r="K25" s="18" t="s">
        <v>15</v>
      </c>
      <c r="L25" s="18" t="s">
        <v>1043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1102</v>
      </c>
      <c r="D26" s="18" t="s">
        <v>1103</v>
      </c>
      <c r="E26" s="18" t="s">
        <v>1104</v>
      </c>
      <c r="F26" s="18" t="s">
        <v>144</v>
      </c>
      <c r="G26" s="19">
        <v>470</v>
      </c>
      <c r="H26" s="19">
        <v>30</v>
      </c>
      <c r="I26" s="19">
        <f t="shared" si="2"/>
        <v>440</v>
      </c>
      <c r="J26" s="18" t="s">
        <v>15</v>
      </c>
      <c r="K26" s="18" t="s">
        <v>15</v>
      </c>
      <c r="L26" s="18" t="s">
        <v>1043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1105</v>
      </c>
      <c r="D27" s="18" t="s">
        <v>1106</v>
      </c>
      <c r="E27" s="18" t="s">
        <v>1107</v>
      </c>
      <c r="F27" s="18" t="s">
        <v>20</v>
      </c>
      <c r="G27" s="19">
        <v>0</v>
      </c>
      <c r="H27" s="19">
        <v>25</v>
      </c>
      <c r="I27" s="19">
        <f>-H27</f>
        <v>-25</v>
      </c>
      <c r="J27" s="18" t="s">
        <v>15</v>
      </c>
      <c r="K27" s="18" t="s">
        <v>15</v>
      </c>
      <c r="L27" s="18" t="s">
        <v>1043</v>
      </c>
      <c r="M27" s="18"/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1108</v>
      </c>
      <c r="D28" s="18" t="s">
        <v>1109</v>
      </c>
      <c r="E28" s="18" t="s">
        <v>1110</v>
      </c>
      <c r="F28" s="19">
        <v>2</v>
      </c>
      <c r="G28" s="19">
        <v>790</v>
      </c>
      <c r="H28" s="19">
        <v>30</v>
      </c>
      <c r="I28" s="19">
        <f t="shared" ref="I28:I33" si="3">G28-H28</f>
        <v>760</v>
      </c>
      <c r="J28" s="18" t="s">
        <v>15</v>
      </c>
      <c r="K28" s="18" t="s">
        <v>15</v>
      </c>
      <c r="L28" s="18" t="s">
        <v>1043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1111</v>
      </c>
      <c r="D29" s="18" t="s">
        <v>1112</v>
      </c>
      <c r="E29" s="18" t="s">
        <v>1113</v>
      </c>
      <c r="F29" s="18" t="s">
        <v>19</v>
      </c>
      <c r="G29" s="19">
        <v>910</v>
      </c>
      <c r="H29" s="19">
        <v>20</v>
      </c>
      <c r="I29" s="19">
        <f t="shared" si="3"/>
        <v>890</v>
      </c>
      <c r="J29" s="18" t="s">
        <v>15</v>
      </c>
      <c r="K29" s="18" t="s">
        <v>15</v>
      </c>
      <c r="L29" s="18" t="s">
        <v>1043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1114</v>
      </c>
      <c r="D30" s="18" t="s">
        <v>1115</v>
      </c>
      <c r="E30" s="18" t="s">
        <v>1116</v>
      </c>
      <c r="F30" s="19">
        <v>3</v>
      </c>
      <c r="G30" s="19">
        <v>535</v>
      </c>
      <c r="H30" s="19">
        <v>25</v>
      </c>
      <c r="I30" s="19">
        <f t="shared" si="3"/>
        <v>510</v>
      </c>
      <c r="J30" s="18" t="s">
        <v>160</v>
      </c>
      <c r="K30" s="18" t="s">
        <v>15</v>
      </c>
      <c r="L30" s="18" t="s">
        <v>1043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1117</v>
      </c>
      <c r="D31" s="18" t="s">
        <v>1118</v>
      </c>
      <c r="E31" s="18" t="s">
        <v>1119</v>
      </c>
      <c r="F31" s="19">
        <v>3</v>
      </c>
      <c r="G31" s="19">
        <v>1005</v>
      </c>
      <c r="H31" s="19">
        <v>25</v>
      </c>
      <c r="I31" s="19">
        <f t="shared" si="3"/>
        <v>980</v>
      </c>
      <c r="J31" s="18" t="s">
        <v>160</v>
      </c>
      <c r="K31" s="18" t="s">
        <v>15</v>
      </c>
      <c r="L31" s="18" t="s">
        <v>1043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1120</v>
      </c>
      <c r="D32" s="18" t="s">
        <v>1121</v>
      </c>
      <c r="E32" s="18" t="s">
        <v>1122</v>
      </c>
      <c r="F32" s="19">
        <v>1</v>
      </c>
      <c r="G32" s="19">
        <v>375</v>
      </c>
      <c r="H32" s="19">
        <v>25</v>
      </c>
      <c r="I32" s="19">
        <f t="shared" si="3"/>
        <v>350</v>
      </c>
      <c r="J32" s="18" t="s">
        <v>160</v>
      </c>
      <c r="K32" s="18" t="s">
        <v>15</v>
      </c>
      <c r="L32" s="18" t="s">
        <v>1043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1123</v>
      </c>
      <c r="D33" s="18" t="s">
        <v>1124</v>
      </c>
      <c r="E33" s="18" t="s">
        <v>1125</v>
      </c>
      <c r="F33" s="19">
        <v>4</v>
      </c>
      <c r="G33" s="19">
        <v>845</v>
      </c>
      <c r="H33" s="19">
        <v>25</v>
      </c>
      <c r="I33" s="19">
        <f t="shared" si="3"/>
        <v>820</v>
      </c>
      <c r="J33" s="18" t="s">
        <v>160</v>
      </c>
      <c r="K33" s="18" t="s">
        <v>15</v>
      </c>
      <c r="L33" s="18" t="s">
        <v>1043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1126</v>
      </c>
      <c r="D34" s="18" t="s">
        <v>1127</v>
      </c>
      <c r="E34" s="18" t="s">
        <v>1128</v>
      </c>
      <c r="F34" s="18" t="s">
        <v>18</v>
      </c>
      <c r="G34" s="19">
        <v>0</v>
      </c>
      <c r="H34" s="19">
        <v>25</v>
      </c>
      <c r="I34" s="19">
        <f>-H34</f>
        <v>-25</v>
      </c>
      <c r="J34" s="18" t="s">
        <v>160</v>
      </c>
      <c r="K34" s="18" t="s">
        <v>15</v>
      </c>
      <c r="L34" s="18" t="s">
        <v>1043</v>
      </c>
      <c r="M34" s="18"/>
      <c r="N34" s="18"/>
      <c r="O34" s="18"/>
      <c r="P34" s="18"/>
      <c r="Q34" s="18">
        <v>1</v>
      </c>
      <c r="R34" s="17">
        <f>H34</f>
        <v>25</v>
      </c>
    </row>
    <row r="35" spans="1:18" customFormat="1" x14ac:dyDescent="0.25">
      <c r="A35" s="18"/>
      <c r="B35" s="18" t="s">
        <v>34</v>
      </c>
      <c r="C35" s="18" t="s">
        <v>1129</v>
      </c>
      <c r="D35" s="18" t="s">
        <v>1130</v>
      </c>
      <c r="E35" s="18" t="s">
        <v>1131</v>
      </c>
      <c r="F35" s="18" t="s">
        <v>17</v>
      </c>
      <c r="G35" s="19">
        <v>560</v>
      </c>
      <c r="H35" s="19">
        <v>20</v>
      </c>
      <c r="I35" s="19">
        <f t="shared" ref="I35:I40" si="4">G35-H35</f>
        <v>540</v>
      </c>
      <c r="J35" s="18" t="s">
        <v>160</v>
      </c>
      <c r="K35" s="18" t="s">
        <v>15</v>
      </c>
      <c r="L35" s="18" t="s">
        <v>1043</v>
      </c>
      <c r="M35" s="18"/>
      <c r="N35" s="18"/>
      <c r="O35" s="18"/>
      <c r="P35" s="18"/>
      <c r="Q35" s="18">
        <v>1</v>
      </c>
    </row>
    <row r="36" spans="1:18" s="22" customFormat="1" x14ac:dyDescent="0.25">
      <c r="A36" s="20"/>
      <c r="B36" s="20" t="s">
        <v>34</v>
      </c>
      <c r="C36" s="20" t="s">
        <v>1132</v>
      </c>
      <c r="D36" s="20" t="s">
        <v>1133</v>
      </c>
      <c r="E36" s="20" t="s">
        <v>1134</v>
      </c>
      <c r="F36" s="21">
        <v>10</v>
      </c>
      <c r="G36" s="21">
        <v>445</v>
      </c>
      <c r="H36" s="21">
        <v>25</v>
      </c>
      <c r="I36" s="21">
        <f t="shared" si="4"/>
        <v>420</v>
      </c>
      <c r="J36" s="20" t="s">
        <v>160</v>
      </c>
      <c r="K36" s="20" t="s">
        <v>15</v>
      </c>
      <c r="L36" s="20" t="s">
        <v>1043</v>
      </c>
      <c r="M36" s="20" t="s">
        <v>16</v>
      </c>
      <c r="N36" s="20"/>
      <c r="O36" s="20"/>
      <c r="P36" s="20"/>
      <c r="Q36" s="20">
        <v>1</v>
      </c>
    </row>
    <row r="37" spans="1:18" customFormat="1" x14ac:dyDescent="0.25">
      <c r="A37" s="18"/>
      <c r="B37" s="18" t="s">
        <v>34</v>
      </c>
      <c r="C37" s="18" t="s">
        <v>1135</v>
      </c>
      <c r="D37" s="18" t="s">
        <v>1136</v>
      </c>
      <c r="E37" s="18" t="s">
        <v>1137</v>
      </c>
      <c r="F37" s="19">
        <v>5</v>
      </c>
      <c r="G37" s="19">
        <v>515</v>
      </c>
      <c r="H37" s="19">
        <v>25</v>
      </c>
      <c r="I37" s="19">
        <f t="shared" si="4"/>
        <v>490</v>
      </c>
      <c r="J37" s="18" t="s">
        <v>160</v>
      </c>
      <c r="K37" s="18" t="s">
        <v>15</v>
      </c>
      <c r="L37" s="18" t="s">
        <v>1043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1138</v>
      </c>
      <c r="D38" s="18" t="s">
        <v>1139</v>
      </c>
      <c r="E38" s="18" t="s">
        <v>1140</v>
      </c>
      <c r="F38" s="18" t="s">
        <v>17</v>
      </c>
      <c r="G38" s="19">
        <v>1350</v>
      </c>
      <c r="H38" s="19">
        <v>20</v>
      </c>
      <c r="I38" s="19">
        <f t="shared" si="4"/>
        <v>1330</v>
      </c>
      <c r="J38" s="18" t="s">
        <v>160</v>
      </c>
      <c r="K38" s="18" t="s">
        <v>15</v>
      </c>
      <c r="L38" s="18" t="s">
        <v>1043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1141</v>
      </c>
      <c r="D39" s="18" t="s">
        <v>1142</v>
      </c>
      <c r="E39" s="18" t="s">
        <v>1143</v>
      </c>
      <c r="F39" s="19">
        <v>4</v>
      </c>
      <c r="G39" s="19">
        <v>785</v>
      </c>
      <c r="H39" s="19">
        <v>25</v>
      </c>
      <c r="I39" s="19">
        <f t="shared" si="4"/>
        <v>760</v>
      </c>
      <c r="J39" s="18" t="s">
        <v>160</v>
      </c>
      <c r="K39" s="18" t="s">
        <v>15</v>
      </c>
      <c r="L39" s="18" t="s">
        <v>1043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1144</v>
      </c>
      <c r="D40" s="18" t="s">
        <v>1145</v>
      </c>
      <c r="E40" s="18" t="s">
        <v>1146</v>
      </c>
      <c r="F40" s="19">
        <v>1</v>
      </c>
      <c r="G40" s="19">
        <v>515</v>
      </c>
      <c r="H40" s="19">
        <v>25</v>
      </c>
      <c r="I40" s="19">
        <f t="shared" si="4"/>
        <v>490</v>
      </c>
      <c r="J40" s="18" t="s">
        <v>160</v>
      </c>
      <c r="K40" s="18" t="s">
        <v>15</v>
      </c>
      <c r="L40" s="18" t="s">
        <v>1043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1147</v>
      </c>
      <c r="D41" s="18" t="s">
        <v>1148</v>
      </c>
      <c r="E41" s="18" t="s">
        <v>1149</v>
      </c>
      <c r="F41" s="19">
        <v>3</v>
      </c>
      <c r="G41" s="19">
        <v>0</v>
      </c>
      <c r="H41" s="19">
        <v>25</v>
      </c>
      <c r="I41" s="19">
        <f>-H41</f>
        <v>-25</v>
      </c>
      <c r="J41" s="18" t="s">
        <v>160</v>
      </c>
      <c r="K41" s="18" t="s">
        <v>15</v>
      </c>
      <c r="L41" s="18" t="s">
        <v>1043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/>
      <c r="B42" s="18" t="s">
        <v>34</v>
      </c>
      <c r="C42" s="18" t="s">
        <v>993</v>
      </c>
      <c r="D42" s="18" t="s">
        <v>1150</v>
      </c>
      <c r="E42" s="18" t="s">
        <v>1151</v>
      </c>
      <c r="F42" s="18" t="s">
        <v>17</v>
      </c>
      <c r="G42" s="19">
        <v>1110</v>
      </c>
      <c r="H42" s="19">
        <v>20</v>
      </c>
      <c r="I42" s="19">
        <f>G42-H42</f>
        <v>1090</v>
      </c>
      <c r="J42" s="18" t="s">
        <v>160</v>
      </c>
      <c r="K42" s="18" t="s">
        <v>15</v>
      </c>
      <c r="L42" s="18" t="s">
        <v>1043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1152</v>
      </c>
      <c r="D43" s="18" t="s">
        <v>1153</v>
      </c>
      <c r="E43" s="18" t="s">
        <v>1154</v>
      </c>
      <c r="F43" s="19">
        <v>4</v>
      </c>
      <c r="G43" s="19">
        <v>715</v>
      </c>
      <c r="H43" s="19">
        <v>25</v>
      </c>
      <c r="I43" s="19">
        <f>G43-H43</f>
        <v>690</v>
      </c>
      <c r="J43" s="18" t="s">
        <v>160</v>
      </c>
      <c r="K43" s="18" t="s">
        <v>15</v>
      </c>
      <c r="L43" s="18" t="s">
        <v>1043</v>
      </c>
      <c r="M43" s="18"/>
      <c r="N43" s="18"/>
      <c r="O43" s="18"/>
      <c r="P43" s="18"/>
      <c r="Q43" s="18">
        <v>1</v>
      </c>
    </row>
    <row r="45" spans="1:18" x14ac:dyDescent="0.25">
      <c r="G45" s="1">
        <f t="shared" ref="G45:R45" si="5">SUBTOTAL(9,G3:G44)</f>
        <v>29910</v>
      </c>
      <c r="H45" s="1">
        <f t="shared" si="5"/>
        <v>1110</v>
      </c>
      <c r="I45" s="1">
        <f t="shared" si="5"/>
        <v>28800</v>
      </c>
      <c r="J45" s="1">
        <f t="shared" si="5"/>
        <v>0</v>
      </c>
      <c r="K45" s="1">
        <f t="shared" si="5"/>
        <v>0</v>
      </c>
      <c r="L45" s="1">
        <f t="shared" si="5"/>
        <v>0</v>
      </c>
      <c r="M45" s="1">
        <f t="shared" si="5"/>
        <v>0</v>
      </c>
      <c r="N45" s="1">
        <f t="shared" si="5"/>
        <v>0</v>
      </c>
      <c r="O45" s="1">
        <f t="shared" si="5"/>
        <v>0</v>
      </c>
      <c r="P45" s="1">
        <f t="shared" si="5"/>
        <v>0</v>
      </c>
      <c r="Q45" s="1">
        <f t="shared" si="5"/>
        <v>41</v>
      </c>
      <c r="R45" s="1">
        <f t="shared" si="5"/>
        <v>280</v>
      </c>
    </row>
    <row r="49" spans="8:10" ht="20.25" customHeight="1" x14ac:dyDescent="0.3">
      <c r="H49" s="4" t="s">
        <v>1038</v>
      </c>
      <c r="I49" s="5" t="s">
        <v>21</v>
      </c>
      <c r="J49" s="6" t="s">
        <v>22</v>
      </c>
    </row>
    <row r="50" spans="8:10" ht="15.75" customHeight="1" x14ac:dyDescent="0.25">
      <c r="H50" s="7" t="s">
        <v>23</v>
      </c>
      <c r="I50" s="8">
        <f>SUM(I44:I48)</f>
        <v>28800</v>
      </c>
      <c r="J50" s="8">
        <f>Q45</f>
        <v>41</v>
      </c>
    </row>
    <row r="51" spans="8:10" x14ac:dyDescent="0.25">
      <c r="H51" s="9" t="s">
        <v>24</v>
      </c>
      <c r="I51" s="10">
        <f>R45</f>
        <v>280</v>
      </c>
      <c r="J51" s="11"/>
    </row>
    <row r="52" spans="8:10" x14ac:dyDescent="0.25">
      <c r="H52" s="9" t="s">
        <v>25</v>
      </c>
      <c r="I52" s="10">
        <f>S44</f>
        <v>0</v>
      </c>
      <c r="J52" s="11"/>
    </row>
    <row r="53" spans="8:10" x14ac:dyDescent="0.25">
      <c r="H53" s="9" t="s">
        <v>26</v>
      </c>
      <c r="I53" s="10">
        <f>T44</f>
        <v>0</v>
      </c>
      <c r="J53" s="11"/>
    </row>
    <row r="54" spans="8:10" x14ac:dyDescent="0.25">
      <c r="H54" s="9" t="s">
        <v>27</v>
      </c>
      <c r="I54" s="10">
        <f>U44</f>
        <v>0</v>
      </c>
      <c r="J54" s="11"/>
    </row>
    <row r="55" spans="8:10" ht="15.75" customHeight="1" x14ac:dyDescent="0.25">
      <c r="H55" s="12" t="s">
        <v>28</v>
      </c>
      <c r="I55" s="13"/>
      <c r="J55" s="13"/>
    </row>
    <row r="56" spans="8:10" ht="15.75" customHeight="1" x14ac:dyDescent="0.25">
      <c r="H56" s="14" t="s">
        <v>29</v>
      </c>
      <c r="I56" s="13"/>
      <c r="J56" s="13"/>
    </row>
    <row r="57" spans="8:10" ht="21" customHeight="1" x14ac:dyDescent="0.35">
      <c r="H57" s="15" t="s">
        <v>30</v>
      </c>
      <c r="I57" s="16">
        <f>SUM(I50:I56)</f>
        <v>29080</v>
      </c>
      <c r="J57" s="16">
        <f>SUM(J50:J54)</f>
        <v>41</v>
      </c>
    </row>
  </sheetData>
  <autoFilter ref="A2:P43" xr:uid="{00000000-0009-0000-0000-000006000000}">
    <sortState xmlns:xlrd2="http://schemas.microsoft.com/office/spreadsheetml/2017/richdata2" ref="A3:P43">
      <sortCondition ref="J2:J43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67337-0001-4BC5-B3FD-5D2E0203B2F2}">
  <dimension ref="A1:R79"/>
  <sheetViews>
    <sheetView topLeftCell="A23" zoomScaleNormal="100" workbookViewId="0">
      <selection activeCell="E50" sqref="E5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442</v>
      </c>
      <c r="C1" s="1" t="s">
        <v>1156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1157</v>
      </c>
      <c r="D3" s="18" t="s">
        <v>1158</v>
      </c>
      <c r="E3" s="18" t="s">
        <v>1159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56</v>
      </c>
      <c r="K3" s="18" t="s">
        <v>15</v>
      </c>
      <c r="L3" s="18" t="s">
        <v>1160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1161</v>
      </c>
      <c r="D4" s="18" t="s">
        <v>1162</v>
      </c>
      <c r="E4" s="18" t="s">
        <v>1163</v>
      </c>
      <c r="F4" s="19">
        <v>9</v>
      </c>
      <c r="G4" s="19">
        <v>1370</v>
      </c>
      <c r="H4" s="19">
        <v>30</v>
      </c>
      <c r="I4" s="19">
        <f>G4-H4</f>
        <v>1340</v>
      </c>
      <c r="J4" s="18" t="s">
        <v>56</v>
      </c>
      <c r="K4" s="18" t="s">
        <v>15</v>
      </c>
      <c r="L4" s="18" t="s">
        <v>1160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1164</v>
      </c>
      <c r="D5" s="18" t="s">
        <v>1165</v>
      </c>
      <c r="E5" s="18" t="s">
        <v>1166</v>
      </c>
      <c r="F5" s="18" t="s">
        <v>123</v>
      </c>
      <c r="G5" s="19">
        <v>825</v>
      </c>
      <c r="H5" s="19">
        <v>35</v>
      </c>
      <c r="I5" s="19">
        <f>G5-H5</f>
        <v>790</v>
      </c>
      <c r="J5" s="18" t="s">
        <v>1167</v>
      </c>
      <c r="K5" s="18" t="s">
        <v>15</v>
      </c>
      <c r="L5" s="18" t="s">
        <v>1160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1168</v>
      </c>
      <c r="D6" s="18" t="s">
        <v>1169</v>
      </c>
      <c r="E6" s="18" t="s">
        <v>1170</v>
      </c>
      <c r="F6" s="19">
        <v>12</v>
      </c>
      <c r="G6" s="19">
        <v>0</v>
      </c>
      <c r="H6" s="19">
        <v>30</v>
      </c>
      <c r="I6" s="19">
        <f>-H6</f>
        <v>-30</v>
      </c>
      <c r="J6" s="18" t="s">
        <v>1167</v>
      </c>
      <c r="K6" s="18" t="s">
        <v>15</v>
      </c>
      <c r="L6" s="18" t="s">
        <v>1160</v>
      </c>
      <c r="M6" s="18"/>
      <c r="N6" s="18"/>
      <c r="O6" s="18"/>
      <c r="P6" s="18"/>
      <c r="Q6" s="18">
        <v>1</v>
      </c>
      <c r="R6" s="17">
        <f>H6</f>
        <v>30</v>
      </c>
    </row>
    <row r="7" spans="1:18" customFormat="1" x14ac:dyDescent="0.25">
      <c r="A7" s="18"/>
      <c r="B7" s="18" t="s">
        <v>34</v>
      </c>
      <c r="C7" s="18" t="s">
        <v>1171</v>
      </c>
      <c r="D7" s="18" t="s">
        <v>1172</v>
      </c>
      <c r="E7" s="18" t="s">
        <v>1173</v>
      </c>
      <c r="F7" s="19">
        <v>7</v>
      </c>
      <c r="G7" s="19">
        <v>0</v>
      </c>
      <c r="H7" s="19">
        <v>30</v>
      </c>
      <c r="I7" s="19">
        <f>-H7</f>
        <v>-30</v>
      </c>
      <c r="J7" s="18" t="s">
        <v>1167</v>
      </c>
      <c r="K7" s="18" t="s">
        <v>15</v>
      </c>
      <c r="L7" s="18" t="s">
        <v>1160</v>
      </c>
      <c r="M7" s="18"/>
      <c r="N7" s="18"/>
      <c r="O7" s="18"/>
      <c r="P7" s="18"/>
      <c r="Q7" s="18">
        <v>1</v>
      </c>
      <c r="R7" s="17">
        <f>H7</f>
        <v>30</v>
      </c>
    </row>
    <row r="8" spans="1:18" customFormat="1" x14ac:dyDescent="0.25">
      <c r="A8" s="18"/>
      <c r="B8" s="18" t="s">
        <v>34</v>
      </c>
      <c r="C8" s="18" t="s">
        <v>1174</v>
      </c>
      <c r="D8" s="18" t="s">
        <v>1175</v>
      </c>
      <c r="E8" s="18" t="s">
        <v>1176</v>
      </c>
      <c r="F8" s="18" t="s">
        <v>212</v>
      </c>
      <c r="G8" s="19">
        <v>795</v>
      </c>
      <c r="H8" s="19">
        <v>25</v>
      </c>
      <c r="I8" s="19">
        <f t="shared" ref="I8:I13" si="0">G8-H8</f>
        <v>770</v>
      </c>
      <c r="J8" s="18" t="s">
        <v>1167</v>
      </c>
      <c r="K8" s="18" t="s">
        <v>15</v>
      </c>
      <c r="L8" s="18" t="s">
        <v>1160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1177</v>
      </c>
      <c r="D9" s="18" t="s">
        <v>1178</v>
      </c>
      <c r="E9" s="18" t="s">
        <v>1179</v>
      </c>
      <c r="F9" s="18" t="s">
        <v>38</v>
      </c>
      <c r="G9" s="19">
        <v>830</v>
      </c>
      <c r="H9" s="19">
        <v>30</v>
      </c>
      <c r="I9" s="19">
        <f t="shared" si="0"/>
        <v>800</v>
      </c>
      <c r="J9" s="18" t="s">
        <v>1167</v>
      </c>
      <c r="K9" s="18" t="s">
        <v>15</v>
      </c>
      <c r="L9" s="18" t="s">
        <v>1160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1180</v>
      </c>
      <c r="D10" s="18" t="s">
        <v>1181</v>
      </c>
      <c r="E10" s="18" t="s">
        <v>1182</v>
      </c>
      <c r="F10" s="18" t="s">
        <v>123</v>
      </c>
      <c r="G10" s="19">
        <v>875</v>
      </c>
      <c r="H10" s="19">
        <v>35</v>
      </c>
      <c r="I10" s="19">
        <f t="shared" si="0"/>
        <v>840</v>
      </c>
      <c r="J10" s="18" t="s">
        <v>1167</v>
      </c>
      <c r="K10" s="18" t="s">
        <v>15</v>
      </c>
      <c r="L10" s="18" t="s">
        <v>1160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1183</v>
      </c>
      <c r="D11" s="18" t="s">
        <v>1184</v>
      </c>
      <c r="E11" s="18" t="s">
        <v>1185</v>
      </c>
      <c r="F11" s="18" t="s">
        <v>212</v>
      </c>
      <c r="G11" s="19">
        <v>715</v>
      </c>
      <c r="H11" s="19">
        <v>25</v>
      </c>
      <c r="I11" s="19">
        <f t="shared" si="0"/>
        <v>690</v>
      </c>
      <c r="J11" s="18" t="s">
        <v>1167</v>
      </c>
      <c r="K11" s="18" t="s">
        <v>15</v>
      </c>
      <c r="L11" s="18" t="s">
        <v>1160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1186</v>
      </c>
      <c r="D12" s="18" t="s">
        <v>1187</v>
      </c>
      <c r="E12" s="18" t="s">
        <v>1188</v>
      </c>
      <c r="F12" s="19">
        <v>6</v>
      </c>
      <c r="G12" s="19">
        <v>845</v>
      </c>
      <c r="H12" s="19">
        <v>25</v>
      </c>
      <c r="I12" s="19">
        <f t="shared" si="0"/>
        <v>820</v>
      </c>
      <c r="J12" s="18" t="s">
        <v>1167</v>
      </c>
      <c r="K12" s="18" t="s">
        <v>15</v>
      </c>
      <c r="L12" s="18" t="s">
        <v>1160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1189</v>
      </c>
      <c r="D13" s="18" t="s">
        <v>1190</v>
      </c>
      <c r="E13" s="18" t="s">
        <v>610</v>
      </c>
      <c r="F13" s="19">
        <v>6</v>
      </c>
      <c r="G13" s="19">
        <v>815</v>
      </c>
      <c r="H13" s="19">
        <v>25</v>
      </c>
      <c r="I13" s="19">
        <f t="shared" si="0"/>
        <v>790</v>
      </c>
      <c r="J13" s="18" t="s">
        <v>1167</v>
      </c>
      <c r="K13" s="18" t="s">
        <v>15</v>
      </c>
      <c r="L13" s="18" t="s">
        <v>1160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1191</v>
      </c>
      <c r="D14" s="18" t="s">
        <v>1192</v>
      </c>
      <c r="E14" s="18" t="s">
        <v>1193</v>
      </c>
      <c r="F14" s="18" t="s">
        <v>18</v>
      </c>
      <c r="G14" s="19">
        <v>0</v>
      </c>
      <c r="H14" s="19">
        <v>25</v>
      </c>
      <c r="I14" s="19">
        <f>-H14</f>
        <v>-25</v>
      </c>
      <c r="J14" s="18" t="s">
        <v>1167</v>
      </c>
      <c r="K14" s="18" t="s">
        <v>15</v>
      </c>
      <c r="L14" s="18" t="s">
        <v>1160</v>
      </c>
      <c r="M14" s="18"/>
      <c r="N14" s="18"/>
      <c r="O14" s="18"/>
      <c r="P14" s="18"/>
      <c r="Q14" s="18">
        <v>1</v>
      </c>
      <c r="R14" s="17">
        <f>H14</f>
        <v>25</v>
      </c>
    </row>
    <row r="15" spans="1:18" customFormat="1" x14ac:dyDescent="0.25">
      <c r="A15" s="18"/>
      <c r="B15" s="18" t="s">
        <v>34</v>
      </c>
      <c r="C15" s="18" t="s">
        <v>216</v>
      </c>
      <c r="D15" s="18" t="s">
        <v>1194</v>
      </c>
      <c r="E15" s="18" t="s">
        <v>218</v>
      </c>
      <c r="F15" s="19">
        <v>8</v>
      </c>
      <c r="G15" s="19">
        <v>2030</v>
      </c>
      <c r="H15" s="19">
        <v>30</v>
      </c>
      <c r="I15" s="19">
        <f>G15-H15</f>
        <v>2000</v>
      </c>
      <c r="J15" s="18" t="s">
        <v>1167</v>
      </c>
      <c r="K15" s="18" t="s">
        <v>15</v>
      </c>
      <c r="L15" s="18" t="s">
        <v>1160</v>
      </c>
      <c r="M15" s="26" t="s">
        <v>377</v>
      </c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1195</v>
      </c>
      <c r="D16" s="18" t="s">
        <v>1196</v>
      </c>
      <c r="E16" s="18" t="s">
        <v>1197</v>
      </c>
      <c r="F16" s="19">
        <v>6</v>
      </c>
      <c r="G16" s="19">
        <v>895</v>
      </c>
      <c r="H16" s="19">
        <v>25</v>
      </c>
      <c r="I16" s="19">
        <f>G16-H16</f>
        <v>870</v>
      </c>
      <c r="J16" s="18" t="s">
        <v>1167</v>
      </c>
      <c r="K16" s="18" t="s">
        <v>15</v>
      </c>
      <c r="L16" s="18" t="s">
        <v>1160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1198</v>
      </c>
      <c r="D17" s="18" t="s">
        <v>1199</v>
      </c>
      <c r="E17" s="18" t="s">
        <v>1200</v>
      </c>
      <c r="F17" s="19">
        <v>6</v>
      </c>
      <c r="G17" s="19">
        <v>815</v>
      </c>
      <c r="H17" s="19">
        <v>25</v>
      </c>
      <c r="I17" s="19">
        <f>G17-H17</f>
        <v>790</v>
      </c>
      <c r="J17" s="18" t="s">
        <v>1167</v>
      </c>
      <c r="K17" s="18" t="s">
        <v>15</v>
      </c>
      <c r="L17" s="18" t="s">
        <v>1160</v>
      </c>
      <c r="M17" s="18"/>
      <c r="N17" s="18"/>
      <c r="O17" s="18"/>
      <c r="P17" s="18"/>
      <c r="Q17" s="18">
        <v>1</v>
      </c>
    </row>
    <row r="18" spans="1:18" s="22" customFormat="1" x14ac:dyDescent="0.25">
      <c r="A18" s="20"/>
      <c r="B18" s="20" t="s">
        <v>34</v>
      </c>
      <c r="C18" s="20" t="s">
        <v>1067</v>
      </c>
      <c r="D18" s="20" t="s">
        <v>1201</v>
      </c>
      <c r="E18" s="20" t="s">
        <v>1202</v>
      </c>
      <c r="F18" s="21">
        <v>7</v>
      </c>
      <c r="G18" s="21">
        <v>0</v>
      </c>
      <c r="H18" s="21">
        <v>30</v>
      </c>
      <c r="I18" s="21">
        <f>-H18</f>
        <v>-30</v>
      </c>
      <c r="J18" s="20" t="s">
        <v>1167</v>
      </c>
      <c r="K18" s="20" t="s">
        <v>15</v>
      </c>
      <c r="L18" s="20" t="s">
        <v>1160</v>
      </c>
      <c r="M18" s="20" t="s">
        <v>16</v>
      </c>
      <c r="N18" s="20"/>
      <c r="O18" s="20"/>
      <c r="P18" s="20"/>
      <c r="Q18" s="20">
        <v>1</v>
      </c>
      <c r="R18" s="29">
        <f>H18</f>
        <v>30</v>
      </c>
    </row>
    <row r="19" spans="1:18" customFormat="1" x14ac:dyDescent="0.25">
      <c r="A19" s="18"/>
      <c r="B19" s="18" t="s">
        <v>34</v>
      </c>
      <c r="C19" s="18" t="s">
        <v>1203</v>
      </c>
      <c r="D19" s="18" t="s">
        <v>1204</v>
      </c>
      <c r="E19" s="18" t="s">
        <v>1205</v>
      </c>
      <c r="F19" s="19">
        <v>7</v>
      </c>
      <c r="G19" s="19">
        <v>1990</v>
      </c>
      <c r="H19" s="19">
        <v>30</v>
      </c>
      <c r="I19" s="19">
        <f>G19-H19</f>
        <v>1960</v>
      </c>
      <c r="J19" s="18" t="s">
        <v>1167</v>
      </c>
      <c r="K19" s="18" t="s">
        <v>15</v>
      </c>
      <c r="L19" s="18" t="s">
        <v>1160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1206</v>
      </c>
      <c r="D20" s="18" t="s">
        <v>1207</v>
      </c>
      <c r="E20" s="18" t="s">
        <v>1208</v>
      </c>
      <c r="F20" s="19">
        <v>8</v>
      </c>
      <c r="G20" s="19">
        <v>380</v>
      </c>
      <c r="H20" s="19">
        <v>30</v>
      </c>
      <c r="I20" s="19">
        <f>G20-H20</f>
        <v>350</v>
      </c>
      <c r="J20" s="18" t="s">
        <v>1167</v>
      </c>
      <c r="K20" s="18" t="s">
        <v>15</v>
      </c>
      <c r="L20" s="18" t="s">
        <v>1160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1209</v>
      </c>
      <c r="D21" s="18" t="s">
        <v>1210</v>
      </c>
      <c r="E21" s="18" t="s">
        <v>1211</v>
      </c>
      <c r="F21" s="18" t="s">
        <v>38</v>
      </c>
      <c r="G21" s="19">
        <v>870</v>
      </c>
      <c r="H21" s="19">
        <v>30</v>
      </c>
      <c r="I21" s="19">
        <f>G21-H21</f>
        <v>840</v>
      </c>
      <c r="J21" s="18" t="s">
        <v>1167</v>
      </c>
      <c r="K21" s="18" t="s">
        <v>15</v>
      </c>
      <c r="L21" s="18" t="s">
        <v>1160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1212</v>
      </c>
      <c r="D22" s="18" t="s">
        <v>1213</v>
      </c>
      <c r="E22" s="18" t="s">
        <v>1214</v>
      </c>
      <c r="F22" s="18" t="s">
        <v>38</v>
      </c>
      <c r="G22" s="19">
        <v>0</v>
      </c>
      <c r="H22" s="19">
        <v>30</v>
      </c>
      <c r="I22" s="19">
        <f>-H22</f>
        <v>-30</v>
      </c>
      <c r="J22" s="18" t="s">
        <v>1167</v>
      </c>
      <c r="K22" s="18" t="s">
        <v>15</v>
      </c>
      <c r="L22" s="18" t="s">
        <v>1160</v>
      </c>
      <c r="M22" s="18"/>
      <c r="N22" s="18"/>
      <c r="O22" s="18"/>
      <c r="P22" s="18"/>
      <c r="Q22" s="18">
        <v>1</v>
      </c>
      <c r="R22" s="17">
        <f>H22</f>
        <v>30</v>
      </c>
    </row>
    <row r="23" spans="1:18" customFormat="1" x14ac:dyDescent="0.25">
      <c r="A23" s="18"/>
      <c r="B23" s="18" t="s">
        <v>34</v>
      </c>
      <c r="C23" s="18" t="s">
        <v>197</v>
      </c>
      <c r="D23" s="18" t="s">
        <v>1215</v>
      </c>
      <c r="E23" s="18" t="s">
        <v>1216</v>
      </c>
      <c r="F23" s="18" t="s">
        <v>18</v>
      </c>
      <c r="G23" s="19">
        <v>815</v>
      </c>
      <c r="H23" s="19">
        <v>25</v>
      </c>
      <c r="I23" s="19">
        <f>G23-H23</f>
        <v>790</v>
      </c>
      <c r="J23" s="18" t="s">
        <v>1167</v>
      </c>
      <c r="K23" s="18" t="s">
        <v>15</v>
      </c>
      <c r="L23" s="18" t="s">
        <v>1160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1217</v>
      </c>
      <c r="D24" s="18" t="s">
        <v>1218</v>
      </c>
      <c r="E24" s="18" t="s">
        <v>1219</v>
      </c>
      <c r="F24" s="18" t="s">
        <v>38</v>
      </c>
      <c r="G24" s="19">
        <v>0</v>
      </c>
      <c r="H24" s="19">
        <v>30</v>
      </c>
      <c r="I24" s="19">
        <f>-H24</f>
        <v>-30</v>
      </c>
      <c r="J24" s="18" t="s">
        <v>1167</v>
      </c>
      <c r="K24" s="18" t="s">
        <v>15</v>
      </c>
      <c r="L24" s="18" t="s">
        <v>1160</v>
      </c>
      <c r="M24" s="18"/>
      <c r="N24" s="18"/>
      <c r="O24" s="18"/>
      <c r="P24" s="18"/>
      <c r="Q24" s="18">
        <v>1</v>
      </c>
      <c r="R24" s="17">
        <f>H24</f>
        <v>30</v>
      </c>
    </row>
    <row r="25" spans="1:18" customFormat="1" x14ac:dyDescent="0.25">
      <c r="A25" s="18"/>
      <c r="B25" s="18" t="s">
        <v>34</v>
      </c>
      <c r="C25" s="18" t="s">
        <v>1220</v>
      </c>
      <c r="D25" s="18" t="s">
        <v>1221</v>
      </c>
      <c r="E25" s="18" t="s">
        <v>1222</v>
      </c>
      <c r="F25" s="19">
        <v>6</v>
      </c>
      <c r="G25" s="19">
        <v>515</v>
      </c>
      <c r="H25" s="19">
        <v>25</v>
      </c>
      <c r="I25" s="19">
        <f>G25-H25</f>
        <v>490</v>
      </c>
      <c r="J25" s="18" t="s">
        <v>1167</v>
      </c>
      <c r="K25" s="18" t="s">
        <v>15</v>
      </c>
      <c r="L25" s="18" t="s">
        <v>1160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1223</v>
      </c>
      <c r="D26" s="18" t="s">
        <v>1224</v>
      </c>
      <c r="E26" s="18" t="s">
        <v>1225</v>
      </c>
      <c r="F26" s="18" t="s">
        <v>38</v>
      </c>
      <c r="G26" s="19">
        <v>0</v>
      </c>
      <c r="H26" s="19">
        <v>30</v>
      </c>
      <c r="I26" s="19">
        <f>-H26</f>
        <v>-30</v>
      </c>
      <c r="J26" s="18" t="s">
        <v>1167</v>
      </c>
      <c r="K26" s="18" t="s">
        <v>15</v>
      </c>
      <c r="L26" s="18" t="s">
        <v>1160</v>
      </c>
      <c r="M26" s="18"/>
      <c r="N26" s="18"/>
      <c r="O26" s="18"/>
      <c r="P26" s="18"/>
      <c r="Q26" s="18">
        <v>1</v>
      </c>
      <c r="R26" s="17">
        <f>H26</f>
        <v>30</v>
      </c>
    </row>
    <row r="27" spans="1:18" customFormat="1" x14ac:dyDescent="0.25">
      <c r="A27" s="18"/>
      <c r="B27" s="18" t="s">
        <v>34</v>
      </c>
      <c r="C27" s="18" t="s">
        <v>1226</v>
      </c>
      <c r="D27" s="18" t="s">
        <v>1227</v>
      </c>
      <c r="E27" s="18" t="s">
        <v>1228</v>
      </c>
      <c r="F27" s="19">
        <v>12</v>
      </c>
      <c r="G27" s="19">
        <v>870</v>
      </c>
      <c r="H27" s="19">
        <v>30</v>
      </c>
      <c r="I27" s="19">
        <f>G27-H27</f>
        <v>840</v>
      </c>
      <c r="J27" s="18" t="s">
        <v>1167</v>
      </c>
      <c r="K27" s="18" t="s">
        <v>15</v>
      </c>
      <c r="L27" s="18" t="s">
        <v>1160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1229</v>
      </c>
      <c r="D28" s="18" t="s">
        <v>1230</v>
      </c>
      <c r="E28" s="18" t="s">
        <v>1231</v>
      </c>
      <c r="F28" s="19">
        <v>7</v>
      </c>
      <c r="G28" s="19">
        <v>570</v>
      </c>
      <c r="H28" s="19">
        <v>30</v>
      </c>
      <c r="I28" s="19">
        <f>G28-H28</f>
        <v>540</v>
      </c>
      <c r="J28" s="18" t="s">
        <v>1167</v>
      </c>
      <c r="K28" s="18" t="s">
        <v>15</v>
      </c>
      <c r="L28" s="18" t="s">
        <v>1160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1232</v>
      </c>
      <c r="D29" s="18" t="s">
        <v>1233</v>
      </c>
      <c r="E29" s="18" t="s">
        <v>1234</v>
      </c>
      <c r="F29" s="18" t="s">
        <v>18</v>
      </c>
      <c r="G29" s="19">
        <v>915</v>
      </c>
      <c r="H29" s="19">
        <v>25</v>
      </c>
      <c r="I29" s="19">
        <f>G29-H29</f>
        <v>890</v>
      </c>
      <c r="J29" s="18" t="s">
        <v>1167</v>
      </c>
      <c r="K29" s="18" t="s">
        <v>15</v>
      </c>
      <c r="L29" s="18" t="s">
        <v>1160</v>
      </c>
      <c r="M29" s="18"/>
      <c r="N29" s="18"/>
      <c r="O29" s="18"/>
      <c r="P29" s="18"/>
      <c r="Q29" s="18">
        <v>1</v>
      </c>
    </row>
    <row r="30" spans="1:18" customFormat="1" x14ac:dyDescent="0.25">
      <c r="A30" s="18" t="s">
        <v>96</v>
      </c>
      <c r="B30" s="18" t="s">
        <v>34</v>
      </c>
      <c r="C30" s="18"/>
      <c r="D30" s="18"/>
      <c r="E30" s="18" t="s">
        <v>1235</v>
      </c>
      <c r="F30" s="18" t="s">
        <v>38</v>
      </c>
      <c r="G30" s="19">
        <v>0</v>
      </c>
      <c r="H30" s="19">
        <v>35</v>
      </c>
      <c r="I30" s="19">
        <f>-H30</f>
        <v>-35</v>
      </c>
      <c r="J30" s="18" t="s">
        <v>1167</v>
      </c>
      <c r="K30" s="18" t="s">
        <v>15</v>
      </c>
      <c r="L30" s="18" t="s">
        <v>1160</v>
      </c>
      <c r="M30" s="18"/>
      <c r="N30" s="18"/>
      <c r="O30" s="18"/>
      <c r="P30" s="18"/>
      <c r="Q30" s="18">
        <v>1</v>
      </c>
      <c r="R30" s="17">
        <f>H30</f>
        <v>35</v>
      </c>
    </row>
    <row r="31" spans="1:18" customFormat="1" x14ac:dyDescent="0.25">
      <c r="A31" s="18"/>
      <c r="B31" s="18" t="s">
        <v>34</v>
      </c>
      <c r="C31" s="18" t="s">
        <v>1236</v>
      </c>
      <c r="D31" s="18" t="s">
        <v>1237</v>
      </c>
      <c r="E31" s="18" t="s">
        <v>1238</v>
      </c>
      <c r="F31" s="19">
        <v>2</v>
      </c>
      <c r="G31" s="19">
        <v>1940</v>
      </c>
      <c r="H31" s="19">
        <v>30</v>
      </c>
      <c r="I31" s="19">
        <f>G31-H31</f>
        <v>1910</v>
      </c>
      <c r="J31" s="18" t="s">
        <v>15</v>
      </c>
      <c r="K31" s="18" t="s">
        <v>15</v>
      </c>
      <c r="L31" s="18" t="s">
        <v>1160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148</v>
      </c>
      <c r="D32" s="18" t="s">
        <v>1239</v>
      </c>
      <c r="E32" s="18" t="s">
        <v>150</v>
      </c>
      <c r="F32" s="18" t="s">
        <v>19</v>
      </c>
      <c r="G32" s="19">
        <v>0</v>
      </c>
      <c r="H32" s="19">
        <v>20</v>
      </c>
      <c r="I32" s="19">
        <f>-H32</f>
        <v>-20</v>
      </c>
      <c r="J32" s="18" t="s">
        <v>15</v>
      </c>
      <c r="K32" s="18" t="s">
        <v>15</v>
      </c>
      <c r="L32" s="18" t="s">
        <v>1160</v>
      </c>
      <c r="M32" s="18"/>
      <c r="N32" s="18"/>
      <c r="O32" s="18"/>
      <c r="P32" s="18"/>
      <c r="Q32" s="18">
        <v>1</v>
      </c>
      <c r="R32" s="17">
        <f>H32</f>
        <v>20</v>
      </c>
    </row>
    <row r="33" spans="1:18" customFormat="1" x14ac:dyDescent="0.25">
      <c r="A33" s="18"/>
      <c r="B33" s="18" t="s">
        <v>34</v>
      </c>
      <c r="C33" s="18" t="s">
        <v>745</v>
      </c>
      <c r="D33" s="18" t="s">
        <v>1240</v>
      </c>
      <c r="E33" s="18" t="s">
        <v>1241</v>
      </c>
      <c r="F33" s="19">
        <v>2</v>
      </c>
      <c r="G33" s="19">
        <v>820</v>
      </c>
      <c r="H33" s="19">
        <v>30</v>
      </c>
      <c r="I33" s="19">
        <f>G33-H33</f>
        <v>790</v>
      </c>
      <c r="J33" s="18" t="s">
        <v>15</v>
      </c>
      <c r="K33" s="18" t="s">
        <v>15</v>
      </c>
      <c r="L33" s="18" t="s">
        <v>1160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1242</v>
      </c>
      <c r="D34" s="18" t="s">
        <v>1243</v>
      </c>
      <c r="E34" s="18" t="s">
        <v>1244</v>
      </c>
      <c r="F34" s="18" t="s">
        <v>144</v>
      </c>
      <c r="G34" s="19">
        <v>820</v>
      </c>
      <c r="H34" s="19">
        <v>30</v>
      </c>
      <c r="I34" s="19">
        <f>G34-H34</f>
        <v>790</v>
      </c>
      <c r="J34" s="18" t="s">
        <v>15</v>
      </c>
      <c r="K34" s="18" t="s">
        <v>15</v>
      </c>
      <c r="L34" s="18" t="s">
        <v>1160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1245</v>
      </c>
      <c r="D35" s="18" t="s">
        <v>1246</v>
      </c>
      <c r="E35" s="18" t="s">
        <v>1247</v>
      </c>
      <c r="F35" s="18" t="s">
        <v>20</v>
      </c>
      <c r="G35" s="19">
        <v>1455</v>
      </c>
      <c r="H35" s="19">
        <v>25</v>
      </c>
      <c r="I35" s="19">
        <f>G35-H35</f>
        <v>1430</v>
      </c>
      <c r="J35" s="18" t="s">
        <v>15</v>
      </c>
      <c r="K35" s="18" t="s">
        <v>15</v>
      </c>
      <c r="L35" s="18" t="s">
        <v>1160</v>
      </c>
      <c r="M35" s="18"/>
      <c r="N35" s="18"/>
      <c r="O35" s="18"/>
      <c r="P35" s="18"/>
      <c r="Q35" s="18">
        <v>1</v>
      </c>
    </row>
    <row r="36" spans="1:18" customFormat="1" x14ac:dyDescent="0.25">
      <c r="A36" s="18" t="s">
        <v>96</v>
      </c>
      <c r="B36" s="18" t="s">
        <v>34</v>
      </c>
      <c r="C36" s="18" t="s">
        <v>1248</v>
      </c>
      <c r="D36" s="18"/>
      <c r="E36" s="18" t="s">
        <v>1249</v>
      </c>
      <c r="F36" s="18" t="s">
        <v>19</v>
      </c>
      <c r="G36" s="19">
        <v>0</v>
      </c>
      <c r="H36" s="19">
        <v>25</v>
      </c>
      <c r="I36" s="19">
        <f>-H36</f>
        <v>-25</v>
      </c>
      <c r="J36" s="18" t="s">
        <v>15</v>
      </c>
      <c r="K36" s="18" t="s">
        <v>15</v>
      </c>
      <c r="L36" s="18" t="s">
        <v>1160</v>
      </c>
      <c r="M36" s="18"/>
      <c r="N36" s="18"/>
      <c r="O36" s="18"/>
      <c r="P36" s="18"/>
      <c r="Q36" s="18">
        <v>1</v>
      </c>
      <c r="R36" s="17">
        <f>H36</f>
        <v>25</v>
      </c>
    </row>
    <row r="37" spans="1:18" customFormat="1" x14ac:dyDescent="0.25">
      <c r="A37" s="18"/>
      <c r="B37" s="18" t="s">
        <v>34</v>
      </c>
      <c r="C37" s="18" t="s">
        <v>476</v>
      </c>
      <c r="D37" s="18" t="s">
        <v>1250</v>
      </c>
      <c r="E37" s="18" t="s">
        <v>478</v>
      </c>
      <c r="F37" s="19">
        <v>2</v>
      </c>
      <c r="G37" s="19">
        <v>1310</v>
      </c>
      <c r="H37" s="19">
        <v>30</v>
      </c>
      <c r="I37" s="19">
        <f>G37-H37</f>
        <v>1280</v>
      </c>
      <c r="J37" s="18" t="s">
        <v>15</v>
      </c>
      <c r="K37" s="18" t="s">
        <v>15</v>
      </c>
      <c r="L37" s="18" t="s">
        <v>1160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1251</v>
      </c>
      <c r="D38" s="18" t="s">
        <v>1252</v>
      </c>
      <c r="E38" s="18" t="s">
        <v>1253</v>
      </c>
      <c r="F38" s="19">
        <v>2</v>
      </c>
      <c r="G38" s="19">
        <v>0</v>
      </c>
      <c r="H38" s="19">
        <v>30</v>
      </c>
      <c r="I38" s="19">
        <f>-H38</f>
        <v>-30</v>
      </c>
      <c r="J38" s="18" t="s">
        <v>15</v>
      </c>
      <c r="K38" s="18" t="s">
        <v>15</v>
      </c>
      <c r="L38" s="18" t="s">
        <v>1160</v>
      </c>
      <c r="M38" s="26" t="s">
        <v>1254</v>
      </c>
      <c r="N38" s="18"/>
      <c r="O38" s="18"/>
      <c r="P38" s="18"/>
      <c r="Q38" s="18">
        <v>1</v>
      </c>
      <c r="R38" s="17">
        <f t="shared" ref="R38:R39" si="1">H38</f>
        <v>30</v>
      </c>
    </row>
    <row r="39" spans="1:18" customFormat="1" x14ac:dyDescent="0.25">
      <c r="A39" s="18"/>
      <c r="B39" s="18" t="s">
        <v>34</v>
      </c>
      <c r="C39" s="18" t="s">
        <v>1251</v>
      </c>
      <c r="D39" s="18" t="s">
        <v>1255</v>
      </c>
      <c r="E39" s="18" t="s">
        <v>1256</v>
      </c>
      <c r="F39" s="19">
        <v>2</v>
      </c>
      <c r="G39" s="19">
        <v>0</v>
      </c>
      <c r="H39" s="19">
        <v>0</v>
      </c>
      <c r="I39" s="19">
        <f>H39</f>
        <v>0</v>
      </c>
      <c r="J39" s="18" t="s">
        <v>15</v>
      </c>
      <c r="K39" s="18" t="s">
        <v>15</v>
      </c>
      <c r="L39" s="18" t="s">
        <v>1160</v>
      </c>
      <c r="M39" s="26" t="s">
        <v>307</v>
      </c>
      <c r="N39" s="18"/>
      <c r="O39" s="18"/>
      <c r="P39" s="18"/>
      <c r="Q39" s="18">
        <v>1</v>
      </c>
      <c r="R39" s="17">
        <f t="shared" si="1"/>
        <v>0</v>
      </c>
    </row>
    <row r="40" spans="1:18" s="22" customFormat="1" x14ac:dyDescent="0.25">
      <c r="A40" s="20"/>
      <c r="B40" s="20" t="s">
        <v>34</v>
      </c>
      <c r="C40" s="20" t="s">
        <v>1257</v>
      </c>
      <c r="D40" s="20" t="s">
        <v>1258</v>
      </c>
      <c r="E40" s="20" t="s">
        <v>1259</v>
      </c>
      <c r="F40" s="21">
        <v>2</v>
      </c>
      <c r="G40" s="21">
        <v>0</v>
      </c>
      <c r="H40" s="21">
        <v>30</v>
      </c>
      <c r="I40" s="21">
        <f>-H40</f>
        <v>-30</v>
      </c>
      <c r="J40" s="20" t="s">
        <v>15</v>
      </c>
      <c r="K40" s="20" t="s">
        <v>15</v>
      </c>
      <c r="L40" s="20" t="s">
        <v>1160</v>
      </c>
      <c r="M40" s="20" t="s">
        <v>16</v>
      </c>
      <c r="N40" s="20"/>
      <c r="O40" s="20"/>
      <c r="P40" s="20"/>
      <c r="Q40" s="20">
        <v>1</v>
      </c>
      <c r="R40" s="29">
        <f>H40</f>
        <v>30</v>
      </c>
    </row>
    <row r="41" spans="1:18" customFormat="1" x14ac:dyDescent="0.25">
      <c r="A41" s="18"/>
      <c r="B41" s="18" t="s">
        <v>34</v>
      </c>
      <c r="C41" s="18" t="s">
        <v>1260</v>
      </c>
      <c r="D41" s="18" t="s">
        <v>1261</v>
      </c>
      <c r="E41" s="18" t="s">
        <v>1262</v>
      </c>
      <c r="F41" s="18" t="s">
        <v>19</v>
      </c>
      <c r="G41" s="19">
        <v>810</v>
      </c>
      <c r="H41" s="19">
        <v>20</v>
      </c>
      <c r="I41" s="19">
        <f t="shared" ref="I41:I46" si="2">G41-H41</f>
        <v>790</v>
      </c>
      <c r="J41" s="18" t="s">
        <v>15</v>
      </c>
      <c r="K41" s="18" t="s">
        <v>15</v>
      </c>
      <c r="L41" s="18" t="s">
        <v>1160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53</v>
      </c>
      <c r="D42" s="18" t="s">
        <v>1263</v>
      </c>
      <c r="E42" s="18" t="s">
        <v>1264</v>
      </c>
      <c r="F42" s="19">
        <v>2</v>
      </c>
      <c r="G42" s="19">
        <v>410</v>
      </c>
      <c r="H42" s="19">
        <v>30</v>
      </c>
      <c r="I42" s="19">
        <f t="shared" si="2"/>
        <v>380</v>
      </c>
      <c r="J42" s="18" t="s">
        <v>15</v>
      </c>
      <c r="K42" s="18" t="s">
        <v>15</v>
      </c>
      <c r="L42" s="18" t="s">
        <v>1160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1265</v>
      </c>
      <c r="D43" s="18" t="s">
        <v>1266</v>
      </c>
      <c r="E43" s="18" t="s">
        <v>1267</v>
      </c>
      <c r="F43" s="18" t="s">
        <v>20</v>
      </c>
      <c r="G43" s="19">
        <v>515</v>
      </c>
      <c r="H43" s="19">
        <v>25</v>
      </c>
      <c r="I43" s="19">
        <f t="shared" si="2"/>
        <v>490</v>
      </c>
      <c r="J43" s="18" t="s">
        <v>15</v>
      </c>
      <c r="K43" s="18" t="s">
        <v>15</v>
      </c>
      <c r="L43" s="18" t="s">
        <v>1160</v>
      </c>
      <c r="M43" s="26" t="s">
        <v>307</v>
      </c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1265</v>
      </c>
      <c r="D44" s="18" t="s">
        <v>1268</v>
      </c>
      <c r="E44" s="18" t="s">
        <v>1267</v>
      </c>
      <c r="F44" s="18" t="s">
        <v>20</v>
      </c>
      <c r="G44" s="19">
        <v>450</v>
      </c>
      <c r="H44" s="19">
        <v>0</v>
      </c>
      <c r="I44" s="19">
        <f t="shared" si="2"/>
        <v>450</v>
      </c>
      <c r="J44" s="18" t="s">
        <v>15</v>
      </c>
      <c r="K44" s="18" t="s">
        <v>15</v>
      </c>
      <c r="L44" s="18" t="s">
        <v>1160</v>
      </c>
      <c r="M44" s="26" t="s">
        <v>307</v>
      </c>
      <c r="N44" s="18"/>
      <c r="O44" s="18"/>
      <c r="P44" s="18"/>
      <c r="Q44" s="18">
        <v>1</v>
      </c>
    </row>
    <row r="45" spans="1:18" customFormat="1" x14ac:dyDescent="0.25">
      <c r="A45" s="18" t="s">
        <v>96</v>
      </c>
      <c r="B45" s="18" t="s">
        <v>34</v>
      </c>
      <c r="C45" s="18" t="s">
        <v>640</v>
      </c>
      <c r="D45" s="18"/>
      <c r="E45" s="18" t="s">
        <v>1269</v>
      </c>
      <c r="F45" s="18" t="s">
        <v>20</v>
      </c>
      <c r="G45" s="19">
        <v>4015</v>
      </c>
      <c r="H45" s="19">
        <v>35</v>
      </c>
      <c r="I45" s="19">
        <f t="shared" si="2"/>
        <v>3980</v>
      </c>
      <c r="J45" s="18" t="s">
        <v>15</v>
      </c>
      <c r="K45" s="18" t="s">
        <v>15</v>
      </c>
      <c r="L45" s="18" t="s">
        <v>1160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1270</v>
      </c>
      <c r="D46" s="18" t="s">
        <v>1271</v>
      </c>
      <c r="E46" s="18" t="s">
        <v>1272</v>
      </c>
      <c r="F46" s="19">
        <v>10</v>
      </c>
      <c r="G46" s="19">
        <v>765</v>
      </c>
      <c r="H46" s="19">
        <v>25</v>
      </c>
      <c r="I46" s="19">
        <f t="shared" si="2"/>
        <v>740</v>
      </c>
      <c r="J46" s="18" t="s">
        <v>160</v>
      </c>
      <c r="K46" s="18" t="s">
        <v>15</v>
      </c>
      <c r="L46" s="18" t="s">
        <v>1160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1273</v>
      </c>
      <c r="D47" s="18" t="s">
        <v>1274</v>
      </c>
      <c r="E47" s="18" t="s">
        <v>1275</v>
      </c>
      <c r="F47" s="19">
        <v>3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1160</v>
      </c>
      <c r="M47" s="18"/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1276</v>
      </c>
      <c r="D48" s="18" t="s">
        <v>1277</v>
      </c>
      <c r="E48" s="18" t="s">
        <v>1278</v>
      </c>
      <c r="F48" s="18" t="s">
        <v>18</v>
      </c>
      <c r="G48" s="19">
        <v>695</v>
      </c>
      <c r="H48" s="19">
        <v>25</v>
      </c>
      <c r="I48" s="19">
        <f t="shared" ref="I48:I53" si="3">G48-H48</f>
        <v>670</v>
      </c>
      <c r="J48" s="18" t="s">
        <v>160</v>
      </c>
      <c r="K48" s="18" t="s">
        <v>15</v>
      </c>
      <c r="L48" s="18" t="s">
        <v>1160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1279</v>
      </c>
      <c r="D49" s="18" t="s">
        <v>1280</v>
      </c>
      <c r="E49" s="18" t="s">
        <v>1281</v>
      </c>
      <c r="F49" s="19">
        <v>4</v>
      </c>
      <c r="G49" s="19">
        <v>375</v>
      </c>
      <c r="H49" s="19">
        <v>25</v>
      </c>
      <c r="I49" s="19">
        <f t="shared" si="3"/>
        <v>350</v>
      </c>
      <c r="J49" s="18" t="s">
        <v>160</v>
      </c>
      <c r="K49" s="18" t="s">
        <v>15</v>
      </c>
      <c r="L49" s="18" t="s">
        <v>1160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1282</v>
      </c>
      <c r="D50" s="18" t="s">
        <v>1283</v>
      </c>
      <c r="E50" s="18" t="s">
        <v>1284</v>
      </c>
      <c r="F50" s="18" t="s">
        <v>18</v>
      </c>
      <c r="G50" s="19">
        <v>1005</v>
      </c>
      <c r="H50" s="19">
        <v>25</v>
      </c>
      <c r="I50" s="19">
        <f t="shared" si="3"/>
        <v>980</v>
      </c>
      <c r="J50" s="18" t="s">
        <v>160</v>
      </c>
      <c r="K50" s="18" t="s">
        <v>15</v>
      </c>
      <c r="L50" s="18" t="s">
        <v>1160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1285</v>
      </c>
      <c r="D51" s="18" t="s">
        <v>1286</v>
      </c>
      <c r="E51" s="18" t="s">
        <v>1287</v>
      </c>
      <c r="F51" s="19">
        <v>3</v>
      </c>
      <c r="G51" s="19">
        <v>565</v>
      </c>
      <c r="H51" s="19">
        <v>25</v>
      </c>
      <c r="I51" s="19">
        <f t="shared" si="3"/>
        <v>540</v>
      </c>
      <c r="J51" s="18" t="s">
        <v>160</v>
      </c>
      <c r="K51" s="18" t="s">
        <v>15</v>
      </c>
      <c r="L51" s="18" t="s">
        <v>1160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1288</v>
      </c>
      <c r="D52" s="18" t="s">
        <v>1289</v>
      </c>
      <c r="E52" s="18" t="s">
        <v>1290</v>
      </c>
      <c r="F52" s="18" t="s">
        <v>18</v>
      </c>
      <c r="G52" s="19">
        <v>475</v>
      </c>
      <c r="H52" s="19">
        <v>25</v>
      </c>
      <c r="I52" s="19">
        <f t="shared" si="3"/>
        <v>450</v>
      </c>
      <c r="J52" s="18" t="s">
        <v>160</v>
      </c>
      <c r="K52" s="18" t="s">
        <v>15</v>
      </c>
      <c r="L52" s="18" t="s">
        <v>1160</v>
      </c>
      <c r="M52" s="26" t="s">
        <v>307</v>
      </c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1288</v>
      </c>
      <c r="D53" s="18" t="s">
        <v>1291</v>
      </c>
      <c r="E53" s="18" t="s">
        <v>1290</v>
      </c>
      <c r="F53" s="18" t="s">
        <v>18</v>
      </c>
      <c r="G53" s="19">
        <v>920</v>
      </c>
      <c r="H53" s="19">
        <v>0</v>
      </c>
      <c r="I53" s="19">
        <f t="shared" si="3"/>
        <v>920</v>
      </c>
      <c r="J53" s="18" t="s">
        <v>160</v>
      </c>
      <c r="K53" s="18" t="s">
        <v>15</v>
      </c>
      <c r="L53" s="18" t="s">
        <v>1160</v>
      </c>
      <c r="M53" s="26" t="s">
        <v>307</v>
      </c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1292</v>
      </c>
      <c r="D54" s="18" t="s">
        <v>1293</v>
      </c>
      <c r="E54" s="18" t="s">
        <v>1294</v>
      </c>
      <c r="F54" s="19">
        <v>4</v>
      </c>
      <c r="G54" s="19">
        <v>0</v>
      </c>
      <c r="H54" s="19">
        <v>25</v>
      </c>
      <c r="I54" s="19">
        <f>-H54</f>
        <v>-25</v>
      </c>
      <c r="J54" s="18" t="s">
        <v>160</v>
      </c>
      <c r="K54" s="18" t="s">
        <v>15</v>
      </c>
      <c r="L54" s="18" t="s">
        <v>1160</v>
      </c>
      <c r="M54" s="18"/>
      <c r="N54" s="18"/>
      <c r="O54" s="18"/>
      <c r="P54" s="18"/>
      <c r="Q54" s="18">
        <v>1</v>
      </c>
      <c r="R54" s="17">
        <f>H54</f>
        <v>25</v>
      </c>
    </row>
    <row r="55" spans="1:18" customFormat="1" x14ac:dyDescent="0.25">
      <c r="A55" s="18"/>
      <c r="B55" s="18" t="s">
        <v>34</v>
      </c>
      <c r="C55" s="18" t="s">
        <v>1295</v>
      </c>
      <c r="D55" s="18" t="s">
        <v>1296</v>
      </c>
      <c r="E55" s="18" t="s">
        <v>1297</v>
      </c>
      <c r="F55" s="18" t="s">
        <v>17</v>
      </c>
      <c r="G55" s="19">
        <v>2220</v>
      </c>
      <c r="H55" s="19">
        <v>25</v>
      </c>
      <c r="I55" s="19">
        <f>G55-H55</f>
        <v>2195</v>
      </c>
      <c r="J55" s="18" t="s">
        <v>160</v>
      </c>
      <c r="K55" s="18" t="s">
        <v>15</v>
      </c>
      <c r="L55" s="18" t="s">
        <v>1160</v>
      </c>
      <c r="M55" s="26" t="s">
        <v>377</v>
      </c>
      <c r="N55" s="18"/>
      <c r="O55" s="18"/>
      <c r="P55" s="18"/>
      <c r="Q55" s="18">
        <v>1</v>
      </c>
      <c r="R55" s="17">
        <f>H55</f>
        <v>25</v>
      </c>
    </row>
    <row r="56" spans="1:18" customFormat="1" x14ac:dyDescent="0.25">
      <c r="A56" s="18"/>
      <c r="B56" s="18" t="s">
        <v>34</v>
      </c>
      <c r="C56" s="18" t="s">
        <v>1298</v>
      </c>
      <c r="D56" s="18" t="s">
        <v>1299</v>
      </c>
      <c r="E56" s="18" t="s">
        <v>1300</v>
      </c>
      <c r="F56" s="19">
        <v>4</v>
      </c>
      <c r="G56" s="19">
        <v>845</v>
      </c>
      <c r="H56" s="19">
        <v>25</v>
      </c>
      <c r="I56" s="19">
        <f>G56-H56</f>
        <v>820</v>
      </c>
      <c r="J56" s="18" t="s">
        <v>160</v>
      </c>
      <c r="K56" s="18" t="s">
        <v>15</v>
      </c>
      <c r="L56" s="18" t="s">
        <v>1160</v>
      </c>
      <c r="M56" s="18"/>
      <c r="N56" s="18"/>
      <c r="O56" s="18"/>
      <c r="P56" s="18"/>
      <c r="Q56" s="18">
        <v>1</v>
      </c>
    </row>
    <row r="57" spans="1:18" customFormat="1" x14ac:dyDescent="0.25">
      <c r="A57" s="18"/>
      <c r="B57" s="18" t="s">
        <v>34</v>
      </c>
      <c r="C57" s="18" t="s">
        <v>1301</v>
      </c>
      <c r="D57" s="18" t="s">
        <v>1302</v>
      </c>
      <c r="E57" s="18" t="s">
        <v>1303</v>
      </c>
      <c r="F57" s="19">
        <v>4</v>
      </c>
      <c r="G57" s="19">
        <v>815</v>
      </c>
      <c r="H57" s="19">
        <v>25</v>
      </c>
      <c r="I57" s="19">
        <f>G57-H57</f>
        <v>790</v>
      </c>
      <c r="J57" s="18" t="s">
        <v>160</v>
      </c>
      <c r="K57" s="18" t="s">
        <v>15</v>
      </c>
      <c r="L57" s="18" t="s">
        <v>1160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1304</v>
      </c>
      <c r="D58" s="18" t="s">
        <v>1305</v>
      </c>
      <c r="E58" s="18" t="s">
        <v>1306</v>
      </c>
      <c r="F58" s="19">
        <v>10</v>
      </c>
      <c r="G58" s="19">
        <v>515</v>
      </c>
      <c r="H58" s="19">
        <v>25</v>
      </c>
      <c r="I58" s="19">
        <f>G58-H58</f>
        <v>490</v>
      </c>
      <c r="J58" s="18" t="s">
        <v>160</v>
      </c>
      <c r="K58" s="18" t="s">
        <v>15</v>
      </c>
      <c r="L58" s="18" t="s">
        <v>1160</v>
      </c>
      <c r="M58" s="18"/>
      <c r="N58" s="18"/>
      <c r="O58" s="18"/>
      <c r="P58" s="18"/>
      <c r="Q58" s="18">
        <v>1</v>
      </c>
    </row>
    <row r="59" spans="1:18" customFormat="1" x14ac:dyDescent="0.25">
      <c r="A59" s="18"/>
      <c r="B59" s="18" t="s">
        <v>34</v>
      </c>
      <c r="C59" s="18" t="s">
        <v>1307</v>
      </c>
      <c r="D59" s="18" t="s">
        <v>1308</v>
      </c>
      <c r="E59" s="18" t="s">
        <v>1309</v>
      </c>
      <c r="F59" s="19">
        <v>5</v>
      </c>
      <c r="G59" s="19">
        <v>0</v>
      </c>
      <c r="H59" s="19">
        <v>25</v>
      </c>
      <c r="I59" s="19">
        <f>-H59</f>
        <v>-25</v>
      </c>
      <c r="J59" s="18" t="s">
        <v>160</v>
      </c>
      <c r="K59" s="18" t="s">
        <v>15</v>
      </c>
      <c r="L59" s="18" t="s">
        <v>1160</v>
      </c>
      <c r="M59" s="18"/>
      <c r="N59" s="18"/>
      <c r="O59" s="18"/>
      <c r="P59" s="18"/>
      <c r="Q59" s="18">
        <v>1</v>
      </c>
      <c r="R59" s="17">
        <f>H59</f>
        <v>25</v>
      </c>
    </row>
    <row r="60" spans="1:18" customFormat="1" x14ac:dyDescent="0.25">
      <c r="A60" s="18"/>
      <c r="B60" s="18" t="s">
        <v>34</v>
      </c>
      <c r="C60" s="18" t="s">
        <v>1310</v>
      </c>
      <c r="D60" s="18" t="s">
        <v>1311</v>
      </c>
      <c r="E60" s="18" t="s">
        <v>1312</v>
      </c>
      <c r="F60" s="19">
        <v>4</v>
      </c>
      <c r="G60" s="19">
        <v>25</v>
      </c>
      <c r="H60" s="19">
        <v>25</v>
      </c>
      <c r="I60" s="19">
        <f t="shared" ref="I60:I64" si="4">G60-H60</f>
        <v>0</v>
      </c>
      <c r="J60" s="18" t="s">
        <v>160</v>
      </c>
      <c r="K60" s="18" t="s">
        <v>15</v>
      </c>
      <c r="L60" s="18" t="s">
        <v>1160</v>
      </c>
      <c r="M60" s="18"/>
      <c r="N60" s="18"/>
      <c r="O60" s="18"/>
      <c r="P60" s="18"/>
      <c r="Q60" s="18">
        <v>1</v>
      </c>
    </row>
    <row r="61" spans="1:18" customFormat="1" x14ac:dyDescent="0.25">
      <c r="A61" s="18"/>
      <c r="B61" s="18" t="s">
        <v>34</v>
      </c>
      <c r="C61" s="18" t="s">
        <v>308</v>
      </c>
      <c r="D61" s="18" t="s">
        <v>1313</v>
      </c>
      <c r="E61" s="18" t="s">
        <v>310</v>
      </c>
      <c r="F61" s="18" t="s">
        <v>18</v>
      </c>
      <c r="G61" s="19">
        <v>1185</v>
      </c>
      <c r="H61" s="19">
        <v>25</v>
      </c>
      <c r="I61" s="19">
        <f t="shared" si="4"/>
        <v>1160</v>
      </c>
      <c r="J61" s="18" t="s">
        <v>160</v>
      </c>
      <c r="K61" s="18" t="s">
        <v>15</v>
      </c>
      <c r="L61" s="18" t="s">
        <v>1160</v>
      </c>
      <c r="M61" s="18"/>
      <c r="N61" s="18"/>
      <c r="O61" s="18"/>
      <c r="P61" s="18"/>
      <c r="Q61" s="18">
        <v>1</v>
      </c>
    </row>
    <row r="62" spans="1:18" customFormat="1" x14ac:dyDescent="0.25">
      <c r="A62" s="18"/>
      <c r="B62" s="18" t="s">
        <v>34</v>
      </c>
      <c r="C62" s="18" t="s">
        <v>1314</v>
      </c>
      <c r="D62" s="18" t="s">
        <v>1315</v>
      </c>
      <c r="E62" s="18" t="s">
        <v>1316</v>
      </c>
      <c r="F62" s="18" t="s">
        <v>18</v>
      </c>
      <c r="G62" s="19">
        <v>535</v>
      </c>
      <c r="H62" s="19">
        <v>25</v>
      </c>
      <c r="I62" s="19">
        <f t="shared" si="4"/>
        <v>510</v>
      </c>
      <c r="J62" s="18" t="s">
        <v>160</v>
      </c>
      <c r="K62" s="18" t="s">
        <v>15</v>
      </c>
      <c r="L62" s="18" t="s">
        <v>1160</v>
      </c>
      <c r="M62" s="18"/>
      <c r="N62" s="18"/>
      <c r="O62" s="18"/>
      <c r="P62" s="18"/>
      <c r="Q62" s="18">
        <v>1</v>
      </c>
    </row>
    <row r="63" spans="1:18" customFormat="1" x14ac:dyDescent="0.25">
      <c r="A63" s="18"/>
      <c r="B63" s="18" t="s">
        <v>34</v>
      </c>
      <c r="C63" s="18" t="s">
        <v>1152</v>
      </c>
      <c r="D63" s="18" t="s">
        <v>1317</v>
      </c>
      <c r="E63" s="18" t="s">
        <v>1154</v>
      </c>
      <c r="F63" s="19">
        <v>4</v>
      </c>
      <c r="G63" s="19">
        <v>615</v>
      </c>
      <c r="H63" s="19">
        <v>25</v>
      </c>
      <c r="I63" s="19">
        <f t="shared" si="4"/>
        <v>590</v>
      </c>
      <c r="J63" s="18" t="s">
        <v>160</v>
      </c>
      <c r="K63" s="18" t="s">
        <v>15</v>
      </c>
      <c r="L63" s="18" t="s">
        <v>1160</v>
      </c>
      <c r="M63" s="18"/>
      <c r="N63" s="18"/>
      <c r="O63" s="18"/>
      <c r="P63" s="18"/>
      <c r="Q63" s="18">
        <v>1</v>
      </c>
    </row>
    <row r="64" spans="1:18" customFormat="1" x14ac:dyDescent="0.25">
      <c r="A64" s="18" t="s">
        <v>96</v>
      </c>
      <c r="B64" s="18" t="s">
        <v>34</v>
      </c>
      <c r="C64" s="18" t="s">
        <v>1016</v>
      </c>
      <c r="D64" s="18"/>
      <c r="E64" s="18" t="s">
        <v>1018</v>
      </c>
      <c r="F64" s="19">
        <v>3</v>
      </c>
      <c r="G64" s="19">
        <v>25</v>
      </c>
      <c r="H64" s="19">
        <v>25</v>
      </c>
      <c r="I64" s="19">
        <f t="shared" si="4"/>
        <v>0</v>
      </c>
      <c r="J64" s="18" t="s">
        <v>160</v>
      </c>
      <c r="K64" s="18" t="s">
        <v>15</v>
      </c>
      <c r="L64" s="18" t="s">
        <v>1160</v>
      </c>
      <c r="M64" s="18"/>
      <c r="N64" s="18"/>
      <c r="O64" s="18"/>
      <c r="P64" s="18"/>
      <c r="Q64" s="18">
        <v>1</v>
      </c>
    </row>
    <row r="65" spans="1:18" customFormat="1" x14ac:dyDescent="0.25">
      <c r="A65" s="18" t="s">
        <v>96</v>
      </c>
      <c r="B65" s="18" t="s">
        <v>34</v>
      </c>
      <c r="C65" s="18" t="s">
        <v>432</v>
      </c>
      <c r="D65" s="18"/>
      <c r="E65" s="18" t="s">
        <v>433</v>
      </c>
      <c r="F65" s="18" t="s">
        <v>18</v>
      </c>
      <c r="G65" s="19">
        <v>30</v>
      </c>
      <c r="H65" s="19">
        <v>30</v>
      </c>
      <c r="I65" s="19">
        <f t="shared" ref="I65" si="5">G65-H65</f>
        <v>0</v>
      </c>
      <c r="J65" s="18" t="s">
        <v>160</v>
      </c>
      <c r="K65" s="18" t="s">
        <v>15</v>
      </c>
      <c r="L65" s="18" t="s">
        <v>1160</v>
      </c>
      <c r="M65" s="18"/>
      <c r="N65" s="18"/>
      <c r="O65" s="18"/>
      <c r="P65" s="18"/>
      <c r="Q65" s="18">
        <v>1</v>
      </c>
    </row>
    <row r="67" spans="1:18" x14ac:dyDescent="0.25">
      <c r="G67" s="1">
        <f t="shared" ref="G67:R67" si="6">SUBTOTAL(9,G3:G66)</f>
        <v>41920</v>
      </c>
      <c r="H67" s="1">
        <f t="shared" si="6"/>
        <v>1645</v>
      </c>
      <c r="I67" s="1">
        <f t="shared" si="6"/>
        <v>40275</v>
      </c>
      <c r="J67" s="1">
        <f t="shared" si="6"/>
        <v>0</v>
      </c>
      <c r="K67" s="1">
        <f t="shared" si="6"/>
        <v>0</v>
      </c>
      <c r="L67" s="1">
        <f t="shared" si="6"/>
        <v>0</v>
      </c>
      <c r="M67" s="1">
        <f t="shared" si="6"/>
        <v>0</v>
      </c>
      <c r="N67" s="1">
        <f t="shared" si="6"/>
        <v>0</v>
      </c>
      <c r="O67" s="1">
        <f t="shared" si="6"/>
        <v>0</v>
      </c>
      <c r="P67" s="1">
        <f t="shared" si="6"/>
        <v>0</v>
      </c>
      <c r="Q67" s="1">
        <f t="shared" si="6"/>
        <v>63</v>
      </c>
      <c r="R67" s="1">
        <f t="shared" si="6"/>
        <v>475</v>
      </c>
    </row>
    <row r="68" spans="1:18" x14ac:dyDescent="0.25">
      <c r="I68" s="1">
        <v>-790</v>
      </c>
      <c r="J68" s="1" t="s">
        <v>1318</v>
      </c>
    </row>
    <row r="71" spans="1:18" ht="20.25" customHeight="1" x14ac:dyDescent="0.3">
      <c r="H71" s="4" t="s">
        <v>1155</v>
      </c>
      <c r="I71" s="5" t="s">
        <v>21</v>
      </c>
      <c r="J71" s="6" t="s">
        <v>22</v>
      </c>
    </row>
    <row r="72" spans="1:18" ht="15.75" customHeight="1" x14ac:dyDescent="0.25">
      <c r="H72" s="7" t="s">
        <v>23</v>
      </c>
      <c r="I72" s="8">
        <f>SUM(I66:I70)</f>
        <v>39485</v>
      </c>
      <c r="J72" s="8">
        <f>Q67</f>
        <v>63</v>
      </c>
    </row>
    <row r="73" spans="1:18" x14ac:dyDescent="0.25">
      <c r="H73" s="9" t="s">
        <v>24</v>
      </c>
      <c r="I73" s="10">
        <f>R67</f>
        <v>475</v>
      </c>
      <c r="J73" s="11"/>
    </row>
    <row r="74" spans="1:18" x14ac:dyDescent="0.25">
      <c r="H74" s="9" t="s">
        <v>25</v>
      </c>
      <c r="I74" s="10">
        <f>S66</f>
        <v>0</v>
      </c>
      <c r="J74" s="11"/>
    </row>
    <row r="75" spans="1:18" x14ac:dyDescent="0.25">
      <c r="H75" s="9" t="s">
        <v>26</v>
      </c>
      <c r="I75" s="10">
        <f>T66</f>
        <v>0</v>
      </c>
      <c r="J75" s="11"/>
    </row>
    <row r="76" spans="1:18" x14ac:dyDescent="0.25">
      <c r="H76" s="9" t="s">
        <v>27</v>
      </c>
      <c r="I76" s="10">
        <f>U66</f>
        <v>0</v>
      </c>
      <c r="J76" s="11"/>
    </row>
    <row r="77" spans="1:18" ht="15.75" customHeight="1" x14ac:dyDescent="0.25">
      <c r="H77" s="12" t="s">
        <v>28</v>
      </c>
      <c r="I77" s="13"/>
      <c r="J77" s="13"/>
    </row>
    <row r="78" spans="1:18" ht="15.75" customHeight="1" x14ac:dyDescent="0.25">
      <c r="H78" s="14" t="s">
        <v>29</v>
      </c>
      <c r="I78" s="13"/>
      <c r="J78" s="13"/>
    </row>
    <row r="79" spans="1:18" ht="21" customHeight="1" x14ac:dyDescent="0.35">
      <c r="H79" s="15" t="s">
        <v>30</v>
      </c>
      <c r="I79" s="16">
        <f>SUM(I72:I78)</f>
        <v>39960</v>
      </c>
      <c r="J79" s="16">
        <f>SUM(J72:J76)</f>
        <v>63</v>
      </c>
    </row>
  </sheetData>
  <autoFilter ref="A2:P65" xr:uid="{00000000-0009-0000-0000-000006000000}">
    <sortState xmlns:xlrd2="http://schemas.microsoft.com/office/spreadsheetml/2017/richdata2" ref="A3:P65">
      <sortCondition ref="J2:J65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89EF-7AB3-4A63-ABFF-53E6E1FCB05B}">
  <dimension ref="A1:R36"/>
  <sheetViews>
    <sheetView topLeftCell="A15" zoomScaleNormal="100" workbookViewId="0">
      <selection activeCell="F28" sqref="F28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591</v>
      </c>
      <c r="C1" s="1" t="s">
        <v>1320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1322</v>
      </c>
      <c r="D3" s="18" t="s">
        <v>1323</v>
      </c>
      <c r="E3" s="18" t="s">
        <v>1324</v>
      </c>
      <c r="F3" s="19">
        <v>9</v>
      </c>
      <c r="G3" s="19">
        <v>520</v>
      </c>
      <c r="H3" s="19">
        <v>30</v>
      </c>
      <c r="I3" s="19">
        <f>G3-H3</f>
        <v>490</v>
      </c>
      <c r="J3" s="18" t="s">
        <v>56</v>
      </c>
      <c r="K3" s="18" t="s">
        <v>15</v>
      </c>
      <c r="L3" s="18" t="s">
        <v>1325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1326</v>
      </c>
      <c r="D4" s="18" t="s">
        <v>1327</v>
      </c>
      <c r="E4" s="18" t="s">
        <v>1328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56</v>
      </c>
      <c r="K4" s="18" t="s">
        <v>15</v>
      </c>
      <c r="L4" s="18" t="s">
        <v>1325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1329</v>
      </c>
      <c r="D5" s="18" t="s">
        <v>1330</v>
      </c>
      <c r="E5" s="18" t="s">
        <v>1331</v>
      </c>
      <c r="F5" s="19">
        <v>5</v>
      </c>
      <c r="G5" s="19">
        <v>0</v>
      </c>
      <c r="H5" s="19">
        <v>25</v>
      </c>
      <c r="I5" s="19">
        <f>-H5</f>
        <v>-25</v>
      </c>
      <c r="J5" s="18" t="s">
        <v>56</v>
      </c>
      <c r="K5" s="18" t="s">
        <v>15</v>
      </c>
      <c r="L5" s="18" t="s">
        <v>1325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1332</v>
      </c>
      <c r="D6" s="18" t="s">
        <v>1333</v>
      </c>
      <c r="E6" s="18" t="s">
        <v>1334</v>
      </c>
      <c r="F6" s="18" t="s">
        <v>38</v>
      </c>
      <c r="G6" s="19">
        <v>740</v>
      </c>
      <c r="H6" s="19">
        <v>30</v>
      </c>
      <c r="I6" s="19">
        <f>G6-H6</f>
        <v>710</v>
      </c>
      <c r="J6" s="18" t="s">
        <v>1335</v>
      </c>
      <c r="K6" s="18" t="s">
        <v>15</v>
      </c>
      <c r="L6" s="18" t="s">
        <v>1325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990</v>
      </c>
      <c r="D7" s="18" t="s">
        <v>1336</v>
      </c>
      <c r="E7" s="18" t="s">
        <v>1337</v>
      </c>
      <c r="F7" s="19">
        <v>10</v>
      </c>
      <c r="G7" s="19">
        <v>1075</v>
      </c>
      <c r="H7" s="19">
        <v>25</v>
      </c>
      <c r="I7" s="19">
        <f>G7-H7</f>
        <v>1050</v>
      </c>
      <c r="J7" s="18" t="s">
        <v>1335</v>
      </c>
      <c r="K7" s="18" t="s">
        <v>15</v>
      </c>
      <c r="L7" s="18" t="s">
        <v>1325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1338</v>
      </c>
      <c r="D8" s="18" t="s">
        <v>1339</v>
      </c>
      <c r="E8" s="18" t="s">
        <v>1340</v>
      </c>
      <c r="F8" s="19">
        <v>1</v>
      </c>
      <c r="G8" s="19">
        <v>0</v>
      </c>
      <c r="H8" s="19">
        <v>25</v>
      </c>
      <c r="I8" s="19">
        <f>-H8</f>
        <v>-25</v>
      </c>
      <c r="J8" s="18" t="s">
        <v>1335</v>
      </c>
      <c r="K8" s="18" t="s">
        <v>15</v>
      </c>
      <c r="L8" s="18" t="s">
        <v>1325</v>
      </c>
      <c r="M8" s="18"/>
      <c r="N8" s="18"/>
      <c r="O8" s="18"/>
      <c r="P8" s="18"/>
      <c r="Q8" s="18">
        <v>1</v>
      </c>
      <c r="R8" s="17">
        <f>H8</f>
        <v>25</v>
      </c>
    </row>
    <row r="9" spans="1:18" customFormat="1" x14ac:dyDescent="0.25">
      <c r="A9" s="18"/>
      <c r="B9" s="18" t="s">
        <v>34</v>
      </c>
      <c r="C9" s="18" t="s">
        <v>1341</v>
      </c>
      <c r="D9" s="18" t="s">
        <v>1342</v>
      </c>
      <c r="E9" s="18" t="s">
        <v>1343</v>
      </c>
      <c r="F9" s="19">
        <v>1</v>
      </c>
      <c r="G9" s="19">
        <v>835</v>
      </c>
      <c r="H9" s="19">
        <v>25</v>
      </c>
      <c r="I9" s="19">
        <f>G9-H9</f>
        <v>810</v>
      </c>
      <c r="J9" s="18" t="s">
        <v>1335</v>
      </c>
      <c r="K9" s="18" t="s">
        <v>15</v>
      </c>
      <c r="L9" s="18" t="s">
        <v>1325</v>
      </c>
      <c r="M9" s="18"/>
      <c r="N9" s="18"/>
      <c r="O9" s="18"/>
      <c r="P9" s="18"/>
      <c r="Q9" s="18">
        <v>1</v>
      </c>
    </row>
    <row r="10" spans="1:18" s="22" customFormat="1" x14ac:dyDescent="0.25">
      <c r="A10" s="20"/>
      <c r="B10" s="20" t="s">
        <v>34</v>
      </c>
      <c r="C10" s="20" t="s">
        <v>1344</v>
      </c>
      <c r="D10" s="20" t="s">
        <v>1345</v>
      </c>
      <c r="E10" s="20" t="s">
        <v>1346</v>
      </c>
      <c r="F10" s="20" t="s">
        <v>123</v>
      </c>
      <c r="G10" s="21">
        <v>135</v>
      </c>
      <c r="H10" s="21">
        <v>35</v>
      </c>
      <c r="I10" s="21">
        <f>G10-H10</f>
        <v>100</v>
      </c>
      <c r="J10" s="20" t="s">
        <v>1335</v>
      </c>
      <c r="K10" s="20" t="s">
        <v>15</v>
      </c>
      <c r="L10" s="20" t="s">
        <v>1325</v>
      </c>
      <c r="M10" s="20" t="s">
        <v>16</v>
      </c>
      <c r="N10" s="20"/>
      <c r="O10" s="20"/>
      <c r="P10" s="20"/>
      <c r="Q10" s="20">
        <v>1</v>
      </c>
    </row>
    <row r="11" spans="1:18" s="22" customFormat="1" x14ac:dyDescent="0.25">
      <c r="A11" s="20"/>
      <c r="B11" s="20" t="s">
        <v>34</v>
      </c>
      <c r="C11" s="20" t="s">
        <v>1265</v>
      </c>
      <c r="D11" s="20" t="s">
        <v>1347</v>
      </c>
      <c r="E11" s="20" t="s">
        <v>1267</v>
      </c>
      <c r="F11" s="20" t="s">
        <v>20</v>
      </c>
      <c r="G11" s="21">
        <v>25</v>
      </c>
      <c r="H11" s="21">
        <v>25</v>
      </c>
      <c r="I11" s="21">
        <f>G11-H11</f>
        <v>0</v>
      </c>
      <c r="J11" s="20" t="s">
        <v>15</v>
      </c>
      <c r="K11" s="20" t="s">
        <v>15</v>
      </c>
      <c r="L11" s="20" t="s">
        <v>1325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1348</v>
      </c>
      <c r="D12" s="18" t="s">
        <v>1349</v>
      </c>
      <c r="E12" s="18" t="s">
        <v>1170</v>
      </c>
      <c r="F12" s="19">
        <v>12</v>
      </c>
      <c r="G12" s="19">
        <v>0</v>
      </c>
      <c r="H12" s="19">
        <v>30</v>
      </c>
      <c r="I12" s="19">
        <f>-H12</f>
        <v>-30</v>
      </c>
      <c r="J12" s="18" t="s">
        <v>15</v>
      </c>
      <c r="K12" s="18" t="s">
        <v>15</v>
      </c>
      <c r="L12" s="18" t="s">
        <v>1325</v>
      </c>
      <c r="M12" s="18"/>
      <c r="N12" s="18"/>
      <c r="O12" s="18"/>
      <c r="P12" s="18"/>
      <c r="Q12" s="18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951</v>
      </c>
      <c r="D13" s="18" t="s">
        <v>1350</v>
      </c>
      <c r="E13" s="18" t="s">
        <v>953</v>
      </c>
      <c r="F13" s="19">
        <v>2</v>
      </c>
      <c r="G13" s="19">
        <v>820</v>
      </c>
      <c r="H13" s="19">
        <v>30</v>
      </c>
      <c r="I13" s="19">
        <f t="shared" ref="I13:I19" si="0">G13-H13</f>
        <v>790</v>
      </c>
      <c r="J13" s="18" t="s">
        <v>15</v>
      </c>
      <c r="K13" s="18" t="s">
        <v>15</v>
      </c>
      <c r="L13" s="18" t="s">
        <v>1325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1351</v>
      </c>
      <c r="D14" s="18" t="s">
        <v>1352</v>
      </c>
      <c r="E14" s="18" t="s">
        <v>1353</v>
      </c>
      <c r="F14" s="19">
        <v>12</v>
      </c>
      <c r="G14" s="19">
        <v>720</v>
      </c>
      <c r="H14" s="19">
        <v>30</v>
      </c>
      <c r="I14" s="19">
        <f t="shared" si="0"/>
        <v>690</v>
      </c>
      <c r="J14" s="18" t="s">
        <v>15</v>
      </c>
      <c r="K14" s="18" t="s">
        <v>15</v>
      </c>
      <c r="L14" s="18" t="s">
        <v>1325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1354</v>
      </c>
      <c r="D15" s="18" t="s">
        <v>1355</v>
      </c>
      <c r="E15" s="18" t="s">
        <v>1356</v>
      </c>
      <c r="F15" s="18" t="s">
        <v>20</v>
      </c>
      <c r="G15" s="19">
        <v>1115</v>
      </c>
      <c r="H15" s="19">
        <v>25</v>
      </c>
      <c r="I15" s="19">
        <f t="shared" si="0"/>
        <v>1090</v>
      </c>
      <c r="J15" s="18" t="s">
        <v>15</v>
      </c>
      <c r="K15" s="18" t="s">
        <v>15</v>
      </c>
      <c r="L15" s="18" t="s">
        <v>1325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534</v>
      </c>
      <c r="D16" s="18" t="s">
        <v>1357</v>
      </c>
      <c r="E16" s="18" t="s">
        <v>1358</v>
      </c>
      <c r="F16" s="18" t="s">
        <v>19</v>
      </c>
      <c r="G16" s="19">
        <v>770</v>
      </c>
      <c r="H16" s="19">
        <v>20</v>
      </c>
      <c r="I16" s="19">
        <f t="shared" si="0"/>
        <v>750</v>
      </c>
      <c r="J16" s="18" t="s">
        <v>15</v>
      </c>
      <c r="K16" s="18" t="s">
        <v>15</v>
      </c>
      <c r="L16" s="18" t="s">
        <v>1325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1359</v>
      </c>
      <c r="D17" s="18" t="s">
        <v>1360</v>
      </c>
      <c r="E17" s="18" t="s">
        <v>1361</v>
      </c>
      <c r="F17" s="19">
        <v>12</v>
      </c>
      <c r="G17" s="19">
        <v>1530</v>
      </c>
      <c r="H17" s="19">
        <v>30</v>
      </c>
      <c r="I17" s="19">
        <f t="shared" si="0"/>
        <v>1500</v>
      </c>
      <c r="J17" s="18" t="s">
        <v>15</v>
      </c>
      <c r="K17" s="18" t="s">
        <v>15</v>
      </c>
      <c r="L17" s="18" t="s">
        <v>1325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1362</v>
      </c>
      <c r="D18" s="18" t="s">
        <v>1363</v>
      </c>
      <c r="E18" s="18" t="s">
        <v>1364</v>
      </c>
      <c r="F18" s="18" t="s">
        <v>19</v>
      </c>
      <c r="G18" s="19">
        <v>840</v>
      </c>
      <c r="H18" s="19">
        <v>20</v>
      </c>
      <c r="I18" s="19">
        <f t="shared" si="0"/>
        <v>820</v>
      </c>
      <c r="J18" s="18" t="s">
        <v>15</v>
      </c>
      <c r="K18" s="18" t="s">
        <v>15</v>
      </c>
      <c r="L18" s="18" t="s">
        <v>1325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845</v>
      </c>
      <c r="D19" s="18" t="s">
        <v>1365</v>
      </c>
      <c r="E19" s="18" t="s">
        <v>1366</v>
      </c>
      <c r="F19" s="18" t="s">
        <v>144</v>
      </c>
      <c r="G19" s="19">
        <v>570</v>
      </c>
      <c r="H19" s="19">
        <v>30</v>
      </c>
      <c r="I19" s="19">
        <f t="shared" si="0"/>
        <v>540</v>
      </c>
      <c r="J19" s="18" t="s">
        <v>15</v>
      </c>
      <c r="K19" s="18" t="s">
        <v>15</v>
      </c>
      <c r="L19" s="18" t="s">
        <v>1325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1367</v>
      </c>
      <c r="D20" s="18" t="s">
        <v>1368</v>
      </c>
      <c r="E20" s="18" t="s">
        <v>422</v>
      </c>
      <c r="F20" s="19">
        <v>12</v>
      </c>
      <c r="G20" s="19">
        <v>0</v>
      </c>
      <c r="H20" s="19">
        <v>30</v>
      </c>
      <c r="I20" s="19">
        <f>-H20</f>
        <v>-30</v>
      </c>
      <c r="J20" s="18" t="s">
        <v>15</v>
      </c>
      <c r="K20" s="18" t="s">
        <v>15</v>
      </c>
      <c r="L20" s="18" t="s">
        <v>1325</v>
      </c>
      <c r="M20" s="18"/>
      <c r="N20" s="18"/>
      <c r="O20" s="18"/>
      <c r="P20" s="18"/>
      <c r="Q20" s="18">
        <v>1</v>
      </c>
      <c r="R20" s="17">
        <f>H20</f>
        <v>30</v>
      </c>
    </row>
    <row r="21" spans="1:18" customFormat="1" x14ac:dyDescent="0.25">
      <c r="A21" s="18"/>
      <c r="B21" s="18" t="s">
        <v>34</v>
      </c>
      <c r="C21" s="18" t="s">
        <v>1369</v>
      </c>
      <c r="D21" s="18" t="s">
        <v>1370</v>
      </c>
      <c r="E21" s="18" t="s">
        <v>1371</v>
      </c>
      <c r="F21" s="18" t="s">
        <v>20</v>
      </c>
      <c r="G21" s="19">
        <v>865</v>
      </c>
      <c r="H21" s="19">
        <v>25</v>
      </c>
      <c r="I21" s="19">
        <f t="shared" ref="I21:I22" si="1">G21-H21</f>
        <v>840</v>
      </c>
      <c r="J21" s="18" t="s">
        <v>15</v>
      </c>
      <c r="K21" s="18" t="s">
        <v>15</v>
      </c>
      <c r="L21" s="18" t="s">
        <v>1325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1372</v>
      </c>
      <c r="D22" s="18"/>
      <c r="E22" s="18" t="s">
        <v>1373</v>
      </c>
      <c r="F22" s="18" t="s">
        <v>18</v>
      </c>
      <c r="G22" s="19">
        <v>30</v>
      </c>
      <c r="H22" s="19">
        <v>30</v>
      </c>
      <c r="I22" s="19">
        <f t="shared" si="1"/>
        <v>0</v>
      </c>
      <c r="J22" s="18" t="s">
        <v>160</v>
      </c>
      <c r="K22" s="18" t="s">
        <v>15</v>
      </c>
      <c r="L22" s="18" t="s">
        <v>1325</v>
      </c>
      <c r="M22" s="18"/>
      <c r="N22" s="18"/>
      <c r="O22" s="18"/>
      <c r="P22" s="18"/>
      <c r="Q22" s="18">
        <v>1</v>
      </c>
    </row>
    <row r="24" spans="1:18" x14ac:dyDescent="0.25">
      <c r="G24" s="1">
        <f t="shared" ref="G24:R24" si="2">SUBTOTAL(9,G3:G23)</f>
        <v>11410</v>
      </c>
      <c r="H24" s="1">
        <f t="shared" si="2"/>
        <v>550</v>
      </c>
      <c r="I24" s="1">
        <f t="shared" si="2"/>
        <v>10860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110</v>
      </c>
    </row>
    <row r="25" spans="1:18" x14ac:dyDescent="0.25">
      <c r="I25" s="1">
        <v>-2910</v>
      </c>
      <c r="J25" s="1" t="s">
        <v>1321</v>
      </c>
    </row>
    <row r="28" spans="1:18" ht="20.25" customHeight="1" x14ac:dyDescent="0.3">
      <c r="H28" s="4" t="s">
        <v>1319</v>
      </c>
      <c r="I28" s="5" t="s">
        <v>21</v>
      </c>
      <c r="J28" s="6" t="s">
        <v>22</v>
      </c>
    </row>
    <row r="29" spans="1:18" ht="15.75" customHeight="1" x14ac:dyDescent="0.25">
      <c r="H29" s="7" t="s">
        <v>23</v>
      </c>
      <c r="I29" s="8">
        <f>SUM(I23:I27)</f>
        <v>7950</v>
      </c>
      <c r="J29" s="8">
        <f>Q24</f>
        <v>20</v>
      </c>
    </row>
    <row r="30" spans="1:18" x14ac:dyDescent="0.25">
      <c r="H30" s="9" t="s">
        <v>24</v>
      </c>
      <c r="I30" s="10">
        <f>R24</f>
        <v>110</v>
      </c>
      <c r="J30" s="11"/>
    </row>
    <row r="31" spans="1:18" x14ac:dyDescent="0.25">
      <c r="H31" s="9" t="s">
        <v>25</v>
      </c>
      <c r="I31" s="10">
        <f>S23</f>
        <v>0</v>
      </c>
      <c r="J31" s="11"/>
    </row>
    <row r="32" spans="1:18" x14ac:dyDescent="0.25">
      <c r="H32" s="9" t="s">
        <v>26</v>
      </c>
      <c r="I32" s="10">
        <f>T23</f>
        <v>0</v>
      </c>
      <c r="J32" s="11"/>
    </row>
    <row r="33" spans="8:10" x14ac:dyDescent="0.25">
      <c r="H33" s="9" t="s">
        <v>27</v>
      </c>
      <c r="I33" s="10">
        <f>U23</f>
        <v>0</v>
      </c>
      <c r="J33" s="11"/>
    </row>
    <row r="34" spans="8:10" ht="15.75" customHeight="1" x14ac:dyDescent="0.25">
      <c r="H34" s="12" t="s">
        <v>28</v>
      </c>
      <c r="I34" s="13"/>
      <c r="J34" s="13"/>
    </row>
    <row r="35" spans="8:10" ht="15.75" customHeight="1" x14ac:dyDescent="0.25">
      <c r="H35" s="14" t="s">
        <v>29</v>
      </c>
      <c r="I35" s="13"/>
      <c r="J35" s="13"/>
    </row>
    <row r="36" spans="8:10" ht="21" customHeight="1" x14ac:dyDescent="0.35">
      <c r="H36" s="15" t="s">
        <v>30</v>
      </c>
      <c r="I36" s="16">
        <f>SUM(I29:I35)</f>
        <v>8060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D7674-6003-4AB9-9F62-334D606648D9}">
  <dimension ref="A1:R51"/>
  <sheetViews>
    <sheetView topLeftCell="A25" zoomScaleNormal="100" workbookViewId="0">
      <selection activeCell="A50" sqref="A5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31</v>
      </c>
      <c r="C1" s="1" t="s">
        <v>1375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1376</v>
      </c>
      <c r="D3" s="18" t="s">
        <v>1377</v>
      </c>
      <c r="E3" s="18" t="s">
        <v>1378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56</v>
      </c>
      <c r="K3" s="18" t="s">
        <v>15</v>
      </c>
      <c r="L3" s="18" t="s">
        <v>1379</v>
      </c>
      <c r="M3" s="18"/>
      <c r="N3" s="18"/>
      <c r="O3" s="18"/>
      <c r="P3" s="18"/>
      <c r="Q3" s="18">
        <v>1</v>
      </c>
    </row>
    <row r="4" spans="1:18" customFormat="1" x14ac:dyDescent="0.25">
      <c r="A4" s="18" t="s">
        <v>96</v>
      </c>
      <c r="B4" s="18" t="s">
        <v>34</v>
      </c>
      <c r="C4" s="18" t="s">
        <v>1380</v>
      </c>
      <c r="D4" s="18"/>
      <c r="E4" s="18" t="s">
        <v>1381</v>
      </c>
      <c r="F4" s="19">
        <v>9</v>
      </c>
      <c r="G4" s="19">
        <v>35</v>
      </c>
      <c r="H4" s="19">
        <v>35</v>
      </c>
      <c r="I4" s="19">
        <f>G4-H4</f>
        <v>0</v>
      </c>
      <c r="J4" s="18" t="s">
        <v>56</v>
      </c>
      <c r="K4" s="18" t="s">
        <v>15</v>
      </c>
      <c r="L4" s="18" t="s">
        <v>1379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1212</v>
      </c>
      <c r="D5" s="18" t="s">
        <v>1382</v>
      </c>
      <c r="E5" s="18" t="s">
        <v>1214</v>
      </c>
      <c r="F5" s="18" t="s">
        <v>38</v>
      </c>
      <c r="G5" s="19">
        <v>0</v>
      </c>
      <c r="H5" s="19">
        <v>30</v>
      </c>
      <c r="I5" s="19">
        <f>-H5</f>
        <v>-30</v>
      </c>
      <c r="J5" s="18" t="s">
        <v>1383</v>
      </c>
      <c r="K5" s="18" t="s">
        <v>15</v>
      </c>
      <c r="L5" s="18" t="s">
        <v>1379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111</v>
      </c>
      <c r="D6" s="18" t="s">
        <v>1384</v>
      </c>
      <c r="E6" s="18" t="s">
        <v>1385</v>
      </c>
      <c r="F6" s="18" t="s">
        <v>38</v>
      </c>
      <c r="G6" s="19">
        <v>2420</v>
      </c>
      <c r="H6" s="19">
        <v>35</v>
      </c>
      <c r="I6" s="19">
        <f>G6-H6</f>
        <v>2385</v>
      </c>
      <c r="J6" s="18" t="s">
        <v>1383</v>
      </c>
      <c r="K6" s="18" t="s">
        <v>15</v>
      </c>
      <c r="L6" s="18" t="s">
        <v>1379</v>
      </c>
      <c r="M6" s="26" t="s">
        <v>377</v>
      </c>
      <c r="N6" s="18"/>
      <c r="O6" s="18"/>
      <c r="P6" s="18"/>
      <c r="Q6" s="18">
        <v>1</v>
      </c>
      <c r="R6" s="17">
        <f>H6</f>
        <v>35</v>
      </c>
    </row>
    <row r="7" spans="1:18" customFormat="1" x14ac:dyDescent="0.25">
      <c r="A7" s="18"/>
      <c r="B7" s="18" t="s">
        <v>34</v>
      </c>
      <c r="C7" s="18" t="s">
        <v>1386</v>
      </c>
      <c r="D7" s="18" t="s">
        <v>1387</v>
      </c>
      <c r="E7" s="18" t="s">
        <v>1388</v>
      </c>
      <c r="F7" s="19">
        <v>6</v>
      </c>
      <c r="G7" s="19">
        <v>0</v>
      </c>
      <c r="H7" s="19">
        <v>25</v>
      </c>
      <c r="I7" s="19">
        <f>-H7</f>
        <v>-25</v>
      </c>
      <c r="J7" s="18" t="s">
        <v>1383</v>
      </c>
      <c r="K7" s="18" t="s">
        <v>15</v>
      </c>
      <c r="L7" s="18" t="s">
        <v>1379</v>
      </c>
      <c r="M7" s="18"/>
      <c r="N7" s="18"/>
      <c r="O7" s="18"/>
      <c r="P7" s="18"/>
      <c r="Q7" s="18">
        <v>1</v>
      </c>
      <c r="R7" s="17">
        <f>H7</f>
        <v>25</v>
      </c>
    </row>
    <row r="8" spans="1:18" customFormat="1" x14ac:dyDescent="0.25">
      <c r="A8" s="18"/>
      <c r="B8" s="18" t="s">
        <v>34</v>
      </c>
      <c r="C8" s="18" t="s">
        <v>1389</v>
      </c>
      <c r="D8" s="18" t="s">
        <v>1390</v>
      </c>
      <c r="E8" s="18" t="s">
        <v>1391</v>
      </c>
      <c r="F8" s="18" t="s">
        <v>123</v>
      </c>
      <c r="G8" s="19">
        <v>1565</v>
      </c>
      <c r="H8" s="19">
        <v>35</v>
      </c>
      <c r="I8" s="19">
        <f>G8-H8</f>
        <v>1530</v>
      </c>
      <c r="J8" s="18" t="s">
        <v>1383</v>
      </c>
      <c r="K8" s="18" t="s">
        <v>15</v>
      </c>
      <c r="L8" s="18" t="s">
        <v>1379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1392</v>
      </c>
      <c r="D9" s="18" t="s">
        <v>1393</v>
      </c>
      <c r="E9" s="18" t="s">
        <v>422</v>
      </c>
      <c r="F9" s="19">
        <v>12</v>
      </c>
      <c r="G9" s="19">
        <v>0</v>
      </c>
      <c r="H9" s="19">
        <v>30</v>
      </c>
      <c r="I9" s="19">
        <f>-H9</f>
        <v>-30</v>
      </c>
      <c r="J9" s="18" t="s">
        <v>1383</v>
      </c>
      <c r="K9" s="18" t="s">
        <v>15</v>
      </c>
      <c r="L9" s="18" t="s">
        <v>1379</v>
      </c>
      <c r="M9" s="18"/>
      <c r="N9" s="18"/>
      <c r="O9" s="18"/>
      <c r="P9" s="18"/>
      <c r="Q9" s="18">
        <v>1</v>
      </c>
      <c r="R9" s="17">
        <f>H9</f>
        <v>30</v>
      </c>
    </row>
    <row r="10" spans="1:18" customFormat="1" x14ac:dyDescent="0.25">
      <c r="A10" s="18"/>
      <c r="B10" s="18" t="s">
        <v>34</v>
      </c>
      <c r="C10" s="18" t="s">
        <v>1394</v>
      </c>
      <c r="D10" s="18" t="s">
        <v>1395</v>
      </c>
      <c r="E10" s="18" t="s">
        <v>1396</v>
      </c>
      <c r="F10" s="18" t="s">
        <v>254</v>
      </c>
      <c r="G10" s="19">
        <v>35</v>
      </c>
      <c r="H10" s="19">
        <v>35</v>
      </c>
      <c r="I10" s="19">
        <f t="shared" ref="I10:I15" si="0">G10-H10</f>
        <v>0</v>
      </c>
      <c r="J10" s="18" t="s">
        <v>1383</v>
      </c>
      <c r="K10" s="18" t="s">
        <v>15</v>
      </c>
      <c r="L10" s="18" t="s">
        <v>1379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1397</v>
      </c>
      <c r="D11" s="18" t="s">
        <v>1398</v>
      </c>
      <c r="E11" s="18" t="s">
        <v>1399</v>
      </c>
      <c r="F11" s="19">
        <v>8</v>
      </c>
      <c r="G11" s="19">
        <v>720</v>
      </c>
      <c r="H11" s="19">
        <v>30</v>
      </c>
      <c r="I11" s="19">
        <f t="shared" si="0"/>
        <v>690</v>
      </c>
      <c r="J11" s="18" t="s">
        <v>1383</v>
      </c>
      <c r="K11" s="18" t="s">
        <v>15</v>
      </c>
      <c r="L11" s="18" t="s">
        <v>1379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1400</v>
      </c>
      <c r="D12" s="18" t="s">
        <v>1401</v>
      </c>
      <c r="E12" s="18" t="s">
        <v>1402</v>
      </c>
      <c r="F12" s="19">
        <v>8</v>
      </c>
      <c r="G12" s="19">
        <v>915</v>
      </c>
      <c r="H12" s="19">
        <v>25</v>
      </c>
      <c r="I12" s="19">
        <f t="shared" si="0"/>
        <v>890</v>
      </c>
      <c r="J12" s="18" t="s">
        <v>1383</v>
      </c>
      <c r="K12" s="18" t="s">
        <v>15</v>
      </c>
      <c r="L12" s="18" t="s">
        <v>1379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1403</v>
      </c>
      <c r="D13" s="18" t="s">
        <v>1404</v>
      </c>
      <c r="E13" s="18" t="s">
        <v>1405</v>
      </c>
      <c r="F13" s="18" t="s">
        <v>212</v>
      </c>
      <c r="G13" s="19">
        <v>895</v>
      </c>
      <c r="H13" s="19">
        <v>25</v>
      </c>
      <c r="I13" s="19">
        <f t="shared" si="0"/>
        <v>870</v>
      </c>
      <c r="J13" s="18" t="s">
        <v>1383</v>
      </c>
      <c r="K13" s="18" t="s">
        <v>15</v>
      </c>
      <c r="L13" s="18" t="s">
        <v>1379</v>
      </c>
      <c r="M13" s="18"/>
      <c r="N13" s="18"/>
      <c r="O13" s="18"/>
      <c r="P13" s="18"/>
      <c r="Q13" s="18">
        <v>1</v>
      </c>
    </row>
    <row r="14" spans="1:18" customFormat="1" x14ac:dyDescent="0.25">
      <c r="A14" s="18" t="s">
        <v>96</v>
      </c>
      <c r="B14" s="18" t="s">
        <v>34</v>
      </c>
      <c r="C14" s="18" t="s">
        <v>583</v>
      </c>
      <c r="D14" s="18"/>
      <c r="E14" s="18" t="s">
        <v>584</v>
      </c>
      <c r="F14" s="18" t="s">
        <v>212</v>
      </c>
      <c r="G14" s="19">
        <v>30</v>
      </c>
      <c r="H14" s="19">
        <v>30</v>
      </c>
      <c r="I14" s="19">
        <f t="shared" si="0"/>
        <v>0</v>
      </c>
      <c r="J14" s="18" t="s">
        <v>1383</v>
      </c>
      <c r="K14" s="18" t="s">
        <v>15</v>
      </c>
      <c r="L14" s="18" t="s">
        <v>1379</v>
      </c>
      <c r="M14" s="18"/>
      <c r="N14" s="18"/>
      <c r="O14" s="18"/>
      <c r="P14" s="18"/>
      <c r="Q14" s="18">
        <v>1</v>
      </c>
    </row>
    <row r="15" spans="1:18" customFormat="1" x14ac:dyDescent="0.25">
      <c r="A15" s="18" t="s">
        <v>96</v>
      </c>
      <c r="B15" s="18" t="s">
        <v>34</v>
      </c>
      <c r="C15" s="18" t="s">
        <v>674</v>
      </c>
      <c r="D15" s="18"/>
      <c r="E15" s="18" t="s">
        <v>675</v>
      </c>
      <c r="F15" s="18" t="s">
        <v>254</v>
      </c>
      <c r="G15" s="19">
        <v>1340</v>
      </c>
      <c r="H15" s="19">
        <v>40</v>
      </c>
      <c r="I15" s="19">
        <f t="shared" si="0"/>
        <v>1300</v>
      </c>
      <c r="J15" s="18" t="s">
        <v>1383</v>
      </c>
      <c r="K15" s="18" t="s">
        <v>15</v>
      </c>
      <c r="L15" s="18" t="s">
        <v>1379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1406</v>
      </c>
      <c r="D16" s="18" t="s">
        <v>1407</v>
      </c>
      <c r="E16" s="18" t="s">
        <v>1408</v>
      </c>
      <c r="F16" s="18" t="s">
        <v>144</v>
      </c>
      <c r="G16" s="19">
        <v>0</v>
      </c>
      <c r="H16" s="19">
        <v>30</v>
      </c>
      <c r="I16" s="19">
        <f>-H16</f>
        <v>-30</v>
      </c>
      <c r="J16" s="18" t="s">
        <v>15</v>
      </c>
      <c r="K16" s="18" t="s">
        <v>15</v>
      </c>
      <c r="L16" s="18" t="s">
        <v>1379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730</v>
      </c>
      <c r="D17" s="18" t="s">
        <v>1409</v>
      </c>
      <c r="E17" s="18" t="s">
        <v>732</v>
      </c>
      <c r="F17" s="18" t="s">
        <v>19</v>
      </c>
      <c r="G17" s="19">
        <v>730</v>
      </c>
      <c r="H17" s="19">
        <v>20</v>
      </c>
      <c r="I17" s="19">
        <f t="shared" ref="I17:I24" si="1">G17-H17</f>
        <v>710</v>
      </c>
      <c r="J17" s="18" t="s">
        <v>15</v>
      </c>
      <c r="K17" s="18" t="s">
        <v>15</v>
      </c>
      <c r="L17" s="18" t="s">
        <v>1379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1410</v>
      </c>
      <c r="D18" s="18" t="s">
        <v>1411</v>
      </c>
      <c r="E18" s="18" t="s">
        <v>1412</v>
      </c>
      <c r="F18" s="18" t="s">
        <v>144</v>
      </c>
      <c r="G18" s="19">
        <v>900</v>
      </c>
      <c r="H18" s="19">
        <v>30</v>
      </c>
      <c r="I18" s="19">
        <f t="shared" si="1"/>
        <v>870</v>
      </c>
      <c r="J18" s="18" t="s">
        <v>15</v>
      </c>
      <c r="K18" s="18" t="s">
        <v>15</v>
      </c>
      <c r="L18" s="18" t="s">
        <v>1379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1413</v>
      </c>
      <c r="D19" s="18" t="s">
        <v>1414</v>
      </c>
      <c r="E19" s="18" t="s">
        <v>1415</v>
      </c>
      <c r="F19" s="18" t="s">
        <v>18</v>
      </c>
      <c r="G19" s="19">
        <v>1735</v>
      </c>
      <c r="H19" s="19">
        <v>25</v>
      </c>
      <c r="I19" s="19">
        <f t="shared" si="1"/>
        <v>1710</v>
      </c>
      <c r="J19" s="18" t="s">
        <v>15</v>
      </c>
      <c r="K19" s="18" t="s">
        <v>15</v>
      </c>
      <c r="L19" s="18" t="s">
        <v>1379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628</v>
      </c>
      <c r="D20" s="18" t="s">
        <v>1416</v>
      </c>
      <c r="E20" s="18" t="s">
        <v>630</v>
      </c>
      <c r="F20" s="18" t="s">
        <v>20</v>
      </c>
      <c r="G20" s="19">
        <v>775</v>
      </c>
      <c r="H20" s="19">
        <v>25</v>
      </c>
      <c r="I20" s="19">
        <f t="shared" si="1"/>
        <v>750</v>
      </c>
      <c r="J20" s="18" t="s">
        <v>15</v>
      </c>
      <c r="K20" s="18" t="s">
        <v>15</v>
      </c>
      <c r="L20" s="18" t="s">
        <v>1379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134</v>
      </c>
      <c r="D21" s="18"/>
      <c r="E21" s="18" t="s">
        <v>1417</v>
      </c>
      <c r="F21" s="18" t="s">
        <v>20</v>
      </c>
      <c r="G21" s="19">
        <v>1510</v>
      </c>
      <c r="H21" s="19">
        <v>30</v>
      </c>
      <c r="I21" s="19">
        <f t="shared" si="1"/>
        <v>1480</v>
      </c>
      <c r="J21" s="18" t="s">
        <v>15</v>
      </c>
      <c r="K21" s="18" t="s">
        <v>15</v>
      </c>
      <c r="L21" s="18" t="s">
        <v>1379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586</v>
      </c>
      <c r="D22" s="18"/>
      <c r="E22" s="18" t="s">
        <v>587</v>
      </c>
      <c r="F22" s="18" t="s">
        <v>144</v>
      </c>
      <c r="G22" s="19">
        <v>2375</v>
      </c>
      <c r="H22" s="19">
        <v>35</v>
      </c>
      <c r="I22" s="19">
        <f t="shared" si="1"/>
        <v>2340</v>
      </c>
      <c r="J22" s="18" t="s">
        <v>15</v>
      </c>
      <c r="K22" s="18" t="s">
        <v>15</v>
      </c>
      <c r="L22" s="18" t="s">
        <v>1379</v>
      </c>
      <c r="M22" s="18"/>
      <c r="N22" s="18"/>
      <c r="O22" s="18"/>
      <c r="P22" s="18"/>
      <c r="Q22" s="18">
        <v>1</v>
      </c>
    </row>
    <row r="23" spans="1:18" customFormat="1" x14ac:dyDescent="0.25">
      <c r="A23" s="18" t="s">
        <v>96</v>
      </c>
      <c r="B23" s="18" t="s">
        <v>34</v>
      </c>
      <c r="C23" s="18" t="s">
        <v>640</v>
      </c>
      <c r="D23" s="18"/>
      <c r="E23" s="18" t="s">
        <v>641</v>
      </c>
      <c r="F23" s="18" t="s">
        <v>20</v>
      </c>
      <c r="G23" s="19">
        <v>1690</v>
      </c>
      <c r="H23" s="19">
        <v>30</v>
      </c>
      <c r="I23" s="19">
        <f t="shared" si="1"/>
        <v>1660</v>
      </c>
      <c r="J23" s="18" t="s">
        <v>15</v>
      </c>
      <c r="K23" s="18" t="s">
        <v>15</v>
      </c>
      <c r="L23" s="18" t="s">
        <v>1379</v>
      </c>
      <c r="M23" s="18"/>
      <c r="N23" s="18"/>
      <c r="O23" s="18"/>
      <c r="P23" s="18"/>
      <c r="Q23" s="18">
        <v>1</v>
      </c>
    </row>
    <row r="24" spans="1:18" customFormat="1" x14ac:dyDescent="0.25">
      <c r="A24" s="18" t="s">
        <v>96</v>
      </c>
      <c r="B24" s="18" t="s">
        <v>34</v>
      </c>
      <c r="C24" s="18" t="s">
        <v>1418</v>
      </c>
      <c r="D24" s="18"/>
      <c r="E24" s="18" t="s">
        <v>1419</v>
      </c>
      <c r="F24" s="18" t="s">
        <v>19</v>
      </c>
      <c r="G24" s="19">
        <v>30</v>
      </c>
      <c r="H24" s="19">
        <v>30</v>
      </c>
      <c r="I24" s="19">
        <f t="shared" si="1"/>
        <v>0</v>
      </c>
      <c r="J24" s="18" t="s">
        <v>15</v>
      </c>
      <c r="K24" s="18" t="s">
        <v>15</v>
      </c>
      <c r="L24" s="18" t="s">
        <v>1379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1420</v>
      </c>
      <c r="D25" s="18" t="s">
        <v>1421</v>
      </c>
      <c r="E25" s="18" t="s">
        <v>1422</v>
      </c>
      <c r="F25" s="18" t="s">
        <v>18</v>
      </c>
      <c r="G25" s="19">
        <v>0</v>
      </c>
      <c r="H25" s="19">
        <v>25</v>
      </c>
      <c r="I25" s="19">
        <f>-H25</f>
        <v>-25</v>
      </c>
      <c r="J25" s="18" t="s">
        <v>160</v>
      </c>
      <c r="K25" s="18" t="s">
        <v>15</v>
      </c>
      <c r="L25" s="18" t="s">
        <v>1379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733</v>
      </c>
      <c r="D26" s="18" t="s">
        <v>1423</v>
      </c>
      <c r="E26" s="18" t="s">
        <v>1424</v>
      </c>
      <c r="F26" s="19">
        <v>1</v>
      </c>
      <c r="G26" s="19">
        <v>775</v>
      </c>
      <c r="H26" s="19">
        <v>25</v>
      </c>
      <c r="I26" s="19">
        <f>G26-H26</f>
        <v>750</v>
      </c>
      <c r="J26" s="18" t="s">
        <v>160</v>
      </c>
      <c r="K26" s="18" t="s">
        <v>15</v>
      </c>
      <c r="L26" s="18" t="s">
        <v>1379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1425</v>
      </c>
      <c r="D27" s="18" t="s">
        <v>1426</v>
      </c>
      <c r="E27" s="18" t="s">
        <v>875</v>
      </c>
      <c r="F27" s="19">
        <v>1</v>
      </c>
      <c r="G27" s="19">
        <v>535</v>
      </c>
      <c r="H27" s="19">
        <v>25</v>
      </c>
      <c r="I27" s="19">
        <f>G27-H27</f>
        <v>510</v>
      </c>
      <c r="J27" s="18" t="s">
        <v>160</v>
      </c>
      <c r="K27" s="18" t="s">
        <v>15</v>
      </c>
      <c r="L27" s="18" t="s">
        <v>1379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1427</v>
      </c>
      <c r="D28" s="18" t="s">
        <v>1428</v>
      </c>
      <c r="E28" s="18" t="s">
        <v>1429</v>
      </c>
      <c r="F28" s="19">
        <v>5</v>
      </c>
      <c r="G28" s="19">
        <v>535</v>
      </c>
      <c r="H28" s="19">
        <v>25</v>
      </c>
      <c r="I28" s="19">
        <f>G28-H28</f>
        <v>510</v>
      </c>
      <c r="J28" s="18" t="s">
        <v>160</v>
      </c>
      <c r="K28" s="18" t="s">
        <v>15</v>
      </c>
      <c r="L28" s="18" t="s">
        <v>1379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1430</v>
      </c>
      <c r="D29" s="18" t="s">
        <v>1431</v>
      </c>
      <c r="E29" s="18" t="s">
        <v>1432</v>
      </c>
      <c r="F29" s="19">
        <v>1</v>
      </c>
      <c r="G29" s="19">
        <v>715</v>
      </c>
      <c r="H29" s="19">
        <v>25</v>
      </c>
      <c r="I29" s="19">
        <f>G29-H29</f>
        <v>690</v>
      </c>
      <c r="J29" s="18" t="s">
        <v>160</v>
      </c>
      <c r="K29" s="18" t="s">
        <v>15</v>
      </c>
      <c r="L29" s="18" t="s">
        <v>1379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1433</v>
      </c>
      <c r="D30" s="18" t="s">
        <v>1434</v>
      </c>
      <c r="E30" s="18" t="s">
        <v>1435</v>
      </c>
      <c r="F30" s="19">
        <v>5</v>
      </c>
      <c r="G30" s="19">
        <v>1185</v>
      </c>
      <c r="H30" s="19">
        <v>25</v>
      </c>
      <c r="I30" s="19">
        <f>G30-H30</f>
        <v>1160</v>
      </c>
      <c r="J30" s="18" t="s">
        <v>160</v>
      </c>
      <c r="K30" s="18" t="s">
        <v>15</v>
      </c>
      <c r="L30" s="18" t="s">
        <v>1379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657</v>
      </c>
      <c r="D31" s="18" t="s">
        <v>658</v>
      </c>
      <c r="E31" s="18" t="s">
        <v>659</v>
      </c>
      <c r="F31" s="18" t="s">
        <v>18</v>
      </c>
      <c r="G31" s="19">
        <v>0</v>
      </c>
      <c r="H31" s="19">
        <v>25</v>
      </c>
      <c r="I31" s="19">
        <f>-H31</f>
        <v>-25</v>
      </c>
      <c r="J31" s="18" t="s">
        <v>160</v>
      </c>
      <c r="K31" s="18" t="s">
        <v>15</v>
      </c>
      <c r="L31" s="18" t="s">
        <v>1379</v>
      </c>
      <c r="M31" s="18"/>
      <c r="N31" s="18"/>
      <c r="O31" s="18"/>
      <c r="P31" s="18"/>
      <c r="Q31" s="18">
        <v>1</v>
      </c>
      <c r="R31" s="17">
        <f>H31</f>
        <v>25</v>
      </c>
    </row>
    <row r="32" spans="1:18" customFormat="1" x14ac:dyDescent="0.25">
      <c r="A32" s="18"/>
      <c r="B32" s="18" t="s">
        <v>34</v>
      </c>
      <c r="C32" s="18" t="s">
        <v>1436</v>
      </c>
      <c r="D32" s="18" t="s">
        <v>1437</v>
      </c>
      <c r="E32" s="18" t="s">
        <v>1438</v>
      </c>
      <c r="F32" s="18" t="s">
        <v>17</v>
      </c>
      <c r="G32" s="19">
        <v>780</v>
      </c>
      <c r="H32" s="19">
        <v>20</v>
      </c>
      <c r="I32" s="19">
        <f>G32-H32</f>
        <v>760</v>
      </c>
      <c r="J32" s="18" t="s">
        <v>160</v>
      </c>
      <c r="K32" s="18" t="s">
        <v>15</v>
      </c>
      <c r="L32" s="18" t="s">
        <v>1379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1439</v>
      </c>
      <c r="D33" s="18" t="s">
        <v>1440</v>
      </c>
      <c r="E33" s="18" t="s">
        <v>1441</v>
      </c>
      <c r="F33" s="19">
        <v>10</v>
      </c>
      <c r="G33" s="19">
        <v>695</v>
      </c>
      <c r="H33" s="19">
        <v>25</v>
      </c>
      <c r="I33" s="19">
        <f>G33-H33</f>
        <v>670</v>
      </c>
      <c r="J33" s="18" t="s">
        <v>160</v>
      </c>
      <c r="K33" s="18" t="s">
        <v>15</v>
      </c>
      <c r="L33" s="18" t="s">
        <v>1379</v>
      </c>
      <c r="M33" s="18"/>
      <c r="N33" s="18"/>
      <c r="O33" s="18"/>
      <c r="P33" s="18"/>
      <c r="Q33" s="18">
        <v>1</v>
      </c>
    </row>
    <row r="34" spans="1:18" customFormat="1" x14ac:dyDescent="0.25">
      <c r="A34" s="18" t="s">
        <v>96</v>
      </c>
      <c r="B34" s="18" t="s">
        <v>34</v>
      </c>
      <c r="C34" s="18" t="s">
        <v>1442</v>
      </c>
      <c r="D34" s="18"/>
      <c r="E34" s="18" t="s">
        <v>1443</v>
      </c>
      <c r="F34" s="18" t="s">
        <v>18</v>
      </c>
      <c r="G34" s="19">
        <v>30</v>
      </c>
      <c r="H34" s="19">
        <v>30</v>
      </c>
      <c r="I34" s="19">
        <f>G34-H34</f>
        <v>0</v>
      </c>
      <c r="J34" s="18" t="s">
        <v>160</v>
      </c>
      <c r="K34" s="18" t="s">
        <v>15</v>
      </c>
      <c r="L34" s="18" t="s">
        <v>1379</v>
      </c>
      <c r="M34" s="18"/>
      <c r="N34" s="18"/>
      <c r="O34" s="18"/>
      <c r="P34" s="18"/>
      <c r="Q34" s="18">
        <v>1</v>
      </c>
    </row>
    <row r="36" spans="1:18" x14ac:dyDescent="0.25">
      <c r="G36" s="1">
        <f t="shared" ref="G36:R36" si="2">SUBTOTAL(9,G3:G35)</f>
        <v>23770</v>
      </c>
      <c r="H36" s="1">
        <f t="shared" si="2"/>
        <v>910</v>
      </c>
      <c r="I36" s="1">
        <f t="shared" si="2"/>
        <v>22860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200</v>
      </c>
    </row>
    <row r="37" spans="1:18" x14ac:dyDescent="0.25">
      <c r="I37" s="1">
        <v>-870</v>
      </c>
      <c r="J37" s="1" t="s">
        <v>663</v>
      </c>
    </row>
    <row r="40" spans="1:18" ht="20.25" customHeight="1" x14ac:dyDescent="0.3">
      <c r="H40" s="4" t="s">
        <v>1374</v>
      </c>
      <c r="I40" s="5" t="s">
        <v>21</v>
      </c>
      <c r="J40" s="6" t="s">
        <v>22</v>
      </c>
    </row>
    <row r="41" spans="1:18" ht="15.75" customHeight="1" x14ac:dyDescent="0.25">
      <c r="H41" s="7" t="s">
        <v>23</v>
      </c>
      <c r="I41" s="8">
        <f>SUM(I35:I39)</f>
        <v>21990</v>
      </c>
      <c r="J41" s="8">
        <f>Q36</f>
        <v>32</v>
      </c>
    </row>
    <row r="42" spans="1:18" x14ac:dyDescent="0.25">
      <c r="H42" s="9" t="s">
        <v>24</v>
      </c>
      <c r="I42" s="10">
        <f>R36</f>
        <v>200</v>
      </c>
      <c r="J42" s="11"/>
    </row>
    <row r="43" spans="1:18" x14ac:dyDescent="0.25">
      <c r="H43" s="9" t="s">
        <v>25</v>
      </c>
      <c r="I43" s="10">
        <f>S35</f>
        <v>0</v>
      </c>
      <c r="J43" s="11"/>
    </row>
    <row r="44" spans="1:18" x14ac:dyDescent="0.25">
      <c r="H44" s="9" t="s">
        <v>26</v>
      </c>
      <c r="I44" s="10">
        <f>T35</f>
        <v>0</v>
      </c>
      <c r="J44" s="11"/>
    </row>
    <row r="45" spans="1:18" x14ac:dyDescent="0.25">
      <c r="H45" s="9" t="s">
        <v>27</v>
      </c>
      <c r="I45" s="10">
        <f>U35</f>
        <v>0</v>
      </c>
      <c r="J45" s="11"/>
    </row>
    <row r="46" spans="1:18" ht="15.75" customHeight="1" x14ac:dyDescent="0.25">
      <c r="H46" s="12" t="s">
        <v>28</v>
      </c>
      <c r="I46" s="13"/>
      <c r="J46" s="13"/>
    </row>
    <row r="47" spans="1:18" ht="15.75" customHeight="1" x14ac:dyDescent="0.25">
      <c r="H47" s="14" t="s">
        <v>29</v>
      </c>
      <c r="I47" s="13"/>
      <c r="J47" s="13"/>
    </row>
    <row r="48" spans="1:18" ht="21" customHeight="1" x14ac:dyDescent="0.35">
      <c r="H48" s="15" t="s">
        <v>30</v>
      </c>
      <c r="I48" s="16">
        <f>SUM(I41:I47)</f>
        <v>22190</v>
      </c>
      <c r="J48" s="16">
        <f>SUM(J41:J45)</f>
        <v>32</v>
      </c>
    </row>
    <row r="50" spans="1:12" x14ac:dyDescent="0.25">
      <c r="A50" s="1" t="s">
        <v>663</v>
      </c>
    </row>
    <row r="51" spans="1:12" x14ac:dyDescent="0.25">
      <c r="A51" s="45" t="s">
        <v>34</v>
      </c>
      <c r="B51" s="45" t="s">
        <v>1226</v>
      </c>
      <c r="C51" s="45" t="s">
        <v>1227</v>
      </c>
      <c r="D51" s="45" t="s">
        <v>1228</v>
      </c>
      <c r="E51" s="46">
        <v>12</v>
      </c>
      <c r="F51" s="46">
        <v>870</v>
      </c>
      <c r="G51" s="46">
        <v>0</v>
      </c>
      <c r="H51" s="46">
        <f>F51-G51</f>
        <v>870</v>
      </c>
      <c r="I51" s="45" t="s">
        <v>662</v>
      </c>
      <c r="J51" s="45" t="s">
        <v>15</v>
      </c>
      <c r="K51" s="45" t="s">
        <v>1160</v>
      </c>
      <c r="L51" s="47" t="s">
        <v>1444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39D15-0C3D-484A-B38B-7B8EFD23FD7B}">
  <dimension ref="A1:R68"/>
  <sheetViews>
    <sheetView topLeftCell="A43" zoomScaleNormal="100" workbookViewId="0">
      <selection activeCell="A67" sqref="A6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102</v>
      </c>
      <c r="C1" s="1" t="s">
        <v>1446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1447</v>
      </c>
      <c r="D3" s="18" t="s">
        <v>1448</v>
      </c>
      <c r="E3" s="18" t="s">
        <v>1449</v>
      </c>
      <c r="F3" s="19">
        <v>9</v>
      </c>
      <c r="G3" s="19">
        <v>1420</v>
      </c>
      <c r="H3" s="19">
        <v>30</v>
      </c>
      <c r="I3" s="19">
        <f>G3-H3</f>
        <v>1390</v>
      </c>
      <c r="J3" s="18" t="s">
        <v>56</v>
      </c>
      <c r="K3" s="18" t="s">
        <v>15</v>
      </c>
      <c r="L3" s="18" t="s">
        <v>1450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1451</v>
      </c>
      <c r="D4" s="18" t="s">
        <v>1452</v>
      </c>
      <c r="E4" s="18" t="s">
        <v>1453</v>
      </c>
      <c r="F4" s="19">
        <v>9</v>
      </c>
      <c r="G4" s="19">
        <v>1170</v>
      </c>
      <c r="H4" s="19">
        <v>30</v>
      </c>
      <c r="I4" s="19">
        <f>G4-H4</f>
        <v>1140</v>
      </c>
      <c r="J4" s="18" t="s">
        <v>56</v>
      </c>
      <c r="K4" s="18" t="s">
        <v>15</v>
      </c>
      <c r="L4" s="18" t="s">
        <v>1450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1454</v>
      </c>
      <c r="D5" s="18" t="s">
        <v>1455</v>
      </c>
      <c r="E5" s="18" t="s">
        <v>1456</v>
      </c>
      <c r="F5" s="19">
        <v>9</v>
      </c>
      <c r="G5" s="19">
        <v>1910</v>
      </c>
      <c r="H5" s="19">
        <v>30</v>
      </c>
      <c r="I5" s="19">
        <f>G5-H5</f>
        <v>1880</v>
      </c>
      <c r="J5" s="18" t="s">
        <v>56</v>
      </c>
      <c r="K5" s="18" t="s">
        <v>15</v>
      </c>
      <c r="L5" s="18" t="s">
        <v>1450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362</v>
      </c>
      <c r="D6" s="18" t="s">
        <v>1457</v>
      </c>
      <c r="E6" s="18" t="s">
        <v>364</v>
      </c>
      <c r="F6" s="19">
        <v>9</v>
      </c>
      <c r="G6" s="19">
        <v>380</v>
      </c>
      <c r="H6" s="19">
        <v>30</v>
      </c>
      <c r="I6" s="19">
        <f>G6-H6</f>
        <v>350</v>
      </c>
      <c r="J6" s="18" t="s">
        <v>56</v>
      </c>
      <c r="K6" s="18" t="s">
        <v>15</v>
      </c>
      <c r="L6" s="18" t="s">
        <v>1450</v>
      </c>
      <c r="M6" s="18"/>
      <c r="N6" s="18"/>
      <c r="O6" s="18"/>
      <c r="P6" s="18"/>
      <c r="Q6" s="18">
        <v>1</v>
      </c>
    </row>
    <row r="7" spans="1:18" customFormat="1" x14ac:dyDescent="0.25">
      <c r="A7" s="18" t="s">
        <v>96</v>
      </c>
      <c r="B7" s="18" t="s">
        <v>34</v>
      </c>
      <c r="C7" s="18" t="s">
        <v>1458</v>
      </c>
      <c r="D7" s="18"/>
      <c r="E7" s="18" t="s">
        <v>1459</v>
      </c>
      <c r="F7" s="19">
        <v>9</v>
      </c>
      <c r="G7" s="19">
        <v>0</v>
      </c>
      <c r="H7" s="19">
        <v>35</v>
      </c>
      <c r="I7" s="19">
        <f>-H7</f>
        <v>-35</v>
      </c>
      <c r="J7" s="18" t="s">
        <v>56</v>
      </c>
      <c r="K7" s="18" t="s">
        <v>15</v>
      </c>
      <c r="L7" s="18" t="s">
        <v>1450</v>
      </c>
      <c r="M7" s="18"/>
      <c r="N7" s="18"/>
      <c r="O7" s="18"/>
      <c r="P7" s="18"/>
      <c r="Q7" s="18">
        <v>1</v>
      </c>
      <c r="R7" s="17">
        <f>H7</f>
        <v>35</v>
      </c>
    </row>
    <row r="8" spans="1:18" customFormat="1" x14ac:dyDescent="0.25">
      <c r="A8" s="18"/>
      <c r="B8" s="18" t="s">
        <v>34</v>
      </c>
      <c r="C8" s="18" t="s">
        <v>1460</v>
      </c>
      <c r="D8" s="18" t="s">
        <v>1461</v>
      </c>
      <c r="E8" s="18" t="s">
        <v>1462</v>
      </c>
      <c r="F8" s="19">
        <v>9</v>
      </c>
      <c r="G8" s="19">
        <v>1120</v>
      </c>
      <c r="H8" s="19">
        <v>30</v>
      </c>
      <c r="I8" s="19">
        <f t="shared" ref="I8:I13" si="0">G8-H8</f>
        <v>1090</v>
      </c>
      <c r="J8" s="18" t="s">
        <v>56</v>
      </c>
      <c r="K8" s="18" t="s">
        <v>15</v>
      </c>
      <c r="L8" s="18" t="s">
        <v>1450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1463</v>
      </c>
      <c r="D9" s="18" t="s">
        <v>1464</v>
      </c>
      <c r="E9" s="18" t="s">
        <v>1465</v>
      </c>
      <c r="F9" s="19">
        <v>7</v>
      </c>
      <c r="G9" s="19">
        <v>950</v>
      </c>
      <c r="H9" s="19">
        <v>30</v>
      </c>
      <c r="I9" s="19">
        <f t="shared" si="0"/>
        <v>920</v>
      </c>
      <c r="J9" s="18" t="s">
        <v>1466</v>
      </c>
      <c r="K9" s="18" t="s">
        <v>15</v>
      </c>
      <c r="L9" s="18" t="s">
        <v>1450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1467</v>
      </c>
      <c r="D10" s="18" t="s">
        <v>1468</v>
      </c>
      <c r="E10" s="18" t="s">
        <v>1469</v>
      </c>
      <c r="F10" s="19">
        <v>7</v>
      </c>
      <c r="G10" s="19">
        <v>670</v>
      </c>
      <c r="H10" s="19">
        <v>30</v>
      </c>
      <c r="I10" s="19">
        <f t="shared" si="0"/>
        <v>640</v>
      </c>
      <c r="J10" s="18" t="s">
        <v>1466</v>
      </c>
      <c r="K10" s="18" t="s">
        <v>15</v>
      </c>
      <c r="L10" s="18" t="s">
        <v>1450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1470</v>
      </c>
      <c r="D11" s="18" t="s">
        <v>1471</v>
      </c>
      <c r="E11" s="18" t="s">
        <v>1472</v>
      </c>
      <c r="F11" s="18" t="s">
        <v>38</v>
      </c>
      <c r="G11" s="19">
        <v>780</v>
      </c>
      <c r="H11" s="19">
        <v>30</v>
      </c>
      <c r="I11" s="19">
        <f t="shared" si="0"/>
        <v>750</v>
      </c>
      <c r="J11" s="18" t="s">
        <v>1466</v>
      </c>
      <c r="K11" s="18" t="s">
        <v>15</v>
      </c>
      <c r="L11" s="18" t="s">
        <v>1450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1473</v>
      </c>
      <c r="D12" s="18" t="s">
        <v>1474</v>
      </c>
      <c r="E12" s="18" t="s">
        <v>1475</v>
      </c>
      <c r="F12" s="19">
        <v>7</v>
      </c>
      <c r="G12" s="19">
        <v>850</v>
      </c>
      <c r="H12" s="19">
        <v>30</v>
      </c>
      <c r="I12" s="19">
        <f t="shared" si="0"/>
        <v>820</v>
      </c>
      <c r="J12" s="18" t="s">
        <v>1466</v>
      </c>
      <c r="K12" s="18" t="s">
        <v>15</v>
      </c>
      <c r="L12" s="18" t="s">
        <v>1450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1183</v>
      </c>
      <c r="D13" s="18" t="s">
        <v>1476</v>
      </c>
      <c r="E13" s="18" t="s">
        <v>1477</v>
      </c>
      <c r="F13" s="19">
        <v>7</v>
      </c>
      <c r="G13" s="19">
        <v>520</v>
      </c>
      <c r="H13" s="19">
        <v>30</v>
      </c>
      <c r="I13" s="19">
        <f t="shared" si="0"/>
        <v>490</v>
      </c>
      <c r="J13" s="18" t="s">
        <v>1466</v>
      </c>
      <c r="K13" s="18" t="s">
        <v>15</v>
      </c>
      <c r="L13" s="18" t="s">
        <v>1450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1478</v>
      </c>
      <c r="D14" s="18" t="s">
        <v>1479</v>
      </c>
      <c r="E14" s="18" t="s">
        <v>1480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1466</v>
      </c>
      <c r="K14" s="18" t="s">
        <v>15</v>
      </c>
      <c r="L14" s="18" t="s">
        <v>1450</v>
      </c>
      <c r="M14" s="18"/>
      <c r="N14" s="18"/>
      <c r="O14" s="18"/>
      <c r="P14" s="18"/>
      <c r="Q14" s="18">
        <v>1</v>
      </c>
      <c r="R14" s="17">
        <f>H14</f>
        <v>25</v>
      </c>
    </row>
    <row r="15" spans="1:18" customFormat="1" x14ac:dyDescent="0.25">
      <c r="A15" s="18"/>
      <c r="B15" s="18" t="s">
        <v>34</v>
      </c>
      <c r="C15" s="18" t="s">
        <v>1481</v>
      </c>
      <c r="D15" s="18" t="s">
        <v>1482</v>
      </c>
      <c r="E15" s="18" t="s">
        <v>1483</v>
      </c>
      <c r="F15" s="19">
        <v>7</v>
      </c>
      <c r="G15" s="19">
        <v>30</v>
      </c>
      <c r="H15" s="19">
        <v>30</v>
      </c>
      <c r="I15" s="19">
        <f>G15-H15</f>
        <v>0</v>
      </c>
      <c r="J15" s="18" t="s">
        <v>1466</v>
      </c>
      <c r="K15" s="18" t="s">
        <v>15</v>
      </c>
      <c r="L15" s="18" t="s">
        <v>1450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1484</v>
      </c>
      <c r="D16" s="18" t="s">
        <v>1485</v>
      </c>
      <c r="E16" s="18" t="s">
        <v>1486</v>
      </c>
      <c r="F16" s="18" t="s">
        <v>212</v>
      </c>
      <c r="G16" s="19">
        <v>1015</v>
      </c>
      <c r="H16" s="19">
        <v>25</v>
      </c>
      <c r="I16" s="19">
        <f>G16-H16</f>
        <v>990</v>
      </c>
      <c r="J16" s="18" t="s">
        <v>1466</v>
      </c>
      <c r="K16" s="18" t="s">
        <v>15</v>
      </c>
      <c r="L16" s="18" t="s">
        <v>1450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815</v>
      </c>
      <c r="D17" s="18" t="s">
        <v>1487</v>
      </c>
      <c r="E17" s="18" t="s">
        <v>1488</v>
      </c>
      <c r="F17" s="19">
        <v>12</v>
      </c>
      <c r="G17" s="19">
        <v>0</v>
      </c>
      <c r="H17" s="19">
        <v>30</v>
      </c>
      <c r="I17" s="19">
        <f>-H17</f>
        <v>-30</v>
      </c>
      <c r="J17" s="18" t="s">
        <v>1466</v>
      </c>
      <c r="K17" s="18" t="s">
        <v>15</v>
      </c>
      <c r="L17" s="18" t="s">
        <v>1450</v>
      </c>
      <c r="M17" s="18"/>
      <c r="N17" s="18"/>
      <c r="O17" s="18"/>
      <c r="P17" s="18"/>
      <c r="Q17" s="18">
        <v>1</v>
      </c>
      <c r="R17" s="17">
        <f>H17</f>
        <v>30</v>
      </c>
    </row>
    <row r="18" spans="1:18" customFormat="1" x14ac:dyDescent="0.25">
      <c r="A18" s="18"/>
      <c r="B18" s="18" t="s">
        <v>34</v>
      </c>
      <c r="C18" s="18" t="s">
        <v>1489</v>
      </c>
      <c r="D18" s="18" t="s">
        <v>1490</v>
      </c>
      <c r="E18" s="18" t="s">
        <v>1491</v>
      </c>
      <c r="F18" s="19">
        <v>7</v>
      </c>
      <c r="G18" s="19">
        <v>390</v>
      </c>
      <c r="H18" s="19">
        <v>30</v>
      </c>
      <c r="I18" s="19">
        <f>G18-H18</f>
        <v>360</v>
      </c>
      <c r="J18" s="18" t="s">
        <v>1466</v>
      </c>
      <c r="K18" s="18" t="s">
        <v>15</v>
      </c>
      <c r="L18" s="18" t="s">
        <v>1450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458</v>
      </c>
      <c r="D19" s="18" t="s">
        <v>1492</v>
      </c>
      <c r="E19" s="18" t="s">
        <v>460</v>
      </c>
      <c r="F19" s="19">
        <v>8</v>
      </c>
      <c r="G19" s="19">
        <v>1300</v>
      </c>
      <c r="H19" s="19">
        <v>30</v>
      </c>
      <c r="I19" s="19">
        <f>G19-H19</f>
        <v>1270</v>
      </c>
      <c r="J19" s="18" t="s">
        <v>1466</v>
      </c>
      <c r="K19" s="18" t="s">
        <v>15</v>
      </c>
      <c r="L19" s="18" t="s">
        <v>1450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1493</v>
      </c>
      <c r="D20" s="18" t="s">
        <v>1494</v>
      </c>
      <c r="E20" s="18" t="s">
        <v>1495</v>
      </c>
      <c r="F20" s="18" t="s">
        <v>212</v>
      </c>
      <c r="G20" s="19">
        <v>0</v>
      </c>
      <c r="H20" s="19">
        <v>25</v>
      </c>
      <c r="I20" s="19">
        <f>-H20</f>
        <v>-25</v>
      </c>
      <c r="J20" s="18" t="s">
        <v>1466</v>
      </c>
      <c r="K20" s="18" t="s">
        <v>15</v>
      </c>
      <c r="L20" s="18" t="s">
        <v>1450</v>
      </c>
      <c r="M20" s="18"/>
      <c r="N20" s="18"/>
      <c r="O20" s="18"/>
      <c r="P20" s="18"/>
      <c r="Q20" s="18">
        <v>1</v>
      </c>
      <c r="R20" s="17">
        <f t="shared" ref="R20:R21" si="1">H20</f>
        <v>25</v>
      </c>
    </row>
    <row r="21" spans="1:18" customFormat="1" x14ac:dyDescent="0.25">
      <c r="A21" s="18"/>
      <c r="B21" s="18" t="s">
        <v>34</v>
      </c>
      <c r="C21" s="18" t="s">
        <v>1496</v>
      </c>
      <c r="D21" s="18" t="s">
        <v>1497</v>
      </c>
      <c r="E21" s="18" t="s">
        <v>1498</v>
      </c>
      <c r="F21" s="19">
        <v>11</v>
      </c>
      <c r="G21" s="19">
        <v>0</v>
      </c>
      <c r="H21" s="19">
        <v>25</v>
      </c>
      <c r="I21" s="19">
        <f>-H21</f>
        <v>-25</v>
      </c>
      <c r="J21" s="18" t="s">
        <v>1466</v>
      </c>
      <c r="K21" s="18" t="s">
        <v>15</v>
      </c>
      <c r="L21" s="18" t="s">
        <v>1450</v>
      </c>
      <c r="M21" s="18"/>
      <c r="N21" s="18"/>
      <c r="O21" s="18"/>
      <c r="P21" s="18"/>
      <c r="Q21" s="18">
        <v>1</v>
      </c>
      <c r="R21" s="17">
        <f t="shared" si="1"/>
        <v>25</v>
      </c>
    </row>
    <row r="22" spans="1:18" customFormat="1" x14ac:dyDescent="0.25">
      <c r="A22" s="18"/>
      <c r="B22" s="18" t="s">
        <v>34</v>
      </c>
      <c r="C22" s="18" t="s">
        <v>1499</v>
      </c>
      <c r="D22" s="18" t="s">
        <v>1500</v>
      </c>
      <c r="E22" s="18" t="s">
        <v>1501</v>
      </c>
      <c r="F22" s="18" t="s">
        <v>38</v>
      </c>
      <c r="G22" s="19">
        <v>900</v>
      </c>
      <c r="H22" s="19">
        <v>30</v>
      </c>
      <c r="I22" s="19">
        <f>G22-H22</f>
        <v>870</v>
      </c>
      <c r="J22" s="18" t="s">
        <v>1466</v>
      </c>
      <c r="K22" s="18" t="s">
        <v>15</v>
      </c>
      <c r="L22" s="18" t="s">
        <v>1450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1502</v>
      </c>
      <c r="D23" s="18" t="s">
        <v>1503</v>
      </c>
      <c r="E23" s="18" t="s">
        <v>1504</v>
      </c>
      <c r="F23" s="19">
        <v>6</v>
      </c>
      <c r="G23" s="19">
        <v>0</v>
      </c>
      <c r="H23" s="19">
        <v>25</v>
      </c>
      <c r="I23" s="19">
        <f>-H23</f>
        <v>-25</v>
      </c>
      <c r="J23" s="18" t="s">
        <v>1466</v>
      </c>
      <c r="K23" s="18" t="s">
        <v>15</v>
      </c>
      <c r="L23" s="18" t="s">
        <v>1450</v>
      </c>
      <c r="M23" s="18"/>
      <c r="N23" s="18"/>
      <c r="O23" s="18"/>
      <c r="P23" s="18"/>
      <c r="Q23" s="18">
        <v>1</v>
      </c>
      <c r="R23" s="17">
        <f>H23</f>
        <v>25</v>
      </c>
    </row>
    <row r="24" spans="1:18" customFormat="1" x14ac:dyDescent="0.25">
      <c r="A24" s="18"/>
      <c r="B24" s="18" t="s">
        <v>34</v>
      </c>
      <c r="C24" s="18" t="s">
        <v>1505</v>
      </c>
      <c r="D24" s="18" t="s">
        <v>1506</v>
      </c>
      <c r="E24" s="18" t="s">
        <v>1507</v>
      </c>
      <c r="F24" s="18" t="s">
        <v>38</v>
      </c>
      <c r="G24" s="19">
        <v>30</v>
      </c>
      <c r="H24" s="19">
        <v>30</v>
      </c>
      <c r="I24" s="19">
        <f t="shared" ref="I24:I29" si="2">G24-H24</f>
        <v>0</v>
      </c>
      <c r="J24" s="18" t="s">
        <v>1466</v>
      </c>
      <c r="K24" s="18" t="s">
        <v>15</v>
      </c>
      <c r="L24" s="18" t="s">
        <v>1450</v>
      </c>
      <c r="M24" s="18" t="s">
        <v>377</v>
      </c>
      <c r="N24" s="18"/>
      <c r="O24" s="18"/>
      <c r="P24" s="18"/>
      <c r="Q24" s="18">
        <v>1</v>
      </c>
    </row>
    <row r="25" spans="1:18" customFormat="1" x14ac:dyDescent="0.25">
      <c r="A25" s="18" t="s">
        <v>96</v>
      </c>
      <c r="B25" s="18" t="s">
        <v>34</v>
      </c>
      <c r="C25" s="18" t="s">
        <v>1508</v>
      </c>
      <c r="D25" s="18"/>
      <c r="E25" s="18" t="s">
        <v>1509</v>
      </c>
      <c r="F25" s="18" t="s">
        <v>38</v>
      </c>
      <c r="G25" s="19">
        <v>40</v>
      </c>
      <c r="H25" s="19">
        <v>40</v>
      </c>
      <c r="I25" s="19">
        <f t="shared" si="2"/>
        <v>0</v>
      </c>
      <c r="J25" s="18" t="s">
        <v>1466</v>
      </c>
      <c r="K25" s="18" t="s">
        <v>15</v>
      </c>
      <c r="L25" s="18" t="s">
        <v>1450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1510</v>
      </c>
      <c r="D26" s="18" t="s">
        <v>1511</v>
      </c>
      <c r="E26" s="18" t="s">
        <v>1512</v>
      </c>
      <c r="F26" s="18" t="s">
        <v>19</v>
      </c>
      <c r="G26" s="19">
        <v>460</v>
      </c>
      <c r="H26" s="19">
        <v>20</v>
      </c>
      <c r="I26" s="19">
        <f t="shared" si="2"/>
        <v>440</v>
      </c>
      <c r="J26" s="18" t="s">
        <v>15</v>
      </c>
      <c r="K26" s="18" t="s">
        <v>15</v>
      </c>
      <c r="L26" s="18" t="s">
        <v>1450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1513</v>
      </c>
      <c r="D27" s="18" t="s">
        <v>1514</v>
      </c>
      <c r="E27" s="18" t="s">
        <v>1515</v>
      </c>
      <c r="F27" s="18" t="s">
        <v>20</v>
      </c>
      <c r="G27" s="19">
        <v>1855</v>
      </c>
      <c r="H27" s="19">
        <v>25</v>
      </c>
      <c r="I27" s="19">
        <f t="shared" si="2"/>
        <v>1830</v>
      </c>
      <c r="J27" s="18" t="s">
        <v>15</v>
      </c>
      <c r="K27" s="18" t="s">
        <v>15</v>
      </c>
      <c r="L27" s="18" t="s">
        <v>1450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1516</v>
      </c>
      <c r="D28" s="18" t="s">
        <v>1517</v>
      </c>
      <c r="E28" s="18" t="s">
        <v>1518</v>
      </c>
      <c r="F28" s="18" t="s">
        <v>144</v>
      </c>
      <c r="G28" s="19">
        <v>960</v>
      </c>
      <c r="H28" s="19">
        <v>30</v>
      </c>
      <c r="I28" s="19">
        <f t="shared" si="2"/>
        <v>930</v>
      </c>
      <c r="J28" s="18" t="s">
        <v>15</v>
      </c>
      <c r="K28" s="18" t="s">
        <v>15</v>
      </c>
      <c r="L28" s="18" t="s">
        <v>1450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1519</v>
      </c>
      <c r="D29" s="18" t="s">
        <v>1520</v>
      </c>
      <c r="E29" s="18" t="s">
        <v>1521</v>
      </c>
      <c r="F29" s="19">
        <v>2</v>
      </c>
      <c r="G29" s="19">
        <v>600</v>
      </c>
      <c r="H29" s="19">
        <v>30</v>
      </c>
      <c r="I29" s="19">
        <f t="shared" si="2"/>
        <v>570</v>
      </c>
      <c r="J29" s="18" t="s">
        <v>15</v>
      </c>
      <c r="K29" s="18" t="s">
        <v>15</v>
      </c>
      <c r="L29" s="18" t="s">
        <v>1450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148</v>
      </c>
      <c r="D30" s="18" t="s">
        <v>1522</v>
      </c>
      <c r="E30" s="18" t="s">
        <v>150</v>
      </c>
      <c r="F30" s="18" t="s">
        <v>19</v>
      </c>
      <c r="G30" s="19">
        <v>0</v>
      </c>
      <c r="H30" s="19">
        <v>20</v>
      </c>
      <c r="I30" s="19">
        <f>-H30</f>
        <v>-20</v>
      </c>
      <c r="J30" s="18" t="s">
        <v>15</v>
      </c>
      <c r="K30" s="18" t="s">
        <v>15</v>
      </c>
      <c r="L30" s="18" t="s">
        <v>1450</v>
      </c>
      <c r="M30" s="18"/>
      <c r="N30" s="18"/>
      <c r="O30" s="18"/>
      <c r="P30" s="18"/>
      <c r="Q30" s="18">
        <v>1</v>
      </c>
      <c r="R30" s="17">
        <f>H30</f>
        <v>20</v>
      </c>
    </row>
    <row r="31" spans="1:18" customFormat="1" x14ac:dyDescent="0.25">
      <c r="A31" s="18"/>
      <c r="B31" s="18" t="s">
        <v>34</v>
      </c>
      <c r="C31" s="18" t="s">
        <v>1523</v>
      </c>
      <c r="D31" s="18" t="s">
        <v>1524</v>
      </c>
      <c r="E31" s="18" t="s">
        <v>1525</v>
      </c>
      <c r="F31" s="18" t="s">
        <v>19</v>
      </c>
      <c r="G31" s="19">
        <v>840</v>
      </c>
      <c r="H31" s="19">
        <v>20</v>
      </c>
      <c r="I31" s="19">
        <f>G31-H31</f>
        <v>820</v>
      </c>
      <c r="J31" s="18" t="s">
        <v>15</v>
      </c>
      <c r="K31" s="18" t="s">
        <v>15</v>
      </c>
      <c r="L31" s="18" t="s">
        <v>1450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1526</v>
      </c>
      <c r="D32" s="18" t="s">
        <v>1527</v>
      </c>
      <c r="E32" s="18" t="s">
        <v>1528</v>
      </c>
      <c r="F32" s="18" t="s">
        <v>20</v>
      </c>
      <c r="G32" s="19">
        <v>0</v>
      </c>
      <c r="H32" s="19">
        <v>25</v>
      </c>
      <c r="I32" s="19">
        <f>-H32</f>
        <v>-25</v>
      </c>
      <c r="J32" s="18" t="s">
        <v>15</v>
      </c>
      <c r="K32" s="18" t="s">
        <v>15</v>
      </c>
      <c r="L32" s="18" t="s">
        <v>1450</v>
      </c>
      <c r="M32" s="18"/>
      <c r="N32" s="18"/>
      <c r="O32" s="18"/>
      <c r="P32" s="18"/>
      <c r="Q32" s="18">
        <v>1</v>
      </c>
      <c r="R32" s="17">
        <f>H32</f>
        <v>25</v>
      </c>
    </row>
    <row r="33" spans="1:18" customFormat="1" x14ac:dyDescent="0.25">
      <c r="A33" s="18"/>
      <c r="B33" s="18" t="s">
        <v>34</v>
      </c>
      <c r="C33" s="18" t="s">
        <v>1529</v>
      </c>
      <c r="D33" s="18" t="s">
        <v>1530</v>
      </c>
      <c r="E33" s="18" t="s">
        <v>1531</v>
      </c>
      <c r="F33" s="18" t="s">
        <v>19</v>
      </c>
      <c r="G33" s="19">
        <v>970</v>
      </c>
      <c r="H33" s="19">
        <v>20</v>
      </c>
      <c r="I33" s="19">
        <f>G33-H33</f>
        <v>950</v>
      </c>
      <c r="J33" s="18" t="s">
        <v>15</v>
      </c>
      <c r="K33" s="18" t="s">
        <v>15</v>
      </c>
      <c r="L33" s="18" t="s">
        <v>1450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1532</v>
      </c>
      <c r="D34" s="18" t="s">
        <v>1533</v>
      </c>
      <c r="E34" s="18" t="s">
        <v>1534</v>
      </c>
      <c r="F34" s="18" t="s">
        <v>20</v>
      </c>
      <c r="G34" s="19">
        <v>0</v>
      </c>
      <c r="H34" s="19">
        <v>25</v>
      </c>
      <c r="I34" s="19">
        <f>-H34</f>
        <v>-25</v>
      </c>
      <c r="J34" s="18" t="s">
        <v>15</v>
      </c>
      <c r="K34" s="18" t="s">
        <v>15</v>
      </c>
      <c r="L34" s="18" t="s">
        <v>1450</v>
      </c>
      <c r="M34" s="18"/>
      <c r="N34" s="18"/>
      <c r="O34" s="18"/>
      <c r="P34" s="18"/>
      <c r="Q34" s="18">
        <v>1</v>
      </c>
      <c r="R34" s="17">
        <f>H34</f>
        <v>25</v>
      </c>
    </row>
    <row r="35" spans="1:18" customFormat="1" x14ac:dyDescent="0.25">
      <c r="A35" s="18"/>
      <c r="B35" s="18" t="s">
        <v>34</v>
      </c>
      <c r="C35" s="18" t="s">
        <v>1535</v>
      </c>
      <c r="D35" s="18" t="s">
        <v>1536</v>
      </c>
      <c r="E35" s="18" t="s">
        <v>1537</v>
      </c>
      <c r="F35" s="18" t="s">
        <v>19</v>
      </c>
      <c r="G35" s="19">
        <v>810</v>
      </c>
      <c r="H35" s="19">
        <v>20</v>
      </c>
      <c r="I35" s="19">
        <f t="shared" ref="I35:I40" si="3">G35-H35</f>
        <v>790</v>
      </c>
      <c r="J35" s="18" t="s">
        <v>15</v>
      </c>
      <c r="K35" s="18" t="s">
        <v>15</v>
      </c>
      <c r="L35" s="18" t="s">
        <v>1450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1538</v>
      </c>
      <c r="D36" s="18" t="s">
        <v>1539</v>
      </c>
      <c r="E36" s="18" t="s">
        <v>1540</v>
      </c>
      <c r="F36" s="18" t="s">
        <v>19</v>
      </c>
      <c r="G36" s="19">
        <v>810</v>
      </c>
      <c r="H36" s="19">
        <v>20</v>
      </c>
      <c r="I36" s="19">
        <f t="shared" si="3"/>
        <v>790</v>
      </c>
      <c r="J36" s="18" t="s">
        <v>15</v>
      </c>
      <c r="K36" s="18" t="s">
        <v>15</v>
      </c>
      <c r="L36" s="18" t="s">
        <v>1450</v>
      </c>
      <c r="M36" s="18"/>
      <c r="N36" s="18"/>
      <c r="O36" s="18"/>
      <c r="P36" s="18"/>
      <c r="Q36" s="18">
        <v>1</v>
      </c>
    </row>
    <row r="37" spans="1:18" customFormat="1" x14ac:dyDescent="0.25">
      <c r="A37" s="18" t="s">
        <v>96</v>
      </c>
      <c r="B37" s="18" t="s">
        <v>34</v>
      </c>
      <c r="C37" s="18" t="s">
        <v>1541</v>
      </c>
      <c r="D37" s="18"/>
      <c r="E37" s="18" t="s">
        <v>1542</v>
      </c>
      <c r="F37" s="18" t="s">
        <v>144</v>
      </c>
      <c r="G37" s="19">
        <v>35</v>
      </c>
      <c r="H37" s="19">
        <v>35</v>
      </c>
      <c r="I37" s="19">
        <f t="shared" si="3"/>
        <v>0</v>
      </c>
      <c r="J37" s="18" t="s">
        <v>15</v>
      </c>
      <c r="K37" s="18" t="s">
        <v>15</v>
      </c>
      <c r="L37" s="18" t="s">
        <v>1450</v>
      </c>
      <c r="M37" s="18"/>
      <c r="N37" s="18"/>
      <c r="O37" s="18"/>
      <c r="P37" s="18"/>
      <c r="Q37" s="18">
        <v>1</v>
      </c>
    </row>
    <row r="38" spans="1:18" customFormat="1" x14ac:dyDescent="0.25">
      <c r="A38" s="18" t="s">
        <v>96</v>
      </c>
      <c r="B38" s="18" t="s">
        <v>34</v>
      </c>
      <c r="C38" s="18" t="s">
        <v>586</v>
      </c>
      <c r="D38" s="18"/>
      <c r="E38" s="18" t="s">
        <v>1543</v>
      </c>
      <c r="F38" s="18" t="s">
        <v>144</v>
      </c>
      <c r="G38" s="19">
        <v>1175</v>
      </c>
      <c r="H38" s="19">
        <v>35</v>
      </c>
      <c r="I38" s="19">
        <f t="shared" si="3"/>
        <v>1140</v>
      </c>
      <c r="J38" s="18" t="s">
        <v>15</v>
      </c>
      <c r="K38" s="18" t="s">
        <v>15</v>
      </c>
      <c r="L38" s="18" t="s">
        <v>1450</v>
      </c>
      <c r="M38" s="18"/>
      <c r="N38" s="18"/>
      <c r="O38" s="18"/>
      <c r="P38" s="18"/>
      <c r="Q38" s="18">
        <v>1</v>
      </c>
    </row>
    <row r="39" spans="1:18" s="36" customFormat="1" x14ac:dyDescent="0.25">
      <c r="A39" s="18"/>
      <c r="B39" s="18" t="s">
        <v>34</v>
      </c>
      <c r="C39" s="18" t="s">
        <v>651</v>
      </c>
      <c r="D39" s="18" t="s">
        <v>1544</v>
      </c>
      <c r="E39" s="18" t="s">
        <v>653</v>
      </c>
      <c r="F39" s="18" t="s">
        <v>18</v>
      </c>
      <c r="G39" s="19">
        <v>945</v>
      </c>
      <c r="H39" s="19">
        <v>25</v>
      </c>
      <c r="I39" s="19">
        <f t="shared" si="3"/>
        <v>920</v>
      </c>
      <c r="J39" s="18" t="s">
        <v>160</v>
      </c>
      <c r="K39" s="18" t="s">
        <v>15</v>
      </c>
      <c r="L39" s="18" t="s">
        <v>1450</v>
      </c>
      <c r="M39" s="18"/>
      <c r="N39" s="18"/>
      <c r="O39" s="18"/>
      <c r="P39" s="18"/>
      <c r="Q39" s="45">
        <v>1</v>
      </c>
    </row>
    <row r="40" spans="1:18" customFormat="1" x14ac:dyDescent="0.25">
      <c r="A40" s="18"/>
      <c r="B40" s="18" t="s">
        <v>34</v>
      </c>
      <c r="C40" s="18" t="s">
        <v>1545</v>
      </c>
      <c r="D40" s="18" t="s">
        <v>1546</v>
      </c>
      <c r="E40" s="18" t="s">
        <v>1547</v>
      </c>
      <c r="F40" s="19">
        <v>1</v>
      </c>
      <c r="G40" s="19">
        <v>725</v>
      </c>
      <c r="H40" s="19">
        <v>25</v>
      </c>
      <c r="I40" s="19">
        <f t="shared" si="3"/>
        <v>700</v>
      </c>
      <c r="J40" s="18" t="s">
        <v>160</v>
      </c>
      <c r="K40" s="18" t="s">
        <v>15</v>
      </c>
      <c r="L40" s="18" t="s">
        <v>1450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1548</v>
      </c>
      <c r="D41" s="18" t="s">
        <v>1549</v>
      </c>
      <c r="E41" s="18" t="s">
        <v>1550</v>
      </c>
      <c r="F41" s="18" t="s">
        <v>18</v>
      </c>
      <c r="G41" s="19">
        <v>0</v>
      </c>
      <c r="H41" s="19">
        <v>25</v>
      </c>
      <c r="I41" s="19">
        <f>-H41</f>
        <v>-25</v>
      </c>
      <c r="J41" s="18" t="s">
        <v>160</v>
      </c>
      <c r="K41" s="18" t="s">
        <v>15</v>
      </c>
      <c r="L41" s="18" t="s">
        <v>1450</v>
      </c>
      <c r="M41" s="18"/>
      <c r="N41" s="18"/>
      <c r="O41" s="18"/>
      <c r="P41" s="18"/>
      <c r="Q41" s="18">
        <v>1</v>
      </c>
      <c r="R41" s="17">
        <f t="shared" ref="R41:R42" si="4">H41</f>
        <v>25</v>
      </c>
    </row>
    <row r="42" spans="1:18" customFormat="1" x14ac:dyDescent="0.25">
      <c r="A42" s="18"/>
      <c r="B42" s="18" t="s">
        <v>34</v>
      </c>
      <c r="C42" s="18" t="s">
        <v>1551</v>
      </c>
      <c r="D42" s="18" t="s">
        <v>1552</v>
      </c>
      <c r="E42" s="18" t="s">
        <v>1553</v>
      </c>
      <c r="F42" s="19">
        <v>5</v>
      </c>
      <c r="G42" s="19">
        <v>0</v>
      </c>
      <c r="H42" s="19">
        <v>25</v>
      </c>
      <c r="I42" s="19">
        <f>-H42</f>
        <v>-25</v>
      </c>
      <c r="J42" s="18" t="s">
        <v>160</v>
      </c>
      <c r="K42" s="18" t="s">
        <v>15</v>
      </c>
      <c r="L42" s="18" t="s">
        <v>1450</v>
      </c>
      <c r="M42" s="18"/>
      <c r="N42" s="18"/>
      <c r="O42" s="18"/>
      <c r="P42" s="18"/>
      <c r="Q42" s="18">
        <v>1</v>
      </c>
      <c r="R42" s="17">
        <f t="shared" si="4"/>
        <v>25</v>
      </c>
    </row>
    <row r="43" spans="1:18" customFormat="1" x14ac:dyDescent="0.25">
      <c r="A43" s="18"/>
      <c r="B43" s="18" t="s">
        <v>34</v>
      </c>
      <c r="C43" s="18" t="s">
        <v>999</v>
      </c>
      <c r="D43" s="18" t="s">
        <v>1554</v>
      </c>
      <c r="E43" s="18" t="s">
        <v>1001</v>
      </c>
      <c r="F43" s="18" t="s">
        <v>18</v>
      </c>
      <c r="G43" s="19">
        <v>975</v>
      </c>
      <c r="H43" s="19">
        <v>25</v>
      </c>
      <c r="I43" s="19">
        <f>G43-H43</f>
        <v>950</v>
      </c>
      <c r="J43" s="18" t="s">
        <v>160</v>
      </c>
      <c r="K43" s="18" t="s">
        <v>15</v>
      </c>
      <c r="L43" s="18" t="s">
        <v>1450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778</v>
      </c>
      <c r="D44" s="18" t="s">
        <v>1555</v>
      </c>
      <c r="E44" s="18" t="s">
        <v>1556</v>
      </c>
      <c r="F44" s="19">
        <v>1</v>
      </c>
      <c r="G44" s="19">
        <v>0</v>
      </c>
      <c r="H44" s="19">
        <v>25</v>
      </c>
      <c r="I44" s="19">
        <f>-H44</f>
        <v>-25</v>
      </c>
      <c r="J44" s="18" t="s">
        <v>160</v>
      </c>
      <c r="K44" s="18" t="s">
        <v>15</v>
      </c>
      <c r="L44" s="18" t="s">
        <v>1450</v>
      </c>
      <c r="M44" s="18"/>
      <c r="N44" s="18"/>
      <c r="O44" s="18"/>
      <c r="P44" s="18"/>
      <c r="Q44" s="18">
        <v>1</v>
      </c>
      <c r="R44" s="17">
        <f>H44</f>
        <v>25</v>
      </c>
    </row>
    <row r="45" spans="1:18" customFormat="1" x14ac:dyDescent="0.25">
      <c r="A45" s="18"/>
      <c r="B45" s="18" t="s">
        <v>34</v>
      </c>
      <c r="C45" s="18" t="s">
        <v>1557</v>
      </c>
      <c r="D45" s="18" t="s">
        <v>1558</v>
      </c>
      <c r="E45" s="18" t="s">
        <v>1559</v>
      </c>
      <c r="F45" s="19">
        <v>10</v>
      </c>
      <c r="G45" s="19">
        <v>835</v>
      </c>
      <c r="H45" s="19">
        <v>25</v>
      </c>
      <c r="I45" s="19">
        <f>G45-H45</f>
        <v>810</v>
      </c>
      <c r="J45" s="18" t="s">
        <v>160</v>
      </c>
      <c r="K45" s="18" t="s">
        <v>15</v>
      </c>
      <c r="L45" s="18" t="s">
        <v>1450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1560</v>
      </c>
      <c r="D46" s="18" t="s">
        <v>1561</v>
      </c>
      <c r="E46" s="18" t="s">
        <v>1562</v>
      </c>
      <c r="F46" s="19">
        <v>4</v>
      </c>
      <c r="G46" s="19">
        <v>955</v>
      </c>
      <c r="H46" s="19">
        <v>25</v>
      </c>
      <c r="I46" s="19">
        <f>G46-H46</f>
        <v>930</v>
      </c>
      <c r="J46" s="18" t="s">
        <v>160</v>
      </c>
      <c r="K46" s="18" t="s">
        <v>15</v>
      </c>
      <c r="L46" s="18" t="s">
        <v>1450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1563</v>
      </c>
      <c r="D47" s="18" t="s">
        <v>1564</v>
      </c>
      <c r="E47" s="18" t="s">
        <v>1565</v>
      </c>
      <c r="F47" s="19">
        <v>1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1450</v>
      </c>
      <c r="M47" s="18"/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1304</v>
      </c>
      <c r="D48" s="18" t="s">
        <v>1566</v>
      </c>
      <c r="E48" s="18" t="s">
        <v>1306</v>
      </c>
      <c r="F48" s="19">
        <v>10</v>
      </c>
      <c r="G48" s="19">
        <v>975</v>
      </c>
      <c r="H48" s="19">
        <v>25</v>
      </c>
      <c r="I48" s="19">
        <f>G48-H48</f>
        <v>950</v>
      </c>
      <c r="J48" s="18" t="s">
        <v>160</v>
      </c>
      <c r="K48" s="18" t="s">
        <v>15</v>
      </c>
      <c r="L48" s="18" t="s">
        <v>1450</v>
      </c>
      <c r="M48" s="18"/>
      <c r="N48" s="18"/>
      <c r="O48" s="18"/>
      <c r="P48" s="18"/>
      <c r="Q48" s="18">
        <v>1</v>
      </c>
    </row>
    <row r="49" spans="1:18" customFormat="1" x14ac:dyDescent="0.25">
      <c r="A49" s="18" t="s">
        <v>96</v>
      </c>
      <c r="B49" s="18" t="s">
        <v>34</v>
      </c>
      <c r="C49" s="18" t="s">
        <v>579</v>
      </c>
      <c r="D49" s="18"/>
      <c r="E49" s="18" t="s">
        <v>580</v>
      </c>
      <c r="F49" s="19">
        <v>4</v>
      </c>
      <c r="G49" s="19">
        <v>30</v>
      </c>
      <c r="H49" s="19">
        <v>30</v>
      </c>
      <c r="I49" s="19">
        <f>G49-H49</f>
        <v>0</v>
      </c>
      <c r="J49" s="18" t="s">
        <v>160</v>
      </c>
      <c r="K49" s="18" t="s">
        <v>15</v>
      </c>
      <c r="L49" s="18" t="s">
        <v>1450</v>
      </c>
      <c r="M49" s="18"/>
      <c r="N49" s="18"/>
      <c r="O49" s="18"/>
      <c r="P49" s="18"/>
      <c r="Q49" s="18">
        <v>1</v>
      </c>
    </row>
    <row r="50" spans="1:18" customFormat="1" x14ac:dyDescent="0.25">
      <c r="A50" s="18" t="s">
        <v>96</v>
      </c>
      <c r="B50" s="18" t="s">
        <v>34</v>
      </c>
      <c r="C50" s="18" t="s">
        <v>1567</v>
      </c>
      <c r="D50" s="18"/>
      <c r="E50" s="18" t="s">
        <v>433</v>
      </c>
      <c r="F50" s="18" t="s">
        <v>18</v>
      </c>
      <c r="G50" s="19">
        <v>0</v>
      </c>
      <c r="H50" s="19">
        <v>30</v>
      </c>
      <c r="I50" s="19">
        <f>-H50</f>
        <v>-30</v>
      </c>
      <c r="J50" s="18" t="s">
        <v>160</v>
      </c>
      <c r="K50" s="18" t="s">
        <v>15</v>
      </c>
      <c r="L50" s="18" t="s">
        <v>1450</v>
      </c>
      <c r="M50" s="18"/>
      <c r="N50" s="18"/>
      <c r="O50" s="18"/>
      <c r="P50" s="18"/>
      <c r="Q50" s="18">
        <v>1</v>
      </c>
      <c r="R50" s="17">
        <f>H50</f>
        <v>30</v>
      </c>
    </row>
    <row r="51" spans="1:18" s="36" customFormat="1" x14ac:dyDescent="0.25">
      <c r="A51" s="45"/>
      <c r="B51" s="45" t="s">
        <v>34</v>
      </c>
      <c r="C51" s="45" t="s">
        <v>1568</v>
      </c>
      <c r="D51" s="45" t="s">
        <v>1569</v>
      </c>
      <c r="E51" s="45" t="s">
        <v>1570</v>
      </c>
      <c r="F51" s="45" t="s">
        <v>784</v>
      </c>
      <c r="G51" s="46">
        <v>2040</v>
      </c>
      <c r="H51" s="46">
        <v>0</v>
      </c>
      <c r="I51" s="46">
        <f>G51-H51</f>
        <v>2040</v>
      </c>
      <c r="J51" s="45" t="s">
        <v>662</v>
      </c>
      <c r="K51" s="45" t="s">
        <v>15</v>
      </c>
      <c r="L51" s="45" t="s">
        <v>1450</v>
      </c>
      <c r="M51" s="45" t="s">
        <v>786</v>
      </c>
      <c r="N51" s="45" t="s">
        <v>787</v>
      </c>
      <c r="O51" s="45"/>
      <c r="P51" s="45" t="s">
        <v>788</v>
      </c>
      <c r="Q51" s="46">
        <v>1</v>
      </c>
    </row>
    <row r="53" spans="1:18" x14ac:dyDescent="0.25">
      <c r="G53" s="1">
        <f t="shared" ref="G53:R53" si="5">SUBTOTAL(9,G3:G52)</f>
        <v>29470</v>
      </c>
      <c r="H53" s="1">
        <f t="shared" si="5"/>
        <v>1315</v>
      </c>
      <c r="I53" s="1">
        <f t="shared" si="5"/>
        <v>28155</v>
      </c>
      <c r="J53" s="1">
        <f t="shared" si="5"/>
        <v>0</v>
      </c>
      <c r="K53" s="1">
        <f t="shared" si="5"/>
        <v>0</v>
      </c>
      <c r="L53" s="1">
        <f t="shared" si="5"/>
        <v>0</v>
      </c>
      <c r="M53" s="1">
        <f t="shared" si="5"/>
        <v>0</v>
      </c>
      <c r="N53" s="1">
        <f t="shared" si="5"/>
        <v>0</v>
      </c>
      <c r="O53" s="1">
        <f t="shared" si="5"/>
        <v>0</v>
      </c>
      <c r="P53" s="1">
        <f t="shared" si="5"/>
        <v>0</v>
      </c>
      <c r="Q53" s="1">
        <f t="shared" si="5"/>
        <v>49</v>
      </c>
      <c r="R53" s="1">
        <f t="shared" si="5"/>
        <v>365</v>
      </c>
    </row>
    <row r="54" spans="1:18" x14ac:dyDescent="0.25">
      <c r="I54" s="1">
        <v>-3155</v>
      </c>
      <c r="J54" s="1" t="s">
        <v>663</v>
      </c>
    </row>
    <row r="57" spans="1:18" ht="20.25" customHeight="1" x14ac:dyDescent="0.3">
      <c r="H57" s="4" t="s">
        <v>1445</v>
      </c>
      <c r="I57" s="5" t="s">
        <v>21</v>
      </c>
      <c r="J57" s="6" t="s">
        <v>22</v>
      </c>
    </row>
    <row r="58" spans="1:18" ht="15.75" customHeight="1" x14ac:dyDescent="0.25">
      <c r="H58" s="7" t="s">
        <v>23</v>
      </c>
      <c r="I58" s="8">
        <f>SUM(I52:I56)</f>
        <v>25000</v>
      </c>
      <c r="J58" s="8">
        <f>Q53</f>
        <v>49</v>
      </c>
    </row>
    <row r="59" spans="1:18" x14ac:dyDescent="0.25">
      <c r="H59" s="9" t="s">
        <v>24</v>
      </c>
      <c r="I59" s="10">
        <f>R53</f>
        <v>365</v>
      </c>
      <c r="J59" s="11"/>
    </row>
    <row r="60" spans="1:18" x14ac:dyDescent="0.25">
      <c r="H60" s="9" t="s">
        <v>25</v>
      </c>
      <c r="I60" s="10">
        <f>S52</f>
        <v>0</v>
      </c>
      <c r="J60" s="11"/>
    </row>
    <row r="61" spans="1:18" x14ac:dyDescent="0.25">
      <c r="H61" s="9" t="s">
        <v>26</v>
      </c>
      <c r="I61" s="10">
        <f>T52</f>
        <v>0</v>
      </c>
      <c r="J61" s="11"/>
    </row>
    <row r="62" spans="1:18" x14ac:dyDescent="0.25">
      <c r="H62" s="9" t="s">
        <v>27</v>
      </c>
      <c r="I62" s="10">
        <f>U52</f>
        <v>0</v>
      </c>
      <c r="J62" s="11"/>
    </row>
    <row r="63" spans="1:18" ht="15.75" customHeight="1" x14ac:dyDescent="0.25">
      <c r="H63" s="12" t="s">
        <v>28</v>
      </c>
      <c r="I63" s="13"/>
      <c r="J63" s="13"/>
    </row>
    <row r="64" spans="1:18" ht="15.75" customHeight="1" x14ac:dyDescent="0.25">
      <c r="H64" s="14" t="s">
        <v>29</v>
      </c>
      <c r="I64" s="13"/>
      <c r="J64" s="13"/>
    </row>
    <row r="65" spans="1:12" ht="21" customHeight="1" x14ac:dyDescent="0.35">
      <c r="H65" s="15" t="s">
        <v>30</v>
      </c>
      <c r="I65" s="16">
        <f>SUM(I58:I64)</f>
        <v>25365</v>
      </c>
      <c r="J65" s="16">
        <f>SUM(J58:J62)</f>
        <v>49</v>
      </c>
    </row>
    <row r="67" spans="1:12" x14ac:dyDescent="0.25">
      <c r="A67" s="1" t="s">
        <v>663</v>
      </c>
    </row>
    <row r="68" spans="1:12" x14ac:dyDescent="0.25">
      <c r="A68" s="45" t="s">
        <v>34</v>
      </c>
      <c r="B68" s="45" t="s">
        <v>1354</v>
      </c>
      <c r="C68" s="45" t="s">
        <v>1355</v>
      </c>
      <c r="D68" s="45" t="s">
        <v>1356</v>
      </c>
      <c r="E68" s="46" t="s">
        <v>20</v>
      </c>
      <c r="F68" s="46">
        <v>1115</v>
      </c>
      <c r="G68" s="46">
        <v>0</v>
      </c>
      <c r="H68" s="46">
        <v>1115</v>
      </c>
      <c r="I68" s="45" t="s">
        <v>662</v>
      </c>
      <c r="J68" s="45" t="s">
        <v>15</v>
      </c>
      <c r="K68" s="45" t="s">
        <v>1325</v>
      </c>
      <c r="L68" s="47" t="s">
        <v>1571</v>
      </c>
    </row>
  </sheetData>
  <autoFilter ref="A2:P51" xr:uid="{00000000-0009-0000-0000-000006000000}">
    <sortState xmlns:xlrd2="http://schemas.microsoft.com/office/spreadsheetml/2017/richdata2" ref="A3:P51">
      <sortCondition ref="J2:J51"/>
    </sortState>
  </autoFilter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E3A42-D04F-4788-B481-8EBCB9D75947}">
  <dimension ref="A1:R70"/>
  <sheetViews>
    <sheetView topLeftCell="A28" zoomScaleNormal="100" workbookViewId="0">
      <selection activeCell="L75" sqref="L75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316</v>
      </c>
      <c r="C1" s="1" t="s">
        <v>1572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1574</v>
      </c>
      <c r="D3" s="18" t="s">
        <v>1575</v>
      </c>
      <c r="E3" s="18" t="s">
        <v>1576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56</v>
      </c>
      <c r="K3" s="18" t="s">
        <v>15</v>
      </c>
      <c r="L3" s="18" t="s">
        <v>1577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1578</v>
      </c>
      <c r="D4" s="18" t="s">
        <v>1579</v>
      </c>
      <c r="E4" s="18" t="s">
        <v>1580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56</v>
      </c>
      <c r="K4" s="18" t="s">
        <v>15</v>
      </c>
      <c r="L4" s="18" t="s">
        <v>1577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1581</v>
      </c>
      <c r="D5" s="18" t="s">
        <v>1582</v>
      </c>
      <c r="E5" s="18" t="s">
        <v>1583</v>
      </c>
      <c r="F5" s="19">
        <v>9</v>
      </c>
      <c r="G5" s="19">
        <v>750</v>
      </c>
      <c r="H5" s="19">
        <v>30</v>
      </c>
      <c r="I5" s="19">
        <f t="shared" ref="I5:I10" si="0">G5-H5</f>
        <v>720</v>
      </c>
      <c r="J5" s="18" t="s">
        <v>56</v>
      </c>
      <c r="K5" s="18" t="s">
        <v>15</v>
      </c>
      <c r="L5" s="18" t="s">
        <v>1577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1584</v>
      </c>
      <c r="D6" s="18" t="s">
        <v>1585</v>
      </c>
      <c r="E6" s="18" t="s">
        <v>1586</v>
      </c>
      <c r="F6" s="19">
        <v>8</v>
      </c>
      <c r="G6" s="19">
        <v>870</v>
      </c>
      <c r="H6" s="19">
        <v>30</v>
      </c>
      <c r="I6" s="19">
        <f t="shared" si="0"/>
        <v>840</v>
      </c>
      <c r="J6" s="18" t="s">
        <v>1587</v>
      </c>
      <c r="K6" s="18" t="s">
        <v>15</v>
      </c>
      <c r="L6" s="18" t="s">
        <v>1577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1588</v>
      </c>
      <c r="D7" s="18" t="s">
        <v>1589</v>
      </c>
      <c r="E7" s="18" t="s">
        <v>1590</v>
      </c>
      <c r="F7" s="18" t="s">
        <v>38</v>
      </c>
      <c r="G7" s="19">
        <v>980</v>
      </c>
      <c r="H7" s="19">
        <v>30</v>
      </c>
      <c r="I7" s="19">
        <f t="shared" si="0"/>
        <v>950</v>
      </c>
      <c r="J7" s="18" t="s">
        <v>1587</v>
      </c>
      <c r="K7" s="18" t="s">
        <v>15</v>
      </c>
      <c r="L7" s="18" t="s">
        <v>1577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1591</v>
      </c>
      <c r="D8" s="18" t="s">
        <v>1592</v>
      </c>
      <c r="E8" s="18" t="s">
        <v>1593</v>
      </c>
      <c r="F8" s="18" t="s">
        <v>38</v>
      </c>
      <c r="G8" s="19">
        <v>1440</v>
      </c>
      <c r="H8" s="19">
        <v>30</v>
      </c>
      <c r="I8" s="19">
        <f t="shared" si="0"/>
        <v>1410</v>
      </c>
      <c r="J8" s="18" t="s">
        <v>1587</v>
      </c>
      <c r="K8" s="18" t="s">
        <v>15</v>
      </c>
      <c r="L8" s="18" t="s">
        <v>1577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1594</v>
      </c>
      <c r="D9" s="18" t="s">
        <v>1595</v>
      </c>
      <c r="E9" s="18" t="s">
        <v>1596</v>
      </c>
      <c r="F9" s="18" t="s">
        <v>38</v>
      </c>
      <c r="G9" s="19">
        <v>1780</v>
      </c>
      <c r="H9" s="19">
        <v>30</v>
      </c>
      <c r="I9" s="19">
        <f t="shared" si="0"/>
        <v>1750</v>
      </c>
      <c r="J9" s="18" t="s">
        <v>1587</v>
      </c>
      <c r="K9" s="18" t="s">
        <v>15</v>
      </c>
      <c r="L9" s="18" t="s">
        <v>1577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1597</v>
      </c>
      <c r="D10" s="18" t="s">
        <v>1598</v>
      </c>
      <c r="E10" s="18" t="s">
        <v>1599</v>
      </c>
      <c r="F10" s="18" t="s">
        <v>18</v>
      </c>
      <c r="G10" s="19">
        <v>915</v>
      </c>
      <c r="H10" s="19">
        <v>25</v>
      </c>
      <c r="I10" s="19">
        <f t="shared" si="0"/>
        <v>890</v>
      </c>
      <c r="J10" s="18" t="s">
        <v>1587</v>
      </c>
      <c r="K10" s="18" t="s">
        <v>15</v>
      </c>
      <c r="L10" s="18" t="s">
        <v>1577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1600</v>
      </c>
      <c r="D11" s="18" t="s">
        <v>1601</v>
      </c>
      <c r="E11" s="18" t="s">
        <v>1602</v>
      </c>
      <c r="F11" s="19">
        <v>8</v>
      </c>
      <c r="G11" s="19">
        <v>0</v>
      </c>
      <c r="H11" s="19">
        <v>25</v>
      </c>
      <c r="I11" s="19">
        <f>-H11</f>
        <v>-25</v>
      </c>
      <c r="J11" s="18" t="s">
        <v>1587</v>
      </c>
      <c r="K11" s="18" t="s">
        <v>15</v>
      </c>
      <c r="L11" s="18" t="s">
        <v>1577</v>
      </c>
      <c r="M11" s="18"/>
      <c r="N11" s="18"/>
      <c r="O11" s="18"/>
      <c r="P11" s="18"/>
      <c r="Q11" s="18">
        <v>1</v>
      </c>
      <c r="R11" s="17">
        <f>H11</f>
        <v>25</v>
      </c>
    </row>
    <row r="12" spans="1:18" customFormat="1" x14ac:dyDescent="0.25">
      <c r="A12" s="18"/>
      <c r="B12" s="18" t="s">
        <v>34</v>
      </c>
      <c r="C12" s="18" t="s">
        <v>1603</v>
      </c>
      <c r="D12" s="18" t="s">
        <v>1604</v>
      </c>
      <c r="E12" s="18" t="s">
        <v>1605</v>
      </c>
      <c r="F12" s="18" t="s">
        <v>212</v>
      </c>
      <c r="G12" s="19">
        <v>955</v>
      </c>
      <c r="H12" s="19">
        <v>25</v>
      </c>
      <c r="I12" s="19">
        <f>G12-H12</f>
        <v>930</v>
      </c>
      <c r="J12" s="18" t="s">
        <v>1587</v>
      </c>
      <c r="K12" s="18" t="s">
        <v>15</v>
      </c>
      <c r="L12" s="18" t="s">
        <v>1577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1606</v>
      </c>
      <c r="D13" s="18" t="s">
        <v>1607</v>
      </c>
      <c r="E13" s="18" t="s">
        <v>1608</v>
      </c>
      <c r="F13" s="19">
        <v>7</v>
      </c>
      <c r="G13" s="19">
        <v>0</v>
      </c>
      <c r="H13" s="19">
        <v>30</v>
      </c>
      <c r="I13" s="19">
        <f>-H13</f>
        <v>-30</v>
      </c>
      <c r="J13" s="18" t="s">
        <v>1587</v>
      </c>
      <c r="K13" s="18" t="s">
        <v>15</v>
      </c>
      <c r="L13" s="18" t="s">
        <v>1577</v>
      </c>
      <c r="M13" s="18"/>
      <c r="N13" s="18"/>
      <c r="O13" s="18"/>
      <c r="P13" s="18"/>
      <c r="Q13" s="18">
        <v>1</v>
      </c>
      <c r="R13" s="17">
        <f t="shared" ref="R13:R15" si="1">H13</f>
        <v>30</v>
      </c>
    </row>
    <row r="14" spans="1:18" customFormat="1" x14ac:dyDescent="0.25">
      <c r="A14" s="18"/>
      <c r="B14" s="18" t="s">
        <v>34</v>
      </c>
      <c r="C14" s="18" t="s">
        <v>1609</v>
      </c>
      <c r="D14" s="18" t="s">
        <v>1610</v>
      </c>
      <c r="E14" s="18" t="s">
        <v>1611</v>
      </c>
      <c r="F14" s="18" t="s">
        <v>123</v>
      </c>
      <c r="G14" s="19">
        <v>0</v>
      </c>
      <c r="H14" s="19">
        <v>35</v>
      </c>
      <c r="I14" s="19">
        <f>-H14</f>
        <v>-35</v>
      </c>
      <c r="J14" s="18" t="s">
        <v>1587</v>
      </c>
      <c r="K14" s="18" t="s">
        <v>15</v>
      </c>
      <c r="L14" s="18" t="s">
        <v>1577</v>
      </c>
      <c r="M14" s="18"/>
      <c r="N14" s="18"/>
      <c r="O14" s="18"/>
      <c r="P14" s="18"/>
      <c r="Q14" s="18">
        <v>1</v>
      </c>
      <c r="R14" s="17">
        <f t="shared" si="1"/>
        <v>35</v>
      </c>
    </row>
    <row r="15" spans="1:18" customFormat="1" x14ac:dyDescent="0.25">
      <c r="A15" s="18"/>
      <c r="B15" s="18" t="s">
        <v>34</v>
      </c>
      <c r="C15" s="18" t="s">
        <v>1612</v>
      </c>
      <c r="D15" s="18" t="s">
        <v>1613</v>
      </c>
      <c r="E15" s="18" t="s">
        <v>1614</v>
      </c>
      <c r="F15" s="19">
        <v>6</v>
      </c>
      <c r="G15" s="19">
        <v>0</v>
      </c>
      <c r="H15" s="19">
        <v>25</v>
      </c>
      <c r="I15" s="19">
        <f>-H15</f>
        <v>-25</v>
      </c>
      <c r="J15" s="18" t="s">
        <v>1587</v>
      </c>
      <c r="K15" s="18" t="s">
        <v>15</v>
      </c>
      <c r="L15" s="18" t="s">
        <v>1577</v>
      </c>
      <c r="M15" s="18"/>
      <c r="N15" s="18"/>
      <c r="O15" s="18"/>
      <c r="P15" s="18"/>
      <c r="Q15" s="18">
        <v>1</v>
      </c>
      <c r="R15" s="17">
        <f t="shared" si="1"/>
        <v>25</v>
      </c>
    </row>
    <row r="16" spans="1:18" customFormat="1" x14ac:dyDescent="0.25">
      <c r="A16" s="18"/>
      <c r="B16" s="18" t="s">
        <v>34</v>
      </c>
      <c r="C16" s="18" t="s">
        <v>1615</v>
      </c>
      <c r="D16" s="18" t="s">
        <v>1616</v>
      </c>
      <c r="E16" s="18" t="s">
        <v>1617</v>
      </c>
      <c r="F16" s="19">
        <v>11</v>
      </c>
      <c r="G16" s="19">
        <v>785</v>
      </c>
      <c r="H16" s="19">
        <v>25</v>
      </c>
      <c r="I16" s="19">
        <f t="shared" ref="I16:I21" si="2">G16-H16</f>
        <v>760</v>
      </c>
      <c r="J16" s="18" t="s">
        <v>1587</v>
      </c>
      <c r="K16" s="18" t="s">
        <v>15</v>
      </c>
      <c r="L16" s="18" t="s">
        <v>1577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1618</v>
      </c>
      <c r="D17" s="18" t="s">
        <v>1619</v>
      </c>
      <c r="E17" s="18" t="s">
        <v>1620</v>
      </c>
      <c r="F17" s="18" t="s">
        <v>123</v>
      </c>
      <c r="G17" s="19">
        <v>745</v>
      </c>
      <c r="H17" s="19">
        <v>35</v>
      </c>
      <c r="I17" s="19">
        <f t="shared" si="2"/>
        <v>710</v>
      </c>
      <c r="J17" s="18" t="s">
        <v>1587</v>
      </c>
      <c r="K17" s="18" t="s">
        <v>15</v>
      </c>
      <c r="L17" s="18" t="s">
        <v>1577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1621</v>
      </c>
      <c r="D18" s="18" t="s">
        <v>1622</v>
      </c>
      <c r="E18" s="18" t="s">
        <v>1623</v>
      </c>
      <c r="F18" s="18" t="s">
        <v>38</v>
      </c>
      <c r="G18" s="19">
        <v>920</v>
      </c>
      <c r="H18" s="19">
        <v>30</v>
      </c>
      <c r="I18" s="19">
        <f t="shared" si="2"/>
        <v>890</v>
      </c>
      <c r="J18" s="18" t="s">
        <v>1587</v>
      </c>
      <c r="K18" s="18" t="s">
        <v>15</v>
      </c>
      <c r="L18" s="18" t="s">
        <v>1577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1624</v>
      </c>
      <c r="D19" s="18"/>
      <c r="E19" s="18" t="s">
        <v>1625</v>
      </c>
      <c r="F19" s="19">
        <v>8</v>
      </c>
      <c r="G19" s="19">
        <v>40</v>
      </c>
      <c r="H19" s="19">
        <v>40</v>
      </c>
      <c r="I19" s="19">
        <f t="shared" si="2"/>
        <v>0</v>
      </c>
      <c r="J19" s="18" t="s">
        <v>1587</v>
      </c>
      <c r="K19" s="18" t="s">
        <v>15</v>
      </c>
      <c r="L19" s="18" t="s">
        <v>1577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1626</v>
      </c>
      <c r="D20" s="18"/>
      <c r="E20" s="18" t="s">
        <v>1627</v>
      </c>
      <c r="F20" s="18" t="s">
        <v>18</v>
      </c>
      <c r="G20" s="19">
        <v>30</v>
      </c>
      <c r="H20" s="19">
        <v>30</v>
      </c>
      <c r="I20" s="19">
        <f t="shared" si="2"/>
        <v>0</v>
      </c>
      <c r="J20" s="18" t="s">
        <v>1587</v>
      </c>
      <c r="K20" s="18" t="s">
        <v>15</v>
      </c>
      <c r="L20" s="18" t="s">
        <v>1577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308</v>
      </c>
      <c r="D21" s="18" t="s">
        <v>1628</v>
      </c>
      <c r="E21" s="18" t="s">
        <v>1629</v>
      </c>
      <c r="F21" s="18" t="s">
        <v>18</v>
      </c>
      <c r="G21" s="19">
        <v>0</v>
      </c>
      <c r="H21" s="19">
        <v>25</v>
      </c>
      <c r="I21" s="19">
        <f t="shared" si="2"/>
        <v>-25</v>
      </c>
      <c r="J21" s="18" t="s">
        <v>15</v>
      </c>
      <c r="K21" s="18" t="s">
        <v>15</v>
      </c>
      <c r="L21" s="18" t="s">
        <v>1577</v>
      </c>
      <c r="M21" s="27" t="s">
        <v>1630</v>
      </c>
      <c r="N21" s="18"/>
      <c r="O21" s="18"/>
      <c r="P21" s="18"/>
      <c r="Q21" s="18">
        <v>1</v>
      </c>
      <c r="R21" s="17">
        <f t="shared" ref="R21:R23" si="3">H21</f>
        <v>25</v>
      </c>
    </row>
    <row r="22" spans="1:18" customFormat="1" x14ac:dyDescent="0.25">
      <c r="A22" s="18"/>
      <c r="B22" s="18" t="s">
        <v>34</v>
      </c>
      <c r="C22" s="18" t="s">
        <v>1631</v>
      </c>
      <c r="D22" s="18" t="s">
        <v>1632</v>
      </c>
      <c r="E22" s="18" t="s">
        <v>1633</v>
      </c>
      <c r="F22" s="18" t="s">
        <v>20</v>
      </c>
      <c r="G22" s="19">
        <v>0</v>
      </c>
      <c r="H22" s="19">
        <v>25</v>
      </c>
      <c r="I22" s="19">
        <f>-H22</f>
        <v>-25</v>
      </c>
      <c r="J22" s="18" t="s">
        <v>15</v>
      </c>
      <c r="K22" s="18" t="s">
        <v>15</v>
      </c>
      <c r="L22" s="18" t="s">
        <v>1577</v>
      </c>
      <c r="M22" s="18"/>
      <c r="N22" s="18"/>
      <c r="O22" s="18"/>
      <c r="P22" s="18"/>
      <c r="Q22" s="18">
        <v>1</v>
      </c>
      <c r="R22" s="17">
        <f t="shared" si="3"/>
        <v>25</v>
      </c>
    </row>
    <row r="23" spans="1:18" customFormat="1" x14ac:dyDescent="0.25">
      <c r="A23" s="18"/>
      <c r="B23" s="18" t="s">
        <v>34</v>
      </c>
      <c r="C23" s="18" t="s">
        <v>1019</v>
      </c>
      <c r="D23" s="18" t="s">
        <v>1634</v>
      </c>
      <c r="E23" s="18" t="s">
        <v>1635</v>
      </c>
      <c r="F23" s="18" t="s">
        <v>19</v>
      </c>
      <c r="G23" s="19">
        <v>0</v>
      </c>
      <c r="H23" s="19">
        <v>20</v>
      </c>
      <c r="I23" s="19">
        <f>-H23</f>
        <v>-20</v>
      </c>
      <c r="J23" s="18" t="s">
        <v>15</v>
      </c>
      <c r="K23" s="18" t="s">
        <v>15</v>
      </c>
      <c r="L23" s="18" t="s">
        <v>1577</v>
      </c>
      <c r="M23" s="18"/>
      <c r="N23" s="18"/>
      <c r="O23" s="18"/>
      <c r="P23" s="18"/>
      <c r="Q23" s="18">
        <v>1</v>
      </c>
      <c r="R23" s="17">
        <f t="shared" si="3"/>
        <v>20</v>
      </c>
    </row>
    <row r="24" spans="1:18" customFormat="1" x14ac:dyDescent="0.25">
      <c r="A24" s="18"/>
      <c r="B24" s="18" t="s">
        <v>34</v>
      </c>
      <c r="C24" s="18" t="s">
        <v>1636</v>
      </c>
      <c r="D24" s="18" t="s">
        <v>1637</v>
      </c>
      <c r="E24" s="18" t="s">
        <v>1638</v>
      </c>
      <c r="F24" s="18" t="s">
        <v>19</v>
      </c>
      <c r="G24" s="19">
        <v>1700</v>
      </c>
      <c r="H24" s="19">
        <v>20</v>
      </c>
      <c r="I24" s="19">
        <f>G24-H24</f>
        <v>1680</v>
      </c>
      <c r="J24" s="18" t="s">
        <v>15</v>
      </c>
      <c r="K24" s="18" t="s">
        <v>15</v>
      </c>
      <c r="L24" s="18" t="s">
        <v>1577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1639</v>
      </c>
      <c r="D25" s="18" t="s">
        <v>1640</v>
      </c>
      <c r="E25" s="18" t="s">
        <v>1641</v>
      </c>
      <c r="F25" s="19">
        <v>2</v>
      </c>
      <c r="G25" s="19">
        <v>820</v>
      </c>
      <c r="H25" s="19">
        <v>30</v>
      </c>
      <c r="I25" s="19">
        <f>G25-H25</f>
        <v>790</v>
      </c>
      <c r="J25" s="18" t="s">
        <v>15</v>
      </c>
      <c r="K25" s="18" t="s">
        <v>15</v>
      </c>
      <c r="L25" s="18" t="s">
        <v>1577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1642</v>
      </c>
      <c r="D26" s="18" t="s">
        <v>1643</v>
      </c>
      <c r="E26" s="18" t="s">
        <v>1644</v>
      </c>
      <c r="F26" s="18" t="s">
        <v>144</v>
      </c>
      <c r="G26" s="19">
        <v>1960</v>
      </c>
      <c r="H26" s="19">
        <v>30</v>
      </c>
      <c r="I26" s="19">
        <f>G26-H26</f>
        <v>1930</v>
      </c>
      <c r="J26" s="18" t="s">
        <v>15</v>
      </c>
      <c r="K26" s="18" t="s">
        <v>15</v>
      </c>
      <c r="L26" s="18" t="s">
        <v>1577</v>
      </c>
      <c r="M26" s="48" t="s">
        <v>377</v>
      </c>
      <c r="N26" s="18"/>
      <c r="O26" s="18"/>
      <c r="P26" s="18"/>
      <c r="Q26" s="18">
        <v>1</v>
      </c>
      <c r="R26" s="17">
        <f>H26</f>
        <v>30</v>
      </c>
    </row>
    <row r="27" spans="1:18" customFormat="1" x14ac:dyDescent="0.25">
      <c r="A27" s="18"/>
      <c r="B27" s="18" t="s">
        <v>34</v>
      </c>
      <c r="C27" s="18" t="s">
        <v>1645</v>
      </c>
      <c r="D27" s="18" t="s">
        <v>1646</v>
      </c>
      <c r="E27" s="18" t="s">
        <v>1647</v>
      </c>
      <c r="F27" s="18" t="s">
        <v>20</v>
      </c>
      <c r="G27" s="19">
        <v>475</v>
      </c>
      <c r="H27" s="19">
        <v>25</v>
      </c>
      <c r="I27" s="19">
        <f>G27-H27</f>
        <v>450</v>
      </c>
      <c r="J27" s="18" t="s">
        <v>15</v>
      </c>
      <c r="K27" s="18" t="s">
        <v>15</v>
      </c>
      <c r="L27" s="18" t="s">
        <v>1577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148</v>
      </c>
      <c r="D28" s="18" t="s">
        <v>1648</v>
      </c>
      <c r="E28" s="18" t="s">
        <v>150</v>
      </c>
      <c r="F28" s="18" t="s">
        <v>19</v>
      </c>
      <c r="G28" s="19">
        <v>0</v>
      </c>
      <c r="H28" s="19">
        <v>20</v>
      </c>
      <c r="I28" s="19">
        <f>-H28</f>
        <v>-20</v>
      </c>
      <c r="J28" s="18" t="s">
        <v>15</v>
      </c>
      <c r="K28" s="18" t="s">
        <v>15</v>
      </c>
      <c r="L28" s="18" t="s">
        <v>1577</v>
      </c>
      <c r="M28" s="18"/>
      <c r="N28" s="18"/>
      <c r="O28" s="18"/>
      <c r="P28" s="18"/>
      <c r="Q28" s="18">
        <v>1</v>
      </c>
      <c r="R28" s="17">
        <f>H28</f>
        <v>20</v>
      </c>
    </row>
    <row r="29" spans="1:18" customFormat="1" x14ac:dyDescent="0.25">
      <c r="A29" s="18"/>
      <c r="B29" s="18" t="s">
        <v>34</v>
      </c>
      <c r="C29" s="18" t="s">
        <v>1649</v>
      </c>
      <c r="D29" s="18" t="s">
        <v>1650</v>
      </c>
      <c r="E29" s="18" t="s">
        <v>1651</v>
      </c>
      <c r="F29" s="18" t="s">
        <v>20</v>
      </c>
      <c r="G29" s="19">
        <v>745</v>
      </c>
      <c r="H29" s="19">
        <v>25</v>
      </c>
      <c r="I29" s="19">
        <f>G29-H29</f>
        <v>720</v>
      </c>
      <c r="J29" s="18" t="s">
        <v>15</v>
      </c>
      <c r="K29" s="18" t="s">
        <v>15</v>
      </c>
      <c r="L29" s="18" t="s">
        <v>1577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1652</v>
      </c>
      <c r="D30" s="18" t="s">
        <v>1653</v>
      </c>
      <c r="E30" s="18" t="s">
        <v>422</v>
      </c>
      <c r="F30" s="19">
        <v>12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1577</v>
      </c>
      <c r="M30" s="18"/>
      <c r="N30" s="18"/>
      <c r="O30" s="18"/>
      <c r="P30" s="18"/>
      <c r="Q30" s="18">
        <v>1</v>
      </c>
      <c r="R30" s="17">
        <f t="shared" ref="R30:R31" si="4">H30</f>
        <v>30</v>
      </c>
    </row>
    <row r="31" spans="1:18" customFormat="1" x14ac:dyDescent="0.25">
      <c r="A31" s="18" t="s">
        <v>96</v>
      </c>
      <c r="B31" s="18" t="s">
        <v>34</v>
      </c>
      <c r="C31" s="18" t="s">
        <v>1654</v>
      </c>
      <c r="D31" s="18"/>
      <c r="E31" s="18" t="s">
        <v>1655</v>
      </c>
      <c r="F31" s="18" t="s">
        <v>20</v>
      </c>
      <c r="G31" s="19">
        <v>0</v>
      </c>
      <c r="H31" s="19">
        <v>30</v>
      </c>
      <c r="I31" s="19">
        <f>-H31</f>
        <v>-30</v>
      </c>
      <c r="J31" s="18" t="s">
        <v>15</v>
      </c>
      <c r="K31" s="18" t="s">
        <v>15</v>
      </c>
      <c r="L31" s="18" t="s">
        <v>1577</v>
      </c>
      <c r="M31" s="18"/>
      <c r="N31" s="18"/>
      <c r="O31" s="18"/>
      <c r="P31" s="18"/>
      <c r="Q31" s="18">
        <v>1</v>
      </c>
      <c r="R31" s="17">
        <f t="shared" si="4"/>
        <v>30</v>
      </c>
    </row>
    <row r="32" spans="1:18" customFormat="1" x14ac:dyDescent="0.25">
      <c r="A32" s="18" t="s">
        <v>96</v>
      </c>
      <c r="B32" s="18" t="s">
        <v>34</v>
      </c>
      <c r="C32" s="18" t="s">
        <v>1656</v>
      </c>
      <c r="D32" s="18"/>
      <c r="E32" s="18" t="s">
        <v>137</v>
      </c>
      <c r="F32" s="18" t="s">
        <v>18</v>
      </c>
      <c r="G32" s="19">
        <v>970</v>
      </c>
      <c r="H32" s="19">
        <v>30</v>
      </c>
      <c r="I32" s="19">
        <f t="shared" ref="I32:I41" si="5">G32-H32</f>
        <v>940</v>
      </c>
      <c r="J32" s="18" t="s">
        <v>15</v>
      </c>
      <c r="K32" s="18" t="s">
        <v>15</v>
      </c>
      <c r="L32" s="18" t="s">
        <v>1577</v>
      </c>
      <c r="M32" s="18"/>
      <c r="N32" s="18"/>
      <c r="O32" s="18"/>
      <c r="P32" s="18"/>
      <c r="Q32" s="18">
        <v>1</v>
      </c>
    </row>
    <row r="33" spans="1:18" customFormat="1" x14ac:dyDescent="0.25">
      <c r="A33" s="18" t="s">
        <v>96</v>
      </c>
      <c r="B33" s="18" t="s">
        <v>34</v>
      </c>
      <c r="C33" s="18" t="s">
        <v>1657</v>
      </c>
      <c r="D33" s="18"/>
      <c r="E33" s="18" t="s">
        <v>1658</v>
      </c>
      <c r="F33" s="18" t="s">
        <v>20</v>
      </c>
      <c r="G33" s="19">
        <v>30</v>
      </c>
      <c r="H33" s="19">
        <v>30</v>
      </c>
      <c r="I33" s="19">
        <f t="shared" si="5"/>
        <v>0</v>
      </c>
      <c r="J33" s="18" t="s">
        <v>15</v>
      </c>
      <c r="K33" s="18" t="s">
        <v>15</v>
      </c>
      <c r="L33" s="18" t="s">
        <v>1577</v>
      </c>
      <c r="M33" s="18"/>
      <c r="N33" s="18"/>
      <c r="O33" s="18"/>
      <c r="P33" s="18"/>
      <c r="Q33" s="18">
        <v>1</v>
      </c>
    </row>
    <row r="34" spans="1:18" customFormat="1" x14ac:dyDescent="0.25">
      <c r="A34" s="18" t="s">
        <v>96</v>
      </c>
      <c r="B34" s="18" t="s">
        <v>34</v>
      </c>
      <c r="C34" s="18" t="s">
        <v>1659</v>
      </c>
      <c r="D34" s="18"/>
      <c r="E34" s="18" t="s">
        <v>943</v>
      </c>
      <c r="F34" s="18" t="s">
        <v>18</v>
      </c>
      <c r="G34" s="19">
        <v>30</v>
      </c>
      <c r="H34" s="19">
        <v>30</v>
      </c>
      <c r="I34" s="19">
        <f t="shared" si="5"/>
        <v>0</v>
      </c>
      <c r="J34" s="18" t="s">
        <v>15</v>
      </c>
      <c r="K34" s="18" t="s">
        <v>15</v>
      </c>
      <c r="L34" s="18" t="s">
        <v>1577</v>
      </c>
      <c r="M34" s="18"/>
      <c r="N34" s="18"/>
      <c r="O34" s="18"/>
      <c r="P34" s="18"/>
      <c r="Q34" s="18">
        <v>1</v>
      </c>
    </row>
    <row r="35" spans="1:18" customFormat="1" x14ac:dyDescent="0.25">
      <c r="A35" s="18" t="s">
        <v>96</v>
      </c>
      <c r="B35" s="18" t="s">
        <v>34</v>
      </c>
      <c r="C35" s="18" t="s">
        <v>577</v>
      </c>
      <c r="D35" s="18"/>
      <c r="E35" s="18" t="s">
        <v>578</v>
      </c>
      <c r="F35" s="18" t="s">
        <v>20</v>
      </c>
      <c r="G35" s="19">
        <v>30</v>
      </c>
      <c r="H35" s="19">
        <v>30</v>
      </c>
      <c r="I35" s="19">
        <f t="shared" si="5"/>
        <v>0</v>
      </c>
      <c r="J35" s="18" t="s">
        <v>15</v>
      </c>
      <c r="K35" s="18" t="s">
        <v>15</v>
      </c>
      <c r="L35" s="18" t="s">
        <v>1577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399</v>
      </c>
      <c r="D36" s="18" t="s">
        <v>1660</v>
      </c>
      <c r="E36" s="18" t="s">
        <v>1661</v>
      </c>
      <c r="F36" s="19">
        <v>4</v>
      </c>
      <c r="G36" s="19">
        <v>775</v>
      </c>
      <c r="H36" s="19">
        <v>25</v>
      </c>
      <c r="I36" s="19">
        <f t="shared" si="5"/>
        <v>750</v>
      </c>
      <c r="J36" s="18" t="s">
        <v>160</v>
      </c>
      <c r="K36" s="18" t="s">
        <v>15</v>
      </c>
      <c r="L36" s="18" t="s">
        <v>1577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1662</v>
      </c>
      <c r="D37" s="18" t="s">
        <v>1663</v>
      </c>
      <c r="E37" s="18" t="s">
        <v>1664</v>
      </c>
      <c r="F37" s="19">
        <v>3</v>
      </c>
      <c r="G37" s="19">
        <v>775</v>
      </c>
      <c r="H37" s="19">
        <v>25</v>
      </c>
      <c r="I37" s="19">
        <f t="shared" si="5"/>
        <v>750</v>
      </c>
      <c r="J37" s="18" t="s">
        <v>160</v>
      </c>
      <c r="K37" s="18" t="s">
        <v>15</v>
      </c>
      <c r="L37" s="18" t="s">
        <v>1577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733</v>
      </c>
      <c r="D38" s="18" t="s">
        <v>1665</v>
      </c>
      <c r="E38" s="18" t="s">
        <v>1424</v>
      </c>
      <c r="F38" s="19">
        <v>1</v>
      </c>
      <c r="G38" s="19">
        <v>895</v>
      </c>
      <c r="H38" s="19">
        <v>25</v>
      </c>
      <c r="I38" s="19">
        <f t="shared" si="5"/>
        <v>870</v>
      </c>
      <c r="J38" s="18" t="s">
        <v>160</v>
      </c>
      <c r="K38" s="18" t="s">
        <v>15</v>
      </c>
      <c r="L38" s="18" t="s">
        <v>1577</v>
      </c>
      <c r="M38" s="48" t="s">
        <v>307</v>
      </c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733</v>
      </c>
      <c r="D39" s="18" t="s">
        <v>1666</v>
      </c>
      <c r="E39" s="18" t="s">
        <v>1424</v>
      </c>
      <c r="F39" s="19">
        <v>1</v>
      </c>
      <c r="G39" s="19">
        <v>890</v>
      </c>
      <c r="H39" s="19">
        <v>0</v>
      </c>
      <c r="I39" s="19">
        <f t="shared" si="5"/>
        <v>890</v>
      </c>
      <c r="J39" s="18" t="s">
        <v>160</v>
      </c>
      <c r="K39" s="18" t="s">
        <v>15</v>
      </c>
      <c r="L39" s="18" t="s">
        <v>1577</v>
      </c>
      <c r="M39" s="48" t="s">
        <v>307</v>
      </c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1667</v>
      </c>
      <c r="D40" s="18" t="s">
        <v>1668</v>
      </c>
      <c r="E40" s="18" t="s">
        <v>1669</v>
      </c>
      <c r="F40" s="18" t="s">
        <v>17</v>
      </c>
      <c r="G40" s="19">
        <v>590</v>
      </c>
      <c r="H40" s="19">
        <v>20</v>
      </c>
      <c r="I40" s="19">
        <f t="shared" si="5"/>
        <v>570</v>
      </c>
      <c r="J40" s="18" t="s">
        <v>160</v>
      </c>
      <c r="K40" s="18" t="s">
        <v>15</v>
      </c>
      <c r="L40" s="18" t="s">
        <v>1577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1670</v>
      </c>
      <c r="D41" s="18" t="s">
        <v>1671</v>
      </c>
      <c r="E41" s="18" t="s">
        <v>1672</v>
      </c>
      <c r="F41" s="19">
        <v>10</v>
      </c>
      <c r="G41" s="19">
        <v>845</v>
      </c>
      <c r="H41" s="19">
        <v>25</v>
      </c>
      <c r="I41" s="19">
        <f t="shared" si="5"/>
        <v>820</v>
      </c>
      <c r="J41" s="18" t="s">
        <v>160</v>
      </c>
      <c r="K41" s="18" t="s">
        <v>15</v>
      </c>
      <c r="L41" s="18" t="s">
        <v>1577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1673</v>
      </c>
      <c r="D42" s="18" t="s">
        <v>1674</v>
      </c>
      <c r="E42" s="18" t="s">
        <v>1675</v>
      </c>
      <c r="F42" s="19">
        <v>10</v>
      </c>
      <c r="G42" s="19">
        <v>0</v>
      </c>
      <c r="H42" s="19">
        <v>25</v>
      </c>
      <c r="I42" s="19">
        <f>-H42</f>
        <v>-25</v>
      </c>
      <c r="J42" s="18" t="s">
        <v>160</v>
      </c>
      <c r="K42" s="18" t="s">
        <v>15</v>
      </c>
      <c r="L42" s="18" t="s">
        <v>1577</v>
      </c>
      <c r="M42" s="18"/>
      <c r="N42" s="18"/>
      <c r="O42" s="18"/>
      <c r="P42" s="18"/>
      <c r="Q42" s="18">
        <v>1</v>
      </c>
      <c r="R42" s="17">
        <f>H42</f>
        <v>25</v>
      </c>
    </row>
    <row r="43" spans="1:18" customFormat="1" x14ac:dyDescent="0.25">
      <c r="A43" s="18"/>
      <c r="B43" s="18" t="s">
        <v>34</v>
      </c>
      <c r="C43" s="18" t="s">
        <v>1676</v>
      </c>
      <c r="D43" s="18" t="s">
        <v>1677</v>
      </c>
      <c r="E43" s="18" t="s">
        <v>1678</v>
      </c>
      <c r="F43" s="18" t="s">
        <v>18</v>
      </c>
      <c r="G43" s="19">
        <v>1515</v>
      </c>
      <c r="H43" s="19">
        <v>25</v>
      </c>
      <c r="I43" s="19">
        <f t="shared" ref="I43:I53" si="6">G43-H43</f>
        <v>1490</v>
      </c>
      <c r="J43" s="18" t="s">
        <v>160</v>
      </c>
      <c r="K43" s="18" t="s">
        <v>15</v>
      </c>
      <c r="L43" s="18" t="s">
        <v>1577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1679</v>
      </c>
      <c r="D44" s="18" t="s">
        <v>1680</v>
      </c>
      <c r="E44" s="18" t="s">
        <v>1681</v>
      </c>
      <c r="F44" s="18" t="s">
        <v>18</v>
      </c>
      <c r="G44" s="19">
        <v>915</v>
      </c>
      <c r="H44" s="19">
        <v>25</v>
      </c>
      <c r="I44" s="19">
        <f t="shared" si="6"/>
        <v>890</v>
      </c>
      <c r="J44" s="18" t="s">
        <v>160</v>
      </c>
      <c r="K44" s="18" t="s">
        <v>15</v>
      </c>
      <c r="L44" s="18" t="s">
        <v>1577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1682</v>
      </c>
      <c r="D45" s="18" t="s">
        <v>1683</v>
      </c>
      <c r="E45" s="18" t="s">
        <v>1684</v>
      </c>
      <c r="F45" s="19">
        <v>1</v>
      </c>
      <c r="G45" s="19">
        <v>725</v>
      </c>
      <c r="H45" s="19">
        <v>25</v>
      </c>
      <c r="I45" s="19">
        <f t="shared" si="6"/>
        <v>700</v>
      </c>
      <c r="J45" s="18" t="s">
        <v>160</v>
      </c>
      <c r="K45" s="18" t="s">
        <v>15</v>
      </c>
      <c r="L45" s="18" t="s">
        <v>1577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1685</v>
      </c>
      <c r="D46" s="18" t="s">
        <v>1686</v>
      </c>
      <c r="E46" s="18" t="s">
        <v>1687</v>
      </c>
      <c r="F46" s="18" t="s">
        <v>17</v>
      </c>
      <c r="G46" s="19">
        <v>690</v>
      </c>
      <c r="H46" s="19">
        <v>20</v>
      </c>
      <c r="I46" s="19">
        <f t="shared" si="6"/>
        <v>670</v>
      </c>
      <c r="J46" s="18" t="s">
        <v>160</v>
      </c>
      <c r="K46" s="18" t="s">
        <v>15</v>
      </c>
      <c r="L46" s="18" t="s">
        <v>1577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1688</v>
      </c>
      <c r="D47" s="18" t="s">
        <v>1689</v>
      </c>
      <c r="E47" s="18" t="s">
        <v>1690</v>
      </c>
      <c r="F47" s="19">
        <v>10</v>
      </c>
      <c r="G47" s="19">
        <v>845</v>
      </c>
      <c r="H47" s="19">
        <v>25</v>
      </c>
      <c r="I47" s="19">
        <f t="shared" si="6"/>
        <v>820</v>
      </c>
      <c r="J47" s="18" t="s">
        <v>160</v>
      </c>
      <c r="K47" s="18" t="s">
        <v>15</v>
      </c>
      <c r="L47" s="18" t="s">
        <v>1577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1691</v>
      </c>
      <c r="D48" s="18" t="s">
        <v>1692</v>
      </c>
      <c r="E48" s="18" t="s">
        <v>1693</v>
      </c>
      <c r="F48" s="19">
        <v>5</v>
      </c>
      <c r="G48" s="19">
        <v>595</v>
      </c>
      <c r="H48" s="19">
        <v>25</v>
      </c>
      <c r="I48" s="19">
        <f t="shared" si="6"/>
        <v>570</v>
      </c>
      <c r="J48" s="18" t="s">
        <v>160</v>
      </c>
      <c r="K48" s="18" t="s">
        <v>15</v>
      </c>
      <c r="L48" s="18" t="s">
        <v>1577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473</v>
      </c>
      <c r="D49" s="18" t="s">
        <v>1694</v>
      </c>
      <c r="E49" s="18" t="s">
        <v>475</v>
      </c>
      <c r="F49" s="19">
        <v>4</v>
      </c>
      <c r="G49" s="19">
        <v>1015</v>
      </c>
      <c r="H49" s="19">
        <v>25</v>
      </c>
      <c r="I49" s="19">
        <f t="shared" si="6"/>
        <v>990</v>
      </c>
      <c r="J49" s="18" t="s">
        <v>160</v>
      </c>
      <c r="K49" s="18" t="s">
        <v>15</v>
      </c>
      <c r="L49" s="18" t="s">
        <v>1577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752</v>
      </c>
      <c r="D50" s="18" t="s">
        <v>1695</v>
      </c>
      <c r="E50" s="18" t="s">
        <v>1696</v>
      </c>
      <c r="F50" s="19">
        <v>1</v>
      </c>
      <c r="G50" s="19">
        <v>400</v>
      </c>
      <c r="H50" s="19">
        <v>20</v>
      </c>
      <c r="I50" s="19">
        <f t="shared" si="6"/>
        <v>380</v>
      </c>
      <c r="J50" s="18" t="s">
        <v>160</v>
      </c>
      <c r="K50" s="18" t="s">
        <v>15</v>
      </c>
      <c r="L50" s="18" t="s">
        <v>1577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651</v>
      </c>
      <c r="D51" s="18" t="s">
        <v>1697</v>
      </c>
      <c r="E51" s="18" t="s">
        <v>653</v>
      </c>
      <c r="F51" s="18" t="s">
        <v>18</v>
      </c>
      <c r="G51" s="19">
        <v>875</v>
      </c>
      <c r="H51" s="19">
        <v>25</v>
      </c>
      <c r="I51" s="19">
        <f t="shared" si="6"/>
        <v>850</v>
      </c>
      <c r="J51" s="18" t="s">
        <v>160</v>
      </c>
      <c r="K51" s="18" t="s">
        <v>15</v>
      </c>
      <c r="L51" s="18" t="s">
        <v>1577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1698</v>
      </c>
      <c r="D52" s="18" t="s">
        <v>1699</v>
      </c>
      <c r="E52" s="18" t="s">
        <v>1700</v>
      </c>
      <c r="F52" s="19">
        <v>1</v>
      </c>
      <c r="G52" s="19">
        <v>1665</v>
      </c>
      <c r="H52" s="19">
        <v>25</v>
      </c>
      <c r="I52" s="19">
        <f t="shared" si="6"/>
        <v>1640</v>
      </c>
      <c r="J52" s="18" t="s">
        <v>160</v>
      </c>
      <c r="K52" s="18" t="s">
        <v>15</v>
      </c>
      <c r="L52" s="18" t="s">
        <v>1577</v>
      </c>
      <c r="M52" s="18"/>
      <c r="N52" s="18"/>
      <c r="O52" s="18"/>
      <c r="P52" s="18"/>
      <c r="Q52" s="18">
        <v>1</v>
      </c>
    </row>
    <row r="53" spans="1:18" customFormat="1" x14ac:dyDescent="0.25">
      <c r="A53" s="18" t="s">
        <v>96</v>
      </c>
      <c r="B53" s="18" t="s">
        <v>34</v>
      </c>
      <c r="C53" s="18" t="s">
        <v>1701</v>
      </c>
      <c r="D53" s="18"/>
      <c r="E53" s="18" t="s">
        <v>1702</v>
      </c>
      <c r="F53" s="18" t="s">
        <v>18</v>
      </c>
      <c r="G53" s="19">
        <v>35</v>
      </c>
      <c r="H53" s="19">
        <v>35</v>
      </c>
      <c r="I53" s="19">
        <f t="shared" si="6"/>
        <v>0</v>
      </c>
      <c r="J53" s="18" t="s">
        <v>160</v>
      </c>
      <c r="K53" s="18" t="s">
        <v>15</v>
      </c>
      <c r="L53" s="18" t="s">
        <v>1577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7">SUBTOTAL(9,G3:G54)</f>
        <v>31835</v>
      </c>
      <c r="H55" s="1">
        <f t="shared" si="7"/>
        <v>1355</v>
      </c>
      <c r="I55" s="1">
        <f t="shared" si="7"/>
        <v>30480</v>
      </c>
      <c r="J55" s="1">
        <f t="shared" si="7"/>
        <v>0</v>
      </c>
      <c r="K55" s="1">
        <f t="shared" si="7"/>
        <v>0</v>
      </c>
      <c r="L55" s="1">
        <f t="shared" si="7"/>
        <v>0</v>
      </c>
      <c r="M55" s="1">
        <f t="shared" si="7"/>
        <v>0</v>
      </c>
      <c r="N55" s="1">
        <f t="shared" si="7"/>
        <v>0</v>
      </c>
      <c r="O55" s="1">
        <f t="shared" si="7"/>
        <v>0</v>
      </c>
      <c r="P55" s="1">
        <f t="shared" si="7"/>
        <v>0</v>
      </c>
      <c r="Q55" s="1">
        <f t="shared" si="7"/>
        <v>51</v>
      </c>
      <c r="R55" s="1">
        <f t="shared" si="7"/>
        <v>350</v>
      </c>
    </row>
    <row r="59" spans="1:18" ht="20.25" customHeight="1" x14ac:dyDescent="0.3">
      <c r="H59" s="4" t="s">
        <v>1573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30480</v>
      </c>
      <c r="J60" s="8">
        <f>Q55</f>
        <v>51</v>
      </c>
    </row>
    <row r="61" spans="1:18" x14ac:dyDescent="0.25">
      <c r="H61" s="9" t="s">
        <v>24</v>
      </c>
      <c r="I61" s="10">
        <f>R55</f>
        <v>350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1:12" ht="15.75" customHeight="1" x14ac:dyDescent="0.25">
      <c r="H65" s="12" t="s">
        <v>28</v>
      </c>
      <c r="I65" s="13"/>
      <c r="J65" s="13"/>
    </row>
    <row r="66" spans="1:12" ht="15.75" customHeight="1" x14ac:dyDescent="0.25">
      <c r="H66" s="14" t="s">
        <v>29</v>
      </c>
      <c r="I66" s="13"/>
      <c r="J66" s="13"/>
    </row>
    <row r="67" spans="1:12" ht="21" customHeight="1" x14ac:dyDescent="0.35">
      <c r="H67" s="15" t="s">
        <v>30</v>
      </c>
      <c r="I67" s="16">
        <f>SUM(I60:I66)</f>
        <v>30830</v>
      </c>
      <c r="J67" s="16">
        <f>SUM(J60:J64)</f>
        <v>51</v>
      </c>
    </row>
    <row r="69" spans="1:12" x14ac:dyDescent="0.25">
      <c r="A69" s="1" t="s">
        <v>173</v>
      </c>
    </row>
    <row r="70" spans="1:12" x14ac:dyDescent="0.25">
      <c r="A70" s="45" t="s">
        <v>34</v>
      </c>
      <c r="B70" s="45" t="s">
        <v>308</v>
      </c>
      <c r="C70" s="45" t="s">
        <v>1628</v>
      </c>
      <c r="D70" s="45" t="s">
        <v>1629</v>
      </c>
      <c r="E70" s="46" t="s">
        <v>18</v>
      </c>
      <c r="F70" s="46">
        <v>975</v>
      </c>
      <c r="G70" s="46">
        <v>0</v>
      </c>
      <c r="H70" s="46">
        <f>F70-G70</f>
        <v>975</v>
      </c>
      <c r="I70" s="45" t="s">
        <v>15</v>
      </c>
      <c r="J70" s="45" t="s">
        <v>15</v>
      </c>
      <c r="K70" s="45" t="s">
        <v>1577</v>
      </c>
      <c r="L70" s="47" t="s">
        <v>1630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A58A5-7938-4812-AB21-3A7863DFC45E}">
  <dimension ref="A1:R56"/>
  <sheetViews>
    <sheetView topLeftCell="A25" zoomScaleNormal="100" workbookViewId="0">
      <selection activeCell="F45" sqref="F45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34.28515625" style="1" bestFit="1" customWidth="1"/>
    <col min="14" max="16384" width="9.140625" style="1"/>
  </cols>
  <sheetData>
    <row r="1" spans="1:18" x14ac:dyDescent="0.25">
      <c r="B1" s="1" t="s">
        <v>320</v>
      </c>
      <c r="C1" s="1" t="s">
        <v>1789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1704</v>
      </c>
      <c r="D3" s="18" t="s">
        <v>1705</v>
      </c>
      <c r="E3" s="18" t="s">
        <v>1706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56</v>
      </c>
      <c r="K3" s="18" t="s">
        <v>15</v>
      </c>
      <c r="L3" s="18" t="s">
        <v>1707</v>
      </c>
      <c r="M3" s="18"/>
      <c r="N3" s="18"/>
      <c r="O3" s="18"/>
      <c r="P3" s="18"/>
      <c r="Q3" s="18">
        <v>1</v>
      </c>
      <c r="R3" s="17">
        <f>H3</f>
        <v>30</v>
      </c>
    </row>
    <row r="4" spans="1:18" customFormat="1" x14ac:dyDescent="0.25">
      <c r="A4" s="18"/>
      <c r="B4" s="18" t="s">
        <v>34</v>
      </c>
      <c r="C4" s="18" t="s">
        <v>1708</v>
      </c>
      <c r="D4" s="18" t="s">
        <v>1709</v>
      </c>
      <c r="E4" s="18" t="s">
        <v>1710</v>
      </c>
      <c r="F4" s="19">
        <v>9</v>
      </c>
      <c r="G4" s="19">
        <v>780</v>
      </c>
      <c r="H4" s="19">
        <v>30</v>
      </c>
      <c r="I4" s="19">
        <f t="shared" ref="I4:I14" si="0">G4-H4</f>
        <v>750</v>
      </c>
      <c r="J4" s="18" t="s">
        <v>56</v>
      </c>
      <c r="K4" s="18" t="s">
        <v>15</v>
      </c>
      <c r="L4" s="18" t="s">
        <v>1707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1711</v>
      </c>
      <c r="D5" s="18" t="s">
        <v>1712</v>
      </c>
      <c r="E5" s="18" t="s">
        <v>1713</v>
      </c>
      <c r="F5" s="18" t="s">
        <v>38</v>
      </c>
      <c r="G5" s="19">
        <v>570</v>
      </c>
      <c r="H5" s="19">
        <v>30</v>
      </c>
      <c r="I5" s="19">
        <f t="shared" si="0"/>
        <v>540</v>
      </c>
      <c r="J5" s="18" t="s">
        <v>1714</v>
      </c>
      <c r="K5" s="18" t="s">
        <v>15</v>
      </c>
      <c r="L5" s="18" t="s">
        <v>1707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1715</v>
      </c>
      <c r="D6" s="18" t="s">
        <v>1716</v>
      </c>
      <c r="E6" s="18" t="s">
        <v>1617</v>
      </c>
      <c r="F6" s="19">
        <v>11</v>
      </c>
      <c r="G6" s="19">
        <v>895</v>
      </c>
      <c r="H6" s="19">
        <v>25</v>
      </c>
      <c r="I6" s="19">
        <f t="shared" si="0"/>
        <v>870</v>
      </c>
      <c r="J6" s="18" t="s">
        <v>1714</v>
      </c>
      <c r="K6" s="18" t="s">
        <v>15</v>
      </c>
      <c r="L6" s="18" t="s">
        <v>1707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919</v>
      </c>
      <c r="D7" s="18" t="s">
        <v>1717</v>
      </c>
      <c r="E7" s="18" t="s">
        <v>1718</v>
      </c>
      <c r="F7" s="18" t="s">
        <v>212</v>
      </c>
      <c r="G7" s="19">
        <v>1015</v>
      </c>
      <c r="H7" s="19">
        <v>25</v>
      </c>
      <c r="I7" s="19">
        <f t="shared" si="0"/>
        <v>990</v>
      </c>
      <c r="J7" s="18" t="s">
        <v>1714</v>
      </c>
      <c r="K7" s="18" t="s">
        <v>15</v>
      </c>
      <c r="L7" s="18" t="s">
        <v>1707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1719</v>
      </c>
      <c r="D8" s="18" t="s">
        <v>1720</v>
      </c>
      <c r="E8" s="18" t="s">
        <v>1721</v>
      </c>
      <c r="F8" s="19">
        <v>7</v>
      </c>
      <c r="G8" s="19">
        <v>520</v>
      </c>
      <c r="H8" s="19">
        <v>30</v>
      </c>
      <c r="I8" s="19">
        <f t="shared" si="0"/>
        <v>490</v>
      </c>
      <c r="J8" s="18" t="s">
        <v>1714</v>
      </c>
      <c r="K8" s="18" t="s">
        <v>15</v>
      </c>
      <c r="L8" s="18" t="s">
        <v>1707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1722</v>
      </c>
      <c r="D9" s="18" t="s">
        <v>1723</v>
      </c>
      <c r="E9" s="18" t="s">
        <v>1724</v>
      </c>
      <c r="F9" s="19">
        <v>7</v>
      </c>
      <c r="G9" s="19">
        <v>870</v>
      </c>
      <c r="H9" s="19">
        <v>30</v>
      </c>
      <c r="I9" s="19">
        <f t="shared" si="0"/>
        <v>840</v>
      </c>
      <c r="J9" s="18" t="s">
        <v>1714</v>
      </c>
      <c r="K9" s="18" t="s">
        <v>15</v>
      </c>
      <c r="L9" s="18" t="s">
        <v>1707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1725</v>
      </c>
      <c r="D10" s="18" t="s">
        <v>1726</v>
      </c>
      <c r="E10" s="18" t="s">
        <v>1727</v>
      </c>
      <c r="F10" s="19">
        <v>12</v>
      </c>
      <c r="G10" s="19">
        <v>700</v>
      </c>
      <c r="H10" s="19">
        <v>30</v>
      </c>
      <c r="I10" s="19">
        <f t="shared" si="0"/>
        <v>670</v>
      </c>
      <c r="J10" s="18" t="s">
        <v>1714</v>
      </c>
      <c r="K10" s="18" t="s">
        <v>15</v>
      </c>
      <c r="L10" s="18" t="s">
        <v>1707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1189</v>
      </c>
      <c r="D11" s="18" t="s">
        <v>1728</v>
      </c>
      <c r="E11" s="18" t="s">
        <v>610</v>
      </c>
      <c r="F11" s="19">
        <v>6</v>
      </c>
      <c r="G11" s="19">
        <v>815</v>
      </c>
      <c r="H11" s="19">
        <v>25</v>
      </c>
      <c r="I11" s="19">
        <f t="shared" si="0"/>
        <v>790</v>
      </c>
      <c r="J11" s="18" t="s">
        <v>1714</v>
      </c>
      <c r="K11" s="18" t="s">
        <v>15</v>
      </c>
      <c r="L11" s="18" t="s">
        <v>1707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1729</v>
      </c>
      <c r="D12" s="18" t="s">
        <v>1730</v>
      </c>
      <c r="E12" s="18" t="s">
        <v>1731</v>
      </c>
      <c r="F12" s="19">
        <v>12</v>
      </c>
      <c r="G12" s="19">
        <v>570</v>
      </c>
      <c r="H12" s="19">
        <v>30</v>
      </c>
      <c r="I12" s="19">
        <f t="shared" si="0"/>
        <v>540</v>
      </c>
      <c r="J12" s="18" t="s">
        <v>1714</v>
      </c>
      <c r="K12" s="18" t="s">
        <v>15</v>
      </c>
      <c r="L12" s="18" t="s">
        <v>1707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1732</v>
      </c>
      <c r="D13" s="18" t="s">
        <v>1733</v>
      </c>
      <c r="E13" s="18" t="s">
        <v>1734</v>
      </c>
      <c r="F13" s="18" t="s">
        <v>38</v>
      </c>
      <c r="G13" s="19">
        <v>1020</v>
      </c>
      <c r="H13" s="19">
        <v>30</v>
      </c>
      <c r="I13" s="19">
        <f t="shared" si="0"/>
        <v>990</v>
      </c>
      <c r="J13" s="18" t="s">
        <v>1714</v>
      </c>
      <c r="K13" s="18" t="s">
        <v>15</v>
      </c>
      <c r="L13" s="18" t="s">
        <v>1707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1735</v>
      </c>
      <c r="D14" s="18" t="s">
        <v>1736</v>
      </c>
      <c r="E14" s="18" t="s">
        <v>1737</v>
      </c>
      <c r="F14" s="18" t="s">
        <v>212</v>
      </c>
      <c r="G14" s="19">
        <v>775</v>
      </c>
      <c r="H14" s="19">
        <v>25</v>
      </c>
      <c r="I14" s="19">
        <f t="shared" si="0"/>
        <v>750</v>
      </c>
      <c r="J14" s="18" t="s">
        <v>1714</v>
      </c>
      <c r="K14" s="18" t="s">
        <v>15</v>
      </c>
      <c r="L14" s="18" t="s">
        <v>1707</v>
      </c>
      <c r="M14" s="18"/>
      <c r="N14" s="18"/>
      <c r="O14" s="18"/>
      <c r="P14" s="18"/>
      <c r="Q14" s="18">
        <v>1</v>
      </c>
    </row>
    <row r="15" spans="1:18" customFormat="1" x14ac:dyDescent="0.25">
      <c r="A15" s="18" t="s">
        <v>96</v>
      </c>
      <c r="B15" s="18" t="s">
        <v>34</v>
      </c>
      <c r="C15" s="18" t="s">
        <v>1738</v>
      </c>
      <c r="D15" s="18"/>
      <c r="E15" s="18" t="s">
        <v>1739</v>
      </c>
      <c r="F15" s="18" t="s">
        <v>38</v>
      </c>
      <c r="G15" s="19">
        <v>0</v>
      </c>
      <c r="H15" s="19">
        <v>30</v>
      </c>
      <c r="I15" s="19">
        <f>-H15</f>
        <v>-30</v>
      </c>
      <c r="J15" s="18" t="s">
        <v>1714</v>
      </c>
      <c r="K15" s="18" t="s">
        <v>15</v>
      </c>
      <c r="L15" s="18" t="s">
        <v>1707</v>
      </c>
      <c r="M15" s="18"/>
      <c r="N15" s="18"/>
      <c r="O15" s="18"/>
      <c r="P15" s="18"/>
      <c r="Q15" s="18">
        <v>1</v>
      </c>
      <c r="R15" s="17">
        <f t="shared" ref="R15:R16" si="1">H15</f>
        <v>30</v>
      </c>
    </row>
    <row r="16" spans="1:18" customFormat="1" x14ac:dyDescent="0.25">
      <c r="A16" s="18"/>
      <c r="B16" s="18" t="s">
        <v>34</v>
      </c>
      <c r="C16" s="18" t="s">
        <v>1740</v>
      </c>
      <c r="D16" s="18" t="s">
        <v>1741</v>
      </c>
      <c r="E16" s="18" t="s">
        <v>1742</v>
      </c>
      <c r="F16" s="18" t="s">
        <v>19</v>
      </c>
      <c r="G16" s="19">
        <v>0</v>
      </c>
      <c r="H16" s="19">
        <v>20</v>
      </c>
      <c r="I16" s="19">
        <f>-H16</f>
        <v>-20</v>
      </c>
      <c r="J16" s="18" t="s">
        <v>15</v>
      </c>
      <c r="K16" s="18" t="s">
        <v>15</v>
      </c>
      <c r="L16" s="18" t="s">
        <v>1707</v>
      </c>
      <c r="M16" s="18"/>
      <c r="N16" s="18"/>
      <c r="O16" s="18"/>
      <c r="P16" s="18"/>
      <c r="Q16" s="18">
        <v>1</v>
      </c>
      <c r="R16" s="17">
        <f t="shared" si="1"/>
        <v>20</v>
      </c>
    </row>
    <row r="17" spans="1:18" customFormat="1" x14ac:dyDescent="0.25">
      <c r="A17" s="18"/>
      <c r="B17" s="18" t="s">
        <v>34</v>
      </c>
      <c r="C17" s="18" t="s">
        <v>1245</v>
      </c>
      <c r="D17" s="18" t="s">
        <v>1743</v>
      </c>
      <c r="E17" s="18" t="s">
        <v>1744</v>
      </c>
      <c r="F17" s="18" t="s">
        <v>20</v>
      </c>
      <c r="G17" s="19">
        <v>615</v>
      </c>
      <c r="H17" s="19">
        <v>25</v>
      </c>
      <c r="I17" s="19">
        <f>G17-H17</f>
        <v>590</v>
      </c>
      <c r="J17" s="18" t="s">
        <v>15</v>
      </c>
      <c r="K17" s="18" t="s">
        <v>15</v>
      </c>
      <c r="L17" s="18" t="s">
        <v>1707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1745</v>
      </c>
      <c r="D18" s="18" t="s">
        <v>1746</v>
      </c>
      <c r="E18" s="18" t="s">
        <v>1747</v>
      </c>
      <c r="F18" s="18" t="s">
        <v>20</v>
      </c>
      <c r="G18" s="19">
        <v>745</v>
      </c>
      <c r="H18" s="19">
        <v>25</v>
      </c>
      <c r="I18" s="19">
        <f>G18-H18</f>
        <v>720</v>
      </c>
      <c r="J18" s="18" t="s">
        <v>15</v>
      </c>
      <c r="K18" s="18" t="s">
        <v>15</v>
      </c>
      <c r="L18" s="18" t="s">
        <v>1707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1748</v>
      </c>
      <c r="D19" s="18" t="s">
        <v>1749</v>
      </c>
      <c r="E19" s="18" t="s">
        <v>1515</v>
      </c>
      <c r="F19" s="18" t="s">
        <v>20</v>
      </c>
      <c r="G19" s="19">
        <v>935</v>
      </c>
      <c r="H19" s="19">
        <v>25</v>
      </c>
      <c r="I19" s="19">
        <f>G19-H19</f>
        <v>910</v>
      </c>
      <c r="J19" s="18" t="s">
        <v>15</v>
      </c>
      <c r="K19" s="18" t="s">
        <v>15</v>
      </c>
      <c r="L19" s="18" t="s">
        <v>1707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1750</v>
      </c>
      <c r="D20" s="18" t="s">
        <v>1751</v>
      </c>
      <c r="E20" s="18" t="s">
        <v>1752</v>
      </c>
      <c r="F20" s="18" t="s">
        <v>19</v>
      </c>
      <c r="G20" s="19">
        <v>910</v>
      </c>
      <c r="H20" s="19">
        <v>20</v>
      </c>
      <c r="I20" s="19">
        <f>G20-H20</f>
        <v>890</v>
      </c>
      <c r="J20" s="18" t="s">
        <v>15</v>
      </c>
      <c r="K20" s="18" t="s">
        <v>15</v>
      </c>
      <c r="L20" s="18" t="s">
        <v>1707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1753</v>
      </c>
      <c r="D21" s="18" t="s">
        <v>1754</v>
      </c>
      <c r="E21" s="18" t="s">
        <v>1755</v>
      </c>
      <c r="F21" s="18" t="s">
        <v>19</v>
      </c>
      <c r="G21" s="19">
        <v>0</v>
      </c>
      <c r="H21" s="19">
        <v>20</v>
      </c>
      <c r="I21" s="19">
        <f>-H21</f>
        <v>-20</v>
      </c>
      <c r="J21" s="18" t="s">
        <v>15</v>
      </c>
      <c r="K21" s="18" t="s">
        <v>15</v>
      </c>
      <c r="L21" s="18" t="s">
        <v>1707</v>
      </c>
      <c r="M21" s="18"/>
      <c r="N21" s="18"/>
      <c r="O21" s="18"/>
      <c r="P21" s="18"/>
      <c r="Q21" s="18">
        <v>1</v>
      </c>
      <c r="R21" s="17">
        <f>H21</f>
        <v>20</v>
      </c>
    </row>
    <row r="22" spans="1:18" customFormat="1" x14ac:dyDescent="0.25">
      <c r="A22" s="18"/>
      <c r="B22" s="18" t="s">
        <v>34</v>
      </c>
      <c r="C22" s="18" t="s">
        <v>1756</v>
      </c>
      <c r="D22" s="18" t="s">
        <v>1757</v>
      </c>
      <c r="E22" s="18" t="s">
        <v>1758</v>
      </c>
      <c r="F22" s="18" t="s">
        <v>144</v>
      </c>
      <c r="G22" s="19">
        <v>865</v>
      </c>
      <c r="H22" s="19">
        <v>25</v>
      </c>
      <c r="I22" s="19">
        <f>G22-H22</f>
        <v>840</v>
      </c>
      <c r="J22" s="18" t="s">
        <v>15</v>
      </c>
      <c r="K22" s="18" t="s">
        <v>15</v>
      </c>
      <c r="L22" s="18" t="s">
        <v>1707</v>
      </c>
      <c r="M22" s="18"/>
      <c r="N22" s="18"/>
      <c r="O22" s="18"/>
      <c r="P22" s="18"/>
      <c r="Q22" s="18">
        <v>1</v>
      </c>
    </row>
    <row r="23" spans="1:18" s="36" customFormat="1" x14ac:dyDescent="0.25">
      <c r="A23" s="18"/>
      <c r="B23" s="18" t="s">
        <v>34</v>
      </c>
      <c r="C23" s="18" t="s">
        <v>1759</v>
      </c>
      <c r="D23" s="18" t="s">
        <v>1760</v>
      </c>
      <c r="E23" s="18" t="s">
        <v>1761</v>
      </c>
      <c r="F23" s="19">
        <v>12</v>
      </c>
      <c r="G23" s="19">
        <v>0</v>
      </c>
      <c r="H23" s="19">
        <v>30</v>
      </c>
      <c r="I23" s="19">
        <f>-H23</f>
        <v>-30</v>
      </c>
      <c r="J23" s="18" t="s">
        <v>15</v>
      </c>
      <c r="K23" s="18" t="s">
        <v>15</v>
      </c>
      <c r="L23" s="18" t="s">
        <v>1707</v>
      </c>
      <c r="M23" s="18"/>
      <c r="N23" s="18"/>
      <c r="O23" s="18"/>
      <c r="P23" s="18"/>
      <c r="Q23" s="49">
        <v>1</v>
      </c>
      <c r="R23" s="17">
        <f t="shared" ref="R23:R25" si="2">H23</f>
        <v>30</v>
      </c>
    </row>
    <row r="24" spans="1:18" customFormat="1" x14ac:dyDescent="0.25">
      <c r="A24" s="18"/>
      <c r="B24" s="18" t="s">
        <v>34</v>
      </c>
      <c r="C24" s="18" t="s">
        <v>1762</v>
      </c>
      <c r="D24" s="18" t="s">
        <v>1763</v>
      </c>
      <c r="E24" s="18" t="s">
        <v>1764</v>
      </c>
      <c r="F24" s="18" t="s">
        <v>144</v>
      </c>
      <c r="G24" s="19">
        <v>0</v>
      </c>
      <c r="H24" s="19">
        <v>30</v>
      </c>
      <c r="I24" s="19">
        <f>-H24</f>
        <v>-30</v>
      </c>
      <c r="J24" s="18" t="s">
        <v>15</v>
      </c>
      <c r="K24" s="18" t="s">
        <v>15</v>
      </c>
      <c r="L24" s="18" t="s">
        <v>1707</v>
      </c>
      <c r="M24" s="18"/>
      <c r="N24" s="18"/>
      <c r="O24" s="18"/>
      <c r="P24" s="18"/>
      <c r="Q24" s="18">
        <v>1</v>
      </c>
      <c r="R24" s="17">
        <f t="shared" si="2"/>
        <v>30</v>
      </c>
    </row>
    <row r="25" spans="1:18" customFormat="1" x14ac:dyDescent="0.25">
      <c r="A25" s="18" t="s">
        <v>96</v>
      </c>
      <c r="B25" s="18" t="s">
        <v>34</v>
      </c>
      <c r="C25" s="18" t="s">
        <v>1765</v>
      </c>
      <c r="D25" s="18"/>
      <c r="E25" s="18" t="s">
        <v>1766</v>
      </c>
      <c r="F25" s="18" t="s">
        <v>18</v>
      </c>
      <c r="G25" s="19">
        <v>0</v>
      </c>
      <c r="H25" s="19">
        <v>30</v>
      </c>
      <c r="I25" s="19">
        <f>-H25</f>
        <v>-30</v>
      </c>
      <c r="J25" s="18" t="s">
        <v>15</v>
      </c>
      <c r="K25" s="18" t="s">
        <v>15</v>
      </c>
      <c r="L25" s="18" t="s">
        <v>1707</v>
      </c>
      <c r="M25" s="18"/>
      <c r="N25" s="18"/>
      <c r="O25" s="18"/>
      <c r="P25" s="18"/>
      <c r="Q25" s="18">
        <v>1</v>
      </c>
      <c r="R25" s="17">
        <f t="shared" si="2"/>
        <v>30</v>
      </c>
    </row>
    <row r="26" spans="1:18" customFormat="1" x14ac:dyDescent="0.25">
      <c r="A26" s="18"/>
      <c r="B26" s="18" t="s">
        <v>34</v>
      </c>
      <c r="C26" s="18" t="s">
        <v>1767</v>
      </c>
      <c r="D26" s="18" t="s">
        <v>1768</v>
      </c>
      <c r="E26" s="18" t="s">
        <v>1769</v>
      </c>
      <c r="F26" s="18" t="s">
        <v>19</v>
      </c>
      <c r="G26" s="19">
        <v>680</v>
      </c>
      <c r="H26" s="19">
        <v>20</v>
      </c>
      <c r="I26" s="19">
        <f>G26-H26</f>
        <v>660</v>
      </c>
      <c r="J26" s="18" t="s">
        <v>15</v>
      </c>
      <c r="K26" s="18" t="s">
        <v>15</v>
      </c>
      <c r="L26" s="18" t="s">
        <v>1707</v>
      </c>
      <c r="M26" s="18"/>
      <c r="N26" s="18"/>
      <c r="O26" s="18"/>
      <c r="P26" s="18"/>
      <c r="Q26" s="18">
        <v>1</v>
      </c>
    </row>
    <row r="27" spans="1:18" customFormat="1" x14ac:dyDescent="0.25">
      <c r="A27" s="18" t="s">
        <v>96</v>
      </c>
      <c r="B27" s="18" t="s">
        <v>34</v>
      </c>
      <c r="C27" s="18" t="s">
        <v>353</v>
      </c>
      <c r="D27" s="18"/>
      <c r="E27" s="18" t="s">
        <v>1770</v>
      </c>
      <c r="F27" s="19">
        <v>2</v>
      </c>
      <c r="G27" s="19">
        <v>35</v>
      </c>
      <c r="H27" s="19">
        <v>35</v>
      </c>
      <c r="I27" s="19">
        <f>G27-H27</f>
        <v>0</v>
      </c>
      <c r="J27" s="18" t="s">
        <v>15</v>
      </c>
      <c r="K27" s="18" t="s">
        <v>15</v>
      </c>
      <c r="L27" s="18" t="s">
        <v>1707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1771</v>
      </c>
      <c r="D28" s="18" t="s">
        <v>1772</v>
      </c>
      <c r="E28" s="18" t="s">
        <v>1773</v>
      </c>
      <c r="F28" s="19">
        <v>1</v>
      </c>
      <c r="G28" s="19">
        <v>405</v>
      </c>
      <c r="H28" s="19">
        <v>25</v>
      </c>
      <c r="I28" s="19">
        <f>G28-H28</f>
        <v>380</v>
      </c>
      <c r="J28" s="18" t="s">
        <v>160</v>
      </c>
      <c r="K28" s="18" t="s">
        <v>15</v>
      </c>
      <c r="L28" s="18" t="s">
        <v>1707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645</v>
      </c>
      <c r="D29" s="18" t="s">
        <v>1774</v>
      </c>
      <c r="E29" s="18" t="s">
        <v>1775</v>
      </c>
      <c r="F29" s="19">
        <v>1</v>
      </c>
      <c r="G29" s="19">
        <v>405</v>
      </c>
      <c r="H29" s="19">
        <v>25</v>
      </c>
      <c r="I29" s="19">
        <f>G29-H29</f>
        <v>380</v>
      </c>
      <c r="J29" s="18" t="s">
        <v>160</v>
      </c>
      <c r="K29" s="18" t="s">
        <v>15</v>
      </c>
      <c r="L29" s="18" t="s">
        <v>1707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873</v>
      </c>
      <c r="D30" s="18" t="s">
        <v>1776</v>
      </c>
      <c r="E30" s="18" t="s">
        <v>875</v>
      </c>
      <c r="F30" s="19">
        <v>1</v>
      </c>
      <c r="G30" s="19">
        <v>0</v>
      </c>
      <c r="H30" s="19">
        <v>25</v>
      </c>
      <c r="I30" s="19">
        <f>-H30</f>
        <v>-25</v>
      </c>
      <c r="J30" s="18" t="s">
        <v>160</v>
      </c>
      <c r="K30" s="18" t="s">
        <v>15</v>
      </c>
      <c r="L30" s="18" t="s">
        <v>1707</v>
      </c>
      <c r="M30" s="18"/>
      <c r="N30" s="18"/>
      <c r="O30" s="18"/>
      <c r="P30" s="18"/>
      <c r="Q30" s="18">
        <v>1</v>
      </c>
      <c r="R30" s="17">
        <f t="shared" ref="R30:R31" si="3">H30</f>
        <v>25</v>
      </c>
    </row>
    <row r="31" spans="1:18" customFormat="1" x14ac:dyDescent="0.25">
      <c r="A31" s="18"/>
      <c r="B31" s="18" t="s">
        <v>34</v>
      </c>
      <c r="C31" s="18" t="s">
        <v>1777</v>
      </c>
      <c r="D31" s="18" t="s">
        <v>1778</v>
      </c>
      <c r="E31" s="18" t="s">
        <v>1779</v>
      </c>
      <c r="F31" s="19">
        <v>10</v>
      </c>
      <c r="G31" s="19">
        <v>0</v>
      </c>
      <c r="H31" s="19">
        <v>25</v>
      </c>
      <c r="I31" s="19">
        <f>-H31</f>
        <v>-25</v>
      </c>
      <c r="J31" s="18" t="s">
        <v>160</v>
      </c>
      <c r="K31" s="18" t="s">
        <v>15</v>
      </c>
      <c r="L31" s="18" t="s">
        <v>1707</v>
      </c>
      <c r="M31" s="18"/>
      <c r="N31" s="18"/>
      <c r="O31" s="18"/>
      <c r="P31" s="18"/>
      <c r="Q31" s="18">
        <v>1</v>
      </c>
      <c r="R31" s="17">
        <f t="shared" si="3"/>
        <v>25</v>
      </c>
    </row>
    <row r="32" spans="1:18" customFormat="1" x14ac:dyDescent="0.25">
      <c r="A32" s="18"/>
      <c r="B32" s="18" t="s">
        <v>34</v>
      </c>
      <c r="C32" s="18" t="s">
        <v>1780</v>
      </c>
      <c r="D32" s="18" t="s">
        <v>1781</v>
      </c>
      <c r="E32" s="18" t="s">
        <v>1782</v>
      </c>
      <c r="F32" s="19">
        <v>3</v>
      </c>
      <c r="G32" s="19">
        <v>1965</v>
      </c>
      <c r="H32" s="19">
        <v>25</v>
      </c>
      <c r="I32" s="19">
        <f>G32-H32</f>
        <v>1940</v>
      </c>
      <c r="J32" s="18" t="s">
        <v>160</v>
      </c>
      <c r="K32" s="18" t="s">
        <v>15</v>
      </c>
      <c r="L32" s="18" t="s">
        <v>1707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651</v>
      </c>
      <c r="D33" s="18" t="s">
        <v>1783</v>
      </c>
      <c r="E33" s="18" t="s">
        <v>653</v>
      </c>
      <c r="F33" s="18" t="s">
        <v>18</v>
      </c>
      <c r="G33" s="19">
        <v>0</v>
      </c>
      <c r="H33" s="19">
        <v>25</v>
      </c>
      <c r="I33" s="19">
        <f>G33-H33</f>
        <v>-25</v>
      </c>
      <c r="J33" s="18" t="s">
        <v>160</v>
      </c>
      <c r="K33" s="18" t="s">
        <v>15</v>
      </c>
      <c r="L33" s="18" t="s">
        <v>1707</v>
      </c>
      <c r="M33" s="30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 t="s">
        <v>96</v>
      </c>
      <c r="B34" s="18" t="s">
        <v>34</v>
      </c>
      <c r="C34" s="18" t="s">
        <v>1784</v>
      </c>
      <c r="D34" s="18"/>
      <c r="E34" s="18" t="s">
        <v>1785</v>
      </c>
      <c r="F34" s="18" t="s">
        <v>18</v>
      </c>
      <c r="G34" s="19">
        <v>35</v>
      </c>
      <c r="H34" s="19">
        <v>35</v>
      </c>
      <c r="I34" s="19">
        <f>G34-H34</f>
        <v>0</v>
      </c>
      <c r="J34" s="18" t="s">
        <v>160</v>
      </c>
      <c r="K34" s="18" t="s">
        <v>15</v>
      </c>
      <c r="L34" s="18" t="s">
        <v>1707</v>
      </c>
      <c r="M34" s="18"/>
      <c r="N34" s="18"/>
      <c r="O34" s="18"/>
      <c r="P34" s="18"/>
      <c r="Q34" s="18">
        <v>1</v>
      </c>
    </row>
    <row r="35" spans="1:18" customFormat="1" x14ac:dyDescent="0.25">
      <c r="A35" s="45"/>
      <c r="B35" s="45" t="s">
        <v>34</v>
      </c>
      <c r="C35" s="45" t="s">
        <v>1786</v>
      </c>
      <c r="D35" s="45" t="s">
        <v>1787</v>
      </c>
      <c r="E35" s="45" t="s">
        <v>1788</v>
      </c>
      <c r="F35" s="45" t="s">
        <v>784</v>
      </c>
      <c r="G35" s="46">
        <v>790</v>
      </c>
      <c r="H35" s="46">
        <v>0</v>
      </c>
      <c r="I35" s="46">
        <f>G35-H35</f>
        <v>790</v>
      </c>
      <c r="J35" s="45" t="s">
        <v>662</v>
      </c>
      <c r="K35" s="45" t="s">
        <v>15</v>
      </c>
      <c r="L35" s="45" t="s">
        <v>1707</v>
      </c>
      <c r="M35" s="48" t="s">
        <v>786</v>
      </c>
      <c r="N35" s="45" t="s">
        <v>787</v>
      </c>
      <c r="O35" s="45"/>
      <c r="P35" s="45" t="s">
        <v>788</v>
      </c>
      <c r="Q35" s="18">
        <v>1</v>
      </c>
    </row>
    <row r="37" spans="1:18" x14ac:dyDescent="0.25">
      <c r="G37" s="1">
        <f t="shared" ref="G37:R37" si="4">SUBTOTAL(9,G3:G36)</f>
        <v>16915</v>
      </c>
      <c r="H37" s="1">
        <f t="shared" si="4"/>
        <v>860</v>
      </c>
      <c r="I37" s="1">
        <f t="shared" si="4"/>
        <v>16055</v>
      </c>
      <c r="J37" s="1">
        <f t="shared" si="4"/>
        <v>0</v>
      </c>
      <c r="K37" s="1">
        <f t="shared" si="4"/>
        <v>0</v>
      </c>
      <c r="L37" s="1">
        <f t="shared" si="4"/>
        <v>0</v>
      </c>
      <c r="M37" s="1">
        <f t="shared" si="4"/>
        <v>0</v>
      </c>
      <c r="N37" s="1">
        <f t="shared" si="4"/>
        <v>0</v>
      </c>
      <c r="O37" s="1">
        <f t="shared" si="4"/>
        <v>0</v>
      </c>
      <c r="P37" s="1">
        <f t="shared" si="4"/>
        <v>0</v>
      </c>
      <c r="Q37" s="1">
        <f t="shared" si="4"/>
        <v>33</v>
      </c>
      <c r="R37" s="1">
        <f t="shared" si="4"/>
        <v>265</v>
      </c>
    </row>
    <row r="38" spans="1:18" x14ac:dyDescent="0.25">
      <c r="I38" s="1">
        <v>-2520</v>
      </c>
      <c r="J38" s="1" t="s">
        <v>663</v>
      </c>
    </row>
    <row r="39" spans="1:18" x14ac:dyDescent="0.25">
      <c r="I39" s="1">
        <v>-790</v>
      </c>
      <c r="J39" s="1" t="s">
        <v>1790</v>
      </c>
    </row>
    <row r="41" spans="1:18" ht="20.25" customHeight="1" x14ac:dyDescent="0.3">
      <c r="H41" s="4" t="s">
        <v>1703</v>
      </c>
      <c r="I41" s="5" t="s">
        <v>21</v>
      </c>
      <c r="J41" s="6" t="s">
        <v>22</v>
      </c>
    </row>
    <row r="42" spans="1:18" ht="15.75" customHeight="1" x14ac:dyDescent="0.25">
      <c r="H42" s="7" t="s">
        <v>23</v>
      </c>
      <c r="I42" s="8">
        <f>SUM(I36:I40)</f>
        <v>12745</v>
      </c>
      <c r="J42" s="8">
        <f>Q37</f>
        <v>33</v>
      </c>
    </row>
    <row r="43" spans="1:18" x14ac:dyDescent="0.25">
      <c r="H43" s="9" t="s">
        <v>24</v>
      </c>
      <c r="I43" s="10">
        <f>R37</f>
        <v>265</v>
      </c>
      <c r="J43" s="11"/>
    </row>
    <row r="44" spans="1:18" x14ac:dyDescent="0.25">
      <c r="H44" s="9" t="s">
        <v>25</v>
      </c>
      <c r="I44" s="10">
        <f>S36</f>
        <v>0</v>
      </c>
      <c r="J44" s="11"/>
    </row>
    <row r="45" spans="1:18" x14ac:dyDescent="0.25">
      <c r="H45" s="9" t="s">
        <v>26</v>
      </c>
      <c r="I45" s="10">
        <f>T36</f>
        <v>0</v>
      </c>
      <c r="J45" s="11"/>
    </row>
    <row r="46" spans="1:18" x14ac:dyDescent="0.25">
      <c r="H46" s="9" t="s">
        <v>27</v>
      </c>
      <c r="I46" s="10">
        <f>U36</f>
        <v>0</v>
      </c>
      <c r="J46" s="11"/>
    </row>
    <row r="47" spans="1:18" ht="15.75" customHeight="1" x14ac:dyDescent="0.25">
      <c r="H47" s="12" t="s">
        <v>28</v>
      </c>
      <c r="I47" s="13"/>
      <c r="J47" s="13"/>
    </row>
    <row r="48" spans="1:18" ht="15.75" customHeight="1" x14ac:dyDescent="0.25">
      <c r="H48" s="14" t="s">
        <v>29</v>
      </c>
      <c r="I48" s="13"/>
      <c r="J48" s="13"/>
    </row>
    <row r="49" spans="1:12" ht="21" customHeight="1" x14ac:dyDescent="0.35">
      <c r="H49" s="15" t="s">
        <v>30</v>
      </c>
      <c r="I49" s="16">
        <f>SUM(I42:I48)</f>
        <v>13010</v>
      </c>
      <c r="J49" s="16">
        <f>SUM(J42:J46)</f>
        <v>33</v>
      </c>
    </row>
    <row r="51" spans="1:12" s="50" customFormat="1" x14ac:dyDescent="0.25"/>
    <row r="52" spans="1:12" s="50" customFormat="1" x14ac:dyDescent="0.25">
      <c r="A52" s="51"/>
      <c r="B52" s="51"/>
      <c r="C52" s="51"/>
      <c r="D52" s="51"/>
      <c r="E52" s="52"/>
      <c r="F52" s="52"/>
      <c r="G52" s="52"/>
      <c r="H52" s="52"/>
      <c r="I52" s="51"/>
      <c r="J52" s="51"/>
      <c r="K52" s="51"/>
      <c r="L52" s="53"/>
    </row>
    <row r="53" spans="1:12" x14ac:dyDescent="0.25">
      <c r="A53" s="1" t="s">
        <v>663</v>
      </c>
    </row>
    <row r="54" spans="1:12" x14ac:dyDescent="0.25">
      <c r="A54" s="45" t="s">
        <v>34</v>
      </c>
      <c r="B54" s="45" t="s">
        <v>1791</v>
      </c>
      <c r="C54" s="45" t="s">
        <v>1792</v>
      </c>
      <c r="D54" s="45" t="s">
        <v>1793</v>
      </c>
      <c r="E54" s="46">
        <v>7</v>
      </c>
      <c r="F54" s="46">
        <v>700</v>
      </c>
      <c r="G54" s="46">
        <v>0</v>
      </c>
      <c r="H54" s="46">
        <f>F54-G54</f>
        <v>700</v>
      </c>
      <c r="I54" s="45" t="s">
        <v>662</v>
      </c>
      <c r="J54" s="45" t="s">
        <v>15</v>
      </c>
      <c r="K54" s="45" t="s">
        <v>1794</v>
      </c>
      <c r="L54" s="47" t="s">
        <v>1795</v>
      </c>
    </row>
    <row r="55" spans="1:12" x14ac:dyDescent="0.25">
      <c r="A55" s="45" t="s">
        <v>34</v>
      </c>
      <c r="B55" s="45" t="s">
        <v>651</v>
      </c>
      <c r="C55" s="45" t="s">
        <v>1544</v>
      </c>
      <c r="D55" s="45" t="s">
        <v>653</v>
      </c>
      <c r="E55" s="45" t="s">
        <v>18</v>
      </c>
      <c r="F55" s="46">
        <v>945</v>
      </c>
      <c r="G55" s="46">
        <v>0</v>
      </c>
      <c r="H55" s="46">
        <f>F55-G55</f>
        <v>945</v>
      </c>
      <c r="I55" s="45" t="s">
        <v>662</v>
      </c>
      <c r="J55" s="45" t="s">
        <v>15</v>
      </c>
      <c r="K55" s="45" t="s">
        <v>1450</v>
      </c>
      <c r="L55" s="47" t="s">
        <v>1796</v>
      </c>
    </row>
    <row r="56" spans="1:12" x14ac:dyDescent="0.25">
      <c r="A56" s="45" t="s">
        <v>34</v>
      </c>
      <c r="B56" s="45" t="s">
        <v>651</v>
      </c>
      <c r="C56" s="45" t="s">
        <v>1697</v>
      </c>
      <c r="D56" s="45" t="s">
        <v>653</v>
      </c>
      <c r="E56" s="45" t="s">
        <v>18</v>
      </c>
      <c r="F56" s="46">
        <v>875</v>
      </c>
      <c r="G56" s="46">
        <v>0</v>
      </c>
      <c r="H56" s="46">
        <f>F56-G56</f>
        <v>875</v>
      </c>
      <c r="I56" s="45" t="s">
        <v>662</v>
      </c>
      <c r="J56" s="45" t="s">
        <v>15</v>
      </c>
      <c r="K56" s="45" t="s">
        <v>1577</v>
      </c>
      <c r="L56" s="47" t="s">
        <v>1797</v>
      </c>
    </row>
  </sheetData>
  <autoFilter ref="A2:P35" xr:uid="{00000000-0009-0000-0000-000006000000}">
    <sortState xmlns:xlrd2="http://schemas.microsoft.com/office/spreadsheetml/2017/richdata2" ref="A3:P35">
      <sortCondition ref="J2:J35"/>
    </sortState>
  </autoFilter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28ADF-6BC4-4720-8D45-68A4ED3700FD}">
  <dimension ref="A1:R115"/>
  <sheetViews>
    <sheetView topLeftCell="A76" zoomScaleNormal="100" workbookViewId="0">
      <selection activeCell="D21" sqref="D21"/>
    </sheetView>
  </sheetViews>
  <sheetFormatPr defaultRowHeight="15" x14ac:dyDescent="0.25"/>
  <cols>
    <col min="1" max="2" width="9.140625" style="1"/>
    <col min="3" max="3" width="4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4.42578125" style="1" customWidth="1"/>
    <col min="14" max="16384" width="9.140625" style="1"/>
  </cols>
  <sheetData>
    <row r="1" spans="1:18" x14ac:dyDescent="0.25">
      <c r="B1" s="1" t="s">
        <v>320</v>
      </c>
      <c r="C1" s="1" t="s">
        <v>1789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 t="s">
        <v>96</v>
      </c>
      <c r="B3" s="18" t="s">
        <v>34</v>
      </c>
      <c r="C3" s="18" t="s">
        <v>1799</v>
      </c>
      <c r="D3" s="18"/>
      <c r="E3" s="18" t="s">
        <v>1800</v>
      </c>
      <c r="F3" s="19">
        <v>9</v>
      </c>
      <c r="G3" s="19">
        <v>0</v>
      </c>
      <c r="H3" s="19">
        <v>35</v>
      </c>
      <c r="I3" s="19">
        <f>-H3</f>
        <v>-35</v>
      </c>
      <c r="J3" s="18" t="s">
        <v>56</v>
      </c>
      <c r="K3" s="18" t="s">
        <v>15</v>
      </c>
      <c r="L3" s="18" t="s">
        <v>1801</v>
      </c>
      <c r="M3" s="18"/>
      <c r="N3" s="18"/>
      <c r="O3" s="18"/>
      <c r="P3" s="18"/>
      <c r="Q3" s="18">
        <v>1</v>
      </c>
      <c r="R3" s="17">
        <f>H3</f>
        <v>35</v>
      </c>
    </row>
    <row r="4" spans="1:18" customFormat="1" x14ac:dyDescent="0.25">
      <c r="A4" s="18" t="s">
        <v>96</v>
      </c>
      <c r="B4" s="18" t="s">
        <v>34</v>
      </c>
      <c r="C4" s="18" t="s">
        <v>1802</v>
      </c>
      <c r="D4" s="18"/>
      <c r="E4" s="18" t="s">
        <v>1381</v>
      </c>
      <c r="F4" s="19">
        <v>9</v>
      </c>
      <c r="G4" s="19">
        <v>35</v>
      </c>
      <c r="H4" s="19">
        <v>35</v>
      </c>
      <c r="I4" s="19">
        <f t="shared" ref="I4:I9" si="0">G4-H4</f>
        <v>0</v>
      </c>
      <c r="J4" s="18" t="s">
        <v>56</v>
      </c>
      <c r="K4" s="18" t="s">
        <v>15</v>
      </c>
      <c r="L4" s="18" t="s">
        <v>1801</v>
      </c>
      <c r="M4" s="18"/>
      <c r="N4" s="18"/>
      <c r="O4" s="18"/>
      <c r="P4" s="18"/>
      <c r="Q4" s="18">
        <v>1</v>
      </c>
    </row>
    <row r="5" spans="1:18" customFormat="1" x14ac:dyDescent="0.25">
      <c r="A5" s="18" t="s">
        <v>96</v>
      </c>
      <c r="B5" s="18" t="s">
        <v>34</v>
      </c>
      <c r="C5" s="18" t="s">
        <v>436</v>
      </c>
      <c r="D5" s="18"/>
      <c r="E5" s="18" t="s">
        <v>1803</v>
      </c>
      <c r="F5" s="19">
        <v>9</v>
      </c>
      <c r="G5" s="19">
        <v>1255</v>
      </c>
      <c r="H5" s="19">
        <v>35</v>
      </c>
      <c r="I5" s="19">
        <f t="shared" si="0"/>
        <v>1220</v>
      </c>
      <c r="J5" s="18" t="s">
        <v>56</v>
      </c>
      <c r="K5" s="18" t="s">
        <v>15</v>
      </c>
      <c r="L5" s="18" t="s">
        <v>1801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1804</v>
      </c>
      <c r="D6" s="18" t="s">
        <v>1805</v>
      </c>
      <c r="E6" s="18" t="s">
        <v>1806</v>
      </c>
      <c r="F6" s="18" t="s">
        <v>212</v>
      </c>
      <c r="G6" s="19">
        <v>1015</v>
      </c>
      <c r="H6" s="19">
        <v>25</v>
      </c>
      <c r="I6" s="19">
        <f t="shared" si="0"/>
        <v>990</v>
      </c>
      <c r="J6" s="18" t="s">
        <v>1807</v>
      </c>
      <c r="K6" s="18" t="s">
        <v>15</v>
      </c>
      <c r="L6" s="18" t="s">
        <v>1801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1808</v>
      </c>
      <c r="D7" s="18" t="s">
        <v>1809</v>
      </c>
      <c r="E7" s="18" t="s">
        <v>1810</v>
      </c>
      <c r="F7" s="18" t="s">
        <v>18</v>
      </c>
      <c r="G7" s="19">
        <v>515</v>
      </c>
      <c r="H7" s="19">
        <v>25</v>
      </c>
      <c r="I7" s="19">
        <f t="shared" si="0"/>
        <v>490</v>
      </c>
      <c r="J7" s="18" t="s">
        <v>1807</v>
      </c>
      <c r="K7" s="18" t="s">
        <v>15</v>
      </c>
      <c r="L7" s="18" t="s">
        <v>1801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1811</v>
      </c>
      <c r="D8" s="18" t="s">
        <v>1812</v>
      </c>
      <c r="E8" s="18" t="s">
        <v>1813</v>
      </c>
      <c r="F8" s="18" t="s">
        <v>38</v>
      </c>
      <c r="G8" s="19">
        <v>900</v>
      </c>
      <c r="H8" s="19">
        <v>30</v>
      </c>
      <c r="I8" s="19">
        <f t="shared" si="0"/>
        <v>870</v>
      </c>
      <c r="J8" s="18" t="s">
        <v>1807</v>
      </c>
      <c r="K8" s="18" t="s">
        <v>15</v>
      </c>
      <c r="L8" s="18" t="s">
        <v>1801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1814</v>
      </c>
      <c r="D9" s="18" t="s">
        <v>1815</v>
      </c>
      <c r="E9" s="18" t="s">
        <v>1816</v>
      </c>
      <c r="F9" s="18" t="s">
        <v>108</v>
      </c>
      <c r="G9" s="19">
        <v>415</v>
      </c>
      <c r="H9" s="19">
        <v>35</v>
      </c>
      <c r="I9" s="19">
        <f t="shared" si="0"/>
        <v>380</v>
      </c>
      <c r="J9" s="18" t="s">
        <v>1807</v>
      </c>
      <c r="K9" s="18" t="s">
        <v>15</v>
      </c>
      <c r="L9" s="18" t="s">
        <v>1801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1817</v>
      </c>
      <c r="D10" s="18" t="s">
        <v>1818</v>
      </c>
      <c r="E10" s="18" t="s">
        <v>1819</v>
      </c>
      <c r="F10" s="18" t="s">
        <v>38</v>
      </c>
      <c r="G10" s="19">
        <v>0</v>
      </c>
      <c r="H10" s="19">
        <v>30</v>
      </c>
      <c r="I10" s="19">
        <f>-H10</f>
        <v>-30</v>
      </c>
      <c r="J10" s="18" t="s">
        <v>1807</v>
      </c>
      <c r="K10" s="18" t="s">
        <v>15</v>
      </c>
      <c r="L10" s="18" t="s">
        <v>1801</v>
      </c>
      <c r="M10" s="18"/>
      <c r="N10" s="18"/>
      <c r="O10" s="18"/>
      <c r="P10" s="18"/>
      <c r="Q10" s="18">
        <v>1</v>
      </c>
      <c r="R10" s="17">
        <f>H10</f>
        <v>30</v>
      </c>
    </row>
    <row r="11" spans="1:18" customFormat="1" x14ac:dyDescent="0.25">
      <c r="A11" s="18"/>
      <c r="B11" s="18" t="s">
        <v>34</v>
      </c>
      <c r="C11" s="18" t="s">
        <v>1820</v>
      </c>
      <c r="D11" s="18" t="s">
        <v>1821</v>
      </c>
      <c r="E11" s="18" t="s">
        <v>1822</v>
      </c>
      <c r="F11" s="19">
        <v>12</v>
      </c>
      <c r="G11" s="19">
        <v>30</v>
      </c>
      <c r="H11" s="19">
        <v>30</v>
      </c>
      <c r="I11" s="19">
        <f t="shared" ref="I11:I25" si="1">G11-H11</f>
        <v>0</v>
      </c>
      <c r="J11" s="18" t="s">
        <v>1807</v>
      </c>
      <c r="K11" s="18" t="s">
        <v>15</v>
      </c>
      <c r="L11" s="18" t="s">
        <v>1801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1823</v>
      </c>
      <c r="D12" s="18" t="s">
        <v>1824</v>
      </c>
      <c r="E12" s="18" t="s">
        <v>1825</v>
      </c>
      <c r="F12" s="19">
        <v>8</v>
      </c>
      <c r="G12" s="19">
        <v>690</v>
      </c>
      <c r="H12" s="19">
        <v>30</v>
      </c>
      <c r="I12" s="19">
        <f t="shared" si="1"/>
        <v>660</v>
      </c>
      <c r="J12" s="18" t="s">
        <v>1807</v>
      </c>
      <c r="K12" s="18" t="s">
        <v>15</v>
      </c>
      <c r="L12" s="18" t="s">
        <v>1801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1826</v>
      </c>
      <c r="D13" s="18" t="s">
        <v>1827</v>
      </c>
      <c r="E13" s="18" t="s">
        <v>1828</v>
      </c>
      <c r="F13" s="19">
        <v>7</v>
      </c>
      <c r="G13" s="19">
        <v>820</v>
      </c>
      <c r="H13" s="19">
        <v>30</v>
      </c>
      <c r="I13" s="19">
        <f t="shared" si="1"/>
        <v>790</v>
      </c>
      <c r="J13" s="18" t="s">
        <v>1807</v>
      </c>
      <c r="K13" s="18" t="s">
        <v>15</v>
      </c>
      <c r="L13" s="18" t="s">
        <v>1801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1829</v>
      </c>
      <c r="D14" s="18" t="s">
        <v>1830</v>
      </c>
      <c r="E14" s="18" t="s">
        <v>1831</v>
      </c>
      <c r="F14" s="19">
        <v>12</v>
      </c>
      <c r="G14" s="19">
        <v>560</v>
      </c>
      <c r="H14" s="19">
        <v>30</v>
      </c>
      <c r="I14" s="19">
        <f t="shared" si="1"/>
        <v>530</v>
      </c>
      <c r="J14" s="18" t="s">
        <v>1807</v>
      </c>
      <c r="K14" s="18" t="s">
        <v>15</v>
      </c>
      <c r="L14" s="18" t="s">
        <v>1801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1832</v>
      </c>
      <c r="D15" s="18" t="s">
        <v>1833</v>
      </c>
      <c r="E15" s="18" t="s">
        <v>1834</v>
      </c>
      <c r="F15" s="19">
        <v>7</v>
      </c>
      <c r="G15" s="19">
        <v>1610</v>
      </c>
      <c r="H15" s="19">
        <v>30</v>
      </c>
      <c r="I15" s="19">
        <f t="shared" si="1"/>
        <v>1580</v>
      </c>
      <c r="J15" s="18" t="s">
        <v>1807</v>
      </c>
      <c r="K15" s="18" t="s">
        <v>15</v>
      </c>
      <c r="L15" s="18" t="s">
        <v>1801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1835</v>
      </c>
      <c r="D16" s="18" t="s">
        <v>1836</v>
      </c>
      <c r="E16" s="18" t="s">
        <v>1837</v>
      </c>
      <c r="F16" s="18" t="s">
        <v>38</v>
      </c>
      <c r="G16" s="19">
        <v>555</v>
      </c>
      <c r="H16" s="19">
        <v>25</v>
      </c>
      <c r="I16" s="19">
        <f t="shared" si="1"/>
        <v>530</v>
      </c>
      <c r="J16" s="18" t="s">
        <v>1807</v>
      </c>
      <c r="K16" s="18" t="s">
        <v>15</v>
      </c>
      <c r="L16" s="18" t="s">
        <v>1801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1838</v>
      </c>
      <c r="D17" s="18" t="s">
        <v>1839</v>
      </c>
      <c r="E17" s="18" t="s">
        <v>1840</v>
      </c>
      <c r="F17" s="18" t="s">
        <v>212</v>
      </c>
      <c r="G17" s="19">
        <v>845</v>
      </c>
      <c r="H17" s="19">
        <v>25</v>
      </c>
      <c r="I17" s="19">
        <f t="shared" si="1"/>
        <v>820</v>
      </c>
      <c r="J17" s="18" t="s">
        <v>1807</v>
      </c>
      <c r="K17" s="18" t="s">
        <v>15</v>
      </c>
      <c r="L17" s="18" t="s">
        <v>1801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216</v>
      </c>
      <c r="D18" s="18" t="s">
        <v>1841</v>
      </c>
      <c r="E18" s="18" t="s">
        <v>218</v>
      </c>
      <c r="F18" s="19">
        <v>8</v>
      </c>
      <c r="G18" s="19">
        <v>2000</v>
      </c>
      <c r="H18" s="19">
        <v>30</v>
      </c>
      <c r="I18" s="19">
        <f t="shared" si="1"/>
        <v>1970</v>
      </c>
      <c r="J18" s="18" t="s">
        <v>1807</v>
      </c>
      <c r="K18" s="18" t="s">
        <v>15</v>
      </c>
      <c r="L18" s="18" t="s">
        <v>1801</v>
      </c>
      <c r="M18" s="18"/>
      <c r="N18" s="18"/>
      <c r="O18" s="18"/>
      <c r="P18" s="18"/>
      <c r="Q18" s="18">
        <v>1</v>
      </c>
    </row>
    <row r="19" spans="1:18" s="22" customFormat="1" x14ac:dyDescent="0.25">
      <c r="A19" s="20"/>
      <c r="B19" s="20" t="s">
        <v>34</v>
      </c>
      <c r="C19" s="20" t="s">
        <v>1842</v>
      </c>
      <c r="D19" s="20" t="s">
        <v>1843</v>
      </c>
      <c r="E19" s="20" t="s">
        <v>1844</v>
      </c>
      <c r="F19" s="20" t="s">
        <v>123</v>
      </c>
      <c r="G19" s="21">
        <v>35</v>
      </c>
      <c r="H19" s="21">
        <v>35</v>
      </c>
      <c r="I19" s="21">
        <f t="shared" si="1"/>
        <v>0</v>
      </c>
      <c r="J19" s="20" t="s">
        <v>1807</v>
      </c>
      <c r="K19" s="20" t="s">
        <v>15</v>
      </c>
      <c r="L19" s="20" t="s">
        <v>1801</v>
      </c>
      <c r="M19" s="20" t="s">
        <v>16</v>
      </c>
      <c r="N19" s="20"/>
      <c r="O19" s="20"/>
      <c r="P19" s="20"/>
      <c r="Q19" s="20">
        <v>1</v>
      </c>
    </row>
    <row r="20" spans="1:18" customFormat="1" x14ac:dyDescent="0.25">
      <c r="A20" s="18"/>
      <c r="B20" s="18" t="s">
        <v>34</v>
      </c>
      <c r="C20" s="18" t="s">
        <v>1845</v>
      </c>
      <c r="D20" s="18" t="s">
        <v>1846</v>
      </c>
      <c r="E20" s="18" t="s">
        <v>1847</v>
      </c>
      <c r="F20" s="19">
        <v>11</v>
      </c>
      <c r="G20" s="19">
        <v>955</v>
      </c>
      <c r="H20" s="19">
        <v>25</v>
      </c>
      <c r="I20" s="19">
        <f t="shared" si="1"/>
        <v>930</v>
      </c>
      <c r="J20" s="18" t="s">
        <v>1807</v>
      </c>
      <c r="K20" s="18" t="s">
        <v>15</v>
      </c>
      <c r="L20" s="18" t="s">
        <v>1801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1848</v>
      </c>
      <c r="D21" s="18" t="s">
        <v>1849</v>
      </c>
      <c r="E21" s="18" t="s">
        <v>1850</v>
      </c>
      <c r="F21" s="19">
        <v>7</v>
      </c>
      <c r="G21" s="19">
        <v>800</v>
      </c>
      <c r="H21" s="19">
        <v>30</v>
      </c>
      <c r="I21" s="19">
        <f t="shared" si="1"/>
        <v>770</v>
      </c>
      <c r="J21" s="18" t="s">
        <v>1807</v>
      </c>
      <c r="K21" s="18" t="s">
        <v>15</v>
      </c>
      <c r="L21" s="18" t="s">
        <v>1801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1851</v>
      </c>
      <c r="D22" s="18" t="s">
        <v>1852</v>
      </c>
      <c r="E22" s="18" t="s">
        <v>1853</v>
      </c>
      <c r="F22" s="18" t="s">
        <v>123</v>
      </c>
      <c r="G22" s="19">
        <v>695</v>
      </c>
      <c r="H22" s="19">
        <v>35</v>
      </c>
      <c r="I22" s="19">
        <f t="shared" si="1"/>
        <v>660</v>
      </c>
      <c r="J22" s="18" t="s">
        <v>1807</v>
      </c>
      <c r="K22" s="18" t="s">
        <v>15</v>
      </c>
      <c r="L22" s="18" t="s">
        <v>1801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1854</v>
      </c>
      <c r="D23" s="18" t="s">
        <v>1855</v>
      </c>
      <c r="E23" s="18" t="s">
        <v>1856</v>
      </c>
      <c r="F23" s="18" t="s">
        <v>212</v>
      </c>
      <c r="G23" s="19">
        <v>955</v>
      </c>
      <c r="H23" s="19">
        <v>25</v>
      </c>
      <c r="I23" s="19">
        <f t="shared" si="1"/>
        <v>930</v>
      </c>
      <c r="J23" s="18" t="s">
        <v>1807</v>
      </c>
      <c r="K23" s="18" t="s">
        <v>15</v>
      </c>
      <c r="L23" s="18" t="s">
        <v>1801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691</v>
      </c>
      <c r="D24" s="18" t="s">
        <v>1857</v>
      </c>
      <c r="E24" s="18" t="s">
        <v>1858</v>
      </c>
      <c r="F24" s="18" t="s">
        <v>38</v>
      </c>
      <c r="G24" s="19">
        <v>1450</v>
      </c>
      <c r="H24" s="19">
        <v>30</v>
      </c>
      <c r="I24" s="19">
        <f t="shared" si="1"/>
        <v>1420</v>
      </c>
      <c r="J24" s="18" t="s">
        <v>1807</v>
      </c>
      <c r="K24" s="18" t="s">
        <v>15</v>
      </c>
      <c r="L24" s="18" t="s">
        <v>1801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1859</v>
      </c>
      <c r="D25" s="18" t="s">
        <v>1860</v>
      </c>
      <c r="E25" s="18" t="s">
        <v>1861</v>
      </c>
      <c r="F25" s="19">
        <v>6</v>
      </c>
      <c r="G25" s="19">
        <v>685</v>
      </c>
      <c r="H25" s="19">
        <v>25</v>
      </c>
      <c r="I25" s="19">
        <f t="shared" si="1"/>
        <v>660</v>
      </c>
      <c r="J25" s="18" t="s">
        <v>1807</v>
      </c>
      <c r="K25" s="18" t="s">
        <v>15</v>
      </c>
      <c r="L25" s="18" t="s">
        <v>1801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1862</v>
      </c>
      <c r="D26" s="18" t="s">
        <v>1863</v>
      </c>
      <c r="E26" s="18" t="s">
        <v>1864</v>
      </c>
      <c r="F26" s="18" t="s">
        <v>254</v>
      </c>
      <c r="G26" s="19">
        <v>0</v>
      </c>
      <c r="H26" s="19">
        <v>35</v>
      </c>
      <c r="I26" s="19">
        <f>-H26</f>
        <v>-35</v>
      </c>
      <c r="J26" s="18" t="s">
        <v>1807</v>
      </c>
      <c r="K26" s="18" t="s">
        <v>15</v>
      </c>
      <c r="L26" s="18" t="s">
        <v>1801</v>
      </c>
      <c r="M26" s="18"/>
      <c r="N26" s="18"/>
      <c r="O26" s="18"/>
      <c r="P26" s="18"/>
      <c r="Q26" s="18">
        <v>1</v>
      </c>
      <c r="R26" s="17">
        <f>H26</f>
        <v>35</v>
      </c>
    </row>
    <row r="27" spans="1:18" customFormat="1" x14ac:dyDescent="0.25">
      <c r="A27" s="18"/>
      <c r="B27" s="18" t="s">
        <v>34</v>
      </c>
      <c r="C27" s="18" t="s">
        <v>1865</v>
      </c>
      <c r="D27" s="18" t="s">
        <v>1866</v>
      </c>
      <c r="E27" s="18" t="s">
        <v>1867</v>
      </c>
      <c r="F27" s="18" t="s">
        <v>38</v>
      </c>
      <c r="G27" s="19">
        <v>900</v>
      </c>
      <c r="H27" s="19">
        <v>30</v>
      </c>
      <c r="I27" s="19">
        <f t="shared" ref="I27:I32" si="2">G27-H27</f>
        <v>870</v>
      </c>
      <c r="J27" s="18" t="s">
        <v>1807</v>
      </c>
      <c r="K27" s="18" t="s">
        <v>15</v>
      </c>
      <c r="L27" s="18" t="s">
        <v>1801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347</v>
      </c>
      <c r="D28" s="18" t="s">
        <v>1868</v>
      </c>
      <c r="E28" s="18" t="s">
        <v>349</v>
      </c>
      <c r="F28" s="18" t="s">
        <v>38</v>
      </c>
      <c r="G28" s="19">
        <v>720</v>
      </c>
      <c r="H28" s="19">
        <v>30</v>
      </c>
      <c r="I28" s="19">
        <f t="shared" si="2"/>
        <v>690</v>
      </c>
      <c r="J28" s="18" t="s">
        <v>1807</v>
      </c>
      <c r="K28" s="18" t="s">
        <v>15</v>
      </c>
      <c r="L28" s="18" t="s">
        <v>1801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1344</v>
      </c>
      <c r="D29" s="18" t="s">
        <v>1869</v>
      </c>
      <c r="E29" s="18" t="s">
        <v>1346</v>
      </c>
      <c r="F29" s="18" t="s">
        <v>123</v>
      </c>
      <c r="G29" s="19">
        <v>895</v>
      </c>
      <c r="H29" s="19">
        <v>35</v>
      </c>
      <c r="I29" s="19">
        <f t="shared" si="2"/>
        <v>860</v>
      </c>
      <c r="J29" s="18" t="s">
        <v>1807</v>
      </c>
      <c r="K29" s="18" t="s">
        <v>15</v>
      </c>
      <c r="L29" s="18" t="s">
        <v>1801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705</v>
      </c>
      <c r="D30" s="18" t="s">
        <v>1870</v>
      </c>
      <c r="E30" s="18" t="s">
        <v>707</v>
      </c>
      <c r="F30" s="18" t="s">
        <v>212</v>
      </c>
      <c r="G30" s="19">
        <v>825</v>
      </c>
      <c r="H30" s="19">
        <v>25</v>
      </c>
      <c r="I30" s="19">
        <f t="shared" si="2"/>
        <v>800</v>
      </c>
      <c r="J30" s="18" t="s">
        <v>1807</v>
      </c>
      <c r="K30" s="18" t="s">
        <v>15</v>
      </c>
      <c r="L30" s="18" t="s">
        <v>1801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1871</v>
      </c>
      <c r="D31" s="18" t="s">
        <v>1872</v>
      </c>
      <c r="E31" s="18" t="s">
        <v>1873</v>
      </c>
      <c r="F31" s="19">
        <v>11</v>
      </c>
      <c r="G31" s="19">
        <v>2050</v>
      </c>
      <c r="H31" s="19">
        <v>25</v>
      </c>
      <c r="I31" s="19">
        <f t="shared" si="2"/>
        <v>2025</v>
      </c>
      <c r="J31" s="18" t="s">
        <v>1807</v>
      </c>
      <c r="K31" s="18" t="s">
        <v>15</v>
      </c>
      <c r="L31" s="18" t="s">
        <v>1801</v>
      </c>
      <c r="M31" s="48" t="s">
        <v>377</v>
      </c>
      <c r="N31" s="18"/>
      <c r="O31" s="18"/>
      <c r="P31" s="18"/>
      <c r="Q31" s="18">
        <v>1</v>
      </c>
      <c r="R31" s="17">
        <f>H31</f>
        <v>25</v>
      </c>
    </row>
    <row r="32" spans="1:18" customFormat="1" x14ac:dyDescent="0.25">
      <c r="A32" s="18"/>
      <c r="B32" s="18" t="s">
        <v>34</v>
      </c>
      <c r="C32" s="18" t="s">
        <v>1874</v>
      </c>
      <c r="D32" s="18" t="s">
        <v>1875</v>
      </c>
      <c r="E32" s="18" t="s">
        <v>1876</v>
      </c>
      <c r="F32" s="18" t="s">
        <v>38</v>
      </c>
      <c r="G32" s="19">
        <v>750</v>
      </c>
      <c r="H32" s="19">
        <v>30</v>
      </c>
      <c r="I32" s="19">
        <f t="shared" si="2"/>
        <v>720</v>
      </c>
      <c r="J32" s="18" t="s">
        <v>1807</v>
      </c>
      <c r="K32" s="18" t="s">
        <v>15</v>
      </c>
      <c r="L32" s="18" t="s">
        <v>1801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1877</v>
      </c>
      <c r="D33" s="18" t="s">
        <v>1878</v>
      </c>
      <c r="E33" s="18" t="s">
        <v>1879</v>
      </c>
      <c r="F33" s="19">
        <v>8</v>
      </c>
      <c r="G33" s="19">
        <v>0</v>
      </c>
      <c r="H33" s="19">
        <v>25</v>
      </c>
      <c r="I33" s="19">
        <f>-H33</f>
        <v>-25</v>
      </c>
      <c r="J33" s="18" t="s">
        <v>1807</v>
      </c>
      <c r="K33" s="18" t="s">
        <v>15</v>
      </c>
      <c r="L33" s="18" t="s">
        <v>1801</v>
      </c>
      <c r="M33" s="18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/>
      <c r="B34" s="18" t="s">
        <v>34</v>
      </c>
      <c r="C34" s="18" t="s">
        <v>1880</v>
      </c>
      <c r="D34" s="18" t="s">
        <v>1881</v>
      </c>
      <c r="E34" s="18" t="s">
        <v>1882</v>
      </c>
      <c r="F34" s="18" t="s">
        <v>108</v>
      </c>
      <c r="G34" s="19">
        <v>965</v>
      </c>
      <c r="H34" s="19">
        <v>35</v>
      </c>
      <c r="I34" s="19">
        <f>G34-H34</f>
        <v>930</v>
      </c>
      <c r="J34" s="18" t="s">
        <v>1807</v>
      </c>
      <c r="K34" s="18" t="s">
        <v>15</v>
      </c>
      <c r="L34" s="18" t="s">
        <v>1801</v>
      </c>
      <c r="M34" s="18"/>
      <c r="N34" s="18"/>
      <c r="O34" s="18"/>
      <c r="P34" s="18"/>
      <c r="Q34" s="18">
        <v>1</v>
      </c>
    </row>
    <row r="35" spans="1:18" s="22" customFormat="1" x14ac:dyDescent="0.25">
      <c r="A35" s="20"/>
      <c r="B35" s="20" t="s">
        <v>34</v>
      </c>
      <c r="C35" s="20" t="s">
        <v>1883</v>
      </c>
      <c r="D35" s="20" t="s">
        <v>1884</v>
      </c>
      <c r="E35" s="20" t="s">
        <v>1885</v>
      </c>
      <c r="F35" s="20" t="s">
        <v>108</v>
      </c>
      <c r="G35" s="21">
        <v>0</v>
      </c>
      <c r="H35" s="21">
        <v>35</v>
      </c>
      <c r="I35" s="21">
        <f>-H35</f>
        <v>-35</v>
      </c>
      <c r="J35" s="20" t="s">
        <v>1807</v>
      </c>
      <c r="K35" s="20" t="s">
        <v>15</v>
      </c>
      <c r="L35" s="20" t="s">
        <v>1801</v>
      </c>
      <c r="M35" s="20" t="s">
        <v>16</v>
      </c>
      <c r="N35" s="20"/>
      <c r="O35" s="20"/>
      <c r="P35" s="20"/>
      <c r="Q35" s="20">
        <v>1</v>
      </c>
      <c r="R35" s="29">
        <f>H35</f>
        <v>35</v>
      </c>
    </row>
    <row r="36" spans="1:18" customFormat="1" x14ac:dyDescent="0.25">
      <c r="A36" s="18"/>
      <c r="B36" s="18" t="s">
        <v>34</v>
      </c>
      <c r="C36" s="18" t="s">
        <v>1183</v>
      </c>
      <c r="D36" s="18" t="s">
        <v>1886</v>
      </c>
      <c r="E36" s="18" t="s">
        <v>1887</v>
      </c>
      <c r="F36" s="19">
        <v>7</v>
      </c>
      <c r="G36" s="19">
        <v>690</v>
      </c>
      <c r="H36" s="19">
        <v>30</v>
      </c>
      <c r="I36" s="19">
        <f>G36-H36</f>
        <v>660</v>
      </c>
      <c r="J36" s="18" t="s">
        <v>1807</v>
      </c>
      <c r="K36" s="18" t="s">
        <v>15</v>
      </c>
      <c r="L36" s="18" t="s">
        <v>1801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1888</v>
      </c>
      <c r="D37" s="18" t="s">
        <v>1889</v>
      </c>
      <c r="E37" s="18" t="s">
        <v>1890</v>
      </c>
      <c r="F37" s="18" t="s">
        <v>123</v>
      </c>
      <c r="G37" s="19">
        <v>895</v>
      </c>
      <c r="H37" s="19">
        <v>35</v>
      </c>
      <c r="I37" s="19">
        <f>G37-H37</f>
        <v>860</v>
      </c>
      <c r="J37" s="18" t="s">
        <v>1807</v>
      </c>
      <c r="K37" s="18" t="s">
        <v>15</v>
      </c>
      <c r="L37" s="18" t="s">
        <v>1801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242</v>
      </c>
      <c r="D38" s="18" t="s">
        <v>1891</v>
      </c>
      <c r="E38" s="18" t="s">
        <v>926</v>
      </c>
      <c r="F38" s="18" t="s">
        <v>38</v>
      </c>
      <c r="G38" s="19">
        <v>1420</v>
      </c>
      <c r="H38" s="19">
        <v>30</v>
      </c>
      <c r="I38" s="19">
        <f>G38-H38</f>
        <v>1390</v>
      </c>
      <c r="J38" s="18" t="s">
        <v>1807</v>
      </c>
      <c r="K38" s="18" t="s">
        <v>15</v>
      </c>
      <c r="L38" s="18" t="s">
        <v>1801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1892</v>
      </c>
      <c r="D39" s="18" t="s">
        <v>1893</v>
      </c>
      <c r="E39" s="18" t="s">
        <v>1894</v>
      </c>
      <c r="F39" s="19">
        <v>8</v>
      </c>
      <c r="G39" s="19">
        <v>890</v>
      </c>
      <c r="H39" s="19">
        <v>30</v>
      </c>
      <c r="I39" s="19">
        <f>G39-H39</f>
        <v>860</v>
      </c>
      <c r="J39" s="18" t="s">
        <v>1807</v>
      </c>
      <c r="K39" s="18" t="s">
        <v>15</v>
      </c>
      <c r="L39" s="18" t="s">
        <v>1801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1895</v>
      </c>
      <c r="D40" s="18" t="s">
        <v>1896</v>
      </c>
      <c r="E40" s="18" t="s">
        <v>1897</v>
      </c>
      <c r="F40" s="19">
        <v>8</v>
      </c>
      <c r="G40" s="19">
        <v>0</v>
      </c>
      <c r="H40" s="19">
        <v>25</v>
      </c>
      <c r="I40" s="19">
        <f>-H40</f>
        <v>-25</v>
      </c>
      <c r="J40" s="18" t="s">
        <v>1807</v>
      </c>
      <c r="K40" s="18" t="s">
        <v>15</v>
      </c>
      <c r="L40" s="18" t="s">
        <v>1801</v>
      </c>
      <c r="M40" s="18"/>
      <c r="N40" s="18"/>
      <c r="O40" s="18"/>
      <c r="P40" s="18"/>
      <c r="Q40" s="18">
        <v>1</v>
      </c>
      <c r="R40" s="17">
        <f>H40</f>
        <v>25</v>
      </c>
    </row>
    <row r="41" spans="1:18" customFormat="1" x14ac:dyDescent="0.25">
      <c r="A41" s="18"/>
      <c r="B41" s="18" t="s">
        <v>34</v>
      </c>
      <c r="C41" s="18" t="s">
        <v>1898</v>
      </c>
      <c r="D41" s="18" t="s">
        <v>1899</v>
      </c>
      <c r="E41" s="18" t="s">
        <v>1900</v>
      </c>
      <c r="F41" s="18" t="s">
        <v>18</v>
      </c>
      <c r="G41" s="19">
        <v>0</v>
      </c>
      <c r="H41" s="19">
        <v>25</v>
      </c>
      <c r="I41" s="19">
        <f>-H41</f>
        <v>-25</v>
      </c>
      <c r="J41" s="18" t="s">
        <v>1807</v>
      </c>
      <c r="K41" s="18" t="s">
        <v>15</v>
      </c>
      <c r="L41" s="18" t="s">
        <v>1801</v>
      </c>
      <c r="M41" s="18"/>
      <c r="N41" s="18"/>
      <c r="O41" s="18"/>
      <c r="P41" s="18"/>
      <c r="Q41" s="18">
        <v>1</v>
      </c>
      <c r="R41" s="17">
        <f t="shared" ref="R41:R42" si="3">H41</f>
        <v>25</v>
      </c>
    </row>
    <row r="42" spans="1:18" customFormat="1" x14ac:dyDescent="0.25">
      <c r="A42" s="18" t="s">
        <v>96</v>
      </c>
      <c r="B42" s="18" t="s">
        <v>34</v>
      </c>
      <c r="C42" s="18" t="s">
        <v>99</v>
      </c>
      <c r="D42" s="18"/>
      <c r="E42" s="18" t="s">
        <v>100</v>
      </c>
      <c r="F42" s="19">
        <v>6</v>
      </c>
      <c r="G42" s="19">
        <v>0</v>
      </c>
      <c r="H42" s="19">
        <v>30</v>
      </c>
      <c r="I42" s="19">
        <f>-H42</f>
        <v>-30</v>
      </c>
      <c r="J42" s="18" t="s">
        <v>1807</v>
      </c>
      <c r="K42" s="18" t="s">
        <v>15</v>
      </c>
      <c r="L42" s="18" t="s">
        <v>1801</v>
      </c>
      <c r="M42" s="18"/>
      <c r="N42" s="18"/>
      <c r="O42" s="18"/>
      <c r="P42" s="18"/>
      <c r="Q42" s="18">
        <v>1</v>
      </c>
      <c r="R42" s="17">
        <f t="shared" si="3"/>
        <v>30</v>
      </c>
    </row>
    <row r="43" spans="1:18" customFormat="1" x14ac:dyDescent="0.25">
      <c r="A43" s="18"/>
      <c r="B43" s="18" t="s">
        <v>34</v>
      </c>
      <c r="C43" s="18" t="s">
        <v>1901</v>
      </c>
      <c r="D43" s="18" t="s">
        <v>1902</v>
      </c>
      <c r="E43" s="18" t="s">
        <v>1903</v>
      </c>
      <c r="F43" s="18" t="s">
        <v>144</v>
      </c>
      <c r="G43" s="19">
        <v>520</v>
      </c>
      <c r="H43" s="19">
        <v>30</v>
      </c>
      <c r="I43" s="19">
        <f>G43-H43</f>
        <v>490</v>
      </c>
      <c r="J43" s="18" t="s">
        <v>15</v>
      </c>
      <c r="K43" s="18" t="s">
        <v>15</v>
      </c>
      <c r="L43" s="18" t="s">
        <v>1801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1904</v>
      </c>
      <c r="D44" s="18" t="s">
        <v>1905</v>
      </c>
      <c r="E44" s="18" t="s">
        <v>1906</v>
      </c>
      <c r="F44" s="18" t="s">
        <v>19</v>
      </c>
      <c r="G44" s="19">
        <v>550</v>
      </c>
      <c r="H44" s="19">
        <v>20</v>
      </c>
      <c r="I44" s="19">
        <f>G44-H44</f>
        <v>530</v>
      </c>
      <c r="J44" s="18" t="s">
        <v>15</v>
      </c>
      <c r="K44" s="18" t="s">
        <v>15</v>
      </c>
      <c r="L44" s="18" t="s">
        <v>1801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1907</v>
      </c>
      <c r="D45" s="18" t="s">
        <v>1908</v>
      </c>
      <c r="E45" s="18" t="s">
        <v>1909</v>
      </c>
      <c r="F45" s="18" t="s">
        <v>20</v>
      </c>
      <c r="G45" s="19">
        <v>1085</v>
      </c>
      <c r="H45" s="19">
        <v>25</v>
      </c>
      <c r="I45" s="19">
        <f>G45-H45</f>
        <v>1060</v>
      </c>
      <c r="J45" s="18" t="s">
        <v>15</v>
      </c>
      <c r="K45" s="18" t="s">
        <v>15</v>
      </c>
      <c r="L45" s="18" t="s">
        <v>1801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148</v>
      </c>
      <c r="D46" s="18" t="s">
        <v>1910</v>
      </c>
      <c r="E46" s="18" t="s">
        <v>150</v>
      </c>
      <c r="F46" s="18" t="s">
        <v>19</v>
      </c>
      <c r="G46" s="19">
        <v>0</v>
      </c>
      <c r="H46" s="19">
        <v>20</v>
      </c>
      <c r="I46" s="19">
        <f>-H46</f>
        <v>-20</v>
      </c>
      <c r="J46" s="18" t="s">
        <v>15</v>
      </c>
      <c r="K46" s="18" t="s">
        <v>15</v>
      </c>
      <c r="L46" s="18" t="s">
        <v>1801</v>
      </c>
      <c r="M46" s="18"/>
      <c r="N46" s="18"/>
      <c r="O46" s="18"/>
      <c r="P46" s="18"/>
      <c r="Q46" s="18">
        <v>1</v>
      </c>
      <c r="R46" s="17">
        <f t="shared" ref="R46:R47" si="4">H46</f>
        <v>20</v>
      </c>
    </row>
    <row r="47" spans="1:18" customFormat="1" x14ac:dyDescent="0.25">
      <c r="A47" s="18"/>
      <c r="B47" s="18" t="s">
        <v>34</v>
      </c>
      <c r="C47" s="18" t="s">
        <v>1911</v>
      </c>
      <c r="D47" s="18" t="s">
        <v>1912</v>
      </c>
      <c r="E47" s="18" t="s">
        <v>1761</v>
      </c>
      <c r="F47" s="19">
        <v>12</v>
      </c>
      <c r="G47" s="19">
        <v>0</v>
      </c>
      <c r="H47" s="19">
        <v>30</v>
      </c>
      <c r="I47" s="19">
        <f>-H47</f>
        <v>-30</v>
      </c>
      <c r="J47" s="18" t="s">
        <v>15</v>
      </c>
      <c r="K47" s="18" t="s">
        <v>15</v>
      </c>
      <c r="L47" s="18" t="s">
        <v>1801</v>
      </c>
      <c r="M47" s="18"/>
      <c r="N47" s="18"/>
      <c r="O47" s="18"/>
      <c r="P47" s="18"/>
      <c r="Q47" s="18">
        <v>1</v>
      </c>
      <c r="R47" s="17">
        <f t="shared" si="4"/>
        <v>30</v>
      </c>
    </row>
    <row r="48" spans="1:18" s="22" customFormat="1" x14ac:dyDescent="0.25">
      <c r="A48" s="20"/>
      <c r="B48" s="20" t="s">
        <v>34</v>
      </c>
      <c r="C48" s="20" t="s">
        <v>1581</v>
      </c>
      <c r="D48" s="20" t="s">
        <v>1913</v>
      </c>
      <c r="E48" s="20" t="s">
        <v>1914</v>
      </c>
      <c r="F48" s="21">
        <v>2</v>
      </c>
      <c r="G48" s="21">
        <v>100</v>
      </c>
      <c r="H48" s="21">
        <v>30</v>
      </c>
      <c r="I48" s="21">
        <f>G48-H48</f>
        <v>70</v>
      </c>
      <c r="J48" s="20" t="s">
        <v>15</v>
      </c>
      <c r="K48" s="20" t="s">
        <v>15</v>
      </c>
      <c r="L48" s="20" t="s">
        <v>1801</v>
      </c>
      <c r="M48" s="20" t="s">
        <v>16</v>
      </c>
      <c r="N48" s="20"/>
      <c r="O48" s="20"/>
      <c r="P48" s="20"/>
      <c r="Q48" s="20">
        <v>1</v>
      </c>
    </row>
    <row r="49" spans="1:18" customFormat="1" x14ac:dyDescent="0.25">
      <c r="A49" s="18"/>
      <c r="B49" s="18" t="s">
        <v>34</v>
      </c>
      <c r="C49" s="18" t="s">
        <v>1915</v>
      </c>
      <c r="D49" s="18" t="s">
        <v>1916</v>
      </c>
      <c r="E49" s="18" t="s">
        <v>1917</v>
      </c>
      <c r="F49" s="18" t="s">
        <v>19</v>
      </c>
      <c r="G49" s="19">
        <v>1270</v>
      </c>
      <c r="H49" s="19">
        <v>20</v>
      </c>
      <c r="I49" s="19">
        <f>G49-H49</f>
        <v>1250</v>
      </c>
      <c r="J49" s="18" t="s">
        <v>15</v>
      </c>
      <c r="K49" s="18" t="s">
        <v>15</v>
      </c>
      <c r="L49" s="18" t="s">
        <v>1801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1918</v>
      </c>
      <c r="D50" s="18" t="s">
        <v>1919</v>
      </c>
      <c r="E50" s="18" t="s">
        <v>1920</v>
      </c>
      <c r="F50" s="18" t="s">
        <v>19</v>
      </c>
      <c r="G50" s="19">
        <v>0</v>
      </c>
      <c r="H50" s="19">
        <v>20</v>
      </c>
      <c r="I50" s="19">
        <f>-H50</f>
        <v>-20</v>
      </c>
      <c r="J50" s="18" t="s">
        <v>15</v>
      </c>
      <c r="K50" s="18" t="s">
        <v>15</v>
      </c>
      <c r="L50" s="18" t="s">
        <v>1801</v>
      </c>
      <c r="M50" s="48" t="s">
        <v>307</v>
      </c>
      <c r="N50" s="18"/>
      <c r="O50" s="18"/>
      <c r="P50" s="18"/>
      <c r="Q50" s="18">
        <v>1</v>
      </c>
      <c r="R50" s="17">
        <f t="shared" ref="R50:R51" si="5">H50</f>
        <v>20</v>
      </c>
    </row>
    <row r="51" spans="1:18" customFormat="1" x14ac:dyDescent="0.25">
      <c r="A51" s="18"/>
      <c r="B51" s="18" t="s">
        <v>34</v>
      </c>
      <c r="C51" s="18" t="s">
        <v>1918</v>
      </c>
      <c r="D51" s="18" t="s">
        <v>1921</v>
      </c>
      <c r="E51" s="18" t="s">
        <v>1920</v>
      </c>
      <c r="F51" s="18" t="s">
        <v>19</v>
      </c>
      <c r="G51" s="19">
        <v>0</v>
      </c>
      <c r="H51" s="19">
        <v>0</v>
      </c>
      <c r="I51" s="19">
        <f>H51</f>
        <v>0</v>
      </c>
      <c r="J51" s="18" t="s">
        <v>15</v>
      </c>
      <c r="K51" s="18" t="s">
        <v>15</v>
      </c>
      <c r="L51" s="18" t="s">
        <v>1801</v>
      </c>
      <c r="M51" s="48" t="s">
        <v>307</v>
      </c>
      <c r="N51" s="18"/>
      <c r="O51" s="18"/>
      <c r="P51" s="18"/>
      <c r="Q51" s="18">
        <v>1</v>
      </c>
      <c r="R51" s="17">
        <f t="shared" si="5"/>
        <v>0</v>
      </c>
    </row>
    <row r="52" spans="1:18" customFormat="1" x14ac:dyDescent="0.25">
      <c r="A52" s="18"/>
      <c r="B52" s="18" t="s">
        <v>34</v>
      </c>
      <c r="C52" s="18" t="s">
        <v>1922</v>
      </c>
      <c r="D52" s="18" t="s">
        <v>1923</v>
      </c>
      <c r="E52" s="18" t="s">
        <v>1924</v>
      </c>
      <c r="F52" s="18" t="s">
        <v>20</v>
      </c>
      <c r="G52" s="19">
        <v>895</v>
      </c>
      <c r="H52" s="19">
        <v>25</v>
      </c>
      <c r="I52" s="19">
        <f>G52-H52</f>
        <v>870</v>
      </c>
      <c r="J52" s="18" t="s">
        <v>15</v>
      </c>
      <c r="K52" s="18" t="s">
        <v>15</v>
      </c>
      <c r="L52" s="18" t="s">
        <v>1801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1925</v>
      </c>
      <c r="D53" s="18" t="s">
        <v>1926</v>
      </c>
      <c r="E53" s="18" t="s">
        <v>1927</v>
      </c>
      <c r="F53" s="18" t="s">
        <v>20</v>
      </c>
      <c r="G53" s="19">
        <v>0</v>
      </c>
      <c r="H53" s="19">
        <v>25</v>
      </c>
      <c r="I53" s="19">
        <f>-H53</f>
        <v>-25</v>
      </c>
      <c r="J53" s="18" t="s">
        <v>15</v>
      </c>
      <c r="K53" s="18" t="s">
        <v>15</v>
      </c>
      <c r="L53" s="18" t="s">
        <v>1801</v>
      </c>
      <c r="M53" s="18"/>
      <c r="N53" s="18"/>
      <c r="O53" s="18"/>
      <c r="P53" s="18"/>
      <c r="Q53" s="18">
        <v>1</v>
      </c>
      <c r="R53" s="17">
        <f>H53</f>
        <v>25</v>
      </c>
    </row>
    <row r="54" spans="1:18" customFormat="1" x14ac:dyDescent="0.25">
      <c r="A54" s="18"/>
      <c r="B54" s="18" t="s">
        <v>34</v>
      </c>
      <c r="C54" s="18" t="s">
        <v>1928</v>
      </c>
      <c r="D54" s="18" t="s">
        <v>1929</v>
      </c>
      <c r="E54" s="18" t="s">
        <v>1930</v>
      </c>
      <c r="F54" s="19">
        <v>2</v>
      </c>
      <c r="G54" s="19">
        <v>690</v>
      </c>
      <c r="H54" s="19">
        <v>30</v>
      </c>
      <c r="I54" s="19">
        <f t="shared" ref="I54:I62" si="6">G54-H54</f>
        <v>660</v>
      </c>
      <c r="J54" s="18" t="s">
        <v>15</v>
      </c>
      <c r="K54" s="18" t="s">
        <v>15</v>
      </c>
      <c r="L54" s="18" t="s">
        <v>1801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54" t="s">
        <v>1931</v>
      </c>
      <c r="D55" s="18" t="s">
        <v>1932</v>
      </c>
      <c r="E55" s="18" t="s">
        <v>1933</v>
      </c>
      <c r="F55" s="19">
        <v>2</v>
      </c>
      <c r="G55" s="19">
        <v>1560</v>
      </c>
      <c r="H55" s="19">
        <v>30</v>
      </c>
      <c r="I55" s="19">
        <f t="shared" si="6"/>
        <v>1530</v>
      </c>
      <c r="J55" s="18" t="s">
        <v>15</v>
      </c>
      <c r="K55" s="18" t="s">
        <v>15</v>
      </c>
      <c r="L55" s="18" t="s">
        <v>1801</v>
      </c>
      <c r="M55" s="18"/>
      <c r="N55" s="18"/>
      <c r="O55" s="18"/>
      <c r="P55" s="18"/>
      <c r="Q55" s="18">
        <v>1</v>
      </c>
    </row>
    <row r="56" spans="1:18" customFormat="1" x14ac:dyDescent="0.25">
      <c r="A56" s="18"/>
      <c r="B56" s="18" t="s">
        <v>34</v>
      </c>
      <c r="C56" s="18" t="s">
        <v>1934</v>
      </c>
      <c r="D56" s="18" t="s">
        <v>1935</v>
      </c>
      <c r="E56" s="18" t="s">
        <v>1936</v>
      </c>
      <c r="F56" s="18" t="s">
        <v>18</v>
      </c>
      <c r="G56" s="19">
        <v>685</v>
      </c>
      <c r="H56" s="19">
        <v>25</v>
      </c>
      <c r="I56" s="19">
        <f t="shared" si="6"/>
        <v>660</v>
      </c>
      <c r="J56" s="18" t="s">
        <v>15</v>
      </c>
      <c r="K56" s="18" t="s">
        <v>15</v>
      </c>
      <c r="L56" s="18" t="s">
        <v>1801</v>
      </c>
      <c r="M56" s="18"/>
      <c r="N56" s="18"/>
      <c r="O56" s="18"/>
      <c r="P56" s="18"/>
      <c r="Q56" s="18">
        <v>1</v>
      </c>
    </row>
    <row r="57" spans="1:18" customFormat="1" x14ac:dyDescent="0.25">
      <c r="A57" s="18"/>
      <c r="B57" s="18" t="s">
        <v>34</v>
      </c>
      <c r="C57" s="18" t="s">
        <v>1937</v>
      </c>
      <c r="D57" s="18" t="s">
        <v>1938</v>
      </c>
      <c r="E57" s="18" t="s">
        <v>1939</v>
      </c>
      <c r="F57" s="19">
        <v>2</v>
      </c>
      <c r="G57" s="19">
        <v>1090</v>
      </c>
      <c r="H57" s="19">
        <v>30</v>
      </c>
      <c r="I57" s="19">
        <f t="shared" si="6"/>
        <v>1060</v>
      </c>
      <c r="J57" s="18" t="s">
        <v>15</v>
      </c>
      <c r="K57" s="18" t="s">
        <v>15</v>
      </c>
      <c r="L57" s="18" t="s">
        <v>1801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1940</v>
      </c>
      <c r="D58" s="18" t="s">
        <v>1941</v>
      </c>
      <c r="E58" s="18" t="s">
        <v>1942</v>
      </c>
      <c r="F58" s="18" t="s">
        <v>20</v>
      </c>
      <c r="G58" s="19">
        <v>725</v>
      </c>
      <c r="H58" s="19">
        <v>25</v>
      </c>
      <c r="I58" s="19">
        <f t="shared" si="6"/>
        <v>700</v>
      </c>
      <c r="J58" s="18" t="s">
        <v>15</v>
      </c>
      <c r="K58" s="18" t="s">
        <v>15</v>
      </c>
      <c r="L58" s="18" t="s">
        <v>1801</v>
      </c>
      <c r="M58" s="18"/>
      <c r="N58" s="18"/>
      <c r="O58" s="18"/>
      <c r="P58" s="18"/>
      <c r="Q58" s="18">
        <v>1</v>
      </c>
    </row>
    <row r="59" spans="1:18" customFormat="1" x14ac:dyDescent="0.25">
      <c r="A59" s="18"/>
      <c r="B59" s="18" t="s">
        <v>34</v>
      </c>
      <c r="C59" s="18" t="s">
        <v>1519</v>
      </c>
      <c r="D59" s="18" t="s">
        <v>1943</v>
      </c>
      <c r="E59" s="18" t="s">
        <v>1944</v>
      </c>
      <c r="F59" s="19">
        <v>2</v>
      </c>
      <c r="G59" s="19">
        <v>2190</v>
      </c>
      <c r="H59" s="19">
        <v>35</v>
      </c>
      <c r="I59" s="19">
        <f t="shared" si="6"/>
        <v>2155</v>
      </c>
      <c r="J59" s="18" t="s">
        <v>15</v>
      </c>
      <c r="K59" s="18" t="s">
        <v>15</v>
      </c>
      <c r="L59" s="18" t="s">
        <v>1801</v>
      </c>
      <c r="M59" s="48" t="s">
        <v>377</v>
      </c>
      <c r="N59" s="18"/>
      <c r="O59" s="18"/>
      <c r="P59" s="18"/>
      <c r="Q59" s="18">
        <v>1</v>
      </c>
      <c r="R59" s="17">
        <f>H59</f>
        <v>35</v>
      </c>
    </row>
    <row r="60" spans="1:18" customFormat="1" x14ac:dyDescent="0.25">
      <c r="A60" s="18"/>
      <c r="B60" s="18" t="s">
        <v>34</v>
      </c>
      <c r="C60" s="18" t="s">
        <v>1945</v>
      </c>
      <c r="D60" s="18" t="s">
        <v>1946</v>
      </c>
      <c r="E60" s="18" t="s">
        <v>1947</v>
      </c>
      <c r="F60" s="18" t="s">
        <v>19</v>
      </c>
      <c r="G60" s="19">
        <v>2770</v>
      </c>
      <c r="H60" s="19">
        <v>25</v>
      </c>
      <c r="I60" s="19">
        <f t="shared" si="6"/>
        <v>2745</v>
      </c>
      <c r="J60" s="18" t="s">
        <v>15</v>
      </c>
      <c r="K60" s="18" t="s">
        <v>15</v>
      </c>
      <c r="L60" s="18" t="s">
        <v>1801</v>
      </c>
      <c r="M60" s="48" t="s">
        <v>377</v>
      </c>
      <c r="N60" s="18"/>
      <c r="O60" s="18"/>
      <c r="P60" s="18"/>
      <c r="Q60" s="18">
        <v>1</v>
      </c>
      <c r="R60" s="17">
        <f>H60</f>
        <v>25</v>
      </c>
    </row>
    <row r="61" spans="1:18" customFormat="1" x14ac:dyDescent="0.25">
      <c r="A61" s="18"/>
      <c r="B61" s="18" t="s">
        <v>34</v>
      </c>
      <c r="C61" s="18" t="s">
        <v>1948</v>
      </c>
      <c r="D61" s="18" t="s">
        <v>1949</v>
      </c>
      <c r="E61" s="18" t="s">
        <v>1950</v>
      </c>
      <c r="F61" s="18" t="s">
        <v>144</v>
      </c>
      <c r="G61" s="19">
        <v>820</v>
      </c>
      <c r="H61" s="19">
        <v>30</v>
      </c>
      <c r="I61" s="19">
        <f t="shared" si="6"/>
        <v>790</v>
      </c>
      <c r="J61" s="18" t="s">
        <v>15</v>
      </c>
      <c r="K61" s="18" t="s">
        <v>15</v>
      </c>
      <c r="L61" s="18" t="s">
        <v>1801</v>
      </c>
      <c r="M61" s="18"/>
      <c r="N61" s="18"/>
      <c r="O61" s="18"/>
      <c r="P61" s="18"/>
      <c r="Q61" s="18">
        <v>1</v>
      </c>
    </row>
    <row r="62" spans="1:18" customFormat="1" x14ac:dyDescent="0.25">
      <c r="A62" s="18"/>
      <c r="B62" s="18" t="s">
        <v>34</v>
      </c>
      <c r="C62" s="18" t="s">
        <v>1951</v>
      </c>
      <c r="D62" s="18" t="s">
        <v>1952</v>
      </c>
      <c r="E62" s="18" t="s">
        <v>1953</v>
      </c>
      <c r="F62" s="19">
        <v>2</v>
      </c>
      <c r="G62" s="19">
        <v>720</v>
      </c>
      <c r="H62" s="19">
        <v>30</v>
      </c>
      <c r="I62" s="19">
        <f t="shared" si="6"/>
        <v>690</v>
      </c>
      <c r="J62" s="18" t="s">
        <v>15</v>
      </c>
      <c r="K62" s="18" t="s">
        <v>15</v>
      </c>
      <c r="L62" s="18" t="s">
        <v>1801</v>
      </c>
      <c r="M62" s="18"/>
      <c r="N62" s="18"/>
      <c r="O62" s="18"/>
      <c r="P62" s="18"/>
      <c r="Q62" s="18">
        <v>1</v>
      </c>
    </row>
    <row r="63" spans="1:18" customFormat="1" x14ac:dyDescent="0.25">
      <c r="A63" s="18"/>
      <c r="B63" s="18" t="s">
        <v>34</v>
      </c>
      <c r="C63" s="18" t="s">
        <v>836</v>
      </c>
      <c r="D63" s="18" t="s">
        <v>1954</v>
      </c>
      <c r="E63" s="18" t="s">
        <v>838</v>
      </c>
      <c r="F63" s="19">
        <v>2</v>
      </c>
      <c r="G63" s="19">
        <v>0</v>
      </c>
      <c r="H63" s="19">
        <v>30</v>
      </c>
      <c r="I63" s="19">
        <f>-H63</f>
        <v>-30</v>
      </c>
      <c r="J63" s="18" t="s">
        <v>15</v>
      </c>
      <c r="K63" s="18" t="s">
        <v>15</v>
      </c>
      <c r="L63" s="18" t="s">
        <v>1801</v>
      </c>
      <c r="M63" s="18"/>
      <c r="N63" s="18"/>
      <c r="O63" s="18"/>
      <c r="P63" s="18"/>
      <c r="Q63" s="18">
        <v>1</v>
      </c>
      <c r="R63" s="17">
        <f t="shared" ref="R63:R64" si="7">H63</f>
        <v>30</v>
      </c>
    </row>
    <row r="64" spans="1:18" customFormat="1" x14ac:dyDescent="0.25">
      <c r="A64" s="18"/>
      <c r="B64" s="18" t="s">
        <v>34</v>
      </c>
      <c r="C64" s="18" t="s">
        <v>1759</v>
      </c>
      <c r="D64" s="18" t="s">
        <v>1955</v>
      </c>
      <c r="E64" s="18" t="s">
        <v>1761</v>
      </c>
      <c r="F64" s="19">
        <v>12</v>
      </c>
      <c r="G64" s="19">
        <v>0</v>
      </c>
      <c r="H64" s="19">
        <v>30</v>
      </c>
      <c r="I64" s="19">
        <f>-H64</f>
        <v>-30</v>
      </c>
      <c r="J64" s="18" t="s">
        <v>15</v>
      </c>
      <c r="K64" s="18" t="s">
        <v>15</v>
      </c>
      <c r="L64" s="18" t="s">
        <v>1801</v>
      </c>
      <c r="M64" s="18"/>
      <c r="N64" s="18"/>
      <c r="O64" s="18"/>
      <c r="P64" s="18"/>
      <c r="Q64" s="18">
        <v>1</v>
      </c>
      <c r="R64" s="17">
        <f t="shared" si="7"/>
        <v>30</v>
      </c>
    </row>
    <row r="65" spans="1:18" customFormat="1" x14ac:dyDescent="0.25">
      <c r="A65" s="18"/>
      <c r="B65" s="18" t="s">
        <v>34</v>
      </c>
      <c r="C65" s="18" t="s">
        <v>1956</v>
      </c>
      <c r="D65" s="18" t="s">
        <v>1957</v>
      </c>
      <c r="E65" s="18" t="s">
        <v>1958</v>
      </c>
      <c r="F65" s="18" t="s">
        <v>20</v>
      </c>
      <c r="G65" s="19">
        <v>1305</v>
      </c>
      <c r="H65" s="19">
        <v>25</v>
      </c>
      <c r="I65" s="19">
        <f>G65-H65</f>
        <v>1280</v>
      </c>
      <c r="J65" s="18" t="s">
        <v>15</v>
      </c>
      <c r="K65" s="18" t="s">
        <v>15</v>
      </c>
      <c r="L65" s="18" t="s">
        <v>1801</v>
      </c>
      <c r="M65" s="18"/>
      <c r="N65" s="18"/>
      <c r="O65" s="18"/>
      <c r="P65" s="18"/>
      <c r="Q65" s="18">
        <v>1</v>
      </c>
    </row>
    <row r="66" spans="1:18" customFormat="1" x14ac:dyDescent="0.25">
      <c r="A66" s="18"/>
      <c r="B66" s="18" t="s">
        <v>34</v>
      </c>
      <c r="C66" s="18" t="s">
        <v>1959</v>
      </c>
      <c r="D66" s="18" t="s">
        <v>1960</v>
      </c>
      <c r="E66" s="18" t="s">
        <v>1961</v>
      </c>
      <c r="F66" s="19">
        <v>2</v>
      </c>
      <c r="G66" s="19">
        <v>960</v>
      </c>
      <c r="H66" s="19">
        <v>30</v>
      </c>
      <c r="I66" s="19">
        <f>G66-H66</f>
        <v>930</v>
      </c>
      <c r="J66" s="18" t="s">
        <v>15</v>
      </c>
      <c r="K66" s="18" t="s">
        <v>15</v>
      </c>
      <c r="L66" s="18" t="s">
        <v>1801</v>
      </c>
      <c r="M66" s="18"/>
      <c r="N66" s="18"/>
      <c r="O66" s="18"/>
      <c r="P66" s="18"/>
      <c r="Q66" s="18">
        <v>1</v>
      </c>
    </row>
    <row r="67" spans="1:18" customFormat="1" x14ac:dyDescent="0.25">
      <c r="A67" s="18"/>
      <c r="B67" s="18" t="s">
        <v>34</v>
      </c>
      <c r="C67" s="18" t="s">
        <v>1962</v>
      </c>
      <c r="D67" s="18" t="s">
        <v>1963</v>
      </c>
      <c r="E67" s="18" t="s">
        <v>1964</v>
      </c>
      <c r="F67" s="18" t="s">
        <v>19</v>
      </c>
      <c r="G67" s="19">
        <v>550</v>
      </c>
      <c r="H67" s="19">
        <v>20</v>
      </c>
      <c r="I67" s="19">
        <f>G67-H67</f>
        <v>530</v>
      </c>
      <c r="J67" s="18" t="s">
        <v>15</v>
      </c>
      <c r="K67" s="18" t="s">
        <v>15</v>
      </c>
      <c r="L67" s="18" t="s">
        <v>1801</v>
      </c>
      <c r="M67" s="18"/>
      <c r="N67" s="18"/>
      <c r="O67" s="18"/>
      <c r="P67" s="18"/>
      <c r="Q67" s="18">
        <v>1</v>
      </c>
    </row>
    <row r="68" spans="1:18" customFormat="1" x14ac:dyDescent="0.25">
      <c r="A68" s="18"/>
      <c r="B68" s="18" t="s">
        <v>34</v>
      </c>
      <c r="C68" s="18" t="s">
        <v>1965</v>
      </c>
      <c r="D68" s="18" t="s">
        <v>1966</v>
      </c>
      <c r="E68" s="18" t="s">
        <v>1967</v>
      </c>
      <c r="F68" s="18" t="s">
        <v>19</v>
      </c>
      <c r="G68" s="19">
        <v>0</v>
      </c>
      <c r="H68" s="19">
        <v>20</v>
      </c>
      <c r="I68" s="19">
        <f>-H68</f>
        <v>-20</v>
      </c>
      <c r="J68" s="18" t="s">
        <v>15</v>
      </c>
      <c r="K68" s="18" t="s">
        <v>15</v>
      </c>
      <c r="L68" s="18" t="s">
        <v>1801</v>
      </c>
      <c r="M68" s="18"/>
      <c r="N68" s="18"/>
      <c r="O68" s="18"/>
      <c r="P68" s="18"/>
      <c r="Q68" s="18">
        <v>1</v>
      </c>
      <c r="R68" s="17">
        <f>H68</f>
        <v>20</v>
      </c>
    </row>
    <row r="69" spans="1:18" customFormat="1" x14ac:dyDescent="0.25">
      <c r="A69" s="18"/>
      <c r="B69" s="18" t="s">
        <v>34</v>
      </c>
      <c r="C69" s="18" t="s">
        <v>1968</v>
      </c>
      <c r="D69" s="18" t="s">
        <v>1969</v>
      </c>
      <c r="E69" s="18" t="s">
        <v>1970</v>
      </c>
      <c r="F69" s="18" t="s">
        <v>19</v>
      </c>
      <c r="G69" s="19">
        <v>890</v>
      </c>
      <c r="H69" s="19">
        <v>20</v>
      </c>
      <c r="I69" s="19">
        <f>G69-H69</f>
        <v>870</v>
      </c>
      <c r="J69" s="18" t="s">
        <v>15</v>
      </c>
      <c r="K69" s="18" t="s">
        <v>15</v>
      </c>
      <c r="L69" s="18" t="s">
        <v>1801</v>
      </c>
      <c r="M69" s="18"/>
      <c r="N69" s="18"/>
      <c r="O69" s="18"/>
      <c r="P69" s="18"/>
      <c r="Q69" s="18">
        <v>1</v>
      </c>
    </row>
    <row r="70" spans="1:18" customFormat="1" x14ac:dyDescent="0.25">
      <c r="A70" s="18" t="s">
        <v>96</v>
      </c>
      <c r="B70" s="18" t="s">
        <v>34</v>
      </c>
      <c r="C70" s="18" t="s">
        <v>1971</v>
      </c>
      <c r="D70" s="18"/>
      <c r="E70" s="18" t="s">
        <v>1972</v>
      </c>
      <c r="F70" s="18" t="s">
        <v>19</v>
      </c>
      <c r="G70" s="19">
        <v>275</v>
      </c>
      <c r="H70" s="19">
        <v>25</v>
      </c>
      <c r="I70" s="19">
        <f>G70-H70</f>
        <v>250</v>
      </c>
      <c r="J70" s="18" t="s">
        <v>15</v>
      </c>
      <c r="K70" s="18" t="s">
        <v>15</v>
      </c>
      <c r="L70" s="18" t="s">
        <v>1801</v>
      </c>
      <c r="M70" s="18"/>
      <c r="N70" s="18"/>
      <c r="O70" s="18"/>
      <c r="P70" s="18"/>
      <c r="Q70" s="18">
        <v>1</v>
      </c>
    </row>
    <row r="71" spans="1:18" customFormat="1" x14ac:dyDescent="0.25">
      <c r="A71" s="18" t="s">
        <v>96</v>
      </c>
      <c r="B71" s="18" t="s">
        <v>34</v>
      </c>
      <c r="C71" s="18" t="s">
        <v>1973</v>
      </c>
      <c r="D71" s="18"/>
      <c r="E71" s="18" t="s">
        <v>259</v>
      </c>
      <c r="F71" s="19">
        <v>12</v>
      </c>
      <c r="G71" s="19">
        <v>0</v>
      </c>
      <c r="H71" s="19">
        <v>35</v>
      </c>
      <c r="I71" s="19">
        <f>-H71</f>
        <v>-35</v>
      </c>
      <c r="J71" s="18" t="s">
        <v>15</v>
      </c>
      <c r="K71" s="18" t="s">
        <v>15</v>
      </c>
      <c r="L71" s="18" t="s">
        <v>1801</v>
      </c>
      <c r="M71" s="18"/>
      <c r="N71" s="18"/>
      <c r="O71" s="18"/>
      <c r="P71" s="18"/>
      <c r="Q71" s="18">
        <v>1</v>
      </c>
      <c r="R71" s="17">
        <f t="shared" ref="R71:R72" si="8">H71</f>
        <v>35</v>
      </c>
    </row>
    <row r="72" spans="1:18" customFormat="1" x14ac:dyDescent="0.25">
      <c r="A72" s="18" t="s">
        <v>96</v>
      </c>
      <c r="B72" s="18" t="s">
        <v>34</v>
      </c>
      <c r="C72" s="18" t="s">
        <v>1974</v>
      </c>
      <c r="D72" s="18"/>
      <c r="E72" s="18" t="s">
        <v>259</v>
      </c>
      <c r="F72" s="19">
        <v>12</v>
      </c>
      <c r="G72" s="19">
        <v>0</v>
      </c>
      <c r="H72" s="19">
        <v>35</v>
      </c>
      <c r="I72" s="19">
        <f>-H72</f>
        <v>-35</v>
      </c>
      <c r="J72" s="18" t="s">
        <v>15</v>
      </c>
      <c r="K72" s="18" t="s">
        <v>15</v>
      </c>
      <c r="L72" s="18" t="s">
        <v>1801</v>
      </c>
      <c r="M72" s="18"/>
      <c r="N72" s="18"/>
      <c r="O72" s="18"/>
      <c r="P72" s="18"/>
      <c r="Q72" s="18">
        <v>1</v>
      </c>
      <c r="R72" s="17">
        <f t="shared" si="8"/>
        <v>35</v>
      </c>
    </row>
    <row r="73" spans="1:18" customFormat="1" x14ac:dyDescent="0.25">
      <c r="A73" s="18" t="s">
        <v>96</v>
      </c>
      <c r="B73" s="18" t="s">
        <v>34</v>
      </c>
      <c r="C73" s="18" t="s">
        <v>314</v>
      </c>
      <c r="D73" s="18"/>
      <c r="E73" s="18" t="s">
        <v>315</v>
      </c>
      <c r="F73" s="18" t="s">
        <v>20</v>
      </c>
      <c r="G73" s="19">
        <v>30</v>
      </c>
      <c r="H73" s="19">
        <v>30</v>
      </c>
      <c r="I73" s="19">
        <f>G73-H73</f>
        <v>0</v>
      </c>
      <c r="J73" s="18" t="s">
        <v>15</v>
      </c>
      <c r="K73" s="18" t="s">
        <v>15</v>
      </c>
      <c r="L73" s="18" t="s">
        <v>1801</v>
      </c>
      <c r="M73" s="18"/>
      <c r="N73" s="18"/>
      <c r="O73" s="18"/>
      <c r="P73" s="18"/>
      <c r="Q73" s="18">
        <v>1</v>
      </c>
    </row>
    <row r="74" spans="1:18" customFormat="1" x14ac:dyDescent="0.25">
      <c r="A74" s="18" t="s">
        <v>96</v>
      </c>
      <c r="B74" s="18" t="s">
        <v>34</v>
      </c>
      <c r="C74" s="18" t="s">
        <v>1975</v>
      </c>
      <c r="D74" s="18"/>
      <c r="E74" s="18" t="s">
        <v>1976</v>
      </c>
      <c r="F74" s="19">
        <v>12</v>
      </c>
      <c r="G74" s="19">
        <v>35</v>
      </c>
      <c r="H74" s="19">
        <v>35</v>
      </c>
      <c r="I74" s="19">
        <f>G74-H74</f>
        <v>0</v>
      </c>
      <c r="J74" s="18" t="s">
        <v>15</v>
      </c>
      <c r="K74" s="18" t="s">
        <v>15</v>
      </c>
      <c r="L74" s="18" t="s">
        <v>1801</v>
      </c>
      <c r="M74" s="18"/>
      <c r="N74" s="18"/>
      <c r="O74" s="18"/>
      <c r="P74" s="18"/>
      <c r="Q74" s="18">
        <v>1</v>
      </c>
    </row>
    <row r="75" spans="1:18" customFormat="1" x14ac:dyDescent="0.25">
      <c r="A75" s="18"/>
      <c r="B75" s="18" t="s">
        <v>34</v>
      </c>
      <c r="C75" s="18" t="s">
        <v>1977</v>
      </c>
      <c r="D75" s="18" t="s">
        <v>1978</v>
      </c>
      <c r="E75" s="18" t="s">
        <v>1435</v>
      </c>
      <c r="F75" s="19">
        <v>5</v>
      </c>
      <c r="G75" s="19">
        <v>785</v>
      </c>
      <c r="H75" s="19">
        <v>25</v>
      </c>
      <c r="I75" s="19">
        <f>G75-H75</f>
        <v>760</v>
      </c>
      <c r="J75" s="18" t="s">
        <v>160</v>
      </c>
      <c r="K75" s="18" t="s">
        <v>15</v>
      </c>
      <c r="L75" s="18" t="s">
        <v>1801</v>
      </c>
      <c r="M75" s="18"/>
      <c r="N75" s="18"/>
      <c r="O75" s="18"/>
      <c r="P75" s="18"/>
      <c r="Q75" s="18">
        <v>1</v>
      </c>
    </row>
    <row r="76" spans="1:18" customFormat="1" x14ac:dyDescent="0.25">
      <c r="A76" s="18"/>
      <c r="B76" s="18" t="s">
        <v>34</v>
      </c>
      <c r="C76" s="18" t="s">
        <v>1979</v>
      </c>
      <c r="D76" s="18" t="s">
        <v>1980</v>
      </c>
      <c r="E76" s="18" t="s">
        <v>1981</v>
      </c>
      <c r="F76" s="18" t="s">
        <v>18</v>
      </c>
      <c r="G76" s="19">
        <v>0</v>
      </c>
      <c r="H76" s="19">
        <v>25</v>
      </c>
      <c r="I76" s="19">
        <f>-H76</f>
        <v>-25</v>
      </c>
      <c r="J76" s="18" t="s">
        <v>160</v>
      </c>
      <c r="K76" s="18" t="s">
        <v>15</v>
      </c>
      <c r="L76" s="18" t="s">
        <v>1801</v>
      </c>
      <c r="M76" s="18"/>
      <c r="N76" s="18"/>
      <c r="O76" s="18"/>
      <c r="P76" s="18"/>
      <c r="Q76" s="18">
        <v>1</v>
      </c>
      <c r="R76" s="17">
        <f t="shared" ref="R76:R79" si="9">H76</f>
        <v>25</v>
      </c>
    </row>
    <row r="77" spans="1:18" customFormat="1" x14ac:dyDescent="0.25">
      <c r="A77" s="18"/>
      <c r="B77" s="18" t="s">
        <v>34</v>
      </c>
      <c r="C77" s="18" t="s">
        <v>1982</v>
      </c>
      <c r="D77" s="18" t="s">
        <v>1983</v>
      </c>
      <c r="E77" s="18" t="s">
        <v>1984</v>
      </c>
      <c r="F77" s="19">
        <v>10</v>
      </c>
      <c r="G77" s="19">
        <v>0</v>
      </c>
      <c r="H77" s="19">
        <v>25</v>
      </c>
      <c r="I77" s="19">
        <f>-H77</f>
        <v>-25</v>
      </c>
      <c r="J77" s="18" t="s">
        <v>160</v>
      </c>
      <c r="K77" s="18" t="s">
        <v>15</v>
      </c>
      <c r="L77" s="18" t="s">
        <v>1801</v>
      </c>
      <c r="M77" s="18"/>
      <c r="N77" s="18"/>
      <c r="O77" s="18"/>
      <c r="P77" s="18"/>
      <c r="Q77" s="18">
        <v>1</v>
      </c>
      <c r="R77" s="17">
        <f t="shared" si="9"/>
        <v>25</v>
      </c>
    </row>
    <row r="78" spans="1:18" customFormat="1" x14ac:dyDescent="0.25">
      <c r="A78" s="18"/>
      <c r="B78" s="18" t="s">
        <v>34</v>
      </c>
      <c r="C78" s="18" t="s">
        <v>1985</v>
      </c>
      <c r="D78" s="18" t="s">
        <v>1986</v>
      </c>
      <c r="E78" s="18" t="s">
        <v>1987</v>
      </c>
      <c r="F78" s="19">
        <v>10</v>
      </c>
      <c r="G78" s="19">
        <v>0</v>
      </c>
      <c r="H78" s="19">
        <v>25</v>
      </c>
      <c r="I78" s="19">
        <f t="shared" ref="I78:I84" si="10">G78-H78</f>
        <v>-25</v>
      </c>
      <c r="J78" s="18" t="s">
        <v>160</v>
      </c>
      <c r="K78" s="18" t="s">
        <v>15</v>
      </c>
      <c r="L78" s="18" t="s">
        <v>1801</v>
      </c>
      <c r="M78" s="48" t="s">
        <v>1988</v>
      </c>
      <c r="N78" s="18"/>
      <c r="O78" s="18"/>
      <c r="P78" s="18"/>
      <c r="Q78" s="18">
        <v>1</v>
      </c>
      <c r="R78" s="17">
        <f t="shared" si="9"/>
        <v>25</v>
      </c>
    </row>
    <row r="79" spans="1:18" customFormat="1" x14ac:dyDescent="0.25">
      <c r="A79" s="18"/>
      <c r="B79" s="18" t="s">
        <v>34</v>
      </c>
      <c r="C79" s="18" t="s">
        <v>1985</v>
      </c>
      <c r="D79" s="18" t="s">
        <v>1989</v>
      </c>
      <c r="E79" s="18" t="s">
        <v>1987</v>
      </c>
      <c r="F79" s="19">
        <v>10</v>
      </c>
      <c r="G79" s="19">
        <v>0</v>
      </c>
      <c r="H79" s="19">
        <v>0</v>
      </c>
      <c r="I79" s="19">
        <f t="shared" si="10"/>
        <v>0</v>
      </c>
      <c r="J79" s="18" t="s">
        <v>160</v>
      </c>
      <c r="K79" s="18" t="s">
        <v>15</v>
      </c>
      <c r="L79" s="18" t="s">
        <v>1801</v>
      </c>
      <c r="M79" s="48" t="s">
        <v>1990</v>
      </c>
      <c r="N79" s="18"/>
      <c r="O79" s="18"/>
      <c r="P79" s="18"/>
      <c r="Q79" s="18">
        <v>1</v>
      </c>
      <c r="R79" s="17">
        <f t="shared" si="9"/>
        <v>0</v>
      </c>
    </row>
    <row r="80" spans="1:18" customFormat="1" x14ac:dyDescent="0.25">
      <c r="A80" s="18"/>
      <c r="B80" s="18" t="s">
        <v>34</v>
      </c>
      <c r="C80" s="18" t="s">
        <v>1991</v>
      </c>
      <c r="D80" s="18" t="s">
        <v>1992</v>
      </c>
      <c r="E80" s="18" t="s">
        <v>1993</v>
      </c>
      <c r="F80" s="19">
        <v>4</v>
      </c>
      <c r="G80" s="19">
        <v>895</v>
      </c>
      <c r="H80" s="19">
        <v>25</v>
      </c>
      <c r="I80" s="19">
        <f t="shared" si="10"/>
        <v>870</v>
      </c>
      <c r="J80" s="18" t="s">
        <v>160</v>
      </c>
      <c r="K80" s="18" t="s">
        <v>15</v>
      </c>
      <c r="L80" s="18" t="s">
        <v>1801</v>
      </c>
      <c r="M80" s="18"/>
      <c r="N80" s="18"/>
      <c r="O80" s="18"/>
      <c r="P80" s="18"/>
      <c r="Q80" s="18">
        <v>1</v>
      </c>
    </row>
    <row r="81" spans="1:18" customFormat="1" x14ac:dyDescent="0.25">
      <c r="A81" s="18"/>
      <c r="B81" s="18" t="s">
        <v>34</v>
      </c>
      <c r="C81" s="18" t="s">
        <v>1994</v>
      </c>
      <c r="D81" s="18" t="s">
        <v>1995</v>
      </c>
      <c r="E81" s="18" t="s">
        <v>1996</v>
      </c>
      <c r="F81" s="19">
        <v>1</v>
      </c>
      <c r="G81" s="19">
        <v>695</v>
      </c>
      <c r="H81" s="19">
        <v>25</v>
      </c>
      <c r="I81" s="19">
        <f t="shared" si="10"/>
        <v>670</v>
      </c>
      <c r="J81" s="18" t="s">
        <v>160</v>
      </c>
      <c r="K81" s="18" t="s">
        <v>15</v>
      </c>
      <c r="L81" s="18" t="s">
        <v>1801</v>
      </c>
      <c r="M81" s="18"/>
      <c r="N81" s="18"/>
      <c r="O81" s="18"/>
      <c r="P81" s="18"/>
      <c r="Q81" s="18">
        <v>1</v>
      </c>
    </row>
    <row r="82" spans="1:18" customFormat="1" x14ac:dyDescent="0.25">
      <c r="A82" s="18"/>
      <c r="B82" s="18" t="s">
        <v>34</v>
      </c>
      <c r="C82" s="18" t="s">
        <v>1997</v>
      </c>
      <c r="D82" s="18" t="s">
        <v>1998</v>
      </c>
      <c r="E82" s="18" t="s">
        <v>1999</v>
      </c>
      <c r="F82" s="19">
        <v>1</v>
      </c>
      <c r="G82" s="19">
        <v>595</v>
      </c>
      <c r="H82" s="19">
        <v>25</v>
      </c>
      <c r="I82" s="19">
        <f t="shared" si="10"/>
        <v>570</v>
      </c>
      <c r="J82" s="18" t="s">
        <v>160</v>
      </c>
      <c r="K82" s="18" t="s">
        <v>15</v>
      </c>
      <c r="L82" s="18" t="s">
        <v>1801</v>
      </c>
      <c r="M82" s="18"/>
      <c r="N82" s="18"/>
      <c r="O82" s="18"/>
      <c r="P82" s="18"/>
      <c r="Q82" s="18">
        <v>1</v>
      </c>
    </row>
    <row r="83" spans="1:18" customFormat="1" x14ac:dyDescent="0.25">
      <c r="A83" s="18"/>
      <c r="B83" s="18" t="s">
        <v>34</v>
      </c>
      <c r="C83" s="18" t="s">
        <v>2000</v>
      </c>
      <c r="D83" s="18" t="s">
        <v>2001</v>
      </c>
      <c r="E83" s="18" t="s">
        <v>2002</v>
      </c>
      <c r="F83" s="19">
        <v>10</v>
      </c>
      <c r="G83" s="19">
        <v>1725</v>
      </c>
      <c r="H83" s="19">
        <v>25</v>
      </c>
      <c r="I83" s="19">
        <f t="shared" si="10"/>
        <v>1700</v>
      </c>
      <c r="J83" s="18" t="s">
        <v>160</v>
      </c>
      <c r="K83" s="18" t="s">
        <v>15</v>
      </c>
      <c r="L83" s="18" t="s">
        <v>1801</v>
      </c>
      <c r="M83" s="18"/>
      <c r="N83" s="18"/>
      <c r="O83" s="18"/>
      <c r="P83" s="18"/>
      <c r="Q83" s="18">
        <v>1</v>
      </c>
    </row>
    <row r="84" spans="1:18" customFormat="1" x14ac:dyDescent="0.25">
      <c r="A84" s="18"/>
      <c r="B84" s="18" t="s">
        <v>34</v>
      </c>
      <c r="C84" s="18" t="s">
        <v>308</v>
      </c>
      <c r="D84" s="18" t="s">
        <v>2003</v>
      </c>
      <c r="E84" s="18" t="s">
        <v>310</v>
      </c>
      <c r="F84" s="18" t="s">
        <v>18</v>
      </c>
      <c r="G84" s="19">
        <v>1545</v>
      </c>
      <c r="H84" s="19">
        <v>25</v>
      </c>
      <c r="I84" s="19">
        <f t="shared" si="10"/>
        <v>1520</v>
      </c>
      <c r="J84" s="18" t="s">
        <v>160</v>
      </c>
      <c r="K84" s="18" t="s">
        <v>15</v>
      </c>
      <c r="L84" s="18" t="s">
        <v>1801</v>
      </c>
      <c r="M84" s="18"/>
      <c r="N84" s="18"/>
      <c r="O84" s="18"/>
      <c r="P84" s="18"/>
      <c r="Q84" s="18">
        <v>1</v>
      </c>
    </row>
    <row r="85" spans="1:18" customFormat="1" x14ac:dyDescent="0.25">
      <c r="A85" s="18"/>
      <c r="B85" s="18" t="s">
        <v>34</v>
      </c>
      <c r="C85" s="18" t="s">
        <v>2004</v>
      </c>
      <c r="D85" s="18" t="s">
        <v>2005</v>
      </c>
      <c r="E85" s="18" t="s">
        <v>2006</v>
      </c>
      <c r="F85" s="19">
        <v>1</v>
      </c>
      <c r="G85" s="19">
        <v>0</v>
      </c>
      <c r="H85" s="19">
        <v>25</v>
      </c>
      <c r="I85" s="19">
        <f>-H85</f>
        <v>-25</v>
      </c>
      <c r="J85" s="18" t="s">
        <v>160</v>
      </c>
      <c r="K85" s="18" t="s">
        <v>15</v>
      </c>
      <c r="L85" s="18" t="s">
        <v>1801</v>
      </c>
      <c r="M85" s="18"/>
      <c r="N85" s="18"/>
      <c r="O85" s="18"/>
      <c r="P85" s="18"/>
      <c r="Q85" s="18">
        <v>1</v>
      </c>
      <c r="R85" s="17">
        <f t="shared" ref="R85:R86" si="11">H85</f>
        <v>25</v>
      </c>
    </row>
    <row r="86" spans="1:18" customFormat="1" x14ac:dyDescent="0.25">
      <c r="A86" s="18"/>
      <c r="B86" s="18" t="s">
        <v>34</v>
      </c>
      <c r="C86" s="18" t="s">
        <v>2007</v>
      </c>
      <c r="D86" s="18" t="s">
        <v>2008</v>
      </c>
      <c r="E86" s="18" t="s">
        <v>2009</v>
      </c>
      <c r="F86" s="18" t="s">
        <v>18</v>
      </c>
      <c r="G86" s="19">
        <v>0</v>
      </c>
      <c r="H86" s="19">
        <v>25</v>
      </c>
      <c r="I86" s="19">
        <f>-H86</f>
        <v>-25</v>
      </c>
      <c r="J86" s="18" t="s">
        <v>160</v>
      </c>
      <c r="K86" s="18" t="s">
        <v>15</v>
      </c>
      <c r="L86" s="18" t="s">
        <v>1801</v>
      </c>
      <c r="M86" s="18"/>
      <c r="N86" s="18"/>
      <c r="O86" s="18"/>
      <c r="P86" s="18"/>
      <c r="Q86" s="18">
        <v>1</v>
      </c>
      <c r="R86" s="17">
        <f t="shared" si="11"/>
        <v>25</v>
      </c>
    </row>
    <row r="87" spans="1:18" customFormat="1" x14ac:dyDescent="0.25">
      <c r="A87" s="18"/>
      <c r="B87" s="18" t="s">
        <v>34</v>
      </c>
      <c r="C87" s="18" t="s">
        <v>2010</v>
      </c>
      <c r="D87" s="18" t="s">
        <v>2011</v>
      </c>
      <c r="E87" s="18" t="s">
        <v>2012</v>
      </c>
      <c r="F87" s="19">
        <v>10</v>
      </c>
      <c r="G87" s="19">
        <v>885</v>
      </c>
      <c r="H87" s="19">
        <v>25</v>
      </c>
      <c r="I87" s="19">
        <f>G87-H87</f>
        <v>860</v>
      </c>
      <c r="J87" s="18" t="s">
        <v>160</v>
      </c>
      <c r="K87" s="18" t="s">
        <v>15</v>
      </c>
      <c r="L87" s="18" t="s">
        <v>1801</v>
      </c>
      <c r="M87" s="18"/>
      <c r="N87" s="18"/>
      <c r="O87" s="18"/>
      <c r="P87" s="18"/>
      <c r="Q87" s="18">
        <v>1</v>
      </c>
    </row>
    <row r="88" spans="1:18" customFormat="1" x14ac:dyDescent="0.25">
      <c r="A88" s="18"/>
      <c r="B88" s="18" t="s">
        <v>34</v>
      </c>
      <c r="C88" s="18" t="s">
        <v>2013</v>
      </c>
      <c r="D88" s="18" t="s">
        <v>2014</v>
      </c>
      <c r="E88" s="18" t="s">
        <v>2015</v>
      </c>
      <c r="F88" s="19">
        <v>5</v>
      </c>
      <c r="G88" s="19">
        <v>0</v>
      </c>
      <c r="H88" s="19">
        <v>25</v>
      </c>
      <c r="I88" s="19">
        <f>-H88</f>
        <v>-25</v>
      </c>
      <c r="J88" s="18" t="s">
        <v>160</v>
      </c>
      <c r="K88" s="18" t="s">
        <v>15</v>
      </c>
      <c r="L88" s="18" t="s">
        <v>1801</v>
      </c>
      <c r="M88" s="18"/>
      <c r="N88" s="18"/>
      <c r="O88" s="18"/>
      <c r="P88" s="18"/>
      <c r="Q88" s="18">
        <v>1</v>
      </c>
      <c r="R88" s="17">
        <f>H88</f>
        <v>25</v>
      </c>
    </row>
    <row r="89" spans="1:18" customFormat="1" x14ac:dyDescent="0.25">
      <c r="A89" s="18"/>
      <c r="B89" s="18" t="s">
        <v>34</v>
      </c>
      <c r="C89" s="18" t="s">
        <v>2016</v>
      </c>
      <c r="D89" s="18" t="s">
        <v>2017</v>
      </c>
      <c r="E89" s="18" t="s">
        <v>2018</v>
      </c>
      <c r="F89" s="19">
        <v>3</v>
      </c>
      <c r="G89" s="19">
        <v>515</v>
      </c>
      <c r="H89" s="19">
        <v>25</v>
      </c>
      <c r="I89" s="19">
        <f>G89-H89</f>
        <v>490</v>
      </c>
      <c r="J89" s="18" t="s">
        <v>160</v>
      </c>
      <c r="K89" s="18" t="s">
        <v>15</v>
      </c>
      <c r="L89" s="18" t="s">
        <v>1801</v>
      </c>
      <c r="M89" s="18"/>
      <c r="N89" s="18"/>
      <c r="O89" s="18"/>
      <c r="P89" s="18"/>
      <c r="Q89" s="18">
        <v>1</v>
      </c>
    </row>
    <row r="90" spans="1:18" customFormat="1" x14ac:dyDescent="0.25">
      <c r="A90" s="18"/>
      <c r="B90" s="18" t="s">
        <v>34</v>
      </c>
      <c r="C90" s="18" t="s">
        <v>870</v>
      </c>
      <c r="D90" s="18" t="s">
        <v>2019</v>
      </c>
      <c r="E90" s="18" t="s">
        <v>872</v>
      </c>
      <c r="F90" s="19">
        <v>4</v>
      </c>
      <c r="G90" s="19">
        <v>0</v>
      </c>
      <c r="H90" s="19">
        <v>25</v>
      </c>
      <c r="I90" s="19">
        <f>-H90</f>
        <v>-25</v>
      </c>
      <c r="J90" s="18" t="s">
        <v>160</v>
      </c>
      <c r="K90" s="18" t="s">
        <v>15</v>
      </c>
      <c r="L90" s="18" t="s">
        <v>1801</v>
      </c>
      <c r="M90" s="18"/>
      <c r="N90" s="18"/>
      <c r="O90" s="18"/>
      <c r="P90" s="18"/>
      <c r="Q90" s="18">
        <v>1</v>
      </c>
      <c r="R90" s="17">
        <f>H90</f>
        <v>25</v>
      </c>
    </row>
    <row r="91" spans="1:18" customFormat="1" x14ac:dyDescent="0.25">
      <c r="A91" s="18" t="s">
        <v>96</v>
      </c>
      <c r="B91" s="18" t="s">
        <v>34</v>
      </c>
      <c r="C91" s="18" t="s">
        <v>579</v>
      </c>
      <c r="D91" s="18"/>
      <c r="E91" s="18" t="s">
        <v>580</v>
      </c>
      <c r="F91" s="19">
        <v>4</v>
      </c>
      <c r="G91" s="19">
        <v>30</v>
      </c>
      <c r="H91" s="19">
        <v>30</v>
      </c>
      <c r="I91" s="19">
        <f>G91-H91</f>
        <v>0</v>
      </c>
      <c r="J91" s="18" t="s">
        <v>160</v>
      </c>
      <c r="K91" s="18" t="s">
        <v>15</v>
      </c>
      <c r="L91" s="18" t="s">
        <v>1801</v>
      </c>
      <c r="M91" s="18"/>
      <c r="N91" s="18"/>
      <c r="O91" s="18"/>
      <c r="P91" s="18"/>
      <c r="Q91" s="18">
        <v>1</v>
      </c>
    </row>
    <row r="92" spans="1:18" customFormat="1" x14ac:dyDescent="0.25">
      <c r="A92" s="18" t="s">
        <v>96</v>
      </c>
      <c r="B92" s="18" t="s">
        <v>34</v>
      </c>
      <c r="C92" s="18" t="s">
        <v>2020</v>
      </c>
      <c r="D92" s="18"/>
      <c r="E92" s="18" t="s">
        <v>1329</v>
      </c>
      <c r="F92" s="19">
        <v>5</v>
      </c>
      <c r="G92" s="19">
        <v>40</v>
      </c>
      <c r="H92" s="19">
        <v>40</v>
      </c>
      <c r="I92" s="19">
        <f>G92-H92</f>
        <v>0</v>
      </c>
      <c r="J92" s="18" t="s">
        <v>160</v>
      </c>
      <c r="K92" s="18" t="s">
        <v>15</v>
      </c>
      <c r="L92" s="18" t="s">
        <v>1801</v>
      </c>
      <c r="M92" s="18"/>
      <c r="N92" s="18"/>
      <c r="O92" s="18"/>
      <c r="P92" s="18"/>
      <c r="Q92" s="18">
        <v>1</v>
      </c>
    </row>
    <row r="93" spans="1:18" customFormat="1" x14ac:dyDescent="0.25">
      <c r="A93" s="18" t="s">
        <v>96</v>
      </c>
      <c r="B93" s="18" t="s">
        <v>34</v>
      </c>
      <c r="C93" s="18" t="s">
        <v>2021</v>
      </c>
      <c r="D93" s="18"/>
      <c r="E93" s="18" t="s">
        <v>98</v>
      </c>
      <c r="F93" s="18" t="s">
        <v>18</v>
      </c>
      <c r="G93" s="19">
        <v>0</v>
      </c>
      <c r="H93" s="19">
        <v>30</v>
      </c>
      <c r="I93" s="19">
        <f>-H93</f>
        <v>-30</v>
      </c>
      <c r="J93" s="18" t="s">
        <v>160</v>
      </c>
      <c r="K93" s="18" t="s">
        <v>15</v>
      </c>
      <c r="L93" s="18" t="s">
        <v>1801</v>
      </c>
      <c r="M93" s="18"/>
      <c r="N93" s="18"/>
      <c r="O93" s="18"/>
      <c r="P93" s="18"/>
      <c r="Q93" s="18">
        <v>1</v>
      </c>
      <c r="R93" s="17">
        <f>H93</f>
        <v>30</v>
      </c>
    </row>
    <row r="94" spans="1:18" customFormat="1" x14ac:dyDescent="0.25">
      <c r="A94" s="18" t="s">
        <v>96</v>
      </c>
      <c r="B94" s="18" t="s">
        <v>34</v>
      </c>
      <c r="C94" s="18" t="s">
        <v>2022</v>
      </c>
      <c r="D94" s="18"/>
      <c r="E94" s="18" t="s">
        <v>2023</v>
      </c>
      <c r="F94" s="19">
        <v>5</v>
      </c>
      <c r="G94" s="19">
        <v>950</v>
      </c>
      <c r="H94" s="19">
        <v>30</v>
      </c>
      <c r="I94" s="19">
        <f>G94-H94</f>
        <v>920</v>
      </c>
      <c r="J94" s="18" t="s">
        <v>160</v>
      </c>
      <c r="K94" s="18" t="s">
        <v>15</v>
      </c>
      <c r="L94" s="18" t="s">
        <v>1801</v>
      </c>
      <c r="M94" s="18"/>
      <c r="N94" s="18"/>
      <c r="O94" s="18"/>
      <c r="P94" s="18"/>
      <c r="Q94" s="18">
        <v>1</v>
      </c>
    </row>
    <row r="95" spans="1:18" s="36" customFormat="1" x14ac:dyDescent="0.25">
      <c r="A95" s="45"/>
      <c r="B95" s="45" t="s">
        <v>34</v>
      </c>
      <c r="C95" s="45" t="s">
        <v>2024</v>
      </c>
      <c r="D95" s="45" t="s">
        <v>2025</v>
      </c>
      <c r="E95" s="45" t="s">
        <v>2026</v>
      </c>
      <c r="F95" s="45" t="s">
        <v>784</v>
      </c>
      <c r="G95" s="46">
        <v>870</v>
      </c>
      <c r="H95" s="46">
        <v>0</v>
      </c>
      <c r="I95" s="46">
        <f>G95-H95</f>
        <v>870</v>
      </c>
      <c r="J95" s="45" t="s">
        <v>662</v>
      </c>
      <c r="K95" s="45" t="s">
        <v>15</v>
      </c>
      <c r="L95" s="45" t="s">
        <v>1801</v>
      </c>
      <c r="M95" s="45" t="s">
        <v>786</v>
      </c>
      <c r="N95" s="45" t="s">
        <v>787</v>
      </c>
      <c r="O95" s="45"/>
      <c r="P95" s="45" t="s">
        <v>788</v>
      </c>
      <c r="Q95" s="45">
        <v>1</v>
      </c>
    </row>
    <row r="96" spans="1:18" s="36" customFormat="1" x14ac:dyDescent="0.25">
      <c r="A96" s="45"/>
      <c r="B96" s="45" t="s">
        <v>34</v>
      </c>
      <c r="C96" s="45" t="s">
        <v>2027</v>
      </c>
      <c r="D96" s="45" t="s">
        <v>2028</v>
      </c>
      <c r="E96" s="45" t="s">
        <v>2033</v>
      </c>
      <c r="F96" s="45" t="s">
        <v>784</v>
      </c>
      <c r="G96" s="46">
        <v>450</v>
      </c>
      <c r="H96" s="46">
        <v>0</v>
      </c>
      <c r="I96" s="46">
        <f>G96-H96</f>
        <v>450</v>
      </c>
      <c r="J96" s="45" t="s">
        <v>662</v>
      </c>
      <c r="K96" s="45" t="s">
        <v>15</v>
      </c>
      <c r="L96" s="45" t="s">
        <v>1801</v>
      </c>
      <c r="M96" s="45" t="s">
        <v>786</v>
      </c>
      <c r="N96" s="45" t="s">
        <v>787</v>
      </c>
      <c r="O96" s="45"/>
      <c r="P96" s="45" t="s">
        <v>788</v>
      </c>
      <c r="Q96" s="45">
        <v>1</v>
      </c>
    </row>
    <row r="97" spans="1:18" s="36" customFormat="1" x14ac:dyDescent="0.25">
      <c r="A97" s="45"/>
      <c r="B97" s="45" t="s">
        <v>34</v>
      </c>
      <c r="C97" s="45" t="s">
        <v>2029</v>
      </c>
      <c r="D97" s="45" t="s">
        <v>2030</v>
      </c>
      <c r="E97" s="45" t="s">
        <v>2031</v>
      </c>
      <c r="F97" s="45" t="s">
        <v>784</v>
      </c>
      <c r="G97" s="46">
        <v>1460</v>
      </c>
      <c r="H97" s="46">
        <v>0</v>
      </c>
      <c r="I97" s="46">
        <f>G97-H97</f>
        <v>1460</v>
      </c>
      <c r="J97" s="45" t="s">
        <v>662</v>
      </c>
      <c r="K97" s="45" t="s">
        <v>15</v>
      </c>
      <c r="L97" s="45" t="s">
        <v>1801</v>
      </c>
      <c r="M97" s="45" t="s">
        <v>786</v>
      </c>
      <c r="N97" s="45" t="s">
        <v>787</v>
      </c>
      <c r="O97" s="45"/>
      <c r="P97" s="45" t="s">
        <v>788</v>
      </c>
      <c r="Q97" s="45">
        <v>1</v>
      </c>
    </row>
    <row r="99" spans="1:18" x14ac:dyDescent="0.25">
      <c r="G99" s="1">
        <f>SUBTOTAL(9,G3:G97)</f>
        <v>58975</v>
      </c>
      <c r="H99" s="1">
        <f t="shared" ref="H99:Q99" si="12">SUBTOTAL(9,H3:H97)</f>
        <v>2540</v>
      </c>
      <c r="I99" s="1">
        <f t="shared" si="12"/>
        <v>56435</v>
      </c>
      <c r="J99" s="1">
        <f t="shared" si="12"/>
        <v>0</v>
      </c>
      <c r="K99" s="1">
        <f t="shared" si="12"/>
        <v>0</v>
      </c>
      <c r="L99" s="1">
        <f t="shared" si="12"/>
        <v>0</v>
      </c>
      <c r="M99" s="1">
        <f t="shared" si="12"/>
        <v>0</v>
      </c>
      <c r="N99" s="1">
        <f t="shared" si="12"/>
        <v>0</v>
      </c>
      <c r="O99" s="1">
        <f t="shared" si="12"/>
        <v>0</v>
      </c>
      <c r="P99" s="1">
        <f t="shared" si="12"/>
        <v>0</v>
      </c>
      <c r="Q99" s="1">
        <f t="shared" si="12"/>
        <v>95</v>
      </c>
      <c r="R99" s="1">
        <f t="shared" ref="R99" si="13">SUBTOTAL(9,R36:R98)</f>
        <v>590</v>
      </c>
    </row>
    <row r="100" spans="1:18" x14ac:dyDescent="0.25">
      <c r="I100" s="1">
        <v>-2780</v>
      </c>
      <c r="J100" s="1" t="s">
        <v>2032</v>
      </c>
    </row>
    <row r="103" spans="1:18" ht="20.25" customHeight="1" x14ac:dyDescent="0.3">
      <c r="H103" s="4" t="s">
        <v>1798</v>
      </c>
      <c r="I103" s="5" t="s">
        <v>21</v>
      </c>
      <c r="J103" s="6" t="s">
        <v>22</v>
      </c>
    </row>
    <row r="104" spans="1:18" ht="15.75" customHeight="1" x14ac:dyDescent="0.25">
      <c r="H104" s="7" t="s">
        <v>23</v>
      </c>
      <c r="I104" s="8">
        <f>SUM(I98:I102)</f>
        <v>53655</v>
      </c>
      <c r="J104" s="8">
        <f>Q99</f>
        <v>95</v>
      </c>
    </row>
    <row r="105" spans="1:18" x14ac:dyDescent="0.25">
      <c r="H105" s="9" t="s">
        <v>24</v>
      </c>
      <c r="I105" s="10">
        <f>R99</f>
        <v>590</v>
      </c>
      <c r="J105" s="11"/>
    </row>
    <row r="106" spans="1:18" x14ac:dyDescent="0.25">
      <c r="H106" s="9" t="s">
        <v>25</v>
      </c>
      <c r="I106" s="10">
        <f>S98</f>
        <v>0</v>
      </c>
      <c r="J106" s="11"/>
    </row>
    <row r="107" spans="1:18" x14ac:dyDescent="0.25">
      <c r="H107" s="9" t="s">
        <v>26</v>
      </c>
      <c r="I107" s="10">
        <f>T98</f>
        <v>0</v>
      </c>
      <c r="J107" s="11"/>
    </row>
    <row r="108" spans="1:18" x14ac:dyDescent="0.25">
      <c r="H108" s="9" t="s">
        <v>27</v>
      </c>
      <c r="I108" s="10">
        <f>U98</f>
        <v>0</v>
      </c>
      <c r="J108" s="11"/>
    </row>
    <row r="109" spans="1:18" ht="15.75" customHeight="1" x14ac:dyDescent="0.25">
      <c r="H109" s="12" t="s">
        <v>28</v>
      </c>
      <c r="I109" s="13"/>
      <c r="J109" s="13"/>
    </row>
    <row r="110" spans="1:18" ht="15.75" customHeight="1" x14ac:dyDescent="0.25">
      <c r="H110" s="14" t="s">
        <v>29</v>
      </c>
      <c r="I110" s="13"/>
      <c r="J110" s="13"/>
    </row>
    <row r="111" spans="1:18" ht="21" customHeight="1" x14ac:dyDescent="0.35">
      <c r="H111" s="15" t="s">
        <v>30</v>
      </c>
      <c r="I111" s="16">
        <f>SUM(I104:I110)</f>
        <v>54245</v>
      </c>
      <c r="J111" s="16">
        <f>SUM(J104:J108)</f>
        <v>95</v>
      </c>
    </row>
    <row r="113" spans="1:12" x14ac:dyDescent="0.25">
      <c r="A113" s="1" t="s">
        <v>173</v>
      </c>
    </row>
    <row r="114" spans="1:12" x14ac:dyDescent="0.25">
      <c r="A114" s="24" t="s">
        <v>34</v>
      </c>
      <c r="B114" s="24" t="s">
        <v>1985</v>
      </c>
      <c r="C114" s="24" t="s">
        <v>1986</v>
      </c>
      <c r="D114" s="24" t="s">
        <v>1987</v>
      </c>
      <c r="E114" s="25">
        <v>10</v>
      </c>
      <c r="F114" s="25">
        <v>1140</v>
      </c>
      <c r="G114" s="25">
        <v>0</v>
      </c>
      <c r="H114" s="25">
        <f>F114-G114</f>
        <v>1140</v>
      </c>
      <c r="I114" s="24" t="s">
        <v>160</v>
      </c>
      <c r="J114" s="24" t="s">
        <v>15</v>
      </c>
      <c r="K114" s="24" t="s">
        <v>1801</v>
      </c>
      <c r="L114" s="48" t="s">
        <v>1988</v>
      </c>
    </row>
    <row r="115" spans="1:12" x14ac:dyDescent="0.25">
      <c r="A115" s="24" t="s">
        <v>34</v>
      </c>
      <c r="B115" s="24" t="s">
        <v>1985</v>
      </c>
      <c r="C115" s="24" t="s">
        <v>1989</v>
      </c>
      <c r="D115" s="24" t="s">
        <v>1987</v>
      </c>
      <c r="E115" s="25">
        <v>10</v>
      </c>
      <c r="F115" s="25">
        <v>1060</v>
      </c>
      <c r="G115" s="25">
        <v>0</v>
      </c>
      <c r="H115" s="25">
        <f>F115-G115</f>
        <v>1060</v>
      </c>
      <c r="I115" s="24" t="s">
        <v>160</v>
      </c>
      <c r="J115" s="24" t="s">
        <v>15</v>
      </c>
      <c r="K115" s="24" t="s">
        <v>1801</v>
      </c>
      <c r="L115" s="48" t="s">
        <v>1990</v>
      </c>
    </row>
  </sheetData>
  <autoFilter ref="A2:P97" xr:uid="{00000000-0009-0000-0000-000006000000}">
    <sortState xmlns:xlrd2="http://schemas.microsoft.com/office/spreadsheetml/2017/richdata2" ref="A3:P97">
      <sortCondition ref="J2:J97"/>
    </sortState>
  </autoFilter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2227C-2178-4E11-899A-2D1935F45263}">
  <dimension ref="A1:R77"/>
  <sheetViews>
    <sheetView topLeftCell="A49" zoomScaleNormal="100" workbookViewId="0">
      <selection activeCell="A77" sqref="A77:XFD7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591</v>
      </c>
      <c r="C1" s="1" t="s">
        <v>2035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2036</v>
      </c>
      <c r="D3" s="18" t="s">
        <v>2037</v>
      </c>
      <c r="E3" s="18" t="s">
        <v>2038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56</v>
      </c>
      <c r="K3" s="18" t="s">
        <v>15</v>
      </c>
      <c r="L3" s="18" t="s">
        <v>2039</v>
      </c>
      <c r="M3" s="18"/>
      <c r="N3" s="18"/>
      <c r="O3" s="18"/>
      <c r="P3" s="18"/>
      <c r="Q3" s="18">
        <v>1</v>
      </c>
      <c r="R3" s="17">
        <f>H3</f>
        <v>30</v>
      </c>
    </row>
    <row r="4" spans="1:18" customFormat="1" x14ac:dyDescent="0.25">
      <c r="A4" s="18"/>
      <c r="B4" s="18" t="s">
        <v>34</v>
      </c>
      <c r="C4" s="18" t="s">
        <v>2040</v>
      </c>
      <c r="D4" s="18" t="s">
        <v>2041</v>
      </c>
      <c r="E4" s="18" t="s">
        <v>2042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56</v>
      </c>
      <c r="K4" s="18" t="s">
        <v>15</v>
      </c>
      <c r="L4" s="18" t="s">
        <v>2039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2043</v>
      </c>
      <c r="D5" s="18" t="s">
        <v>2044</v>
      </c>
      <c r="E5" s="18" t="s">
        <v>2045</v>
      </c>
      <c r="F5" s="19">
        <v>9</v>
      </c>
      <c r="G5" s="19">
        <v>900</v>
      </c>
      <c r="H5" s="19">
        <v>30</v>
      </c>
      <c r="I5" s="19">
        <f t="shared" ref="I5:I14" si="0">G5-H5</f>
        <v>870</v>
      </c>
      <c r="J5" s="18" t="s">
        <v>56</v>
      </c>
      <c r="K5" s="18" t="s">
        <v>15</v>
      </c>
      <c r="L5" s="18" t="s">
        <v>2039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1451</v>
      </c>
      <c r="D6" s="18" t="s">
        <v>2046</v>
      </c>
      <c r="E6" s="18" t="s">
        <v>1453</v>
      </c>
      <c r="F6" s="19">
        <v>9</v>
      </c>
      <c r="G6" s="19">
        <v>480</v>
      </c>
      <c r="H6" s="19">
        <v>30</v>
      </c>
      <c r="I6" s="19">
        <f t="shared" si="0"/>
        <v>450</v>
      </c>
      <c r="J6" s="18" t="s">
        <v>56</v>
      </c>
      <c r="K6" s="18" t="s">
        <v>15</v>
      </c>
      <c r="L6" s="18" t="s">
        <v>2039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2047</v>
      </c>
      <c r="D7" s="18" t="s">
        <v>2048</v>
      </c>
      <c r="E7" s="18" t="s">
        <v>2049</v>
      </c>
      <c r="F7" s="19">
        <v>9</v>
      </c>
      <c r="G7" s="19">
        <v>1040</v>
      </c>
      <c r="H7" s="19">
        <v>30</v>
      </c>
      <c r="I7" s="19">
        <f t="shared" si="0"/>
        <v>1010</v>
      </c>
      <c r="J7" s="18" t="s">
        <v>56</v>
      </c>
      <c r="K7" s="18" t="s">
        <v>15</v>
      </c>
      <c r="L7" s="18" t="s">
        <v>2039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2050</v>
      </c>
      <c r="D8" s="18" t="s">
        <v>2051</v>
      </c>
      <c r="E8" s="18" t="s">
        <v>2052</v>
      </c>
      <c r="F8" s="19">
        <v>9</v>
      </c>
      <c r="G8" s="19">
        <v>3740</v>
      </c>
      <c r="H8" s="19">
        <v>35</v>
      </c>
      <c r="I8" s="19">
        <f t="shared" si="0"/>
        <v>3705</v>
      </c>
      <c r="J8" s="18" t="s">
        <v>56</v>
      </c>
      <c r="K8" s="18" t="s">
        <v>15</v>
      </c>
      <c r="L8" s="18" t="s">
        <v>2039</v>
      </c>
      <c r="M8" s="48" t="s">
        <v>377</v>
      </c>
      <c r="N8" s="18"/>
      <c r="O8" s="18"/>
      <c r="P8" s="18"/>
      <c r="Q8" s="18">
        <v>1</v>
      </c>
      <c r="R8" s="17">
        <f>H8</f>
        <v>35</v>
      </c>
    </row>
    <row r="9" spans="1:18" customFormat="1" x14ac:dyDescent="0.25">
      <c r="A9" s="18"/>
      <c r="B9" s="18" t="s">
        <v>34</v>
      </c>
      <c r="C9" s="18" t="s">
        <v>733</v>
      </c>
      <c r="D9" s="18" t="s">
        <v>2053</v>
      </c>
      <c r="E9" s="18" t="s">
        <v>2054</v>
      </c>
      <c r="F9" s="19">
        <v>9</v>
      </c>
      <c r="G9" s="19">
        <v>870</v>
      </c>
      <c r="H9" s="19">
        <v>30</v>
      </c>
      <c r="I9" s="19">
        <f t="shared" si="0"/>
        <v>840</v>
      </c>
      <c r="J9" s="18" t="s">
        <v>56</v>
      </c>
      <c r="K9" s="18" t="s">
        <v>15</v>
      </c>
      <c r="L9" s="18" t="s">
        <v>2039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458</v>
      </c>
      <c r="D10" s="18" t="s">
        <v>2055</v>
      </c>
      <c r="E10" s="18" t="s">
        <v>2056</v>
      </c>
      <c r="F10" s="19">
        <v>8</v>
      </c>
      <c r="G10" s="19">
        <v>690</v>
      </c>
      <c r="H10" s="19">
        <v>30</v>
      </c>
      <c r="I10" s="19">
        <f t="shared" si="0"/>
        <v>660</v>
      </c>
      <c r="J10" s="18" t="s">
        <v>2057</v>
      </c>
      <c r="K10" s="18" t="s">
        <v>15</v>
      </c>
      <c r="L10" s="18" t="s">
        <v>2039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2058</v>
      </c>
      <c r="D11" s="18" t="s">
        <v>2059</v>
      </c>
      <c r="E11" s="18" t="s">
        <v>2060</v>
      </c>
      <c r="F11" s="18" t="s">
        <v>212</v>
      </c>
      <c r="G11" s="19">
        <v>475</v>
      </c>
      <c r="H11" s="19">
        <v>25</v>
      </c>
      <c r="I11" s="19">
        <f t="shared" si="0"/>
        <v>450</v>
      </c>
      <c r="J11" s="18" t="s">
        <v>2057</v>
      </c>
      <c r="K11" s="18" t="s">
        <v>15</v>
      </c>
      <c r="L11" s="18" t="s">
        <v>2039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2061</v>
      </c>
      <c r="D12" s="18" t="s">
        <v>2062</v>
      </c>
      <c r="E12" s="18" t="s">
        <v>2063</v>
      </c>
      <c r="F12" s="19">
        <v>6</v>
      </c>
      <c r="G12" s="19">
        <v>1840</v>
      </c>
      <c r="H12" s="19">
        <v>25</v>
      </c>
      <c r="I12" s="19">
        <f t="shared" si="0"/>
        <v>1815</v>
      </c>
      <c r="J12" s="18" t="s">
        <v>2057</v>
      </c>
      <c r="K12" s="18" t="s">
        <v>15</v>
      </c>
      <c r="L12" s="18" t="s">
        <v>2039</v>
      </c>
      <c r="M12" s="48" t="s">
        <v>377</v>
      </c>
      <c r="N12" s="18"/>
      <c r="O12" s="18"/>
      <c r="P12" s="18"/>
      <c r="Q12" s="18">
        <v>1</v>
      </c>
      <c r="R12" s="17">
        <f>H12</f>
        <v>25</v>
      </c>
    </row>
    <row r="13" spans="1:18" customFormat="1" x14ac:dyDescent="0.25">
      <c r="A13" s="18"/>
      <c r="B13" s="18" t="s">
        <v>34</v>
      </c>
      <c r="C13" s="18" t="s">
        <v>2064</v>
      </c>
      <c r="D13" s="18" t="s">
        <v>2065</v>
      </c>
      <c r="E13" s="18" t="s">
        <v>2066</v>
      </c>
      <c r="F13" s="19">
        <v>12</v>
      </c>
      <c r="G13" s="19">
        <v>600</v>
      </c>
      <c r="H13" s="19">
        <v>30</v>
      </c>
      <c r="I13" s="19">
        <f t="shared" si="0"/>
        <v>570</v>
      </c>
      <c r="J13" s="18" t="s">
        <v>2057</v>
      </c>
      <c r="K13" s="18" t="s">
        <v>15</v>
      </c>
      <c r="L13" s="18" t="s">
        <v>2039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242</v>
      </c>
      <c r="D14" s="18" t="s">
        <v>2067</v>
      </c>
      <c r="E14" s="18" t="s">
        <v>244</v>
      </c>
      <c r="F14" s="18" t="s">
        <v>123</v>
      </c>
      <c r="G14" s="19">
        <v>385</v>
      </c>
      <c r="H14" s="19">
        <v>35</v>
      </c>
      <c r="I14" s="19">
        <f t="shared" si="0"/>
        <v>350</v>
      </c>
      <c r="J14" s="18" t="s">
        <v>2057</v>
      </c>
      <c r="K14" s="18" t="s">
        <v>15</v>
      </c>
      <c r="L14" s="18" t="s">
        <v>2039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2068</v>
      </c>
      <c r="D15" s="18" t="s">
        <v>2069</v>
      </c>
      <c r="E15" s="18" t="s">
        <v>2070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2057</v>
      </c>
      <c r="K15" s="18" t="s">
        <v>15</v>
      </c>
      <c r="L15" s="18" t="s">
        <v>2039</v>
      </c>
      <c r="M15" s="18"/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2071</v>
      </c>
      <c r="D16" s="18" t="s">
        <v>2072</v>
      </c>
      <c r="E16" s="18" t="s">
        <v>2073</v>
      </c>
      <c r="F16" s="18" t="s">
        <v>38</v>
      </c>
      <c r="G16" s="19">
        <v>790</v>
      </c>
      <c r="H16" s="19">
        <v>30</v>
      </c>
      <c r="I16" s="19">
        <f>G16-H16</f>
        <v>760</v>
      </c>
      <c r="J16" s="18" t="s">
        <v>2057</v>
      </c>
      <c r="K16" s="18" t="s">
        <v>15</v>
      </c>
      <c r="L16" s="18" t="s">
        <v>2039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2074</v>
      </c>
      <c r="D17" s="18" t="s">
        <v>2075</v>
      </c>
      <c r="E17" s="18" t="s">
        <v>2076</v>
      </c>
      <c r="F17" s="18" t="s">
        <v>38</v>
      </c>
      <c r="G17" s="19">
        <v>700</v>
      </c>
      <c r="H17" s="19">
        <v>30</v>
      </c>
      <c r="I17" s="19">
        <f>G17-H17</f>
        <v>670</v>
      </c>
      <c r="J17" s="18" t="s">
        <v>2057</v>
      </c>
      <c r="K17" s="18" t="s">
        <v>15</v>
      </c>
      <c r="L17" s="18" t="s">
        <v>2039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2077</v>
      </c>
      <c r="D18" s="18" t="s">
        <v>2078</v>
      </c>
      <c r="E18" s="18" t="s">
        <v>2079</v>
      </c>
      <c r="F18" s="19">
        <v>7</v>
      </c>
      <c r="G18" s="19">
        <v>470</v>
      </c>
      <c r="H18" s="19">
        <v>30</v>
      </c>
      <c r="I18" s="19">
        <f>G18-H18</f>
        <v>440</v>
      </c>
      <c r="J18" s="18" t="s">
        <v>2057</v>
      </c>
      <c r="K18" s="18" t="s">
        <v>15</v>
      </c>
      <c r="L18" s="18" t="s">
        <v>2039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2080</v>
      </c>
      <c r="D19" s="18" t="s">
        <v>2081</v>
      </c>
      <c r="E19" s="18" t="s">
        <v>2082</v>
      </c>
      <c r="F19" s="19">
        <v>12</v>
      </c>
      <c r="G19" s="19">
        <v>480</v>
      </c>
      <c r="H19" s="19">
        <v>30</v>
      </c>
      <c r="I19" s="19">
        <f>G19-H19</f>
        <v>450</v>
      </c>
      <c r="J19" s="18" t="s">
        <v>2057</v>
      </c>
      <c r="K19" s="18" t="s">
        <v>15</v>
      </c>
      <c r="L19" s="18" t="s">
        <v>2039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341</v>
      </c>
      <c r="D20" s="18" t="s">
        <v>2083</v>
      </c>
      <c r="E20" s="18" t="s">
        <v>2084</v>
      </c>
      <c r="F20" s="18" t="s">
        <v>212</v>
      </c>
      <c r="G20" s="19">
        <v>0</v>
      </c>
      <c r="H20" s="19">
        <v>25</v>
      </c>
      <c r="I20" s="19">
        <f>-H20</f>
        <v>-25</v>
      </c>
      <c r="J20" s="18" t="s">
        <v>2057</v>
      </c>
      <c r="K20" s="18" t="s">
        <v>15</v>
      </c>
      <c r="L20" s="18" t="s">
        <v>2039</v>
      </c>
      <c r="M20" s="18"/>
      <c r="N20" s="18"/>
      <c r="O20" s="18"/>
      <c r="P20" s="18"/>
      <c r="Q20" s="18">
        <v>1</v>
      </c>
      <c r="R20" s="17">
        <f>H20</f>
        <v>25</v>
      </c>
    </row>
    <row r="21" spans="1:18" customFormat="1" x14ac:dyDescent="0.25">
      <c r="A21" s="18"/>
      <c r="B21" s="18" t="s">
        <v>34</v>
      </c>
      <c r="C21" s="18" t="s">
        <v>2085</v>
      </c>
      <c r="D21" s="18" t="s">
        <v>2086</v>
      </c>
      <c r="E21" s="18" t="s">
        <v>2087</v>
      </c>
      <c r="F21" s="18" t="s">
        <v>38</v>
      </c>
      <c r="G21" s="19">
        <v>890</v>
      </c>
      <c r="H21" s="19">
        <v>30</v>
      </c>
      <c r="I21" s="19">
        <f t="shared" ref="I21:I30" si="1">G21-H21</f>
        <v>860</v>
      </c>
      <c r="J21" s="18" t="s">
        <v>2057</v>
      </c>
      <c r="K21" s="18" t="s">
        <v>15</v>
      </c>
      <c r="L21" s="18" t="s">
        <v>2039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41</v>
      </c>
      <c r="D22" s="18" t="s">
        <v>2088</v>
      </c>
      <c r="E22" s="18" t="s">
        <v>43</v>
      </c>
      <c r="F22" s="19">
        <v>7</v>
      </c>
      <c r="G22" s="19">
        <v>870</v>
      </c>
      <c r="H22" s="19">
        <v>30</v>
      </c>
      <c r="I22" s="19">
        <f t="shared" si="1"/>
        <v>840</v>
      </c>
      <c r="J22" s="18" t="s">
        <v>2057</v>
      </c>
      <c r="K22" s="18" t="s">
        <v>15</v>
      </c>
      <c r="L22" s="18" t="s">
        <v>2039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2089</v>
      </c>
      <c r="D23" s="18" t="s">
        <v>2090</v>
      </c>
      <c r="E23" s="18" t="s">
        <v>2091</v>
      </c>
      <c r="F23" s="19">
        <v>9</v>
      </c>
      <c r="G23" s="19">
        <v>560</v>
      </c>
      <c r="H23" s="19">
        <v>30</v>
      </c>
      <c r="I23" s="19">
        <f t="shared" si="1"/>
        <v>530</v>
      </c>
      <c r="J23" s="18" t="s">
        <v>2057</v>
      </c>
      <c r="K23" s="18" t="s">
        <v>15</v>
      </c>
      <c r="L23" s="18" t="s">
        <v>2039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1845</v>
      </c>
      <c r="D24" s="18" t="s">
        <v>2092</v>
      </c>
      <c r="E24" s="18" t="s">
        <v>2093</v>
      </c>
      <c r="F24" s="19">
        <v>11</v>
      </c>
      <c r="G24" s="19">
        <v>955</v>
      </c>
      <c r="H24" s="19">
        <v>25</v>
      </c>
      <c r="I24" s="19">
        <f t="shared" si="1"/>
        <v>930</v>
      </c>
      <c r="J24" s="18" t="s">
        <v>2057</v>
      </c>
      <c r="K24" s="18" t="s">
        <v>15</v>
      </c>
      <c r="L24" s="18" t="s">
        <v>2039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2094</v>
      </c>
      <c r="D25" s="18" t="s">
        <v>2095</v>
      </c>
      <c r="E25" s="18" t="s">
        <v>2096</v>
      </c>
      <c r="F25" s="18" t="s">
        <v>38</v>
      </c>
      <c r="G25" s="19">
        <v>900</v>
      </c>
      <c r="H25" s="19">
        <v>30</v>
      </c>
      <c r="I25" s="19">
        <f t="shared" si="1"/>
        <v>870</v>
      </c>
      <c r="J25" s="18" t="s">
        <v>2057</v>
      </c>
      <c r="K25" s="18" t="s">
        <v>15</v>
      </c>
      <c r="L25" s="18" t="s">
        <v>2039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680</v>
      </c>
      <c r="D26" s="18" t="s">
        <v>2097</v>
      </c>
      <c r="E26" s="18" t="s">
        <v>682</v>
      </c>
      <c r="F26" s="19">
        <v>6</v>
      </c>
      <c r="G26" s="19">
        <v>475</v>
      </c>
      <c r="H26" s="19">
        <v>25</v>
      </c>
      <c r="I26" s="19">
        <f t="shared" si="1"/>
        <v>450</v>
      </c>
      <c r="J26" s="18" t="s">
        <v>2057</v>
      </c>
      <c r="K26" s="18" t="s">
        <v>15</v>
      </c>
      <c r="L26" s="18" t="s">
        <v>2039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2098</v>
      </c>
      <c r="D27" s="18" t="s">
        <v>2099</v>
      </c>
      <c r="E27" s="18" t="s">
        <v>2100</v>
      </c>
      <c r="F27" s="19">
        <v>12</v>
      </c>
      <c r="G27" s="19">
        <v>480</v>
      </c>
      <c r="H27" s="19">
        <v>30</v>
      </c>
      <c r="I27" s="19">
        <f t="shared" si="1"/>
        <v>450</v>
      </c>
      <c r="J27" s="18" t="s">
        <v>2057</v>
      </c>
      <c r="K27" s="18" t="s">
        <v>15</v>
      </c>
      <c r="L27" s="18" t="s">
        <v>2039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2101</v>
      </c>
      <c r="D28" s="18" t="s">
        <v>2102</v>
      </c>
      <c r="E28" s="18" t="s">
        <v>2103</v>
      </c>
      <c r="F28" s="19">
        <v>6</v>
      </c>
      <c r="G28" s="19">
        <v>975</v>
      </c>
      <c r="H28" s="19">
        <v>25</v>
      </c>
      <c r="I28" s="19">
        <f t="shared" si="1"/>
        <v>950</v>
      </c>
      <c r="J28" s="18" t="s">
        <v>2057</v>
      </c>
      <c r="K28" s="18" t="s">
        <v>15</v>
      </c>
      <c r="L28" s="18" t="s">
        <v>2039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2104</v>
      </c>
      <c r="D29" s="18" t="s">
        <v>2105</v>
      </c>
      <c r="E29" s="18" t="s">
        <v>2106</v>
      </c>
      <c r="F29" s="19">
        <v>7</v>
      </c>
      <c r="G29" s="19">
        <v>850</v>
      </c>
      <c r="H29" s="19">
        <v>30</v>
      </c>
      <c r="I29" s="19">
        <f t="shared" si="1"/>
        <v>820</v>
      </c>
      <c r="J29" s="18" t="s">
        <v>2057</v>
      </c>
      <c r="K29" s="18" t="s">
        <v>15</v>
      </c>
      <c r="L29" s="18" t="s">
        <v>2039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2107</v>
      </c>
      <c r="D30" s="18" t="s">
        <v>2108</v>
      </c>
      <c r="E30" s="18" t="s">
        <v>2109</v>
      </c>
      <c r="F30" s="19">
        <v>7</v>
      </c>
      <c r="G30" s="19">
        <v>920</v>
      </c>
      <c r="H30" s="19">
        <v>30</v>
      </c>
      <c r="I30" s="19">
        <f t="shared" si="1"/>
        <v>890</v>
      </c>
      <c r="J30" s="18" t="s">
        <v>2057</v>
      </c>
      <c r="K30" s="18" t="s">
        <v>15</v>
      </c>
      <c r="L30" s="18" t="s">
        <v>2039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2110</v>
      </c>
      <c r="D31" s="18" t="s">
        <v>2111</v>
      </c>
      <c r="E31" s="18" t="s">
        <v>2112</v>
      </c>
      <c r="F31" s="18" t="s">
        <v>18</v>
      </c>
      <c r="G31" s="19">
        <v>0</v>
      </c>
      <c r="H31" s="19">
        <v>25</v>
      </c>
      <c r="I31" s="19">
        <f>-H31</f>
        <v>-25</v>
      </c>
      <c r="J31" s="18" t="s">
        <v>2057</v>
      </c>
      <c r="K31" s="18" t="s">
        <v>15</v>
      </c>
      <c r="L31" s="18" t="s">
        <v>2039</v>
      </c>
      <c r="M31" s="18"/>
      <c r="N31" s="18"/>
      <c r="O31" s="18"/>
      <c r="P31" s="18"/>
      <c r="Q31" s="18">
        <v>1</v>
      </c>
      <c r="R31" s="17">
        <f>H31</f>
        <v>25</v>
      </c>
    </row>
    <row r="32" spans="1:18" customFormat="1" x14ac:dyDescent="0.25">
      <c r="A32" s="18"/>
      <c r="B32" s="18" t="s">
        <v>34</v>
      </c>
      <c r="C32" s="18" t="s">
        <v>111</v>
      </c>
      <c r="D32" s="18" t="s">
        <v>2113</v>
      </c>
      <c r="E32" s="18" t="s">
        <v>1385</v>
      </c>
      <c r="F32" s="18" t="s">
        <v>38</v>
      </c>
      <c r="G32" s="19">
        <v>1220</v>
      </c>
      <c r="H32" s="19">
        <v>30</v>
      </c>
      <c r="I32" s="19">
        <f>G32-H32</f>
        <v>1190</v>
      </c>
      <c r="J32" s="18" t="s">
        <v>2057</v>
      </c>
      <c r="K32" s="18" t="s">
        <v>15</v>
      </c>
      <c r="L32" s="18" t="s">
        <v>2039</v>
      </c>
      <c r="M32" s="18"/>
      <c r="N32" s="18"/>
      <c r="O32" s="18"/>
      <c r="P32" s="18"/>
      <c r="Q32" s="18">
        <v>1</v>
      </c>
    </row>
    <row r="33" spans="1:18" customFormat="1" x14ac:dyDescent="0.25">
      <c r="A33" s="18" t="s">
        <v>96</v>
      </c>
      <c r="B33" s="18" t="s">
        <v>34</v>
      </c>
      <c r="C33" s="18" t="s">
        <v>2114</v>
      </c>
      <c r="D33" s="18"/>
      <c r="E33" s="18" t="s">
        <v>2115</v>
      </c>
      <c r="F33" s="18" t="s">
        <v>38</v>
      </c>
      <c r="G33" s="19">
        <v>0</v>
      </c>
      <c r="H33" s="19">
        <v>35</v>
      </c>
      <c r="I33" s="19">
        <f>-H33</f>
        <v>-35</v>
      </c>
      <c r="J33" s="18" t="s">
        <v>2057</v>
      </c>
      <c r="K33" s="18" t="s">
        <v>15</v>
      </c>
      <c r="L33" s="18" t="s">
        <v>2039</v>
      </c>
      <c r="M33" s="18"/>
      <c r="N33" s="18"/>
      <c r="O33" s="18"/>
      <c r="P33" s="18"/>
      <c r="Q33" s="18">
        <v>1</v>
      </c>
      <c r="R33" s="17">
        <f>H33</f>
        <v>35</v>
      </c>
    </row>
    <row r="34" spans="1:18" customFormat="1" x14ac:dyDescent="0.25">
      <c r="A34" s="18"/>
      <c r="B34" s="18" t="s">
        <v>34</v>
      </c>
      <c r="C34" s="18" t="s">
        <v>2116</v>
      </c>
      <c r="D34" s="18" t="s">
        <v>2117</v>
      </c>
      <c r="E34" s="18" t="s">
        <v>2118</v>
      </c>
      <c r="F34" s="18" t="s">
        <v>19</v>
      </c>
      <c r="G34" s="19">
        <v>470</v>
      </c>
      <c r="H34" s="19">
        <v>20</v>
      </c>
      <c r="I34" s="19">
        <f>G34-H34</f>
        <v>450</v>
      </c>
      <c r="J34" s="18" t="s">
        <v>15</v>
      </c>
      <c r="K34" s="18" t="s">
        <v>15</v>
      </c>
      <c r="L34" s="18" t="s">
        <v>2039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420</v>
      </c>
      <c r="D35" s="18" t="s">
        <v>2119</v>
      </c>
      <c r="E35" s="18" t="s">
        <v>2120</v>
      </c>
      <c r="F35" s="19">
        <v>12</v>
      </c>
      <c r="G35" s="19">
        <v>0</v>
      </c>
      <c r="H35" s="19">
        <v>40</v>
      </c>
      <c r="I35" s="19">
        <f>-H35</f>
        <v>-40</v>
      </c>
      <c r="J35" s="18" t="s">
        <v>15</v>
      </c>
      <c r="K35" s="18" t="s">
        <v>15</v>
      </c>
      <c r="L35" s="18" t="s">
        <v>2039</v>
      </c>
      <c r="M35" s="18"/>
      <c r="N35" s="18"/>
      <c r="O35" s="18"/>
      <c r="P35" s="18"/>
      <c r="Q35" s="18">
        <v>1</v>
      </c>
      <c r="R35" s="17">
        <f>H35</f>
        <v>40</v>
      </c>
    </row>
    <row r="36" spans="1:18" customFormat="1" x14ac:dyDescent="0.25">
      <c r="A36" s="18"/>
      <c r="B36" s="18" t="s">
        <v>34</v>
      </c>
      <c r="C36" s="18" t="s">
        <v>2121</v>
      </c>
      <c r="D36" s="18" t="s">
        <v>2122</v>
      </c>
      <c r="E36" s="18" t="s">
        <v>2123</v>
      </c>
      <c r="F36" s="19">
        <v>2</v>
      </c>
      <c r="G36" s="19">
        <v>890</v>
      </c>
      <c r="H36" s="19">
        <v>30</v>
      </c>
      <c r="I36" s="19">
        <f t="shared" ref="I36:I44" si="2">G36-H36</f>
        <v>860</v>
      </c>
      <c r="J36" s="18" t="s">
        <v>15</v>
      </c>
      <c r="K36" s="18" t="s">
        <v>15</v>
      </c>
      <c r="L36" s="18" t="s">
        <v>2039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2124</v>
      </c>
      <c r="D37" s="18" t="s">
        <v>2125</v>
      </c>
      <c r="E37" s="18" t="s">
        <v>2126</v>
      </c>
      <c r="F37" s="18" t="s">
        <v>20</v>
      </c>
      <c r="G37" s="19">
        <v>2000</v>
      </c>
      <c r="H37" s="19">
        <v>25</v>
      </c>
      <c r="I37" s="19">
        <f t="shared" si="2"/>
        <v>1975</v>
      </c>
      <c r="J37" s="18" t="s">
        <v>15</v>
      </c>
      <c r="K37" s="18" t="s">
        <v>15</v>
      </c>
      <c r="L37" s="18" t="s">
        <v>2039</v>
      </c>
      <c r="M37" s="48" t="s">
        <v>377</v>
      </c>
      <c r="N37" s="18"/>
      <c r="O37" s="18"/>
      <c r="P37" s="18"/>
      <c r="Q37" s="18">
        <v>1</v>
      </c>
      <c r="R37" s="17">
        <f>H37</f>
        <v>25</v>
      </c>
    </row>
    <row r="38" spans="1:18" customFormat="1" x14ac:dyDescent="0.25">
      <c r="A38" s="18"/>
      <c r="B38" s="18" t="s">
        <v>34</v>
      </c>
      <c r="C38" s="18" t="s">
        <v>242</v>
      </c>
      <c r="D38" s="18" t="s">
        <v>2127</v>
      </c>
      <c r="E38" s="18" t="s">
        <v>2128</v>
      </c>
      <c r="F38" s="18" t="s">
        <v>20</v>
      </c>
      <c r="G38" s="19">
        <v>555</v>
      </c>
      <c r="H38" s="19">
        <v>25</v>
      </c>
      <c r="I38" s="19">
        <f t="shared" si="2"/>
        <v>530</v>
      </c>
      <c r="J38" s="18" t="s">
        <v>15</v>
      </c>
      <c r="K38" s="18" t="s">
        <v>15</v>
      </c>
      <c r="L38" s="18" t="s">
        <v>2039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2129</v>
      </c>
      <c r="D39" s="18" t="s">
        <v>2130</v>
      </c>
      <c r="E39" s="18" t="s">
        <v>2131</v>
      </c>
      <c r="F39" s="18" t="s">
        <v>19</v>
      </c>
      <c r="G39" s="19">
        <v>550</v>
      </c>
      <c r="H39" s="19">
        <v>20</v>
      </c>
      <c r="I39" s="19">
        <f t="shared" si="2"/>
        <v>530</v>
      </c>
      <c r="J39" s="18" t="s">
        <v>15</v>
      </c>
      <c r="K39" s="18" t="s">
        <v>15</v>
      </c>
      <c r="L39" s="18" t="s">
        <v>2039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138</v>
      </c>
      <c r="D40" s="18" t="s">
        <v>2132</v>
      </c>
      <c r="E40" s="18" t="s">
        <v>140</v>
      </c>
      <c r="F40" s="18" t="s">
        <v>19</v>
      </c>
      <c r="G40" s="19">
        <v>4910</v>
      </c>
      <c r="H40" s="19">
        <v>30</v>
      </c>
      <c r="I40" s="19">
        <f t="shared" si="2"/>
        <v>4880</v>
      </c>
      <c r="J40" s="18" t="s">
        <v>15</v>
      </c>
      <c r="K40" s="18" t="s">
        <v>15</v>
      </c>
      <c r="L40" s="18" t="s">
        <v>2039</v>
      </c>
      <c r="M40" s="48" t="s">
        <v>377</v>
      </c>
      <c r="N40" s="18"/>
      <c r="O40" s="18"/>
      <c r="P40" s="18"/>
      <c r="Q40" s="18">
        <v>1</v>
      </c>
      <c r="R40" s="17">
        <f>H40</f>
        <v>30</v>
      </c>
    </row>
    <row r="41" spans="1:18" customFormat="1" x14ac:dyDescent="0.25">
      <c r="A41" s="18"/>
      <c r="B41" s="18" t="s">
        <v>34</v>
      </c>
      <c r="C41" s="18" t="s">
        <v>2133</v>
      </c>
      <c r="D41" s="18" t="s">
        <v>2134</v>
      </c>
      <c r="E41" s="18" t="s">
        <v>2135</v>
      </c>
      <c r="F41" s="19">
        <v>2</v>
      </c>
      <c r="G41" s="19">
        <v>880</v>
      </c>
      <c r="H41" s="19">
        <v>30</v>
      </c>
      <c r="I41" s="19">
        <f t="shared" si="2"/>
        <v>850</v>
      </c>
      <c r="J41" s="18" t="s">
        <v>15</v>
      </c>
      <c r="K41" s="18" t="s">
        <v>15</v>
      </c>
      <c r="L41" s="18" t="s">
        <v>2039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356</v>
      </c>
      <c r="D42" s="18" t="s">
        <v>2136</v>
      </c>
      <c r="E42" s="18" t="s">
        <v>957</v>
      </c>
      <c r="F42" s="18" t="s">
        <v>20</v>
      </c>
      <c r="G42" s="19">
        <v>1395</v>
      </c>
      <c r="H42" s="19">
        <v>25</v>
      </c>
      <c r="I42" s="19">
        <f t="shared" si="2"/>
        <v>1370</v>
      </c>
      <c r="J42" s="18" t="s">
        <v>15</v>
      </c>
      <c r="K42" s="18" t="s">
        <v>15</v>
      </c>
      <c r="L42" s="18" t="s">
        <v>2039</v>
      </c>
      <c r="M42" s="18"/>
      <c r="N42" s="18"/>
      <c r="O42" s="18"/>
      <c r="P42" s="18"/>
      <c r="Q42" s="18">
        <v>1</v>
      </c>
    </row>
    <row r="43" spans="1:18" customFormat="1" x14ac:dyDescent="0.25">
      <c r="A43" s="18" t="s">
        <v>96</v>
      </c>
      <c r="B43" s="18" t="s">
        <v>34</v>
      </c>
      <c r="C43" s="18" t="s">
        <v>2137</v>
      </c>
      <c r="D43" s="18"/>
      <c r="E43" s="18" t="s">
        <v>2138</v>
      </c>
      <c r="F43" s="18" t="s">
        <v>144</v>
      </c>
      <c r="G43" s="19">
        <v>35</v>
      </c>
      <c r="H43" s="19">
        <v>35</v>
      </c>
      <c r="I43" s="19">
        <f t="shared" si="2"/>
        <v>0</v>
      </c>
      <c r="J43" s="18" t="s">
        <v>15</v>
      </c>
      <c r="K43" s="18" t="s">
        <v>15</v>
      </c>
      <c r="L43" s="18" t="s">
        <v>2039</v>
      </c>
      <c r="M43" s="18"/>
      <c r="N43" s="18"/>
      <c r="O43" s="18"/>
      <c r="P43" s="18"/>
      <c r="Q43" s="18">
        <v>1</v>
      </c>
    </row>
    <row r="44" spans="1:18" customFormat="1" x14ac:dyDescent="0.25">
      <c r="A44" s="18" t="s">
        <v>96</v>
      </c>
      <c r="B44" s="18" t="s">
        <v>34</v>
      </c>
      <c r="C44" s="18" t="s">
        <v>640</v>
      </c>
      <c r="D44" s="18"/>
      <c r="E44" s="18" t="s">
        <v>641</v>
      </c>
      <c r="F44" s="18" t="s">
        <v>20</v>
      </c>
      <c r="G44" s="19">
        <v>2310</v>
      </c>
      <c r="H44" s="19">
        <v>30</v>
      </c>
      <c r="I44" s="19">
        <f t="shared" si="2"/>
        <v>2280</v>
      </c>
      <c r="J44" s="18" t="s">
        <v>15</v>
      </c>
      <c r="K44" s="18" t="s">
        <v>15</v>
      </c>
      <c r="L44" s="18" t="s">
        <v>2039</v>
      </c>
      <c r="M44" s="18"/>
      <c r="N44" s="18"/>
      <c r="O44" s="18"/>
      <c r="P44" s="18"/>
      <c r="Q44" s="18">
        <v>1</v>
      </c>
    </row>
    <row r="45" spans="1:18" customFormat="1" x14ac:dyDescent="0.25">
      <c r="A45" s="18" t="s">
        <v>96</v>
      </c>
      <c r="B45" s="18" t="s">
        <v>34</v>
      </c>
      <c r="C45" s="18" t="s">
        <v>314</v>
      </c>
      <c r="D45" s="18"/>
      <c r="E45" s="18" t="s">
        <v>315</v>
      </c>
      <c r="F45" s="18" t="s">
        <v>20</v>
      </c>
      <c r="G45" s="19">
        <v>0</v>
      </c>
      <c r="H45" s="19">
        <v>30</v>
      </c>
      <c r="I45" s="19">
        <f>-H45</f>
        <v>-30</v>
      </c>
      <c r="J45" s="18" t="s">
        <v>15</v>
      </c>
      <c r="K45" s="18" t="s">
        <v>15</v>
      </c>
      <c r="L45" s="18" t="s">
        <v>2039</v>
      </c>
      <c r="M45" s="18"/>
      <c r="N45" s="18"/>
      <c r="O45" s="18"/>
      <c r="P45" s="18"/>
      <c r="Q45" s="18">
        <v>1</v>
      </c>
      <c r="R45" s="17">
        <f>H45</f>
        <v>30</v>
      </c>
    </row>
    <row r="46" spans="1:18" customFormat="1" x14ac:dyDescent="0.25">
      <c r="A46" s="18"/>
      <c r="B46" s="18" t="s">
        <v>34</v>
      </c>
      <c r="C46" s="18" t="s">
        <v>2139</v>
      </c>
      <c r="D46" s="18" t="s">
        <v>2140</v>
      </c>
      <c r="E46" s="18" t="s">
        <v>2141</v>
      </c>
      <c r="F46" s="19">
        <v>3</v>
      </c>
      <c r="G46" s="19">
        <v>555</v>
      </c>
      <c r="H46" s="19">
        <v>25</v>
      </c>
      <c r="I46" s="19">
        <f>G46-H46</f>
        <v>530</v>
      </c>
      <c r="J46" s="18" t="s">
        <v>160</v>
      </c>
      <c r="K46" s="18" t="s">
        <v>15</v>
      </c>
      <c r="L46" s="18" t="s">
        <v>2039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999</v>
      </c>
      <c r="D47" s="18" t="s">
        <v>2142</v>
      </c>
      <c r="E47" s="18" t="s">
        <v>1001</v>
      </c>
      <c r="F47" s="18" t="s">
        <v>18</v>
      </c>
      <c r="G47" s="19">
        <v>1925</v>
      </c>
      <c r="H47" s="19">
        <v>25</v>
      </c>
      <c r="I47" s="19">
        <f>G47-H47</f>
        <v>1900</v>
      </c>
      <c r="J47" s="18" t="s">
        <v>160</v>
      </c>
      <c r="K47" s="18" t="s">
        <v>15</v>
      </c>
      <c r="L47" s="18" t="s">
        <v>2039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645</v>
      </c>
      <c r="D48" s="18" t="s">
        <v>2143</v>
      </c>
      <c r="E48" s="18" t="s">
        <v>647</v>
      </c>
      <c r="F48" s="19">
        <v>1</v>
      </c>
      <c r="G48" s="19">
        <v>595</v>
      </c>
      <c r="H48" s="19">
        <v>25</v>
      </c>
      <c r="I48" s="19">
        <f>G48-H48</f>
        <v>570</v>
      </c>
      <c r="J48" s="18" t="s">
        <v>160</v>
      </c>
      <c r="K48" s="18" t="s">
        <v>15</v>
      </c>
      <c r="L48" s="18" t="s">
        <v>2039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2144</v>
      </c>
      <c r="D49" s="18" t="s">
        <v>2145</v>
      </c>
      <c r="E49" s="18" t="s">
        <v>2146</v>
      </c>
      <c r="F49" s="18" t="s">
        <v>18</v>
      </c>
      <c r="G49" s="19">
        <v>0</v>
      </c>
      <c r="H49" s="19">
        <v>25</v>
      </c>
      <c r="I49" s="19">
        <f>-H49</f>
        <v>-25</v>
      </c>
      <c r="J49" s="18" t="s">
        <v>160</v>
      </c>
      <c r="K49" s="18" t="s">
        <v>15</v>
      </c>
      <c r="L49" s="18" t="s">
        <v>2039</v>
      </c>
      <c r="M49" s="18"/>
      <c r="N49" s="18"/>
      <c r="O49" s="18"/>
      <c r="P49" s="18"/>
      <c r="Q49" s="18">
        <v>1</v>
      </c>
      <c r="R49" s="17">
        <f>H49</f>
        <v>25</v>
      </c>
    </row>
    <row r="50" spans="1:18" customFormat="1" x14ac:dyDescent="0.25">
      <c r="A50" s="18"/>
      <c r="B50" s="18" t="s">
        <v>34</v>
      </c>
      <c r="C50" s="18" t="s">
        <v>894</v>
      </c>
      <c r="D50" s="18" t="s">
        <v>2147</v>
      </c>
      <c r="E50" s="18" t="s">
        <v>896</v>
      </c>
      <c r="F50" s="18" t="s">
        <v>17</v>
      </c>
      <c r="G50" s="19">
        <v>880</v>
      </c>
      <c r="H50" s="19">
        <v>20</v>
      </c>
      <c r="I50" s="19">
        <f>G50-H50</f>
        <v>860</v>
      </c>
      <c r="J50" s="18" t="s">
        <v>160</v>
      </c>
      <c r="K50" s="18" t="s">
        <v>15</v>
      </c>
      <c r="L50" s="18" t="s">
        <v>2039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2148</v>
      </c>
      <c r="D51" s="18" t="s">
        <v>2149</v>
      </c>
      <c r="E51" s="18" t="s">
        <v>2150</v>
      </c>
      <c r="F51" s="19">
        <v>1</v>
      </c>
      <c r="G51" s="19">
        <v>275</v>
      </c>
      <c r="H51" s="19">
        <v>25</v>
      </c>
      <c r="I51" s="19">
        <f>G51-H51</f>
        <v>250</v>
      </c>
      <c r="J51" s="18" t="s">
        <v>160</v>
      </c>
      <c r="K51" s="18" t="s">
        <v>15</v>
      </c>
      <c r="L51" s="18" t="s">
        <v>2039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2151</v>
      </c>
      <c r="D52" s="18" t="s">
        <v>2152</v>
      </c>
      <c r="E52" s="18" t="s">
        <v>2153</v>
      </c>
      <c r="F52" s="19">
        <v>5</v>
      </c>
      <c r="G52" s="19">
        <v>0</v>
      </c>
      <c r="H52" s="19">
        <v>25</v>
      </c>
      <c r="I52" s="19">
        <f>G52-H52</f>
        <v>-25</v>
      </c>
      <c r="J52" s="18" t="s">
        <v>160</v>
      </c>
      <c r="K52" s="18" t="s">
        <v>15</v>
      </c>
      <c r="L52" s="18" t="s">
        <v>2039</v>
      </c>
      <c r="M52" s="48" t="s">
        <v>2176</v>
      </c>
      <c r="N52" s="18"/>
      <c r="O52" s="18"/>
      <c r="P52" s="18"/>
      <c r="Q52" s="18">
        <v>1</v>
      </c>
      <c r="R52" s="17">
        <f>H52</f>
        <v>25</v>
      </c>
    </row>
    <row r="53" spans="1:18" customFormat="1" x14ac:dyDescent="0.25">
      <c r="A53" s="18"/>
      <c r="B53" s="18" t="s">
        <v>34</v>
      </c>
      <c r="C53" s="18" t="s">
        <v>2154</v>
      </c>
      <c r="D53" s="18" t="s">
        <v>2155</v>
      </c>
      <c r="E53" s="18" t="s">
        <v>2156</v>
      </c>
      <c r="F53" s="19">
        <v>5</v>
      </c>
      <c r="G53" s="19">
        <v>755</v>
      </c>
      <c r="H53" s="19">
        <v>25</v>
      </c>
      <c r="I53" s="19">
        <f>G53-H53</f>
        <v>730</v>
      </c>
      <c r="J53" s="18" t="s">
        <v>160</v>
      </c>
      <c r="K53" s="18" t="s">
        <v>15</v>
      </c>
      <c r="L53" s="18" t="s">
        <v>2039</v>
      </c>
      <c r="M53" s="18"/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1288</v>
      </c>
      <c r="D54" s="18" t="s">
        <v>2157</v>
      </c>
      <c r="E54" s="18" t="s">
        <v>1290</v>
      </c>
      <c r="F54" s="18" t="s">
        <v>18</v>
      </c>
      <c r="G54" s="19">
        <v>915</v>
      </c>
      <c r="H54" s="19">
        <v>25</v>
      </c>
      <c r="I54" s="19">
        <f>G54-H54</f>
        <v>890</v>
      </c>
      <c r="J54" s="18" t="s">
        <v>160</v>
      </c>
      <c r="K54" s="18" t="s">
        <v>15</v>
      </c>
      <c r="L54" s="18" t="s">
        <v>2039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711</v>
      </c>
      <c r="D55" s="18" t="s">
        <v>2158</v>
      </c>
      <c r="E55" s="18" t="s">
        <v>2159</v>
      </c>
      <c r="F55" s="18" t="s">
        <v>17</v>
      </c>
      <c r="G55" s="19">
        <v>0</v>
      </c>
      <c r="H55" s="19">
        <v>20</v>
      </c>
      <c r="I55" s="19">
        <f>-H55</f>
        <v>-20</v>
      </c>
      <c r="J55" s="18" t="s">
        <v>160</v>
      </c>
      <c r="K55" s="18" t="s">
        <v>15</v>
      </c>
      <c r="L55" s="18" t="s">
        <v>2039</v>
      </c>
      <c r="M55" s="18"/>
      <c r="N55" s="18"/>
      <c r="O55" s="18"/>
      <c r="P55" s="18"/>
      <c r="Q55" s="18">
        <v>1</v>
      </c>
      <c r="R55" s="17">
        <f>H55</f>
        <v>20</v>
      </c>
    </row>
    <row r="56" spans="1:18" customFormat="1" x14ac:dyDescent="0.25">
      <c r="A56" s="18"/>
      <c r="B56" s="18" t="s">
        <v>34</v>
      </c>
      <c r="C56" s="18" t="s">
        <v>2160</v>
      </c>
      <c r="D56" s="18" t="s">
        <v>2161</v>
      </c>
      <c r="E56" s="18" t="s">
        <v>2162</v>
      </c>
      <c r="F56" s="19">
        <v>4</v>
      </c>
      <c r="G56" s="19">
        <v>3670</v>
      </c>
      <c r="H56" s="19">
        <v>30</v>
      </c>
      <c r="I56" s="19">
        <f>G56-H56</f>
        <v>3640</v>
      </c>
      <c r="J56" s="18" t="s">
        <v>160</v>
      </c>
      <c r="K56" s="18" t="s">
        <v>15</v>
      </c>
      <c r="L56" s="18" t="s">
        <v>2039</v>
      </c>
      <c r="M56" s="48" t="s">
        <v>377</v>
      </c>
      <c r="N56" s="18"/>
      <c r="O56" s="18"/>
      <c r="P56" s="18"/>
      <c r="Q56" s="18">
        <v>1</v>
      </c>
      <c r="R56" s="17">
        <f>H56</f>
        <v>30</v>
      </c>
    </row>
    <row r="57" spans="1:18" customFormat="1" x14ac:dyDescent="0.25">
      <c r="A57" s="18"/>
      <c r="B57" s="18" t="s">
        <v>34</v>
      </c>
      <c r="C57" s="18" t="s">
        <v>2163</v>
      </c>
      <c r="D57" s="18" t="s">
        <v>2164</v>
      </c>
      <c r="E57" s="18" t="s">
        <v>2165</v>
      </c>
      <c r="F57" s="18" t="s">
        <v>18</v>
      </c>
      <c r="G57" s="19">
        <v>1085</v>
      </c>
      <c r="H57" s="19">
        <v>25</v>
      </c>
      <c r="I57" s="19">
        <f>G57-H57</f>
        <v>1060</v>
      </c>
      <c r="J57" s="18" t="s">
        <v>160</v>
      </c>
      <c r="K57" s="18" t="s">
        <v>15</v>
      </c>
      <c r="L57" s="18" t="s">
        <v>2039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2166</v>
      </c>
      <c r="D58" s="18" t="s">
        <v>2167</v>
      </c>
      <c r="E58" s="18" t="s">
        <v>2168</v>
      </c>
      <c r="F58" s="18" t="s">
        <v>17</v>
      </c>
      <c r="G58" s="19">
        <v>0</v>
      </c>
      <c r="H58" s="19">
        <v>20</v>
      </c>
      <c r="I58" s="19">
        <f>-H58</f>
        <v>-20</v>
      </c>
      <c r="J58" s="18" t="s">
        <v>160</v>
      </c>
      <c r="K58" s="18" t="s">
        <v>15</v>
      </c>
      <c r="L58" s="18" t="s">
        <v>2039</v>
      </c>
      <c r="M58" s="18"/>
      <c r="N58" s="18"/>
      <c r="O58" s="18"/>
      <c r="P58" s="18"/>
      <c r="Q58" s="18">
        <v>1</v>
      </c>
      <c r="R58" s="17">
        <f>H58</f>
        <v>20</v>
      </c>
    </row>
    <row r="59" spans="1:18" customFormat="1" x14ac:dyDescent="0.25">
      <c r="A59" s="18"/>
      <c r="B59" s="18" t="s">
        <v>34</v>
      </c>
      <c r="C59" s="18" t="s">
        <v>2169</v>
      </c>
      <c r="D59" s="18" t="s">
        <v>2170</v>
      </c>
      <c r="E59" s="18" t="s">
        <v>2171</v>
      </c>
      <c r="F59" s="19">
        <v>4</v>
      </c>
      <c r="G59" s="19">
        <v>1485</v>
      </c>
      <c r="H59" s="19">
        <v>25</v>
      </c>
      <c r="I59" s="19">
        <f>G59-H59</f>
        <v>1460</v>
      </c>
      <c r="J59" s="18" t="s">
        <v>160</v>
      </c>
      <c r="K59" s="18" t="s">
        <v>15</v>
      </c>
      <c r="L59" s="18" t="s">
        <v>2039</v>
      </c>
      <c r="M59" s="18"/>
      <c r="N59" s="18"/>
      <c r="O59" s="18"/>
      <c r="P59" s="18"/>
      <c r="Q59" s="18">
        <v>1</v>
      </c>
    </row>
    <row r="60" spans="1:18" s="36" customFormat="1" x14ac:dyDescent="0.25">
      <c r="A60" s="45"/>
      <c r="B60" s="45" t="s">
        <v>34</v>
      </c>
      <c r="C60" s="45" t="s">
        <v>2172</v>
      </c>
      <c r="D60" s="45" t="s">
        <v>2173</v>
      </c>
      <c r="E60" s="45" t="s">
        <v>2174</v>
      </c>
      <c r="F60" s="45" t="s">
        <v>784</v>
      </c>
      <c r="G60" s="46">
        <v>570</v>
      </c>
      <c r="H60" s="46">
        <v>0</v>
      </c>
      <c r="I60" s="46">
        <f>G60-H60</f>
        <v>570</v>
      </c>
      <c r="J60" s="45" t="s">
        <v>662</v>
      </c>
      <c r="K60" s="45" t="s">
        <v>15</v>
      </c>
      <c r="L60" s="45" t="s">
        <v>2039</v>
      </c>
      <c r="M60" s="45" t="s">
        <v>786</v>
      </c>
      <c r="N60" s="45" t="s">
        <v>787</v>
      </c>
      <c r="O60" s="45"/>
      <c r="P60" s="45" t="s">
        <v>788</v>
      </c>
      <c r="Q60" s="45">
        <v>1</v>
      </c>
    </row>
    <row r="62" spans="1:18" x14ac:dyDescent="0.25">
      <c r="G62" s="1">
        <f t="shared" ref="G62:R62" si="3">SUBTOTAL(9,G3:G61)</f>
        <v>49260</v>
      </c>
      <c r="H62" s="1">
        <f t="shared" si="3"/>
        <v>1590</v>
      </c>
      <c r="I62" s="1">
        <f t="shared" si="3"/>
        <v>47670</v>
      </c>
      <c r="J62" s="1">
        <f t="shared" si="3"/>
        <v>0</v>
      </c>
      <c r="K62" s="1">
        <f t="shared" si="3"/>
        <v>0</v>
      </c>
      <c r="L62" s="1">
        <f t="shared" si="3"/>
        <v>0</v>
      </c>
      <c r="M62" s="1">
        <f t="shared" si="3"/>
        <v>0</v>
      </c>
      <c r="N62" s="1">
        <f t="shared" si="3"/>
        <v>0</v>
      </c>
      <c r="O62" s="1">
        <f t="shared" si="3"/>
        <v>0</v>
      </c>
      <c r="P62" s="1">
        <f t="shared" si="3"/>
        <v>0</v>
      </c>
      <c r="Q62" s="1">
        <f t="shared" si="3"/>
        <v>58</v>
      </c>
      <c r="R62" s="1">
        <f t="shared" si="3"/>
        <v>480</v>
      </c>
    </row>
    <row r="63" spans="1:18" x14ac:dyDescent="0.25">
      <c r="I63" s="1">
        <v>-5360</v>
      </c>
      <c r="J63" s="1" t="s">
        <v>2175</v>
      </c>
    </row>
    <row r="66" spans="1:12" ht="20.25" customHeight="1" x14ac:dyDescent="0.3">
      <c r="H66" s="4" t="s">
        <v>2034</v>
      </c>
      <c r="I66" s="5" t="s">
        <v>21</v>
      </c>
      <c r="J66" s="6" t="s">
        <v>22</v>
      </c>
    </row>
    <row r="67" spans="1:12" ht="15.75" customHeight="1" x14ac:dyDescent="0.25">
      <c r="H67" s="7" t="s">
        <v>23</v>
      </c>
      <c r="I67" s="8">
        <f>SUM(I61:I65)</f>
        <v>42310</v>
      </c>
      <c r="J67" s="8">
        <f>Q62</f>
        <v>58</v>
      </c>
    </row>
    <row r="68" spans="1:12" x14ac:dyDescent="0.25">
      <c r="H68" s="9" t="s">
        <v>24</v>
      </c>
      <c r="I68" s="10">
        <f>R62</f>
        <v>480</v>
      </c>
      <c r="J68" s="11"/>
    </row>
    <row r="69" spans="1:12" x14ac:dyDescent="0.25">
      <c r="H69" s="9" t="s">
        <v>25</v>
      </c>
      <c r="I69" s="10">
        <f>S61</f>
        <v>0</v>
      </c>
      <c r="J69" s="11"/>
    </row>
    <row r="70" spans="1:12" x14ac:dyDescent="0.25">
      <c r="H70" s="9" t="s">
        <v>26</v>
      </c>
      <c r="I70" s="10">
        <f>T61</f>
        <v>0</v>
      </c>
      <c r="J70" s="11"/>
    </row>
    <row r="71" spans="1:12" x14ac:dyDescent="0.25">
      <c r="H71" s="9" t="s">
        <v>27</v>
      </c>
      <c r="I71" s="10">
        <f>U61</f>
        <v>0</v>
      </c>
      <c r="J71" s="11"/>
    </row>
    <row r="72" spans="1:12" ht="15.75" customHeight="1" x14ac:dyDescent="0.25">
      <c r="H72" s="12" t="s">
        <v>28</v>
      </c>
      <c r="I72" s="13"/>
      <c r="J72" s="13"/>
    </row>
    <row r="73" spans="1:12" ht="15.75" customHeight="1" x14ac:dyDescent="0.25">
      <c r="H73" s="14" t="s">
        <v>29</v>
      </c>
      <c r="I73" s="13"/>
      <c r="J73" s="13"/>
    </row>
    <row r="74" spans="1:12" ht="21" customHeight="1" x14ac:dyDescent="0.35">
      <c r="H74" s="15" t="s">
        <v>30</v>
      </c>
      <c r="I74" s="16">
        <f>SUM(I67:I73)</f>
        <v>42790</v>
      </c>
      <c r="J74" s="16">
        <f>SUM(J67:J71)</f>
        <v>58</v>
      </c>
    </row>
    <row r="76" spans="1:12" x14ac:dyDescent="0.25">
      <c r="A76" s="1" t="s">
        <v>173</v>
      </c>
    </row>
    <row r="77" spans="1:12" s="23" customFormat="1" x14ac:dyDescent="0.25">
      <c r="A77" s="24" t="s">
        <v>34</v>
      </c>
      <c r="B77" s="24" t="s">
        <v>2151</v>
      </c>
      <c r="C77" s="24" t="s">
        <v>2152</v>
      </c>
      <c r="D77" s="24" t="s">
        <v>2153</v>
      </c>
      <c r="E77" s="25">
        <v>5</v>
      </c>
      <c r="F77" s="25">
        <v>815</v>
      </c>
      <c r="G77" s="25">
        <v>0</v>
      </c>
      <c r="H77" s="25">
        <f>F77-G77</f>
        <v>815</v>
      </c>
      <c r="I77" s="24" t="s">
        <v>160</v>
      </c>
      <c r="J77" s="24" t="s">
        <v>15</v>
      </c>
      <c r="K77" s="24" t="s">
        <v>2039</v>
      </c>
      <c r="L77" s="48" t="s">
        <v>2176</v>
      </c>
    </row>
  </sheetData>
  <autoFilter ref="A2:P60" xr:uid="{00000000-0009-0000-0000-000006000000}">
    <sortState xmlns:xlrd2="http://schemas.microsoft.com/office/spreadsheetml/2017/richdata2" ref="A3:P60">
      <sortCondition ref="J2:J60"/>
    </sortState>
  </autoFilter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AC687-A29B-430D-B8C9-2657C46D0748}">
  <dimension ref="A1:R73"/>
  <sheetViews>
    <sheetView topLeftCell="A22" zoomScaleNormal="100" workbookViewId="0">
      <selection activeCell="M36" sqref="M36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7" x14ac:dyDescent="0.25">
      <c r="B1" s="1" t="s">
        <v>31</v>
      </c>
      <c r="C1" s="1" t="s">
        <v>2178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s="22" customFormat="1" x14ac:dyDescent="0.25">
      <c r="A3" s="20"/>
      <c r="B3" s="20" t="s">
        <v>34</v>
      </c>
      <c r="C3" s="20" t="s">
        <v>2179</v>
      </c>
      <c r="D3" s="20" t="s">
        <v>2180</v>
      </c>
      <c r="E3" s="20" t="s">
        <v>2181</v>
      </c>
      <c r="F3" s="21">
        <v>9</v>
      </c>
      <c r="G3" s="21">
        <v>0</v>
      </c>
      <c r="H3" s="21">
        <v>30</v>
      </c>
      <c r="I3" s="21">
        <f>-H3</f>
        <v>-30</v>
      </c>
      <c r="J3" s="20" t="s">
        <v>56</v>
      </c>
      <c r="K3" s="20" t="s">
        <v>15</v>
      </c>
      <c r="L3" s="20" t="s">
        <v>2182</v>
      </c>
      <c r="M3" s="20" t="s">
        <v>16</v>
      </c>
      <c r="N3" s="20"/>
      <c r="O3" s="20"/>
      <c r="P3" s="20"/>
      <c r="Q3" s="20">
        <v>1</v>
      </c>
    </row>
    <row r="4" spans="1:17" customFormat="1" x14ac:dyDescent="0.25">
      <c r="A4" s="18"/>
      <c r="B4" s="18" t="s">
        <v>34</v>
      </c>
      <c r="C4" s="18" t="s">
        <v>2183</v>
      </c>
      <c r="D4" s="18" t="s">
        <v>2184</v>
      </c>
      <c r="E4" s="18" t="s">
        <v>2185</v>
      </c>
      <c r="F4" s="19">
        <v>9</v>
      </c>
      <c r="G4" s="19">
        <v>480</v>
      </c>
      <c r="H4" s="19">
        <v>30</v>
      </c>
      <c r="I4" s="19">
        <f>G4-H4</f>
        <v>450</v>
      </c>
      <c r="J4" s="18" t="s">
        <v>56</v>
      </c>
      <c r="K4" s="18" t="s">
        <v>15</v>
      </c>
      <c r="L4" s="18" t="s">
        <v>2182</v>
      </c>
      <c r="M4" s="18"/>
      <c r="N4" s="18"/>
      <c r="O4" s="18"/>
      <c r="P4" s="18"/>
      <c r="Q4" s="18">
        <v>1</v>
      </c>
    </row>
    <row r="5" spans="1:17" customFormat="1" x14ac:dyDescent="0.25">
      <c r="A5" s="18"/>
      <c r="B5" s="18" t="s">
        <v>34</v>
      </c>
      <c r="C5" s="18" t="s">
        <v>2186</v>
      </c>
      <c r="D5" s="18" t="s">
        <v>2187</v>
      </c>
      <c r="E5" s="18" t="s">
        <v>2188</v>
      </c>
      <c r="F5" s="19">
        <v>9</v>
      </c>
      <c r="G5" s="19">
        <v>520</v>
      </c>
      <c r="H5" s="19">
        <v>30</v>
      </c>
      <c r="I5" s="19">
        <f>G5-H5</f>
        <v>490</v>
      </c>
      <c r="J5" s="18" t="s">
        <v>56</v>
      </c>
      <c r="K5" s="18" t="s">
        <v>15</v>
      </c>
      <c r="L5" s="18" t="s">
        <v>2182</v>
      </c>
      <c r="M5" s="18"/>
      <c r="N5" s="18"/>
      <c r="O5" s="18"/>
      <c r="P5" s="18"/>
      <c r="Q5" s="18">
        <v>1</v>
      </c>
    </row>
    <row r="6" spans="1:17" customFormat="1" x14ac:dyDescent="0.25">
      <c r="A6" s="18"/>
      <c r="B6" s="18" t="s">
        <v>34</v>
      </c>
      <c r="C6" s="18" t="s">
        <v>2189</v>
      </c>
      <c r="D6" s="18" t="s">
        <v>2190</v>
      </c>
      <c r="E6" s="18" t="s">
        <v>2191</v>
      </c>
      <c r="F6" s="19">
        <v>9</v>
      </c>
      <c r="G6" s="19">
        <v>890</v>
      </c>
      <c r="H6" s="19">
        <v>30</v>
      </c>
      <c r="I6" s="19">
        <f>G6-H6</f>
        <v>860</v>
      </c>
      <c r="J6" s="18" t="s">
        <v>56</v>
      </c>
      <c r="K6" s="18" t="s">
        <v>15</v>
      </c>
      <c r="L6" s="18" t="s">
        <v>2182</v>
      </c>
      <c r="M6" s="18"/>
      <c r="N6" s="18"/>
      <c r="O6" s="18"/>
      <c r="P6" s="18"/>
      <c r="Q6" s="18">
        <v>1</v>
      </c>
    </row>
    <row r="7" spans="1:17" customFormat="1" x14ac:dyDescent="0.25">
      <c r="A7" s="18"/>
      <c r="B7" s="18" t="s">
        <v>34</v>
      </c>
      <c r="C7" s="18" t="s">
        <v>2192</v>
      </c>
      <c r="D7" s="18" t="s">
        <v>2193</v>
      </c>
      <c r="E7" s="18" t="s">
        <v>2194</v>
      </c>
      <c r="F7" s="19">
        <v>9</v>
      </c>
      <c r="G7" s="19">
        <v>690</v>
      </c>
      <c r="H7" s="19">
        <v>30</v>
      </c>
      <c r="I7" s="19">
        <f>G7-H7</f>
        <v>660</v>
      </c>
      <c r="J7" s="18" t="s">
        <v>56</v>
      </c>
      <c r="K7" s="18" t="s">
        <v>15</v>
      </c>
      <c r="L7" s="18" t="s">
        <v>2182</v>
      </c>
      <c r="M7" s="18"/>
      <c r="N7" s="18"/>
      <c r="O7" s="18"/>
      <c r="P7" s="18"/>
      <c r="Q7" s="18">
        <v>1</v>
      </c>
    </row>
    <row r="8" spans="1:17" customFormat="1" x14ac:dyDescent="0.25">
      <c r="A8" s="18"/>
      <c r="B8" s="18" t="s">
        <v>34</v>
      </c>
      <c r="C8" s="18" t="s">
        <v>2195</v>
      </c>
      <c r="D8" s="18" t="s">
        <v>2196</v>
      </c>
      <c r="E8" s="18" t="s">
        <v>2197</v>
      </c>
      <c r="F8" s="18" t="s">
        <v>38</v>
      </c>
      <c r="G8" s="19">
        <v>0</v>
      </c>
      <c r="H8" s="19">
        <v>30</v>
      </c>
      <c r="I8" s="19">
        <f>-H8</f>
        <v>-30</v>
      </c>
      <c r="J8" s="18" t="s">
        <v>2198</v>
      </c>
      <c r="K8" s="18" t="s">
        <v>15</v>
      </c>
      <c r="L8" s="18" t="s">
        <v>2182</v>
      </c>
      <c r="M8" s="18"/>
      <c r="N8" s="18"/>
      <c r="O8" s="18"/>
      <c r="P8" s="18"/>
      <c r="Q8" s="18">
        <v>1</v>
      </c>
    </row>
    <row r="9" spans="1:17" s="22" customFormat="1" x14ac:dyDescent="0.25">
      <c r="A9" s="20"/>
      <c r="B9" s="20" t="s">
        <v>34</v>
      </c>
      <c r="C9" s="20" t="s">
        <v>1898</v>
      </c>
      <c r="D9" s="20" t="s">
        <v>2199</v>
      </c>
      <c r="E9" s="20" t="s">
        <v>1900</v>
      </c>
      <c r="F9" s="20" t="s">
        <v>18</v>
      </c>
      <c r="G9" s="21">
        <v>0</v>
      </c>
      <c r="H9" s="21">
        <v>25</v>
      </c>
      <c r="I9" s="21">
        <f>-H9</f>
        <v>-25</v>
      </c>
      <c r="J9" s="20" t="s">
        <v>2198</v>
      </c>
      <c r="K9" s="20" t="s">
        <v>15</v>
      </c>
      <c r="L9" s="20" t="s">
        <v>2182</v>
      </c>
      <c r="M9" s="20" t="s">
        <v>16</v>
      </c>
      <c r="N9" s="20"/>
      <c r="O9" s="20"/>
      <c r="P9" s="20"/>
      <c r="Q9" s="20">
        <v>1</v>
      </c>
    </row>
    <row r="10" spans="1:17" customFormat="1" x14ac:dyDescent="0.25">
      <c r="A10" s="18"/>
      <c r="B10" s="18" t="s">
        <v>34</v>
      </c>
      <c r="C10" s="18" t="s">
        <v>2200</v>
      </c>
      <c r="D10" s="18" t="s">
        <v>2201</v>
      </c>
      <c r="E10" s="18" t="s">
        <v>2202</v>
      </c>
      <c r="F10" s="19">
        <v>7</v>
      </c>
      <c r="G10" s="19">
        <v>1380</v>
      </c>
      <c r="H10" s="19">
        <v>30</v>
      </c>
      <c r="I10" s="19">
        <f t="shared" ref="I10:I15" si="0">G10-H10</f>
        <v>1350</v>
      </c>
      <c r="J10" s="18" t="s">
        <v>2198</v>
      </c>
      <c r="K10" s="18" t="s">
        <v>15</v>
      </c>
      <c r="L10" s="18" t="s">
        <v>2182</v>
      </c>
      <c r="M10" s="18"/>
      <c r="N10" s="18"/>
      <c r="O10" s="18"/>
      <c r="P10" s="18"/>
      <c r="Q10" s="18">
        <v>1</v>
      </c>
    </row>
    <row r="11" spans="1:17" s="22" customFormat="1" x14ac:dyDescent="0.25">
      <c r="A11" s="20"/>
      <c r="B11" s="20" t="s">
        <v>34</v>
      </c>
      <c r="C11" s="20" t="s">
        <v>2080</v>
      </c>
      <c r="D11" s="20" t="s">
        <v>2203</v>
      </c>
      <c r="E11" s="20" t="s">
        <v>2082</v>
      </c>
      <c r="F11" s="21">
        <v>12</v>
      </c>
      <c r="G11" s="21">
        <v>30</v>
      </c>
      <c r="H11" s="21">
        <v>30</v>
      </c>
      <c r="I11" s="21">
        <f t="shared" si="0"/>
        <v>0</v>
      </c>
      <c r="J11" s="20" t="s">
        <v>2198</v>
      </c>
      <c r="K11" s="20" t="s">
        <v>15</v>
      </c>
      <c r="L11" s="20" t="s">
        <v>2182</v>
      </c>
      <c r="M11" s="20" t="s">
        <v>16</v>
      </c>
      <c r="N11" s="20"/>
      <c r="O11" s="20"/>
      <c r="P11" s="20"/>
      <c r="Q11" s="20">
        <v>1</v>
      </c>
    </row>
    <row r="12" spans="1:17" customFormat="1" x14ac:dyDescent="0.25">
      <c r="A12" s="18"/>
      <c r="B12" s="18" t="s">
        <v>34</v>
      </c>
      <c r="C12" s="18" t="s">
        <v>78</v>
      </c>
      <c r="D12" s="18" t="s">
        <v>2204</v>
      </c>
      <c r="E12" s="18" t="s">
        <v>2205</v>
      </c>
      <c r="F12" s="19">
        <v>7</v>
      </c>
      <c r="G12" s="19">
        <v>1220</v>
      </c>
      <c r="H12" s="19">
        <v>30</v>
      </c>
      <c r="I12" s="19">
        <f t="shared" si="0"/>
        <v>1190</v>
      </c>
      <c r="J12" s="18" t="s">
        <v>2198</v>
      </c>
      <c r="K12" s="18" t="s">
        <v>15</v>
      </c>
      <c r="L12" s="18" t="s">
        <v>2182</v>
      </c>
      <c r="M12" s="18"/>
      <c r="N12" s="18"/>
      <c r="O12" s="18"/>
      <c r="P12" s="18"/>
      <c r="Q12" s="18">
        <v>1</v>
      </c>
    </row>
    <row r="13" spans="1:17" customFormat="1" x14ac:dyDescent="0.25">
      <c r="A13" s="18"/>
      <c r="B13" s="18" t="s">
        <v>34</v>
      </c>
      <c r="C13" s="18" t="s">
        <v>916</v>
      </c>
      <c r="D13" s="18" t="s">
        <v>2206</v>
      </c>
      <c r="E13" s="18" t="s">
        <v>2207</v>
      </c>
      <c r="F13" s="19">
        <v>5</v>
      </c>
      <c r="G13" s="19">
        <v>595</v>
      </c>
      <c r="H13" s="19">
        <v>25</v>
      </c>
      <c r="I13" s="19">
        <f t="shared" si="0"/>
        <v>570</v>
      </c>
      <c r="J13" s="18" t="s">
        <v>2198</v>
      </c>
      <c r="K13" s="18" t="s">
        <v>15</v>
      </c>
      <c r="L13" s="18" t="s">
        <v>2182</v>
      </c>
      <c r="M13" s="18"/>
      <c r="N13" s="18"/>
      <c r="O13" s="18"/>
      <c r="P13" s="18"/>
      <c r="Q13" s="18">
        <v>1</v>
      </c>
    </row>
    <row r="14" spans="1:17" customFormat="1" x14ac:dyDescent="0.25">
      <c r="A14" s="18"/>
      <c r="B14" s="18" t="s">
        <v>34</v>
      </c>
      <c r="C14" s="18" t="s">
        <v>2208</v>
      </c>
      <c r="D14" s="18" t="s">
        <v>2209</v>
      </c>
      <c r="E14" s="18" t="s">
        <v>1504</v>
      </c>
      <c r="F14" s="19">
        <v>6</v>
      </c>
      <c r="G14" s="19">
        <v>405</v>
      </c>
      <c r="H14" s="19">
        <v>25</v>
      </c>
      <c r="I14" s="19">
        <f t="shared" si="0"/>
        <v>380</v>
      </c>
      <c r="J14" s="18" t="s">
        <v>2198</v>
      </c>
      <c r="K14" s="18" t="s">
        <v>15</v>
      </c>
      <c r="L14" s="18" t="s">
        <v>2182</v>
      </c>
      <c r="M14" s="18"/>
      <c r="N14" s="18"/>
      <c r="O14" s="18"/>
      <c r="P14" s="18"/>
      <c r="Q14" s="18">
        <v>1</v>
      </c>
    </row>
    <row r="15" spans="1:17" customFormat="1" x14ac:dyDescent="0.25">
      <c r="A15" s="18"/>
      <c r="B15" s="18" t="s">
        <v>34</v>
      </c>
      <c r="C15" s="18" t="s">
        <v>2210</v>
      </c>
      <c r="D15" s="18" t="s">
        <v>2211</v>
      </c>
      <c r="E15" s="18" t="s">
        <v>2212</v>
      </c>
      <c r="F15" s="18" t="s">
        <v>123</v>
      </c>
      <c r="G15" s="19">
        <v>485</v>
      </c>
      <c r="H15" s="19">
        <v>35</v>
      </c>
      <c r="I15" s="19">
        <f t="shared" si="0"/>
        <v>450</v>
      </c>
      <c r="J15" s="18" t="s">
        <v>2198</v>
      </c>
      <c r="K15" s="18" t="s">
        <v>15</v>
      </c>
      <c r="L15" s="18" t="s">
        <v>2182</v>
      </c>
      <c r="M15" s="18"/>
      <c r="N15" s="18"/>
      <c r="O15" s="18"/>
      <c r="P15" s="18"/>
      <c r="Q15" s="18">
        <v>1</v>
      </c>
    </row>
    <row r="16" spans="1:17" customFormat="1" x14ac:dyDescent="0.25">
      <c r="A16" s="18"/>
      <c r="B16" s="18" t="s">
        <v>34</v>
      </c>
      <c r="C16" s="18" t="s">
        <v>216</v>
      </c>
      <c r="D16" s="18" t="s">
        <v>2213</v>
      </c>
      <c r="E16" s="18" t="s">
        <v>218</v>
      </c>
      <c r="F16" s="19">
        <v>8</v>
      </c>
      <c r="G16" s="19">
        <v>0</v>
      </c>
      <c r="H16" s="19">
        <v>25</v>
      </c>
      <c r="I16" s="19">
        <f>-H16</f>
        <v>-25</v>
      </c>
      <c r="J16" s="18" t="s">
        <v>2198</v>
      </c>
      <c r="K16" s="18" t="s">
        <v>15</v>
      </c>
      <c r="L16" s="18" t="s">
        <v>2182</v>
      </c>
      <c r="M16" s="18"/>
      <c r="N16" s="18"/>
      <c r="O16" s="18"/>
      <c r="P16" s="18"/>
      <c r="Q16" s="18">
        <v>1</v>
      </c>
    </row>
    <row r="17" spans="1:17" customFormat="1" x14ac:dyDescent="0.25">
      <c r="A17" s="18"/>
      <c r="B17" s="18" t="s">
        <v>34</v>
      </c>
      <c r="C17" s="18" t="s">
        <v>2214</v>
      </c>
      <c r="D17" s="18" t="s">
        <v>2215</v>
      </c>
      <c r="E17" s="18" t="s">
        <v>2216</v>
      </c>
      <c r="F17" s="18" t="s">
        <v>108</v>
      </c>
      <c r="G17" s="19">
        <v>745</v>
      </c>
      <c r="H17" s="19">
        <v>35</v>
      </c>
      <c r="I17" s="19">
        <f>G17-H17</f>
        <v>710</v>
      </c>
      <c r="J17" s="18" t="s">
        <v>2198</v>
      </c>
      <c r="K17" s="18" t="s">
        <v>15</v>
      </c>
      <c r="L17" s="18" t="s">
        <v>2182</v>
      </c>
      <c r="M17" s="18"/>
      <c r="N17" s="18"/>
      <c r="O17" s="18"/>
      <c r="P17" s="18"/>
      <c r="Q17" s="18">
        <v>1</v>
      </c>
    </row>
    <row r="18" spans="1:17" customFormat="1" x14ac:dyDescent="0.25">
      <c r="A18" s="18"/>
      <c r="B18" s="18" t="s">
        <v>34</v>
      </c>
      <c r="C18" s="18" t="s">
        <v>2217</v>
      </c>
      <c r="D18" s="18" t="s">
        <v>2218</v>
      </c>
      <c r="E18" s="18" t="s">
        <v>941</v>
      </c>
      <c r="F18" s="19">
        <v>7</v>
      </c>
      <c r="G18" s="19">
        <v>900</v>
      </c>
      <c r="H18" s="19">
        <v>30</v>
      </c>
      <c r="I18" s="19">
        <f>G18-H18</f>
        <v>870</v>
      </c>
      <c r="J18" s="18" t="s">
        <v>2198</v>
      </c>
      <c r="K18" s="18" t="s">
        <v>15</v>
      </c>
      <c r="L18" s="18" t="s">
        <v>2182</v>
      </c>
      <c r="M18" s="18"/>
      <c r="N18" s="18"/>
      <c r="O18" s="18"/>
      <c r="P18" s="18"/>
      <c r="Q18" s="18">
        <v>1</v>
      </c>
    </row>
    <row r="19" spans="1:17" customFormat="1" x14ac:dyDescent="0.25">
      <c r="A19" s="18" t="s">
        <v>96</v>
      </c>
      <c r="B19" s="18" t="s">
        <v>34</v>
      </c>
      <c r="C19" s="18" t="s">
        <v>99</v>
      </c>
      <c r="D19" s="18"/>
      <c r="E19" s="18" t="s">
        <v>100</v>
      </c>
      <c r="F19" s="19">
        <v>6</v>
      </c>
      <c r="G19" s="19">
        <v>0</v>
      </c>
      <c r="H19" s="19">
        <v>30</v>
      </c>
      <c r="I19" s="19">
        <f>-H19</f>
        <v>-30</v>
      </c>
      <c r="J19" s="18" t="s">
        <v>2198</v>
      </c>
      <c r="K19" s="18" t="s">
        <v>15</v>
      </c>
      <c r="L19" s="18" t="s">
        <v>2182</v>
      </c>
      <c r="M19" s="18"/>
      <c r="N19" s="18"/>
      <c r="O19" s="18"/>
      <c r="P19" s="18"/>
      <c r="Q19" s="18">
        <v>1</v>
      </c>
    </row>
    <row r="20" spans="1:17" customFormat="1" x14ac:dyDescent="0.25">
      <c r="A20" s="18" t="s">
        <v>96</v>
      </c>
      <c r="B20" s="18" t="s">
        <v>34</v>
      </c>
      <c r="C20" s="18" t="s">
        <v>2219</v>
      </c>
      <c r="D20" s="18"/>
      <c r="E20" s="18" t="s">
        <v>2220</v>
      </c>
      <c r="F20" s="18" t="s">
        <v>18</v>
      </c>
      <c r="G20" s="19">
        <v>0</v>
      </c>
      <c r="H20" s="19">
        <v>30</v>
      </c>
      <c r="I20" s="19">
        <f>-H20</f>
        <v>-30</v>
      </c>
      <c r="J20" s="18" t="s">
        <v>2198</v>
      </c>
      <c r="K20" s="18" t="s">
        <v>15</v>
      </c>
      <c r="L20" s="18" t="s">
        <v>2182</v>
      </c>
      <c r="M20" s="18"/>
      <c r="N20" s="18"/>
      <c r="O20" s="18"/>
      <c r="P20" s="18"/>
      <c r="Q20" s="18">
        <v>1</v>
      </c>
    </row>
    <row r="21" spans="1:17" customFormat="1" x14ac:dyDescent="0.25">
      <c r="A21" s="18"/>
      <c r="B21" s="18" t="s">
        <v>34</v>
      </c>
      <c r="C21" s="18" t="s">
        <v>2221</v>
      </c>
      <c r="D21" s="18" t="s">
        <v>2222</v>
      </c>
      <c r="E21" s="18" t="s">
        <v>2223</v>
      </c>
      <c r="F21" s="18" t="s">
        <v>19</v>
      </c>
      <c r="G21" s="19">
        <v>470</v>
      </c>
      <c r="H21" s="19">
        <v>20</v>
      </c>
      <c r="I21" s="19">
        <f t="shared" ref="I21:I26" si="1">G21-H21</f>
        <v>450</v>
      </c>
      <c r="J21" s="18" t="s">
        <v>15</v>
      </c>
      <c r="K21" s="18" t="s">
        <v>15</v>
      </c>
      <c r="L21" s="18" t="s">
        <v>2182</v>
      </c>
      <c r="M21" s="18"/>
      <c r="N21" s="18"/>
      <c r="O21" s="18"/>
      <c r="P21" s="18"/>
      <c r="Q21" s="18">
        <v>1</v>
      </c>
    </row>
    <row r="22" spans="1:17" customFormat="1" x14ac:dyDescent="0.25">
      <c r="A22" s="18"/>
      <c r="B22" s="18" t="s">
        <v>34</v>
      </c>
      <c r="C22" s="18" t="s">
        <v>1959</v>
      </c>
      <c r="D22" s="18" t="s">
        <v>2224</v>
      </c>
      <c r="E22" s="18" t="s">
        <v>1961</v>
      </c>
      <c r="F22" s="19">
        <v>2</v>
      </c>
      <c r="G22" s="19">
        <v>1490</v>
      </c>
      <c r="H22" s="19">
        <v>30</v>
      </c>
      <c r="I22" s="19">
        <f t="shared" si="1"/>
        <v>1460</v>
      </c>
      <c r="J22" s="18" t="s">
        <v>15</v>
      </c>
      <c r="K22" s="18" t="s">
        <v>15</v>
      </c>
      <c r="L22" s="18" t="s">
        <v>2182</v>
      </c>
      <c r="M22" s="18"/>
      <c r="N22" s="18"/>
      <c r="O22" s="18"/>
      <c r="P22" s="18"/>
      <c r="Q22" s="18">
        <v>1</v>
      </c>
    </row>
    <row r="23" spans="1:17" customFormat="1" x14ac:dyDescent="0.25">
      <c r="A23" s="18"/>
      <c r="B23" s="18" t="s">
        <v>34</v>
      </c>
      <c r="C23" s="18" t="s">
        <v>1513</v>
      </c>
      <c r="D23" s="18" t="s">
        <v>2225</v>
      </c>
      <c r="E23" s="18" t="s">
        <v>1515</v>
      </c>
      <c r="F23" s="18" t="s">
        <v>20</v>
      </c>
      <c r="G23" s="19">
        <v>2020</v>
      </c>
      <c r="H23" s="19">
        <v>30</v>
      </c>
      <c r="I23" s="19">
        <f t="shared" si="1"/>
        <v>1990</v>
      </c>
      <c r="J23" s="18" t="s">
        <v>15</v>
      </c>
      <c r="K23" s="18" t="s">
        <v>15</v>
      </c>
      <c r="L23" s="18" t="s">
        <v>2182</v>
      </c>
      <c r="M23" s="26" t="s">
        <v>377</v>
      </c>
      <c r="N23" s="18"/>
      <c r="O23" s="18"/>
      <c r="P23" s="18"/>
      <c r="Q23" s="18">
        <v>1</v>
      </c>
    </row>
    <row r="24" spans="1:17" s="22" customFormat="1" x14ac:dyDescent="0.25">
      <c r="A24" s="20"/>
      <c r="B24" s="20" t="s">
        <v>34</v>
      </c>
      <c r="C24" s="20" t="s">
        <v>2129</v>
      </c>
      <c r="D24" s="20" t="s">
        <v>2226</v>
      </c>
      <c r="E24" s="20" t="s">
        <v>2131</v>
      </c>
      <c r="F24" s="20" t="s">
        <v>19</v>
      </c>
      <c r="G24" s="21">
        <v>20</v>
      </c>
      <c r="H24" s="21">
        <v>20</v>
      </c>
      <c r="I24" s="21">
        <f t="shared" si="1"/>
        <v>0</v>
      </c>
      <c r="J24" s="20" t="s">
        <v>15</v>
      </c>
      <c r="K24" s="20" t="s">
        <v>15</v>
      </c>
      <c r="L24" s="20" t="s">
        <v>2182</v>
      </c>
      <c r="M24" s="20" t="s">
        <v>16</v>
      </c>
      <c r="N24" s="20"/>
      <c r="O24" s="20"/>
      <c r="P24" s="20"/>
      <c r="Q24" s="20">
        <v>1</v>
      </c>
    </row>
    <row r="25" spans="1:17" customFormat="1" x14ac:dyDescent="0.25">
      <c r="A25" s="18"/>
      <c r="B25" s="18" t="s">
        <v>34</v>
      </c>
      <c r="C25" s="18" t="s">
        <v>2227</v>
      </c>
      <c r="D25" s="18" t="s">
        <v>2228</v>
      </c>
      <c r="E25" s="18" t="s">
        <v>2229</v>
      </c>
      <c r="F25" s="18" t="s">
        <v>19</v>
      </c>
      <c r="G25" s="19">
        <v>860</v>
      </c>
      <c r="H25" s="19">
        <v>20</v>
      </c>
      <c r="I25" s="19">
        <f t="shared" si="1"/>
        <v>840</v>
      </c>
      <c r="J25" s="18" t="s">
        <v>15</v>
      </c>
      <c r="K25" s="18" t="s">
        <v>15</v>
      </c>
      <c r="L25" s="18" t="s">
        <v>2182</v>
      </c>
      <c r="M25" s="18"/>
      <c r="N25" s="18"/>
      <c r="O25" s="18"/>
      <c r="P25" s="18"/>
      <c r="Q25" s="18">
        <v>1</v>
      </c>
    </row>
    <row r="26" spans="1:17" customFormat="1" x14ac:dyDescent="0.25">
      <c r="A26" s="18"/>
      <c r="B26" s="18" t="s">
        <v>34</v>
      </c>
      <c r="C26" s="18" t="s">
        <v>1631</v>
      </c>
      <c r="D26" s="18" t="s">
        <v>2230</v>
      </c>
      <c r="E26" s="18" t="s">
        <v>1633</v>
      </c>
      <c r="F26" s="18" t="s">
        <v>20</v>
      </c>
      <c r="G26" s="19">
        <v>475</v>
      </c>
      <c r="H26" s="19">
        <v>25</v>
      </c>
      <c r="I26" s="19">
        <f t="shared" si="1"/>
        <v>450</v>
      </c>
      <c r="J26" s="18" t="s">
        <v>15</v>
      </c>
      <c r="K26" s="18" t="s">
        <v>15</v>
      </c>
      <c r="L26" s="18" t="s">
        <v>2182</v>
      </c>
      <c r="M26" s="18"/>
      <c r="N26" s="18"/>
      <c r="O26" s="18"/>
      <c r="P26" s="18"/>
      <c r="Q26" s="18">
        <v>1</v>
      </c>
    </row>
    <row r="27" spans="1:17" customFormat="1" x14ac:dyDescent="0.25">
      <c r="A27" s="18"/>
      <c r="B27" s="18" t="s">
        <v>34</v>
      </c>
      <c r="C27" s="18" t="s">
        <v>2231</v>
      </c>
      <c r="D27" s="18" t="s">
        <v>2232</v>
      </c>
      <c r="E27" s="18" t="s">
        <v>2233</v>
      </c>
      <c r="F27" s="18" t="s">
        <v>144</v>
      </c>
      <c r="G27" s="19">
        <v>0</v>
      </c>
      <c r="H27" s="19">
        <v>30</v>
      </c>
      <c r="I27" s="19">
        <f>-H27</f>
        <v>-30</v>
      </c>
      <c r="J27" s="18" t="s">
        <v>15</v>
      </c>
      <c r="K27" s="18" t="s">
        <v>15</v>
      </c>
      <c r="L27" s="18" t="s">
        <v>2182</v>
      </c>
      <c r="M27" s="18"/>
      <c r="N27" s="18"/>
      <c r="O27" s="18"/>
      <c r="P27" s="18"/>
      <c r="Q27" s="18">
        <v>1</v>
      </c>
    </row>
    <row r="28" spans="1:17" customFormat="1" x14ac:dyDescent="0.25">
      <c r="A28" s="18"/>
      <c r="B28" s="18" t="s">
        <v>34</v>
      </c>
      <c r="C28" s="18" t="s">
        <v>2234</v>
      </c>
      <c r="D28" s="18" t="s">
        <v>2235</v>
      </c>
      <c r="E28" s="18" t="s">
        <v>2236</v>
      </c>
      <c r="F28" s="18" t="s">
        <v>144</v>
      </c>
      <c r="G28" s="19">
        <v>890</v>
      </c>
      <c r="H28" s="19">
        <v>30</v>
      </c>
      <c r="I28" s="19">
        <f>G28-H28</f>
        <v>860</v>
      </c>
      <c r="J28" s="18" t="s">
        <v>15</v>
      </c>
      <c r="K28" s="18" t="s">
        <v>15</v>
      </c>
      <c r="L28" s="18" t="s">
        <v>2182</v>
      </c>
      <c r="M28" s="18"/>
      <c r="N28" s="18"/>
      <c r="O28" s="18"/>
      <c r="P28" s="18"/>
      <c r="Q28" s="18">
        <v>1</v>
      </c>
    </row>
    <row r="29" spans="1:17" customFormat="1" x14ac:dyDescent="0.25">
      <c r="A29" s="18"/>
      <c r="B29" s="18" t="s">
        <v>34</v>
      </c>
      <c r="C29" s="18" t="s">
        <v>2237</v>
      </c>
      <c r="D29" s="18" t="s">
        <v>2238</v>
      </c>
      <c r="E29" s="18" t="s">
        <v>2239</v>
      </c>
      <c r="F29" s="18" t="s">
        <v>144</v>
      </c>
      <c r="G29" s="19">
        <v>2290</v>
      </c>
      <c r="H29" s="19">
        <v>35</v>
      </c>
      <c r="I29" s="19">
        <f>G29-H29</f>
        <v>2255</v>
      </c>
      <c r="J29" s="18" t="s">
        <v>15</v>
      </c>
      <c r="K29" s="18" t="s">
        <v>15</v>
      </c>
      <c r="L29" s="18" t="s">
        <v>2182</v>
      </c>
      <c r="M29" s="26" t="s">
        <v>377</v>
      </c>
      <c r="N29" s="18"/>
      <c r="O29" s="18"/>
      <c r="P29" s="18"/>
      <c r="Q29" s="18">
        <v>1</v>
      </c>
    </row>
    <row r="30" spans="1:17" customFormat="1" x14ac:dyDescent="0.25">
      <c r="A30" s="18"/>
      <c r="B30" s="18" t="s">
        <v>34</v>
      </c>
      <c r="C30" s="18" t="s">
        <v>228</v>
      </c>
      <c r="D30" s="18" t="s">
        <v>2240</v>
      </c>
      <c r="E30" s="18" t="s">
        <v>2241</v>
      </c>
      <c r="F30" s="18" t="s">
        <v>144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2182</v>
      </c>
      <c r="M30" s="18"/>
      <c r="N30" s="18"/>
      <c r="O30" s="18"/>
      <c r="P30" s="18"/>
      <c r="Q30" s="18">
        <v>1</v>
      </c>
    </row>
    <row r="31" spans="1:17" customFormat="1" x14ac:dyDescent="0.25">
      <c r="A31" s="18"/>
      <c r="B31" s="18" t="s">
        <v>34</v>
      </c>
      <c r="C31" s="18" t="s">
        <v>2242</v>
      </c>
      <c r="D31" s="18" t="s">
        <v>2243</v>
      </c>
      <c r="E31" s="18" t="s">
        <v>2244</v>
      </c>
      <c r="F31" s="18" t="s">
        <v>20</v>
      </c>
      <c r="G31" s="19">
        <v>0</v>
      </c>
      <c r="H31" s="19">
        <v>25</v>
      </c>
      <c r="I31" s="19">
        <f>-H31</f>
        <v>-25</v>
      </c>
      <c r="J31" s="18" t="s">
        <v>15</v>
      </c>
      <c r="K31" s="18" t="s">
        <v>15</v>
      </c>
      <c r="L31" s="18" t="s">
        <v>2182</v>
      </c>
      <c r="M31" s="18"/>
      <c r="N31" s="18"/>
      <c r="O31" s="18"/>
      <c r="P31" s="18"/>
      <c r="Q31" s="18">
        <v>1</v>
      </c>
    </row>
    <row r="32" spans="1:17" customFormat="1" x14ac:dyDescent="0.25">
      <c r="A32" s="18"/>
      <c r="B32" s="18" t="s">
        <v>34</v>
      </c>
      <c r="C32" s="18" t="s">
        <v>378</v>
      </c>
      <c r="D32" s="18" t="s">
        <v>2245</v>
      </c>
      <c r="E32" s="18" t="s">
        <v>2246</v>
      </c>
      <c r="F32" s="18" t="s">
        <v>19</v>
      </c>
      <c r="G32" s="19">
        <v>1140</v>
      </c>
      <c r="H32" s="19">
        <v>20</v>
      </c>
      <c r="I32" s="19">
        <f>G32-H32</f>
        <v>1120</v>
      </c>
      <c r="J32" s="18" t="s">
        <v>15</v>
      </c>
      <c r="K32" s="18" t="s">
        <v>15</v>
      </c>
      <c r="L32" s="18" t="s">
        <v>2182</v>
      </c>
      <c r="M32" s="18"/>
      <c r="N32" s="18"/>
      <c r="O32" s="18"/>
      <c r="P32" s="18"/>
      <c r="Q32" s="18">
        <v>1</v>
      </c>
    </row>
    <row r="33" spans="1:17" customFormat="1" x14ac:dyDescent="0.25">
      <c r="A33" s="18"/>
      <c r="B33" s="18" t="s">
        <v>34</v>
      </c>
      <c r="C33" s="18" t="s">
        <v>2247</v>
      </c>
      <c r="D33" s="18" t="s">
        <v>2248</v>
      </c>
      <c r="E33" s="18" t="s">
        <v>2249</v>
      </c>
      <c r="F33" s="18" t="s">
        <v>20</v>
      </c>
      <c r="G33" s="19">
        <v>885</v>
      </c>
      <c r="H33" s="19">
        <v>25</v>
      </c>
      <c r="I33" s="19">
        <f>G33-H33</f>
        <v>860</v>
      </c>
      <c r="J33" s="18" t="s">
        <v>15</v>
      </c>
      <c r="K33" s="18" t="s">
        <v>15</v>
      </c>
      <c r="L33" s="18" t="s">
        <v>2182</v>
      </c>
      <c r="M33" s="18"/>
      <c r="N33" s="18"/>
      <c r="O33" s="18"/>
      <c r="P33" s="18"/>
      <c r="Q33" s="18">
        <v>1</v>
      </c>
    </row>
    <row r="34" spans="1:17" customFormat="1" x14ac:dyDescent="0.25">
      <c r="A34" s="18" t="s">
        <v>96</v>
      </c>
      <c r="B34" s="18" t="s">
        <v>34</v>
      </c>
      <c r="C34" s="18" t="s">
        <v>314</v>
      </c>
      <c r="D34" s="18"/>
      <c r="E34" s="18" t="s">
        <v>315</v>
      </c>
      <c r="F34" s="18" t="s">
        <v>20</v>
      </c>
      <c r="G34" s="19">
        <v>0</v>
      </c>
      <c r="H34" s="19">
        <v>30</v>
      </c>
      <c r="I34" s="19">
        <f>-H34</f>
        <v>-30</v>
      </c>
      <c r="J34" s="18" t="s">
        <v>15</v>
      </c>
      <c r="K34" s="18" t="s">
        <v>15</v>
      </c>
      <c r="L34" s="18" t="s">
        <v>2182</v>
      </c>
      <c r="M34" s="18"/>
      <c r="N34" s="18"/>
      <c r="O34" s="18"/>
      <c r="P34" s="18"/>
      <c r="Q34" s="18">
        <v>1</v>
      </c>
    </row>
    <row r="35" spans="1:17" customFormat="1" x14ac:dyDescent="0.25">
      <c r="A35" s="18" t="s">
        <v>96</v>
      </c>
      <c r="B35" s="18" t="s">
        <v>34</v>
      </c>
      <c r="C35" s="18" t="s">
        <v>1654</v>
      </c>
      <c r="D35" s="18"/>
      <c r="E35" s="18" t="s">
        <v>1655</v>
      </c>
      <c r="F35" s="18" t="s">
        <v>20</v>
      </c>
      <c r="G35" s="19">
        <v>0</v>
      </c>
      <c r="H35" s="19">
        <v>30</v>
      </c>
      <c r="I35" s="19">
        <f>-H35</f>
        <v>-30</v>
      </c>
      <c r="J35" s="18" t="s">
        <v>15</v>
      </c>
      <c r="K35" s="18" t="s">
        <v>15</v>
      </c>
      <c r="L35" s="18" t="s">
        <v>2182</v>
      </c>
      <c r="M35" s="18"/>
      <c r="N35" s="18"/>
      <c r="O35" s="18"/>
      <c r="P35" s="18"/>
      <c r="Q35" s="18">
        <v>1</v>
      </c>
    </row>
    <row r="36" spans="1:17" customFormat="1" x14ac:dyDescent="0.25">
      <c r="A36" s="18" t="s">
        <v>96</v>
      </c>
      <c r="B36" s="18" t="s">
        <v>34</v>
      </c>
      <c r="C36" s="18" t="s">
        <v>2250</v>
      </c>
      <c r="D36" s="18"/>
      <c r="E36" s="18" t="s">
        <v>2251</v>
      </c>
      <c r="F36" s="18" t="s">
        <v>212</v>
      </c>
      <c r="G36" s="19">
        <v>23430</v>
      </c>
      <c r="H36" s="19">
        <v>30</v>
      </c>
      <c r="I36" s="19">
        <f>G36-H36</f>
        <v>23400</v>
      </c>
      <c r="J36" s="18" t="s">
        <v>15</v>
      </c>
      <c r="K36" s="18" t="s">
        <v>15</v>
      </c>
      <c r="L36" s="18" t="s">
        <v>2182</v>
      </c>
      <c r="M36" s="42"/>
      <c r="N36" s="18"/>
      <c r="O36" s="18"/>
      <c r="P36" s="18"/>
      <c r="Q36" s="18">
        <v>1</v>
      </c>
    </row>
    <row r="37" spans="1:17" customFormat="1" x14ac:dyDescent="0.25">
      <c r="A37" s="18"/>
      <c r="B37" s="18" t="s">
        <v>34</v>
      </c>
      <c r="C37" s="18" t="s">
        <v>2252</v>
      </c>
      <c r="D37" s="18" t="s">
        <v>2253</v>
      </c>
      <c r="E37" s="18" t="s">
        <v>2254</v>
      </c>
      <c r="F37" s="19">
        <v>1</v>
      </c>
      <c r="G37" s="19">
        <v>0</v>
      </c>
      <c r="H37" s="19">
        <v>25</v>
      </c>
      <c r="I37" s="19">
        <f>-H37</f>
        <v>-25</v>
      </c>
      <c r="J37" s="18" t="s">
        <v>160</v>
      </c>
      <c r="K37" s="18" t="s">
        <v>15</v>
      </c>
      <c r="L37" s="18" t="s">
        <v>2182</v>
      </c>
      <c r="M37" s="18"/>
      <c r="N37" s="18"/>
      <c r="O37" s="18"/>
      <c r="P37" s="18"/>
      <c r="Q37" s="18">
        <v>1</v>
      </c>
    </row>
    <row r="38" spans="1:17" customFormat="1" x14ac:dyDescent="0.25">
      <c r="A38" s="18"/>
      <c r="B38" s="18" t="s">
        <v>34</v>
      </c>
      <c r="C38" s="18" t="s">
        <v>2255</v>
      </c>
      <c r="D38" s="18" t="s">
        <v>2256</v>
      </c>
      <c r="E38" s="18" t="s">
        <v>2257</v>
      </c>
      <c r="F38" s="18" t="s">
        <v>17</v>
      </c>
      <c r="G38" s="19">
        <v>470</v>
      </c>
      <c r="H38" s="19">
        <v>20</v>
      </c>
      <c r="I38" s="19">
        <f>G38-H38</f>
        <v>450</v>
      </c>
      <c r="J38" s="18" t="s">
        <v>160</v>
      </c>
      <c r="K38" s="18" t="s">
        <v>15</v>
      </c>
      <c r="L38" s="18" t="s">
        <v>2182</v>
      </c>
      <c r="M38" s="18"/>
      <c r="N38" s="18"/>
      <c r="O38" s="18"/>
      <c r="P38" s="18"/>
      <c r="Q38" s="18">
        <v>1</v>
      </c>
    </row>
    <row r="39" spans="1:17" customFormat="1" x14ac:dyDescent="0.25">
      <c r="A39" s="18"/>
      <c r="B39" s="18" t="s">
        <v>34</v>
      </c>
      <c r="C39" s="18" t="s">
        <v>2258</v>
      </c>
      <c r="D39" s="18" t="s">
        <v>2259</v>
      </c>
      <c r="E39" s="18" t="s">
        <v>2260</v>
      </c>
      <c r="F39" s="18" t="s">
        <v>18</v>
      </c>
      <c r="G39" s="19">
        <v>865</v>
      </c>
      <c r="H39" s="19">
        <v>25</v>
      </c>
      <c r="I39" s="19">
        <f>G39-H39</f>
        <v>840</v>
      </c>
      <c r="J39" s="18" t="s">
        <v>160</v>
      </c>
      <c r="K39" s="18" t="s">
        <v>15</v>
      </c>
      <c r="L39" s="18" t="s">
        <v>2182</v>
      </c>
      <c r="M39" s="18"/>
      <c r="N39" s="18"/>
      <c r="O39" s="18"/>
      <c r="P39" s="18"/>
      <c r="Q39" s="18">
        <v>1</v>
      </c>
    </row>
    <row r="40" spans="1:17" customFormat="1" x14ac:dyDescent="0.25">
      <c r="A40" s="18"/>
      <c r="B40" s="18" t="s">
        <v>34</v>
      </c>
      <c r="C40" s="18" t="s">
        <v>2261</v>
      </c>
      <c r="D40" s="18" t="s">
        <v>2262</v>
      </c>
      <c r="E40" s="18" t="s">
        <v>1024</v>
      </c>
      <c r="F40" s="18" t="s">
        <v>18</v>
      </c>
      <c r="G40" s="19">
        <v>0</v>
      </c>
      <c r="H40" s="19">
        <v>25</v>
      </c>
      <c r="I40" s="19">
        <f>-H40</f>
        <v>-25</v>
      </c>
      <c r="J40" s="18" t="s">
        <v>160</v>
      </c>
      <c r="K40" s="18" t="s">
        <v>15</v>
      </c>
      <c r="L40" s="18" t="s">
        <v>2182</v>
      </c>
      <c r="M40" s="18"/>
      <c r="N40" s="18"/>
      <c r="O40" s="18"/>
      <c r="P40" s="18"/>
      <c r="Q40" s="18">
        <v>1</v>
      </c>
    </row>
    <row r="41" spans="1:17" customFormat="1" x14ac:dyDescent="0.25">
      <c r="A41" s="18"/>
      <c r="B41" s="18" t="s">
        <v>34</v>
      </c>
      <c r="C41" s="18" t="s">
        <v>2263</v>
      </c>
      <c r="D41" s="18" t="s">
        <v>2264</v>
      </c>
      <c r="E41" s="18" t="s">
        <v>2265</v>
      </c>
      <c r="F41" s="19">
        <v>1</v>
      </c>
      <c r="G41" s="19">
        <v>475</v>
      </c>
      <c r="H41" s="19">
        <v>25</v>
      </c>
      <c r="I41" s="19">
        <f>G41-H41</f>
        <v>450</v>
      </c>
      <c r="J41" s="18" t="s">
        <v>160</v>
      </c>
      <c r="K41" s="18" t="s">
        <v>15</v>
      </c>
      <c r="L41" s="18" t="s">
        <v>2182</v>
      </c>
      <c r="M41" s="18"/>
      <c r="N41" s="18"/>
      <c r="O41" s="18"/>
      <c r="P41" s="18"/>
      <c r="Q41" s="18">
        <v>1</v>
      </c>
    </row>
    <row r="42" spans="1:17" customFormat="1" x14ac:dyDescent="0.25">
      <c r="A42" s="18"/>
      <c r="B42" s="18" t="s">
        <v>34</v>
      </c>
      <c r="C42" s="18" t="s">
        <v>2266</v>
      </c>
      <c r="D42" s="18" t="s">
        <v>2267</v>
      </c>
      <c r="E42" s="18" t="s">
        <v>1024</v>
      </c>
      <c r="F42" s="18" t="s">
        <v>18</v>
      </c>
      <c r="G42" s="19">
        <v>0</v>
      </c>
      <c r="H42" s="19">
        <v>25</v>
      </c>
      <c r="I42" s="19">
        <f>-H42</f>
        <v>-25</v>
      </c>
      <c r="J42" s="18" t="s">
        <v>160</v>
      </c>
      <c r="K42" s="18" t="s">
        <v>15</v>
      </c>
      <c r="L42" s="18" t="s">
        <v>2182</v>
      </c>
      <c r="M42" s="26" t="s">
        <v>307</v>
      </c>
      <c r="N42" s="18"/>
      <c r="O42" s="18"/>
      <c r="P42" s="18"/>
      <c r="Q42" s="18">
        <v>1</v>
      </c>
    </row>
    <row r="43" spans="1:17" customFormat="1" x14ac:dyDescent="0.25">
      <c r="A43" s="18"/>
      <c r="B43" s="18" t="s">
        <v>34</v>
      </c>
      <c r="C43" s="18" t="s">
        <v>2266</v>
      </c>
      <c r="D43" s="18" t="s">
        <v>2268</v>
      </c>
      <c r="E43" s="18" t="s">
        <v>1024</v>
      </c>
      <c r="F43" s="18" t="s">
        <v>18</v>
      </c>
      <c r="G43" s="19">
        <v>0</v>
      </c>
      <c r="H43" s="19">
        <v>0</v>
      </c>
      <c r="I43" s="19">
        <f>H43</f>
        <v>0</v>
      </c>
      <c r="J43" s="18" t="s">
        <v>160</v>
      </c>
      <c r="K43" s="18" t="s">
        <v>15</v>
      </c>
      <c r="L43" s="18" t="s">
        <v>2182</v>
      </c>
      <c r="M43" s="26" t="s">
        <v>307</v>
      </c>
      <c r="N43" s="18"/>
      <c r="O43" s="18"/>
      <c r="P43" s="18"/>
      <c r="Q43" s="18">
        <v>1</v>
      </c>
    </row>
    <row r="44" spans="1:17" customFormat="1" x14ac:dyDescent="0.25">
      <c r="A44" s="18"/>
      <c r="B44" s="18" t="s">
        <v>34</v>
      </c>
      <c r="C44" s="18" t="s">
        <v>2269</v>
      </c>
      <c r="D44" s="18" t="s">
        <v>2270</v>
      </c>
      <c r="E44" s="18" t="s">
        <v>2271</v>
      </c>
      <c r="F44" s="19">
        <v>1</v>
      </c>
      <c r="G44" s="19">
        <v>405</v>
      </c>
      <c r="H44" s="19">
        <v>25</v>
      </c>
      <c r="I44" s="19">
        <f>G44-H44</f>
        <v>380</v>
      </c>
      <c r="J44" s="18" t="s">
        <v>160</v>
      </c>
      <c r="K44" s="18" t="s">
        <v>15</v>
      </c>
      <c r="L44" s="18" t="s">
        <v>2182</v>
      </c>
      <c r="M44" s="18"/>
      <c r="N44" s="18"/>
      <c r="O44" s="18"/>
      <c r="P44" s="18"/>
      <c r="Q44" s="18">
        <v>1</v>
      </c>
    </row>
    <row r="45" spans="1:17" customFormat="1" x14ac:dyDescent="0.25">
      <c r="A45" s="18"/>
      <c r="B45" s="18" t="s">
        <v>34</v>
      </c>
      <c r="C45" s="18" t="s">
        <v>2272</v>
      </c>
      <c r="D45" s="18" t="s">
        <v>2273</v>
      </c>
      <c r="E45" s="18" t="s">
        <v>2274</v>
      </c>
      <c r="F45" s="19">
        <v>1</v>
      </c>
      <c r="G45" s="19">
        <v>685</v>
      </c>
      <c r="H45" s="19">
        <v>25</v>
      </c>
      <c r="I45" s="19">
        <f>G45-H45</f>
        <v>660</v>
      </c>
      <c r="J45" s="18" t="s">
        <v>160</v>
      </c>
      <c r="K45" s="18" t="s">
        <v>15</v>
      </c>
      <c r="L45" s="18" t="s">
        <v>2182</v>
      </c>
      <c r="M45" s="18"/>
      <c r="N45" s="18"/>
      <c r="O45" s="18"/>
      <c r="P45" s="18"/>
      <c r="Q45" s="18">
        <v>1</v>
      </c>
    </row>
    <row r="46" spans="1:17" customFormat="1" x14ac:dyDescent="0.25">
      <c r="A46" s="18"/>
      <c r="B46" s="18" t="s">
        <v>34</v>
      </c>
      <c r="C46" s="18" t="s">
        <v>2275</v>
      </c>
      <c r="D46" s="18" t="s">
        <v>2276</v>
      </c>
      <c r="E46" s="18" t="s">
        <v>2277</v>
      </c>
      <c r="F46" s="19">
        <v>1</v>
      </c>
      <c r="G46" s="19">
        <v>795</v>
      </c>
      <c r="H46" s="19">
        <v>25</v>
      </c>
      <c r="I46" s="19">
        <f>G46-H46</f>
        <v>770</v>
      </c>
      <c r="J46" s="18" t="s">
        <v>160</v>
      </c>
      <c r="K46" s="18" t="s">
        <v>15</v>
      </c>
      <c r="L46" s="18" t="s">
        <v>2182</v>
      </c>
      <c r="M46" s="18"/>
      <c r="N46" s="18"/>
      <c r="O46" s="18"/>
      <c r="P46" s="18"/>
      <c r="Q46" s="18">
        <v>1</v>
      </c>
    </row>
    <row r="47" spans="1:17" customFormat="1" x14ac:dyDescent="0.25">
      <c r="A47" s="18"/>
      <c r="B47" s="18" t="s">
        <v>34</v>
      </c>
      <c r="C47" s="18" t="s">
        <v>2278</v>
      </c>
      <c r="D47" s="18" t="s">
        <v>2279</v>
      </c>
      <c r="E47" s="18" t="s">
        <v>2280</v>
      </c>
      <c r="F47" s="19">
        <v>1</v>
      </c>
      <c r="G47" s="19">
        <v>515</v>
      </c>
      <c r="H47" s="19">
        <v>25</v>
      </c>
      <c r="I47" s="19">
        <f>G47-H47</f>
        <v>490</v>
      </c>
      <c r="J47" s="18" t="s">
        <v>160</v>
      </c>
      <c r="K47" s="18" t="s">
        <v>15</v>
      </c>
      <c r="L47" s="18" t="s">
        <v>2182</v>
      </c>
      <c r="M47" s="18"/>
      <c r="N47" s="18"/>
      <c r="O47" s="18"/>
      <c r="P47" s="18"/>
      <c r="Q47" s="18">
        <v>1</v>
      </c>
    </row>
    <row r="48" spans="1:17" customFormat="1" x14ac:dyDescent="0.25">
      <c r="A48" s="18"/>
      <c r="B48" s="18" t="s">
        <v>34</v>
      </c>
      <c r="C48" s="18" t="s">
        <v>2281</v>
      </c>
      <c r="D48" s="18" t="s">
        <v>2282</v>
      </c>
      <c r="E48" s="18" t="s">
        <v>2153</v>
      </c>
      <c r="F48" s="19">
        <v>5</v>
      </c>
      <c r="G48" s="19">
        <v>0</v>
      </c>
      <c r="H48" s="19">
        <v>25</v>
      </c>
      <c r="I48" s="19">
        <f>-H48</f>
        <v>-25</v>
      </c>
      <c r="J48" s="18" t="s">
        <v>160</v>
      </c>
      <c r="K48" s="18" t="s">
        <v>15</v>
      </c>
      <c r="L48" s="18" t="s">
        <v>2182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1152</v>
      </c>
      <c r="D49" s="18" t="s">
        <v>2283</v>
      </c>
      <c r="E49" s="18" t="s">
        <v>1154</v>
      </c>
      <c r="F49" s="19">
        <v>4</v>
      </c>
      <c r="G49" s="19">
        <v>685</v>
      </c>
      <c r="H49" s="19">
        <v>25</v>
      </c>
      <c r="I49" s="19">
        <f t="shared" ref="I49:I56" si="2">G49-H49</f>
        <v>660</v>
      </c>
      <c r="J49" s="18" t="s">
        <v>160</v>
      </c>
      <c r="K49" s="18" t="s">
        <v>15</v>
      </c>
      <c r="L49" s="18" t="s">
        <v>2182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2284</v>
      </c>
      <c r="D50" s="18" t="s">
        <v>2285</v>
      </c>
      <c r="E50" s="18" t="s">
        <v>2286</v>
      </c>
      <c r="F50" s="19">
        <v>4</v>
      </c>
      <c r="G50" s="19">
        <v>1145</v>
      </c>
      <c r="H50" s="19">
        <v>25</v>
      </c>
      <c r="I50" s="19">
        <f t="shared" si="2"/>
        <v>1120</v>
      </c>
      <c r="J50" s="18" t="s">
        <v>160</v>
      </c>
      <c r="K50" s="18" t="s">
        <v>15</v>
      </c>
      <c r="L50" s="18" t="s">
        <v>2182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2287</v>
      </c>
      <c r="D51" s="18" t="s">
        <v>2288</v>
      </c>
      <c r="E51" s="18" t="s">
        <v>2289</v>
      </c>
      <c r="F51" s="19">
        <v>1</v>
      </c>
      <c r="G51" s="19">
        <v>0</v>
      </c>
      <c r="H51" s="19">
        <v>25</v>
      </c>
      <c r="I51" s="19">
        <f t="shared" si="2"/>
        <v>-25</v>
      </c>
      <c r="J51" s="18" t="s">
        <v>160</v>
      </c>
      <c r="K51" s="18" t="s">
        <v>15</v>
      </c>
      <c r="L51" s="18" t="s">
        <v>2182</v>
      </c>
      <c r="M51" s="26" t="s">
        <v>2290</v>
      </c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2291</v>
      </c>
      <c r="D52" s="18" t="s">
        <v>2292</v>
      </c>
      <c r="E52" s="18" t="s">
        <v>2293</v>
      </c>
      <c r="F52" s="19">
        <v>1</v>
      </c>
      <c r="G52" s="19">
        <v>595</v>
      </c>
      <c r="H52" s="19">
        <v>25</v>
      </c>
      <c r="I52" s="19">
        <f t="shared" si="2"/>
        <v>570</v>
      </c>
      <c r="J52" s="18" t="s">
        <v>160</v>
      </c>
      <c r="K52" s="18" t="s">
        <v>15</v>
      </c>
      <c r="L52" s="18" t="s">
        <v>2182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2294</v>
      </c>
      <c r="D53" s="18" t="s">
        <v>2295</v>
      </c>
      <c r="E53" s="18" t="s">
        <v>2296</v>
      </c>
      <c r="F53" s="19">
        <v>10</v>
      </c>
      <c r="G53" s="19">
        <v>685</v>
      </c>
      <c r="H53" s="19">
        <v>25</v>
      </c>
      <c r="I53" s="19">
        <f t="shared" si="2"/>
        <v>660</v>
      </c>
      <c r="J53" s="18" t="s">
        <v>160</v>
      </c>
      <c r="K53" s="18" t="s">
        <v>15</v>
      </c>
      <c r="L53" s="18" t="s">
        <v>2182</v>
      </c>
      <c r="M53" s="18"/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2297</v>
      </c>
      <c r="D54" s="18" t="s">
        <v>2298</v>
      </c>
      <c r="E54" s="18" t="s">
        <v>2299</v>
      </c>
      <c r="F54" s="18" t="s">
        <v>17</v>
      </c>
      <c r="G54" s="19">
        <v>1140</v>
      </c>
      <c r="H54" s="19">
        <v>20</v>
      </c>
      <c r="I54" s="19">
        <f t="shared" si="2"/>
        <v>1120</v>
      </c>
      <c r="J54" s="18" t="s">
        <v>160</v>
      </c>
      <c r="K54" s="18" t="s">
        <v>15</v>
      </c>
      <c r="L54" s="18" t="s">
        <v>2182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2300</v>
      </c>
      <c r="D55" s="18" t="s">
        <v>2301</v>
      </c>
      <c r="E55" s="18" t="s">
        <v>2302</v>
      </c>
      <c r="F55" s="19">
        <v>10</v>
      </c>
      <c r="G55" s="19">
        <v>1145</v>
      </c>
      <c r="H55" s="19">
        <v>25</v>
      </c>
      <c r="I55" s="19">
        <f t="shared" si="2"/>
        <v>1120</v>
      </c>
      <c r="J55" s="18" t="s">
        <v>160</v>
      </c>
      <c r="K55" s="18" t="s">
        <v>15</v>
      </c>
      <c r="L55" s="18" t="s">
        <v>2182</v>
      </c>
      <c r="M55" s="18"/>
      <c r="N55" s="18"/>
      <c r="O55" s="18"/>
      <c r="P55" s="18"/>
      <c r="Q55" s="18">
        <v>1</v>
      </c>
    </row>
    <row r="56" spans="1:18" customFormat="1" x14ac:dyDescent="0.25">
      <c r="A56" s="18" t="s">
        <v>96</v>
      </c>
      <c r="B56" s="18" t="s">
        <v>34</v>
      </c>
      <c r="C56" s="18" t="s">
        <v>2303</v>
      </c>
      <c r="D56" s="18"/>
      <c r="E56" s="18" t="s">
        <v>2304</v>
      </c>
      <c r="F56" s="18" t="s">
        <v>17</v>
      </c>
      <c r="G56" s="19">
        <v>30</v>
      </c>
      <c r="H56" s="19">
        <v>30</v>
      </c>
      <c r="I56" s="19">
        <f t="shared" si="2"/>
        <v>0</v>
      </c>
      <c r="J56" s="18" t="s">
        <v>160</v>
      </c>
      <c r="K56" s="18" t="s">
        <v>15</v>
      </c>
      <c r="L56" s="18" t="s">
        <v>2182</v>
      </c>
      <c r="M56" s="18"/>
      <c r="N56" s="18"/>
      <c r="O56" s="18"/>
      <c r="P56" s="18"/>
      <c r="Q56" s="18">
        <v>1</v>
      </c>
    </row>
    <row r="58" spans="1:18" x14ac:dyDescent="0.25">
      <c r="G58" s="1">
        <f t="shared" ref="G58:R58" si="3">SUBTOTAL(9,G3:G57)</f>
        <v>51945</v>
      </c>
      <c r="H58" s="1">
        <f t="shared" si="3"/>
        <v>1430</v>
      </c>
      <c r="I58" s="1">
        <f t="shared" si="3"/>
        <v>50515</v>
      </c>
      <c r="J58" s="1">
        <f t="shared" si="3"/>
        <v>0</v>
      </c>
      <c r="K58" s="1">
        <f t="shared" si="3"/>
        <v>0</v>
      </c>
      <c r="L58" s="1">
        <f t="shared" si="3"/>
        <v>0</v>
      </c>
      <c r="M58" s="1">
        <f t="shared" si="3"/>
        <v>0</v>
      </c>
      <c r="N58" s="1">
        <f t="shared" si="3"/>
        <v>0</v>
      </c>
      <c r="O58" s="1">
        <f t="shared" si="3"/>
        <v>0</v>
      </c>
      <c r="P58" s="1">
        <f t="shared" si="3"/>
        <v>0</v>
      </c>
      <c r="Q58" s="1">
        <f t="shared" si="3"/>
        <v>54</v>
      </c>
      <c r="R58" s="1">
        <f t="shared" si="3"/>
        <v>0</v>
      </c>
    </row>
    <row r="62" spans="1:18" ht="20.25" customHeight="1" x14ac:dyDescent="0.3">
      <c r="H62" s="4" t="s">
        <v>2177</v>
      </c>
      <c r="I62" s="5" t="s">
        <v>21</v>
      </c>
      <c r="J62" s="6" t="s">
        <v>22</v>
      </c>
    </row>
    <row r="63" spans="1:18" ht="15.75" customHeight="1" x14ac:dyDescent="0.25">
      <c r="H63" s="7" t="s">
        <v>23</v>
      </c>
      <c r="I63" s="8">
        <f>SUM(I57:I61)</f>
        <v>50515</v>
      </c>
      <c r="J63" s="8">
        <f>Q58</f>
        <v>54</v>
      </c>
    </row>
    <row r="64" spans="1:18" x14ac:dyDescent="0.25">
      <c r="H64" s="9" t="s">
        <v>24</v>
      </c>
      <c r="I64" s="10">
        <f>R58</f>
        <v>0</v>
      </c>
      <c r="J64" s="11"/>
    </row>
    <row r="65" spans="1:12" x14ac:dyDescent="0.25">
      <c r="H65" s="9" t="s">
        <v>25</v>
      </c>
      <c r="I65" s="10">
        <f>S57</f>
        <v>0</v>
      </c>
      <c r="J65" s="11"/>
    </row>
    <row r="66" spans="1:12" x14ac:dyDescent="0.25">
      <c r="H66" s="9" t="s">
        <v>26</v>
      </c>
      <c r="I66" s="10">
        <f>T57</f>
        <v>0</v>
      </c>
      <c r="J66" s="11"/>
    </row>
    <row r="67" spans="1:12" x14ac:dyDescent="0.25">
      <c r="H67" s="9" t="s">
        <v>27</v>
      </c>
      <c r="I67" s="10">
        <f>U57</f>
        <v>0</v>
      </c>
      <c r="J67" s="11"/>
    </row>
    <row r="68" spans="1:12" ht="15.75" customHeight="1" x14ac:dyDescent="0.25">
      <c r="H68" s="12" t="s">
        <v>28</v>
      </c>
      <c r="I68" s="13"/>
      <c r="J68" s="13"/>
    </row>
    <row r="69" spans="1:12" ht="15.75" customHeight="1" x14ac:dyDescent="0.25">
      <c r="H69" s="14" t="s">
        <v>29</v>
      </c>
      <c r="I69" s="13"/>
      <c r="J69" s="13"/>
    </row>
    <row r="70" spans="1:12" ht="21" customHeight="1" x14ac:dyDescent="0.35">
      <c r="H70" s="15" t="s">
        <v>30</v>
      </c>
      <c r="I70" s="16">
        <f>SUM(I63:I69)</f>
        <v>50515</v>
      </c>
      <c r="J70" s="16">
        <f>SUM(J63:J67)</f>
        <v>54</v>
      </c>
    </row>
    <row r="72" spans="1:12" x14ac:dyDescent="0.25">
      <c r="A72" s="1" t="s">
        <v>173</v>
      </c>
    </row>
    <row r="73" spans="1:12" s="23" customFormat="1" x14ac:dyDescent="0.25">
      <c r="A73" s="24" t="s">
        <v>34</v>
      </c>
      <c r="B73" s="24" t="s">
        <v>2287</v>
      </c>
      <c r="C73" s="24" t="s">
        <v>2288</v>
      </c>
      <c r="D73" s="24" t="s">
        <v>2289</v>
      </c>
      <c r="E73" s="25">
        <v>1</v>
      </c>
      <c r="F73" s="25">
        <v>475</v>
      </c>
      <c r="G73" s="25">
        <v>0</v>
      </c>
      <c r="H73" s="25">
        <f>F73-G73</f>
        <v>475</v>
      </c>
      <c r="I73" s="24" t="s">
        <v>160</v>
      </c>
      <c r="J73" s="24" t="s">
        <v>15</v>
      </c>
      <c r="K73" s="24" t="s">
        <v>2182</v>
      </c>
      <c r="L73" s="48" t="s">
        <v>2290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658C6-AE2E-42AB-96C7-90917C29817C}">
  <dimension ref="A1:R75"/>
  <sheetViews>
    <sheetView topLeftCell="A30" zoomScaleNormal="100" workbookViewId="0">
      <selection activeCell="B1" sqref="B1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102</v>
      </c>
      <c r="C1" s="1" t="s">
        <v>2450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1086</v>
      </c>
      <c r="D3" s="18" t="s">
        <v>2305</v>
      </c>
      <c r="E3" s="18" t="s">
        <v>2306</v>
      </c>
      <c r="F3" s="19">
        <v>9</v>
      </c>
      <c r="G3" s="19">
        <v>50</v>
      </c>
      <c r="H3" s="19">
        <v>20</v>
      </c>
      <c r="I3" s="19">
        <f>G3-H3</f>
        <v>30</v>
      </c>
      <c r="J3" s="18" t="s">
        <v>56</v>
      </c>
      <c r="K3" s="18" t="s">
        <v>15</v>
      </c>
      <c r="L3" s="18" t="s">
        <v>2307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2308</v>
      </c>
      <c r="D4" s="18" t="s">
        <v>2309</v>
      </c>
      <c r="E4" s="18" t="s">
        <v>2310</v>
      </c>
      <c r="F4" s="19">
        <v>1</v>
      </c>
      <c r="G4" s="19">
        <v>1145</v>
      </c>
      <c r="H4" s="19">
        <v>25</v>
      </c>
      <c r="I4" s="19">
        <f>G4-H4</f>
        <v>1120</v>
      </c>
      <c r="J4" s="18" t="s">
        <v>2311</v>
      </c>
      <c r="K4" s="18" t="s">
        <v>15</v>
      </c>
      <c r="L4" s="18" t="s">
        <v>2307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1212</v>
      </c>
      <c r="D5" s="18" t="s">
        <v>2312</v>
      </c>
      <c r="E5" s="18" t="s">
        <v>1214</v>
      </c>
      <c r="F5" s="18" t="s">
        <v>38</v>
      </c>
      <c r="G5" s="19">
        <v>0</v>
      </c>
      <c r="H5" s="19">
        <v>30</v>
      </c>
      <c r="I5" s="19">
        <f>-H5</f>
        <v>-30</v>
      </c>
      <c r="J5" s="18" t="s">
        <v>2311</v>
      </c>
      <c r="K5" s="18" t="s">
        <v>15</v>
      </c>
      <c r="L5" s="18" t="s">
        <v>2307</v>
      </c>
      <c r="M5" s="26" t="s">
        <v>307</v>
      </c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1212</v>
      </c>
      <c r="D6" s="18" t="s">
        <v>2447</v>
      </c>
      <c r="E6" s="18" t="s">
        <v>1214</v>
      </c>
      <c r="F6" s="18" t="s">
        <v>38</v>
      </c>
      <c r="G6" s="19">
        <v>0</v>
      </c>
      <c r="H6" s="19">
        <v>0</v>
      </c>
      <c r="I6" s="19">
        <f>-H6</f>
        <v>0</v>
      </c>
      <c r="J6" s="18" t="s">
        <v>2311</v>
      </c>
      <c r="K6" s="18" t="s">
        <v>15</v>
      </c>
      <c r="L6" s="18" t="s">
        <v>2307</v>
      </c>
      <c r="M6" s="26" t="s">
        <v>307</v>
      </c>
      <c r="N6" s="18"/>
      <c r="O6" s="18"/>
      <c r="P6" s="18"/>
      <c r="Q6" s="18">
        <v>1</v>
      </c>
      <c r="R6" s="17">
        <f>H6</f>
        <v>0</v>
      </c>
    </row>
    <row r="7" spans="1:18" customFormat="1" x14ac:dyDescent="0.25">
      <c r="A7" s="18"/>
      <c r="B7" s="18" t="s">
        <v>34</v>
      </c>
      <c r="C7" s="18" t="s">
        <v>2313</v>
      </c>
      <c r="D7" s="18" t="s">
        <v>2314</v>
      </c>
      <c r="E7" s="18" t="s">
        <v>2315</v>
      </c>
      <c r="F7" s="19">
        <v>7</v>
      </c>
      <c r="G7" s="19">
        <v>470</v>
      </c>
      <c r="H7" s="19">
        <v>30</v>
      </c>
      <c r="I7" s="19">
        <f>G7-H7</f>
        <v>440</v>
      </c>
      <c r="J7" s="18" t="s">
        <v>2311</v>
      </c>
      <c r="K7" s="18" t="s">
        <v>15</v>
      </c>
      <c r="L7" s="18" t="s">
        <v>2307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899</v>
      </c>
      <c r="D8" s="18" t="s">
        <v>2316</v>
      </c>
      <c r="E8" s="18" t="s">
        <v>901</v>
      </c>
      <c r="F8" s="18" t="s">
        <v>38</v>
      </c>
      <c r="G8" s="19">
        <v>380</v>
      </c>
      <c r="H8" s="19">
        <v>30</v>
      </c>
      <c r="I8" s="19">
        <f>G8-H8</f>
        <v>350</v>
      </c>
      <c r="J8" s="18" t="s">
        <v>2311</v>
      </c>
      <c r="K8" s="18" t="s">
        <v>15</v>
      </c>
      <c r="L8" s="18" t="s">
        <v>2307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2317</v>
      </c>
      <c r="D9" s="18" t="s">
        <v>2318</v>
      </c>
      <c r="E9" s="18" t="s">
        <v>2319</v>
      </c>
      <c r="F9" s="19">
        <v>8</v>
      </c>
      <c r="G9" s="19">
        <v>560</v>
      </c>
      <c r="H9" s="19">
        <v>30</v>
      </c>
      <c r="I9" s="19">
        <f>G9-H9</f>
        <v>530</v>
      </c>
      <c r="J9" s="18" t="s">
        <v>2311</v>
      </c>
      <c r="K9" s="18" t="s">
        <v>15</v>
      </c>
      <c r="L9" s="18" t="s">
        <v>2307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2320</v>
      </c>
      <c r="D10" s="18" t="s">
        <v>2321</v>
      </c>
      <c r="E10" s="18" t="s">
        <v>2322</v>
      </c>
      <c r="F10" s="18" t="s">
        <v>38</v>
      </c>
      <c r="G10" s="19">
        <v>0</v>
      </c>
      <c r="H10" s="19">
        <v>30</v>
      </c>
      <c r="I10" s="19">
        <f>-H10</f>
        <v>-30</v>
      </c>
      <c r="J10" s="18" t="s">
        <v>2311</v>
      </c>
      <c r="K10" s="18" t="s">
        <v>15</v>
      </c>
      <c r="L10" s="18" t="s">
        <v>2307</v>
      </c>
      <c r="M10" s="18"/>
      <c r="N10" s="18"/>
      <c r="O10" s="18"/>
      <c r="P10" s="18"/>
      <c r="Q10" s="18">
        <v>1</v>
      </c>
      <c r="R10" s="17">
        <f>H10</f>
        <v>30</v>
      </c>
    </row>
    <row r="11" spans="1:18" customFormat="1" x14ac:dyDescent="0.25">
      <c r="A11" s="18"/>
      <c r="B11" s="18" t="s">
        <v>34</v>
      </c>
      <c r="C11" s="18" t="s">
        <v>594</v>
      </c>
      <c r="D11" s="18" t="s">
        <v>2323</v>
      </c>
      <c r="E11" s="18" t="s">
        <v>596</v>
      </c>
      <c r="F11" s="18" t="s">
        <v>212</v>
      </c>
      <c r="G11" s="19">
        <v>525</v>
      </c>
      <c r="H11" s="19">
        <v>25</v>
      </c>
      <c r="I11" s="19">
        <f>G11-H11</f>
        <v>500</v>
      </c>
      <c r="J11" s="18" t="s">
        <v>2311</v>
      </c>
      <c r="K11" s="18" t="s">
        <v>15</v>
      </c>
      <c r="L11" s="18" t="s">
        <v>2307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2324</v>
      </c>
      <c r="D12" s="18" t="s">
        <v>2325</v>
      </c>
      <c r="E12" s="18" t="s">
        <v>2326</v>
      </c>
      <c r="F12" s="19">
        <v>7</v>
      </c>
      <c r="G12" s="19">
        <v>690</v>
      </c>
      <c r="H12" s="19">
        <v>30</v>
      </c>
      <c r="I12" s="19">
        <f>G12-H12</f>
        <v>660</v>
      </c>
      <c r="J12" s="18" t="s">
        <v>2311</v>
      </c>
      <c r="K12" s="18" t="s">
        <v>15</v>
      </c>
      <c r="L12" s="18" t="s">
        <v>2307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711</v>
      </c>
      <c r="D13" s="18" t="s">
        <v>2327</v>
      </c>
      <c r="E13" s="18" t="s">
        <v>713</v>
      </c>
      <c r="F13" s="19">
        <v>6</v>
      </c>
      <c r="G13" s="19">
        <v>475</v>
      </c>
      <c r="H13" s="19">
        <v>25</v>
      </c>
      <c r="I13" s="19">
        <f>G13-H13</f>
        <v>450</v>
      </c>
      <c r="J13" s="18" t="s">
        <v>2311</v>
      </c>
      <c r="K13" s="18" t="s">
        <v>15</v>
      </c>
      <c r="L13" s="18" t="s">
        <v>2307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2071</v>
      </c>
      <c r="D14" s="18" t="s">
        <v>2328</v>
      </c>
      <c r="E14" s="18" t="s">
        <v>2329</v>
      </c>
      <c r="F14" s="18" t="s">
        <v>18</v>
      </c>
      <c r="G14" s="19">
        <v>480</v>
      </c>
      <c r="H14" s="19">
        <v>30</v>
      </c>
      <c r="I14" s="19">
        <f>G14-H14</f>
        <v>450</v>
      </c>
      <c r="J14" s="18" t="s">
        <v>2311</v>
      </c>
      <c r="K14" s="18" t="s">
        <v>15</v>
      </c>
      <c r="L14" s="18" t="s">
        <v>2307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2330</v>
      </c>
      <c r="D15" s="18" t="s">
        <v>2331</v>
      </c>
      <c r="E15" s="18" t="s">
        <v>2332</v>
      </c>
      <c r="F15" s="19">
        <v>4</v>
      </c>
      <c r="G15" s="19">
        <v>685</v>
      </c>
      <c r="H15" s="19">
        <v>25</v>
      </c>
      <c r="I15" s="19">
        <f>G15-H15</f>
        <v>660</v>
      </c>
      <c r="J15" s="18" t="s">
        <v>2311</v>
      </c>
      <c r="K15" s="18" t="s">
        <v>15</v>
      </c>
      <c r="L15" s="18" t="s">
        <v>2307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2333</v>
      </c>
      <c r="D16" s="18" t="s">
        <v>2334</v>
      </c>
      <c r="E16" s="18" t="s">
        <v>1864</v>
      </c>
      <c r="F16" s="18" t="s">
        <v>254</v>
      </c>
      <c r="G16" s="19">
        <v>0</v>
      </c>
      <c r="H16" s="19">
        <v>35</v>
      </c>
      <c r="I16" s="19">
        <f>-H16</f>
        <v>-35</v>
      </c>
      <c r="J16" s="18" t="s">
        <v>2311</v>
      </c>
      <c r="K16" s="18" t="s">
        <v>15</v>
      </c>
      <c r="L16" s="18" t="s">
        <v>2307</v>
      </c>
      <c r="M16" s="18"/>
      <c r="N16" s="18"/>
      <c r="O16" s="18"/>
      <c r="P16" s="18"/>
      <c r="Q16" s="18">
        <v>1</v>
      </c>
      <c r="R16" s="17">
        <f>H16</f>
        <v>35</v>
      </c>
    </row>
    <row r="17" spans="1:18" customFormat="1" x14ac:dyDescent="0.25">
      <c r="A17" s="18"/>
      <c r="B17" s="18" t="s">
        <v>34</v>
      </c>
      <c r="C17" s="18" t="s">
        <v>2335</v>
      </c>
      <c r="D17" s="18" t="s">
        <v>2336</v>
      </c>
      <c r="E17" s="18" t="s">
        <v>2337</v>
      </c>
      <c r="F17" s="19">
        <v>1</v>
      </c>
      <c r="G17" s="19">
        <v>865</v>
      </c>
      <c r="H17" s="19">
        <v>25</v>
      </c>
      <c r="I17" s="19">
        <f>G17-H17</f>
        <v>840</v>
      </c>
      <c r="J17" s="18" t="s">
        <v>2311</v>
      </c>
      <c r="K17" s="18" t="s">
        <v>15</v>
      </c>
      <c r="L17" s="18" t="s">
        <v>2307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2338</v>
      </c>
      <c r="D18" s="18" t="s">
        <v>2339</v>
      </c>
      <c r="E18" s="18" t="s">
        <v>2340</v>
      </c>
      <c r="F18" s="19">
        <v>1</v>
      </c>
      <c r="G18" s="19">
        <v>1915</v>
      </c>
      <c r="H18" s="19">
        <v>25</v>
      </c>
      <c r="I18" s="19">
        <f>G18-H18</f>
        <v>1890</v>
      </c>
      <c r="J18" s="18" t="s">
        <v>2311</v>
      </c>
      <c r="K18" s="18" t="s">
        <v>15</v>
      </c>
      <c r="L18" s="18" t="s">
        <v>2307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2341</v>
      </c>
      <c r="D19" s="18" t="s">
        <v>2342</v>
      </c>
      <c r="E19" s="18" t="s">
        <v>2343</v>
      </c>
      <c r="F19" s="18" t="s">
        <v>108</v>
      </c>
      <c r="G19" s="19">
        <v>1355</v>
      </c>
      <c r="H19" s="19">
        <v>35</v>
      </c>
      <c r="I19" s="19">
        <f>G19-H19</f>
        <v>1320</v>
      </c>
      <c r="J19" s="18" t="s">
        <v>2311</v>
      </c>
      <c r="K19" s="18" t="s">
        <v>15</v>
      </c>
      <c r="L19" s="18" t="s">
        <v>2307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1067</v>
      </c>
      <c r="D20" s="18" t="s">
        <v>2344</v>
      </c>
      <c r="E20" s="18" t="s">
        <v>1202</v>
      </c>
      <c r="F20" s="19">
        <v>7</v>
      </c>
      <c r="G20" s="19">
        <v>880</v>
      </c>
      <c r="H20" s="19">
        <v>30</v>
      </c>
      <c r="I20" s="19">
        <f>G20-H20</f>
        <v>850</v>
      </c>
      <c r="J20" s="18" t="s">
        <v>2311</v>
      </c>
      <c r="K20" s="18" t="s">
        <v>15</v>
      </c>
      <c r="L20" s="18" t="s">
        <v>2307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2345</v>
      </c>
      <c r="D21" s="18" t="s">
        <v>2346</v>
      </c>
      <c r="E21" s="18" t="s">
        <v>2347</v>
      </c>
      <c r="F21" s="19">
        <v>7</v>
      </c>
      <c r="G21" s="19">
        <v>1990</v>
      </c>
      <c r="H21" s="19">
        <v>30</v>
      </c>
      <c r="I21" s="19">
        <f>G21-H21</f>
        <v>1960</v>
      </c>
      <c r="J21" s="18" t="s">
        <v>2311</v>
      </c>
      <c r="K21" s="18" t="s">
        <v>15</v>
      </c>
      <c r="L21" s="18" t="s">
        <v>2307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2348</v>
      </c>
      <c r="D22" s="18" t="s">
        <v>2349</v>
      </c>
      <c r="E22" s="18" t="s">
        <v>2350</v>
      </c>
      <c r="F22" s="18" t="s">
        <v>123</v>
      </c>
      <c r="G22" s="19">
        <v>0</v>
      </c>
      <c r="H22" s="19">
        <v>35</v>
      </c>
      <c r="I22" s="19">
        <f>-H22</f>
        <v>-35</v>
      </c>
      <c r="J22" s="18" t="s">
        <v>2311</v>
      </c>
      <c r="K22" s="18" t="s">
        <v>15</v>
      </c>
      <c r="L22" s="18" t="s">
        <v>2307</v>
      </c>
      <c r="M22" s="18"/>
      <c r="N22" s="18"/>
      <c r="O22" s="18"/>
      <c r="P22" s="18"/>
      <c r="Q22" s="18">
        <v>1</v>
      </c>
      <c r="R22" s="17">
        <f>H22</f>
        <v>35</v>
      </c>
    </row>
    <row r="23" spans="1:18" customFormat="1" x14ac:dyDescent="0.25">
      <c r="A23" s="18"/>
      <c r="B23" s="18" t="s">
        <v>34</v>
      </c>
      <c r="C23" s="18" t="s">
        <v>2351</v>
      </c>
      <c r="D23" s="18" t="s">
        <v>2352</v>
      </c>
      <c r="E23" s="18" t="s">
        <v>2353</v>
      </c>
      <c r="F23" s="18" t="s">
        <v>212</v>
      </c>
      <c r="G23" s="19">
        <v>1545</v>
      </c>
      <c r="H23" s="19">
        <v>25</v>
      </c>
      <c r="I23" s="19">
        <f>G23-H23</f>
        <v>1520</v>
      </c>
      <c r="J23" s="18" t="s">
        <v>2311</v>
      </c>
      <c r="K23" s="18" t="s">
        <v>15</v>
      </c>
      <c r="L23" s="18" t="s">
        <v>2307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2354</v>
      </c>
      <c r="D24" s="18" t="s">
        <v>2355</v>
      </c>
      <c r="E24" s="18" t="s">
        <v>2356</v>
      </c>
      <c r="F24" s="19">
        <v>12</v>
      </c>
      <c r="G24" s="19">
        <v>920</v>
      </c>
      <c r="H24" s="19">
        <v>30</v>
      </c>
      <c r="I24" s="19">
        <f>G24-H24</f>
        <v>890</v>
      </c>
      <c r="J24" s="18" t="s">
        <v>2311</v>
      </c>
      <c r="K24" s="18" t="s">
        <v>15</v>
      </c>
      <c r="L24" s="18" t="s">
        <v>2307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2110</v>
      </c>
      <c r="D25" s="18" t="s">
        <v>2357</v>
      </c>
      <c r="E25" s="18" t="s">
        <v>2112</v>
      </c>
      <c r="F25" s="18" t="s">
        <v>18</v>
      </c>
      <c r="G25" s="19">
        <v>0</v>
      </c>
      <c r="H25" s="19">
        <v>25</v>
      </c>
      <c r="I25" s="19">
        <f>-H25</f>
        <v>-25</v>
      </c>
      <c r="J25" s="18" t="s">
        <v>2311</v>
      </c>
      <c r="K25" s="18" t="s">
        <v>15</v>
      </c>
      <c r="L25" s="18" t="s">
        <v>2307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473</v>
      </c>
      <c r="D26" s="18" t="s">
        <v>2358</v>
      </c>
      <c r="E26" s="18" t="s">
        <v>2359</v>
      </c>
      <c r="F26" s="19">
        <v>4</v>
      </c>
      <c r="G26" s="19">
        <v>915</v>
      </c>
      <c r="H26" s="19">
        <v>25</v>
      </c>
      <c r="I26" s="19">
        <f t="shared" ref="I26:I31" si="0">G26-H26</f>
        <v>890</v>
      </c>
      <c r="J26" s="18" t="s">
        <v>2311</v>
      </c>
      <c r="K26" s="18" t="s">
        <v>15</v>
      </c>
      <c r="L26" s="18" t="s">
        <v>2307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2360</v>
      </c>
      <c r="D27" s="18" t="s">
        <v>2361</v>
      </c>
      <c r="E27" s="18" t="s">
        <v>2362</v>
      </c>
      <c r="F27" s="19">
        <v>11</v>
      </c>
      <c r="G27" s="19">
        <v>1175</v>
      </c>
      <c r="H27" s="19">
        <v>25</v>
      </c>
      <c r="I27" s="19">
        <f t="shared" si="0"/>
        <v>1150</v>
      </c>
      <c r="J27" s="18" t="s">
        <v>2311</v>
      </c>
      <c r="K27" s="18" t="s">
        <v>15</v>
      </c>
      <c r="L27" s="18" t="s">
        <v>2307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1719</v>
      </c>
      <c r="D28" s="18" t="s">
        <v>2363</v>
      </c>
      <c r="E28" s="18" t="s">
        <v>1721</v>
      </c>
      <c r="F28" s="19">
        <v>7</v>
      </c>
      <c r="G28" s="19">
        <v>390</v>
      </c>
      <c r="H28" s="19">
        <v>30</v>
      </c>
      <c r="I28" s="19">
        <f t="shared" si="0"/>
        <v>360</v>
      </c>
      <c r="J28" s="18" t="s">
        <v>2311</v>
      </c>
      <c r="K28" s="18" t="s">
        <v>15</v>
      </c>
      <c r="L28" s="18" t="s">
        <v>2307</v>
      </c>
      <c r="M28" s="18"/>
      <c r="N28" s="18"/>
      <c r="O28" s="18"/>
      <c r="P28" s="18"/>
      <c r="Q28" s="18">
        <v>1</v>
      </c>
    </row>
    <row r="29" spans="1:18" s="22" customFormat="1" x14ac:dyDescent="0.25">
      <c r="A29" s="20"/>
      <c r="B29" s="20" t="s">
        <v>34</v>
      </c>
      <c r="C29" s="20" t="s">
        <v>1005</v>
      </c>
      <c r="D29" s="20" t="s">
        <v>2364</v>
      </c>
      <c r="E29" s="20" t="s">
        <v>1007</v>
      </c>
      <c r="F29" s="21">
        <v>1</v>
      </c>
      <c r="G29" s="21">
        <v>65</v>
      </c>
      <c r="H29" s="21">
        <v>25</v>
      </c>
      <c r="I29" s="21">
        <f t="shared" si="0"/>
        <v>40</v>
      </c>
      <c r="J29" s="20" t="s">
        <v>2311</v>
      </c>
      <c r="K29" s="20" t="s">
        <v>15</v>
      </c>
      <c r="L29" s="20" t="s">
        <v>2307</v>
      </c>
      <c r="M29" s="20" t="s">
        <v>16</v>
      </c>
      <c r="N29" s="20"/>
      <c r="O29" s="20"/>
      <c r="P29" s="20"/>
      <c r="Q29" s="20">
        <v>1</v>
      </c>
    </row>
    <row r="30" spans="1:18" customFormat="1" x14ac:dyDescent="0.25">
      <c r="A30" s="18"/>
      <c r="B30" s="18" t="s">
        <v>34</v>
      </c>
      <c r="C30" s="18" t="s">
        <v>2365</v>
      </c>
      <c r="D30" s="18" t="s">
        <v>2366</v>
      </c>
      <c r="E30" s="18" t="s">
        <v>2367</v>
      </c>
      <c r="F30" s="19">
        <v>1</v>
      </c>
      <c r="G30" s="19">
        <v>685</v>
      </c>
      <c r="H30" s="19">
        <v>25</v>
      </c>
      <c r="I30" s="19">
        <f t="shared" si="0"/>
        <v>660</v>
      </c>
      <c r="J30" s="18" t="s">
        <v>2311</v>
      </c>
      <c r="K30" s="18" t="s">
        <v>15</v>
      </c>
      <c r="L30" s="18" t="s">
        <v>2307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2368</v>
      </c>
      <c r="D31" s="18" t="s">
        <v>2369</v>
      </c>
      <c r="E31" s="18" t="s">
        <v>2370</v>
      </c>
      <c r="F31" s="19">
        <v>12</v>
      </c>
      <c r="G31" s="19">
        <v>1670</v>
      </c>
      <c r="H31" s="19">
        <v>30</v>
      </c>
      <c r="I31" s="19">
        <f t="shared" si="0"/>
        <v>1640</v>
      </c>
      <c r="J31" s="18" t="s">
        <v>2311</v>
      </c>
      <c r="K31" s="18" t="s">
        <v>15</v>
      </c>
      <c r="L31" s="18" t="s">
        <v>2307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2371</v>
      </c>
      <c r="D32" s="18" t="s">
        <v>2372</v>
      </c>
      <c r="E32" s="18" t="s">
        <v>2373</v>
      </c>
      <c r="F32" s="19">
        <v>11</v>
      </c>
      <c r="G32" s="19">
        <v>0</v>
      </c>
      <c r="H32" s="19">
        <v>25</v>
      </c>
      <c r="I32" s="19">
        <f>-H32</f>
        <v>-25</v>
      </c>
      <c r="J32" s="18" t="s">
        <v>2311</v>
      </c>
      <c r="K32" s="18" t="s">
        <v>15</v>
      </c>
      <c r="L32" s="18" t="s">
        <v>2307</v>
      </c>
      <c r="M32" s="18"/>
      <c r="N32" s="18"/>
      <c r="O32" s="18"/>
      <c r="P32" s="18"/>
      <c r="Q32" s="18">
        <v>1</v>
      </c>
      <c r="R32" s="17">
        <f>H32</f>
        <v>25</v>
      </c>
    </row>
    <row r="33" spans="1:18" customFormat="1" x14ac:dyDescent="0.25">
      <c r="A33" s="18"/>
      <c r="B33" s="18" t="s">
        <v>34</v>
      </c>
      <c r="C33" s="18" t="s">
        <v>2374</v>
      </c>
      <c r="D33" s="18" t="s">
        <v>2375</v>
      </c>
      <c r="E33" s="18" t="s">
        <v>2376</v>
      </c>
      <c r="F33" s="18" t="s">
        <v>212</v>
      </c>
      <c r="G33" s="19">
        <v>685</v>
      </c>
      <c r="H33" s="19">
        <v>25</v>
      </c>
      <c r="I33" s="19">
        <f>G33-H33</f>
        <v>660</v>
      </c>
      <c r="J33" s="18" t="s">
        <v>2311</v>
      </c>
      <c r="K33" s="18" t="s">
        <v>15</v>
      </c>
      <c r="L33" s="18" t="s">
        <v>2307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2377</v>
      </c>
      <c r="D34" s="18" t="s">
        <v>2378</v>
      </c>
      <c r="E34" s="18" t="s">
        <v>2379</v>
      </c>
      <c r="F34" s="19">
        <v>7</v>
      </c>
      <c r="G34" s="19">
        <v>1530</v>
      </c>
      <c r="H34" s="19">
        <v>30</v>
      </c>
      <c r="I34" s="19">
        <f>G34-H34</f>
        <v>1500</v>
      </c>
      <c r="J34" s="18" t="s">
        <v>2311</v>
      </c>
      <c r="K34" s="18" t="s">
        <v>15</v>
      </c>
      <c r="L34" s="18" t="s">
        <v>2307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2380</v>
      </c>
      <c r="D35" s="18" t="s">
        <v>2381</v>
      </c>
      <c r="E35" s="18" t="s">
        <v>2382</v>
      </c>
      <c r="F35" s="19">
        <v>12</v>
      </c>
      <c r="G35" s="19">
        <v>0</v>
      </c>
      <c r="H35" s="19">
        <v>35</v>
      </c>
      <c r="I35" s="19">
        <f>-H35</f>
        <v>-35</v>
      </c>
      <c r="J35" s="18" t="s">
        <v>2311</v>
      </c>
      <c r="K35" s="18" t="s">
        <v>15</v>
      </c>
      <c r="L35" s="18" t="s">
        <v>2307</v>
      </c>
      <c r="M35" s="26" t="s">
        <v>377</v>
      </c>
      <c r="N35" s="18"/>
      <c r="O35" s="18"/>
      <c r="P35" s="18"/>
      <c r="Q35" s="18">
        <v>1</v>
      </c>
      <c r="R35" s="17">
        <f>H35</f>
        <v>35</v>
      </c>
    </row>
    <row r="36" spans="1:18" customFormat="1" x14ac:dyDescent="0.25">
      <c r="A36" s="18"/>
      <c r="B36" s="18" t="s">
        <v>34</v>
      </c>
      <c r="C36" s="18" t="s">
        <v>999</v>
      </c>
      <c r="D36" s="18" t="s">
        <v>2383</v>
      </c>
      <c r="E36" s="18" t="s">
        <v>1001</v>
      </c>
      <c r="F36" s="18" t="s">
        <v>18</v>
      </c>
      <c r="G36" s="19">
        <v>915</v>
      </c>
      <c r="H36" s="19">
        <v>25</v>
      </c>
      <c r="I36" s="19">
        <f t="shared" ref="I36:I41" si="1">G36-H36</f>
        <v>890</v>
      </c>
      <c r="J36" s="18" t="s">
        <v>2311</v>
      </c>
      <c r="K36" s="18" t="s">
        <v>15</v>
      </c>
      <c r="L36" s="18" t="s">
        <v>2307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2384</v>
      </c>
      <c r="D37" s="18" t="s">
        <v>2385</v>
      </c>
      <c r="E37" s="18" t="s">
        <v>2386</v>
      </c>
      <c r="F37" s="19">
        <v>11</v>
      </c>
      <c r="G37" s="19">
        <v>855</v>
      </c>
      <c r="H37" s="19">
        <v>25</v>
      </c>
      <c r="I37" s="19">
        <f t="shared" si="1"/>
        <v>830</v>
      </c>
      <c r="J37" s="18" t="s">
        <v>2311</v>
      </c>
      <c r="K37" s="18" t="s">
        <v>15</v>
      </c>
      <c r="L37" s="18" t="s">
        <v>2307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2387</v>
      </c>
      <c r="D38" s="18" t="s">
        <v>2388</v>
      </c>
      <c r="E38" s="18" t="s">
        <v>2389</v>
      </c>
      <c r="F38" s="19">
        <v>7</v>
      </c>
      <c r="G38" s="19">
        <v>1860</v>
      </c>
      <c r="H38" s="19">
        <v>30</v>
      </c>
      <c r="I38" s="19">
        <f t="shared" si="1"/>
        <v>1830</v>
      </c>
      <c r="J38" s="18" t="s">
        <v>2311</v>
      </c>
      <c r="K38" s="18" t="s">
        <v>15</v>
      </c>
      <c r="L38" s="18" t="s">
        <v>2307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2390</v>
      </c>
      <c r="D39" s="18" t="s">
        <v>2391</v>
      </c>
      <c r="E39" s="18" t="s">
        <v>760</v>
      </c>
      <c r="F39" s="18" t="s">
        <v>18</v>
      </c>
      <c r="G39" s="19">
        <v>685</v>
      </c>
      <c r="H39" s="19">
        <v>25</v>
      </c>
      <c r="I39" s="19">
        <f t="shared" si="1"/>
        <v>660</v>
      </c>
      <c r="J39" s="18" t="s">
        <v>2311</v>
      </c>
      <c r="K39" s="18" t="s">
        <v>15</v>
      </c>
      <c r="L39" s="18" t="s">
        <v>2307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2392</v>
      </c>
      <c r="D40" s="18" t="s">
        <v>2393</v>
      </c>
      <c r="E40" s="18" t="s">
        <v>1999</v>
      </c>
      <c r="F40" s="19">
        <v>1</v>
      </c>
      <c r="G40" s="19">
        <v>685</v>
      </c>
      <c r="H40" s="19">
        <v>25</v>
      </c>
      <c r="I40" s="19">
        <f t="shared" si="1"/>
        <v>660</v>
      </c>
      <c r="J40" s="18" t="s">
        <v>2311</v>
      </c>
      <c r="K40" s="18" t="s">
        <v>15</v>
      </c>
      <c r="L40" s="18" t="s">
        <v>2307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2394</v>
      </c>
      <c r="D41" s="18" t="s">
        <v>2395</v>
      </c>
      <c r="E41" s="18" t="s">
        <v>2396</v>
      </c>
      <c r="F41" s="19">
        <v>2</v>
      </c>
      <c r="G41" s="19">
        <v>690</v>
      </c>
      <c r="H41" s="19">
        <v>30</v>
      </c>
      <c r="I41" s="19">
        <f t="shared" si="1"/>
        <v>660</v>
      </c>
      <c r="J41" s="18" t="s">
        <v>15</v>
      </c>
      <c r="K41" s="18" t="s">
        <v>15</v>
      </c>
      <c r="L41" s="18" t="s">
        <v>2307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2397</v>
      </c>
      <c r="D42" s="18" t="s">
        <v>2398</v>
      </c>
      <c r="E42" s="18" t="s">
        <v>582</v>
      </c>
      <c r="F42" s="19">
        <v>12</v>
      </c>
      <c r="G42" s="19">
        <v>0</v>
      </c>
      <c r="H42" s="19">
        <v>30</v>
      </c>
      <c r="I42" s="19">
        <f>-H42</f>
        <v>-30</v>
      </c>
      <c r="J42" s="18" t="s">
        <v>15</v>
      </c>
      <c r="K42" s="18" t="s">
        <v>15</v>
      </c>
      <c r="L42" s="18" t="s">
        <v>2307</v>
      </c>
      <c r="M42" s="18"/>
      <c r="N42" s="18"/>
      <c r="O42" s="18"/>
      <c r="P42" s="18"/>
      <c r="Q42" s="18">
        <v>1</v>
      </c>
      <c r="R42" s="17">
        <f>H42</f>
        <v>30</v>
      </c>
    </row>
    <row r="43" spans="1:18" customFormat="1" x14ac:dyDescent="0.25">
      <c r="A43" s="18"/>
      <c r="B43" s="18" t="s">
        <v>34</v>
      </c>
      <c r="C43" s="18" t="s">
        <v>2399</v>
      </c>
      <c r="D43" s="18" t="s">
        <v>2400</v>
      </c>
      <c r="E43" s="18" t="s">
        <v>2401</v>
      </c>
      <c r="F43" s="18" t="s">
        <v>144</v>
      </c>
      <c r="G43" s="19">
        <v>480</v>
      </c>
      <c r="H43" s="19">
        <v>30</v>
      </c>
      <c r="I43" s="19">
        <f>G43-H43</f>
        <v>450</v>
      </c>
      <c r="J43" s="18" t="s">
        <v>15</v>
      </c>
      <c r="K43" s="18" t="s">
        <v>15</v>
      </c>
      <c r="L43" s="18" t="s">
        <v>2307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2402</v>
      </c>
      <c r="D44" s="18" t="s">
        <v>2403</v>
      </c>
      <c r="E44" s="18" t="s">
        <v>2404</v>
      </c>
      <c r="F44" s="18" t="s">
        <v>19</v>
      </c>
      <c r="G44" s="19">
        <v>1140</v>
      </c>
      <c r="H44" s="19">
        <v>20</v>
      </c>
      <c r="I44" s="19">
        <f>G44-H44</f>
        <v>1120</v>
      </c>
      <c r="J44" s="18" t="s">
        <v>15</v>
      </c>
      <c r="K44" s="18" t="s">
        <v>15</v>
      </c>
      <c r="L44" s="18" t="s">
        <v>2307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2405</v>
      </c>
      <c r="D45" s="18" t="s">
        <v>2406</v>
      </c>
      <c r="E45" s="18" t="s">
        <v>2407</v>
      </c>
      <c r="F45" s="18" t="s">
        <v>19</v>
      </c>
      <c r="G45" s="19">
        <v>0</v>
      </c>
      <c r="H45" s="19">
        <v>20</v>
      </c>
      <c r="I45" s="19">
        <f>-H45</f>
        <v>-20</v>
      </c>
      <c r="J45" s="18" t="s">
        <v>15</v>
      </c>
      <c r="K45" s="18" t="s">
        <v>15</v>
      </c>
      <c r="L45" s="18" t="s">
        <v>2307</v>
      </c>
      <c r="M45" s="18"/>
      <c r="N45" s="18"/>
      <c r="O45" s="18"/>
      <c r="P45" s="18"/>
      <c r="Q45" s="18">
        <v>1</v>
      </c>
      <c r="R45" s="17">
        <f t="shared" ref="R45:R46" si="2">H45</f>
        <v>20</v>
      </c>
    </row>
    <row r="46" spans="1:18" customFormat="1" x14ac:dyDescent="0.25">
      <c r="A46" s="18"/>
      <c r="B46" s="18" t="s">
        <v>34</v>
      </c>
      <c r="C46" s="18" t="s">
        <v>2408</v>
      </c>
      <c r="D46" s="18" t="s">
        <v>2409</v>
      </c>
      <c r="E46" s="18" t="s">
        <v>2410</v>
      </c>
      <c r="F46" s="19">
        <v>12</v>
      </c>
      <c r="G46" s="19">
        <v>0</v>
      </c>
      <c r="H46" s="19">
        <v>30</v>
      </c>
      <c r="I46" s="19">
        <f>-H46</f>
        <v>-30</v>
      </c>
      <c r="J46" s="18" t="s">
        <v>15</v>
      </c>
      <c r="K46" s="18" t="s">
        <v>15</v>
      </c>
      <c r="L46" s="18" t="s">
        <v>2307</v>
      </c>
      <c r="M46" s="18"/>
      <c r="N46" s="18"/>
      <c r="O46" s="18"/>
      <c r="P46" s="18"/>
      <c r="Q46" s="18">
        <v>1</v>
      </c>
      <c r="R46" s="17">
        <f t="shared" si="2"/>
        <v>30</v>
      </c>
    </row>
    <row r="47" spans="1:18" customFormat="1" x14ac:dyDescent="0.25">
      <c r="A47" s="18"/>
      <c r="B47" s="18" t="s">
        <v>34</v>
      </c>
      <c r="C47" s="18" t="s">
        <v>2411</v>
      </c>
      <c r="D47" s="18" t="s">
        <v>2412</v>
      </c>
      <c r="E47" s="18" t="s">
        <v>2413</v>
      </c>
      <c r="F47" s="18" t="s">
        <v>144</v>
      </c>
      <c r="G47" s="19">
        <v>890</v>
      </c>
      <c r="H47" s="19">
        <v>30</v>
      </c>
      <c r="I47" s="19">
        <f>G47-H47</f>
        <v>860</v>
      </c>
      <c r="J47" s="18" t="s">
        <v>15</v>
      </c>
      <c r="K47" s="18" t="s">
        <v>15</v>
      </c>
      <c r="L47" s="18" t="s">
        <v>2307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2414</v>
      </c>
      <c r="D48" s="18" t="s">
        <v>2415</v>
      </c>
      <c r="E48" s="18" t="s">
        <v>1761</v>
      </c>
      <c r="F48" s="19">
        <v>12</v>
      </c>
      <c r="G48" s="19">
        <v>0</v>
      </c>
      <c r="H48" s="19">
        <v>30</v>
      </c>
      <c r="I48" s="19">
        <f>-H48</f>
        <v>-30</v>
      </c>
      <c r="J48" s="18" t="s">
        <v>15</v>
      </c>
      <c r="K48" s="18" t="s">
        <v>15</v>
      </c>
      <c r="L48" s="18" t="s">
        <v>2307</v>
      </c>
      <c r="M48" s="18"/>
      <c r="N48" s="18"/>
      <c r="O48" s="18"/>
      <c r="P48" s="18"/>
      <c r="Q48" s="18">
        <v>1</v>
      </c>
      <c r="R48" s="17">
        <f>H48</f>
        <v>30</v>
      </c>
    </row>
    <row r="49" spans="1:18" customFormat="1" x14ac:dyDescent="0.25">
      <c r="A49" s="18"/>
      <c r="B49" s="18" t="s">
        <v>34</v>
      </c>
      <c r="C49" s="18" t="s">
        <v>2416</v>
      </c>
      <c r="D49" s="18" t="s">
        <v>2417</v>
      </c>
      <c r="E49" s="18" t="s">
        <v>2418</v>
      </c>
      <c r="F49" s="18" t="s">
        <v>18</v>
      </c>
      <c r="G49" s="19">
        <v>1245</v>
      </c>
      <c r="H49" s="19">
        <v>25</v>
      </c>
      <c r="I49" s="19">
        <f>G49-H49</f>
        <v>1220</v>
      </c>
      <c r="J49" s="18" t="s">
        <v>15</v>
      </c>
      <c r="K49" s="18" t="s">
        <v>15</v>
      </c>
      <c r="L49" s="18" t="s">
        <v>2307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2419</v>
      </c>
      <c r="D50" s="18" t="s">
        <v>2420</v>
      </c>
      <c r="E50" s="18" t="s">
        <v>2421</v>
      </c>
      <c r="F50" s="19">
        <v>2</v>
      </c>
      <c r="G50" s="19">
        <v>0</v>
      </c>
      <c r="H50" s="19">
        <v>30</v>
      </c>
      <c r="I50" s="19">
        <f>-H50</f>
        <v>-30</v>
      </c>
      <c r="J50" s="18" t="s">
        <v>15</v>
      </c>
      <c r="K50" s="18" t="s">
        <v>15</v>
      </c>
      <c r="L50" s="18" t="s">
        <v>2307</v>
      </c>
      <c r="M50" s="18"/>
      <c r="N50" s="18"/>
      <c r="O50" s="18"/>
      <c r="P50" s="18"/>
      <c r="Q50" s="18">
        <v>1</v>
      </c>
      <c r="R50" s="17">
        <f t="shared" ref="R50:R51" si="3">H50</f>
        <v>30</v>
      </c>
    </row>
    <row r="51" spans="1:18" customFormat="1" x14ac:dyDescent="0.25">
      <c r="A51" s="18"/>
      <c r="B51" s="18" t="s">
        <v>34</v>
      </c>
      <c r="C51" s="18" t="s">
        <v>2422</v>
      </c>
      <c r="D51" s="18" t="s">
        <v>2423</v>
      </c>
      <c r="E51" s="18" t="s">
        <v>2424</v>
      </c>
      <c r="F51" s="18" t="s">
        <v>20</v>
      </c>
      <c r="G51" s="19">
        <v>0</v>
      </c>
      <c r="H51" s="19">
        <v>25</v>
      </c>
      <c r="I51" s="19">
        <f>-H51</f>
        <v>-25</v>
      </c>
      <c r="J51" s="18" t="s">
        <v>15</v>
      </c>
      <c r="K51" s="18" t="s">
        <v>15</v>
      </c>
      <c r="L51" s="18" t="s">
        <v>2307</v>
      </c>
      <c r="M51" s="18"/>
      <c r="N51" s="18"/>
      <c r="O51" s="18"/>
      <c r="P51" s="18"/>
      <c r="Q51" s="18">
        <v>1</v>
      </c>
      <c r="R51" s="17">
        <f t="shared" si="3"/>
        <v>25</v>
      </c>
    </row>
    <row r="52" spans="1:18" customFormat="1" x14ac:dyDescent="0.25">
      <c r="A52" s="18"/>
      <c r="B52" s="18" t="s">
        <v>34</v>
      </c>
      <c r="C52" s="18" t="s">
        <v>2425</v>
      </c>
      <c r="D52" s="18" t="s">
        <v>2426</v>
      </c>
      <c r="E52" s="18" t="s">
        <v>2427</v>
      </c>
      <c r="F52" s="18" t="s">
        <v>20</v>
      </c>
      <c r="G52" s="19">
        <v>915</v>
      </c>
      <c r="H52" s="19">
        <v>25</v>
      </c>
      <c r="I52" s="19">
        <f t="shared" ref="I52:I57" si="4">G52-H52</f>
        <v>890</v>
      </c>
      <c r="J52" s="18" t="s">
        <v>15</v>
      </c>
      <c r="K52" s="18" t="s">
        <v>15</v>
      </c>
      <c r="L52" s="18" t="s">
        <v>2307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2428</v>
      </c>
      <c r="D53" s="18" t="s">
        <v>2429</v>
      </c>
      <c r="E53" s="18" t="s">
        <v>2430</v>
      </c>
      <c r="F53" s="18" t="s">
        <v>20</v>
      </c>
      <c r="G53" s="19">
        <v>875</v>
      </c>
      <c r="H53" s="19">
        <v>25</v>
      </c>
      <c r="I53" s="19">
        <f t="shared" si="4"/>
        <v>850</v>
      </c>
      <c r="J53" s="18" t="s">
        <v>15</v>
      </c>
      <c r="K53" s="18" t="s">
        <v>15</v>
      </c>
      <c r="L53" s="18" t="s">
        <v>2307</v>
      </c>
      <c r="M53" s="18"/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2431</v>
      </c>
      <c r="D54" s="18" t="s">
        <v>2432</v>
      </c>
      <c r="E54" s="18" t="s">
        <v>2433</v>
      </c>
      <c r="F54" s="18" t="s">
        <v>18</v>
      </c>
      <c r="G54" s="19">
        <v>1555</v>
      </c>
      <c r="H54" s="19">
        <v>25</v>
      </c>
      <c r="I54" s="19">
        <f t="shared" si="4"/>
        <v>1530</v>
      </c>
      <c r="J54" s="18" t="s">
        <v>15</v>
      </c>
      <c r="K54" s="18" t="s">
        <v>15</v>
      </c>
      <c r="L54" s="18" t="s">
        <v>2307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2434</v>
      </c>
      <c r="D55" s="18" t="s">
        <v>2435</v>
      </c>
      <c r="E55" s="18" t="s">
        <v>2436</v>
      </c>
      <c r="F55" s="18" t="s">
        <v>19</v>
      </c>
      <c r="G55" s="19">
        <v>690</v>
      </c>
      <c r="H55" s="19">
        <v>20</v>
      </c>
      <c r="I55" s="19">
        <f t="shared" si="4"/>
        <v>670</v>
      </c>
      <c r="J55" s="18" t="s">
        <v>15</v>
      </c>
      <c r="K55" s="18" t="s">
        <v>15</v>
      </c>
      <c r="L55" s="18" t="s">
        <v>2307</v>
      </c>
      <c r="M55" s="18"/>
      <c r="N55" s="18"/>
      <c r="O55" s="18"/>
      <c r="P55" s="18"/>
      <c r="Q55" s="18">
        <v>1</v>
      </c>
    </row>
    <row r="56" spans="1:18" customFormat="1" x14ac:dyDescent="0.25">
      <c r="A56" s="18"/>
      <c r="B56" s="18" t="s">
        <v>34</v>
      </c>
      <c r="C56" s="18" t="s">
        <v>2437</v>
      </c>
      <c r="D56" s="18" t="s">
        <v>2438</v>
      </c>
      <c r="E56" s="18" t="s">
        <v>2439</v>
      </c>
      <c r="F56" s="18" t="s">
        <v>144</v>
      </c>
      <c r="G56" s="19">
        <v>480</v>
      </c>
      <c r="H56" s="19">
        <v>30</v>
      </c>
      <c r="I56" s="19">
        <f t="shared" si="4"/>
        <v>450</v>
      </c>
      <c r="J56" s="18" t="s">
        <v>15</v>
      </c>
      <c r="K56" s="18" t="s">
        <v>15</v>
      </c>
      <c r="L56" s="18" t="s">
        <v>2307</v>
      </c>
      <c r="M56" s="18"/>
      <c r="N56" s="18"/>
      <c r="O56" s="18"/>
      <c r="P56" s="18"/>
      <c r="Q56" s="18">
        <v>1</v>
      </c>
    </row>
    <row r="57" spans="1:18" customFormat="1" x14ac:dyDescent="0.25">
      <c r="A57" s="18" t="s">
        <v>96</v>
      </c>
      <c r="B57" s="18" t="s">
        <v>34</v>
      </c>
      <c r="C57" s="18" t="s">
        <v>2440</v>
      </c>
      <c r="D57" s="18"/>
      <c r="E57" s="18" t="s">
        <v>2441</v>
      </c>
      <c r="F57" s="18" t="s">
        <v>18</v>
      </c>
      <c r="G57" s="19">
        <v>30</v>
      </c>
      <c r="H57" s="19">
        <v>30</v>
      </c>
      <c r="I57" s="19">
        <f t="shared" si="4"/>
        <v>0</v>
      </c>
      <c r="J57" s="18" t="s">
        <v>15</v>
      </c>
      <c r="K57" s="18" t="s">
        <v>15</v>
      </c>
      <c r="L57" s="18" t="s">
        <v>2307</v>
      </c>
      <c r="M57" s="18"/>
      <c r="N57" s="18"/>
      <c r="O57" s="18"/>
      <c r="P57" s="18"/>
      <c r="Q57" s="18">
        <v>1</v>
      </c>
    </row>
    <row r="58" spans="1:18" customFormat="1" x14ac:dyDescent="0.25">
      <c r="A58" s="18" t="s">
        <v>96</v>
      </c>
      <c r="B58" s="18" t="s">
        <v>34</v>
      </c>
      <c r="C58" s="18" t="s">
        <v>2442</v>
      </c>
      <c r="D58" s="18"/>
      <c r="E58" s="18" t="s">
        <v>1761</v>
      </c>
      <c r="F58" s="19">
        <v>12</v>
      </c>
      <c r="G58" s="19">
        <v>0</v>
      </c>
      <c r="H58" s="19">
        <v>35</v>
      </c>
      <c r="I58" s="19">
        <f>-H58</f>
        <v>-35</v>
      </c>
      <c r="J58" s="18" t="s">
        <v>15</v>
      </c>
      <c r="K58" s="18" t="s">
        <v>15</v>
      </c>
      <c r="L58" s="18" t="s">
        <v>2307</v>
      </c>
      <c r="M58" s="18"/>
      <c r="N58" s="18"/>
      <c r="O58" s="18"/>
      <c r="P58" s="18"/>
      <c r="Q58" s="18">
        <v>1</v>
      </c>
      <c r="R58" s="17">
        <f>H58</f>
        <v>35</v>
      </c>
    </row>
    <row r="59" spans="1:18" customFormat="1" x14ac:dyDescent="0.25">
      <c r="A59" s="18" t="s">
        <v>96</v>
      </c>
      <c r="B59" s="18" t="s">
        <v>34</v>
      </c>
      <c r="C59" s="18" t="s">
        <v>1971</v>
      </c>
      <c r="D59" s="18"/>
      <c r="E59" s="18" t="s">
        <v>2443</v>
      </c>
      <c r="F59" s="18" t="s">
        <v>19</v>
      </c>
      <c r="G59" s="19">
        <v>275</v>
      </c>
      <c r="H59" s="19">
        <v>25</v>
      </c>
      <c r="I59" s="19">
        <f>G59-H59</f>
        <v>250</v>
      </c>
      <c r="J59" s="18" t="s">
        <v>15</v>
      </c>
      <c r="K59" s="18" t="s">
        <v>15</v>
      </c>
      <c r="L59" s="18" t="s">
        <v>2307</v>
      </c>
      <c r="M59" s="18"/>
      <c r="N59" s="18"/>
      <c r="O59" s="18"/>
      <c r="P59" s="18"/>
      <c r="Q59" s="18">
        <v>1</v>
      </c>
    </row>
    <row r="60" spans="1:18" customFormat="1" x14ac:dyDescent="0.25">
      <c r="A60" s="18" t="s">
        <v>96</v>
      </c>
      <c r="B60" s="18" t="s">
        <v>34</v>
      </c>
      <c r="C60" s="18" t="s">
        <v>312</v>
      </c>
      <c r="D60" s="18"/>
      <c r="E60" s="18" t="s">
        <v>313</v>
      </c>
      <c r="F60" s="18" t="s">
        <v>20</v>
      </c>
      <c r="G60" s="19">
        <v>30</v>
      </c>
      <c r="H60" s="19">
        <v>30</v>
      </c>
      <c r="I60" s="19">
        <f>G60-H60</f>
        <v>0</v>
      </c>
      <c r="J60" s="18" t="s">
        <v>15</v>
      </c>
      <c r="K60" s="18" t="s">
        <v>15</v>
      </c>
      <c r="L60" s="18" t="s">
        <v>2307</v>
      </c>
      <c r="M60" s="18"/>
      <c r="N60" s="18"/>
      <c r="O60" s="18"/>
      <c r="P60" s="18"/>
      <c r="Q60" s="18">
        <v>1</v>
      </c>
    </row>
    <row r="61" spans="1:18" customFormat="1" x14ac:dyDescent="0.25">
      <c r="A61" s="18"/>
      <c r="B61" s="18" t="s">
        <v>34</v>
      </c>
      <c r="C61" s="18" t="s">
        <v>2444</v>
      </c>
      <c r="D61" s="18" t="s">
        <v>2445</v>
      </c>
      <c r="E61" s="18" t="s">
        <v>2446</v>
      </c>
      <c r="F61" s="19">
        <v>5</v>
      </c>
      <c r="G61" s="19">
        <v>0</v>
      </c>
      <c r="H61" s="19">
        <v>25</v>
      </c>
      <c r="I61" s="19">
        <f>-H61</f>
        <v>-25</v>
      </c>
      <c r="J61" s="18" t="s">
        <v>160</v>
      </c>
      <c r="K61" s="18" t="s">
        <v>15</v>
      </c>
      <c r="L61" s="18" t="s">
        <v>2307</v>
      </c>
      <c r="M61" s="18"/>
      <c r="N61" s="18"/>
      <c r="O61" s="18"/>
      <c r="P61" s="18"/>
      <c r="Q61" s="18">
        <v>1</v>
      </c>
      <c r="R61" s="17">
        <f>H61</f>
        <v>25</v>
      </c>
    </row>
    <row r="63" spans="1:18" x14ac:dyDescent="0.25">
      <c r="G63" s="1">
        <f t="shared" ref="G63:R63" si="5">SUBTOTAL(9,G3:G62)</f>
        <v>36340</v>
      </c>
      <c r="H63" s="1">
        <f t="shared" si="5"/>
        <v>1600</v>
      </c>
      <c r="I63" s="1">
        <f t="shared" si="5"/>
        <v>34740</v>
      </c>
      <c r="J63" s="1">
        <f t="shared" si="5"/>
        <v>0</v>
      </c>
      <c r="K63" s="1">
        <f t="shared" si="5"/>
        <v>0</v>
      </c>
      <c r="L63" s="1">
        <f t="shared" si="5"/>
        <v>0</v>
      </c>
      <c r="M63" s="1">
        <f t="shared" si="5"/>
        <v>0</v>
      </c>
      <c r="N63" s="1">
        <f t="shared" si="5"/>
        <v>0</v>
      </c>
      <c r="O63" s="1">
        <f t="shared" si="5"/>
        <v>0</v>
      </c>
      <c r="P63" s="1">
        <f t="shared" si="5"/>
        <v>0</v>
      </c>
      <c r="Q63" s="1">
        <f t="shared" si="5"/>
        <v>59</v>
      </c>
      <c r="R63" s="1">
        <f t="shared" si="5"/>
        <v>440</v>
      </c>
    </row>
    <row r="67" spans="8:10" ht="20.25" customHeight="1" x14ac:dyDescent="0.3">
      <c r="H67" s="4" t="s">
        <v>2449</v>
      </c>
      <c r="I67" s="5" t="s">
        <v>21</v>
      </c>
      <c r="J67" s="6" t="s">
        <v>22</v>
      </c>
    </row>
    <row r="68" spans="8:10" ht="15.75" customHeight="1" x14ac:dyDescent="0.25">
      <c r="H68" s="7" t="s">
        <v>23</v>
      </c>
      <c r="I68" s="8">
        <f>SUM(I62:I66)</f>
        <v>34740</v>
      </c>
      <c r="J68" s="8">
        <f>Q63</f>
        <v>59</v>
      </c>
    </row>
    <row r="69" spans="8:10" x14ac:dyDescent="0.25">
      <c r="H69" s="9" t="s">
        <v>24</v>
      </c>
      <c r="I69" s="10">
        <f>R63</f>
        <v>440</v>
      </c>
      <c r="J69" s="11"/>
    </row>
    <row r="70" spans="8:10" x14ac:dyDescent="0.25">
      <c r="H70" s="9" t="s">
        <v>25</v>
      </c>
      <c r="I70" s="10">
        <f>S62</f>
        <v>0</v>
      </c>
      <c r="J70" s="11"/>
    </row>
    <row r="71" spans="8:10" x14ac:dyDescent="0.25">
      <c r="H71" s="9" t="s">
        <v>26</v>
      </c>
      <c r="I71" s="10">
        <f>T62</f>
        <v>0</v>
      </c>
      <c r="J71" s="11"/>
    </row>
    <row r="72" spans="8:10" x14ac:dyDescent="0.25">
      <c r="H72" s="9" t="s">
        <v>27</v>
      </c>
      <c r="I72" s="10">
        <f>U62</f>
        <v>0</v>
      </c>
      <c r="J72" s="11"/>
    </row>
    <row r="73" spans="8:10" ht="15.75" customHeight="1" x14ac:dyDescent="0.25">
      <c r="H73" s="12" t="s">
        <v>28</v>
      </c>
      <c r="I73" s="13"/>
      <c r="J73" s="13"/>
    </row>
    <row r="74" spans="8:10" ht="15.75" customHeight="1" x14ac:dyDescent="0.25">
      <c r="H74" s="14" t="s">
        <v>29</v>
      </c>
      <c r="I74" s="13"/>
      <c r="J74" s="13"/>
    </row>
    <row r="75" spans="8:10" ht="21" customHeight="1" x14ac:dyDescent="0.35">
      <c r="H75" s="15" t="s">
        <v>30</v>
      </c>
      <c r="I75" s="16">
        <f>SUM(I68:I74)</f>
        <v>35180</v>
      </c>
      <c r="J75" s="16">
        <f>SUM(J68:J72)</f>
        <v>59</v>
      </c>
    </row>
  </sheetData>
  <autoFilter ref="A2:P61" xr:uid="{00000000-0009-0000-0000-000006000000}">
    <sortState xmlns:xlrd2="http://schemas.microsoft.com/office/spreadsheetml/2017/richdata2" ref="A3:P61">
      <sortCondition ref="J2:J61"/>
    </sortState>
  </autoFilter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B07E4-D4CA-4404-A2F2-D869146541C9}">
  <dimension ref="A1:R83"/>
  <sheetViews>
    <sheetView topLeftCell="A50" zoomScaleNormal="100" workbookViewId="0">
      <selection activeCell="M64" sqref="M6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9.140625" style="1" bestFit="1" customWidth="1"/>
    <col min="14" max="16384" width="9.140625" style="1"/>
  </cols>
  <sheetData>
    <row r="1" spans="1:18" x14ac:dyDescent="0.25">
      <c r="B1" s="1" t="s">
        <v>316</v>
      </c>
      <c r="C1" s="1" t="s">
        <v>2451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1704</v>
      </c>
      <c r="D3" s="18" t="s">
        <v>2452</v>
      </c>
      <c r="E3" s="18" t="s">
        <v>1706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56</v>
      </c>
      <c r="K3" s="18" t="s">
        <v>15</v>
      </c>
      <c r="L3" s="18" t="s">
        <v>2453</v>
      </c>
      <c r="M3" s="18"/>
      <c r="N3" s="18"/>
      <c r="O3" s="18"/>
      <c r="P3" s="18"/>
      <c r="Q3" s="18">
        <v>1</v>
      </c>
      <c r="R3" s="17">
        <f>H3</f>
        <v>30</v>
      </c>
    </row>
    <row r="4" spans="1:18" customFormat="1" x14ac:dyDescent="0.25">
      <c r="A4" s="18"/>
      <c r="B4" s="18" t="s">
        <v>34</v>
      </c>
      <c r="C4" s="18" t="s">
        <v>2454</v>
      </c>
      <c r="D4" s="18" t="s">
        <v>2455</v>
      </c>
      <c r="E4" s="18" t="s">
        <v>2456</v>
      </c>
      <c r="F4" s="19">
        <v>7</v>
      </c>
      <c r="G4" s="19">
        <v>0</v>
      </c>
      <c r="H4" s="19">
        <v>30</v>
      </c>
      <c r="I4" s="19">
        <f>-H4</f>
        <v>-30</v>
      </c>
      <c r="J4" s="18" t="s">
        <v>2457</v>
      </c>
      <c r="K4" s="18" t="s">
        <v>15</v>
      </c>
      <c r="L4" s="18" t="s">
        <v>2453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2458</v>
      </c>
      <c r="D5" s="18" t="s">
        <v>2459</v>
      </c>
      <c r="E5" s="18" t="s">
        <v>2460</v>
      </c>
      <c r="F5" s="19">
        <v>8</v>
      </c>
      <c r="G5" s="19">
        <v>690</v>
      </c>
      <c r="H5" s="19">
        <v>30</v>
      </c>
      <c r="I5" s="19">
        <f>G5-H5</f>
        <v>660</v>
      </c>
      <c r="J5" s="18" t="s">
        <v>2457</v>
      </c>
      <c r="K5" s="18" t="s">
        <v>15</v>
      </c>
      <c r="L5" s="18" t="s">
        <v>2453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1212</v>
      </c>
      <c r="D6" s="18" t="s">
        <v>2461</v>
      </c>
      <c r="E6" s="18" t="s">
        <v>1214</v>
      </c>
      <c r="F6" s="18" t="s">
        <v>38</v>
      </c>
      <c r="G6" s="19">
        <v>0</v>
      </c>
      <c r="H6" s="19">
        <v>30</v>
      </c>
      <c r="I6" s="19">
        <f>-H6</f>
        <v>-30</v>
      </c>
      <c r="J6" s="18" t="s">
        <v>2457</v>
      </c>
      <c r="K6" s="18" t="s">
        <v>15</v>
      </c>
      <c r="L6" s="18" t="s">
        <v>2453</v>
      </c>
      <c r="M6" s="18"/>
      <c r="N6" s="18"/>
      <c r="O6" s="18"/>
      <c r="P6" s="18"/>
      <c r="Q6" s="18">
        <v>1</v>
      </c>
      <c r="R6" s="17">
        <f>H6</f>
        <v>30</v>
      </c>
    </row>
    <row r="7" spans="1:18" customFormat="1" x14ac:dyDescent="0.25">
      <c r="A7" s="18"/>
      <c r="B7" s="18" t="s">
        <v>34</v>
      </c>
      <c r="C7" s="18" t="s">
        <v>2462</v>
      </c>
      <c r="D7" s="18" t="s">
        <v>2463</v>
      </c>
      <c r="E7" s="18" t="s">
        <v>2464</v>
      </c>
      <c r="F7" s="18" t="s">
        <v>38</v>
      </c>
      <c r="G7" s="19">
        <v>820</v>
      </c>
      <c r="H7" s="19">
        <v>30</v>
      </c>
      <c r="I7" s="19">
        <f t="shared" ref="I7:I13" si="0">G7-H7</f>
        <v>790</v>
      </c>
      <c r="J7" s="18" t="s">
        <v>2457</v>
      </c>
      <c r="K7" s="18" t="s">
        <v>15</v>
      </c>
      <c r="L7" s="18" t="s">
        <v>2453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1473</v>
      </c>
      <c r="D8" s="18" t="s">
        <v>2465</v>
      </c>
      <c r="E8" s="18" t="s">
        <v>1475</v>
      </c>
      <c r="F8" s="19">
        <v>7</v>
      </c>
      <c r="G8" s="19">
        <v>950</v>
      </c>
      <c r="H8" s="19">
        <v>30</v>
      </c>
      <c r="I8" s="19">
        <f t="shared" si="0"/>
        <v>920</v>
      </c>
      <c r="J8" s="18" t="s">
        <v>2457</v>
      </c>
      <c r="K8" s="18" t="s">
        <v>15</v>
      </c>
      <c r="L8" s="18" t="s">
        <v>2453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730</v>
      </c>
      <c r="D9" s="18" t="s">
        <v>2466</v>
      </c>
      <c r="E9" s="18" t="s">
        <v>2467</v>
      </c>
      <c r="F9" s="19">
        <v>4</v>
      </c>
      <c r="G9" s="19">
        <v>715</v>
      </c>
      <c r="H9" s="19">
        <v>25</v>
      </c>
      <c r="I9" s="19">
        <f t="shared" si="0"/>
        <v>690</v>
      </c>
      <c r="J9" s="18" t="s">
        <v>2457</v>
      </c>
      <c r="K9" s="18" t="s">
        <v>15</v>
      </c>
      <c r="L9" s="18" t="s">
        <v>2453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2468</v>
      </c>
      <c r="D10" s="18" t="s">
        <v>2469</v>
      </c>
      <c r="E10" s="18" t="s">
        <v>2470</v>
      </c>
      <c r="F10" s="19">
        <v>8</v>
      </c>
      <c r="G10" s="19">
        <v>600</v>
      </c>
      <c r="H10" s="19">
        <v>30</v>
      </c>
      <c r="I10" s="19">
        <f t="shared" si="0"/>
        <v>570</v>
      </c>
      <c r="J10" s="18" t="s">
        <v>2457</v>
      </c>
      <c r="K10" s="18" t="s">
        <v>15</v>
      </c>
      <c r="L10" s="18" t="s">
        <v>2453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2392</v>
      </c>
      <c r="D11" s="18" t="s">
        <v>2471</v>
      </c>
      <c r="E11" s="18" t="s">
        <v>1999</v>
      </c>
      <c r="F11" s="19">
        <v>1</v>
      </c>
      <c r="G11" s="19">
        <v>765</v>
      </c>
      <c r="H11" s="19">
        <v>25</v>
      </c>
      <c r="I11" s="19">
        <f t="shared" si="0"/>
        <v>740</v>
      </c>
      <c r="J11" s="18" t="s">
        <v>2457</v>
      </c>
      <c r="K11" s="18" t="s">
        <v>15</v>
      </c>
      <c r="L11" s="18" t="s">
        <v>2453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2472</v>
      </c>
      <c r="D12" s="18" t="s">
        <v>2473</v>
      </c>
      <c r="E12" s="18" t="s">
        <v>2474</v>
      </c>
      <c r="F12" s="18" t="s">
        <v>212</v>
      </c>
      <c r="G12" s="19">
        <v>865</v>
      </c>
      <c r="H12" s="19">
        <v>25</v>
      </c>
      <c r="I12" s="19">
        <f t="shared" si="0"/>
        <v>840</v>
      </c>
      <c r="J12" s="18" t="s">
        <v>2457</v>
      </c>
      <c r="K12" s="18" t="s">
        <v>15</v>
      </c>
      <c r="L12" s="18" t="s">
        <v>2453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2475</v>
      </c>
      <c r="D13" s="18" t="s">
        <v>2476</v>
      </c>
      <c r="E13" s="18" t="s">
        <v>2477</v>
      </c>
      <c r="F13" s="19">
        <v>8</v>
      </c>
      <c r="G13" s="19">
        <v>720</v>
      </c>
      <c r="H13" s="19">
        <v>30</v>
      </c>
      <c r="I13" s="19">
        <f t="shared" si="0"/>
        <v>690</v>
      </c>
      <c r="J13" s="18" t="s">
        <v>2457</v>
      </c>
      <c r="K13" s="18" t="s">
        <v>15</v>
      </c>
      <c r="L13" s="18" t="s">
        <v>2453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2478</v>
      </c>
      <c r="D14" s="18" t="s">
        <v>2479</v>
      </c>
      <c r="E14" s="18" t="s">
        <v>2480</v>
      </c>
      <c r="F14" s="19">
        <v>4</v>
      </c>
      <c r="G14" s="19">
        <v>0</v>
      </c>
      <c r="H14" s="19">
        <v>25</v>
      </c>
      <c r="I14" s="19">
        <f>-H14</f>
        <v>-25</v>
      </c>
      <c r="J14" s="18" t="s">
        <v>2457</v>
      </c>
      <c r="K14" s="18" t="s">
        <v>15</v>
      </c>
      <c r="L14" s="18" t="s">
        <v>2453</v>
      </c>
      <c r="M14" s="18"/>
      <c r="N14" s="18"/>
      <c r="O14" s="18"/>
      <c r="P14" s="18"/>
      <c r="Q14" s="18">
        <v>1</v>
      </c>
      <c r="R14" s="17">
        <f t="shared" ref="R14:R15" si="1">H14</f>
        <v>25</v>
      </c>
    </row>
    <row r="15" spans="1:18" customFormat="1" x14ac:dyDescent="0.25">
      <c r="A15" s="18"/>
      <c r="B15" s="18" t="s">
        <v>34</v>
      </c>
      <c r="C15" s="18" t="s">
        <v>2481</v>
      </c>
      <c r="D15" s="18" t="s">
        <v>2482</v>
      </c>
      <c r="E15" s="18" t="s">
        <v>1024</v>
      </c>
      <c r="F15" s="18" t="s">
        <v>18</v>
      </c>
      <c r="G15" s="19">
        <v>0</v>
      </c>
      <c r="H15" s="19">
        <v>25</v>
      </c>
      <c r="I15" s="19">
        <f>-H15</f>
        <v>-25</v>
      </c>
      <c r="J15" s="18" t="s">
        <v>2457</v>
      </c>
      <c r="K15" s="18" t="s">
        <v>15</v>
      </c>
      <c r="L15" s="18" t="s">
        <v>2453</v>
      </c>
      <c r="M15" s="18"/>
      <c r="N15" s="18"/>
      <c r="O15" s="18"/>
      <c r="P15" s="18"/>
      <c r="Q15" s="18">
        <v>1</v>
      </c>
      <c r="R15" s="17">
        <f t="shared" si="1"/>
        <v>25</v>
      </c>
    </row>
    <row r="16" spans="1:18" customFormat="1" x14ac:dyDescent="0.25">
      <c r="A16" s="18"/>
      <c r="B16" s="18" t="s">
        <v>34</v>
      </c>
      <c r="C16" s="18" t="s">
        <v>1563</v>
      </c>
      <c r="D16" s="18" t="s">
        <v>2483</v>
      </c>
      <c r="E16" s="18" t="s">
        <v>1565</v>
      </c>
      <c r="F16" s="19">
        <v>1</v>
      </c>
      <c r="G16" s="19">
        <v>775</v>
      </c>
      <c r="H16" s="19">
        <v>25</v>
      </c>
      <c r="I16" s="19">
        <f>G16-H16</f>
        <v>750</v>
      </c>
      <c r="J16" s="18" t="s">
        <v>2457</v>
      </c>
      <c r="K16" s="18" t="s">
        <v>15</v>
      </c>
      <c r="L16" s="18" t="s">
        <v>2453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2484</v>
      </c>
      <c r="D17" s="18" t="s">
        <v>2485</v>
      </c>
      <c r="E17" s="18" t="s">
        <v>2486</v>
      </c>
      <c r="F17" s="18" t="s">
        <v>108</v>
      </c>
      <c r="G17" s="19">
        <v>695</v>
      </c>
      <c r="H17" s="19">
        <v>35</v>
      </c>
      <c r="I17" s="19">
        <f>G17-H17</f>
        <v>660</v>
      </c>
      <c r="J17" s="18" t="s">
        <v>2457</v>
      </c>
      <c r="K17" s="18" t="s">
        <v>15</v>
      </c>
      <c r="L17" s="18" t="s">
        <v>2453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2487</v>
      </c>
      <c r="D18" s="18" t="s">
        <v>2488</v>
      </c>
      <c r="E18" s="18" t="s">
        <v>2489</v>
      </c>
      <c r="F18" s="18" t="s">
        <v>108</v>
      </c>
      <c r="G18" s="19">
        <v>0</v>
      </c>
      <c r="H18" s="19">
        <v>35</v>
      </c>
      <c r="I18" s="19">
        <f>-H18</f>
        <v>-35</v>
      </c>
      <c r="J18" s="18" t="s">
        <v>2457</v>
      </c>
      <c r="K18" s="18" t="s">
        <v>15</v>
      </c>
      <c r="L18" s="18" t="s">
        <v>2453</v>
      </c>
      <c r="M18" s="26" t="s">
        <v>2490</v>
      </c>
      <c r="N18" s="18"/>
      <c r="O18" s="18"/>
      <c r="P18" s="18"/>
      <c r="Q18" s="18">
        <v>1</v>
      </c>
      <c r="R18" s="17">
        <f t="shared" ref="R18:R19" si="2">H18</f>
        <v>35</v>
      </c>
    </row>
    <row r="19" spans="1:18" customFormat="1" x14ac:dyDescent="0.25">
      <c r="A19" s="18"/>
      <c r="B19" s="18" t="s">
        <v>34</v>
      </c>
      <c r="C19" s="18" t="s">
        <v>2487</v>
      </c>
      <c r="D19" s="18" t="s">
        <v>2491</v>
      </c>
      <c r="E19" s="18" t="s">
        <v>2489</v>
      </c>
      <c r="F19" s="18" t="s">
        <v>108</v>
      </c>
      <c r="G19" s="19">
        <v>0</v>
      </c>
      <c r="H19" s="19">
        <v>0</v>
      </c>
      <c r="I19" s="19">
        <f>H19</f>
        <v>0</v>
      </c>
      <c r="J19" s="18" t="s">
        <v>2457</v>
      </c>
      <c r="K19" s="18" t="s">
        <v>15</v>
      </c>
      <c r="L19" s="18" t="s">
        <v>2453</v>
      </c>
      <c r="M19" s="26" t="s">
        <v>307</v>
      </c>
      <c r="N19" s="18"/>
      <c r="O19" s="18"/>
      <c r="P19" s="18"/>
      <c r="Q19" s="18">
        <v>1</v>
      </c>
      <c r="R19" s="17">
        <f t="shared" si="2"/>
        <v>0</v>
      </c>
    </row>
    <row r="20" spans="1:18" customFormat="1" x14ac:dyDescent="0.25">
      <c r="A20" s="18"/>
      <c r="B20" s="18" t="s">
        <v>34</v>
      </c>
      <c r="C20" s="18" t="s">
        <v>2492</v>
      </c>
      <c r="D20" s="18" t="s">
        <v>2493</v>
      </c>
      <c r="E20" s="18" t="s">
        <v>2494</v>
      </c>
      <c r="F20" s="19">
        <v>4</v>
      </c>
      <c r="G20" s="19">
        <v>815</v>
      </c>
      <c r="H20" s="19">
        <v>25</v>
      </c>
      <c r="I20" s="19">
        <f>G20-H20</f>
        <v>790</v>
      </c>
      <c r="J20" s="18" t="s">
        <v>2457</v>
      </c>
      <c r="K20" s="18" t="s">
        <v>15</v>
      </c>
      <c r="L20" s="18" t="s">
        <v>2453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2495</v>
      </c>
      <c r="D21" s="18" t="s">
        <v>2496</v>
      </c>
      <c r="E21" s="18" t="s">
        <v>2497</v>
      </c>
      <c r="F21" s="19">
        <v>3</v>
      </c>
      <c r="G21" s="19">
        <v>685</v>
      </c>
      <c r="H21" s="19">
        <v>25</v>
      </c>
      <c r="I21" s="19">
        <f>G21-H21</f>
        <v>660</v>
      </c>
      <c r="J21" s="18" t="s">
        <v>2457</v>
      </c>
      <c r="K21" s="18" t="s">
        <v>15</v>
      </c>
      <c r="L21" s="18" t="s">
        <v>2453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2498</v>
      </c>
      <c r="D22" s="18" t="s">
        <v>2499</v>
      </c>
      <c r="E22" s="18" t="s">
        <v>2500</v>
      </c>
      <c r="F22" s="18" t="s">
        <v>212</v>
      </c>
      <c r="G22" s="19">
        <v>1635</v>
      </c>
      <c r="H22" s="19">
        <v>25</v>
      </c>
      <c r="I22" s="19">
        <f>G22-H22</f>
        <v>1610</v>
      </c>
      <c r="J22" s="18" t="s">
        <v>2457</v>
      </c>
      <c r="K22" s="18" t="s">
        <v>15</v>
      </c>
      <c r="L22" s="18" t="s">
        <v>2453</v>
      </c>
      <c r="M22" s="26" t="s">
        <v>307</v>
      </c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2498</v>
      </c>
      <c r="D23" s="18" t="s">
        <v>2501</v>
      </c>
      <c r="E23" s="18" t="s">
        <v>2502</v>
      </c>
      <c r="F23" s="18" t="s">
        <v>212</v>
      </c>
      <c r="G23" s="19">
        <v>0</v>
      </c>
      <c r="H23" s="19">
        <v>0</v>
      </c>
      <c r="I23" s="19">
        <f>H23</f>
        <v>0</v>
      </c>
      <c r="J23" s="18" t="s">
        <v>2457</v>
      </c>
      <c r="K23" s="18" t="s">
        <v>15</v>
      </c>
      <c r="L23" s="18" t="s">
        <v>2453</v>
      </c>
      <c r="M23" s="26" t="s">
        <v>307</v>
      </c>
      <c r="N23" s="18"/>
      <c r="O23" s="18"/>
      <c r="P23" s="18"/>
      <c r="Q23" s="18">
        <v>1</v>
      </c>
      <c r="R23" s="17">
        <f>H23</f>
        <v>0</v>
      </c>
    </row>
    <row r="24" spans="1:18" customFormat="1" x14ac:dyDescent="0.25">
      <c r="A24" s="18"/>
      <c r="B24" s="18" t="s">
        <v>34</v>
      </c>
      <c r="C24" s="18" t="s">
        <v>2503</v>
      </c>
      <c r="D24" s="18" t="s">
        <v>2504</v>
      </c>
      <c r="E24" s="18" t="s">
        <v>2505</v>
      </c>
      <c r="F24" s="19">
        <v>12</v>
      </c>
      <c r="G24" s="19">
        <v>980</v>
      </c>
      <c r="H24" s="19">
        <v>30</v>
      </c>
      <c r="I24" s="19">
        <f t="shared" ref="I24:I29" si="3">G24-H24</f>
        <v>950</v>
      </c>
      <c r="J24" s="18" t="s">
        <v>2457</v>
      </c>
      <c r="K24" s="18" t="s">
        <v>15</v>
      </c>
      <c r="L24" s="18" t="s">
        <v>2453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2506</v>
      </c>
      <c r="D25" s="18" t="s">
        <v>2507</v>
      </c>
      <c r="E25" s="18" t="s">
        <v>2508</v>
      </c>
      <c r="F25" s="18" t="s">
        <v>38</v>
      </c>
      <c r="G25" s="19">
        <v>820</v>
      </c>
      <c r="H25" s="19">
        <v>30</v>
      </c>
      <c r="I25" s="19">
        <f t="shared" si="3"/>
        <v>790</v>
      </c>
      <c r="J25" s="18" t="s">
        <v>2457</v>
      </c>
      <c r="K25" s="18" t="s">
        <v>15</v>
      </c>
      <c r="L25" s="18" t="s">
        <v>2453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78</v>
      </c>
      <c r="D26" s="18" t="s">
        <v>2509</v>
      </c>
      <c r="E26" s="18" t="s">
        <v>1205</v>
      </c>
      <c r="F26" s="19">
        <v>7</v>
      </c>
      <c r="G26" s="19">
        <v>1090</v>
      </c>
      <c r="H26" s="19">
        <v>30</v>
      </c>
      <c r="I26" s="19">
        <f t="shared" si="3"/>
        <v>1060</v>
      </c>
      <c r="J26" s="18" t="s">
        <v>2457</v>
      </c>
      <c r="K26" s="18" t="s">
        <v>15</v>
      </c>
      <c r="L26" s="18" t="s">
        <v>2453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2510</v>
      </c>
      <c r="D27" s="18" t="s">
        <v>2511</v>
      </c>
      <c r="E27" s="18" t="s">
        <v>2512</v>
      </c>
      <c r="F27" s="19">
        <v>1</v>
      </c>
      <c r="G27" s="19">
        <v>815</v>
      </c>
      <c r="H27" s="19">
        <v>25</v>
      </c>
      <c r="I27" s="19">
        <f t="shared" si="3"/>
        <v>790</v>
      </c>
      <c r="J27" s="18" t="s">
        <v>2457</v>
      </c>
      <c r="K27" s="18" t="s">
        <v>15</v>
      </c>
      <c r="L27" s="18" t="s">
        <v>2453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2513</v>
      </c>
      <c r="D28" s="18" t="s">
        <v>2514</v>
      </c>
      <c r="E28" s="18" t="s">
        <v>2515</v>
      </c>
      <c r="F28" s="18" t="s">
        <v>123</v>
      </c>
      <c r="G28" s="19">
        <v>985</v>
      </c>
      <c r="H28" s="19">
        <v>35</v>
      </c>
      <c r="I28" s="19">
        <f t="shared" si="3"/>
        <v>950</v>
      </c>
      <c r="J28" s="18" t="s">
        <v>2457</v>
      </c>
      <c r="K28" s="18" t="s">
        <v>15</v>
      </c>
      <c r="L28" s="18" t="s">
        <v>2453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2516</v>
      </c>
      <c r="D29" s="18" t="s">
        <v>2517</v>
      </c>
      <c r="E29" s="18" t="s">
        <v>2518</v>
      </c>
      <c r="F29" s="19">
        <v>7</v>
      </c>
      <c r="G29" s="19">
        <v>720</v>
      </c>
      <c r="H29" s="19">
        <v>30</v>
      </c>
      <c r="I29" s="19">
        <f t="shared" si="3"/>
        <v>690</v>
      </c>
      <c r="J29" s="18" t="s">
        <v>2457</v>
      </c>
      <c r="K29" s="18" t="s">
        <v>15</v>
      </c>
      <c r="L29" s="18" t="s">
        <v>2453</v>
      </c>
      <c r="M29" s="18"/>
      <c r="N29" s="18"/>
      <c r="O29" s="18"/>
      <c r="P29" s="18"/>
      <c r="Q29" s="18">
        <v>1</v>
      </c>
    </row>
    <row r="30" spans="1:18" s="22" customFormat="1" x14ac:dyDescent="0.25">
      <c r="A30" s="20"/>
      <c r="B30" s="20" t="s">
        <v>34</v>
      </c>
      <c r="C30" s="20" t="s">
        <v>1005</v>
      </c>
      <c r="D30" s="20" t="s">
        <v>2519</v>
      </c>
      <c r="E30" s="20" t="s">
        <v>1007</v>
      </c>
      <c r="F30" s="21">
        <v>1</v>
      </c>
      <c r="G30" s="21">
        <v>0</v>
      </c>
      <c r="H30" s="21">
        <v>25</v>
      </c>
      <c r="I30" s="21">
        <f>-H30</f>
        <v>-25</v>
      </c>
      <c r="J30" s="20" t="s">
        <v>2457</v>
      </c>
      <c r="K30" s="20" t="s">
        <v>15</v>
      </c>
      <c r="L30" s="20" t="s">
        <v>2453</v>
      </c>
      <c r="M30" s="20" t="s">
        <v>16</v>
      </c>
      <c r="N30" s="20"/>
      <c r="O30" s="20"/>
      <c r="P30" s="20"/>
      <c r="Q30" s="20">
        <v>1</v>
      </c>
      <c r="R30" s="29">
        <f>H30</f>
        <v>25</v>
      </c>
    </row>
    <row r="31" spans="1:18" customFormat="1" x14ac:dyDescent="0.25">
      <c r="A31" s="18"/>
      <c r="B31" s="18" t="s">
        <v>34</v>
      </c>
      <c r="C31" s="18" t="s">
        <v>2520</v>
      </c>
      <c r="D31" s="18" t="s">
        <v>2521</v>
      </c>
      <c r="E31" s="18" t="s">
        <v>2522</v>
      </c>
      <c r="F31" s="19">
        <v>7</v>
      </c>
      <c r="G31" s="19">
        <v>870</v>
      </c>
      <c r="H31" s="19">
        <v>30</v>
      </c>
      <c r="I31" s="19">
        <f>G31-H31</f>
        <v>840</v>
      </c>
      <c r="J31" s="18" t="s">
        <v>2457</v>
      </c>
      <c r="K31" s="18" t="s">
        <v>15</v>
      </c>
      <c r="L31" s="18" t="s">
        <v>2453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242</v>
      </c>
      <c r="D32" s="18" t="s">
        <v>2523</v>
      </c>
      <c r="E32" s="18" t="s">
        <v>244</v>
      </c>
      <c r="F32" s="18" t="s">
        <v>123</v>
      </c>
      <c r="G32" s="19">
        <v>885</v>
      </c>
      <c r="H32" s="19">
        <v>35</v>
      </c>
      <c r="I32" s="19">
        <f>G32-H32</f>
        <v>850</v>
      </c>
      <c r="J32" s="18" t="s">
        <v>2457</v>
      </c>
      <c r="K32" s="18" t="s">
        <v>15</v>
      </c>
      <c r="L32" s="18" t="s">
        <v>2453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1463</v>
      </c>
      <c r="D33" s="18" t="s">
        <v>2524</v>
      </c>
      <c r="E33" s="18" t="s">
        <v>2525</v>
      </c>
      <c r="F33" s="19">
        <v>7</v>
      </c>
      <c r="G33" s="19">
        <v>1610</v>
      </c>
      <c r="H33" s="19">
        <v>30</v>
      </c>
      <c r="I33" s="19">
        <f>G33-H33</f>
        <v>1580</v>
      </c>
      <c r="J33" s="18" t="s">
        <v>2457</v>
      </c>
      <c r="K33" s="18" t="s">
        <v>15</v>
      </c>
      <c r="L33" s="18" t="s">
        <v>2453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2526</v>
      </c>
      <c r="D34" s="18" t="s">
        <v>2527</v>
      </c>
      <c r="E34" s="18" t="s">
        <v>2528</v>
      </c>
      <c r="F34" s="19">
        <v>10</v>
      </c>
      <c r="G34" s="19">
        <v>815</v>
      </c>
      <c r="H34" s="19">
        <v>25</v>
      </c>
      <c r="I34" s="19">
        <f>G34-H34</f>
        <v>790</v>
      </c>
      <c r="J34" s="18" t="s">
        <v>2457</v>
      </c>
      <c r="K34" s="18" t="s">
        <v>15</v>
      </c>
      <c r="L34" s="18" t="s">
        <v>2453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2529</v>
      </c>
      <c r="D35" s="18" t="s">
        <v>2530</v>
      </c>
      <c r="E35" s="18" t="s">
        <v>2531</v>
      </c>
      <c r="F35" s="19">
        <v>7</v>
      </c>
      <c r="G35" s="19">
        <v>1610</v>
      </c>
      <c r="H35" s="19">
        <v>30</v>
      </c>
      <c r="I35" s="19">
        <f>G35-H35</f>
        <v>1580</v>
      </c>
      <c r="J35" s="18" t="s">
        <v>2457</v>
      </c>
      <c r="K35" s="18" t="s">
        <v>15</v>
      </c>
      <c r="L35" s="18" t="s">
        <v>2453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2532</v>
      </c>
      <c r="D36" s="18" t="s">
        <v>2533</v>
      </c>
      <c r="E36" s="18" t="s">
        <v>2534</v>
      </c>
      <c r="F36" s="19">
        <v>1</v>
      </c>
      <c r="G36" s="19">
        <v>0</v>
      </c>
      <c r="H36" s="19">
        <v>25</v>
      </c>
      <c r="I36" s="19">
        <f>-H36</f>
        <v>-25</v>
      </c>
      <c r="J36" s="18" t="s">
        <v>2457</v>
      </c>
      <c r="K36" s="18" t="s">
        <v>15</v>
      </c>
      <c r="L36" s="18" t="s">
        <v>2453</v>
      </c>
      <c r="M36" s="18"/>
      <c r="N36" s="18"/>
      <c r="O36" s="18"/>
      <c r="P36" s="18"/>
      <c r="Q36" s="18">
        <v>1</v>
      </c>
      <c r="R36" s="17">
        <f>H36</f>
        <v>25</v>
      </c>
    </row>
    <row r="37" spans="1:18" s="22" customFormat="1" x14ac:dyDescent="0.25">
      <c r="A37" s="20"/>
      <c r="B37" s="20" t="s">
        <v>34</v>
      </c>
      <c r="C37" s="20" t="s">
        <v>1848</v>
      </c>
      <c r="D37" s="20" t="s">
        <v>2535</v>
      </c>
      <c r="E37" s="20" t="s">
        <v>1850</v>
      </c>
      <c r="F37" s="21">
        <v>7</v>
      </c>
      <c r="G37" s="21">
        <v>150</v>
      </c>
      <c r="H37" s="21">
        <v>30</v>
      </c>
      <c r="I37" s="21">
        <f>G37-H37</f>
        <v>120</v>
      </c>
      <c r="J37" s="20" t="s">
        <v>2457</v>
      </c>
      <c r="K37" s="20" t="s">
        <v>15</v>
      </c>
      <c r="L37" s="20" t="s">
        <v>2453</v>
      </c>
      <c r="M37" s="20" t="s">
        <v>16</v>
      </c>
      <c r="N37" s="20"/>
      <c r="O37" s="20"/>
      <c r="P37" s="20"/>
      <c r="Q37" s="20">
        <v>1</v>
      </c>
    </row>
    <row r="38" spans="1:18" customFormat="1" x14ac:dyDescent="0.25">
      <c r="A38" s="18"/>
      <c r="B38" s="18" t="s">
        <v>34</v>
      </c>
      <c r="C38" s="18" t="s">
        <v>2536</v>
      </c>
      <c r="D38" s="18" t="s">
        <v>2537</v>
      </c>
      <c r="E38" s="18" t="s">
        <v>2538</v>
      </c>
      <c r="F38" s="18" t="s">
        <v>38</v>
      </c>
      <c r="G38" s="19">
        <v>840</v>
      </c>
      <c r="H38" s="19">
        <v>30</v>
      </c>
      <c r="I38" s="19">
        <f>G38-H38</f>
        <v>810</v>
      </c>
      <c r="J38" s="18" t="s">
        <v>2457</v>
      </c>
      <c r="K38" s="18" t="s">
        <v>15</v>
      </c>
      <c r="L38" s="18" t="s">
        <v>2453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2539</v>
      </c>
      <c r="D39" s="18" t="s">
        <v>2540</v>
      </c>
      <c r="E39" s="18" t="s">
        <v>2541</v>
      </c>
      <c r="F39" s="19">
        <v>8</v>
      </c>
      <c r="G39" s="19">
        <v>0</v>
      </c>
      <c r="H39" s="19">
        <v>25</v>
      </c>
      <c r="I39" s="19">
        <f>-H39</f>
        <v>-25</v>
      </c>
      <c r="J39" s="18" t="s">
        <v>2457</v>
      </c>
      <c r="K39" s="18" t="s">
        <v>15</v>
      </c>
      <c r="L39" s="18" t="s">
        <v>2453</v>
      </c>
      <c r="M39" s="18"/>
      <c r="N39" s="18"/>
      <c r="O39" s="18"/>
      <c r="P39" s="18"/>
      <c r="Q39" s="18">
        <v>1</v>
      </c>
      <c r="R39" s="17">
        <f>H39</f>
        <v>25</v>
      </c>
    </row>
    <row r="40" spans="1:18" customFormat="1" x14ac:dyDescent="0.25">
      <c r="A40" s="18"/>
      <c r="B40" s="18" t="s">
        <v>34</v>
      </c>
      <c r="C40" s="18" t="s">
        <v>2542</v>
      </c>
      <c r="D40" s="18" t="s">
        <v>2543</v>
      </c>
      <c r="E40" s="18" t="s">
        <v>2544</v>
      </c>
      <c r="F40" s="19">
        <v>4</v>
      </c>
      <c r="G40" s="19">
        <v>2410</v>
      </c>
      <c r="H40" s="19">
        <v>25</v>
      </c>
      <c r="I40" s="19">
        <f>G40-H40</f>
        <v>2385</v>
      </c>
      <c r="J40" s="18" t="s">
        <v>2457</v>
      </c>
      <c r="K40" s="18" t="s">
        <v>15</v>
      </c>
      <c r="L40" s="18" t="s">
        <v>2453</v>
      </c>
      <c r="M40" s="26" t="s">
        <v>377</v>
      </c>
      <c r="N40" s="18"/>
      <c r="O40" s="18"/>
      <c r="P40" s="18"/>
      <c r="Q40" s="18">
        <v>1</v>
      </c>
      <c r="R40" s="17">
        <f>H40</f>
        <v>25</v>
      </c>
    </row>
    <row r="41" spans="1:18" customFormat="1" x14ac:dyDescent="0.25">
      <c r="A41" s="18" t="s">
        <v>96</v>
      </c>
      <c r="B41" s="18" t="s">
        <v>34</v>
      </c>
      <c r="C41" s="18" t="s">
        <v>99</v>
      </c>
      <c r="D41" s="18"/>
      <c r="E41" s="18" t="s">
        <v>100</v>
      </c>
      <c r="F41" s="19">
        <v>6</v>
      </c>
      <c r="G41" s="19">
        <v>0</v>
      </c>
      <c r="H41" s="19">
        <v>30</v>
      </c>
      <c r="I41" s="19">
        <f>-H41</f>
        <v>-30</v>
      </c>
      <c r="J41" s="18" t="s">
        <v>2457</v>
      </c>
      <c r="K41" s="18" t="s">
        <v>15</v>
      </c>
      <c r="L41" s="18" t="s">
        <v>2453</v>
      </c>
      <c r="M41" s="18"/>
      <c r="N41" s="18"/>
      <c r="O41" s="18"/>
      <c r="P41" s="18"/>
      <c r="Q41" s="18">
        <v>1</v>
      </c>
      <c r="R41" s="17">
        <f t="shared" ref="R41:R42" si="4">H41</f>
        <v>30</v>
      </c>
    </row>
    <row r="42" spans="1:18" customFormat="1" x14ac:dyDescent="0.25">
      <c r="A42" s="18"/>
      <c r="B42" s="18" t="s">
        <v>34</v>
      </c>
      <c r="C42" s="18" t="s">
        <v>2545</v>
      </c>
      <c r="D42" s="18" t="s">
        <v>2546</v>
      </c>
      <c r="E42" s="18" t="s">
        <v>2547</v>
      </c>
      <c r="F42" s="18" t="s">
        <v>19</v>
      </c>
      <c r="G42" s="19">
        <v>0</v>
      </c>
      <c r="H42" s="19">
        <v>20</v>
      </c>
      <c r="I42" s="19">
        <f>-H42</f>
        <v>-20</v>
      </c>
      <c r="J42" s="18" t="s">
        <v>15</v>
      </c>
      <c r="K42" s="18" t="s">
        <v>15</v>
      </c>
      <c r="L42" s="18" t="s">
        <v>2453</v>
      </c>
      <c r="M42" s="18"/>
      <c r="N42" s="18"/>
      <c r="O42" s="18"/>
      <c r="P42" s="18"/>
      <c r="Q42" s="18">
        <v>1</v>
      </c>
      <c r="R42" s="17">
        <f t="shared" si="4"/>
        <v>20</v>
      </c>
    </row>
    <row r="43" spans="1:18" s="22" customFormat="1" x14ac:dyDescent="0.25">
      <c r="A43" s="20"/>
      <c r="B43" s="20" t="s">
        <v>34</v>
      </c>
      <c r="C43" s="20" t="s">
        <v>2234</v>
      </c>
      <c r="D43" s="20" t="s">
        <v>2548</v>
      </c>
      <c r="E43" s="20" t="s">
        <v>2549</v>
      </c>
      <c r="F43" s="20" t="s">
        <v>144</v>
      </c>
      <c r="G43" s="21">
        <v>30</v>
      </c>
      <c r="H43" s="21">
        <v>30</v>
      </c>
      <c r="I43" s="21">
        <f t="shared" ref="I43:I48" si="5">G43-H43</f>
        <v>0</v>
      </c>
      <c r="J43" s="20" t="s">
        <v>15</v>
      </c>
      <c r="K43" s="20" t="s">
        <v>15</v>
      </c>
      <c r="L43" s="20" t="s">
        <v>2453</v>
      </c>
      <c r="M43" s="20" t="s">
        <v>16</v>
      </c>
      <c r="N43" s="20"/>
      <c r="O43" s="20"/>
      <c r="P43" s="20"/>
      <c r="Q43" s="20">
        <v>1</v>
      </c>
    </row>
    <row r="44" spans="1:18" customFormat="1" x14ac:dyDescent="0.25">
      <c r="A44" s="18"/>
      <c r="B44" s="18" t="s">
        <v>34</v>
      </c>
      <c r="C44" s="18" t="s">
        <v>2550</v>
      </c>
      <c r="D44" s="18" t="s">
        <v>2551</v>
      </c>
      <c r="E44" s="18" t="s">
        <v>2552</v>
      </c>
      <c r="F44" s="18" t="s">
        <v>19</v>
      </c>
      <c r="G44" s="19">
        <v>810</v>
      </c>
      <c r="H44" s="19">
        <v>20</v>
      </c>
      <c r="I44" s="19">
        <f t="shared" si="5"/>
        <v>790</v>
      </c>
      <c r="J44" s="18" t="s">
        <v>15</v>
      </c>
      <c r="K44" s="18" t="s">
        <v>15</v>
      </c>
      <c r="L44" s="18" t="s">
        <v>2453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2553</v>
      </c>
      <c r="D45" s="18" t="s">
        <v>2554</v>
      </c>
      <c r="E45" s="18" t="s">
        <v>763</v>
      </c>
      <c r="F45" s="19">
        <v>1</v>
      </c>
      <c r="G45" s="19">
        <v>815</v>
      </c>
      <c r="H45" s="19">
        <v>25</v>
      </c>
      <c r="I45" s="19">
        <f t="shared" si="5"/>
        <v>790</v>
      </c>
      <c r="J45" s="18" t="s">
        <v>15</v>
      </c>
      <c r="K45" s="18" t="s">
        <v>15</v>
      </c>
      <c r="L45" s="18" t="s">
        <v>2453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2555</v>
      </c>
      <c r="D46" s="18" t="s">
        <v>2556</v>
      </c>
      <c r="E46" s="18" t="s">
        <v>2557</v>
      </c>
      <c r="F46" s="18" t="s">
        <v>20</v>
      </c>
      <c r="G46" s="19">
        <v>1795</v>
      </c>
      <c r="H46" s="19">
        <v>25</v>
      </c>
      <c r="I46" s="19">
        <f t="shared" si="5"/>
        <v>1770</v>
      </c>
      <c r="J46" s="18" t="s">
        <v>15</v>
      </c>
      <c r="K46" s="18" t="s">
        <v>15</v>
      </c>
      <c r="L46" s="18" t="s">
        <v>2453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2558</v>
      </c>
      <c r="D47" s="18" t="s">
        <v>2559</v>
      </c>
      <c r="E47" s="18" t="s">
        <v>2560</v>
      </c>
      <c r="F47" s="19">
        <v>1</v>
      </c>
      <c r="G47" s="19">
        <v>2050</v>
      </c>
      <c r="H47" s="19">
        <v>25</v>
      </c>
      <c r="I47" s="19">
        <f t="shared" si="5"/>
        <v>2025</v>
      </c>
      <c r="J47" s="18" t="s">
        <v>15</v>
      </c>
      <c r="K47" s="18" t="s">
        <v>15</v>
      </c>
      <c r="L47" s="18" t="s">
        <v>2453</v>
      </c>
      <c r="M47" s="26" t="s">
        <v>377</v>
      </c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356</v>
      </c>
      <c r="D48" s="18" t="s">
        <v>2561</v>
      </c>
      <c r="E48" s="18" t="s">
        <v>957</v>
      </c>
      <c r="F48" s="18" t="s">
        <v>20</v>
      </c>
      <c r="G48" s="19">
        <v>1215</v>
      </c>
      <c r="H48" s="19">
        <v>25</v>
      </c>
      <c r="I48" s="19">
        <f t="shared" si="5"/>
        <v>1190</v>
      </c>
      <c r="J48" s="18" t="s">
        <v>15</v>
      </c>
      <c r="K48" s="18" t="s">
        <v>15</v>
      </c>
      <c r="L48" s="18" t="s">
        <v>2453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2562</v>
      </c>
      <c r="D49" s="18" t="s">
        <v>2563</v>
      </c>
      <c r="E49" s="18" t="s">
        <v>2564</v>
      </c>
      <c r="F49" s="19">
        <v>2</v>
      </c>
      <c r="G49" s="19">
        <v>0</v>
      </c>
      <c r="H49" s="19">
        <v>30</v>
      </c>
      <c r="I49" s="19">
        <f>-H49</f>
        <v>-30</v>
      </c>
      <c r="J49" s="18" t="s">
        <v>15</v>
      </c>
      <c r="K49" s="18" t="s">
        <v>15</v>
      </c>
      <c r="L49" s="18" t="s">
        <v>2453</v>
      </c>
      <c r="M49" s="18"/>
      <c r="N49" s="18"/>
      <c r="O49" s="18"/>
      <c r="P49" s="18"/>
      <c r="Q49" s="18">
        <v>1</v>
      </c>
      <c r="R49" s="17">
        <f>H49</f>
        <v>30</v>
      </c>
    </row>
    <row r="50" spans="1:18" customFormat="1" x14ac:dyDescent="0.25">
      <c r="A50" s="18"/>
      <c r="B50" s="18" t="s">
        <v>34</v>
      </c>
      <c r="C50" s="18" t="s">
        <v>999</v>
      </c>
      <c r="D50" s="18" t="s">
        <v>2565</v>
      </c>
      <c r="E50" s="18" t="s">
        <v>1001</v>
      </c>
      <c r="F50" s="18" t="s">
        <v>18</v>
      </c>
      <c r="G50" s="19">
        <v>1345</v>
      </c>
      <c r="H50" s="19">
        <v>25</v>
      </c>
      <c r="I50" s="19">
        <f t="shared" ref="I50:I56" si="6">G50-H50</f>
        <v>1320</v>
      </c>
      <c r="J50" s="18" t="s">
        <v>15</v>
      </c>
      <c r="K50" s="18" t="s">
        <v>15</v>
      </c>
      <c r="L50" s="18" t="s">
        <v>2453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264</v>
      </c>
      <c r="D51" s="18" t="s">
        <v>2566</v>
      </c>
      <c r="E51" s="18" t="s">
        <v>266</v>
      </c>
      <c r="F51" s="18" t="s">
        <v>17</v>
      </c>
      <c r="G51" s="19">
        <v>710</v>
      </c>
      <c r="H51" s="19">
        <v>20</v>
      </c>
      <c r="I51" s="19">
        <f t="shared" si="6"/>
        <v>690</v>
      </c>
      <c r="J51" s="18" t="s">
        <v>15</v>
      </c>
      <c r="K51" s="18" t="s">
        <v>15</v>
      </c>
      <c r="L51" s="18" t="s">
        <v>2453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1454</v>
      </c>
      <c r="D52" s="18" t="s">
        <v>2567</v>
      </c>
      <c r="E52" s="18" t="s">
        <v>2568</v>
      </c>
      <c r="F52" s="19">
        <v>2</v>
      </c>
      <c r="G52" s="19">
        <v>920</v>
      </c>
      <c r="H52" s="19">
        <v>30</v>
      </c>
      <c r="I52" s="19">
        <f t="shared" si="6"/>
        <v>890</v>
      </c>
      <c r="J52" s="18" t="s">
        <v>15</v>
      </c>
      <c r="K52" s="18" t="s">
        <v>15</v>
      </c>
      <c r="L52" s="18" t="s">
        <v>2453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2569</v>
      </c>
      <c r="D53" s="18" t="s">
        <v>2570</v>
      </c>
      <c r="E53" s="18" t="s">
        <v>2571</v>
      </c>
      <c r="F53" s="18" t="s">
        <v>20</v>
      </c>
      <c r="G53" s="19">
        <v>865</v>
      </c>
      <c r="H53" s="19">
        <v>25</v>
      </c>
      <c r="I53" s="19">
        <f t="shared" si="6"/>
        <v>840</v>
      </c>
      <c r="J53" s="18" t="s">
        <v>15</v>
      </c>
      <c r="K53" s="18" t="s">
        <v>15</v>
      </c>
      <c r="L53" s="18" t="s">
        <v>2453</v>
      </c>
      <c r="M53" s="18"/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628</v>
      </c>
      <c r="D54" s="18" t="s">
        <v>2572</v>
      </c>
      <c r="E54" s="18" t="s">
        <v>630</v>
      </c>
      <c r="F54" s="18" t="s">
        <v>20</v>
      </c>
      <c r="G54" s="19">
        <v>1835</v>
      </c>
      <c r="H54" s="19">
        <v>25</v>
      </c>
      <c r="I54" s="19">
        <f t="shared" si="6"/>
        <v>1810</v>
      </c>
      <c r="J54" s="18" t="s">
        <v>15</v>
      </c>
      <c r="K54" s="18" t="s">
        <v>15</v>
      </c>
      <c r="L54" s="18" t="s">
        <v>2453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2573</v>
      </c>
      <c r="D55" s="18" t="s">
        <v>2574</v>
      </c>
      <c r="E55" s="18" t="s">
        <v>2575</v>
      </c>
      <c r="F55" s="18" t="s">
        <v>18</v>
      </c>
      <c r="G55" s="19">
        <v>715</v>
      </c>
      <c r="H55" s="19">
        <v>25</v>
      </c>
      <c r="I55" s="19">
        <f t="shared" si="6"/>
        <v>690</v>
      </c>
      <c r="J55" s="18" t="s">
        <v>15</v>
      </c>
      <c r="K55" s="18" t="s">
        <v>15</v>
      </c>
      <c r="L55" s="18" t="s">
        <v>2453</v>
      </c>
      <c r="M55" s="18"/>
      <c r="N55" s="18"/>
      <c r="O55" s="18"/>
      <c r="P55" s="18"/>
      <c r="Q55" s="18">
        <v>1</v>
      </c>
    </row>
    <row r="56" spans="1:18" customFormat="1" x14ac:dyDescent="0.25">
      <c r="A56" s="18"/>
      <c r="B56" s="18" t="s">
        <v>34</v>
      </c>
      <c r="C56" s="18" t="s">
        <v>2576</v>
      </c>
      <c r="D56" s="18" t="s">
        <v>2577</v>
      </c>
      <c r="E56" s="18" t="s">
        <v>2578</v>
      </c>
      <c r="F56" s="18" t="s">
        <v>19</v>
      </c>
      <c r="G56" s="19">
        <v>680</v>
      </c>
      <c r="H56" s="19">
        <v>20</v>
      </c>
      <c r="I56" s="19">
        <f t="shared" si="6"/>
        <v>660</v>
      </c>
      <c r="J56" s="18" t="s">
        <v>15</v>
      </c>
      <c r="K56" s="18" t="s">
        <v>15</v>
      </c>
      <c r="L56" s="18" t="s">
        <v>2453</v>
      </c>
      <c r="M56" s="18"/>
      <c r="N56" s="18"/>
      <c r="O56" s="18"/>
      <c r="P56" s="18"/>
      <c r="Q56" s="18">
        <v>1</v>
      </c>
    </row>
    <row r="57" spans="1:18" customFormat="1" x14ac:dyDescent="0.25">
      <c r="A57" s="18"/>
      <c r="B57" s="18" t="s">
        <v>34</v>
      </c>
      <c r="C57" s="18" t="s">
        <v>2579</v>
      </c>
      <c r="D57" s="18" t="s">
        <v>2580</v>
      </c>
      <c r="E57" s="18" t="s">
        <v>2581</v>
      </c>
      <c r="F57" s="18" t="s">
        <v>20</v>
      </c>
      <c r="G57" s="19">
        <v>0</v>
      </c>
      <c r="H57" s="19">
        <v>25</v>
      </c>
      <c r="I57" s="19">
        <f>-H57</f>
        <v>-25</v>
      </c>
      <c r="J57" s="18" t="s">
        <v>15</v>
      </c>
      <c r="K57" s="18" t="s">
        <v>15</v>
      </c>
      <c r="L57" s="18" t="s">
        <v>2453</v>
      </c>
      <c r="M57" s="18"/>
      <c r="N57" s="18"/>
      <c r="O57" s="18"/>
      <c r="P57" s="18"/>
      <c r="Q57" s="18">
        <v>1</v>
      </c>
      <c r="R57" s="17">
        <f>H57</f>
        <v>25</v>
      </c>
    </row>
    <row r="58" spans="1:18" customFormat="1" x14ac:dyDescent="0.25">
      <c r="A58" s="18"/>
      <c r="B58" s="18" t="s">
        <v>34</v>
      </c>
      <c r="C58" s="18" t="s">
        <v>2582</v>
      </c>
      <c r="D58" s="18" t="s">
        <v>2583</v>
      </c>
      <c r="E58" s="18" t="s">
        <v>2584</v>
      </c>
      <c r="F58" s="18" t="s">
        <v>17</v>
      </c>
      <c r="G58" s="19">
        <v>710</v>
      </c>
      <c r="H58" s="19">
        <v>20</v>
      </c>
      <c r="I58" s="19">
        <f t="shared" ref="I58:I66" si="7">G58-H58</f>
        <v>690</v>
      </c>
      <c r="J58" s="18" t="s">
        <v>15</v>
      </c>
      <c r="K58" s="18" t="s">
        <v>15</v>
      </c>
      <c r="L58" s="18" t="s">
        <v>2453</v>
      </c>
      <c r="M58" s="18"/>
      <c r="N58" s="18"/>
      <c r="O58" s="18"/>
      <c r="P58" s="18"/>
      <c r="Q58" s="18">
        <v>1</v>
      </c>
    </row>
    <row r="59" spans="1:18" customFormat="1" x14ac:dyDescent="0.25">
      <c r="A59" s="18"/>
      <c r="B59" s="18" t="s">
        <v>34</v>
      </c>
      <c r="C59" s="18" t="s">
        <v>2585</v>
      </c>
      <c r="D59" s="18" t="s">
        <v>2586</v>
      </c>
      <c r="E59" s="18" t="s">
        <v>2587</v>
      </c>
      <c r="F59" s="18" t="s">
        <v>20</v>
      </c>
      <c r="G59" s="19">
        <v>1145</v>
      </c>
      <c r="H59" s="19">
        <v>25</v>
      </c>
      <c r="I59" s="19">
        <f t="shared" si="7"/>
        <v>1120</v>
      </c>
      <c r="J59" s="18" t="s">
        <v>15</v>
      </c>
      <c r="K59" s="18" t="s">
        <v>15</v>
      </c>
      <c r="L59" s="18" t="s">
        <v>2453</v>
      </c>
      <c r="M59" s="18"/>
      <c r="N59" s="18"/>
      <c r="O59" s="18"/>
      <c r="P59" s="18"/>
      <c r="Q59" s="18">
        <v>1</v>
      </c>
    </row>
    <row r="60" spans="1:18" customFormat="1" x14ac:dyDescent="0.25">
      <c r="A60" s="18"/>
      <c r="B60" s="18" t="s">
        <v>34</v>
      </c>
      <c r="C60" s="18" t="s">
        <v>1748</v>
      </c>
      <c r="D60" s="18" t="s">
        <v>2588</v>
      </c>
      <c r="E60" s="18" t="s">
        <v>1515</v>
      </c>
      <c r="F60" s="18" t="s">
        <v>20</v>
      </c>
      <c r="G60" s="19">
        <v>765</v>
      </c>
      <c r="H60" s="19">
        <v>25</v>
      </c>
      <c r="I60" s="19">
        <f t="shared" si="7"/>
        <v>740</v>
      </c>
      <c r="J60" s="18" t="s">
        <v>15</v>
      </c>
      <c r="K60" s="18" t="s">
        <v>15</v>
      </c>
      <c r="L60" s="18" t="s">
        <v>2453</v>
      </c>
      <c r="M60" s="18"/>
      <c r="N60" s="18"/>
      <c r="O60" s="18"/>
      <c r="P60" s="18"/>
      <c r="Q60" s="18">
        <v>1</v>
      </c>
    </row>
    <row r="61" spans="1:18" customFormat="1" x14ac:dyDescent="0.25">
      <c r="A61" s="18"/>
      <c r="B61" s="18" t="s">
        <v>34</v>
      </c>
      <c r="C61" s="18" t="s">
        <v>286</v>
      </c>
      <c r="D61" s="18" t="s">
        <v>2589</v>
      </c>
      <c r="E61" s="18" t="s">
        <v>2590</v>
      </c>
      <c r="F61" s="19">
        <v>2</v>
      </c>
      <c r="G61" s="19">
        <v>1460</v>
      </c>
      <c r="H61" s="19">
        <v>30</v>
      </c>
      <c r="I61" s="19">
        <f t="shared" si="7"/>
        <v>1430</v>
      </c>
      <c r="J61" s="18" t="s">
        <v>15</v>
      </c>
      <c r="K61" s="18" t="s">
        <v>15</v>
      </c>
      <c r="L61" s="18" t="s">
        <v>2453</v>
      </c>
      <c r="M61" s="18"/>
      <c r="N61" s="18"/>
      <c r="O61" s="18"/>
      <c r="P61" s="18"/>
      <c r="Q61" s="18">
        <v>1</v>
      </c>
    </row>
    <row r="62" spans="1:18" customFormat="1" x14ac:dyDescent="0.25">
      <c r="A62" s="18"/>
      <c r="B62" s="18" t="s">
        <v>34</v>
      </c>
      <c r="C62" s="18" t="s">
        <v>1636</v>
      </c>
      <c r="D62" s="18" t="s">
        <v>2591</v>
      </c>
      <c r="E62" s="18" t="s">
        <v>2592</v>
      </c>
      <c r="F62" s="18" t="s">
        <v>19</v>
      </c>
      <c r="G62" s="19">
        <v>680</v>
      </c>
      <c r="H62" s="19">
        <v>20</v>
      </c>
      <c r="I62" s="19">
        <f t="shared" si="7"/>
        <v>660</v>
      </c>
      <c r="J62" s="18" t="s">
        <v>15</v>
      </c>
      <c r="K62" s="18" t="s">
        <v>15</v>
      </c>
      <c r="L62" s="18" t="s">
        <v>2453</v>
      </c>
      <c r="M62" s="18"/>
      <c r="N62" s="18"/>
      <c r="O62" s="18"/>
      <c r="P62" s="18"/>
      <c r="Q62" s="18">
        <v>1</v>
      </c>
    </row>
    <row r="63" spans="1:18" customFormat="1" x14ac:dyDescent="0.25">
      <c r="A63" s="18"/>
      <c r="B63" s="18" t="s">
        <v>34</v>
      </c>
      <c r="C63" s="18" t="s">
        <v>120</v>
      </c>
      <c r="D63" s="18" t="s">
        <v>2593</v>
      </c>
      <c r="E63" s="18" t="s">
        <v>2594</v>
      </c>
      <c r="F63" s="19">
        <v>2</v>
      </c>
      <c r="G63" s="19">
        <v>1050</v>
      </c>
      <c r="H63" s="19">
        <v>30</v>
      </c>
      <c r="I63" s="19">
        <f t="shared" si="7"/>
        <v>1020</v>
      </c>
      <c r="J63" s="18" t="s">
        <v>15</v>
      </c>
      <c r="K63" s="18" t="s">
        <v>15</v>
      </c>
      <c r="L63" s="18" t="s">
        <v>2453</v>
      </c>
      <c r="M63" s="18"/>
      <c r="N63" s="18"/>
      <c r="O63" s="18"/>
      <c r="P63" s="18"/>
      <c r="Q63" s="18">
        <v>1</v>
      </c>
    </row>
    <row r="64" spans="1:18" customFormat="1" x14ac:dyDescent="0.25">
      <c r="A64" s="18" t="s">
        <v>96</v>
      </c>
      <c r="B64" s="18" t="s">
        <v>34</v>
      </c>
      <c r="C64" s="18" t="s">
        <v>640</v>
      </c>
      <c r="D64" s="18"/>
      <c r="E64" s="18" t="s">
        <v>1269</v>
      </c>
      <c r="F64" s="18" t="s">
        <v>20</v>
      </c>
      <c r="G64" s="19">
        <v>7270</v>
      </c>
      <c r="H64" s="19">
        <v>30</v>
      </c>
      <c r="I64" s="19">
        <f t="shared" si="7"/>
        <v>7240</v>
      </c>
      <c r="J64" s="18" t="s">
        <v>15</v>
      </c>
      <c r="K64" s="18" t="s">
        <v>15</v>
      </c>
      <c r="L64" s="18" t="s">
        <v>2453</v>
      </c>
      <c r="M64" s="42"/>
      <c r="N64" s="18"/>
      <c r="O64" s="18"/>
      <c r="P64" s="18"/>
      <c r="Q64" s="18">
        <v>1</v>
      </c>
      <c r="R64" s="17">
        <f>H64</f>
        <v>30</v>
      </c>
    </row>
    <row r="65" spans="1:18" customFormat="1" x14ac:dyDescent="0.25">
      <c r="A65" s="18" t="s">
        <v>96</v>
      </c>
      <c r="B65" s="18" t="s">
        <v>34</v>
      </c>
      <c r="C65" s="18" t="s">
        <v>1657</v>
      </c>
      <c r="D65" s="18"/>
      <c r="E65" s="18" t="s">
        <v>1658</v>
      </c>
      <c r="F65" s="18" t="s">
        <v>20</v>
      </c>
      <c r="G65" s="19">
        <v>40</v>
      </c>
      <c r="H65" s="19">
        <v>40</v>
      </c>
      <c r="I65" s="19">
        <f t="shared" si="7"/>
        <v>0</v>
      </c>
      <c r="J65" s="18" t="s">
        <v>15</v>
      </c>
      <c r="K65" s="18" t="s">
        <v>15</v>
      </c>
      <c r="L65" s="18" t="s">
        <v>2453</v>
      </c>
      <c r="M65" s="18"/>
      <c r="N65" s="18"/>
      <c r="O65" s="18"/>
      <c r="P65" s="18"/>
      <c r="Q65" s="18">
        <v>1</v>
      </c>
    </row>
    <row r="66" spans="1:18" customFormat="1" x14ac:dyDescent="0.25">
      <c r="A66" s="18" t="s">
        <v>96</v>
      </c>
      <c r="B66" s="18" t="s">
        <v>34</v>
      </c>
      <c r="C66" s="18" t="s">
        <v>2595</v>
      </c>
      <c r="D66" s="18"/>
      <c r="E66" s="18" t="s">
        <v>2596</v>
      </c>
      <c r="F66" s="18" t="s">
        <v>19</v>
      </c>
      <c r="G66" s="18">
        <v>0</v>
      </c>
      <c r="H66" s="18">
        <v>25</v>
      </c>
      <c r="I66" s="19">
        <f t="shared" si="7"/>
        <v>-25</v>
      </c>
      <c r="J66" s="18" t="s">
        <v>15</v>
      </c>
      <c r="K66" s="18" t="s">
        <v>15</v>
      </c>
      <c r="L66" s="18" t="s">
        <v>2453</v>
      </c>
      <c r="M66" s="18"/>
      <c r="N66" s="18"/>
      <c r="O66" s="18"/>
      <c r="P66" s="18"/>
      <c r="Q66" s="18">
        <v>1</v>
      </c>
      <c r="R66" s="17">
        <f>H66</f>
        <v>25</v>
      </c>
    </row>
    <row r="68" spans="1:18" x14ac:dyDescent="0.25">
      <c r="G68" s="1">
        <f t="shared" ref="G68:R68" si="8">SUBTOTAL(9,G3:G67)</f>
        <v>52235</v>
      </c>
      <c r="H68" s="1">
        <f t="shared" si="8"/>
        <v>1695</v>
      </c>
      <c r="I68" s="1">
        <f t="shared" si="8"/>
        <v>50540</v>
      </c>
      <c r="J68" s="1">
        <f t="shared" si="8"/>
        <v>0</v>
      </c>
      <c r="K68" s="1">
        <f t="shared" si="8"/>
        <v>0</v>
      </c>
      <c r="L68" s="1">
        <f t="shared" si="8"/>
        <v>0</v>
      </c>
      <c r="M68" s="1">
        <f t="shared" si="8"/>
        <v>0</v>
      </c>
      <c r="N68" s="1">
        <f t="shared" si="8"/>
        <v>0</v>
      </c>
      <c r="O68" s="1">
        <f t="shared" si="8"/>
        <v>0</v>
      </c>
      <c r="P68" s="1">
        <f t="shared" si="8"/>
        <v>0</v>
      </c>
      <c r="Q68" s="1">
        <f t="shared" si="8"/>
        <v>64</v>
      </c>
      <c r="R68" s="1">
        <f t="shared" si="8"/>
        <v>460</v>
      </c>
    </row>
    <row r="72" spans="1:18" ht="20.25" customHeight="1" x14ac:dyDescent="0.3">
      <c r="H72" s="4" t="s">
        <v>2448</v>
      </c>
      <c r="I72" s="5" t="s">
        <v>21</v>
      </c>
      <c r="J72" s="6" t="s">
        <v>22</v>
      </c>
    </row>
    <row r="73" spans="1:18" ht="15.75" customHeight="1" x14ac:dyDescent="0.25">
      <c r="H73" s="7" t="s">
        <v>23</v>
      </c>
      <c r="I73" s="8">
        <f>SUM(I67:I71)</f>
        <v>50540</v>
      </c>
      <c r="J73" s="8">
        <f>Q68</f>
        <v>64</v>
      </c>
    </row>
    <row r="74" spans="1:18" x14ac:dyDescent="0.25">
      <c r="H74" s="9" t="s">
        <v>24</v>
      </c>
      <c r="I74" s="10">
        <f>R68</f>
        <v>460</v>
      </c>
      <c r="J74" s="11"/>
    </row>
    <row r="75" spans="1:18" x14ac:dyDescent="0.25">
      <c r="H75" s="9" t="s">
        <v>25</v>
      </c>
      <c r="I75" s="10">
        <f>S67</f>
        <v>0</v>
      </c>
      <c r="J75" s="11"/>
    </row>
    <row r="76" spans="1:18" x14ac:dyDescent="0.25">
      <c r="H76" s="9" t="s">
        <v>26</v>
      </c>
      <c r="I76" s="10">
        <f>T67</f>
        <v>0</v>
      </c>
      <c r="J76" s="11"/>
    </row>
    <row r="77" spans="1:18" x14ac:dyDescent="0.25">
      <c r="H77" s="9" t="s">
        <v>27</v>
      </c>
      <c r="I77" s="10">
        <f>U67</f>
        <v>0</v>
      </c>
      <c r="J77" s="11"/>
    </row>
    <row r="78" spans="1:18" ht="15.75" customHeight="1" x14ac:dyDescent="0.25">
      <c r="H78" s="12" t="s">
        <v>28</v>
      </c>
      <c r="I78" s="13"/>
      <c r="J78" s="13"/>
    </row>
    <row r="79" spans="1:18" ht="15.75" customHeight="1" x14ac:dyDescent="0.25">
      <c r="H79" s="14" t="s">
        <v>29</v>
      </c>
      <c r="I79" s="13"/>
      <c r="J79" s="13"/>
    </row>
    <row r="80" spans="1:18" ht="21" customHeight="1" x14ac:dyDescent="0.35">
      <c r="H80" s="15" t="s">
        <v>30</v>
      </c>
      <c r="I80" s="16">
        <f>SUM(I73:I79)</f>
        <v>51000</v>
      </c>
      <c r="J80" s="16">
        <f>SUM(J73:J77)</f>
        <v>64</v>
      </c>
    </row>
    <row r="82" spans="1:12" x14ac:dyDescent="0.25">
      <c r="A82" s="1" t="s">
        <v>173</v>
      </c>
    </row>
    <row r="83" spans="1:12" x14ac:dyDescent="0.25">
      <c r="A83" s="24" t="s">
        <v>34</v>
      </c>
      <c r="B83" s="24" t="s">
        <v>2487</v>
      </c>
      <c r="C83" s="24" t="s">
        <v>2488</v>
      </c>
      <c r="D83" s="24" t="s">
        <v>2489</v>
      </c>
      <c r="E83" s="24" t="s">
        <v>108</v>
      </c>
      <c r="F83" s="25">
        <v>865</v>
      </c>
      <c r="G83" s="25">
        <v>0</v>
      </c>
      <c r="H83" s="25">
        <f>F83-G83</f>
        <v>865</v>
      </c>
      <c r="I83" s="24" t="s">
        <v>2457</v>
      </c>
      <c r="J83" s="24" t="s">
        <v>15</v>
      </c>
      <c r="K83" s="24" t="s">
        <v>2453</v>
      </c>
      <c r="L83" s="26" t="s">
        <v>2597</v>
      </c>
    </row>
  </sheetData>
  <autoFilter ref="A2:P66" xr:uid="{00000000-0009-0000-0000-000006000000}">
    <sortState xmlns:xlrd2="http://schemas.microsoft.com/office/spreadsheetml/2017/richdata2" ref="A3:P66">
      <sortCondition ref="J2:J66"/>
    </sortState>
  </autoFilter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1BDAF-260C-410B-A6E6-BA19282B35EF}">
  <dimension ref="A1:R71"/>
  <sheetViews>
    <sheetView topLeftCell="A46" zoomScaleNormal="100" workbookViewId="0">
      <selection activeCell="I56" sqref="I56:J56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9.140625" style="1" bestFit="1" customWidth="1"/>
    <col min="14" max="16384" width="9.140625" style="1"/>
  </cols>
  <sheetData>
    <row r="1" spans="1:18" x14ac:dyDescent="0.25">
      <c r="B1" s="1" t="s">
        <v>320</v>
      </c>
      <c r="C1" s="1" t="s">
        <v>2599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2040</v>
      </c>
      <c r="D3" s="18" t="s">
        <v>2600</v>
      </c>
      <c r="E3" s="18" t="s">
        <v>2601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56</v>
      </c>
      <c r="K3" s="18" t="s">
        <v>15</v>
      </c>
      <c r="L3" s="18" t="s">
        <v>2602</v>
      </c>
      <c r="M3" s="48" t="s">
        <v>2603</v>
      </c>
      <c r="N3" s="18"/>
      <c r="O3" s="18"/>
      <c r="P3" s="18"/>
      <c r="Q3" s="18">
        <v>1</v>
      </c>
      <c r="R3" s="17">
        <f>H3</f>
        <v>30</v>
      </c>
    </row>
    <row r="4" spans="1:18" customFormat="1" x14ac:dyDescent="0.25">
      <c r="A4" s="18"/>
      <c r="B4" s="18" t="s">
        <v>34</v>
      </c>
      <c r="C4" s="18" t="s">
        <v>711</v>
      </c>
      <c r="D4" s="18" t="s">
        <v>2604</v>
      </c>
      <c r="E4" s="18" t="s">
        <v>713</v>
      </c>
      <c r="F4" s="19">
        <v>6</v>
      </c>
      <c r="G4" s="19">
        <v>785</v>
      </c>
      <c r="H4" s="19">
        <v>25</v>
      </c>
      <c r="I4" s="19">
        <f>G4-H4</f>
        <v>760</v>
      </c>
      <c r="J4" s="18" t="s">
        <v>2605</v>
      </c>
      <c r="K4" s="18" t="s">
        <v>15</v>
      </c>
      <c r="L4" s="18" t="s">
        <v>2602</v>
      </c>
      <c r="M4" s="48" t="s">
        <v>307</v>
      </c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711</v>
      </c>
      <c r="D5" s="18" t="s">
        <v>2606</v>
      </c>
      <c r="E5" s="18" t="s">
        <v>2607</v>
      </c>
      <c r="F5" s="19">
        <v>6</v>
      </c>
      <c r="G5" s="19">
        <v>0</v>
      </c>
      <c r="H5" s="19">
        <v>0</v>
      </c>
      <c r="I5" s="19">
        <f>H5</f>
        <v>0</v>
      </c>
      <c r="J5" s="18" t="s">
        <v>2605</v>
      </c>
      <c r="K5" s="18" t="s">
        <v>15</v>
      </c>
      <c r="L5" s="18" t="s">
        <v>2602</v>
      </c>
      <c r="M5" s="48" t="s">
        <v>307</v>
      </c>
      <c r="N5" s="18"/>
      <c r="O5" s="18"/>
      <c r="P5" s="18"/>
      <c r="Q5" s="18">
        <v>1</v>
      </c>
      <c r="R5" s="17">
        <f>H5</f>
        <v>0</v>
      </c>
    </row>
    <row r="6" spans="1:18" customFormat="1" x14ac:dyDescent="0.25">
      <c r="A6" s="18"/>
      <c r="B6" s="18" t="s">
        <v>34</v>
      </c>
      <c r="C6" s="18" t="s">
        <v>2608</v>
      </c>
      <c r="D6" s="18" t="s">
        <v>2609</v>
      </c>
      <c r="E6" s="18" t="s">
        <v>2610</v>
      </c>
      <c r="F6" s="18" t="s">
        <v>212</v>
      </c>
      <c r="G6" s="19">
        <v>775</v>
      </c>
      <c r="H6" s="19">
        <v>25</v>
      </c>
      <c r="I6" s="19">
        <f t="shared" ref="I6:I11" si="0">G6-H6</f>
        <v>750</v>
      </c>
      <c r="J6" s="18" t="s">
        <v>2605</v>
      </c>
      <c r="K6" s="18" t="s">
        <v>15</v>
      </c>
      <c r="L6" s="18" t="s">
        <v>2602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2611</v>
      </c>
      <c r="D7" s="18" t="s">
        <v>2612</v>
      </c>
      <c r="E7" s="18" t="s">
        <v>2613</v>
      </c>
      <c r="F7" s="18" t="s">
        <v>212</v>
      </c>
      <c r="G7" s="19">
        <v>375</v>
      </c>
      <c r="H7" s="19">
        <v>25</v>
      </c>
      <c r="I7" s="19">
        <f t="shared" si="0"/>
        <v>350</v>
      </c>
      <c r="J7" s="18" t="s">
        <v>2605</v>
      </c>
      <c r="K7" s="18" t="s">
        <v>15</v>
      </c>
      <c r="L7" s="18" t="s">
        <v>2602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105</v>
      </c>
      <c r="D8" s="18" t="s">
        <v>2614</v>
      </c>
      <c r="E8" s="18" t="s">
        <v>2615</v>
      </c>
      <c r="F8" s="18" t="s">
        <v>38</v>
      </c>
      <c r="G8" s="19">
        <v>750</v>
      </c>
      <c r="H8" s="19">
        <v>30</v>
      </c>
      <c r="I8" s="19">
        <f t="shared" si="0"/>
        <v>720</v>
      </c>
      <c r="J8" s="18" t="s">
        <v>2605</v>
      </c>
      <c r="K8" s="18" t="s">
        <v>15</v>
      </c>
      <c r="L8" s="18" t="s">
        <v>2602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2616</v>
      </c>
      <c r="D9" s="18" t="s">
        <v>2617</v>
      </c>
      <c r="E9" s="18" t="s">
        <v>2618</v>
      </c>
      <c r="F9" s="18" t="s">
        <v>123</v>
      </c>
      <c r="G9" s="19">
        <v>775</v>
      </c>
      <c r="H9" s="19">
        <v>35</v>
      </c>
      <c r="I9" s="19">
        <f t="shared" si="0"/>
        <v>740</v>
      </c>
      <c r="J9" s="18" t="s">
        <v>2605</v>
      </c>
      <c r="K9" s="18" t="s">
        <v>15</v>
      </c>
      <c r="L9" s="18" t="s">
        <v>2602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691</v>
      </c>
      <c r="D10" s="18" t="s">
        <v>2619</v>
      </c>
      <c r="E10" s="18" t="s">
        <v>2620</v>
      </c>
      <c r="F10" s="19">
        <v>12</v>
      </c>
      <c r="G10" s="19">
        <v>690</v>
      </c>
      <c r="H10" s="19">
        <v>30</v>
      </c>
      <c r="I10" s="19">
        <f t="shared" si="0"/>
        <v>660</v>
      </c>
      <c r="J10" s="18" t="s">
        <v>2605</v>
      </c>
      <c r="K10" s="18" t="s">
        <v>15</v>
      </c>
      <c r="L10" s="18" t="s">
        <v>2602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2621</v>
      </c>
      <c r="D11" s="18" t="s">
        <v>2622</v>
      </c>
      <c r="E11" s="18" t="s">
        <v>2623</v>
      </c>
      <c r="F11" s="18" t="s">
        <v>212</v>
      </c>
      <c r="G11" s="19">
        <v>1455</v>
      </c>
      <c r="H11" s="19">
        <v>25</v>
      </c>
      <c r="I11" s="19">
        <f t="shared" si="0"/>
        <v>1430</v>
      </c>
      <c r="J11" s="18" t="s">
        <v>2605</v>
      </c>
      <c r="K11" s="18" t="s">
        <v>15</v>
      </c>
      <c r="L11" s="18" t="s">
        <v>2602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2624</v>
      </c>
      <c r="D12" s="18" t="s">
        <v>2625</v>
      </c>
      <c r="E12" s="18" t="s">
        <v>2626</v>
      </c>
      <c r="F12" s="19">
        <v>4</v>
      </c>
      <c r="G12" s="19">
        <v>0</v>
      </c>
      <c r="H12" s="19">
        <v>25</v>
      </c>
      <c r="I12" s="19">
        <f>-H12</f>
        <v>-25</v>
      </c>
      <c r="J12" s="18" t="s">
        <v>2605</v>
      </c>
      <c r="K12" s="18" t="s">
        <v>15</v>
      </c>
      <c r="L12" s="18" t="s">
        <v>2602</v>
      </c>
      <c r="M12" s="18"/>
      <c r="N12" s="18"/>
      <c r="O12" s="18"/>
      <c r="P12" s="18"/>
      <c r="Q12" s="18">
        <v>1</v>
      </c>
      <c r="R12" s="17">
        <f t="shared" ref="R12:R14" si="1">H12</f>
        <v>25</v>
      </c>
    </row>
    <row r="13" spans="1:18" customFormat="1" x14ac:dyDescent="0.25">
      <c r="A13" s="18"/>
      <c r="B13" s="18" t="s">
        <v>34</v>
      </c>
      <c r="C13" s="18" t="s">
        <v>1183</v>
      </c>
      <c r="D13" s="18" t="s">
        <v>2627</v>
      </c>
      <c r="E13" s="18" t="s">
        <v>1887</v>
      </c>
      <c r="F13" s="19">
        <v>7</v>
      </c>
      <c r="G13" s="19">
        <v>0</v>
      </c>
      <c r="H13" s="19">
        <v>30</v>
      </c>
      <c r="I13" s="19">
        <f>-H13</f>
        <v>-30</v>
      </c>
      <c r="J13" s="18" t="s">
        <v>2605</v>
      </c>
      <c r="K13" s="18" t="s">
        <v>15</v>
      </c>
      <c r="L13" s="18" t="s">
        <v>2602</v>
      </c>
      <c r="M13" s="18"/>
      <c r="N13" s="18"/>
      <c r="O13" s="18"/>
      <c r="P13" s="18"/>
      <c r="Q13" s="18">
        <v>1</v>
      </c>
      <c r="R13" s="17">
        <f t="shared" si="1"/>
        <v>30</v>
      </c>
    </row>
    <row r="14" spans="1:18" customFormat="1" x14ac:dyDescent="0.25">
      <c r="A14" s="18"/>
      <c r="B14" s="18" t="s">
        <v>34</v>
      </c>
      <c r="C14" s="18" t="s">
        <v>2628</v>
      </c>
      <c r="D14" s="18" t="s">
        <v>2629</v>
      </c>
      <c r="E14" s="18" t="s">
        <v>2630</v>
      </c>
      <c r="F14" s="19">
        <v>6</v>
      </c>
      <c r="G14" s="19">
        <v>0</v>
      </c>
      <c r="H14" s="19">
        <v>25</v>
      </c>
      <c r="I14" s="19">
        <f>-H14</f>
        <v>-25</v>
      </c>
      <c r="J14" s="18" t="s">
        <v>2605</v>
      </c>
      <c r="K14" s="18" t="s">
        <v>15</v>
      </c>
      <c r="L14" s="18" t="s">
        <v>2602</v>
      </c>
      <c r="M14" s="48" t="s">
        <v>2631</v>
      </c>
      <c r="N14" s="18"/>
      <c r="O14" s="18"/>
      <c r="P14" s="18"/>
      <c r="Q14" s="18">
        <v>1</v>
      </c>
      <c r="R14" s="17">
        <f t="shared" si="1"/>
        <v>25</v>
      </c>
    </row>
    <row r="15" spans="1:18" customFormat="1" x14ac:dyDescent="0.25">
      <c r="A15" s="18"/>
      <c r="B15" s="18" t="s">
        <v>34</v>
      </c>
      <c r="C15" s="18" t="s">
        <v>1563</v>
      </c>
      <c r="D15" s="18" t="s">
        <v>2632</v>
      </c>
      <c r="E15" s="18" t="s">
        <v>1565</v>
      </c>
      <c r="F15" s="19">
        <v>1</v>
      </c>
      <c r="G15" s="19">
        <v>685</v>
      </c>
      <c r="H15" s="19">
        <v>25</v>
      </c>
      <c r="I15" s="19">
        <f>G15-H15</f>
        <v>660</v>
      </c>
      <c r="J15" s="18" t="s">
        <v>2605</v>
      </c>
      <c r="K15" s="18" t="s">
        <v>15</v>
      </c>
      <c r="L15" s="18" t="s">
        <v>2602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1560</v>
      </c>
      <c r="D16" s="18" t="s">
        <v>2633</v>
      </c>
      <c r="E16" s="18" t="s">
        <v>1562</v>
      </c>
      <c r="F16" s="19">
        <v>4</v>
      </c>
      <c r="G16" s="19">
        <v>745</v>
      </c>
      <c r="H16" s="19">
        <v>25</v>
      </c>
      <c r="I16" s="19">
        <f>G16-H16</f>
        <v>720</v>
      </c>
      <c r="J16" s="18" t="s">
        <v>2605</v>
      </c>
      <c r="K16" s="18" t="s">
        <v>15</v>
      </c>
      <c r="L16" s="18" t="s">
        <v>2602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1307</v>
      </c>
      <c r="D17" s="18" t="s">
        <v>2634</v>
      </c>
      <c r="E17" s="18" t="s">
        <v>1309</v>
      </c>
      <c r="F17" s="19">
        <v>5</v>
      </c>
      <c r="G17" s="19">
        <v>0</v>
      </c>
      <c r="H17" s="19">
        <v>25</v>
      </c>
      <c r="I17" s="19">
        <f>-H17</f>
        <v>-25</v>
      </c>
      <c r="J17" s="18" t="s">
        <v>2605</v>
      </c>
      <c r="K17" s="18" t="s">
        <v>15</v>
      </c>
      <c r="L17" s="18" t="s">
        <v>2602</v>
      </c>
      <c r="M17" s="18"/>
      <c r="N17" s="18"/>
      <c r="O17" s="18"/>
      <c r="P17" s="18"/>
      <c r="Q17" s="18">
        <v>1</v>
      </c>
      <c r="R17" s="17">
        <f>H17</f>
        <v>25</v>
      </c>
    </row>
    <row r="18" spans="1:18" customFormat="1" x14ac:dyDescent="0.25">
      <c r="A18" s="18"/>
      <c r="B18" s="18" t="s">
        <v>34</v>
      </c>
      <c r="C18" s="18" t="s">
        <v>2635</v>
      </c>
      <c r="D18" s="18" t="s">
        <v>2636</v>
      </c>
      <c r="E18" s="18" t="s">
        <v>2637</v>
      </c>
      <c r="F18" s="18" t="s">
        <v>18</v>
      </c>
      <c r="G18" s="19">
        <v>25</v>
      </c>
      <c r="H18" s="19">
        <v>25</v>
      </c>
      <c r="I18" s="19">
        <f>G18-H18</f>
        <v>0</v>
      </c>
      <c r="J18" s="18" t="s">
        <v>2605</v>
      </c>
      <c r="K18" s="18" t="s">
        <v>15</v>
      </c>
      <c r="L18" s="18" t="s">
        <v>2602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2638</v>
      </c>
      <c r="D19" s="18" t="s">
        <v>2639</v>
      </c>
      <c r="E19" s="18" t="s">
        <v>1228</v>
      </c>
      <c r="F19" s="19">
        <v>12</v>
      </c>
      <c r="G19" s="19">
        <v>0</v>
      </c>
      <c r="H19" s="19">
        <v>30</v>
      </c>
      <c r="I19" s="19">
        <f>-H19</f>
        <v>-30</v>
      </c>
      <c r="J19" s="18" t="s">
        <v>2605</v>
      </c>
      <c r="K19" s="18" t="s">
        <v>15</v>
      </c>
      <c r="L19" s="18" t="s">
        <v>2602</v>
      </c>
      <c r="M19" s="18"/>
      <c r="N19" s="18"/>
      <c r="O19" s="18"/>
      <c r="P19" s="18"/>
      <c r="Q19" s="18">
        <v>1</v>
      </c>
      <c r="R19" s="17">
        <f>H19</f>
        <v>30</v>
      </c>
    </row>
    <row r="20" spans="1:18" customFormat="1" x14ac:dyDescent="0.25">
      <c r="A20" s="18"/>
      <c r="B20" s="18" t="s">
        <v>34</v>
      </c>
      <c r="C20" s="18" t="s">
        <v>2640</v>
      </c>
      <c r="D20" s="18" t="s">
        <v>2641</v>
      </c>
      <c r="E20" s="18" t="s">
        <v>2642</v>
      </c>
      <c r="F20" s="18" t="s">
        <v>254</v>
      </c>
      <c r="G20" s="19">
        <v>1915</v>
      </c>
      <c r="H20" s="19">
        <v>35</v>
      </c>
      <c r="I20" s="19">
        <f>G20-H20</f>
        <v>1880</v>
      </c>
      <c r="J20" s="18" t="s">
        <v>2605</v>
      </c>
      <c r="K20" s="18" t="s">
        <v>15</v>
      </c>
      <c r="L20" s="18" t="s">
        <v>2602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1301</v>
      </c>
      <c r="D21" s="18" t="s">
        <v>2643</v>
      </c>
      <c r="E21" s="18" t="s">
        <v>2644</v>
      </c>
      <c r="F21" s="19">
        <v>4</v>
      </c>
      <c r="G21" s="19">
        <v>685</v>
      </c>
      <c r="H21" s="19">
        <v>25</v>
      </c>
      <c r="I21" s="19">
        <f>G21-H21</f>
        <v>660</v>
      </c>
      <c r="J21" s="18" t="s">
        <v>2605</v>
      </c>
      <c r="K21" s="18" t="s">
        <v>15</v>
      </c>
      <c r="L21" s="18" t="s">
        <v>2602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1606</v>
      </c>
      <c r="D22" s="18" t="s">
        <v>2645</v>
      </c>
      <c r="E22" s="18" t="s">
        <v>2646</v>
      </c>
      <c r="F22" s="19">
        <v>7</v>
      </c>
      <c r="G22" s="19">
        <v>1810</v>
      </c>
      <c r="H22" s="19">
        <v>30</v>
      </c>
      <c r="I22" s="19">
        <f>G22-H22</f>
        <v>1780</v>
      </c>
      <c r="J22" s="18" t="s">
        <v>2605</v>
      </c>
      <c r="K22" s="18" t="s">
        <v>15</v>
      </c>
      <c r="L22" s="18" t="s">
        <v>2602</v>
      </c>
      <c r="M22" s="18"/>
      <c r="N22" s="18"/>
      <c r="O22" s="18"/>
      <c r="P22" s="18"/>
      <c r="Q22" s="18">
        <v>1</v>
      </c>
    </row>
    <row r="23" spans="1:18" s="22" customFormat="1" x14ac:dyDescent="0.25">
      <c r="A23" s="20"/>
      <c r="B23" s="20" t="s">
        <v>34</v>
      </c>
      <c r="C23" s="20" t="s">
        <v>2647</v>
      </c>
      <c r="D23" s="20" t="s">
        <v>2648</v>
      </c>
      <c r="E23" s="20" t="s">
        <v>2649</v>
      </c>
      <c r="F23" s="21">
        <v>8</v>
      </c>
      <c r="G23" s="21">
        <v>30</v>
      </c>
      <c r="H23" s="21">
        <v>30</v>
      </c>
      <c r="I23" s="21">
        <f>G23-H23</f>
        <v>0</v>
      </c>
      <c r="J23" s="20" t="s">
        <v>2605</v>
      </c>
      <c r="K23" s="20" t="s">
        <v>15</v>
      </c>
      <c r="L23" s="20" t="s">
        <v>2602</v>
      </c>
      <c r="M23" s="20" t="s">
        <v>16</v>
      </c>
      <c r="N23" s="20"/>
      <c r="O23" s="20"/>
      <c r="P23" s="20"/>
      <c r="Q23" s="20">
        <v>1</v>
      </c>
    </row>
    <row r="24" spans="1:18" customFormat="1" x14ac:dyDescent="0.25">
      <c r="A24" s="18"/>
      <c r="B24" s="18" t="s">
        <v>34</v>
      </c>
      <c r="C24" s="18" t="s">
        <v>2650</v>
      </c>
      <c r="D24" s="18" t="s">
        <v>2651</v>
      </c>
      <c r="E24" s="18" t="s">
        <v>2652</v>
      </c>
      <c r="F24" s="19">
        <v>7</v>
      </c>
      <c r="G24" s="19">
        <v>980</v>
      </c>
      <c r="H24" s="19">
        <v>30</v>
      </c>
      <c r="I24" s="19">
        <f>G24-H24</f>
        <v>950</v>
      </c>
      <c r="J24" s="18" t="s">
        <v>2605</v>
      </c>
      <c r="K24" s="18" t="s">
        <v>15</v>
      </c>
      <c r="L24" s="18" t="s">
        <v>2602</v>
      </c>
      <c r="M24" s="18"/>
      <c r="N24" s="18"/>
      <c r="O24" s="18"/>
      <c r="P24" s="18"/>
      <c r="Q24" s="18">
        <v>1</v>
      </c>
    </row>
    <row r="25" spans="1:18" s="22" customFormat="1" x14ac:dyDescent="0.25">
      <c r="A25" s="20"/>
      <c r="B25" s="20" t="s">
        <v>34</v>
      </c>
      <c r="C25" s="20" t="s">
        <v>2526</v>
      </c>
      <c r="D25" s="20" t="s">
        <v>2653</v>
      </c>
      <c r="E25" s="20" t="s">
        <v>2654</v>
      </c>
      <c r="F25" s="21">
        <v>10</v>
      </c>
      <c r="G25" s="21">
        <v>0</v>
      </c>
      <c r="H25" s="21">
        <v>25</v>
      </c>
      <c r="I25" s="21">
        <f>-H25</f>
        <v>-25</v>
      </c>
      <c r="J25" s="20" t="s">
        <v>2605</v>
      </c>
      <c r="K25" s="20" t="s">
        <v>15</v>
      </c>
      <c r="L25" s="20" t="s">
        <v>2602</v>
      </c>
      <c r="M25" s="20" t="s">
        <v>16</v>
      </c>
      <c r="N25" s="20"/>
      <c r="O25" s="20"/>
      <c r="P25" s="20"/>
      <c r="Q25" s="20">
        <v>1</v>
      </c>
      <c r="R25" s="29">
        <f>H25</f>
        <v>25</v>
      </c>
    </row>
    <row r="26" spans="1:18" s="22" customFormat="1" x14ac:dyDescent="0.25">
      <c r="A26" s="20"/>
      <c r="B26" s="20" t="s">
        <v>34</v>
      </c>
      <c r="C26" s="20" t="s">
        <v>2210</v>
      </c>
      <c r="D26" s="20" t="s">
        <v>2655</v>
      </c>
      <c r="E26" s="20" t="s">
        <v>2212</v>
      </c>
      <c r="F26" s="20" t="s">
        <v>123</v>
      </c>
      <c r="G26" s="21">
        <v>35</v>
      </c>
      <c r="H26" s="21">
        <v>35</v>
      </c>
      <c r="I26" s="21">
        <f t="shared" ref="I26:I37" si="2">G26-H26</f>
        <v>0</v>
      </c>
      <c r="J26" s="20" t="s">
        <v>2605</v>
      </c>
      <c r="K26" s="20" t="s">
        <v>15</v>
      </c>
      <c r="L26" s="20" t="s">
        <v>2602</v>
      </c>
      <c r="M26" s="20" t="s">
        <v>16</v>
      </c>
      <c r="N26" s="20"/>
      <c r="O26" s="20"/>
      <c r="P26" s="20"/>
      <c r="Q26" s="20">
        <v>1</v>
      </c>
    </row>
    <row r="27" spans="1:18" customFormat="1" x14ac:dyDescent="0.25">
      <c r="A27" s="18"/>
      <c r="B27" s="18" t="s">
        <v>34</v>
      </c>
      <c r="C27" s="18" t="s">
        <v>2656</v>
      </c>
      <c r="D27" s="18" t="s">
        <v>2657</v>
      </c>
      <c r="E27" s="18" t="s">
        <v>2658</v>
      </c>
      <c r="F27" s="19">
        <v>6</v>
      </c>
      <c r="G27" s="19">
        <v>815</v>
      </c>
      <c r="H27" s="19">
        <v>25</v>
      </c>
      <c r="I27" s="19">
        <f t="shared" si="2"/>
        <v>790</v>
      </c>
      <c r="J27" s="18" t="s">
        <v>2605</v>
      </c>
      <c r="K27" s="18" t="s">
        <v>15</v>
      </c>
      <c r="L27" s="18" t="s">
        <v>2602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498</v>
      </c>
      <c r="D28" s="18" t="s">
        <v>2659</v>
      </c>
      <c r="E28" s="18" t="s">
        <v>500</v>
      </c>
      <c r="F28" s="19">
        <v>7</v>
      </c>
      <c r="G28" s="19">
        <v>690</v>
      </c>
      <c r="H28" s="19">
        <v>30</v>
      </c>
      <c r="I28" s="19">
        <f t="shared" si="2"/>
        <v>660</v>
      </c>
      <c r="J28" s="18" t="s">
        <v>2605</v>
      </c>
      <c r="K28" s="18" t="s">
        <v>15</v>
      </c>
      <c r="L28" s="18" t="s">
        <v>2602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2660</v>
      </c>
      <c r="D29" s="18" t="s">
        <v>2661</v>
      </c>
      <c r="E29" s="18" t="s">
        <v>2662</v>
      </c>
      <c r="F29" s="19">
        <v>1</v>
      </c>
      <c r="G29" s="19">
        <v>695</v>
      </c>
      <c r="H29" s="19">
        <v>25</v>
      </c>
      <c r="I29" s="19">
        <f t="shared" si="2"/>
        <v>670</v>
      </c>
      <c r="J29" s="18" t="s">
        <v>2605</v>
      </c>
      <c r="K29" s="18" t="s">
        <v>15</v>
      </c>
      <c r="L29" s="18" t="s">
        <v>2602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2663</v>
      </c>
      <c r="D30" s="18" t="s">
        <v>2664</v>
      </c>
      <c r="E30" s="18" t="s">
        <v>2665</v>
      </c>
      <c r="F30" s="19">
        <v>6</v>
      </c>
      <c r="G30" s="19">
        <v>815</v>
      </c>
      <c r="H30" s="19">
        <v>25</v>
      </c>
      <c r="I30" s="19">
        <f t="shared" si="2"/>
        <v>790</v>
      </c>
      <c r="J30" s="18" t="s">
        <v>2605</v>
      </c>
      <c r="K30" s="18" t="s">
        <v>15</v>
      </c>
      <c r="L30" s="18" t="s">
        <v>2602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2666</v>
      </c>
      <c r="D31" s="18" t="s">
        <v>2667</v>
      </c>
      <c r="E31" s="18" t="s">
        <v>2668</v>
      </c>
      <c r="F31" s="18" t="s">
        <v>38</v>
      </c>
      <c r="G31" s="19">
        <v>690</v>
      </c>
      <c r="H31" s="19">
        <v>30</v>
      </c>
      <c r="I31" s="19">
        <f t="shared" si="2"/>
        <v>660</v>
      </c>
      <c r="J31" s="18" t="s">
        <v>2605</v>
      </c>
      <c r="K31" s="18" t="s">
        <v>15</v>
      </c>
      <c r="L31" s="18" t="s">
        <v>2602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2669</v>
      </c>
      <c r="D32" s="18" t="s">
        <v>2670</v>
      </c>
      <c r="E32" s="18" t="s">
        <v>808</v>
      </c>
      <c r="F32" s="19">
        <v>6</v>
      </c>
      <c r="G32" s="19">
        <v>815</v>
      </c>
      <c r="H32" s="19">
        <v>25</v>
      </c>
      <c r="I32" s="19">
        <f t="shared" si="2"/>
        <v>790</v>
      </c>
      <c r="J32" s="18" t="s">
        <v>2605</v>
      </c>
      <c r="K32" s="18" t="s">
        <v>15</v>
      </c>
      <c r="L32" s="18" t="s">
        <v>2602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2671</v>
      </c>
      <c r="D33" s="18" t="s">
        <v>2672</v>
      </c>
      <c r="E33" s="18" t="s">
        <v>2673</v>
      </c>
      <c r="F33" s="18" t="s">
        <v>123</v>
      </c>
      <c r="G33" s="19">
        <v>345</v>
      </c>
      <c r="H33" s="19">
        <v>35</v>
      </c>
      <c r="I33" s="19">
        <f t="shared" si="2"/>
        <v>310</v>
      </c>
      <c r="J33" s="18" t="s">
        <v>2605</v>
      </c>
      <c r="K33" s="18" t="s">
        <v>15</v>
      </c>
      <c r="L33" s="18" t="s">
        <v>2602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2674</v>
      </c>
      <c r="D34" s="18" t="s">
        <v>2675</v>
      </c>
      <c r="E34" s="18" t="s">
        <v>2676</v>
      </c>
      <c r="F34" s="19">
        <v>10</v>
      </c>
      <c r="G34" s="19">
        <v>875</v>
      </c>
      <c r="H34" s="19">
        <v>25</v>
      </c>
      <c r="I34" s="19">
        <f t="shared" si="2"/>
        <v>850</v>
      </c>
      <c r="J34" s="18" t="s">
        <v>2605</v>
      </c>
      <c r="K34" s="18" t="s">
        <v>15</v>
      </c>
      <c r="L34" s="18" t="s">
        <v>2602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2677</v>
      </c>
      <c r="D35" s="18" t="s">
        <v>2678</v>
      </c>
      <c r="E35" s="18" t="s">
        <v>2679</v>
      </c>
      <c r="F35" s="19">
        <v>8</v>
      </c>
      <c r="G35" s="19">
        <v>690</v>
      </c>
      <c r="H35" s="19">
        <v>30</v>
      </c>
      <c r="I35" s="19">
        <f t="shared" si="2"/>
        <v>660</v>
      </c>
      <c r="J35" s="18" t="s">
        <v>2605</v>
      </c>
      <c r="K35" s="18" t="s">
        <v>15</v>
      </c>
      <c r="L35" s="18" t="s">
        <v>2602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2680</v>
      </c>
      <c r="D36" s="18" t="s">
        <v>2681</v>
      </c>
      <c r="E36" s="18" t="s">
        <v>2682</v>
      </c>
      <c r="F36" s="19">
        <v>5</v>
      </c>
      <c r="G36" s="19">
        <v>925</v>
      </c>
      <c r="H36" s="19">
        <v>25</v>
      </c>
      <c r="I36" s="19">
        <f t="shared" si="2"/>
        <v>900</v>
      </c>
      <c r="J36" s="18" t="s">
        <v>2605</v>
      </c>
      <c r="K36" s="18" t="s">
        <v>15</v>
      </c>
      <c r="L36" s="18" t="s">
        <v>2602</v>
      </c>
      <c r="M36" s="18"/>
      <c r="N36" s="18"/>
      <c r="O36" s="18"/>
      <c r="P36" s="18"/>
      <c r="Q36" s="18">
        <v>1</v>
      </c>
    </row>
    <row r="37" spans="1:18" s="22" customFormat="1" x14ac:dyDescent="0.25">
      <c r="A37" s="20"/>
      <c r="B37" s="20" t="s">
        <v>34</v>
      </c>
      <c r="C37" s="20" t="s">
        <v>2683</v>
      </c>
      <c r="D37" s="20" t="s">
        <v>2684</v>
      </c>
      <c r="E37" s="20" t="s">
        <v>2685</v>
      </c>
      <c r="F37" s="20" t="s">
        <v>144</v>
      </c>
      <c r="G37" s="21">
        <v>690</v>
      </c>
      <c r="H37" s="21">
        <v>30</v>
      </c>
      <c r="I37" s="21">
        <f t="shared" si="2"/>
        <v>660</v>
      </c>
      <c r="J37" s="20" t="s">
        <v>15</v>
      </c>
      <c r="K37" s="20" t="s">
        <v>15</v>
      </c>
      <c r="L37" s="20" t="s">
        <v>2602</v>
      </c>
      <c r="M37" s="20" t="s">
        <v>16</v>
      </c>
      <c r="N37" s="20"/>
      <c r="O37" s="20"/>
      <c r="P37" s="20"/>
      <c r="Q37" s="20">
        <v>1</v>
      </c>
    </row>
    <row r="38" spans="1:18" customFormat="1" x14ac:dyDescent="0.25">
      <c r="A38" s="18"/>
      <c r="B38" s="18" t="s">
        <v>34</v>
      </c>
      <c r="C38" s="18" t="s">
        <v>977</v>
      </c>
      <c r="D38" s="18" t="s">
        <v>2686</v>
      </c>
      <c r="E38" s="18" t="s">
        <v>2687</v>
      </c>
      <c r="F38" s="18" t="s">
        <v>20</v>
      </c>
      <c r="G38" s="19">
        <v>0</v>
      </c>
      <c r="H38" s="19">
        <v>25</v>
      </c>
      <c r="I38" s="19">
        <f>-H38</f>
        <v>-25</v>
      </c>
      <c r="J38" s="18" t="s">
        <v>15</v>
      </c>
      <c r="K38" s="18" t="s">
        <v>15</v>
      </c>
      <c r="L38" s="18" t="s">
        <v>2602</v>
      </c>
      <c r="M38" s="48" t="s">
        <v>2688</v>
      </c>
      <c r="N38" s="18"/>
      <c r="O38" s="18"/>
      <c r="P38" s="18"/>
      <c r="Q38" s="18">
        <v>1</v>
      </c>
      <c r="R38" s="17">
        <f>H38</f>
        <v>25</v>
      </c>
    </row>
    <row r="39" spans="1:18" customFormat="1" x14ac:dyDescent="0.25">
      <c r="A39" s="18"/>
      <c r="B39" s="18" t="s">
        <v>34</v>
      </c>
      <c r="C39" s="18" t="s">
        <v>2689</v>
      </c>
      <c r="D39" s="18" t="s">
        <v>2690</v>
      </c>
      <c r="E39" s="18" t="s">
        <v>2691</v>
      </c>
      <c r="F39" s="18" t="s">
        <v>144</v>
      </c>
      <c r="G39" s="19">
        <v>820</v>
      </c>
      <c r="H39" s="19">
        <v>30</v>
      </c>
      <c r="I39" s="19">
        <f>G39-H39</f>
        <v>790</v>
      </c>
      <c r="J39" s="18" t="s">
        <v>15</v>
      </c>
      <c r="K39" s="18" t="s">
        <v>15</v>
      </c>
      <c r="L39" s="18" t="s">
        <v>2602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733</v>
      </c>
      <c r="D40" s="18" t="s">
        <v>2692</v>
      </c>
      <c r="E40" s="18" t="s">
        <v>2693</v>
      </c>
      <c r="F40" s="18" t="s">
        <v>144</v>
      </c>
      <c r="G40" s="19">
        <v>770</v>
      </c>
      <c r="H40" s="19">
        <v>30</v>
      </c>
      <c r="I40" s="19">
        <f>G40-H40</f>
        <v>740</v>
      </c>
      <c r="J40" s="18" t="s">
        <v>15</v>
      </c>
      <c r="K40" s="18" t="s">
        <v>15</v>
      </c>
      <c r="L40" s="18" t="s">
        <v>2602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2694</v>
      </c>
      <c r="D41" s="18" t="s">
        <v>2695</v>
      </c>
      <c r="E41" s="18" t="s">
        <v>2696</v>
      </c>
      <c r="F41" s="18" t="s">
        <v>19</v>
      </c>
      <c r="G41" s="19">
        <v>550</v>
      </c>
      <c r="H41" s="19">
        <v>20</v>
      </c>
      <c r="I41" s="19">
        <f>G41-H41</f>
        <v>530</v>
      </c>
      <c r="J41" s="18" t="s">
        <v>15</v>
      </c>
      <c r="K41" s="18" t="s">
        <v>15</v>
      </c>
      <c r="L41" s="18" t="s">
        <v>2602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1748</v>
      </c>
      <c r="D42" s="18" t="s">
        <v>2697</v>
      </c>
      <c r="E42" s="18" t="s">
        <v>1515</v>
      </c>
      <c r="F42" s="18" t="s">
        <v>20</v>
      </c>
      <c r="G42" s="19">
        <v>1455</v>
      </c>
      <c r="H42" s="19">
        <v>25</v>
      </c>
      <c r="I42" s="19">
        <f>G42-H42</f>
        <v>1430</v>
      </c>
      <c r="J42" s="18" t="s">
        <v>15</v>
      </c>
      <c r="K42" s="18" t="s">
        <v>15</v>
      </c>
      <c r="L42" s="18" t="s">
        <v>2602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148</v>
      </c>
      <c r="D43" s="18" t="s">
        <v>2698</v>
      </c>
      <c r="E43" s="18" t="s">
        <v>150</v>
      </c>
      <c r="F43" s="18" t="s">
        <v>19</v>
      </c>
      <c r="G43" s="19">
        <v>0</v>
      </c>
      <c r="H43" s="19">
        <v>20</v>
      </c>
      <c r="I43" s="19">
        <f>-H43</f>
        <v>-20</v>
      </c>
      <c r="J43" s="18" t="s">
        <v>15</v>
      </c>
      <c r="K43" s="18" t="s">
        <v>15</v>
      </c>
      <c r="L43" s="18" t="s">
        <v>2602</v>
      </c>
      <c r="M43" s="18"/>
      <c r="N43" s="18"/>
      <c r="O43" s="18"/>
      <c r="P43" s="18"/>
      <c r="Q43" s="18">
        <v>1</v>
      </c>
      <c r="R43" s="17">
        <f>H43</f>
        <v>20</v>
      </c>
    </row>
    <row r="44" spans="1:18" customFormat="1" x14ac:dyDescent="0.25">
      <c r="A44" s="18"/>
      <c r="B44" s="18" t="s">
        <v>34</v>
      </c>
      <c r="C44" s="18" t="s">
        <v>2699</v>
      </c>
      <c r="D44" s="18" t="s">
        <v>2700</v>
      </c>
      <c r="E44" s="18" t="s">
        <v>2701</v>
      </c>
      <c r="F44" s="18" t="s">
        <v>18</v>
      </c>
      <c r="G44" s="19">
        <v>715</v>
      </c>
      <c r="H44" s="19">
        <v>25</v>
      </c>
      <c r="I44" s="19">
        <f t="shared" ref="I44:I52" si="3">G44-H44</f>
        <v>690</v>
      </c>
      <c r="J44" s="18" t="s">
        <v>15</v>
      </c>
      <c r="K44" s="18" t="s">
        <v>15</v>
      </c>
      <c r="L44" s="18" t="s">
        <v>2602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2702</v>
      </c>
      <c r="D45" s="18" t="s">
        <v>2703</v>
      </c>
      <c r="E45" s="18" t="s">
        <v>2704</v>
      </c>
      <c r="F45" s="18" t="s">
        <v>20</v>
      </c>
      <c r="G45" s="19">
        <v>685</v>
      </c>
      <c r="H45" s="19">
        <v>25</v>
      </c>
      <c r="I45" s="19">
        <f t="shared" si="3"/>
        <v>660</v>
      </c>
      <c r="J45" s="18" t="s">
        <v>15</v>
      </c>
      <c r="K45" s="18" t="s">
        <v>15</v>
      </c>
      <c r="L45" s="18" t="s">
        <v>2602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2705</v>
      </c>
      <c r="D46" s="18" t="s">
        <v>2706</v>
      </c>
      <c r="E46" s="18" t="s">
        <v>2707</v>
      </c>
      <c r="F46" s="18" t="s">
        <v>17</v>
      </c>
      <c r="G46" s="19">
        <v>680</v>
      </c>
      <c r="H46" s="19">
        <v>20</v>
      </c>
      <c r="I46" s="19">
        <f t="shared" si="3"/>
        <v>660</v>
      </c>
      <c r="J46" s="18" t="s">
        <v>15</v>
      </c>
      <c r="K46" s="18" t="s">
        <v>15</v>
      </c>
      <c r="L46" s="18" t="s">
        <v>2602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628</v>
      </c>
      <c r="D47" s="18" t="s">
        <v>2708</v>
      </c>
      <c r="E47" s="18" t="s">
        <v>2709</v>
      </c>
      <c r="F47" s="18" t="s">
        <v>20</v>
      </c>
      <c r="G47" s="19">
        <v>720</v>
      </c>
      <c r="H47" s="19">
        <v>25</v>
      </c>
      <c r="I47" s="19">
        <f t="shared" si="3"/>
        <v>695</v>
      </c>
      <c r="J47" s="18" t="s">
        <v>15</v>
      </c>
      <c r="K47" s="18" t="s">
        <v>15</v>
      </c>
      <c r="L47" s="18" t="s">
        <v>2602</v>
      </c>
      <c r="M47" s="48" t="s">
        <v>377</v>
      </c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2710</v>
      </c>
      <c r="D48" s="18" t="s">
        <v>2711</v>
      </c>
      <c r="E48" s="18" t="s">
        <v>2712</v>
      </c>
      <c r="F48" s="18" t="s">
        <v>18</v>
      </c>
      <c r="G48" s="19">
        <v>685</v>
      </c>
      <c r="H48" s="19">
        <v>25</v>
      </c>
      <c r="I48" s="19">
        <f t="shared" si="3"/>
        <v>660</v>
      </c>
      <c r="J48" s="18" t="s">
        <v>15</v>
      </c>
      <c r="K48" s="18" t="s">
        <v>15</v>
      </c>
      <c r="L48" s="18" t="s">
        <v>2602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2713</v>
      </c>
      <c r="D49" s="18" t="s">
        <v>2714</v>
      </c>
      <c r="E49" s="18" t="s">
        <v>2715</v>
      </c>
      <c r="F49" s="18" t="s">
        <v>19</v>
      </c>
      <c r="G49" s="19">
        <v>2260</v>
      </c>
      <c r="H49" s="19">
        <v>25</v>
      </c>
      <c r="I49" s="19">
        <f t="shared" si="3"/>
        <v>2235</v>
      </c>
      <c r="J49" s="18" t="s">
        <v>15</v>
      </c>
      <c r="K49" s="18" t="s">
        <v>15</v>
      </c>
      <c r="L49" s="18" t="s">
        <v>2602</v>
      </c>
      <c r="M49" s="48" t="s">
        <v>377</v>
      </c>
      <c r="N49" s="18"/>
      <c r="O49" s="18"/>
      <c r="P49" s="18"/>
      <c r="Q49" s="18">
        <v>1</v>
      </c>
      <c r="R49" s="17">
        <f>H49</f>
        <v>25</v>
      </c>
    </row>
    <row r="50" spans="1:18" customFormat="1" x14ac:dyDescent="0.25">
      <c r="A50" s="18" t="s">
        <v>96</v>
      </c>
      <c r="B50" s="18" t="s">
        <v>34</v>
      </c>
      <c r="C50" s="18" t="s">
        <v>640</v>
      </c>
      <c r="D50" s="18"/>
      <c r="E50" s="18" t="s">
        <v>641</v>
      </c>
      <c r="F50" s="18" t="s">
        <v>20</v>
      </c>
      <c r="G50" s="19">
        <v>3955</v>
      </c>
      <c r="H50" s="19">
        <v>35</v>
      </c>
      <c r="I50" s="19">
        <f t="shared" si="3"/>
        <v>3920</v>
      </c>
      <c r="J50" s="18" t="s">
        <v>15</v>
      </c>
      <c r="K50" s="18" t="s">
        <v>15</v>
      </c>
      <c r="L50" s="18" t="s">
        <v>2602</v>
      </c>
      <c r="M50" s="18"/>
      <c r="N50" s="18"/>
      <c r="O50" s="18"/>
      <c r="P50" s="18"/>
      <c r="Q50" s="18">
        <v>1</v>
      </c>
    </row>
    <row r="51" spans="1:18" customFormat="1" x14ac:dyDescent="0.25">
      <c r="A51" s="18" t="s">
        <v>96</v>
      </c>
      <c r="B51" s="18" t="s">
        <v>34</v>
      </c>
      <c r="C51" s="18" t="s">
        <v>586</v>
      </c>
      <c r="D51" s="18"/>
      <c r="E51" s="18" t="s">
        <v>2716</v>
      </c>
      <c r="F51" s="18" t="s">
        <v>2717</v>
      </c>
      <c r="G51" s="19">
        <v>1415</v>
      </c>
      <c r="H51" s="19">
        <v>35</v>
      </c>
      <c r="I51" s="19">
        <f t="shared" si="3"/>
        <v>1380</v>
      </c>
      <c r="J51" s="18" t="s">
        <v>15</v>
      </c>
      <c r="K51" s="18" t="s">
        <v>15</v>
      </c>
      <c r="L51" s="18" t="s">
        <v>2602</v>
      </c>
      <c r="M51" s="18"/>
      <c r="N51" s="18"/>
      <c r="O51" s="18"/>
      <c r="P51" s="18"/>
      <c r="Q51" s="18">
        <v>1</v>
      </c>
    </row>
    <row r="52" spans="1:18" customFormat="1" x14ac:dyDescent="0.25">
      <c r="A52" s="18" t="s">
        <v>96</v>
      </c>
      <c r="B52" s="18" t="s">
        <v>34</v>
      </c>
      <c r="C52" s="18" t="s">
        <v>312</v>
      </c>
      <c r="D52" s="18"/>
      <c r="E52" s="18" t="s">
        <v>2718</v>
      </c>
      <c r="F52" s="18" t="s">
        <v>20</v>
      </c>
      <c r="G52" s="19">
        <v>30</v>
      </c>
      <c r="H52" s="19">
        <v>30</v>
      </c>
      <c r="I52" s="19">
        <f t="shared" si="3"/>
        <v>0</v>
      </c>
      <c r="J52" s="18" t="s">
        <v>15</v>
      </c>
      <c r="K52" s="18" t="s">
        <v>15</v>
      </c>
      <c r="L52" s="18" t="s">
        <v>2602</v>
      </c>
      <c r="M52" s="18"/>
      <c r="N52" s="18"/>
      <c r="O52" s="18"/>
      <c r="P52" s="18"/>
      <c r="Q52" s="18">
        <v>1</v>
      </c>
    </row>
    <row r="54" spans="1:18" x14ac:dyDescent="0.25">
      <c r="G54" s="1">
        <f t="shared" ref="G54:R54" si="4">SUBTOTAL(9,G3:G53)</f>
        <v>35300</v>
      </c>
      <c r="H54" s="1">
        <f t="shared" si="4"/>
        <v>1345</v>
      </c>
      <c r="I54" s="1">
        <f t="shared" si="4"/>
        <v>33955</v>
      </c>
      <c r="J54" s="1">
        <f t="shared" si="4"/>
        <v>0</v>
      </c>
      <c r="K54" s="1">
        <f t="shared" si="4"/>
        <v>0</v>
      </c>
      <c r="L54" s="1">
        <f t="shared" si="4"/>
        <v>0</v>
      </c>
      <c r="M54" s="1">
        <f t="shared" si="4"/>
        <v>0</v>
      </c>
      <c r="N54" s="1">
        <f t="shared" si="4"/>
        <v>0</v>
      </c>
      <c r="O54" s="1">
        <f t="shared" si="4"/>
        <v>0</v>
      </c>
      <c r="P54" s="1">
        <f t="shared" si="4"/>
        <v>0</v>
      </c>
      <c r="Q54" s="1">
        <f t="shared" si="4"/>
        <v>50</v>
      </c>
      <c r="R54" s="1">
        <f t="shared" si="4"/>
        <v>285</v>
      </c>
    </row>
    <row r="55" spans="1:18" x14ac:dyDescent="0.25">
      <c r="I55" s="1">
        <v>-765</v>
      </c>
      <c r="J55" s="1" t="s">
        <v>2719</v>
      </c>
    </row>
    <row r="58" spans="1:18" ht="20.25" customHeight="1" x14ac:dyDescent="0.3">
      <c r="H58" s="4" t="s">
        <v>2598</v>
      </c>
      <c r="I58" s="5" t="s">
        <v>21</v>
      </c>
      <c r="J58" s="6" t="s">
        <v>22</v>
      </c>
    </row>
    <row r="59" spans="1:18" ht="15.75" customHeight="1" x14ac:dyDescent="0.25">
      <c r="H59" s="7" t="s">
        <v>23</v>
      </c>
      <c r="I59" s="8">
        <f>SUM(I53:I57)</f>
        <v>33190</v>
      </c>
      <c r="J59" s="8">
        <f>Q54</f>
        <v>50</v>
      </c>
    </row>
    <row r="60" spans="1:18" x14ac:dyDescent="0.25">
      <c r="H60" s="9" t="s">
        <v>24</v>
      </c>
      <c r="I60" s="10">
        <f>R54</f>
        <v>285</v>
      </c>
      <c r="J60" s="11"/>
    </row>
    <row r="61" spans="1:18" x14ac:dyDescent="0.25">
      <c r="H61" s="9" t="s">
        <v>25</v>
      </c>
      <c r="I61" s="10">
        <f>S53</f>
        <v>0</v>
      </c>
      <c r="J61" s="11"/>
    </row>
    <row r="62" spans="1:18" x14ac:dyDescent="0.25">
      <c r="H62" s="9" t="s">
        <v>26</v>
      </c>
      <c r="I62" s="10">
        <f>T53</f>
        <v>0</v>
      </c>
      <c r="J62" s="11"/>
    </row>
    <row r="63" spans="1:18" x14ac:dyDescent="0.25">
      <c r="H63" s="9" t="s">
        <v>27</v>
      </c>
      <c r="I63" s="10">
        <f>U53</f>
        <v>0</v>
      </c>
      <c r="J63" s="11"/>
    </row>
    <row r="64" spans="1:18" ht="15.75" customHeight="1" x14ac:dyDescent="0.25">
      <c r="H64" s="12" t="s">
        <v>28</v>
      </c>
      <c r="I64" s="13"/>
      <c r="J64" s="13"/>
    </row>
    <row r="65" spans="1:12" ht="15.75" customHeight="1" x14ac:dyDescent="0.25">
      <c r="H65" s="14" t="s">
        <v>29</v>
      </c>
      <c r="I65" s="13"/>
      <c r="J65" s="13"/>
    </row>
    <row r="66" spans="1:12" ht="21" customHeight="1" x14ac:dyDescent="0.35">
      <c r="H66" s="15" t="s">
        <v>30</v>
      </c>
      <c r="I66" s="16">
        <f>SUM(I59:I65)</f>
        <v>33475</v>
      </c>
      <c r="J66" s="16">
        <f>SUM(J59:J63)</f>
        <v>50</v>
      </c>
    </row>
    <row r="68" spans="1:12" x14ac:dyDescent="0.25">
      <c r="A68" s="1" t="s">
        <v>173</v>
      </c>
    </row>
    <row r="69" spans="1:12" x14ac:dyDescent="0.25">
      <c r="A69" s="24" t="s">
        <v>34</v>
      </c>
      <c r="B69" s="24" t="s">
        <v>2040</v>
      </c>
      <c r="C69" s="24" t="s">
        <v>2600</v>
      </c>
      <c r="D69" s="24" t="s">
        <v>2601</v>
      </c>
      <c r="E69" s="24">
        <v>9</v>
      </c>
      <c r="F69" s="25">
        <v>730</v>
      </c>
      <c r="G69" s="25">
        <v>0</v>
      </c>
      <c r="H69" s="25">
        <f>F69-G69</f>
        <v>730</v>
      </c>
      <c r="I69" s="24" t="s">
        <v>56</v>
      </c>
      <c r="J69" s="24" t="s">
        <v>15</v>
      </c>
      <c r="K69" s="24" t="s">
        <v>2602</v>
      </c>
      <c r="L69" s="26" t="s">
        <v>2603</v>
      </c>
    </row>
    <row r="70" spans="1:12" x14ac:dyDescent="0.25">
      <c r="A70" s="55" t="s">
        <v>34</v>
      </c>
      <c r="B70" s="55" t="s">
        <v>2628</v>
      </c>
      <c r="C70" s="55" t="s">
        <v>2629</v>
      </c>
      <c r="D70" s="55" t="s">
        <v>2630</v>
      </c>
      <c r="E70" s="55">
        <v>6</v>
      </c>
      <c r="F70" s="55">
        <v>1895</v>
      </c>
      <c r="G70" s="55">
        <v>0</v>
      </c>
      <c r="H70" s="25">
        <f t="shared" ref="H70" si="5">F70-G70</f>
        <v>1895</v>
      </c>
      <c r="I70" s="55" t="s">
        <v>2605</v>
      </c>
      <c r="J70" s="55" t="s">
        <v>15</v>
      </c>
      <c r="K70" s="55" t="s">
        <v>2602</v>
      </c>
      <c r="L70" s="56" t="s">
        <v>2631</v>
      </c>
    </row>
    <row r="71" spans="1:12" x14ac:dyDescent="0.25">
      <c r="A71" s="55" t="s">
        <v>34</v>
      </c>
      <c r="B71" s="55" t="s">
        <v>977</v>
      </c>
      <c r="C71" s="55" t="s">
        <v>2686</v>
      </c>
      <c r="D71" s="55" t="s">
        <v>2687</v>
      </c>
      <c r="E71" s="55" t="s">
        <v>20</v>
      </c>
      <c r="F71" s="55">
        <v>685</v>
      </c>
      <c r="G71" s="55">
        <v>0</v>
      </c>
      <c r="H71" s="25">
        <f>F71-G71</f>
        <v>685</v>
      </c>
      <c r="I71" s="55" t="s">
        <v>15</v>
      </c>
      <c r="J71" s="55" t="s">
        <v>15</v>
      </c>
      <c r="K71" s="55" t="s">
        <v>2602</v>
      </c>
      <c r="L71" s="56" t="s">
        <v>2688</v>
      </c>
    </row>
  </sheetData>
  <autoFilter ref="A2:P52" xr:uid="{00000000-0009-0000-0000-000006000000}">
    <sortState xmlns:xlrd2="http://schemas.microsoft.com/office/spreadsheetml/2017/richdata2" ref="A3:P52">
      <sortCondition ref="J2:J52"/>
    </sortState>
  </autoFilter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16EF1-3504-457D-9233-F6E71F036E37}">
  <dimension ref="A1:R139"/>
  <sheetViews>
    <sheetView tabSelected="1" zoomScaleNormal="100" workbookViewId="0">
      <selection activeCell="L131" sqref="L131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9.140625" style="1" bestFit="1" customWidth="1"/>
    <col min="14" max="16384" width="9.140625" style="1"/>
  </cols>
  <sheetData>
    <row r="1" spans="1:18" x14ac:dyDescent="0.25">
      <c r="B1" s="1" t="s">
        <v>442</v>
      </c>
      <c r="C1" s="1" t="s">
        <v>3012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2721</v>
      </c>
      <c r="D3" s="18" t="s">
        <v>2722</v>
      </c>
      <c r="E3" s="18" t="s">
        <v>2723</v>
      </c>
      <c r="F3" s="19">
        <v>9</v>
      </c>
      <c r="G3" s="19">
        <v>890</v>
      </c>
      <c r="H3" s="19">
        <v>30</v>
      </c>
      <c r="I3" s="19">
        <f>G3-H3</f>
        <v>860</v>
      </c>
      <c r="J3" s="18" t="s">
        <v>56</v>
      </c>
      <c r="K3" s="18" t="s">
        <v>15</v>
      </c>
      <c r="L3" s="18" t="s">
        <v>2724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2725</v>
      </c>
      <c r="D4" s="18" t="s">
        <v>2726</v>
      </c>
      <c r="E4" s="18" t="s">
        <v>364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56</v>
      </c>
      <c r="K4" s="18" t="s">
        <v>15</v>
      </c>
      <c r="L4" s="18" t="s">
        <v>2724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2727</v>
      </c>
      <c r="D5" s="18" t="s">
        <v>2728</v>
      </c>
      <c r="E5" s="18" t="s">
        <v>2729</v>
      </c>
      <c r="F5" s="19">
        <v>9</v>
      </c>
      <c r="G5" s="19">
        <v>0</v>
      </c>
      <c r="H5" s="19">
        <v>30</v>
      </c>
      <c r="I5" s="19">
        <f>-H5</f>
        <v>-30</v>
      </c>
      <c r="J5" s="18" t="s">
        <v>56</v>
      </c>
      <c r="K5" s="18" t="s">
        <v>15</v>
      </c>
      <c r="L5" s="18" t="s">
        <v>2724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2730</v>
      </c>
      <c r="D6" s="18" t="s">
        <v>2731</v>
      </c>
      <c r="E6" s="18" t="s">
        <v>2732</v>
      </c>
      <c r="F6" s="19">
        <v>9</v>
      </c>
      <c r="G6" s="19">
        <v>770</v>
      </c>
      <c r="H6" s="19">
        <v>30</v>
      </c>
      <c r="I6" s="19">
        <f>G6-H6</f>
        <v>740</v>
      </c>
      <c r="J6" s="18" t="s">
        <v>56</v>
      </c>
      <c r="K6" s="18" t="s">
        <v>15</v>
      </c>
      <c r="L6" s="18" t="s">
        <v>2724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2733</v>
      </c>
      <c r="D7" s="18" t="s">
        <v>2734</v>
      </c>
      <c r="E7" s="18" t="s">
        <v>2735</v>
      </c>
      <c r="F7" s="19">
        <v>9</v>
      </c>
      <c r="G7" s="19">
        <v>820</v>
      </c>
      <c r="H7" s="19">
        <v>30</v>
      </c>
      <c r="I7" s="19">
        <f>G7-H7</f>
        <v>790</v>
      </c>
      <c r="J7" s="18" t="s">
        <v>56</v>
      </c>
      <c r="K7" s="18" t="s">
        <v>15</v>
      </c>
      <c r="L7" s="18" t="s">
        <v>2724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2736</v>
      </c>
      <c r="D8" s="18" t="s">
        <v>2737</v>
      </c>
      <c r="E8" s="18" t="s">
        <v>2738</v>
      </c>
      <c r="F8" s="19">
        <v>9</v>
      </c>
      <c r="G8" s="19">
        <v>0</v>
      </c>
      <c r="H8" s="19">
        <v>30</v>
      </c>
      <c r="I8" s="19">
        <f>-H8</f>
        <v>-30</v>
      </c>
      <c r="J8" s="18" t="s">
        <v>56</v>
      </c>
      <c r="K8" s="18" t="s">
        <v>15</v>
      </c>
      <c r="L8" s="18" t="s">
        <v>2724</v>
      </c>
      <c r="M8" s="18"/>
      <c r="N8" s="18"/>
      <c r="O8" s="18"/>
      <c r="P8" s="18"/>
      <c r="Q8" s="18">
        <v>1</v>
      </c>
      <c r="R8" s="17">
        <f>H8</f>
        <v>30</v>
      </c>
    </row>
    <row r="9" spans="1:18" customFormat="1" x14ac:dyDescent="0.25">
      <c r="A9" s="18"/>
      <c r="B9" s="18" t="s">
        <v>34</v>
      </c>
      <c r="C9" s="18" t="s">
        <v>2739</v>
      </c>
      <c r="D9" s="18" t="s">
        <v>2740</v>
      </c>
      <c r="E9" s="18" t="s">
        <v>176</v>
      </c>
      <c r="F9" s="19">
        <v>9</v>
      </c>
      <c r="G9" s="19">
        <v>1830</v>
      </c>
      <c r="H9" s="19">
        <v>30</v>
      </c>
      <c r="I9" s="19">
        <f t="shared" ref="I9:I14" si="0">G9-H9</f>
        <v>1800</v>
      </c>
      <c r="J9" s="18" t="s">
        <v>56</v>
      </c>
      <c r="K9" s="18" t="s">
        <v>15</v>
      </c>
      <c r="L9" s="18" t="s">
        <v>2724</v>
      </c>
      <c r="M9" s="48" t="s">
        <v>377</v>
      </c>
      <c r="N9" s="18"/>
      <c r="O9" s="18"/>
      <c r="P9" s="18"/>
      <c r="Q9" s="18">
        <v>1</v>
      </c>
      <c r="R9" s="17">
        <f>H9</f>
        <v>30</v>
      </c>
    </row>
    <row r="10" spans="1:18" customFormat="1" x14ac:dyDescent="0.25">
      <c r="A10" s="18"/>
      <c r="B10" s="18" t="s">
        <v>34</v>
      </c>
      <c r="C10" s="18" t="s">
        <v>2741</v>
      </c>
      <c r="D10" s="18" t="s">
        <v>2742</v>
      </c>
      <c r="E10" s="18" t="s">
        <v>2743</v>
      </c>
      <c r="F10" s="19">
        <v>7</v>
      </c>
      <c r="G10" s="19">
        <v>720</v>
      </c>
      <c r="H10" s="19">
        <v>30</v>
      </c>
      <c r="I10" s="19">
        <f t="shared" si="0"/>
        <v>690</v>
      </c>
      <c r="J10" s="18" t="s">
        <v>2744</v>
      </c>
      <c r="K10" s="18" t="s">
        <v>15</v>
      </c>
      <c r="L10" s="18" t="s">
        <v>2724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2663</v>
      </c>
      <c r="D11" s="18" t="s">
        <v>2745</v>
      </c>
      <c r="E11" s="18" t="s">
        <v>2665</v>
      </c>
      <c r="F11" s="19">
        <v>6</v>
      </c>
      <c r="G11" s="19">
        <v>815</v>
      </c>
      <c r="H11" s="19">
        <v>25</v>
      </c>
      <c r="I11" s="19">
        <f t="shared" si="0"/>
        <v>790</v>
      </c>
      <c r="J11" s="18" t="s">
        <v>2744</v>
      </c>
      <c r="K11" s="18" t="s">
        <v>15</v>
      </c>
      <c r="L11" s="18" t="s">
        <v>2724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2746</v>
      </c>
      <c r="D12" s="18" t="s">
        <v>2747</v>
      </c>
      <c r="E12" s="18" t="s">
        <v>2748</v>
      </c>
      <c r="F12" s="19">
        <v>7</v>
      </c>
      <c r="G12" s="19">
        <v>770</v>
      </c>
      <c r="H12" s="19">
        <v>30</v>
      </c>
      <c r="I12" s="19">
        <f t="shared" si="0"/>
        <v>740</v>
      </c>
      <c r="J12" s="18" t="s">
        <v>2744</v>
      </c>
      <c r="K12" s="18" t="s">
        <v>15</v>
      </c>
      <c r="L12" s="18" t="s">
        <v>2724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2749</v>
      </c>
      <c r="D13" s="18" t="s">
        <v>2750</v>
      </c>
      <c r="E13" s="18" t="s">
        <v>2751</v>
      </c>
      <c r="F13" s="19">
        <v>8</v>
      </c>
      <c r="G13" s="19">
        <v>480</v>
      </c>
      <c r="H13" s="19">
        <v>30</v>
      </c>
      <c r="I13" s="19">
        <f t="shared" si="0"/>
        <v>450</v>
      </c>
      <c r="J13" s="18" t="s">
        <v>2744</v>
      </c>
      <c r="K13" s="18" t="s">
        <v>15</v>
      </c>
      <c r="L13" s="18" t="s">
        <v>2724</v>
      </c>
      <c r="M13" s="48" t="s">
        <v>307</v>
      </c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2749</v>
      </c>
      <c r="D14" s="18" t="s">
        <v>2752</v>
      </c>
      <c r="E14" s="18" t="s">
        <v>2751</v>
      </c>
      <c r="F14" s="19">
        <v>8</v>
      </c>
      <c r="G14" s="19">
        <v>370</v>
      </c>
      <c r="H14" s="19">
        <v>0</v>
      </c>
      <c r="I14" s="19">
        <f t="shared" si="0"/>
        <v>370</v>
      </c>
      <c r="J14" s="18" t="s">
        <v>2744</v>
      </c>
      <c r="K14" s="18" t="s">
        <v>15</v>
      </c>
      <c r="L14" s="18" t="s">
        <v>2724</v>
      </c>
      <c r="M14" s="48" t="s">
        <v>307</v>
      </c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2753</v>
      </c>
      <c r="D15" s="18" t="s">
        <v>2754</v>
      </c>
      <c r="E15" s="18" t="s">
        <v>2755</v>
      </c>
      <c r="F15" s="18" t="s">
        <v>212</v>
      </c>
      <c r="G15" s="19">
        <v>0</v>
      </c>
      <c r="H15" s="19">
        <v>25</v>
      </c>
      <c r="I15" s="19">
        <f>-H15</f>
        <v>-25</v>
      </c>
      <c r="J15" s="18" t="s">
        <v>2744</v>
      </c>
      <c r="K15" s="18" t="s">
        <v>15</v>
      </c>
      <c r="L15" s="18" t="s">
        <v>2724</v>
      </c>
      <c r="M15" s="18"/>
      <c r="N15" s="18"/>
      <c r="O15" s="18"/>
      <c r="P15" s="18"/>
      <c r="Q15" s="18">
        <v>1</v>
      </c>
      <c r="R15" s="17">
        <f>H15</f>
        <v>25</v>
      </c>
    </row>
    <row r="16" spans="1:18" customFormat="1" x14ac:dyDescent="0.25">
      <c r="A16" s="18"/>
      <c r="B16" s="18" t="s">
        <v>34</v>
      </c>
      <c r="C16" s="18" t="s">
        <v>2506</v>
      </c>
      <c r="D16" s="18" t="s">
        <v>2756</v>
      </c>
      <c r="E16" s="18" t="s">
        <v>2508</v>
      </c>
      <c r="F16" s="18" t="s">
        <v>38</v>
      </c>
      <c r="G16" s="19">
        <v>780</v>
      </c>
      <c r="H16" s="19">
        <v>30</v>
      </c>
      <c r="I16" s="19">
        <f>G16-H16</f>
        <v>750</v>
      </c>
      <c r="J16" s="18" t="s">
        <v>2744</v>
      </c>
      <c r="K16" s="18" t="s">
        <v>15</v>
      </c>
      <c r="L16" s="18" t="s">
        <v>2724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1719</v>
      </c>
      <c r="D17" s="18" t="s">
        <v>2757</v>
      </c>
      <c r="E17" s="18" t="s">
        <v>1721</v>
      </c>
      <c r="F17" s="19">
        <v>7</v>
      </c>
      <c r="G17" s="19">
        <v>690</v>
      </c>
      <c r="H17" s="19">
        <v>30</v>
      </c>
      <c r="I17" s="19">
        <f>G17-H17</f>
        <v>660</v>
      </c>
      <c r="J17" s="18" t="s">
        <v>2744</v>
      </c>
      <c r="K17" s="18" t="s">
        <v>15</v>
      </c>
      <c r="L17" s="18" t="s">
        <v>2724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191</v>
      </c>
      <c r="D18" s="18" t="s">
        <v>2758</v>
      </c>
      <c r="E18" s="18" t="s">
        <v>2759</v>
      </c>
      <c r="F18" s="19">
        <v>12</v>
      </c>
      <c r="G18" s="19">
        <v>720</v>
      </c>
      <c r="H18" s="19">
        <v>30</v>
      </c>
      <c r="I18" s="19">
        <f>G18-H18</f>
        <v>690</v>
      </c>
      <c r="J18" s="18" t="s">
        <v>2744</v>
      </c>
      <c r="K18" s="18" t="s">
        <v>15</v>
      </c>
      <c r="L18" s="18" t="s">
        <v>2724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1612</v>
      </c>
      <c r="D19" s="18" t="s">
        <v>2760</v>
      </c>
      <c r="E19" s="18" t="s">
        <v>1614</v>
      </c>
      <c r="F19" s="19">
        <v>6</v>
      </c>
      <c r="G19" s="19">
        <v>0</v>
      </c>
      <c r="H19" s="19">
        <v>25</v>
      </c>
      <c r="I19" s="19">
        <f>-H19</f>
        <v>-25</v>
      </c>
      <c r="J19" s="18" t="s">
        <v>2744</v>
      </c>
      <c r="K19" s="18" t="s">
        <v>15</v>
      </c>
      <c r="L19" s="18" t="s">
        <v>2724</v>
      </c>
      <c r="M19" s="18"/>
      <c r="N19" s="18"/>
      <c r="O19" s="18"/>
      <c r="P19" s="18"/>
      <c r="Q19" s="18">
        <v>1</v>
      </c>
      <c r="R19" s="17">
        <f>H19</f>
        <v>25</v>
      </c>
    </row>
    <row r="20" spans="1:18" customFormat="1" x14ac:dyDescent="0.25">
      <c r="A20" s="18"/>
      <c r="B20" s="18" t="s">
        <v>34</v>
      </c>
      <c r="C20" s="18" t="s">
        <v>2761</v>
      </c>
      <c r="D20" s="18" t="s">
        <v>2762</v>
      </c>
      <c r="E20" s="18" t="s">
        <v>2763</v>
      </c>
      <c r="F20" s="18" t="s">
        <v>212</v>
      </c>
      <c r="G20" s="19">
        <v>375</v>
      </c>
      <c r="H20" s="19">
        <v>25</v>
      </c>
      <c r="I20" s="19">
        <f>G20-H20</f>
        <v>350</v>
      </c>
      <c r="J20" s="18" t="s">
        <v>2744</v>
      </c>
      <c r="K20" s="18" t="s">
        <v>15</v>
      </c>
      <c r="L20" s="18" t="s">
        <v>2724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1203</v>
      </c>
      <c r="D21" s="18" t="s">
        <v>2764</v>
      </c>
      <c r="E21" s="18" t="s">
        <v>1205</v>
      </c>
      <c r="F21" s="19">
        <v>7</v>
      </c>
      <c r="G21" s="19">
        <v>2110</v>
      </c>
      <c r="H21" s="19">
        <v>35</v>
      </c>
      <c r="I21" s="19">
        <f>G21-H21</f>
        <v>2075</v>
      </c>
      <c r="J21" s="18" t="s">
        <v>2744</v>
      </c>
      <c r="K21" s="18" t="s">
        <v>15</v>
      </c>
      <c r="L21" s="18" t="s">
        <v>2724</v>
      </c>
      <c r="M21" s="48" t="s">
        <v>377</v>
      </c>
      <c r="N21" s="18"/>
      <c r="O21" s="18"/>
      <c r="P21" s="18"/>
      <c r="Q21" s="18">
        <v>1</v>
      </c>
      <c r="R21" s="17">
        <f>H21</f>
        <v>35</v>
      </c>
    </row>
    <row r="22" spans="1:18" customFormat="1" x14ac:dyDescent="0.25">
      <c r="A22" s="18"/>
      <c r="B22" s="18" t="s">
        <v>34</v>
      </c>
      <c r="C22" s="18" t="s">
        <v>2765</v>
      </c>
      <c r="D22" s="18" t="s">
        <v>2766</v>
      </c>
      <c r="E22" s="18" t="s">
        <v>2767</v>
      </c>
      <c r="F22" s="19">
        <v>7</v>
      </c>
      <c r="G22" s="19">
        <v>0</v>
      </c>
      <c r="H22" s="19">
        <v>30</v>
      </c>
      <c r="I22" s="19">
        <f>-H22</f>
        <v>-30</v>
      </c>
      <c r="J22" s="18" t="s">
        <v>2744</v>
      </c>
      <c r="K22" s="18" t="s">
        <v>15</v>
      </c>
      <c r="L22" s="18" t="s">
        <v>2724</v>
      </c>
      <c r="M22" s="18"/>
      <c r="N22" s="18"/>
      <c r="O22" s="18"/>
      <c r="P22" s="18"/>
      <c r="Q22" s="18">
        <v>1</v>
      </c>
      <c r="R22" s="17">
        <f t="shared" ref="R22:R23" si="1">H22</f>
        <v>30</v>
      </c>
    </row>
    <row r="23" spans="1:18" customFormat="1" x14ac:dyDescent="0.25">
      <c r="A23" s="18"/>
      <c r="B23" s="18" t="s">
        <v>34</v>
      </c>
      <c r="C23" s="18" t="s">
        <v>2768</v>
      </c>
      <c r="D23" s="18" t="s">
        <v>2769</v>
      </c>
      <c r="E23" s="18" t="s">
        <v>2770</v>
      </c>
      <c r="F23" s="18" t="s">
        <v>38</v>
      </c>
      <c r="G23" s="19">
        <v>0</v>
      </c>
      <c r="H23" s="19">
        <v>30</v>
      </c>
      <c r="I23" s="19">
        <f>-H23</f>
        <v>-30</v>
      </c>
      <c r="J23" s="18" t="s">
        <v>2744</v>
      </c>
      <c r="K23" s="18" t="s">
        <v>15</v>
      </c>
      <c r="L23" s="18" t="s">
        <v>2724</v>
      </c>
      <c r="M23" s="18"/>
      <c r="N23" s="18"/>
      <c r="O23" s="18"/>
      <c r="P23" s="18"/>
      <c r="Q23" s="18">
        <v>1</v>
      </c>
      <c r="R23" s="17">
        <f t="shared" si="1"/>
        <v>30</v>
      </c>
    </row>
    <row r="24" spans="1:18" customFormat="1" x14ac:dyDescent="0.25">
      <c r="A24" s="18"/>
      <c r="B24" s="18" t="s">
        <v>34</v>
      </c>
      <c r="C24" s="18" t="s">
        <v>2771</v>
      </c>
      <c r="D24" s="18" t="s">
        <v>2772</v>
      </c>
      <c r="E24" s="18" t="s">
        <v>2773</v>
      </c>
      <c r="F24" s="19">
        <v>7</v>
      </c>
      <c r="G24" s="19">
        <v>820</v>
      </c>
      <c r="H24" s="19">
        <v>30</v>
      </c>
      <c r="I24" s="19">
        <f>G24-H24</f>
        <v>790</v>
      </c>
      <c r="J24" s="18" t="s">
        <v>2744</v>
      </c>
      <c r="K24" s="18" t="s">
        <v>15</v>
      </c>
      <c r="L24" s="18" t="s">
        <v>2724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2774</v>
      </c>
      <c r="D25" s="18" t="s">
        <v>2775</v>
      </c>
      <c r="E25" s="18" t="s">
        <v>2776</v>
      </c>
      <c r="F25" s="18" t="s">
        <v>123</v>
      </c>
      <c r="G25" s="19">
        <v>965</v>
      </c>
      <c r="H25" s="19">
        <v>35</v>
      </c>
      <c r="I25" s="19">
        <f>G25-H25</f>
        <v>930</v>
      </c>
      <c r="J25" s="18" t="s">
        <v>2744</v>
      </c>
      <c r="K25" s="18" t="s">
        <v>15</v>
      </c>
      <c r="L25" s="18" t="s">
        <v>2724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2777</v>
      </c>
      <c r="D26" s="18" t="s">
        <v>2778</v>
      </c>
      <c r="E26" s="18" t="s">
        <v>2779</v>
      </c>
      <c r="F26" s="19">
        <v>11</v>
      </c>
      <c r="G26" s="19">
        <v>915</v>
      </c>
      <c r="H26" s="19">
        <v>25</v>
      </c>
      <c r="I26" s="19">
        <f>G26-H26</f>
        <v>890</v>
      </c>
      <c r="J26" s="18" t="s">
        <v>2744</v>
      </c>
      <c r="K26" s="18" t="s">
        <v>15</v>
      </c>
      <c r="L26" s="18" t="s">
        <v>2724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2780</v>
      </c>
      <c r="D27" s="18" t="s">
        <v>2781</v>
      </c>
      <c r="E27" s="18" t="s">
        <v>2782</v>
      </c>
      <c r="F27" s="19">
        <v>8</v>
      </c>
      <c r="G27" s="19">
        <v>0</v>
      </c>
      <c r="H27" s="19">
        <v>35</v>
      </c>
      <c r="I27" s="19">
        <f>-H27</f>
        <v>-35</v>
      </c>
      <c r="J27" s="18" t="s">
        <v>2744</v>
      </c>
      <c r="K27" s="18" t="s">
        <v>15</v>
      </c>
      <c r="L27" s="18" t="s">
        <v>2724</v>
      </c>
      <c r="M27" s="18"/>
      <c r="N27" s="18"/>
      <c r="O27" s="18"/>
      <c r="P27" s="18"/>
      <c r="Q27" s="18">
        <v>1</v>
      </c>
      <c r="R27" s="17">
        <f>H27</f>
        <v>35</v>
      </c>
    </row>
    <row r="28" spans="1:18" customFormat="1" x14ac:dyDescent="0.25">
      <c r="A28" s="18"/>
      <c r="B28" s="18" t="s">
        <v>34</v>
      </c>
      <c r="C28" s="18" t="s">
        <v>2783</v>
      </c>
      <c r="D28" s="18" t="s">
        <v>2784</v>
      </c>
      <c r="E28" s="18" t="s">
        <v>2785</v>
      </c>
      <c r="F28" s="18" t="s">
        <v>212</v>
      </c>
      <c r="G28" s="19">
        <v>1285</v>
      </c>
      <c r="H28" s="19">
        <v>25</v>
      </c>
      <c r="I28" s="19">
        <f t="shared" ref="I28:I39" si="2">G28-H28</f>
        <v>1260</v>
      </c>
      <c r="J28" s="18" t="s">
        <v>2744</v>
      </c>
      <c r="K28" s="18" t="s">
        <v>15</v>
      </c>
      <c r="L28" s="18" t="s">
        <v>2724</v>
      </c>
      <c r="M28" s="18"/>
      <c r="N28" s="18"/>
      <c r="O28" s="18"/>
      <c r="P28" s="18"/>
      <c r="Q28" s="18">
        <v>1</v>
      </c>
    </row>
    <row r="29" spans="1:18" s="22" customFormat="1" x14ac:dyDescent="0.25">
      <c r="A29" s="20"/>
      <c r="B29" s="20" t="s">
        <v>34</v>
      </c>
      <c r="C29" s="20" t="s">
        <v>1606</v>
      </c>
      <c r="D29" s="20" t="s">
        <v>2786</v>
      </c>
      <c r="E29" s="20" t="s">
        <v>2787</v>
      </c>
      <c r="F29" s="21">
        <v>7</v>
      </c>
      <c r="G29" s="21">
        <v>30</v>
      </c>
      <c r="H29" s="21">
        <v>30</v>
      </c>
      <c r="I29" s="21">
        <f t="shared" si="2"/>
        <v>0</v>
      </c>
      <c r="J29" s="20" t="s">
        <v>2744</v>
      </c>
      <c r="K29" s="20" t="s">
        <v>15</v>
      </c>
      <c r="L29" s="20" t="s">
        <v>2724</v>
      </c>
      <c r="M29" s="20" t="s">
        <v>16</v>
      </c>
      <c r="N29" s="20"/>
      <c r="O29" s="20"/>
      <c r="P29" s="20"/>
      <c r="Q29" s="20">
        <v>1</v>
      </c>
    </row>
    <row r="30" spans="1:18" customFormat="1" x14ac:dyDescent="0.25">
      <c r="A30" s="18"/>
      <c r="B30" s="18" t="s">
        <v>34</v>
      </c>
      <c r="C30" s="18" t="s">
        <v>1344</v>
      </c>
      <c r="D30" s="18" t="s">
        <v>2788</v>
      </c>
      <c r="E30" s="18" t="s">
        <v>1346</v>
      </c>
      <c r="F30" s="18" t="s">
        <v>123</v>
      </c>
      <c r="G30" s="19">
        <v>825</v>
      </c>
      <c r="H30" s="19">
        <v>35</v>
      </c>
      <c r="I30" s="19">
        <f t="shared" si="2"/>
        <v>790</v>
      </c>
      <c r="J30" s="18" t="s">
        <v>2744</v>
      </c>
      <c r="K30" s="18" t="s">
        <v>15</v>
      </c>
      <c r="L30" s="18" t="s">
        <v>2724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2789</v>
      </c>
      <c r="D31" s="18" t="s">
        <v>2790</v>
      </c>
      <c r="E31" s="18" t="s">
        <v>2791</v>
      </c>
      <c r="F31" s="19">
        <v>6</v>
      </c>
      <c r="G31" s="19">
        <v>30</v>
      </c>
      <c r="H31" s="19">
        <v>30</v>
      </c>
      <c r="I31" s="19">
        <f t="shared" si="2"/>
        <v>0</v>
      </c>
      <c r="J31" s="18" t="s">
        <v>2744</v>
      </c>
      <c r="K31" s="18" t="s">
        <v>15</v>
      </c>
      <c r="L31" s="18" t="s">
        <v>2724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2792</v>
      </c>
      <c r="D32" s="18" t="s">
        <v>2793</v>
      </c>
      <c r="E32" s="18" t="s">
        <v>2794</v>
      </c>
      <c r="F32" s="18" t="s">
        <v>212</v>
      </c>
      <c r="G32" s="19">
        <v>715</v>
      </c>
      <c r="H32" s="19">
        <v>25</v>
      </c>
      <c r="I32" s="19">
        <f t="shared" si="2"/>
        <v>690</v>
      </c>
      <c r="J32" s="18" t="s">
        <v>2744</v>
      </c>
      <c r="K32" s="18" t="s">
        <v>15</v>
      </c>
      <c r="L32" s="18" t="s">
        <v>2724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245</v>
      </c>
      <c r="D33" s="18" t="s">
        <v>2795</v>
      </c>
      <c r="E33" s="18" t="s">
        <v>247</v>
      </c>
      <c r="F33" s="18" t="s">
        <v>38</v>
      </c>
      <c r="G33" s="19">
        <v>950</v>
      </c>
      <c r="H33" s="19">
        <v>30</v>
      </c>
      <c r="I33" s="19">
        <f t="shared" si="2"/>
        <v>920</v>
      </c>
      <c r="J33" s="18" t="s">
        <v>2744</v>
      </c>
      <c r="K33" s="18" t="s">
        <v>15</v>
      </c>
      <c r="L33" s="18" t="s">
        <v>2724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2796</v>
      </c>
      <c r="D34" s="18" t="s">
        <v>2797</v>
      </c>
      <c r="E34" s="18" t="s">
        <v>2798</v>
      </c>
      <c r="F34" s="18" t="s">
        <v>212</v>
      </c>
      <c r="G34" s="19">
        <v>765</v>
      </c>
      <c r="H34" s="19">
        <v>25</v>
      </c>
      <c r="I34" s="19">
        <f t="shared" si="2"/>
        <v>740</v>
      </c>
      <c r="J34" s="18" t="s">
        <v>2744</v>
      </c>
      <c r="K34" s="18" t="s">
        <v>15</v>
      </c>
      <c r="L34" s="18" t="s">
        <v>2724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2799</v>
      </c>
      <c r="D35" s="18" t="s">
        <v>2800</v>
      </c>
      <c r="E35" s="18" t="s">
        <v>2801</v>
      </c>
      <c r="F35" s="18" t="s">
        <v>254</v>
      </c>
      <c r="G35" s="19">
        <v>2660</v>
      </c>
      <c r="H35" s="19">
        <v>35</v>
      </c>
      <c r="I35" s="19">
        <f t="shared" si="2"/>
        <v>2625</v>
      </c>
      <c r="J35" s="18" t="s">
        <v>2744</v>
      </c>
      <c r="K35" s="18" t="s">
        <v>15</v>
      </c>
      <c r="L35" s="18" t="s">
        <v>2724</v>
      </c>
      <c r="M35" s="48" t="s">
        <v>377</v>
      </c>
      <c r="N35" s="18"/>
      <c r="O35" s="18"/>
      <c r="P35" s="18"/>
      <c r="Q35" s="18">
        <v>1</v>
      </c>
      <c r="R35" s="17">
        <f>H35</f>
        <v>35</v>
      </c>
    </row>
    <row r="36" spans="1:18" customFormat="1" x14ac:dyDescent="0.25">
      <c r="A36" s="18"/>
      <c r="B36" s="18" t="s">
        <v>34</v>
      </c>
      <c r="C36" s="18" t="s">
        <v>2536</v>
      </c>
      <c r="D36" s="18" t="s">
        <v>2802</v>
      </c>
      <c r="E36" s="18" t="s">
        <v>2538</v>
      </c>
      <c r="F36" s="18" t="s">
        <v>38</v>
      </c>
      <c r="G36" s="19">
        <v>470</v>
      </c>
      <c r="H36" s="19">
        <v>30</v>
      </c>
      <c r="I36" s="19">
        <f t="shared" si="2"/>
        <v>440</v>
      </c>
      <c r="J36" s="18" t="s">
        <v>2744</v>
      </c>
      <c r="K36" s="18" t="s">
        <v>15</v>
      </c>
      <c r="L36" s="18" t="s">
        <v>2724</v>
      </c>
      <c r="M36" s="48" t="s">
        <v>307</v>
      </c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2536</v>
      </c>
      <c r="D37" s="18" t="s">
        <v>2803</v>
      </c>
      <c r="E37" s="18" t="s">
        <v>2538</v>
      </c>
      <c r="F37" s="18" t="s">
        <v>38</v>
      </c>
      <c r="G37" s="19">
        <v>360</v>
      </c>
      <c r="H37" s="19">
        <v>0</v>
      </c>
      <c r="I37" s="19">
        <f t="shared" si="2"/>
        <v>360</v>
      </c>
      <c r="J37" s="18" t="s">
        <v>2744</v>
      </c>
      <c r="K37" s="18" t="s">
        <v>15</v>
      </c>
      <c r="L37" s="18" t="s">
        <v>2724</v>
      </c>
      <c r="M37" s="48" t="s">
        <v>307</v>
      </c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2804</v>
      </c>
      <c r="D38" s="18" t="s">
        <v>2805</v>
      </c>
      <c r="E38" s="18" t="s">
        <v>2806</v>
      </c>
      <c r="F38" s="18" t="s">
        <v>38</v>
      </c>
      <c r="G38" s="19">
        <v>770</v>
      </c>
      <c r="H38" s="19">
        <v>30</v>
      </c>
      <c r="I38" s="19">
        <f t="shared" si="2"/>
        <v>740</v>
      </c>
      <c r="J38" s="18" t="s">
        <v>2744</v>
      </c>
      <c r="K38" s="18" t="s">
        <v>15</v>
      </c>
      <c r="L38" s="18" t="s">
        <v>2724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2807</v>
      </c>
      <c r="D39" s="18" t="s">
        <v>2808</v>
      </c>
      <c r="E39" s="18" t="s">
        <v>2809</v>
      </c>
      <c r="F39" s="18" t="s">
        <v>212</v>
      </c>
      <c r="G39" s="19">
        <v>2240</v>
      </c>
      <c r="H39" s="19">
        <v>25</v>
      </c>
      <c r="I39" s="19">
        <f t="shared" si="2"/>
        <v>2215</v>
      </c>
      <c r="J39" s="18" t="s">
        <v>2744</v>
      </c>
      <c r="K39" s="18" t="s">
        <v>15</v>
      </c>
      <c r="L39" s="18" t="s">
        <v>2724</v>
      </c>
      <c r="M39" s="48" t="s">
        <v>377</v>
      </c>
      <c r="N39" s="18"/>
      <c r="O39" s="18"/>
      <c r="P39" s="18"/>
      <c r="Q39" s="18">
        <v>1</v>
      </c>
      <c r="R39" s="17">
        <f>H39</f>
        <v>25</v>
      </c>
    </row>
    <row r="40" spans="1:18" customFormat="1" x14ac:dyDescent="0.25">
      <c r="A40" s="18"/>
      <c r="B40" s="18" t="s">
        <v>34</v>
      </c>
      <c r="C40" s="18" t="s">
        <v>2810</v>
      </c>
      <c r="D40" s="18" t="s">
        <v>2811</v>
      </c>
      <c r="E40" s="18" t="s">
        <v>2812</v>
      </c>
      <c r="F40" s="18" t="s">
        <v>38</v>
      </c>
      <c r="G40" s="19">
        <v>0</v>
      </c>
      <c r="H40" s="19">
        <v>30</v>
      </c>
      <c r="I40" s="19">
        <f>-H40</f>
        <v>-30</v>
      </c>
      <c r="J40" s="18" t="s">
        <v>2744</v>
      </c>
      <c r="K40" s="18" t="s">
        <v>15</v>
      </c>
      <c r="L40" s="18" t="s">
        <v>2724</v>
      </c>
      <c r="M40" s="18"/>
      <c r="N40" s="18"/>
      <c r="O40" s="18"/>
      <c r="P40" s="18"/>
      <c r="Q40" s="18">
        <v>1</v>
      </c>
      <c r="R40" s="17">
        <f t="shared" ref="R40:R41" si="3">H40</f>
        <v>30</v>
      </c>
    </row>
    <row r="41" spans="1:18" customFormat="1" x14ac:dyDescent="0.25">
      <c r="A41" s="18"/>
      <c r="B41" s="18" t="s">
        <v>34</v>
      </c>
      <c r="C41" s="18" t="s">
        <v>2813</v>
      </c>
      <c r="D41" s="18" t="s">
        <v>2814</v>
      </c>
      <c r="E41" s="18" t="s">
        <v>2815</v>
      </c>
      <c r="F41" s="19">
        <v>6</v>
      </c>
      <c r="G41" s="19">
        <v>0</v>
      </c>
      <c r="H41" s="19">
        <v>25</v>
      </c>
      <c r="I41" s="19">
        <f>-H41</f>
        <v>-25</v>
      </c>
      <c r="J41" s="18" t="s">
        <v>2744</v>
      </c>
      <c r="K41" s="18" t="s">
        <v>15</v>
      </c>
      <c r="L41" s="18" t="s">
        <v>2724</v>
      </c>
      <c r="M41" s="18"/>
      <c r="N41" s="18"/>
      <c r="O41" s="18"/>
      <c r="P41" s="18"/>
      <c r="Q41" s="18">
        <v>1</v>
      </c>
      <c r="R41" s="17">
        <f t="shared" si="3"/>
        <v>25</v>
      </c>
    </row>
    <row r="42" spans="1:18" customFormat="1" x14ac:dyDescent="0.25">
      <c r="A42" s="18"/>
      <c r="B42" s="18" t="s">
        <v>34</v>
      </c>
      <c r="C42" s="18" t="s">
        <v>2816</v>
      </c>
      <c r="D42" s="18" t="s">
        <v>2817</v>
      </c>
      <c r="E42" s="18" t="s">
        <v>2818</v>
      </c>
      <c r="F42" s="19">
        <v>12</v>
      </c>
      <c r="G42" s="19">
        <v>890</v>
      </c>
      <c r="H42" s="19">
        <v>30</v>
      </c>
      <c r="I42" s="19">
        <f>G42-H42</f>
        <v>860</v>
      </c>
      <c r="J42" s="18" t="s">
        <v>2744</v>
      </c>
      <c r="K42" s="18" t="s">
        <v>15</v>
      </c>
      <c r="L42" s="18" t="s">
        <v>2724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2819</v>
      </c>
      <c r="D43" s="18" t="s">
        <v>2820</v>
      </c>
      <c r="E43" s="18" t="s">
        <v>2821</v>
      </c>
      <c r="F43" s="18" t="s">
        <v>38</v>
      </c>
      <c r="G43" s="19">
        <v>0</v>
      </c>
      <c r="H43" s="19">
        <v>30</v>
      </c>
      <c r="I43" s="19">
        <f>-H43</f>
        <v>-30</v>
      </c>
      <c r="J43" s="18" t="s">
        <v>2744</v>
      </c>
      <c r="K43" s="18" t="s">
        <v>15</v>
      </c>
      <c r="L43" s="18" t="s">
        <v>2724</v>
      </c>
      <c r="M43" s="18"/>
      <c r="N43" s="18"/>
      <c r="O43" s="18"/>
      <c r="P43" s="18"/>
      <c r="Q43" s="18">
        <v>1</v>
      </c>
      <c r="R43" s="17">
        <f t="shared" ref="R43:R45" si="4">H43</f>
        <v>30</v>
      </c>
    </row>
    <row r="44" spans="1:18" customFormat="1" x14ac:dyDescent="0.25">
      <c r="A44" s="18"/>
      <c r="B44" s="18" t="s">
        <v>34</v>
      </c>
      <c r="C44" s="18" t="s">
        <v>2822</v>
      </c>
      <c r="D44" s="18" t="s">
        <v>2823</v>
      </c>
      <c r="E44" s="18" t="s">
        <v>2824</v>
      </c>
      <c r="F44" s="18" t="s">
        <v>38</v>
      </c>
      <c r="G44" s="19">
        <v>0</v>
      </c>
      <c r="H44" s="19">
        <v>30</v>
      </c>
      <c r="I44" s="19">
        <f>-H44</f>
        <v>-30</v>
      </c>
      <c r="J44" s="18" t="s">
        <v>2744</v>
      </c>
      <c r="K44" s="18" t="s">
        <v>15</v>
      </c>
      <c r="L44" s="18" t="s">
        <v>2724</v>
      </c>
      <c r="M44" s="18"/>
      <c r="N44" s="18"/>
      <c r="O44" s="18"/>
      <c r="P44" s="18"/>
      <c r="Q44" s="18">
        <v>1</v>
      </c>
      <c r="R44" s="17">
        <f t="shared" si="4"/>
        <v>30</v>
      </c>
    </row>
    <row r="45" spans="1:18" customFormat="1" x14ac:dyDescent="0.25">
      <c r="A45" s="18"/>
      <c r="B45" s="18" t="s">
        <v>34</v>
      </c>
      <c r="C45" s="18" t="s">
        <v>2825</v>
      </c>
      <c r="D45" s="18" t="s">
        <v>2826</v>
      </c>
      <c r="E45" s="18" t="s">
        <v>2827</v>
      </c>
      <c r="F45" s="18" t="s">
        <v>108</v>
      </c>
      <c r="G45" s="19">
        <v>0</v>
      </c>
      <c r="H45" s="19">
        <v>35</v>
      </c>
      <c r="I45" s="19">
        <f>-H45</f>
        <v>-35</v>
      </c>
      <c r="J45" s="18" t="s">
        <v>2744</v>
      </c>
      <c r="K45" s="18" t="s">
        <v>15</v>
      </c>
      <c r="L45" s="18" t="s">
        <v>2724</v>
      </c>
      <c r="M45" s="18"/>
      <c r="N45" s="18"/>
      <c r="O45" s="18"/>
      <c r="P45" s="18"/>
      <c r="Q45" s="18">
        <v>1</v>
      </c>
      <c r="R45" s="17">
        <f t="shared" si="4"/>
        <v>35</v>
      </c>
    </row>
    <row r="46" spans="1:18" customFormat="1" x14ac:dyDescent="0.25">
      <c r="A46" s="18"/>
      <c r="B46" s="18" t="s">
        <v>34</v>
      </c>
      <c r="C46" s="18" t="s">
        <v>2828</v>
      </c>
      <c r="D46" s="18" t="s">
        <v>2829</v>
      </c>
      <c r="E46" s="18" t="s">
        <v>2830</v>
      </c>
      <c r="F46" s="18" t="s">
        <v>18</v>
      </c>
      <c r="G46" s="19">
        <v>2910</v>
      </c>
      <c r="H46" s="19">
        <v>30</v>
      </c>
      <c r="I46" s="19">
        <f>G46-H46</f>
        <v>2880</v>
      </c>
      <c r="J46" s="18" t="s">
        <v>2744</v>
      </c>
      <c r="K46" s="18" t="s">
        <v>15</v>
      </c>
      <c r="L46" s="18" t="s">
        <v>2724</v>
      </c>
      <c r="M46" s="48" t="s">
        <v>1254</v>
      </c>
      <c r="N46" s="18"/>
      <c r="O46" s="18"/>
      <c r="P46" s="18"/>
      <c r="Q46" s="18">
        <v>1</v>
      </c>
      <c r="R46" s="17">
        <f>H46</f>
        <v>30</v>
      </c>
    </row>
    <row r="47" spans="1:18" customFormat="1" x14ac:dyDescent="0.25">
      <c r="A47" s="18"/>
      <c r="B47" s="18" t="s">
        <v>34</v>
      </c>
      <c r="C47" s="18" t="s">
        <v>2828</v>
      </c>
      <c r="D47" s="18" t="s">
        <v>2831</v>
      </c>
      <c r="E47" s="18" t="s">
        <v>2830</v>
      </c>
      <c r="F47" s="18" t="s">
        <v>18</v>
      </c>
      <c r="G47" s="19">
        <v>0</v>
      </c>
      <c r="H47" s="19">
        <v>0</v>
      </c>
      <c r="I47" s="19">
        <f>H47</f>
        <v>0</v>
      </c>
      <c r="J47" s="18" t="s">
        <v>160</v>
      </c>
      <c r="K47" s="18" t="s">
        <v>15</v>
      </c>
      <c r="L47" s="18" t="s">
        <v>2724</v>
      </c>
      <c r="M47" s="48" t="s">
        <v>307</v>
      </c>
      <c r="N47" s="18"/>
      <c r="O47" s="18"/>
      <c r="P47" s="18"/>
      <c r="Q47" s="18">
        <v>1</v>
      </c>
      <c r="R47" s="17">
        <f>H47</f>
        <v>0</v>
      </c>
    </row>
    <row r="48" spans="1:18" customFormat="1" x14ac:dyDescent="0.25">
      <c r="A48" s="18"/>
      <c r="B48" s="18" t="s">
        <v>34</v>
      </c>
      <c r="C48" s="18" t="s">
        <v>2368</v>
      </c>
      <c r="D48" s="18" t="s">
        <v>2832</v>
      </c>
      <c r="E48" s="18" t="s">
        <v>2833</v>
      </c>
      <c r="F48" s="19">
        <v>12</v>
      </c>
      <c r="G48" s="19">
        <v>890</v>
      </c>
      <c r="H48" s="19">
        <v>30</v>
      </c>
      <c r="I48" s="19">
        <f t="shared" ref="I48:I57" si="5">G48-H48</f>
        <v>860</v>
      </c>
      <c r="J48" s="18" t="s">
        <v>2744</v>
      </c>
      <c r="K48" s="18" t="s">
        <v>15</v>
      </c>
      <c r="L48" s="18" t="s">
        <v>2724</v>
      </c>
      <c r="M48" s="48" t="s">
        <v>307</v>
      </c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2368</v>
      </c>
      <c r="D49" s="18" t="s">
        <v>2834</v>
      </c>
      <c r="E49" s="18" t="s">
        <v>2833</v>
      </c>
      <c r="F49" s="19">
        <v>12</v>
      </c>
      <c r="G49" s="19">
        <v>860</v>
      </c>
      <c r="H49" s="19">
        <v>0</v>
      </c>
      <c r="I49" s="19">
        <f t="shared" si="5"/>
        <v>860</v>
      </c>
      <c r="J49" s="18" t="s">
        <v>2744</v>
      </c>
      <c r="K49" s="18" t="s">
        <v>15</v>
      </c>
      <c r="L49" s="18" t="s">
        <v>2724</v>
      </c>
      <c r="M49" s="48" t="s">
        <v>307</v>
      </c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2835</v>
      </c>
      <c r="D50" s="18" t="s">
        <v>2836</v>
      </c>
      <c r="E50" s="18" t="s">
        <v>2837</v>
      </c>
      <c r="F50" s="18" t="s">
        <v>123</v>
      </c>
      <c r="G50" s="19">
        <v>825</v>
      </c>
      <c r="H50" s="19">
        <v>35</v>
      </c>
      <c r="I50" s="19">
        <f t="shared" si="5"/>
        <v>790</v>
      </c>
      <c r="J50" s="18" t="s">
        <v>2744</v>
      </c>
      <c r="K50" s="18" t="s">
        <v>15</v>
      </c>
      <c r="L50" s="18" t="s">
        <v>2724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2838</v>
      </c>
      <c r="D51" s="18" t="s">
        <v>2839</v>
      </c>
      <c r="E51" s="18" t="s">
        <v>2840</v>
      </c>
      <c r="F51" s="18" t="s">
        <v>38</v>
      </c>
      <c r="G51" s="19">
        <v>600</v>
      </c>
      <c r="H51" s="19">
        <v>30</v>
      </c>
      <c r="I51" s="19">
        <f t="shared" si="5"/>
        <v>570</v>
      </c>
      <c r="J51" s="18" t="s">
        <v>2744</v>
      </c>
      <c r="K51" s="18" t="s">
        <v>15</v>
      </c>
      <c r="L51" s="18" t="s">
        <v>2724</v>
      </c>
      <c r="M51" s="18"/>
      <c r="N51" s="18"/>
      <c r="O51" s="18"/>
      <c r="P51" s="18"/>
      <c r="Q51" s="18">
        <v>1</v>
      </c>
    </row>
    <row r="52" spans="1:18" customFormat="1" x14ac:dyDescent="0.25">
      <c r="A52" s="18" t="s">
        <v>96</v>
      </c>
      <c r="B52" s="18" t="s">
        <v>34</v>
      </c>
      <c r="C52" s="18" t="s">
        <v>674</v>
      </c>
      <c r="D52" s="18"/>
      <c r="E52" s="18" t="s">
        <v>675</v>
      </c>
      <c r="F52" s="18" t="s">
        <v>254</v>
      </c>
      <c r="G52" s="19">
        <v>2460</v>
      </c>
      <c r="H52" s="19">
        <v>40</v>
      </c>
      <c r="I52" s="19">
        <f t="shared" si="5"/>
        <v>2420</v>
      </c>
      <c r="J52" s="18" t="s">
        <v>2744</v>
      </c>
      <c r="K52" s="18" t="s">
        <v>15</v>
      </c>
      <c r="L52" s="18" t="s">
        <v>2724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2841</v>
      </c>
      <c r="D53" s="18" t="s">
        <v>2842</v>
      </c>
      <c r="E53" s="18" t="s">
        <v>2843</v>
      </c>
      <c r="F53" s="19">
        <v>2</v>
      </c>
      <c r="G53" s="19">
        <v>2190</v>
      </c>
      <c r="H53" s="19">
        <v>30</v>
      </c>
      <c r="I53" s="19">
        <f t="shared" si="5"/>
        <v>2160</v>
      </c>
      <c r="J53" s="18" t="s">
        <v>15</v>
      </c>
      <c r="K53" s="18" t="s">
        <v>15</v>
      </c>
      <c r="L53" s="18" t="s">
        <v>2724</v>
      </c>
      <c r="M53" s="48" t="s">
        <v>377</v>
      </c>
      <c r="N53" s="18"/>
      <c r="O53" s="18"/>
      <c r="P53" s="18"/>
      <c r="Q53" s="18">
        <v>1</v>
      </c>
      <c r="R53" s="17">
        <f>H53</f>
        <v>30</v>
      </c>
    </row>
    <row r="54" spans="1:18" customFormat="1" x14ac:dyDescent="0.25">
      <c r="A54" s="18"/>
      <c r="B54" s="18" t="s">
        <v>34</v>
      </c>
      <c r="C54" s="18" t="s">
        <v>2844</v>
      </c>
      <c r="D54" s="18" t="s">
        <v>2845</v>
      </c>
      <c r="E54" s="18" t="s">
        <v>2846</v>
      </c>
      <c r="F54" s="19">
        <v>2</v>
      </c>
      <c r="G54" s="19">
        <v>1200</v>
      </c>
      <c r="H54" s="19">
        <v>30</v>
      </c>
      <c r="I54" s="19">
        <f t="shared" si="5"/>
        <v>1170</v>
      </c>
      <c r="J54" s="18" t="s">
        <v>15</v>
      </c>
      <c r="K54" s="18" t="s">
        <v>15</v>
      </c>
      <c r="L54" s="18" t="s">
        <v>2724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1962</v>
      </c>
      <c r="D55" s="18" t="s">
        <v>2847</v>
      </c>
      <c r="E55" s="18" t="s">
        <v>2848</v>
      </c>
      <c r="F55" s="18" t="s">
        <v>19</v>
      </c>
      <c r="G55" s="19">
        <v>760</v>
      </c>
      <c r="H55" s="19">
        <v>20</v>
      </c>
      <c r="I55" s="19">
        <f t="shared" si="5"/>
        <v>740</v>
      </c>
      <c r="J55" s="18" t="s">
        <v>15</v>
      </c>
      <c r="K55" s="18" t="s">
        <v>15</v>
      </c>
      <c r="L55" s="18" t="s">
        <v>2724</v>
      </c>
      <c r="M55" s="48" t="s">
        <v>307</v>
      </c>
      <c r="N55" s="18"/>
      <c r="O55" s="18"/>
      <c r="P55" s="18"/>
      <c r="Q55" s="18">
        <v>1</v>
      </c>
    </row>
    <row r="56" spans="1:18" customFormat="1" x14ac:dyDescent="0.25">
      <c r="A56" s="18"/>
      <c r="B56" s="18" t="s">
        <v>34</v>
      </c>
      <c r="C56" s="18" t="s">
        <v>1962</v>
      </c>
      <c r="D56" s="18" t="s">
        <v>2849</v>
      </c>
      <c r="E56" s="18" t="s">
        <v>2848</v>
      </c>
      <c r="F56" s="18" t="s">
        <v>19</v>
      </c>
      <c r="G56" s="19">
        <v>440</v>
      </c>
      <c r="H56" s="19">
        <v>0</v>
      </c>
      <c r="I56" s="19">
        <f t="shared" si="5"/>
        <v>440</v>
      </c>
      <c r="J56" s="18" t="s">
        <v>15</v>
      </c>
      <c r="K56" s="18" t="s">
        <v>15</v>
      </c>
      <c r="L56" s="18" t="s">
        <v>2724</v>
      </c>
      <c r="M56" s="48" t="s">
        <v>307</v>
      </c>
      <c r="N56" s="18"/>
      <c r="O56" s="18"/>
      <c r="P56" s="18"/>
      <c r="Q56" s="18">
        <v>1</v>
      </c>
    </row>
    <row r="57" spans="1:18" customFormat="1" x14ac:dyDescent="0.25">
      <c r="A57" s="18"/>
      <c r="B57" s="18" t="s">
        <v>34</v>
      </c>
      <c r="C57" s="18" t="s">
        <v>2850</v>
      </c>
      <c r="D57" s="18" t="s">
        <v>2851</v>
      </c>
      <c r="E57" s="18" t="s">
        <v>2852</v>
      </c>
      <c r="F57" s="18" t="s">
        <v>20</v>
      </c>
      <c r="G57" s="19">
        <v>765</v>
      </c>
      <c r="H57" s="19">
        <v>25</v>
      </c>
      <c r="I57" s="19">
        <f t="shared" si="5"/>
        <v>740</v>
      </c>
      <c r="J57" s="18" t="s">
        <v>15</v>
      </c>
      <c r="K57" s="18" t="s">
        <v>15</v>
      </c>
      <c r="L57" s="18" t="s">
        <v>2724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2853</v>
      </c>
      <c r="D58" s="18" t="s">
        <v>2854</v>
      </c>
      <c r="E58" s="18" t="s">
        <v>2855</v>
      </c>
      <c r="F58" s="18" t="s">
        <v>20</v>
      </c>
      <c r="G58" s="19">
        <v>0</v>
      </c>
      <c r="H58" s="19">
        <v>25</v>
      </c>
      <c r="I58" s="19">
        <f>-H58</f>
        <v>-25</v>
      </c>
      <c r="J58" s="18" t="s">
        <v>15</v>
      </c>
      <c r="K58" s="18" t="s">
        <v>15</v>
      </c>
      <c r="L58" s="18" t="s">
        <v>2724</v>
      </c>
      <c r="M58" s="18"/>
      <c r="N58" s="18"/>
      <c r="O58" s="18"/>
      <c r="P58" s="18"/>
      <c r="Q58" s="18">
        <v>1</v>
      </c>
      <c r="R58" s="17">
        <f>H58</f>
        <v>25</v>
      </c>
    </row>
    <row r="59" spans="1:18" customFormat="1" x14ac:dyDescent="0.25">
      <c r="A59" s="18"/>
      <c r="B59" s="18" t="s">
        <v>34</v>
      </c>
      <c r="C59" s="18" t="s">
        <v>2856</v>
      </c>
      <c r="D59" s="18" t="s">
        <v>2857</v>
      </c>
      <c r="E59" s="18" t="s">
        <v>2858</v>
      </c>
      <c r="F59" s="19">
        <v>2</v>
      </c>
      <c r="G59" s="19">
        <v>870</v>
      </c>
      <c r="H59" s="19">
        <v>30</v>
      </c>
      <c r="I59" s="19">
        <f t="shared" ref="I59:I64" si="6">G59-H59</f>
        <v>840</v>
      </c>
      <c r="J59" s="18" t="s">
        <v>15</v>
      </c>
      <c r="K59" s="18" t="s">
        <v>15</v>
      </c>
      <c r="L59" s="18" t="s">
        <v>2724</v>
      </c>
      <c r="M59" s="18"/>
      <c r="N59" s="18"/>
      <c r="O59" s="18"/>
      <c r="P59" s="18"/>
      <c r="Q59" s="18">
        <v>1</v>
      </c>
    </row>
    <row r="60" spans="1:18" customFormat="1" x14ac:dyDescent="0.25">
      <c r="A60" s="18"/>
      <c r="B60" s="18" t="s">
        <v>34</v>
      </c>
      <c r="C60" s="18" t="s">
        <v>2859</v>
      </c>
      <c r="D60" s="18" t="s">
        <v>2860</v>
      </c>
      <c r="E60" s="18" t="s">
        <v>2861</v>
      </c>
      <c r="F60" s="18" t="s">
        <v>144</v>
      </c>
      <c r="G60" s="19">
        <v>750</v>
      </c>
      <c r="H60" s="19">
        <v>30</v>
      </c>
      <c r="I60" s="19">
        <f t="shared" si="6"/>
        <v>720</v>
      </c>
      <c r="J60" s="18" t="s">
        <v>15</v>
      </c>
      <c r="K60" s="18" t="s">
        <v>15</v>
      </c>
      <c r="L60" s="18" t="s">
        <v>2724</v>
      </c>
      <c r="M60" s="18"/>
      <c r="N60" s="18"/>
      <c r="O60" s="18"/>
      <c r="P60" s="18"/>
      <c r="Q60" s="18">
        <v>1</v>
      </c>
    </row>
    <row r="61" spans="1:18" customFormat="1" x14ac:dyDescent="0.25">
      <c r="A61" s="18"/>
      <c r="B61" s="18" t="s">
        <v>34</v>
      </c>
      <c r="C61" s="18" t="s">
        <v>2862</v>
      </c>
      <c r="D61" s="18" t="s">
        <v>2863</v>
      </c>
      <c r="E61" s="18" t="s">
        <v>2864</v>
      </c>
      <c r="F61" s="18" t="s">
        <v>144</v>
      </c>
      <c r="G61" s="19">
        <v>690</v>
      </c>
      <c r="H61" s="19">
        <v>30</v>
      </c>
      <c r="I61" s="19">
        <f t="shared" si="6"/>
        <v>660</v>
      </c>
      <c r="J61" s="18" t="s">
        <v>15</v>
      </c>
      <c r="K61" s="18" t="s">
        <v>15</v>
      </c>
      <c r="L61" s="18" t="s">
        <v>2724</v>
      </c>
      <c r="M61" s="18"/>
      <c r="N61" s="18"/>
      <c r="O61" s="18"/>
      <c r="P61" s="18"/>
      <c r="Q61" s="18">
        <v>1</v>
      </c>
    </row>
    <row r="62" spans="1:18" customFormat="1" x14ac:dyDescent="0.25">
      <c r="A62" s="18"/>
      <c r="B62" s="18" t="s">
        <v>34</v>
      </c>
      <c r="C62" s="18" t="s">
        <v>2865</v>
      </c>
      <c r="D62" s="18" t="s">
        <v>2866</v>
      </c>
      <c r="E62" s="18" t="s">
        <v>2867</v>
      </c>
      <c r="F62" s="18" t="s">
        <v>20</v>
      </c>
      <c r="G62" s="19">
        <v>715</v>
      </c>
      <c r="H62" s="19">
        <v>25</v>
      </c>
      <c r="I62" s="19">
        <f t="shared" si="6"/>
        <v>690</v>
      </c>
      <c r="J62" s="18" t="s">
        <v>15</v>
      </c>
      <c r="K62" s="18" t="s">
        <v>15</v>
      </c>
      <c r="L62" s="18" t="s">
        <v>2724</v>
      </c>
      <c r="M62" s="18"/>
      <c r="N62" s="18"/>
      <c r="O62" s="18"/>
      <c r="P62" s="18"/>
      <c r="Q62" s="18">
        <v>1</v>
      </c>
    </row>
    <row r="63" spans="1:18" customFormat="1" x14ac:dyDescent="0.25">
      <c r="A63" s="18"/>
      <c r="B63" s="18" t="s">
        <v>34</v>
      </c>
      <c r="C63" s="18" t="s">
        <v>2868</v>
      </c>
      <c r="D63" s="18" t="s">
        <v>2869</v>
      </c>
      <c r="E63" s="18" t="s">
        <v>2870</v>
      </c>
      <c r="F63" s="18" t="s">
        <v>19</v>
      </c>
      <c r="G63" s="19">
        <v>880</v>
      </c>
      <c r="H63" s="19">
        <v>20</v>
      </c>
      <c r="I63" s="19">
        <f t="shared" si="6"/>
        <v>860</v>
      </c>
      <c r="J63" s="18" t="s">
        <v>15</v>
      </c>
      <c r="K63" s="18" t="s">
        <v>15</v>
      </c>
      <c r="L63" s="18" t="s">
        <v>2724</v>
      </c>
      <c r="M63" s="18"/>
      <c r="N63" s="18"/>
      <c r="O63" s="18"/>
      <c r="P63" s="18"/>
      <c r="Q63" s="18">
        <v>1</v>
      </c>
    </row>
    <row r="64" spans="1:18" customFormat="1" x14ac:dyDescent="0.25">
      <c r="A64" s="18"/>
      <c r="B64" s="18" t="s">
        <v>34</v>
      </c>
      <c r="C64" s="18" t="s">
        <v>2871</v>
      </c>
      <c r="D64" s="18" t="s">
        <v>2872</v>
      </c>
      <c r="E64" s="18" t="s">
        <v>2873</v>
      </c>
      <c r="F64" s="18" t="s">
        <v>19</v>
      </c>
      <c r="G64" s="19">
        <v>1830</v>
      </c>
      <c r="H64" s="19">
        <v>20</v>
      </c>
      <c r="I64" s="19">
        <f t="shared" si="6"/>
        <v>1810</v>
      </c>
      <c r="J64" s="18" t="s">
        <v>15</v>
      </c>
      <c r="K64" s="18" t="s">
        <v>15</v>
      </c>
      <c r="L64" s="18" t="s">
        <v>2724</v>
      </c>
      <c r="M64" s="18"/>
      <c r="N64" s="18"/>
      <c r="O64" s="18"/>
      <c r="P64" s="18"/>
      <c r="Q64" s="18">
        <v>1</v>
      </c>
    </row>
    <row r="65" spans="1:18" customFormat="1" x14ac:dyDescent="0.25">
      <c r="A65" s="18"/>
      <c r="B65" s="18" t="s">
        <v>34</v>
      </c>
      <c r="C65" s="18" t="s">
        <v>2874</v>
      </c>
      <c r="D65" s="18" t="s">
        <v>2875</v>
      </c>
      <c r="E65" s="18" t="s">
        <v>1170</v>
      </c>
      <c r="F65" s="19">
        <v>12</v>
      </c>
      <c r="G65" s="19">
        <v>0</v>
      </c>
      <c r="H65" s="19">
        <v>30</v>
      </c>
      <c r="I65" s="19">
        <f>-H65</f>
        <v>-30</v>
      </c>
      <c r="J65" s="18" t="s">
        <v>15</v>
      </c>
      <c r="K65" s="18" t="s">
        <v>15</v>
      </c>
      <c r="L65" s="18" t="s">
        <v>2724</v>
      </c>
      <c r="M65" s="18"/>
      <c r="N65" s="18"/>
      <c r="O65" s="18"/>
      <c r="P65" s="18"/>
      <c r="Q65" s="18">
        <v>1</v>
      </c>
      <c r="R65" s="17">
        <f>H65</f>
        <v>30</v>
      </c>
    </row>
    <row r="66" spans="1:18" customFormat="1" x14ac:dyDescent="0.25">
      <c r="A66" s="18"/>
      <c r="B66" s="18" t="s">
        <v>34</v>
      </c>
      <c r="C66" s="18" t="s">
        <v>2876</v>
      </c>
      <c r="D66" s="18" t="s">
        <v>2877</v>
      </c>
      <c r="E66" s="18" t="s">
        <v>2878</v>
      </c>
      <c r="F66" s="19">
        <v>2</v>
      </c>
      <c r="G66" s="19">
        <v>930</v>
      </c>
      <c r="H66" s="19">
        <v>30</v>
      </c>
      <c r="I66" s="19">
        <f t="shared" ref="I66:I72" si="7">G66-H66</f>
        <v>900</v>
      </c>
      <c r="J66" s="18" t="s">
        <v>15</v>
      </c>
      <c r="K66" s="18" t="s">
        <v>15</v>
      </c>
      <c r="L66" s="18" t="s">
        <v>2724</v>
      </c>
      <c r="M66" s="18"/>
      <c r="N66" s="18"/>
      <c r="O66" s="18"/>
      <c r="P66" s="18"/>
      <c r="Q66" s="18">
        <v>1</v>
      </c>
    </row>
    <row r="67" spans="1:18" customFormat="1" x14ac:dyDescent="0.25">
      <c r="A67" s="18"/>
      <c r="B67" s="18" t="s">
        <v>34</v>
      </c>
      <c r="C67" s="18" t="s">
        <v>2879</v>
      </c>
      <c r="D67" s="18" t="s">
        <v>2880</v>
      </c>
      <c r="E67" s="18" t="s">
        <v>2881</v>
      </c>
      <c r="F67" s="19">
        <v>2</v>
      </c>
      <c r="G67" s="19">
        <v>690</v>
      </c>
      <c r="H67" s="19">
        <v>30</v>
      </c>
      <c r="I67" s="19">
        <f t="shared" si="7"/>
        <v>660</v>
      </c>
      <c r="J67" s="18" t="s">
        <v>15</v>
      </c>
      <c r="K67" s="18" t="s">
        <v>15</v>
      </c>
      <c r="L67" s="18" t="s">
        <v>2724</v>
      </c>
      <c r="M67" s="18"/>
      <c r="N67" s="18"/>
      <c r="O67" s="18"/>
      <c r="P67" s="18"/>
      <c r="Q67" s="18">
        <v>1</v>
      </c>
    </row>
    <row r="68" spans="1:18" customFormat="1" x14ac:dyDescent="0.25">
      <c r="A68" s="18"/>
      <c r="B68" s="18" t="s">
        <v>34</v>
      </c>
      <c r="C68" s="18" t="s">
        <v>2882</v>
      </c>
      <c r="D68" s="18" t="s">
        <v>2883</v>
      </c>
      <c r="E68" s="18" t="s">
        <v>2884</v>
      </c>
      <c r="F68" s="19">
        <v>2</v>
      </c>
      <c r="G68" s="19">
        <v>980</v>
      </c>
      <c r="H68" s="19">
        <v>30</v>
      </c>
      <c r="I68" s="19">
        <f t="shared" si="7"/>
        <v>950</v>
      </c>
      <c r="J68" s="18" t="s">
        <v>15</v>
      </c>
      <c r="K68" s="18" t="s">
        <v>15</v>
      </c>
      <c r="L68" s="18" t="s">
        <v>2724</v>
      </c>
      <c r="M68" s="18"/>
      <c r="N68" s="18"/>
      <c r="O68" s="18"/>
      <c r="P68" s="18"/>
      <c r="Q68" s="18">
        <v>1</v>
      </c>
    </row>
    <row r="69" spans="1:18" customFormat="1" x14ac:dyDescent="0.25">
      <c r="A69" s="18"/>
      <c r="B69" s="18" t="s">
        <v>34</v>
      </c>
      <c r="C69" s="18" t="s">
        <v>2885</v>
      </c>
      <c r="D69" s="18" t="s">
        <v>2886</v>
      </c>
      <c r="E69" s="18" t="s">
        <v>2887</v>
      </c>
      <c r="F69" s="18" t="s">
        <v>20</v>
      </c>
      <c r="G69" s="19">
        <v>865</v>
      </c>
      <c r="H69" s="19">
        <v>25</v>
      </c>
      <c r="I69" s="19">
        <f t="shared" si="7"/>
        <v>840</v>
      </c>
      <c r="J69" s="18" t="s">
        <v>15</v>
      </c>
      <c r="K69" s="18" t="s">
        <v>15</v>
      </c>
      <c r="L69" s="18" t="s">
        <v>2724</v>
      </c>
      <c r="M69" s="18"/>
      <c r="N69" s="18"/>
      <c r="O69" s="18"/>
      <c r="P69" s="18"/>
      <c r="Q69" s="18">
        <v>1</v>
      </c>
    </row>
    <row r="70" spans="1:18" customFormat="1" x14ac:dyDescent="0.25">
      <c r="A70" s="18"/>
      <c r="B70" s="18" t="s">
        <v>34</v>
      </c>
      <c r="C70" s="18" t="s">
        <v>1636</v>
      </c>
      <c r="D70" s="18" t="s">
        <v>2888</v>
      </c>
      <c r="E70" s="18" t="s">
        <v>2592</v>
      </c>
      <c r="F70" s="18" t="s">
        <v>19</v>
      </c>
      <c r="G70" s="19">
        <v>680</v>
      </c>
      <c r="H70" s="19">
        <v>20</v>
      </c>
      <c r="I70" s="19">
        <f t="shared" si="7"/>
        <v>660</v>
      </c>
      <c r="J70" s="18" t="s">
        <v>15</v>
      </c>
      <c r="K70" s="18" t="s">
        <v>15</v>
      </c>
      <c r="L70" s="18" t="s">
        <v>2724</v>
      </c>
      <c r="M70" s="18"/>
      <c r="N70" s="18"/>
      <c r="O70" s="18"/>
      <c r="P70" s="18"/>
      <c r="Q70" s="18">
        <v>1</v>
      </c>
    </row>
    <row r="71" spans="1:18" customFormat="1" x14ac:dyDescent="0.25">
      <c r="A71" s="18"/>
      <c r="B71" s="18" t="s">
        <v>34</v>
      </c>
      <c r="C71" s="18" t="s">
        <v>206</v>
      </c>
      <c r="D71" s="18" t="s">
        <v>2889</v>
      </c>
      <c r="E71" s="18" t="s">
        <v>2890</v>
      </c>
      <c r="F71" s="19">
        <v>2</v>
      </c>
      <c r="G71" s="19">
        <v>770</v>
      </c>
      <c r="H71" s="19">
        <v>30</v>
      </c>
      <c r="I71" s="19">
        <f t="shared" si="7"/>
        <v>740</v>
      </c>
      <c r="J71" s="18" t="s">
        <v>15</v>
      </c>
      <c r="K71" s="18" t="s">
        <v>15</v>
      </c>
      <c r="L71" s="18" t="s">
        <v>2724</v>
      </c>
      <c r="M71" s="18"/>
      <c r="N71" s="18"/>
      <c r="O71" s="18"/>
      <c r="P71" s="18"/>
      <c r="Q71" s="18">
        <v>1</v>
      </c>
    </row>
    <row r="72" spans="1:18" customFormat="1" x14ac:dyDescent="0.25">
      <c r="A72" s="18"/>
      <c r="B72" s="18" t="s">
        <v>34</v>
      </c>
      <c r="C72" s="18" t="s">
        <v>2891</v>
      </c>
      <c r="D72" s="18" t="s">
        <v>2892</v>
      </c>
      <c r="E72" s="18" t="s">
        <v>2893</v>
      </c>
      <c r="F72" s="18" t="s">
        <v>20</v>
      </c>
      <c r="G72" s="19">
        <v>3050</v>
      </c>
      <c r="H72" s="19">
        <v>30</v>
      </c>
      <c r="I72" s="19">
        <f t="shared" si="7"/>
        <v>3020</v>
      </c>
      <c r="J72" s="18" t="s">
        <v>15</v>
      </c>
      <c r="K72" s="18" t="s">
        <v>15</v>
      </c>
      <c r="L72" s="18" t="s">
        <v>2724</v>
      </c>
      <c r="M72" s="48" t="s">
        <v>377</v>
      </c>
      <c r="N72" s="18"/>
      <c r="O72" s="18"/>
      <c r="P72" s="18"/>
      <c r="Q72" s="18">
        <v>1</v>
      </c>
      <c r="R72" s="17">
        <f>H72</f>
        <v>30</v>
      </c>
    </row>
    <row r="73" spans="1:18" customFormat="1" x14ac:dyDescent="0.25">
      <c r="A73" s="18"/>
      <c r="B73" s="18" t="s">
        <v>34</v>
      </c>
      <c r="C73" s="18" t="s">
        <v>1392</v>
      </c>
      <c r="D73" s="18" t="s">
        <v>2894</v>
      </c>
      <c r="E73" s="18" t="s">
        <v>422</v>
      </c>
      <c r="F73" s="19">
        <v>12</v>
      </c>
      <c r="G73" s="19">
        <v>0</v>
      </c>
      <c r="H73" s="19">
        <v>30</v>
      </c>
      <c r="I73" s="19">
        <f>-H73</f>
        <v>-30</v>
      </c>
      <c r="J73" s="18" t="s">
        <v>15</v>
      </c>
      <c r="K73" s="18" t="s">
        <v>15</v>
      </c>
      <c r="L73" s="18" t="s">
        <v>2724</v>
      </c>
      <c r="M73" s="18"/>
      <c r="N73" s="18"/>
      <c r="O73" s="18"/>
      <c r="P73" s="18"/>
      <c r="Q73" s="18">
        <v>1</v>
      </c>
      <c r="R73" s="17">
        <f t="shared" ref="R73:R74" si="8">H73</f>
        <v>30</v>
      </c>
    </row>
    <row r="74" spans="1:18" customFormat="1" x14ac:dyDescent="0.25">
      <c r="A74" s="18"/>
      <c r="B74" s="18" t="s">
        <v>34</v>
      </c>
      <c r="C74" s="18" t="s">
        <v>2895</v>
      </c>
      <c r="D74" s="18" t="s">
        <v>2896</v>
      </c>
      <c r="E74" s="18" t="s">
        <v>1170</v>
      </c>
      <c r="F74" s="19">
        <v>12</v>
      </c>
      <c r="G74" s="19">
        <v>0</v>
      </c>
      <c r="H74" s="19">
        <v>30</v>
      </c>
      <c r="I74" s="19">
        <f>-H74</f>
        <v>-30</v>
      </c>
      <c r="J74" s="18" t="s">
        <v>15</v>
      </c>
      <c r="K74" s="18" t="s">
        <v>15</v>
      </c>
      <c r="L74" s="18" t="s">
        <v>2724</v>
      </c>
      <c r="M74" s="18"/>
      <c r="N74" s="18"/>
      <c r="O74" s="18"/>
      <c r="P74" s="18"/>
      <c r="Q74" s="18">
        <v>1</v>
      </c>
      <c r="R74" s="17">
        <f t="shared" si="8"/>
        <v>30</v>
      </c>
    </row>
    <row r="75" spans="1:18" customFormat="1" x14ac:dyDescent="0.25">
      <c r="A75" s="18"/>
      <c r="B75" s="18" t="s">
        <v>34</v>
      </c>
      <c r="C75" s="18" t="s">
        <v>2689</v>
      </c>
      <c r="D75" s="18" t="s">
        <v>2897</v>
      </c>
      <c r="E75" s="18" t="s">
        <v>2691</v>
      </c>
      <c r="F75" s="18" t="s">
        <v>144</v>
      </c>
      <c r="G75" s="19">
        <v>720</v>
      </c>
      <c r="H75" s="19">
        <v>30</v>
      </c>
      <c r="I75" s="19">
        <f>G75-H75</f>
        <v>690</v>
      </c>
      <c r="J75" s="18" t="s">
        <v>15</v>
      </c>
      <c r="K75" s="18" t="s">
        <v>15</v>
      </c>
      <c r="L75" s="18" t="s">
        <v>2724</v>
      </c>
      <c r="M75" s="18"/>
      <c r="N75" s="18"/>
      <c r="O75" s="18"/>
      <c r="P75" s="18"/>
      <c r="Q75" s="18">
        <v>1</v>
      </c>
    </row>
    <row r="76" spans="1:18" customFormat="1" x14ac:dyDescent="0.25">
      <c r="A76" s="18"/>
      <c r="B76" s="18" t="s">
        <v>34</v>
      </c>
      <c r="C76" s="18" t="s">
        <v>2898</v>
      </c>
      <c r="D76" s="18" t="s">
        <v>2899</v>
      </c>
      <c r="E76" s="18" t="s">
        <v>2900</v>
      </c>
      <c r="F76" s="18" t="s">
        <v>19</v>
      </c>
      <c r="G76" s="19">
        <v>880</v>
      </c>
      <c r="H76" s="19">
        <v>20</v>
      </c>
      <c r="I76" s="19">
        <f>G76-H76</f>
        <v>860</v>
      </c>
      <c r="J76" s="18" t="s">
        <v>15</v>
      </c>
      <c r="K76" s="18" t="s">
        <v>15</v>
      </c>
      <c r="L76" s="18" t="s">
        <v>2724</v>
      </c>
      <c r="M76" s="18"/>
      <c r="N76" s="18"/>
      <c r="O76" s="18"/>
      <c r="P76" s="18"/>
      <c r="Q76" s="18">
        <v>1</v>
      </c>
    </row>
    <row r="77" spans="1:18" customFormat="1" x14ac:dyDescent="0.25">
      <c r="A77" s="18"/>
      <c r="B77" s="18" t="s">
        <v>34</v>
      </c>
      <c r="C77" s="18" t="s">
        <v>1945</v>
      </c>
      <c r="D77" s="18" t="s">
        <v>2901</v>
      </c>
      <c r="E77" s="18" t="s">
        <v>2902</v>
      </c>
      <c r="F77" s="18" t="s">
        <v>19</v>
      </c>
      <c r="G77" s="19">
        <v>3310</v>
      </c>
      <c r="H77" s="19">
        <v>30</v>
      </c>
      <c r="I77" s="19">
        <f>G77-H77</f>
        <v>3280</v>
      </c>
      <c r="J77" s="18" t="s">
        <v>15</v>
      </c>
      <c r="K77" s="18" t="s">
        <v>15</v>
      </c>
      <c r="L77" s="18" t="s">
        <v>2724</v>
      </c>
      <c r="M77" s="48" t="s">
        <v>1254</v>
      </c>
      <c r="N77" s="18"/>
      <c r="O77" s="18"/>
      <c r="P77" s="18"/>
      <c r="Q77" s="18">
        <v>1</v>
      </c>
      <c r="R77" s="17">
        <f>H77</f>
        <v>30</v>
      </c>
    </row>
    <row r="78" spans="1:18" customFormat="1" x14ac:dyDescent="0.25">
      <c r="A78" s="18"/>
      <c r="B78" s="18" t="s">
        <v>34</v>
      </c>
      <c r="C78" s="18" t="s">
        <v>1945</v>
      </c>
      <c r="D78" s="18" t="s">
        <v>2903</v>
      </c>
      <c r="E78" s="18" t="s">
        <v>2902</v>
      </c>
      <c r="F78" s="18" t="s">
        <v>19</v>
      </c>
      <c r="G78" s="19">
        <v>1320</v>
      </c>
      <c r="H78" s="19">
        <v>0</v>
      </c>
      <c r="I78" s="19">
        <f>G78-H78</f>
        <v>1320</v>
      </c>
      <c r="J78" s="18" t="s">
        <v>15</v>
      </c>
      <c r="K78" s="18" t="s">
        <v>15</v>
      </c>
      <c r="L78" s="18" t="s">
        <v>2724</v>
      </c>
      <c r="M78" s="48" t="s">
        <v>307</v>
      </c>
      <c r="N78" s="18"/>
      <c r="O78" s="18"/>
      <c r="P78" s="18"/>
      <c r="Q78" s="18">
        <v>1</v>
      </c>
    </row>
    <row r="79" spans="1:18" customFormat="1" x14ac:dyDescent="0.25">
      <c r="A79" s="18"/>
      <c r="B79" s="18" t="s">
        <v>34</v>
      </c>
      <c r="C79" s="18" t="s">
        <v>2904</v>
      </c>
      <c r="D79" s="18" t="s">
        <v>2905</v>
      </c>
      <c r="E79" s="18" t="s">
        <v>2906</v>
      </c>
      <c r="F79" s="19">
        <v>2</v>
      </c>
      <c r="G79" s="19">
        <v>770</v>
      </c>
      <c r="H79" s="19">
        <v>30</v>
      </c>
      <c r="I79" s="19">
        <f>G79-H79</f>
        <v>740</v>
      </c>
      <c r="J79" s="18" t="s">
        <v>15</v>
      </c>
      <c r="K79" s="18" t="s">
        <v>15</v>
      </c>
      <c r="L79" s="18" t="s">
        <v>2724</v>
      </c>
      <c r="M79" s="18"/>
      <c r="N79" s="18"/>
      <c r="O79" s="18"/>
      <c r="P79" s="18"/>
      <c r="Q79" s="18">
        <v>1</v>
      </c>
    </row>
    <row r="80" spans="1:18" customFormat="1" x14ac:dyDescent="0.25">
      <c r="A80" s="18"/>
      <c r="B80" s="18" t="s">
        <v>34</v>
      </c>
      <c r="C80" s="18" t="s">
        <v>2907</v>
      </c>
      <c r="D80" s="18" t="s">
        <v>2908</v>
      </c>
      <c r="E80" s="18" t="s">
        <v>2909</v>
      </c>
      <c r="F80" s="18" t="s">
        <v>18</v>
      </c>
      <c r="G80" s="19">
        <v>0</v>
      </c>
      <c r="H80" s="19">
        <v>30</v>
      </c>
      <c r="I80" s="19">
        <f>-H80</f>
        <v>-30</v>
      </c>
      <c r="J80" s="18" t="s">
        <v>15</v>
      </c>
      <c r="K80" s="18" t="s">
        <v>15</v>
      </c>
      <c r="L80" s="18" t="s">
        <v>2724</v>
      </c>
      <c r="M80" s="18"/>
      <c r="N80" s="18"/>
      <c r="O80" s="18"/>
      <c r="P80" s="18"/>
      <c r="Q80" s="18">
        <v>1</v>
      </c>
      <c r="R80" s="17">
        <f t="shared" ref="R80:R81" si="9">H80</f>
        <v>30</v>
      </c>
    </row>
    <row r="81" spans="1:18" customFormat="1" x14ac:dyDescent="0.25">
      <c r="A81" s="18"/>
      <c r="B81" s="18" t="s">
        <v>34</v>
      </c>
      <c r="C81" s="18" t="s">
        <v>2910</v>
      </c>
      <c r="D81" s="18" t="s">
        <v>2911</v>
      </c>
      <c r="E81" s="18" t="s">
        <v>2912</v>
      </c>
      <c r="F81" s="19">
        <v>12</v>
      </c>
      <c r="G81" s="19">
        <v>0</v>
      </c>
      <c r="H81" s="19">
        <v>35</v>
      </c>
      <c r="I81" s="19">
        <f>-H81</f>
        <v>-35</v>
      </c>
      <c r="J81" s="18" t="s">
        <v>15</v>
      </c>
      <c r="K81" s="18" t="s">
        <v>15</v>
      </c>
      <c r="L81" s="18" t="s">
        <v>2724</v>
      </c>
      <c r="M81" s="18"/>
      <c r="N81" s="18"/>
      <c r="O81" s="18"/>
      <c r="P81" s="18"/>
      <c r="Q81" s="18">
        <v>1</v>
      </c>
      <c r="R81" s="17">
        <f t="shared" si="9"/>
        <v>35</v>
      </c>
    </row>
    <row r="82" spans="1:18" customFormat="1" x14ac:dyDescent="0.25">
      <c r="A82" s="18" t="s">
        <v>96</v>
      </c>
      <c r="B82" s="18" t="s">
        <v>34</v>
      </c>
      <c r="C82" s="18" t="s">
        <v>640</v>
      </c>
      <c r="D82" s="18"/>
      <c r="E82" s="18" t="s">
        <v>2913</v>
      </c>
      <c r="F82" s="18" t="s">
        <v>20</v>
      </c>
      <c r="G82" s="19">
        <v>2815</v>
      </c>
      <c r="H82" s="19">
        <v>35</v>
      </c>
      <c r="I82" s="19">
        <f>G82-H82</f>
        <v>2780</v>
      </c>
      <c r="J82" s="18" t="s">
        <v>15</v>
      </c>
      <c r="K82" s="18" t="s">
        <v>15</v>
      </c>
      <c r="L82" s="18" t="s">
        <v>2724</v>
      </c>
      <c r="M82" s="18"/>
      <c r="N82" s="18"/>
      <c r="O82" s="18"/>
      <c r="P82" s="18"/>
      <c r="Q82" s="18">
        <v>1</v>
      </c>
    </row>
    <row r="83" spans="1:18" customFormat="1" x14ac:dyDescent="0.25">
      <c r="A83" s="18"/>
      <c r="B83" s="18" t="s">
        <v>34</v>
      </c>
      <c r="C83" s="18" t="s">
        <v>237</v>
      </c>
      <c r="D83" s="18" t="s">
        <v>2914</v>
      </c>
      <c r="E83" s="18" t="s">
        <v>239</v>
      </c>
      <c r="F83" s="19">
        <v>10</v>
      </c>
      <c r="G83" s="19">
        <v>885</v>
      </c>
      <c r="H83" s="19">
        <v>25</v>
      </c>
      <c r="I83" s="19">
        <f>G83-H83</f>
        <v>860</v>
      </c>
      <c r="J83" s="18" t="s">
        <v>160</v>
      </c>
      <c r="K83" s="18" t="s">
        <v>15</v>
      </c>
      <c r="L83" s="18" t="s">
        <v>2724</v>
      </c>
      <c r="M83" s="18"/>
      <c r="N83" s="18"/>
      <c r="O83" s="18"/>
      <c r="P83" s="18"/>
      <c r="Q83" s="18">
        <v>1</v>
      </c>
    </row>
    <row r="84" spans="1:18" customFormat="1" x14ac:dyDescent="0.25">
      <c r="A84" s="18"/>
      <c r="B84" s="18" t="s">
        <v>34</v>
      </c>
      <c r="C84" s="18" t="s">
        <v>2915</v>
      </c>
      <c r="D84" s="18" t="s">
        <v>2916</v>
      </c>
      <c r="E84" s="18" t="s">
        <v>2917</v>
      </c>
      <c r="F84" s="19">
        <v>5</v>
      </c>
      <c r="G84" s="19">
        <v>855</v>
      </c>
      <c r="H84" s="19">
        <v>25</v>
      </c>
      <c r="I84" s="19">
        <f>G84-H84</f>
        <v>830</v>
      </c>
      <c r="J84" s="18" t="s">
        <v>160</v>
      </c>
      <c r="K84" s="18" t="s">
        <v>15</v>
      </c>
      <c r="L84" s="18" t="s">
        <v>2724</v>
      </c>
      <c r="M84" s="18"/>
      <c r="N84" s="18"/>
      <c r="O84" s="18"/>
      <c r="P84" s="18"/>
      <c r="Q84" s="18">
        <v>1</v>
      </c>
    </row>
    <row r="85" spans="1:18" customFormat="1" x14ac:dyDescent="0.25">
      <c r="A85" s="18"/>
      <c r="B85" s="18" t="s">
        <v>34</v>
      </c>
      <c r="C85" s="18" t="s">
        <v>2918</v>
      </c>
      <c r="D85" s="18" t="s">
        <v>2919</v>
      </c>
      <c r="E85" s="18" t="s">
        <v>2920</v>
      </c>
      <c r="F85" s="19">
        <v>10</v>
      </c>
      <c r="G85" s="19">
        <v>685</v>
      </c>
      <c r="H85" s="19">
        <v>25</v>
      </c>
      <c r="I85" s="19">
        <f>G85-H85</f>
        <v>660</v>
      </c>
      <c r="J85" s="18" t="s">
        <v>160</v>
      </c>
      <c r="K85" s="18" t="s">
        <v>15</v>
      </c>
      <c r="L85" s="18" t="s">
        <v>2724</v>
      </c>
      <c r="M85" s="18"/>
      <c r="N85" s="18"/>
      <c r="O85" s="18"/>
      <c r="P85" s="18"/>
      <c r="Q85" s="18">
        <v>1</v>
      </c>
    </row>
    <row r="86" spans="1:18" customFormat="1" x14ac:dyDescent="0.25">
      <c r="A86" s="18"/>
      <c r="B86" s="18" t="s">
        <v>34</v>
      </c>
      <c r="C86" s="18" t="s">
        <v>2921</v>
      </c>
      <c r="D86" s="18" t="s">
        <v>2922</v>
      </c>
      <c r="E86" s="18" t="s">
        <v>2923</v>
      </c>
      <c r="F86" s="19">
        <v>1</v>
      </c>
      <c r="G86" s="19">
        <v>0</v>
      </c>
      <c r="H86" s="19">
        <v>25</v>
      </c>
      <c r="I86" s="19">
        <f>-H86</f>
        <v>-25</v>
      </c>
      <c r="J86" s="18" t="s">
        <v>160</v>
      </c>
      <c r="K86" s="18" t="s">
        <v>15</v>
      </c>
      <c r="L86" s="18" t="s">
        <v>2724</v>
      </c>
      <c r="M86" s="18"/>
      <c r="N86" s="18"/>
      <c r="O86" s="18"/>
      <c r="P86" s="18"/>
      <c r="Q86" s="18">
        <v>1</v>
      </c>
      <c r="R86" s="17">
        <f>H86</f>
        <v>25</v>
      </c>
    </row>
    <row r="87" spans="1:18" customFormat="1" x14ac:dyDescent="0.25">
      <c r="A87" s="18"/>
      <c r="B87" s="18" t="s">
        <v>34</v>
      </c>
      <c r="C87" s="18" t="s">
        <v>1662</v>
      </c>
      <c r="D87" s="18" t="s">
        <v>2924</v>
      </c>
      <c r="E87" s="18" t="s">
        <v>1664</v>
      </c>
      <c r="F87" s="19">
        <v>3</v>
      </c>
      <c r="G87" s="19">
        <v>915</v>
      </c>
      <c r="H87" s="19">
        <v>25</v>
      </c>
      <c r="I87" s="19">
        <f>G87-H87</f>
        <v>890</v>
      </c>
      <c r="J87" s="18" t="s">
        <v>160</v>
      </c>
      <c r="K87" s="18" t="s">
        <v>15</v>
      </c>
      <c r="L87" s="18" t="s">
        <v>2724</v>
      </c>
      <c r="M87" s="18"/>
      <c r="N87" s="18"/>
      <c r="O87" s="18"/>
      <c r="P87" s="18"/>
      <c r="Q87" s="18">
        <v>1</v>
      </c>
    </row>
    <row r="88" spans="1:18" customFormat="1" x14ac:dyDescent="0.25">
      <c r="A88" s="18"/>
      <c r="B88" s="18" t="s">
        <v>34</v>
      </c>
      <c r="C88" s="18" t="s">
        <v>2925</v>
      </c>
      <c r="D88" s="18" t="s">
        <v>2926</v>
      </c>
      <c r="E88" s="18" t="s">
        <v>2927</v>
      </c>
      <c r="F88" s="19">
        <v>5</v>
      </c>
      <c r="G88" s="19">
        <v>0</v>
      </c>
      <c r="H88" s="19">
        <v>25</v>
      </c>
      <c r="I88" s="19">
        <f>-H88</f>
        <v>-25</v>
      </c>
      <c r="J88" s="18" t="s">
        <v>160</v>
      </c>
      <c r="K88" s="18" t="s">
        <v>15</v>
      </c>
      <c r="L88" s="18" t="s">
        <v>2724</v>
      </c>
      <c r="M88" s="18"/>
      <c r="N88" s="18"/>
      <c r="O88" s="18"/>
      <c r="P88" s="18"/>
      <c r="Q88" s="18">
        <v>1</v>
      </c>
      <c r="R88" s="17">
        <f>H88</f>
        <v>25</v>
      </c>
    </row>
    <row r="89" spans="1:18" customFormat="1" x14ac:dyDescent="0.25">
      <c r="A89" s="18"/>
      <c r="B89" s="18" t="s">
        <v>34</v>
      </c>
      <c r="C89" s="18" t="s">
        <v>2928</v>
      </c>
      <c r="D89" s="18" t="s">
        <v>2929</v>
      </c>
      <c r="E89" s="18" t="s">
        <v>2930</v>
      </c>
      <c r="F89" s="19">
        <v>1</v>
      </c>
      <c r="G89" s="19">
        <v>815</v>
      </c>
      <c r="H89" s="19">
        <v>25</v>
      </c>
      <c r="I89" s="19">
        <f t="shared" ref="I89:I96" si="10">G89-H89</f>
        <v>790</v>
      </c>
      <c r="J89" s="18" t="s">
        <v>160</v>
      </c>
      <c r="K89" s="18" t="s">
        <v>15</v>
      </c>
      <c r="L89" s="18" t="s">
        <v>2724</v>
      </c>
      <c r="M89" s="18"/>
      <c r="N89" s="18"/>
      <c r="O89" s="18"/>
      <c r="P89" s="18"/>
      <c r="Q89" s="18">
        <v>1</v>
      </c>
    </row>
    <row r="90" spans="1:18" customFormat="1" x14ac:dyDescent="0.25">
      <c r="A90" s="18"/>
      <c r="B90" s="18" t="s">
        <v>34</v>
      </c>
      <c r="C90" s="18" t="s">
        <v>2931</v>
      </c>
      <c r="D90" s="18" t="s">
        <v>2932</v>
      </c>
      <c r="E90" s="18" t="s">
        <v>2933</v>
      </c>
      <c r="F90" s="19">
        <v>1</v>
      </c>
      <c r="G90" s="19">
        <v>1475</v>
      </c>
      <c r="H90" s="19">
        <v>25</v>
      </c>
      <c r="I90" s="19">
        <f t="shared" si="10"/>
        <v>1450</v>
      </c>
      <c r="J90" s="18" t="s">
        <v>160</v>
      </c>
      <c r="K90" s="18" t="s">
        <v>15</v>
      </c>
      <c r="L90" s="18" t="s">
        <v>2724</v>
      </c>
      <c r="M90" s="18"/>
      <c r="N90" s="18"/>
      <c r="O90" s="18"/>
      <c r="P90" s="18"/>
      <c r="Q90" s="18">
        <v>1</v>
      </c>
    </row>
    <row r="91" spans="1:18" customFormat="1" x14ac:dyDescent="0.25">
      <c r="A91" s="18"/>
      <c r="B91" s="18" t="s">
        <v>34</v>
      </c>
      <c r="C91" s="18" t="s">
        <v>2934</v>
      </c>
      <c r="D91" s="18" t="s">
        <v>2935</v>
      </c>
      <c r="E91" s="18" t="s">
        <v>2936</v>
      </c>
      <c r="F91" s="19">
        <v>1</v>
      </c>
      <c r="G91" s="19">
        <v>765</v>
      </c>
      <c r="H91" s="19">
        <v>25</v>
      </c>
      <c r="I91" s="19">
        <f t="shared" si="10"/>
        <v>740</v>
      </c>
      <c r="J91" s="18" t="s">
        <v>160</v>
      </c>
      <c r="K91" s="18" t="s">
        <v>15</v>
      </c>
      <c r="L91" s="18" t="s">
        <v>2724</v>
      </c>
      <c r="M91" s="18"/>
      <c r="N91" s="18"/>
      <c r="O91" s="18"/>
      <c r="P91" s="18"/>
      <c r="Q91" s="18">
        <v>1</v>
      </c>
    </row>
    <row r="92" spans="1:18" customFormat="1" x14ac:dyDescent="0.25">
      <c r="A92" s="18"/>
      <c r="B92" s="18" t="s">
        <v>34</v>
      </c>
      <c r="C92" s="18" t="s">
        <v>2937</v>
      </c>
      <c r="D92" s="18" t="s">
        <v>2938</v>
      </c>
      <c r="E92" s="18" t="s">
        <v>2939</v>
      </c>
      <c r="F92" s="18" t="s">
        <v>18</v>
      </c>
      <c r="G92" s="19">
        <v>685</v>
      </c>
      <c r="H92" s="19">
        <v>25</v>
      </c>
      <c r="I92" s="19">
        <f t="shared" si="10"/>
        <v>660</v>
      </c>
      <c r="J92" s="18" t="s">
        <v>160</v>
      </c>
      <c r="K92" s="18" t="s">
        <v>15</v>
      </c>
      <c r="L92" s="18" t="s">
        <v>2724</v>
      </c>
      <c r="M92" s="18"/>
      <c r="N92" s="18"/>
      <c r="O92" s="18"/>
      <c r="P92" s="18"/>
      <c r="Q92" s="18">
        <v>1</v>
      </c>
    </row>
    <row r="93" spans="1:18" customFormat="1" x14ac:dyDescent="0.25">
      <c r="A93" s="18"/>
      <c r="B93" s="18" t="s">
        <v>34</v>
      </c>
      <c r="C93" s="18" t="s">
        <v>2940</v>
      </c>
      <c r="D93" s="18" t="s">
        <v>2941</v>
      </c>
      <c r="E93" s="18" t="s">
        <v>2942</v>
      </c>
      <c r="F93" s="18" t="s">
        <v>18</v>
      </c>
      <c r="G93" s="19">
        <v>765</v>
      </c>
      <c r="H93" s="19">
        <v>25</v>
      </c>
      <c r="I93" s="19">
        <f t="shared" si="10"/>
        <v>740</v>
      </c>
      <c r="J93" s="18" t="s">
        <v>160</v>
      </c>
      <c r="K93" s="18" t="s">
        <v>15</v>
      </c>
      <c r="L93" s="18" t="s">
        <v>2724</v>
      </c>
      <c r="M93" s="18"/>
      <c r="N93" s="18"/>
      <c r="O93" s="18"/>
      <c r="P93" s="18"/>
      <c r="Q93" s="18">
        <v>1</v>
      </c>
    </row>
    <row r="94" spans="1:18" customFormat="1" x14ac:dyDescent="0.25">
      <c r="A94" s="18"/>
      <c r="B94" s="18" t="s">
        <v>34</v>
      </c>
      <c r="C94" s="18" t="s">
        <v>2943</v>
      </c>
      <c r="D94" s="18" t="s">
        <v>2944</v>
      </c>
      <c r="E94" s="18" t="s">
        <v>2945</v>
      </c>
      <c r="F94" s="19">
        <v>4</v>
      </c>
      <c r="G94" s="19">
        <v>765</v>
      </c>
      <c r="H94" s="19">
        <v>25</v>
      </c>
      <c r="I94" s="19">
        <f t="shared" si="10"/>
        <v>740</v>
      </c>
      <c r="J94" s="18" t="s">
        <v>160</v>
      </c>
      <c r="K94" s="18" t="s">
        <v>15</v>
      </c>
      <c r="L94" s="18" t="s">
        <v>2724</v>
      </c>
      <c r="M94" s="18"/>
      <c r="N94" s="18"/>
      <c r="O94" s="18"/>
      <c r="P94" s="18"/>
      <c r="Q94" s="18">
        <v>1</v>
      </c>
    </row>
    <row r="95" spans="1:18" customFormat="1" x14ac:dyDescent="0.25">
      <c r="A95" s="18"/>
      <c r="B95" s="18" t="s">
        <v>34</v>
      </c>
      <c r="C95" s="18" t="s">
        <v>2946</v>
      </c>
      <c r="D95" s="18" t="s">
        <v>2947</v>
      </c>
      <c r="E95" s="18" t="s">
        <v>2948</v>
      </c>
      <c r="F95" s="19">
        <v>3</v>
      </c>
      <c r="G95" s="19">
        <v>375</v>
      </c>
      <c r="H95" s="19">
        <v>25</v>
      </c>
      <c r="I95" s="19">
        <f t="shared" si="10"/>
        <v>350</v>
      </c>
      <c r="J95" s="18" t="s">
        <v>160</v>
      </c>
      <c r="K95" s="18" t="s">
        <v>15</v>
      </c>
      <c r="L95" s="18" t="s">
        <v>2724</v>
      </c>
      <c r="M95" s="18"/>
      <c r="N95" s="18"/>
      <c r="O95" s="18"/>
      <c r="P95" s="18"/>
      <c r="Q95" s="18">
        <v>1</v>
      </c>
    </row>
    <row r="96" spans="1:18" customFormat="1" x14ac:dyDescent="0.25">
      <c r="A96" s="18"/>
      <c r="B96" s="18" t="s">
        <v>34</v>
      </c>
      <c r="C96" s="18" t="s">
        <v>2949</v>
      </c>
      <c r="D96" s="18" t="s">
        <v>2950</v>
      </c>
      <c r="E96" s="18" t="s">
        <v>2951</v>
      </c>
      <c r="F96" s="19">
        <v>3</v>
      </c>
      <c r="G96" s="19">
        <v>1145</v>
      </c>
      <c r="H96" s="19">
        <v>25</v>
      </c>
      <c r="I96" s="19">
        <f t="shared" si="10"/>
        <v>1120</v>
      </c>
      <c r="J96" s="18" t="s">
        <v>160</v>
      </c>
      <c r="K96" s="18" t="s">
        <v>15</v>
      </c>
      <c r="L96" s="18" t="s">
        <v>2724</v>
      </c>
      <c r="M96" s="18"/>
      <c r="N96" s="18"/>
      <c r="O96" s="18"/>
      <c r="P96" s="18"/>
      <c r="Q96" s="18">
        <v>1</v>
      </c>
    </row>
    <row r="97" spans="1:18" customFormat="1" x14ac:dyDescent="0.25">
      <c r="A97" s="18"/>
      <c r="B97" s="18" t="s">
        <v>34</v>
      </c>
      <c r="C97" s="18" t="s">
        <v>2952</v>
      </c>
      <c r="D97" s="18" t="s">
        <v>2953</v>
      </c>
      <c r="E97" s="18" t="s">
        <v>2954</v>
      </c>
      <c r="F97" s="18" t="s">
        <v>18</v>
      </c>
      <c r="G97" s="19">
        <v>0</v>
      </c>
      <c r="H97" s="19">
        <v>25</v>
      </c>
      <c r="I97" s="19">
        <f>-H97</f>
        <v>-25</v>
      </c>
      <c r="J97" s="18" t="s">
        <v>160</v>
      </c>
      <c r="K97" s="18" t="s">
        <v>15</v>
      </c>
      <c r="L97" s="18" t="s">
        <v>2724</v>
      </c>
      <c r="M97" s="18"/>
      <c r="N97" s="18"/>
      <c r="O97" s="18"/>
      <c r="P97" s="18"/>
      <c r="Q97" s="18">
        <v>1</v>
      </c>
      <c r="R97" s="17">
        <f>H97</f>
        <v>25</v>
      </c>
    </row>
    <row r="98" spans="1:18" customFormat="1" x14ac:dyDescent="0.25">
      <c r="A98" s="18"/>
      <c r="B98" s="18" t="s">
        <v>34</v>
      </c>
      <c r="C98" s="18" t="s">
        <v>2955</v>
      </c>
      <c r="D98" s="18" t="s">
        <v>2956</v>
      </c>
      <c r="E98" s="18" t="s">
        <v>2957</v>
      </c>
      <c r="F98" s="19">
        <v>3</v>
      </c>
      <c r="G98" s="19">
        <v>885</v>
      </c>
      <c r="H98" s="19">
        <v>25</v>
      </c>
      <c r="I98" s="19">
        <f>G98-H98</f>
        <v>860</v>
      </c>
      <c r="J98" s="18" t="s">
        <v>160</v>
      </c>
      <c r="K98" s="18" t="s">
        <v>15</v>
      </c>
      <c r="L98" s="18" t="s">
        <v>2724</v>
      </c>
      <c r="M98" s="18"/>
      <c r="N98" s="18"/>
      <c r="O98" s="18"/>
      <c r="P98" s="18"/>
      <c r="Q98" s="18">
        <v>1</v>
      </c>
    </row>
    <row r="99" spans="1:18" customFormat="1" x14ac:dyDescent="0.25">
      <c r="A99" s="18"/>
      <c r="B99" s="18" t="s">
        <v>34</v>
      </c>
      <c r="C99" s="18" t="s">
        <v>1985</v>
      </c>
      <c r="D99" s="18" t="s">
        <v>2958</v>
      </c>
      <c r="E99" s="18" t="s">
        <v>2959</v>
      </c>
      <c r="F99" s="19">
        <v>10</v>
      </c>
      <c r="G99" s="19">
        <v>1505</v>
      </c>
      <c r="H99" s="19">
        <v>30</v>
      </c>
      <c r="I99" s="19">
        <f>G99-H99</f>
        <v>1475</v>
      </c>
      <c r="J99" s="18" t="s">
        <v>160</v>
      </c>
      <c r="K99" s="18" t="s">
        <v>15</v>
      </c>
      <c r="L99" s="18" t="s">
        <v>2724</v>
      </c>
      <c r="M99" s="48" t="s">
        <v>1254</v>
      </c>
      <c r="N99" s="18"/>
      <c r="O99" s="18"/>
      <c r="P99" s="18"/>
      <c r="Q99" s="18">
        <v>1</v>
      </c>
      <c r="R99" s="17">
        <f>H99</f>
        <v>30</v>
      </c>
    </row>
    <row r="100" spans="1:18" customFormat="1" x14ac:dyDescent="0.25">
      <c r="A100" s="18"/>
      <c r="B100" s="18" t="s">
        <v>34</v>
      </c>
      <c r="C100" s="18" t="s">
        <v>2960</v>
      </c>
      <c r="D100" s="18" t="s">
        <v>2961</v>
      </c>
      <c r="E100" s="18" t="s">
        <v>1987</v>
      </c>
      <c r="F100" s="19">
        <v>10</v>
      </c>
      <c r="G100" s="19">
        <v>1020</v>
      </c>
      <c r="H100" s="19">
        <v>0</v>
      </c>
      <c r="I100" s="19">
        <f>G100-H100</f>
        <v>1020</v>
      </c>
      <c r="J100" s="18" t="s">
        <v>160</v>
      </c>
      <c r="K100" s="18" t="s">
        <v>15</v>
      </c>
      <c r="L100" s="18" t="s">
        <v>2724</v>
      </c>
      <c r="M100" s="48" t="s">
        <v>307</v>
      </c>
      <c r="N100" s="18"/>
      <c r="O100" s="18"/>
      <c r="P100" s="18"/>
      <c r="Q100" s="18">
        <v>1</v>
      </c>
    </row>
    <row r="101" spans="1:18" customFormat="1" x14ac:dyDescent="0.25">
      <c r="A101" s="18"/>
      <c r="B101" s="18" t="s">
        <v>34</v>
      </c>
      <c r="C101" s="18" t="s">
        <v>2962</v>
      </c>
      <c r="D101" s="18" t="s">
        <v>2963</v>
      </c>
      <c r="E101" s="18" t="s">
        <v>2964</v>
      </c>
      <c r="F101" s="18" t="s">
        <v>18</v>
      </c>
      <c r="G101" s="19">
        <v>0</v>
      </c>
      <c r="H101" s="19">
        <v>25</v>
      </c>
      <c r="I101" s="19">
        <f>-H101</f>
        <v>-25</v>
      </c>
      <c r="J101" s="18" t="s">
        <v>160</v>
      </c>
      <c r="K101" s="18" t="s">
        <v>15</v>
      </c>
      <c r="L101" s="18" t="s">
        <v>2724</v>
      </c>
      <c r="M101" s="18"/>
      <c r="N101" s="18"/>
      <c r="O101" s="18"/>
      <c r="P101" s="18"/>
      <c r="Q101" s="18">
        <v>1</v>
      </c>
      <c r="R101" s="17">
        <f>H101</f>
        <v>25</v>
      </c>
    </row>
    <row r="102" spans="1:18" customFormat="1" x14ac:dyDescent="0.25">
      <c r="A102" s="18"/>
      <c r="B102" s="18" t="s">
        <v>34</v>
      </c>
      <c r="C102" s="18" t="s">
        <v>2965</v>
      </c>
      <c r="D102" s="18" t="s">
        <v>2966</v>
      </c>
      <c r="E102" s="18" t="s">
        <v>2967</v>
      </c>
      <c r="F102" s="19">
        <v>4</v>
      </c>
      <c r="G102" s="19">
        <v>885</v>
      </c>
      <c r="H102" s="19">
        <v>25</v>
      </c>
      <c r="I102" s="19">
        <f t="shared" ref="I102:I107" si="11">G102-H102</f>
        <v>860</v>
      </c>
      <c r="J102" s="18" t="s">
        <v>160</v>
      </c>
      <c r="K102" s="18" t="s">
        <v>15</v>
      </c>
      <c r="L102" s="18" t="s">
        <v>2724</v>
      </c>
      <c r="M102" s="18"/>
      <c r="N102" s="18"/>
      <c r="O102" s="18"/>
      <c r="P102" s="18"/>
      <c r="Q102" s="18">
        <v>1</v>
      </c>
    </row>
    <row r="103" spans="1:18" customFormat="1" x14ac:dyDescent="0.25">
      <c r="A103" s="18"/>
      <c r="B103" s="18" t="s">
        <v>34</v>
      </c>
      <c r="C103" s="18" t="s">
        <v>2968</v>
      </c>
      <c r="D103" s="18" t="s">
        <v>2969</v>
      </c>
      <c r="E103" s="18" t="s">
        <v>2970</v>
      </c>
      <c r="F103" s="18" t="s">
        <v>17</v>
      </c>
      <c r="G103" s="19">
        <v>710</v>
      </c>
      <c r="H103" s="19">
        <v>20</v>
      </c>
      <c r="I103" s="19">
        <f t="shared" si="11"/>
        <v>690</v>
      </c>
      <c r="J103" s="18" t="s">
        <v>160</v>
      </c>
      <c r="K103" s="18" t="s">
        <v>15</v>
      </c>
      <c r="L103" s="18" t="s">
        <v>2724</v>
      </c>
      <c r="M103" s="18"/>
      <c r="N103" s="18"/>
      <c r="O103" s="18"/>
      <c r="P103" s="18"/>
      <c r="Q103" s="18">
        <v>1</v>
      </c>
    </row>
    <row r="104" spans="1:18" customFormat="1" x14ac:dyDescent="0.25">
      <c r="A104" s="18"/>
      <c r="B104" s="18" t="s">
        <v>34</v>
      </c>
      <c r="C104" s="18" t="s">
        <v>2573</v>
      </c>
      <c r="D104" s="18" t="s">
        <v>2971</v>
      </c>
      <c r="E104" s="18" t="s">
        <v>2575</v>
      </c>
      <c r="F104" s="18" t="s">
        <v>18</v>
      </c>
      <c r="G104" s="19">
        <v>1625</v>
      </c>
      <c r="H104" s="19">
        <v>25</v>
      </c>
      <c r="I104" s="19">
        <f t="shared" si="11"/>
        <v>1600</v>
      </c>
      <c r="J104" s="18" t="s">
        <v>160</v>
      </c>
      <c r="K104" s="18" t="s">
        <v>15</v>
      </c>
      <c r="L104" s="18" t="s">
        <v>2724</v>
      </c>
      <c r="M104" s="18"/>
      <c r="N104" s="18"/>
      <c r="O104" s="18"/>
      <c r="P104" s="18"/>
      <c r="Q104" s="18">
        <v>1</v>
      </c>
    </row>
    <row r="105" spans="1:18" customFormat="1" x14ac:dyDescent="0.25">
      <c r="A105" s="18"/>
      <c r="B105" s="18" t="s">
        <v>34</v>
      </c>
      <c r="C105" s="18" t="s">
        <v>2526</v>
      </c>
      <c r="D105" s="18" t="s">
        <v>2972</v>
      </c>
      <c r="E105" s="18" t="s">
        <v>2654</v>
      </c>
      <c r="F105" s="19">
        <v>10</v>
      </c>
      <c r="G105" s="19">
        <v>585</v>
      </c>
      <c r="H105" s="19">
        <v>25</v>
      </c>
      <c r="I105" s="19">
        <f t="shared" si="11"/>
        <v>560</v>
      </c>
      <c r="J105" s="18" t="s">
        <v>160</v>
      </c>
      <c r="K105" s="18" t="s">
        <v>15</v>
      </c>
      <c r="L105" s="18" t="s">
        <v>2724</v>
      </c>
      <c r="M105" s="18"/>
      <c r="N105" s="18"/>
      <c r="O105" s="18"/>
      <c r="P105" s="18"/>
      <c r="Q105" s="18">
        <v>1</v>
      </c>
    </row>
    <row r="106" spans="1:18" customFormat="1" x14ac:dyDescent="0.25">
      <c r="A106" s="18"/>
      <c r="B106" s="18" t="s">
        <v>34</v>
      </c>
      <c r="C106" s="18" t="s">
        <v>645</v>
      </c>
      <c r="D106" s="18" t="s">
        <v>2973</v>
      </c>
      <c r="E106" s="18" t="s">
        <v>647</v>
      </c>
      <c r="F106" s="19">
        <v>1</v>
      </c>
      <c r="G106" s="19">
        <v>465</v>
      </c>
      <c r="H106" s="19">
        <v>25</v>
      </c>
      <c r="I106" s="19">
        <f t="shared" si="11"/>
        <v>440</v>
      </c>
      <c r="J106" s="18" t="s">
        <v>160</v>
      </c>
      <c r="K106" s="18" t="s">
        <v>15</v>
      </c>
      <c r="L106" s="18" t="s">
        <v>2724</v>
      </c>
      <c r="M106" s="18"/>
      <c r="N106" s="18"/>
      <c r="O106" s="18"/>
      <c r="P106" s="18"/>
      <c r="Q106" s="18">
        <v>1</v>
      </c>
    </row>
    <row r="107" spans="1:18" customFormat="1" x14ac:dyDescent="0.25">
      <c r="A107" s="18"/>
      <c r="B107" s="18" t="s">
        <v>34</v>
      </c>
      <c r="C107" s="18" t="s">
        <v>2974</v>
      </c>
      <c r="D107" s="18" t="s">
        <v>2975</v>
      </c>
      <c r="E107" s="18" t="s">
        <v>2976</v>
      </c>
      <c r="F107" s="19">
        <v>1</v>
      </c>
      <c r="G107" s="19">
        <v>685</v>
      </c>
      <c r="H107" s="19">
        <v>25</v>
      </c>
      <c r="I107" s="19">
        <f t="shared" si="11"/>
        <v>660</v>
      </c>
      <c r="J107" s="18" t="s">
        <v>160</v>
      </c>
      <c r="K107" s="18" t="s">
        <v>15</v>
      </c>
      <c r="L107" s="18" t="s">
        <v>2724</v>
      </c>
      <c r="M107" s="18"/>
      <c r="N107" s="18"/>
      <c r="O107" s="18"/>
      <c r="P107" s="18"/>
      <c r="Q107" s="18">
        <v>1</v>
      </c>
    </row>
    <row r="108" spans="1:18" customFormat="1" x14ac:dyDescent="0.25">
      <c r="A108" s="18"/>
      <c r="B108" s="18" t="s">
        <v>34</v>
      </c>
      <c r="C108" s="18" t="s">
        <v>2977</v>
      </c>
      <c r="D108" s="18" t="s">
        <v>2978</v>
      </c>
      <c r="E108" s="18" t="s">
        <v>2979</v>
      </c>
      <c r="F108" s="18" t="s">
        <v>18</v>
      </c>
      <c r="G108" s="19">
        <v>0</v>
      </c>
      <c r="H108" s="19">
        <v>25</v>
      </c>
      <c r="I108" s="19">
        <f>-H108</f>
        <v>-25</v>
      </c>
      <c r="J108" s="18" t="s">
        <v>160</v>
      </c>
      <c r="K108" s="18" t="s">
        <v>15</v>
      </c>
      <c r="L108" s="18" t="s">
        <v>2724</v>
      </c>
      <c r="M108" s="18"/>
      <c r="N108" s="18"/>
      <c r="O108" s="18"/>
      <c r="P108" s="18"/>
      <c r="Q108" s="18">
        <v>1</v>
      </c>
      <c r="R108" s="17">
        <f>H108</f>
        <v>25</v>
      </c>
    </row>
    <row r="109" spans="1:18" customFormat="1" x14ac:dyDescent="0.25">
      <c r="A109" s="18"/>
      <c r="B109" s="18" t="s">
        <v>34</v>
      </c>
      <c r="C109" s="18" t="s">
        <v>2980</v>
      </c>
      <c r="D109" s="18" t="s">
        <v>2981</v>
      </c>
      <c r="E109" s="18" t="s">
        <v>2982</v>
      </c>
      <c r="F109" s="19">
        <v>3</v>
      </c>
      <c r="G109" s="19">
        <v>1145</v>
      </c>
      <c r="H109" s="19">
        <v>25</v>
      </c>
      <c r="I109" s="19">
        <f>G109-H109</f>
        <v>1120</v>
      </c>
      <c r="J109" s="18" t="s">
        <v>160</v>
      </c>
      <c r="K109" s="18" t="s">
        <v>15</v>
      </c>
      <c r="L109" s="18" t="s">
        <v>2724</v>
      </c>
      <c r="M109" s="18"/>
      <c r="N109" s="18"/>
      <c r="O109" s="18"/>
      <c r="P109" s="18"/>
      <c r="Q109" s="18">
        <v>1</v>
      </c>
    </row>
    <row r="110" spans="1:18" customFormat="1" x14ac:dyDescent="0.25">
      <c r="A110" s="18"/>
      <c r="B110" s="18" t="s">
        <v>34</v>
      </c>
      <c r="C110" s="18" t="s">
        <v>2983</v>
      </c>
      <c r="D110" s="18" t="s">
        <v>2984</v>
      </c>
      <c r="E110" s="18" t="s">
        <v>2985</v>
      </c>
      <c r="F110" s="19">
        <v>10</v>
      </c>
      <c r="G110" s="19">
        <v>765</v>
      </c>
      <c r="H110" s="19">
        <v>25</v>
      </c>
      <c r="I110" s="19">
        <f>G110-H110</f>
        <v>740</v>
      </c>
      <c r="J110" s="18" t="s">
        <v>160</v>
      </c>
      <c r="K110" s="18" t="s">
        <v>15</v>
      </c>
      <c r="L110" s="18" t="s">
        <v>2724</v>
      </c>
      <c r="M110" s="18"/>
      <c r="N110" s="18"/>
      <c r="O110" s="18"/>
      <c r="P110" s="18"/>
      <c r="Q110" s="18">
        <v>1</v>
      </c>
    </row>
    <row r="111" spans="1:18" customFormat="1" x14ac:dyDescent="0.25">
      <c r="A111" s="18"/>
      <c r="B111" s="18" t="s">
        <v>34</v>
      </c>
      <c r="C111" s="18" t="s">
        <v>2986</v>
      </c>
      <c r="D111" s="18" t="s">
        <v>2987</v>
      </c>
      <c r="E111" s="18" t="s">
        <v>1331</v>
      </c>
      <c r="F111" s="19">
        <v>5</v>
      </c>
      <c r="G111" s="19">
        <v>0</v>
      </c>
      <c r="H111" s="19">
        <v>25</v>
      </c>
      <c r="I111" s="19">
        <f>-H111</f>
        <v>-25</v>
      </c>
      <c r="J111" s="18" t="s">
        <v>160</v>
      </c>
      <c r="K111" s="18" t="s">
        <v>15</v>
      </c>
      <c r="L111" s="18" t="s">
        <v>2724</v>
      </c>
      <c r="M111" s="18"/>
      <c r="N111" s="18"/>
      <c r="O111" s="18"/>
      <c r="P111" s="18"/>
      <c r="Q111" s="18">
        <v>1</v>
      </c>
      <c r="R111" s="17">
        <f>H111</f>
        <v>25</v>
      </c>
    </row>
    <row r="112" spans="1:18" customFormat="1" x14ac:dyDescent="0.25">
      <c r="A112" s="18"/>
      <c r="B112" s="18" t="s">
        <v>34</v>
      </c>
      <c r="C112" s="18" t="s">
        <v>2988</v>
      </c>
      <c r="D112" s="18" t="s">
        <v>2989</v>
      </c>
      <c r="E112" s="18" t="s">
        <v>2990</v>
      </c>
      <c r="F112" s="19">
        <v>10</v>
      </c>
      <c r="G112" s="19">
        <v>685</v>
      </c>
      <c r="H112" s="19">
        <v>25</v>
      </c>
      <c r="I112" s="19">
        <f>G112-H112</f>
        <v>660</v>
      </c>
      <c r="J112" s="18" t="s">
        <v>160</v>
      </c>
      <c r="K112" s="18" t="s">
        <v>15</v>
      </c>
      <c r="L112" s="18" t="s">
        <v>2724</v>
      </c>
      <c r="M112" s="18"/>
      <c r="N112" s="18"/>
      <c r="O112" s="18"/>
      <c r="P112" s="18"/>
      <c r="Q112" s="18">
        <v>1</v>
      </c>
    </row>
    <row r="113" spans="1:18" customFormat="1" x14ac:dyDescent="0.25">
      <c r="A113" s="18"/>
      <c r="B113" s="18" t="s">
        <v>34</v>
      </c>
      <c r="C113" s="18" t="s">
        <v>2492</v>
      </c>
      <c r="D113" s="18" t="s">
        <v>2991</v>
      </c>
      <c r="E113" s="18" t="s">
        <v>2494</v>
      </c>
      <c r="F113" s="19">
        <v>4</v>
      </c>
      <c r="G113" s="19">
        <v>845</v>
      </c>
      <c r="H113" s="19">
        <v>25</v>
      </c>
      <c r="I113" s="19">
        <f>G113-H113</f>
        <v>820</v>
      </c>
      <c r="J113" s="18" t="s">
        <v>160</v>
      </c>
      <c r="K113" s="18" t="s">
        <v>15</v>
      </c>
      <c r="L113" s="18" t="s">
        <v>2724</v>
      </c>
      <c r="M113" s="18"/>
      <c r="N113" s="18"/>
      <c r="O113" s="18"/>
      <c r="P113" s="18"/>
      <c r="Q113" s="18">
        <v>1</v>
      </c>
    </row>
    <row r="114" spans="1:18" customFormat="1" x14ac:dyDescent="0.25">
      <c r="A114" s="18"/>
      <c r="B114" s="18" t="s">
        <v>34</v>
      </c>
      <c r="C114" s="18" t="s">
        <v>2992</v>
      </c>
      <c r="D114" s="18" t="s">
        <v>2993</v>
      </c>
      <c r="E114" s="18" t="s">
        <v>2994</v>
      </c>
      <c r="F114" s="18" t="s">
        <v>17</v>
      </c>
      <c r="G114" s="19">
        <v>710</v>
      </c>
      <c r="H114" s="19">
        <v>20</v>
      </c>
      <c r="I114" s="19">
        <f>G114-H114</f>
        <v>690</v>
      </c>
      <c r="J114" s="18" t="s">
        <v>160</v>
      </c>
      <c r="K114" s="18" t="s">
        <v>15</v>
      </c>
      <c r="L114" s="18" t="s">
        <v>2724</v>
      </c>
      <c r="M114" s="18"/>
      <c r="N114" s="18"/>
      <c r="O114" s="18"/>
      <c r="P114" s="18"/>
      <c r="Q114" s="18">
        <v>1</v>
      </c>
    </row>
    <row r="115" spans="1:18" customFormat="1" x14ac:dyDescent="0.25">
      <c r="A115" s="18"/>
      <c r="B115" s="18" t="s">
        <v>34</v>
      </c>
      <c r="C115" s="18" t="s">
        <v>2995</v>
      </c>
      <c r="D115" s="18" t="s">
        <v>2996</v>
      </c>
      <c r="E115" s="18" t="s">
        <v>2997</v>
      </c>
      <c r="F115" s="19">
        <v>5</v>
      </c>
      <c r="G115" s="19">
        <v>0</v>
      </c>
      <c r="H115" s="19">
        <v>25</v>
      </c>
      <c r="I115" s="19">
        <f>-H115</f>
        <v>-25</v>
      </c>
      <c r="J115" s="18" t="s">
        <v>160</v>
      </c>
      <c r="K115" s="18" t="s">
        <v>15</v>
      </c>
      <c r="L115" s="18" t="s">
        <v>2724</v>
      </c>
      <c r="M115" s="18"/>
      <c r="N115" s="18"/>
      <c r="O115" s="18"/>
      <c r="P115" s="18"/>
      <c r="Q115" s="18">
        <v>1</v>
      </c>
      <c r="R115" s="17">
        <f t="shared" ref="R115:R117" si="12">H115</f>
        <v>25</v>
      </c>
    </row>
    <row r="116" spans="1:18" customFormat="1" x14ac:dyDescent="0.25">
      <c r="A116" s="18" t="s">
        <v>96</v>
      </c>
      <c r="B116" s="18" t="s">
        <v>34</v>
      </c>
      <c r="C116" s="18" t="s">
        <v>432</v>
      </c>
      <c r="D116" s="18"/>
      <c r="E116" s="18" t="s">
        <v>433</v>
      </c>
      <c r="F116" s="18" t="s">
        <v>18</v>
      </c>
      <c r="G116" s="19">
        <v>0</v>
      </c>
      <c r="H116" s="19">
        <v>30</v>
      </c>
      <c r="I116" s="19">
        <f>-H116</f>
        <v>-30</v>
      </c>
      <c r="J116" s="18" t="s">
        <v>160</v>
      </c>
      <c r="K116" s="18" t="s">
        <v>15</v>
      </c>
      <c r="L116" s="18" t="s">
        <v>2724</v>
      </c>
      <c r="M116" s="18"/>
      <c r="N116" s="18"/>
      <c r="O116" s="18"/>
      <c r="P116" s="18"/>
      <c r="Q116" s="18">
        <v>1</v>
      </c>
      <c r="R116" s="17">
        <f t="shared" si="12"/>
        <v>30</v>
      </c>
    </row>
    <row r="117" spans="1:18" customFormat="1" x14ac:dyDescent="0.25">
      <c r="A117" s="18" t="s">
        <v>96</v>
      </c>
      <c r="B117" s="18" t="s">
        <v>34</v>
      </c>
      <c r="C117" s="18" t="s">
        <v>2998</v>
      </c>
      <c r="D117" s="18"/>
      <c r="E117" s="18" t="s">
        <v>2999</v>
      </c>
      <c r="F117" s="19">
        <v>1</v>
      </c>
      <c r="G117" s="19">
        <v>0</v>
      </c>
      <c r="H117" s="19">
        <v>30</v>
      </c>
      <c r="I117" s="19">
        <f>-H117</f>
        <v>-30</v>
      </c>
      <c r="J117" s="18" t="s">
        <v>160</v>
      </c>
      <c r="K117" s="18" t="s">
        <v>15</v>
      </c>
      <c r="L117" s="18" t="s">
        <v>2724</v>
      </c>
      <c r="M117" s="18"/>
      <c r="N117" s="18"/>
      <c r="O117" s="18"/>
      <c r="P117" s="18"/>
      <c r="Q117" s="18">
        <v>1</v>
      </c>
      <c r="R117" s="17">
        <f t="shared" si="12"/>
        <v>30</v>
      </c>
    </row>
    <row r="118" spans="1:18" customFormat="1" x14ac:dyDescent="0.25">
      <c r="A118" s="18" t="s">
        <v>96</v>
      </c>
      <c r="B118" s="18" t="s">
        <v>34</v>
      </c>
      <c r="C118" s="18" t="s">
        <v>3000</v>
      </c>
      <c r="D118" s="18"/>
      <c r="E118" s="18" t="s">
        <v>2023</v>
      </c>
      <c r="F118" s="19">
        <v>5</v>
      </c>
      <c r="G118" s="19">
        <v>2995</v>
      </c>
      <c r="H118" s="19">
        <v>35</v>
      </c>
      <c r="I118" s="19">
        <f>G118-H118</f>
        <v>2960</v>
      </c>
      <c r="J118" s="18" t="s">
        <v>160</v>
      </c>
      <c r="K118" s="18" t="s">
        <v>15</v>
      </c>
      <c r="L118" s="18" t="s">
        <v>2724</v>
      </c>
      <c r="M118" s="18"/>
      <c r="N118" s="18"/>
      <c r="O118" s="18"/>
      <c r="P118" s="18"/>
      <c r="Q118" s="19">
        <v>1</v>
      </c>
    </row>
    <row r="119" spans="1:18" s="36" customFormat="1" x14ac:dyDescent="0.25">
      <c r="A119" s="45"/>
      <c r="B119" s="45" t="s">
        <v>34</v>
      </c>
      <c r="C119" s="45" t="s">
        <v>3001</v>
      </c>
      <c r="D119" s="45" t="s">
        <v>3002</v>
      </c>
      <c r="E119" s="45" t="s">
        <v>3003</v>
      </c>
      <c r="F119" s="45" t="s">
        <v>784</v>
      </c>
      <c r="G119" s="46">
        <v>1760</v>
      </c>
      <c r="H119" s="46">
        <v>0</v>
      </c>
      <c r="I119" s="46">
        <f>G119-H119</f>
        <v>1760</v>
      </c>
      <c r="J119" s="45" t="s">
        <v>662</v>
      </c>
      <c r="K119" s="45" t="s">
        <v>15</v>
      </c>
      <c r="L119" s="45" t="s">
        <v>2724</v>
      </c>
      <c r="M119" s="48" t="s">
        <v>786</v>
      </c>
      <c r="N119" s="45" t="s">
        <v>787</v>
      </c>
      <c r="O119" s="45"/>
      <c r="P119" s="45" t="s">
        <v>788</v>
      </c>
      <c r="Q119" s="46">
        <v>1</v>
      </c>
    </row>
    <row r="120" spans="1:18" s="36" customFormat="1" x14ac:dyDescent="0.25">
      <c r="A120" s="45"/>
      <c r="B120" s="45" t="s">
        <v>34</v>
      </c>
      <c r="C120" s="45" t="s">
        <v>3004</v>
      </c>
      <c r="D120" s="45" t="s">
        <v>3005</v>
      </c>
      <c r="E120" s="45" t="s">
        <v>3006</v>
      </c>
      <c r="F120" s="45" t="s">
        <v>3007</v>
      </c>
      <c r="G120" s="46">
        <v>490</v>
      </c>
      <c r="H120" s="46">
        <v>0</v>
      </c>
      <c r="I120" s="46">
        <f>G120-H120</f>
        <v>490</v>
      </c>
      <c r="J120" s="45" t="s">
        <v>662</v>
      </c>
      <c r="K120" s="45" t="s">
        <v>15</v>
      </c>
      <c r="L120" s="45" t="s">
        <v>2724</v>
      </c>
      <c r="M120" s="48" t="s">
        <v>786</v>
      </c>
      <c r="N120" s="45" t="s">
        <v>787</v>
      </c>
      <c r="O120" s="45"/>
      <c r="P120" s="45" t="s">
        <v>788</v>
      </c>
      <c r="Q120" s="45">
        <v>1</v>
      </c>
    </row>
    <row r="121" spans="1:18" s="36" customFormat="1" x14ac:dyDescent="0.25">
      <c r="A121" s="45"/>
      <c r="B121" s="45" t="s">
        <v>34</v>
      </c>
      <c r="C121" s="45" t="s">
        <v>3001</v>
      </c>
      <c r="D121" s="45" t="s">
        <v>3008</v>
      </c>
      <c r="E121" s="45" t="s">
        <v>3003</v>
      </c>
      <c r="F121" s="45" t="s">
        <v>784</v>
      </c>
      <c r="G121" s="46">
        <v>820</v>
      </c>
      <c r="H121" s="46">
        <v>0</v>
      </c>
      <c r="I121" s="46">
        <f>G121-H121</f>
        <v>820</v>
      </c>
      <c r="J121" s="45" t="s">
        <v>662</v>
      </c>
      <c r="K121" s="45" t="s">
        <v>15</v>
      </c>
      <c r="L121" s="45" t="s">
        <v>2724</v>
      </c>
      <c r="M121" s="48" t="s">
        <v>786</v>
      </c>
      <c r="N121" s="45" t="s">
        <v>787</v>
      </c>
      <c r="O121" s="45"/>
      <c r="P121" s="45" t="s">
        <v>788</v>
      </c>
      <c r="Q121" s="45">
        <v>1</v>
      </c>
    </row>
    <row r="122" spans="1:18" s="36" customFormat="1" x14ac:dyDescent="0.25">
      <c r="A122" s="45"/>
      <c r="B122" s="45" t="s">
        <v>34</v>
      </c>
      <c r="C122" s="45" t="s">
        <v>3009</v>
      </c>
      <c r="D122" s="45" t="s">
        <v>3010</v>
      </c>
      <c r="E122" s="45" t="s">
        <v>3011</v>
      </c>
      <c r="F122" s="45" t="s">
        <v>784</v>
      </c>
      <c r="G122" s="46">
        <v>690</v>
      </c>
      <c r="H122" s="46">
        <v>0</v>
      </c>
      <c r="I122" s="46">
        <f>G122-H122</f>
        <v>690</v>
      </c>
      <c r="J122" s="45" t="s">
        <v>662</v>
      </c>
      <c r="K122" s="45" t="s">
        <v>15</v>
      </c>
      <c r="L122" s="45" t="s">
        <v>2724</v>
      </c>
      <c r="M122" s="48" t="s">
        <v>786</v>
      </c>
      <c r="N122" s="45" t="s">
        <v>787</v>
      </c>
      <c r="O122" s="45"/>
      <c r="P122" s="45" t="s">
        <v>788</v>
      </c>
      <c r="Q122" s="45">
        <v>1</v>
      </c>
    </row>
    <row r="124" spans="1:18" x14ac:dyDescent="0.25">
      <c r="G124" s="1">
        <f>SUBTOTAL(9,G3:G122)</f>
        <v>94465</v>
      </c>
      <c r="H124" s="1">
        <f t="shared" ref="H124:R124" si="13">SUBTOTAL(9,H3:H122)</f>
        <v>3045</v>
      </c>
      <c r="I124" s="1">
        <f t="shared" si="13"/>
        <v>91420</v>
      </c>
      <c r="J124" s="1">
        <f t="shared" si="13"/>
        <v>0</v>
      </c>
      <c r="K124" s="1">
        <f t="shared" si="13"/>
        <v>0</v>
      </c>
      <c r="L124" s="1">
        <f t="shared" si="13"/>
        <v>0</v>
      </c>
      <c r="M124" s="1">
        <f t="shared" si="13"/>
        <v>0</v>
      </c>
      <c r="N124" s="1">
        <f t="shared" si="13"/>
        <v>0</v>
      </c>
      <c r="O124" s="1">
        <f t="shared" si="13"/>
        <v>0</v>
      </c>
      <c r="P124" s="1">
        <f t="shared" si="13"/>
        <v>0</v>
      </c>
      <c r="Q124" s="1">
        <f t="shared" si="13"/>
        <v>120</v>
      </c>
      <c r="R124" s="1">
        <f t="shared" si="13"/>
        <v>1045</v>
      </c>
    </row>
    <row r="125" spans="1:18" x14ac:dyDescent="0.25">
      <c r="I125" s="1">
        <v>-5870</v>
      </c>
      <c r="J125" s="1" t="s">
        <v>3013</v>
      </c>
    </row>
    <row r="126" spans="1:18" x14ac:dyDescent="0.25">
      <c r="I126" s="1">
        <v>790</v>
      </c>
      <c r="J126" s="1" t="s">
        <v>2720</v>
      </c>
    </row>
    <row r="128" spans="1:18" ht="20.25" customHeight="1" x14ac:dyDescent="0.3">
      <c r="H128" s="4" t="s">
        <v>2598</v>
      </c>
      <c r="I128" s="5" t="s">
        <v>21</v>
      </c>
      <c r="J128" s="6" t="s">
        <v>22</v>
      </c>
    </row>
    <row r="129" spans="1:12" ht="15.75" customHeight="1" x14ac:dyDescent="0.25">
      <c r="H129" s="7" t="s">
        <v>23</v>
      </c>
      <c r="I129" s="8">
        <f>SUM(I123:I127)</f>
        <v>86340</v>
      </c>
      <c r="J129" s="8">
        <f>Q124</f>
        <v>120</v>
      </c>
    </row>
    <row r="130" spans="1:12" x14ac:dyDescent="0.25">
      <c r="H130" s="9" t="s">
        <v>24</v>
      </c>
      <c r="I130" s="10">
        <f>R124</f>
        <v>1045</v>
      </c>
      <c r="J130" s="11"/>
    </row>
    <row r="131" spans="1:12" x14ac:dyDescent="0.25">
      <c r="H131" s="9" t="s">
        <v>25</v>
      </c>
      <c r="I131" s="10">
        <f>S123</f>
        <v>0</v>
      </c>
      <c r="J131" s="11"/>
    </row>
    <row r="132" spans="1:12" x14ac:dyDescent="0.25">
      <c r="H132" s="9" t="s">
        <v>26</v>
      </c>
      <c r="I132" s="10">
        <f>T123</f>
        <v>0</v>
      </c>
      <c r="J132" s="11"/>
    </row>
    <row r="133" spans="1:12" x14ac:dyDescent="0.25">
      <c r="H133" s="9" t="s">
        <v>27</v>
      </c>
      <c r="I133" s="10">
        <f>U123</f>
        <v>0</v>
      </c>
      <c r="J133" s="11"/>
    </row>
    <row r="134" spans="1:12" ht="15.75" customHeight="1" x14ac:dyDescent="0.25">
      <c r="H134" s="12" t="s">
        <v>28</v>
      </c>
      <c r="I134" s="13"/>
      <c r="J134" s="13"/>
    </row>
    <row r="135" spans="1:12" ht="15.75" customHeight="1" x14ac:dyDescent="0.25">
      <c r="H135" s="14" t="s">
        <v>29</v>
      </c>
      <c r="I135" s="13"/>
      <c r="J135" s="13"/>
    </row>
    <row r="136" spans="1:12" ht="21" customHeight="1" x14ac:dyDescent="0.35">
      <c r="H136" s="15" t="s">
        <v>30</v>
      </c>
      <c r="I136" s="16">
        <f>SUM(I129:I135)</f>
        <v>87385</v>
      </c>
      <c r="J136" s="16">
        <f>SUM(J129:J133)</f>
        <v>120</v>
      </c>
    </row>
    <row r="138" spans="1:12" x14ac:dyDescent="0.25">
      <c r="A138" s="1" t="s">
        <v>2720</v>
      </c>
    </row>
    <row r="139" spans="1:12" x14ac:dyDescent="0.25">
      <c r="A139" s="57" t="s">
        <v>34</v>
      </c>
      <c r="B139" s="57" t="s">
        <v>1005</v>
      </c>
      <c r="C139" s="57" t="s">
        <v>1006</v>
      </c>
      <c r="D139" s="57" t="s">
        <v>1007</v>
      </c>
      <c r="E139" s="57">
        <v>1</v>
      </c>
      <c r="F139" s="57">
        <v>790</v>
      </c>
      <c r="G139" s="57">
        <v>0</v>
      </c>
      <c r="H139" s="57">
        <f>F139-G139</f>
        <v>790</v>
      </c>
      <c r="I139" s="57" t="s">
        <v>160</v>
      </c>
      <c r="J139" s="57" t="s">
        <v>15</v>
      </c>
      <c r="K139" s="57" t="s">
        <v>903</v>
      </c>
      <c r="L139" s="57"/>
    </row>
  </sheetData>
  <autoFilter ref="A2:P122" xr:uid="{00000000-0009-0000-0000-000006000000}">
    <sortState xmlns:xlrd2="http://schemas.microsoft.com/office/spreadsheetml/2017/richdata2" ref="A3:P122">
      <sortCondition ref="J2:J122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1-4</vt:lpstr>
      <vt:lpstr>2-4</vt:lpstr>
      <vt:lpstr>3-4</vt:lpstr>
      <vt:lpstr>4-4</vt:lpstr>
      <vt:lpstr>6-4</vt:lpstr>
      <vt:lpstr>7-4</vt:lpstr>
      <vt:lpstr>8-4</vt:lpstr>
      <vt:lpstr>9-4</vt:lpstr>
      <vt:lpstr>10-4</vt:lpstr>
      <vt:lpstr>11-4</vt:lpstr>
      <vt:lpstr>13-4</vt:lpstr>
      <vt:lpstr>14-4</vt:lpstr>
      <vt:lpstr>15-4</vt:lpstr>
      <vt:lpstr>16-4</vt:lpstr>
      <vt:lpstr>17-4</vt:lpstr>
      <vt:lpstr>18-4</vt:lpstr>
      <vt:lpstr>20-4</vt:lpstr>
      <vt:lpstr>21-4</vt:lpstr>
      <vt:lpstr>22-4</vt:lpstr>
      <vt:lpstr>23-4</vt:lpstr>
      <vt:lpstr>24-4</vt:lpstr>
      <vt:lpstr>25-4</vt:lpstr>
      <vt:lpstr>27-4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2026-04-28T03:48:29Z</dcterms:modified>
</cp:coreProperties>
</file>